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-mila.barki\Desktop\"/>
    </mc:Choice>
  </mc:AlternateContent>
  <bookViews>
    <workbookView xWindow="0" yWindow="-20" windowWidth="19200" windowHeight="7070"/>
  </bookViews>
  <sheets>
    <sheet name="Context" sheetId="4" r:id="rId1"/>
    <sheet name="Synthèse" sheetId="1" r:id="rId2"/>
    <sheet name="Restitution" sheetId="5" r:id="rId3"/>
  </sheets>
  <definedNames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t_Period_YTD">Context!$C$5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efault_Management_Organization">Context!$C$7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Area" localSheetId="2">Restitution!$A$14:$I$387</definedName>
    <definedName name="_xlnm.Print_Area" localSheetId="1">Synthèse!$A$16:$AZ$389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Context!$C$2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1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1_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2_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_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z_Current_Period_N_1">Context!$C$10</definedName>
    <definedName name="z_Current_Phase">Context!$E$32</definedName>
    <definedName name="z_Current_Year">Context!$C$6</definedName>
    <definedName name="z_Forecast_Phase">Context!$C$12</definedName>
    <definedName name="z_Year_N_1">Context!$C$9</definedName>
    <definedName name="z_Year_Selected">Context!$C$8</definedName>
    <definedName name="zYearSelected">Context!$C$8</definedName>
  </definedNames>
  <calcPr calcId="162913" calcMode="manual" calcCompleted="0" calcOnSave="0" concurrentCalc="0"/>
</workbook>
</file>

<file path=xl/calcChain.xml><?xml version="1.0" encoding="utf-8"?>
<calcChain xmlns="http://schemas.openxmlformats.org/spreadsheetml/2006/main">
  <c r="J19" i="5" l="1"/>
  <c r="J23" i="5"/>
  <c r="J26" i="5"/>
  <c r="J27" i="5"/>
  <c r="J28" i="5"/>
  <c r="J29" i="5"/>
  <c r="J32" i="5"/>
  <c r="J33" i="5"/>
  <c r="J34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11" i="5"/>
  <c r="J115" i="5"/>
  <c r="J116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3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3" i="5"/>
  <c r="J268" i="5"/>
  <c r="J273" i="5"/>
  <c r="J275" i="5"/>
  <c r="J277" i="5"/>
  <c r="J283" i="5"/>
  <c r="J284" i="5"/>
  <c r="J285" i="5"/>
  <c r="J286" i="5"/>
  <c r="J287" i="5"/>
  <c r="J288" i="5"/>
  <c r="J289" i="5"/>
  <c r="J290" i="5"/>
  <c r="J291" i="5"/>
  <c r="J292" i="5"/>
  <c r="J293" i="5"/>
  <c r="J298" i="5"/>
  <c r="J299" i="5"/>
  <c r="J300" i="5"/>
  <c r="J301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2" i="5"/>
  <c r="J353" i="5"/>
  <c r="J354" i="5"/>
  <c r="J355" i="5"/>
  <c r="J356" i="5"/>
  <c r="J359" i="5"/>
  <c r="J360" i="5"/>
  <c r="J361" i="5"/>
  <c r="J362" i="5"/>
  <c r="J363" i="5"/>
  <c r="J364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E30" i="4"/>
  <c r="K277" i="5"/>
  <c r="C2" i="5"/>
  <c r="E37" i="4"/>
  <c r="C3" i="5"/>
  <c r="C4" i="5"/>
  <c r="C6" i="5"/>
  <c r="C5" i="5"/>
  <c r="C7" i="5"/>
  <c r="C1" i="5"/>
  <c r="F32" i="4"/>
  <c r="F1" i="5"/>
  <c r="E32" i="4"/>
  <c r="F2" i="5"/>
  <c r="F276" i="5"/>
  <c r="F277" i="5"/>
  <c r="C8" i="4"/>
  <c r="C9" i="4"/>
  <c r="C4" i="4"/>
  <c r="C5" i="4"/>
  <c r="C10" i="4"/>
  <c r="F34" i="4"/>
  <c r="G1" i="5"/>
  <c r="E34" i="4"/>
  <c r="G2" i="5"/>
  <c r="G276" i="5"/>
  <c r="G277" i="5"/>
  <c r="F22" i="5"/>
  <c r="F23" i="5"/>
  <c r="F278" i="5"/>
  <c r="F35" i="4"/>
  <c r="H1" i="5"/>
  <c r="E35" i="4"/>
  <c r="H2" i="5"/>
  <c r="H276" i="5"/>
  <c r="H277" i="5"/>
  <c r="H22" i="5"/>
  <c r="H23" i="5"/>
  <c r="H278" i="5"/>
  <c r="K275" i="5"/>
  <c r="F274" i="5"/>
  <c r="F275" i="5"/>
  <c r="G274" i="5"/>
  <c r="G275" i="5"/>
  <c r="F226" i="5"/>
  <c r="H226" i="5"/>
  <c r="K223" i="5"/>
  <c r="F25" i="5"/>
  <c r="F26" i="5"/>
  <c r="F27" i="5"/>
  <c r="F28" i="5"/>
  <c r="F29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56" i="5"/>
  <c r="F57" i="5"/>
  <c r="F54" i="5"/>
  <c r="F55" i="5"/>
  <c r="F52" i="5"/>
  <c r="F53" i="5"/>
  <c r="F50" i="5"/>
  <c r="F51" i="5"/>
  <c r="F47" i="5"/>
  <c r="F48" i="5"/>
  <c r="F49" i="5"/>
  <c r="F44" i="5"/>
  <c r="F45" i="5"/>
  <c r="F46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12" i="5"/>
  <c r="F113" i="5"/>
  <c r="F114" i="5"/>
  <c r="F115" i="5"/>
  <c r="F101" i="5"/>
  <c r="F102" i="5"/>
  <c r="F103" i="5"/>
  <c r="F104" i="5"/>
  <c r="F105" i="5"/>
  <c r="F106" i="5"/>
  <c r="F107" i="5"/>
  <c r="F108" i="5"/>
  <c r="F109" i="5"/>
  <c r="F110" i="5"/>
  <c r="F111" i="5"/>
  <c r="F116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31" i="5"/>
  <c r="F132" i="5"/>
  <c r="F133" i="5"/>
  <c r="F134" i="5"/>
  <c r="F135" i="5"/>
  <c r="F136" i="5"/>
  <c r="F137" i="5"/>
  <c r="F138" i="5"/>
  <c r="F139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88" i="5"/>
  <c r="F189" i="5"/>
  <c r="F190" i="5"/>
  <c r="F191" i="5"/>
  <c r="F192" i="5"/>
  <c r="F193" i="5"/>
  <c r="F194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3" i="5"/>
  <c r="G25" i="5"/>
  <c r="G26" i="5"/>
  <c r="G27" i="5"/>
  <c r="G28" i="5"/>
  <c r="G29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56" i="5"/>
  <c r="G57" i="5"/>
  <c r="G54" i="5"/>
  <c r="G55" i="5"/>
  <c r="G52" i="5"/>
  <c r="G53" i="5"/>
  <c r="G50" i="5"/>
  <c r="G51" i="5"/>
  <c r="G47" i="5"/>
  <c r="G48" i="5"/>
  <c r="G49" i="5"/>
  <c r="G44" i="5"/>
  <c r="G45" i="5"/>
  <c r="G46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12" i="5"/>
  <c r="G113" i="5"/>
  <c r="G114" i="5"/>
  <c r="G115" i="5"/>
  <c r="G101" i="5"/>
  <c r="G102" i="5"/>
  <c r="G103" i="5"/>
  <c r="G104" i="5"/>
  <c r="G105" i="5"/>
  <c r="G106" i="5"/>
  <c r="G107" i="5"/>
  <c r="G108" i="5"/>
  <c r="G109" i="5"/>
  <c r="G110" i="5"/>
  <c r="G111" i="5"/>
  <c r="G116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31" i="5"/>
  <c r="G132" i="5"/>
  <c r="G133" i="5"/>
  <c r="G134" i="5"/>
  <c r="G135" i="5"/>
  <c r="G136" i="5"/>
  <c r="G137" i="5"/>
  <c r="G138" i="5"/>
  <c r="G139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88" i="5"/>
  <c r="G189" i="5"/>
  <c r="G190" i="5"/>
  <c r="G191" i="5"/>
  <c r="G192" i="5"/>
  <c r="G193" i="5"/>
  <c r="G194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3" i="5"/>
  <c r="K221" i="5"/>
  <c r="F360" i="5"/>
  <c r="G360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56" i="5"/>
  <c r="H57" i="5"/>
  <c r="H54" i="5"/>
  <c r="H55" i="5"/>
  <c r="H52" i="5"/>
  <c r="H53" i="5"/>
  <c r="H50" i="5"/>
  <c r="H51" i="5"/>
  <c r="H47" i="5"/>
  <c r="H48" i="5"/>
  <c r="H49" i="5"/>
  <c r="H44" i="5"/>
  <c r="H45" i="5"/>
  <c r="H46" i="5"/>
  <c r="H82" i="5"/>
  <c r="H33" i="5"/>
  <c r="H34" i="5"/>
  <c r="H35" i="5"/>
  <c r="H36" i="5"/>
  <c r="H37" i="5"/>
  <c r="H38" i="5"/>
  <c r="H39" i="5"/>
  <c r="H40" i="5"/>
  <c r="H41" i="5"/>
  <c r="H42" i="5"/>
  <c r="H43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12" i="5"/>
  <c r="H113" i="5"/>
  <c r="H114" i="5"/>
  <c r="H115" i="5"/>
  <c r="H101" i="5"/>
  <c r="H102" i="5"/>
  <c r="H103" i="5"/>
  <c r="H104" i="5"/>
  <c r="H105" i="5"/>
  <c r="H106" i="5"/>
  <c r="H107" i="5"/>
  <c r="H108" i="5"/>
  <c r="H109" i="5"/>
  <c r="H110" i="5"/>
  <c r="H111" i="5"/>
  <c r="H116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31" i="5"/>
  <c r="H132" i="5"/>
  <c r="H133" i="5"/>
  <c r="H134" i="5"/>
  <c r="H135" i="5"/>
  <c r="H136" i="5"/>
  <c r="H137" i="5"/>
  <c r="H138" i="5"/>
  <c r="H139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88" i="5"/>
  <c r="H360" i="5"/>
  <c r="K360" i="5"/>
  <c r="F361" i="5"/>
  <c r="G361" i="5"/>
  <c r="H361" i="5"/>
  <c r="K361" i="5"/>
  <c r="F362" i="5"/>
  <c r="G362" i="5"/>
  <c r="H362" i="5"/>
  <c r="K362" i="5"/>
  <c r="F363" i="5"/>
  <c r="G363" i="5"/>
  <c r="H363" i="5"/>
  <c r="K363" i="5"/>
  <c r="F225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364" i="5"/>
  <c r="G226" i="5"/>
  <c r="G225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2" i="5"/>
  <c r="G23" i="5"/>
  <c r="G364" i="5"/>
  <c r="H225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364" i="5"/>
  <c r="K364" i="5"/>
  <c r="F304" i="5"/>
  <c r="F315" i="5"/>
  <c r="F366" i="5"/>
  <c r="G304" i="5"/>
  <c r="G315" i="5"/>
  <c r="G366" i="5"/>
  <c r="H304" i="5"/>
  <c r="H315" i="5"/>
  <c r="H366" i="5"/>
  <c r="K366" i="5"/>
  <c r="F330" i="5"/>
  <c r="F331" i="5"/>
  <c r="F311" i="5"/>
  <c r="F367" i="5"/>
  <c r="G330" i="5"/>
  <c r="G331" i="5"/>
  <c r="G311" i="5"/>
  <c r="G367" i="5"/>
  <c r="H330" i="5"/>
  <c r="H331" i="5"/>
  <c r="H311" i="5"/>
  <c r="H367" i="5"/>
  <c r="K367" i="5"/>
  <c r="F332" i="5"/>
  <c r="F333" i="5"/>
  <c r="F312" i="5"/>
  <c r="F368" i="5"/>
  <c r="G332" i="5"/>
  <c r="G333" i="5"/>
  <c r="G312" i="5"/>
  <c r="G368" i="5"/>
  <c r="H332" i="5"/>
  <c r="H333" i="5"/>
  <c r="H312" i="5"/>
  <c r="H368" i="5"/>
  <c r="K368" i="5"/>
  <c r="F334" i="5"/>
  <c r="F335" i="5"/>
  <c r="F314" i="5"/>
  <c r="F369" i="5"/>
  <c r="G334" i="5"/>
  <c r="G335" i="5"/>
  <c r="G314" i="5"/>
  <c r="G369" i="5"/>
  <c r="H334" i="5"/>
  <c r="H335" i="5"/>
  <c r="H314" i="5"/>
  <c r="H369" i="5"/>
  <c r="K369" i="5"/>
  <c r="F336" i="5"/>
  <c r="F337" i="5"/>
  <c r="F313" i="5"/>
  <c r="F370" i="5"/>
  <c r="G336" i="5"/>
  <c r="G337" i="5"/>
  <c r="G313" i="5"/>
  <c r="G370" i="5"/>
  <c r="H336" i="5"/>
  <c r="H337" i="5"/>
  <c r="H313" i="5"/>
  <c r="H370" i="5"/>
  <c r="K370" i="5"/>
  <c r="F371" i="5"/>
  <c r="G371" i="5"/>
  <c r="H371" i="5"/>
  <c r="K371" i="5"/>
  <c r="F372" i="5"/>
  <c r="G372" i="5"/>
  <c r="H372" i="5"/>
  <c r="K372" i="5"/>
  <c r="F373" i="5"/>
  <c r="G373" i="5"/>
  <c r="H373" i="5"/>
  <c r="K373" i="5"/>
  <c r="F374" i="5"/>
  <c r="G374" i="5"/>
  <c r="H374" i="5"/>
  <c r="K374" i="5"/>
  <c r="F316" i="5"/>
  <c r="F317" i="5"/>
  <c r="F318" i="5"/>
  <c r="F319" i="5"/>
  <c r="F375" i="5"/>
  <c r="G316" i="5"/>
  <c r="G317" i="5"/>
  <c r="G318" i="5"/>
  <c r="G319" i="5"/>
  <c r="G375" i="5"/>
  <c r="H316" i="5"/>
  <c r="H317" i="5"/>
  <c r="H318" i="5"/>
  <c r="H319" i="5"/>
  <c r="H375" i="5"/>
  <c r="K375" i="5"/>
  <c r="F376" i="5"/>
  <c r="G376" i="5"/>
  <c r="H376" i="5"/>
  <c r="K376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7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7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77" i="5"/>
  <c r="K377" i="5"/>
  <c r="F320" i="5"/>
  <c r="F321" i="5"/>
  <c r="F322" i="5"/>
  <c r="F323" i="5"/>
  <c r="F324" i="5"/>
  <c r="F325" i="5"/>
  <c r="F326" i="5"/>
  <c r="F378" i="5"/>
  <c r="G320" i="5"/>
  <c r="G321" i="5"/>
  <c r="G322" i="5"/>
  <c r="G323" i="5"/>
  <c r="G324" i="5"/>
  <c r="G325" i="5"/>
  <c r="G326" i="5"/>
  <c r="G378" i="5"/>
  <c r="H320" i="5"/>
  <c r="H321" i="5"/>
  <c r="H322" i="5"/>
  <c r="H323" i="5"/>
  <c r="H324" i="5"/>
  <c r="H325" i="5"/>
  <c r="H326" i="5"/>
  <c r="H378" i="5"/>
  <c r="K378" i="5"/>
  <c r="F379" i="5"/>
  <c r="G379" i="5"/>
  <c r="H379" i="5"/>
  <c r="K379" i="5"/>
  <c r="F305" i="5"/>
  <c r="F380" i="5"/>
  <c r="G305" i="5"/>
  <c r="G380" i="5"/>
  <c r="H305" i="5"/>
  <c r="H380" i="5"/>
  <c r="K380" i="5"/>
  <c r="F306" i="5"/>
  <c r="F381" i="5"/>
  <c r="G306" i="5"/>
  <c r="G381" i="5"/>
  <c r="H306" i="5"/>
  <c r="H381" i="5"/>
  <c r="K381" i="5"/>
  <c r="F307" i="5"/>
  <c r="F382" i="5"/>
  <c r="G307" i="5"/>
  <c r="G382" i="5"/>
  <c r="H307" i="5"/>
  <c r="H382" i="5"/>
  <c r="K382" i="5"/>
  <c r="F308" i="5"/>
  <c r="F383" i="5"/>
  <c r="G308" i="5"/>
  <c r="G383" i="5"/>
  <c r="H308" i="5"/>
  <c r="H383" i="5"/>
  <c r="K383" i="5"/>
  <c r="F309" i="5"/>
  <c r="F384" i="5"/>
  <c r="G309" i="5"/>
  <c r="G384" i="5"/>
  <c r="H309" i="5"/>
  <c r="H384" i="5"/>
  <c r="K384" i="5"/>
  <c r="F310" i="5"/>
  <c r="F385" i="5"/>
  <c r="G310" i="5"/>
  <c r="G385" i="5"/>
  <c r="H310" i="5"/>
  <c r="H385" i="5"/>
  <c r="K385" i="5"/>
  <c r="F386" i="5"/>
  <c r="G386" i="5"/>
  <c r="H386" i="5"/>
  <c r="K386" i="5"/>
  <c r="F359" i="5"/>
  <c r="H359" i="5"/>
  <c r="K359" i="5"/>
  <c r="G359" i="5"/>
  <c r="F353" i="5"/>
  <c r="G353" i="5"/>
  <c r="H353" i="5"/>
  <c r="K353" i="5"/>
  <c r="F354" i="5"/>
  <c r="G354" i="5"/>
  <c r="H354" i="5"/>
  <c r="K354" i="5"/>
  <c r="F355" i="5"/>
  <c r="G355" i="5"/>
  <c r="H355" i="5"/>
  <c r="K355" i="5"/>
  <c r="F356" i="5"/>
  <c r="G356" i="5"/>
  <c r="H356" i="5"/>
  <c r="K356" i="5"/>
  <c r="F351" i="5"/>
  <c r="F352" i="5"/>
  <c r="H351" i="5"/>
  <c r="H352" i="5"/>
  <c r="K352" i="5"/>
  <c r="G351" i="5"/>
  <c r="G352" i="5"/>
  <c r="K349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31" i="5"/>
  <c r="K316" i="5"/>
  <c r="K317" i="5"/>
  <c r="K318" i="5"/>
  <c r="K319" i="5"/>
  <c r="K320" i="5"/>
  <c r="K321" i="5"/>
  <c r="K322" i="5"/>
  <c r="K323" i="5"/>
  <c r="K324" i="5"/>
  <c r="K325" i="5"/>
  <c r="K326" i="5"/>
  <c r="F327" i="5"/>
  <c r="G327" i="5"/>
  <c r="H327" i="5"/>
  <c r="K327" i="5"/>
  <c r="F328" i="5"/>
  <c r="G328" i="5"/>
  <c r="H328" i="5"/>
  <c r="K328" i="5"/>
  <c r="K315" i="5"/>
  <c r="F296" i="5"/>
  <c r="F297" i="5"/>
  <c r="F298" i="5"/>
  <c r="F299" i="5"/>
  <c r="G296" i="5"/>
  <c r="G297" i="5"/>
  <c r="G298" i="5"/>
  <c r="G299" i="5"/>
  <c r="H296" i="5"/>
  <c r="H297" i="5"/>
  <c r="H298" i="5"/>
  <c r="H299" i="5"/>
  <c r="K299" i="5"/>
  <c r="F300" i="5"/>
  <c r="G300" i="5"/>
  <c r="H300" i="5"/>
  <c r="K300" i="5"/>
  <c r="K298" i="5"/>
  <c r="F284" i="5"/>
  <c r="G284" i="5"/>
  <c r="H284" i="5"/>
  <c r="K284" i="5"/>
  <c r="F285" i="5"/>
  <c r="G285" i="5"/>
  <c r="H285" i="5"/>
  <c r="K285" i="5"/>
  <c r="F286" i="5"/>
  <c r="G286" i="5"/>
  <c r="H286" i="5"/>
  <c r="K286" i="5"/>
  <c r="K287" i="5"/>
  <c r="K288" i="5"/>
  <c r="K289" i="5"/>
  <c r="F290" i="5"/>
  <c r="G290" i="5"/>
  <c r="H290" i="5"/>
  <c r="K290" i="5"/>
  <c r="F291" i="5"/>
  <c r="G291" i="5"/>
  <c r="H291" i="5"/>
  <c r="K291" i="5"/>
  <c r="F292" i="5"/>
  <c r="G292" i="5"/>
  <c r="H292" i="5"/>
  <c r="K292" i="5"/>
  <c r="F281" i="5"/>
  <c r="F282" i="5"/>
  <c r="F283" i="5"/>
  <c r="H281" i="5"/>
  <c r="H282" i="5"/>
  <c r="H283" i="5"/>
  <c r="K283" i="5"/>
  <c r="G281" i="5"/>
  <c r="G282" i="5"/>
  <c r="G283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27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H189" i="5"/>
  <c r="K189" i="5"/>
  <c r="H190" i="5"/>
  <c r="K190" i="5"/>
  <c r="H191" i="5"/>
  <c r="K191" i="5"/>
  <c r="H192" i="5"/>
  <c r="K192" i="5"/>
  <c r="H193" i="5"/>
  <c r="K193" i="5"/>
  <c r="H194" i="5"/>
  <c r="K194" i="5"/>
  <c r="K195" i="5"/>
  <c r="H196" i="5"/>
  <c r="K196" i="5"/>
  <c r="H197" i="5"/>
  <c r="K197" i="5"/>
  <c r="H198" i="5"/>
  <c r="K198" i="5"/>
  <c r="H199" i="5"/>
  <c r="K199" i="5"/>
  <c r="H200" i="5"/>
  <c r="K200" i="5"/>
  <c r="H201" i="5"/>
  <c r="K201" i="5"/>
  <c r="H202" i="5"/>
  <c r="K202" i="5"/>
  <c r="H203" i="5"/>
  <c r="K203" i="5"/>
  <c r="H204" i="5"/>
  <c r="K204" i="5"/>
  <c r="H205" i="5"/>
  <c r="K205" i="5"/>
  <c r="H206" i="5"/>
  <c r="K206" i="5"/>
  <c r="H207" i="5"/>
  <c r="K207" i="5"/>
  <c r="H208" i="5"/>
  <c r="K208" i="5"/>
  <c r="H209" i="5"/>
  <c r="K209" i="5"/>
  <c r="H210" i="5"/>
  <c r="K210" i="5"/>
  <c r="H211" i="5"/>
  <c r="K211" i="5"/>
  <c r="H212" i="5"/>
  <c r="K212" i="5"/>
  <c r="H213" i="5"/>
  <c r="K213" i="5"/>
  <c r="H214" i="5"/>
  <c r="K214" i="5"/>
  <c r="H215" i="5"/>
  <c r="K215" i="5"/>
  <c r="H216" i="5"/>
  <c r="K216" i="5"/>
  <c r="H217" i="5"/>
  <c r="K217" i="5"/>
  <c r="H218" i="5"/>
  <c r="K218" i="5"/>
  <c r="H219" i="5"/>
  <c r="K219" i="5"/>
  <c r="H220" i="5"/>
  <c r="K220" i="5"/>
  <c r="K130" i="5"/>
  <c r="K115" i="5"/>
  <c r="K111" i="5"/>
  <c r="F301" i="5"/>
  <c r="H301" i="5"/>
  <c r="K301" i="5"/>
  <c r="G301" i="5"/>
  <c r="F293" i="5"/>
  <c r="H293" i="5"/>
  <c r="K293" i="5"/>
  <c r="G293" i="5"/>
  <c r="F269" i="5"/>
  <c r="F270" i="5"/>
  <c r="F271" i="5"/>
  <c r="F272" i="5"/>
  <c r="F273" i="5"/>
  <c r="H269" i="5"/>
  <c r="H270" i="5"/>
  <c r="H271" i="5"/>
  <c r="H272" i="5"/>
  <c r="H273" i="5"/>
  <c r="K273" i="5"/>
  <c r="G269" i="5"/>
  <c r="G270" i="5"/>
  <c r="G271" i="5"/>
  <c r="G272" i="5"/>
  <c r="G273" i="5"/>
  <c r="F264" i="5"/>
  <c r="F265" i="5"/>
  <c r="F266" i="5"/>
  <c r="F267" i="5"/>
  <c r="F268" i="5"/>
  <c r="H264" i="5"/>
  <c r="H265" i="5"/>
  <c r="H266" i="5"/>
  <c r="H267" i="5"/>
  <c r="H268" i="5"/>
  <c r="K268" i="5"/>
  <c r="G264" i="5"/>
  <c r="G265" i="5"/>
  <c r="G266" i="5"/>
  <c r="G267" i="5"/>
  <c r="G268" i="5"/>
  <c r="F261" i="5"/>
  <c r="F262" i="5"/>
  <c r="F263" i="5"/>
  <c r="H261" i="5"/>
  <c r="H262" i="5"/>
  <c r="H263" i="5"/>
  <c r="K263" i="5"/>
  <c r="G261" i="5"/>
  <c r="G262" i="5"/>
  <c r="G263" i="5"/>
  <c r="K260" i="5"/>
  <c r="K116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85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46" i="5"/>
  <c r="K44" i="5"/>
  <c r="K100" i="5"/>
  <c r="K82" i="5"/>
  <c r="K45" i="5"/>
  <c r="K43" i="5"/>
  <c r="K34" i="5"/>
  <c r="K33" i="5"/>
  <c r="H31" i="5"/>
  <c r="H25" i="5"/>
  <c r="H26" i="5"/>
  <c r="H32" i="5"/>
  <c r="K32" i="5"/>
  <c r="K29" i="5"/>
  <c r="H27" i="5"/>
  <c r="K27" i="5"/>
  <c r="H28" i="5"/>
  <c r="K28" i="5"/>
  <c r="K26" i="5"/>
  <c r="K23" i="5"/>
  <c r="H19" i="5"/>
  <c r="H20" i="5"/>
  <c r="K19" i="5"/>
  <c r="G19" i="5"/>
  <c r="G20" i="5"/>
  <c r="E355" i="1"/>
  <c r="F20" i="5"/>
  <c r="F19" i="5"/>
  <c r="E386" i="5"/>
  <c r="E378" i="5"/>
  <c r="E377" i="5"/>
  <c r="E375" i="5"/>
  <c r="E374" i="5"/>
  <c r="E373" i="5"/>
  <c r="E372" i="5"/>
  <c r="E371" i="5"/>
  <c r="E366" i="5"/>
  <c r="E355" i="5"/>
  <c r="E353" i="5"/>
  <c r="E351" i="5"/>
  <c r="E348" i="5"/>
  <c r="E346" i="5"/>
  <c r="E344" i="5"/>
  <c r="E342" i="5"/>
  <c r="E340" i="5"/>
  <c r="E338" i="5"/>
  <c r="E336" i="5"/>
  <c r="E334" i="5"/>
  <c r="E330" i="5"/>
  <c r="E327" i="5"/>
  <c r="E325" i="5"/>
  <c r="E323" i="5"/>
  <c r="E321" i="5"/>
  <c r="E320" i="5"/>
  <c r="E318" i="5"/>
  <c r="E317" i="5"/>
  <c r="E316" i="5"/>
  <c r="E314" i="5"/>
  <c r="E313" i="5"/>
  <c r="E312" i="5"/>
  <c r="E311" i="5"/>
  <c r="E310" i="5"/>
  <c r="E309" i="5"/>
  <c r="E308" i="5"/>
  <c r="E307" i="5"/>
  <c r="E306" i="5"/>
  <c r="E305" i="5"/>
  <c r="E304" i="5"/>
  <c r="E291" i="5"/>
  <c r="E290" i="5"/>
  <c r="H289" i="5"/>
  <c r="G289" i="5"/>
  <c r="F289" i="5"/>
  <c r="E288" i="5"/>
  <c r="E287" i="5"/>
  <c r="E284" i="5"/>
  <c r="E282" i="5"/>
  <c r="E281" i="5"/>
  <c r="H29" i="5"/>
  <c r="H221" i="5"/>
  <c r="H223" i="5"/>
  <c r="H279" i="5"/>
  <c r="G279" i="5"/>
  <c r="F279" i="5"/>
  <c r="G278" i="5"/>
  <c r="E276" i="5"/>
  <c r="H274" i="5"/>
  <c r="H275" i="5"/>
  <c r="E274" i="5"/>
  <c r="E272" i="5"/>
  <c r="E271" i="5"/>
  <c r="E270" i="5"/>
  <c r="E269" i="5"/>
  <c r="E267" i="5"/>
  <c r="E266" i="5"/>
  <c r="E265" i="5"/>
  <c r="E264" i="5"/>
  <c r="E262" i="5"/>
  <c r="E261" i="5"/>
  <c r="E258" i="5"/>
  <c r="E256" i="5"/>
  <c r="E254" i="5"/>
  <c r="E252" i="5"/>
  <c r="E250" i="5"/>
  <c r="E248" i="5"/>
  <c r="E246" i="5"/>
  <c r="E244" i="5"/>
  <c r="E242" i="5"/>
  <c r="E240" i="5"/>
  <c r="E238" i="5"/>
  <c r="E236" i="5"/>
  <c r="E234" i="5"/>
  <c r="E232" i="5"/>
  <c r="E230" i="5"/>
  <c r="E228" i="5"/>
  <c r="E226" i="5"/>
  <c r="E225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8" i="5"/>
  <c r="E137" i="5"/>
  <c r="E136" i="5"/>
  <c r="E135" i="5"/>
  <c r="E134" i="5"/>
  <c r="E133" i="5"/>
  <c r="E132" i="5"/>
  <c r="E131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4" i="5"/>
  <c r="E113" i="5"/>
  <c r="E112" i="5"/>
  <c r="E110" i="5"/>
  <c r="E109" i="5"/>
  <c r="E108" i="5"/>
  <c r="E107" i="5"/>
  <c r="E106" i="5"/>
  <c r="E105" i="5"/>
  <c r="E104" i="5"/>
  <c r="E103" i="5"/>
  <c r="E102" i="5"/>
  <c r="E101" i="5"/>
  <c r="E98" i="5"/>
  <c r="E97" i="5"/>
  <c r="E95" i="5"/>
  <c r="E94" i="5"/>
  <c r="E92" i="5"/>
  <c r="E91" i="5"/>
  <c r="E89" i="5"/>
  <c r="E88" i="5"/>
  <c r="E87" i="5"/>
  <c r="E86" i="5"/>
  <c r="E84" i="5"/>
  <c r="E83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6" i="5"/>
  <c r="E54" i="5"/>
  <c r="E52" i="5"/>
  <c r="E50" i="5"/>
  <c r="E48" i="5"/>
  <c r="E47" i="5"/>
  <c r="E45" i="5"/>
  <c r="E44" i="5"/>
  <c r="E42" i="5"/>
  <c r="E41" i="5"/>
  <c r="E40" i="5"/>
  <c r="E39" i="5"/>
  <c r="E38" i="5"/>
  <c r="E37" i="5"/>
  <c r="E36" i="5"/>
  <c r="E35" i="5"/>
  <c r="E34" i="5"/>
  <c r="E33" i="5"/>
  <c r="E31" i="5"/>
  <c r="E27" i="5"/>
  <c r="E25" i="5"/>
  <c r="E22" i="5"/>
  <c r="E19" i="5"/>
  <c r="E9" i="5"/>
  <c r="E357" i="1"/>
  <c r="E353" i="1"/>
  <c r="E350" i="1"/>
  <c r="E348" i="1"/>
  <c r="E346" i="1"/>
  <c r="E344" i="1"/>
  <c r="E342" i="1"/>
  <c r="E340" i="1"/>
  <c r="E338" i="1"/>
  <c r="E336" i="1"/>
  <c r="E332" i="1"/>
  <c r="E329" i="1"/>
  <c r="E327" i="1"/>
  <c r="E325" i="1"/>
  <c r="E323" i="1"/>
  <c r="E322" i="1"/>
  <c r="E320" i="1"/>
  <c r="E319" i="1"/>
  <c r="E318" i="1"/>
  <c r="E307" i="1"/>
  <c r="E308" i="1"/>
  <c r="E309" i="1"/>
  <c r="E310" i="1"/>
  <c r="E311" i="1"/>
  <c r="E312" i="1"/>
  <c r="E313" i="1"/>
  <c r="E314" i="1"/>
  <c r="E315" i="1"/>
  <c r="E316" i="1"/>
  <c r="E306" i="1"/>
  <c r="E293" i="1"/>
  <c r="E292" i="1"/>
  <c r="E290" i="1"/>
  <c r="E289" i="1"/>
  <c r="E286" i="1"/>
  <c r="E278" i="1"/>
  <c r="E284" i="1"/>
  <c r="E283" i="1"/>
  <c r="E276" i="1"/>
  <c r="E272" i="1"/>
  <c r="E273" i="1"/>
  <c r="E274" i="1"/>
  <c r="E271" i="1"/>
  <c r="E267" i="1"/>
  <c r="E268" i="1"/>
  <c r="E269" i="1"/>
  <c r="E266" i="1"/>
  <c r="E264" i="1"/>
  <c r="E263" i="1"/>
  <c r="E260" i="1"/>
  <c r="E258" i="1"/>
  <c r="E256" i="1"/>
  <c r="E254" i="1"/>
  <c r="E252" i="1"/>
  <c r="E250" i="1"/>
  <c r="E248" i="1"/>
  <c r="E246" i="1"/>
  <c r="E244" i="1"/>
  <c r="E242" i="1"/>
  <c r="E240" i="1"/>
  <c r="E238" i="1"/>
  <c r="E236" i="1"/>
  <c r="E234" i="1"/>
  <c r="E232" i="1"/>
  <c r="E230" i="1"/>
  <c r="E228" i="1"/>
  <c r="E227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191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68" i="1"/>
  <c r="E169" i="1"/>
  <c r="E170" i="1"/>
  <c r="E171" i="1"/>
  <c r="E172" i="1"/>
  <c r="E157" i="1"/>
  <c r="E158" i="1"/>
  <c r="E159" i="1"/>
  <c r="E160" i="1"/>
  <c r="E161" i="1"/>
  <c r="E162" i="1"/>
  <c r="E163" i="1"/>
  <c r="E164" i="1"/>
  <c r="E165" i="1"/>
  <c r="E166" i="1"/>
  <c r="E167" i="1"/>
  <c r="E156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42" i="1"/>
  <c r="E134" i="1"/>
  <c r="E135" i="1"/>
  <c r="E136" i="1"/>
  <c r="E137" i="1"/>
  <c r="E138" i="1"/>
  <c r="E139" i="1"/>
  <c r="E140" i="1"/>
  <c r="E133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19" i="1"/>
  <c r="E116" i="1"/>
  <c r="E115" i="1"/>
  <c r="E114" i="1"/>
  <c r="E104" i="1"/>
  <c r="E105" i="1"/>
  <c r="E106" i="1"/>
  <c r="E107" i="1"/>
  <c r="E108" i="1"/>
  <c r="E109" i="1"/>
  <c r="E110" i="1"/>
  <c r="E111" i="1"/>
  <c r="E112" i="1"/>
  <c r="E103" i="1"/>
  <c r="E100" i="1"/>
  <c r="E99" i="1"/>
  <c r="E97" i="1"/>
  <c r="E96" i="1"/>
  <c r="E94" i="1"/>
  <c r="E93" i="1"/>
  <c r="C2" i="1"/>
  <c r="C3" i="1"/>
  <c r="C4" i="1"/>
  <c r="C6" i="1"/>
  <c r="C5" i="1"/>
  <c r="C7" i="1"/>
  <c r="C1" i="1"/>
  <c r="C6" i="4"/>
  <c r="Z1" i="1"/>
  <c r="Z107" i="1"/>
  <c r="Y1" i="1"/>
  <c r="Y107" i="1"/>
  <c r="X1" i="1"/>
  <c r="X107" i="1"/>
  <c r="W1" i="1"/>
  <c r="W107" i="1"/>
  <c r="V1" i="1"/>
  <c r="V107" i="1"/>
  <c r="U1" i="1"/>
  <c r="U107" i="1"/>
  <c r="T1" i="1"/>
  <c r="T107" i="1"/>
  <c r="S1" i="1"/>
  <c r="S107" i="1"/>
  <c r="R1" i="1"/>
  <c r="R107" i="1"/>
  <c r="Q1" i="1"/>
  <c r="Q107" i="1"/>
  <c r="P1" i="1"/>
  <c r="P107" i="1"/>
  <c r="O1" i="1"/>
  <c r="O107" i="1"/>
  <c r="N1" i="1"/>
  <c r="N107" i="1"/>
  <c r="M1" i="1"/>
  <c r="M107" i="1"/>
  <c r="L1" i="1"/>
  <c r="L107" i="1"/>
  <c r="K1" i="1"/>
  <c r="K107" i="1"/>
  <c r="J1" i="1"/>
  <c r="J107" i="1"/>
  <c r="I1" i="1"/>
  <c r="I107" i="1"/>
  <c r="H1" i="1"/>
  <c r="H107" i="1"/>
  <c r="G1" i="1"/>
  <c r="G107" i="1"/>
  <c r="F1" i="1"/>
  <c r="F107" i="1"/>
  <c r="AY1" i="1"/>
  <c r="AY106" i="1"/>
  <c r="AX1" i="1"/>
  <c r="AX106" i="1"/>
  <c r="AW1" i="1"/>
  <c r="AW106" i="1"/>
  <c r="AV1" i="1"/>
  <c r="AV106" i="1"/>
  <c r="AU1" i="1"/>
  <c r="AU106" i="1"/>
  <c r="AT1" i="1"/>
  <c r="AT106" i="1"/>
  <c r="AS1" i="1"/>
  <c r="AS106" i="1"/>
  <c r="AR1" i="1"/>
  <c r="AR106" i="1"/>
  <c r="AQ1" i="1"/>
  <c r="AQ106" i="1"/>
  <c r="AP1" i="1"/>
  <c r="AP106" i="1"/>
  <c r="AO1" i="1"/>
  <c r="AO106" i="1"/>
  <c r="AN1" i="1"/>
  <c r="AN106" i="1"/>
  <c r="AM1" i="1"/>
  <c r="AM106" i="1"/>
  <c r="AL1" i="1"/>
  <c r="AL106" i="1"/>
  <c r="AK1" i="1"/>
  <c r="AK106" i="1"/>
  <c r="AJ1" i="1"/>
  <c r="AJ106" i="1"/>
  <c r="AI1" i="1"/>
  <c r="AI106" i="1"/>
  <c r="AH1" i="1"/>
  <c r="AH106" i="1"/>
  <c r="AG1" i="1"/>
  <c r="AG106" i="1"/>
  <c r="AF1" i="1"/>
  <c r="AF106" i="1"/>
  <c r="AE1" i="1"/>
  <c r="AE106" i="1"/>
  <c r="AD1" i="1"/>
  <c r="AD106" i="1"/>
  <c r="AC1" i="1"/>
  <c r="AC106" i="1"/>
  <c r="AB1" i="1"/>
  <c r="AB106" i="1"/>
  <c r="AA1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AY105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AY104" i="1"/>
  <c r="AX104" i="1"/>
  <c r="AW104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AY103" i="1"/>
  <c r="AX103" i="1"/>
  <c r="AW103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AY100" i="1"/>
  <c r="AX100" i="1"/>
  <c r="AW100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AY99" i="1"/>
  <c r="AX99" i="1"/>
  <c r="AW99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AY97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AY94" i="1"/>
  <c r="AX94" i="1"/>
  <c r="AW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AY93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AY91" i="1"/>
  <c r="AX91" i="1"/>
  <c r="AW91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AY90" i="1"/>
  <c r="AX90" i="1"/>
  <c r="AW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AY89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AY88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AY86" i="1"/>
  <c r="AX86" i="1"/>
  <c r="AW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AY85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AY82" i="1"/>
  <c r="AX82" i="1"/>
  <c r="AW82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AY81" i="1"/>
  <c r="AX81" i="1"/>
  <c r="AW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AY80" i="1"/>
  <c r="AX80" i="1"/>
  <c r="AW80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AY79" i="1"/>
  <c r="AX79" i="1"/>
  <c r="AW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AY78" i="1"/>
  <c r="AX78" i="1"/>
  <c r="AW78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AY76" i="1"/>
  <c r="AX76" i="1"/>
  <c r="AW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AY75" i="1"/>
  <c r="AX75" i="1"/>
  <c r="AW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AY74" i="1"/>
  <c r="AX74" i="1"/>
  <c r="AW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AY73" i="1"/>
  <c r="AX73" i="1"/>
  <c r="AW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AY71" i="1"/>
  <c r="AX71" i="1"/>
  <c r="AW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AY70" i="1"/>
  <c r="AX70" i="1"/>
  <c r="AW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AY69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AY68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AY67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AY66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AY65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AY64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AY63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E89" i="1"/>
  <c r="E90" i="1"/>
  <c r="E91" i="1"/>
  <c r="E88" i="1"/>
  <c r="E86" i="1"/>
  <c r="E85" i="1"/>
  <c r="E78" i="1"/>
  <c r="E79" i="1"/>
  <c r="E80" i="1"/>
  <c r="E81" i="1"/>
  <c r="E82" i="1"/>
  <c r="E67" i="1"/>
  <c r="E68" i="1"/>
  <c r="E69" i="1"/>
  <c r="E70" i="1"/>
  <c r="E71" i="1"/>
  <c r="E72" i="1"/>
  <c r="E73" i="1"/>
  <c r="E74" i="1"/>
  <c r="E75" i="1"/>
  <c r="E76" i="1"/>
  <c r="E77" i="1"/>
  <c r="E61" i="1"/>
  <c r="E62" i="1"/>
  <c r="E63" i="1"/>
  <c r="E64" i="1"/>
  <c r="E65" i="1"/>
  <c r="E66" i="1"/>
  <c r="E60" i="1"/>
  <c r="E58" i="1"/>
  <c r="E56" i="1"/>
  <c r="E54" i="1"/>
  <c r="E52" i="1"/>
  <c r="E50" i="1"/>
  <c r="E49" i="1"/>
  <c r="C11" i="4"/>
  <c r="C12" i="4"/>
  <c r="C7" i="4"/>
  <c r="F230" i="1"/>
  <c r="F228" i="1"/>
  <c r="F227" i="1"/>
  <c r="F229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78" i="1"/>
  <c r="F279" i="1"/>
  <c r="F28" i="1"/>
  <c r="F30" i="1"/>
  <c r="F31" i="1"/>
  <c r="F34" i="1"/>
  <c r="F45" i="1"/>
  <c r="F83" i="1"/>
  <c r="F59" i="1"/>
  <c r="F57" i="1"/>
  <c r="F55" i="1"/>
  <c r="F53" i="1"/>
  <c r="F51" i="1"/>
  <c r="F48" i="1"/>
  <c r="F84" i="1"/>
  <c r="F87" i="1"/>
  <c r="F92" i="1"/>
  <c r="F95" i="1"/>
  <c r="F98" i="1"/>
  <c r="F101" i="1"/>
  <c r="F102" i="1"/>
  <c r="F114" i="1"/>
  <c r="F115" i="1"/>
  <c r="F116" i="1"/>
  <c r="F117" i="1"/>
  <c r="F108" i="1"/>
  <c r="F109" i="1"/>
  <c r="F110" i="1"/>
  <c r="F111" i="1"/>
  <c r="F112" i="1"/>
  <c r="F113" i="1"/>
  <c r="F118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33" i="1"/>
  <c r="F134" i="1"/>
  <c r="F135" i="1"/>
  <c r="F136" i="1"/>
  <c r="F137" i="1"/>
  <c r="F138" i="1"/>
  <c r="F139" i="1"/>
  <c r="F140" i="1"/>
  <c r="F141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90" i="1"/>
  <c r="F191" i="1"/>
  <c r="F192" i="1"/>
  <c r="F193" i="1"/>
  <c r="F194" i="1"/>
  <c r="F195" i="1"/>
  <c r="F196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5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81" i="1"/>
  <c r="F276" i="1"/>
  <c r="F277" i="1"/>
  <c r="AY302" i="1"/>
  <c r="AY298" i="1"/>
  <c r="AY299" i="1"/>
  <c r="AY25" i="1"/>
  <c r="AY300" i="1"/>
  <c r="AY301" i="1"/>
  <c r="AX302" i="1"/>
  <c r="AY303" i="1"/>
  <c r="AX298" i="1"/>
  <c r="AX299" i="1"/>
  <c r="AX25" i="1"/>
  <c r="AX300" i="1"/>
  <c r="AX301" i="1"/>
  <c r="AW302" i="1"/>
  <c r="AX303" i="1"/>
  <c r="AW298" i="1"/>
  <c r="AW299" i="1"/>
  <c r="AW25" i="1"/>
  <c r="AW300" i="1"/>
  <c r="AW301" i="1"/>
  <c r="AV302" i="1"/>
  <c r="AW303" i="1"/>
  <c r="AV298" i="1"/>
  <c r="AV299" i="1"/>
  <c r="AV25" i="1"/>
  <c r="AV300" i="1"/>
  <c r="AV301" i="1"/>
  <c r="AU302" i="1"/>
  <c r="AV303" i="1"/>
  <c r="AU298" i="1"/>
  <c r="AU299" i="1"/>
  <c r="AU25" i="1"/>
  <c r="AU300" i="1"/>
  <c r="AU301" i="1"/>
  <c r="AT302" i="1"/>
  <c r="AU303" i="1"/>
  <c r="AT298" i="1"/>
  <c r="AT299" i="1"/>
  <c r="AT25" i="1"/>
  <c r="AT300" i="1"/>
  <c r="AT301" i="1"/>
  <c r="AS302" i="1"/>
  <c r="AT303" i="1"/>
  <c r="AS298" i="1"/>
  <c r="AS299" i="1"/>
  <c r="AS25" i="1"/>
  <c r="AS300" i="1"/>
  <c r="AS301" i="1"/>
  <c r="AR302" i="1"/>
  <c r="AS303" i="1"/>
  <c r="AR298" i="1"/>
  <c r="AR299" i="1"/>
  <c r="AR25" i="1"/>
  <c r="AR300" i="1"/>
  <c r="AR301" i="1"/>
  <c r="AQ302" i="1"/>
  <c r="AR303" i="1"/>
  <c r="AQ298" i="1"/>
  <c r="AQ299" i="1"/>
  <c r="AQ25" i="1"/>
  <c r="AQ300" i="1"/>
  <c r="AQ301" i="1"/>
  <c r="AP302" i="1"/>
  <c r="AQ303" i="1"/>
  <c r="AP298" i="1"/>
  <c r="AP299" i="1"/>
  <c r="AP25" i="1"/>
  <c r="AP300" i="1"/>
  <c r="AP301" i="1"/>
  <c r="AO302" i="1"/>
  <c r="AP303" i="1"/>
  <c r="AO298" i="1"/>
  <c r="AO299" i="1"/>
  <c r="AO25" i="1"/>
  <c r="AO300" i="1"/>
  <c r="AO301" i="1"/>
  <c r="AN302" i="1"/>
  <c r="AO303" i="1"/>
  <c r="AN298" i="1"/>
  <c r="AN299" i="1"/>
  <c r="AN25" i="1"/>
  <c r="AN300" i="1"/>
  <c r="AN301" i="1"/>
  <c r="AM302" i="1"/>
  <c r="AN303" i="1"/>
  <c r="AM298" i="1"/>
  <c r="AM299" i="1"/>
  <c r="AM25" i="1"/>
  <c r="AM300" i="1"/>
  <c r="AM301" i="1"/>
  <c r="AL302" i="1"/>
  <c r="AM303" i="1"/>
  <c r="AL298" i="1"/>
  <c r="AL299" i="1"/>
  <c r="AL25" i="1"/>
  <c r="AL300" i="1"/>
  <c r="AL301" i="1"/>
  <c r="AK302" i="1"/>
  <c r="AL303" i="1"/>
  <c r="AK298" i="1"/>
  <c r="AK299" i="1"/>
  <c r="AK25" i="1"/>
  <c r="AK300" i="1"/>
  <c r="AK301" i="1"/>
  <c r="AJ302" i="1"/>
  <c r="AK303" i="1"/>
  <c r="AJ298" i="1"/>
  <c r="AJ299" i="1"/>
  <c r="AJ25" i="1"/>
  <c r="AJ300" i="1"/>
  <c r="AJ301" i="1"/>
  <c r="AI302" i="1"/>
  <c r="AJ303" i="1"/>
  <c r="AI298" i="1"/>
  <c r="AI299" i="1"/>
  <c r="AI25" i="1"/>
  <c r="AI300" i="1"/>
  <c r="AI301" i="1"/>
  <c r="AH302" i="1"/>
  <c r="AI303" i="1"/>
  <c r="AH298" i="1"/>
  <c r="AH299" i="1"/>
  <c r="AH25" i="1"/>
  <c r="AH300" i="1"/>
  <c r="AH301" i="1"/>
  <c r="AG302" i="1"/>
  <c r="AH303" i="1"/>
  <c r="AG298" i="1"/>
  <c r="AG299" i="1"/>
  <c r="AG25" i="1"/>
  <c r="AG300" i="1"/>
  <c r="AG301" i="1"/>
  <c r="AF302" i="1"/>
  <c r="AG303" i="1"/>
  <c r="AF298" i="1"/>
  <c r="AF299" i="1"/>
  <c r="AF25" i="1"/>
  <c r="AF300" i="1"/>
  <c r="AF301" i="1"/>
  <c r="AE302" i="1"/>
  <c r="AF303" i="1"/>
  <c r="AE298" i="1"/>
  <c r="AE299" i="1"/>
  <c r="AE25" i="1"/>
  <c r="AE300" i="1"/>
  <c r="AE301" i="1"/>
  <c r="AD302" i="1"/>
  <c r="AE303" i="1"/>
  <c r="AD298" i="1"/>
  <c r="AD299" i="1"/>
  <c r="AD25" i="1"/>
  <c r="AD300" i="1"/>
  <c r="AD301" i="1"/>
  <c r="AC302" i="1"/>
  <c r="AD303" i="1"/>
  <c r="AC298" i="1"/>
  <c r="AC299" i="1"/>
  <c r="AC25" i="1"/>
  <c r="AC300" i="1"/>
  <c r="AC301" i="1"/>
  <c r="AB302" i="1"/>
  <c r="AC303" i="1"/>
  <c r="AB298" i="1"/>
  <c r="AB299" i="1"/>
  <c r="AB25" i="1"/>
  <c r="AB300" i="1"/>
  <c r="AB301" i="1"/>
  <c r="AA302" i="1"/>
  <c r="AB303" i="1"/>
  <c r="AA298" i="1"/>
  <c r="AA299" i="1"/>
  <c r="AA25" i="1"/>
  <c r="AA300" i="1"/>
  <c r="AA301" i="1"/>
  <c r="Z302" i="1"/>
  <c r="AA303" i="1"/>
  <c r="Z298" i="1"/>
  <c r="Z299" i="1"/>
  <c r="Z25" i="1"/>
  <c r="Z300" i="1"/>
  <c r="Z301" i="1"/>
  <c r="Y302" i="1"/>
  <c r="Z303" i="1"/>
  <c r="Y298" i="1"/>
  <c r="Y299" i="1"/>
  <c r="Y25" i="1"/>
  <c r="Y300" i="1"/>
  <c r="Y301" i="1"/>
  <c r="X302" i="1"/>
  <c r="Y303" i="1"/>
  <c r="X298" i="1"/>
  <c r="X299" i="1"/>
  <c r="X25" i="1"/>
  <c r="X300" i="1"/>
  <c r="X301" i="1"/>
  <c r="W302" i="1"/>
  <c r="X303" i="1"/>
  <c r="W298" i="1"/>
  <c r="W299" i="1"/>
  <c r="W25" i="1"/>
  <c r="W300" i="1"/>
  <c r="W301" i="1"/>
  <c r="V302" i="1"/>
  <c r="W303" i="1"/>
  <c r="V298" i="1"/>
  <c r="V299" i="1"/>
  <c r="V25" i="1"/>
  <c r="V300" i="1"/>
  <c r="V301" i="1"/>
  <c r="U302" i="1"/>
  <c r="V303" i="1"/>
  <c r="U298" i="1"/>
  <c r="U299" i="1"/>
  <c r="U25" i="1"/>
  <c r="U300" i="1"/>
  <c r="U301" i="1"/>
  <c r="T302" i="1"/>
  <c r="U303" i="1"/>
  <c r="T298" i="1"/>
  <c r="T299" i="1"/>
  <c r="T25" i="1"/>
  <c r="T300" i="1"/>
  <c r="T301" i="1"/>
  <c r="S302" i="1"/>
  <c r="T303" i="1"/>
  <c r="S298" i="1"/>
  <c r="S299" i="1"/>
  <c r="S25" i="1"/>
  <c r="S300" i="1"/>
  <c r="S301" i="1"/>
  <c r="R302" i="1"/>
  <c r="S303" i="1"/>
  <c r="R298" i="1"/>
  <c r="R299" i="1"/>
  <c r="R25" i="1"/>
  <c r="R300" i="1"/>
  <c r="R301" i="1"/>
  <c r="Q302" i="1"/>
  <c r="R303" i="1"/>
  <c r="Q298" i="1"/>
  <c r="Q299" i="1"/>
  <c r="Q25" i="1"/>
  <c r="Q300" i="1"/>
  <c r="Q301" i="1"/>
  <c r="P302" i="1"/>
  <c r="Q303" i="1"/>
  <c r="P298" i="1"/>
  <c r="P299" i="1"/>
  <c r="P25" i="1"/>
  <c r="P300" i="1"/>
  <c r="P301" i="1"/>
  <c r="O302" i="1"/>
  <c r="P303" i="1"/>
  <c r="O298" i="1"/>
  <c r="O299" i="1"/>
  <c r="O25" i="1"/>
  <c r="O300" i="1"/>
  <c r="O301" i="1"/>
  <c r="N302" i="1"/>
  <c r="O303" i="1"/>
  <c r="N298" i="1"/>
  <c r="N299" i="1"/>
  <c r="N25" i="1"/>
  <c r="N300" i="1"/>
  <c r="N301" i="1"/>
  <c r="M302" i="1"/>
  <c r="N303" i="1"/>
  <c r="M298" i="1"/>
  <c r="M299" i="1"/>
  <c r="M25" i="1"/>
  <c r="M300" i="1"/>
  <c r="M301" i="1"/>
  <c r="L302" i="1"/>
  <c r="M303" i="1"/>
  <c r="L298" i="1"/>
  <c r="L299" i="1"/>
  <c r="L25" i="1"/>
  <c r="L300" i="1"/>
  <c r="L301" i="1"/>
  <c r="K302" i="1"/>
  <c r="L303" i="1"/>
  <c r="K298" i="1"/>
  <c r="K299" i="1"/>
  <c r="K25" i="1"/>
  <c r="K300" i="1"/>
  <c r="K301" i="1"/>
  <c r="J302" i="1"/>
  <c r="K303" i="1"/>
  <c r="J298" i="1"/>
  <c r="J299" i="1"/>
  <c r="J25" i="1"/>
  <c r="J300" i="1"/>
  <c r="J301" i="1"/>
  <c r="I302" i="1"/>
  <c r="J303" i="1"/>
  <c r="I298" i="1"/>
  <c r="I299" i="1"/>
  <c r="I25" i="1"/>
  <c r="I300" i="1"/>
  <c r="I301" i="1"/>
  <c r="H302" i="1"/>
  <c r="I303" i="1"/>
  <c r="H298" i="1"/>
  <c r="H299" i="1"/>
  <c r="H25" i="1"/>
  <c r="H300" i="1"/>
  <c r="H301" i="1"/>
  <c r="G302" i="1"/>
  <c r="H303" i="1"/>
  <c r="G298" i="1"/>
  <c r="G299" i="1"/>
  <c r="G25" i="1"/>
  <c r="G300" i="1"/>
  <c r="G301" i="1"/>
  <c r="F302" i="1"/>
  <c r="G303" i="1"/>
  <c r="F298" i="1"/>
  <c r="F299" i="1"/>
  <c r="F25" i="1"/>
  <c r="F300" i="1"/>
  <c r="F301" i="1"/>
  <c r="F303" i="1"/>
  <c r="C15" i="4"/>
  <c r="E9" i="1"/>
  <c r="F357" i="1"/>
  <c r="AY350" i="1"/>
  <c r="AY351" i="1"/>
  <c r="AX350" i="1"/>
  <c r="AX351" i="1"/>
  <c r="AW350" i="1"/>
  <c r="AW351" i="1"/>
  <c r="AV350" i="1"/>
  <c r="AV351" i="1"/>
  <c r="AU350" i="1"/>
  <c r="AU351" i="1"/>
  <c r="AT350" i="1"/>
  <c r="AT351" i="1"/>
  <c r="AS350" i="1"/>
  <c r="AS351" i="1"/>
  <c r="AR350" i="1"/>
  <c r="AR351" i="1"/>
  <c r="AQ350" i="1"/>
  <c r="AQ351" i="1"/>
  <c r="AP350" i="1"/>
  <c r="AP351" i="1"/>
  <c r="AO350" i="1"/>
  <c r="AO351" i="1"/>
  <c r="AN350" i="1"/>
  <c r="AN351" i="1"/>
  <c r="AM350" i="1"/>
  <c r="AM351" i="1"/>
  <c r="AL350" i="1"/>
  <c r="AL351" i="1"/>
  <c r="AK350" i="1"/>
  <c r="AK351" i="1"/>
  <c r="AJ350" i="1"/>
  <c r="AJ351" i="1"/>
  <c r="AI350" i="1"/>
  <c r="AI351" i="1"/>
  <c r="AH350" i="1"/>
  <c r="AH351" i="1"/>
  <c r="AG350" i="1"/>
  <c r="AG351" i="1"/>
  <c r="AF350" i="1"/>
  <c r="AF351" i="1"/>
  <c r="AE350" i="1"/>
  <c r="AE351" i="1"/>
  <c r="AD350" i="1"/>
  <c r="AD351" i="1"/>
  <c r="AC350" i="1"/>
  <c r="AC351" i="1"/>
  <c r="AB350" i="1"/>
  <c r="AB351" i="1"/>
  <c r="AA350" i="1"/>
  <c r="AA351" i="1"/>
  <c r="Z350" i="1"/>
  <c r="Z351" i="1"/>
  <c r="Y350" i="1"/>
  <c r="Y351" i="1"/>
  <c r="X350" i="1"/>
  <c r="X351" i="1"/>
  <c r="W350" i="1"/>
  <c r="W351" i="1"/>
  <c r="V350" i="1"/>
  <c r="V351" i="1"/>
  <c r="U350" i="1"/>
  <c r="U351" i="1"/>
  <c r="T350" i="1"/>
  <c r="T351" i="1"/>
  <c r="S350" i="1"/>
  <c r="S351" i="1"/>
  <c r="R350" i="1"/>
  <c r="R351" i="1"/>
  <c r="Q350" i="1"/>
  <c r="Q351" i="1"/>
  <c r="P350" i="1"/>
  <c r="P351" i="1"/>
  <c r="O350" i="1"/>
  <c r="O351" i="1"/>
  <c r="N350" i="1"/>
  <c r="N351" i="1"/>
  <c r="M350" i="1"/>
  <c r="M351" i="1"/>
  <c r="L350" i="1"/>
  <c r="L351" i="1"/>
  <c r="K350" i="1"/>
  <c r="K351" i="1"/>
  <c r="J350" i="1"/>
  <c r="J351" i="1"/>
  <c r="I350" i="1"/>
  <c r="I351" i="1"/>
  <c r="H350" i="1"/>
  <c r="H351" i="1"/>
  <c r="G350" i="1"/>
  <c r="G351" i="1"/>
  <c r="F350" i="1"/>
  <c r="F351" i="1"/>
  <c r="AY348" i="1"/>
  <c r="AY349" i="1"/>
  <c r="AX348" i="1"/>
  <c r="AX349" i="1"/>
  <c r="AW348" i="1"/>
  <c r="AW349" i="1"/>
  <c r="AV348" i="1"/>
  <c r="AV349" i="1"/>
  <c r="AU348" i="1"/>
  <c r="AU349" i="1"/>
  <c r="AT348" i="1"/>
  <c r="AT349" i="1"/>
  <c r="AS348" i="1"/>
  <c r="AS349" i="1"/>
  <c r="AR348" i="1"/>
  <c r="AR349" i="1"/>
  <c r="AQ348" i="1"/>
  <c r="AQ349" i="1"/>
  <c r="AP348" i="1"/>
  <c r="AP349" i="1"/>
  <c r="AO348" i="1"/>
  <c r="AO349" i="1"/>
  <c r="AN348" i="1"/>
  <c r="AN349" i="1"/>
  <c r="AM348" i="1"/>
  <c r="AM349" i="1"/>
  <c r="AL348" i="1"/>
  <c r="AL349" i="1"/>
  <c r="AK348" i="1"/>
  <c r="AK349" i="1"/>
  <c r="AJ348" i="1"/>
  <c r="AJ349" i="1"/>
  <c r="AI348" i="1"/>
  <c r="AI349" i="1"/>
  <c r="AH348" i="1"/>
  <c r="AH349" i="1"/>
  <c r="AG348" i="1"/>
  <c r="AG349" i="1"/>
  <c r="AF348" i="1"/>
  <c r="AF349" i="1"/>
  <c r="AE348" i="1"/>
  <c r="AE349" i="1"/>
  <c r="AD348" i="1"/>
  <c r="AD349" i="1"/>
  <c r="AC348" i="1"/>
  <c r="AC349" i="1"/>
  <c r="AB348" i="1"/>
  <c r="AB349" i="1"/>
  <c r="AA348" i="1"/>
  <c r="AA349" i="1"/>
  <c r="Z348" i="1"/>
  <c r="Z349" i="1"/>
  <c r="Y348" i="1"/>
  <c r="Y349" i="1"/>
  <c r="X348" i="1"/>
  <c r="X349" i="1"/>
  <c r="W348" i="1"/>
  <c r="W349" i="1"/>
  <c r="V348" i="1"/>
  <c r="V349" i="1"/>
  <c r="U348" i="1"/>
  <c r="U349" i="1"/>
  <c r="T348" i="1"/>
  <c r="T349" i="1"/>
  <c r="S348" i="1"/>
  <c r="S349" i="1"/>
  <c r="R348" i="1"/>
  <c r="R349" i="1"/>
  <c r="Q348" i="1"/>
  <c r="Q349" i="1"/>
  <c r="P348" i="1"/>
  <c r="P349" i="1"/>
  <c r="O348" i="1"/>
  <c r="O349" i="1"/>
  <c r="N348" i="1"/>
  <c r="N349" i="1"/>
  <c r="M348" i="1"/>
  <c r="M349" i="1"/>
  <c r="L348" i="1"/>
  <c r="L349" i="1"/>
  <c r="K348" i="1"/>
  <c r="K349" i="1"/>
  <c r="J348" i="1"/>
  <c r="J349" i="1"/>
  <c r="I348" i="1"/>
  <c r="I349" i="1"/>
  <c r="H348" i="1"/>
  <c r="H349" i="1"/>
  <c r="G348" i="1"/>
  <c r="G349" i="1"/>
  <c r="F348" i="1"/>
  <c r="F349" i="1"/>
  <c r="AY346" i="1"/>
  <c r="AY347" i="1"/>
  <c r="AX346" i="1"/>
  <c r="AX347" i="1"/>
  <c r="AW346" i="1"/>
  <c r="AW347" i="1"/>
  <c r="AV346" i="1"/>
  <c r="AV347" i="1"/>
  <c r="AU346" i="1"/>
  <c r="AU347" i="1"/>
  <c r="AT346" i="1"/>
  <c r="AT347" i="1"/>
  <c r="AS346" i="1"/>
  <c r="AS347" i="1"/>
  <c r="AR346" i="1"/>
  <c r="AR347" i="1"/>
  <c r="AQ346" i="1"/>
  <c r="AQ347" i="1"/>
  <c r="AP346" i="1"/>
  <c r="AP347" i="1"/>
  <c r="AO346" i="1"/>
  <c r="AO347" i="1"/>
  <c r="AN346" i="1"/>
  <c r="AN347" i="1"/>
  <c r="AM346" i="1"/>
  <c r="AM347" i="1"/>
  <c r="AL346" i="1"/>
  <c r="AL347" i="1"/>
  <c r="AK346" i="1"/>
  <c r="AK347" i="1"/>
  <c r="AJ346" i="1"/>
  <c r="AJ347" i="1"/>
  <c r="AI346" i="1"/>
  <c r="AI347" i="1"/>
  <c r="AH346" i="1"/>
  <c r="AH347" i="1"/>
  <c r="AG346" i="1"/>
  <c r="AG347" i="1"/>
  <c r="AF346" i="1"/>
  <c r="AF347" i="1"/>
  <c r="AE346" i="1"/>
  <c r="AE347" i="1"/>
  <c r="AD346" i="1"/>
  <c r="AD347" i="1"/>
  <c r="AC346" i="1"/>
  <c r="AC347" i="1"/>
  <c r="AB346" i="1"/>
  <c r="AB347" i="1"/>
  <c r="AA346" i="1"/>
  <c r="AA347" i="1"/>
  <c r="Z346" i="1"/>
  <c r="Z347" i="1"/>
  <c r="Y346" i="1"/>
  <c r="Y347" i="1"/>
  <c r="X346" i="1"/>
  <c r="X347" i="1"/>
  <c r="W346" i="1"/>
  <c r="W347" i="1"/>
  <c r="V346" i="1"/>
  <c r="V347" i="1"/>
  <c r="U346" i="1"/>
  <c r="U347" i="1"/>
  <c r="T346" i="1"/>
  <c r="T347" i="1"/>
  <c r="S346" i="1"/>
  <c r="S347" i="1"/>
  <c r="R346" i="1"/>
  <c r="R347" i="1"/>
  <c r="Q346" i="1"/>
  <c r="Q347" i="1"/>
  <c r="P346" i="1"/>
  <c r="P347" i="1"/>
  <c r="O346" i="1"/>
  <c r="O347" i="1"/>
  <c r="N346" i="1"/>
  <c r="N347" i="1"/>
  <c r="M346" i="1"/>
  <c r="M347" i="1"/>
  <c r="L346" i="1"/>
  <c r="L347" i="1"/>
  <c r="K346" i="1"/>
  <c r="K347" i="1"/>
  <c r="J346" i="1"/>
  <c r="J347" i="1"/>
  <c r="I346" i="1"/>
  <c r="I347" i="1"/>
  <c r="H346" i="1"/>
  <c r="H347" i="1"/>
  <c r="G346" i="1"/>
  <c r="G347" i="1"/>
  <c r="F346" i="1"/>
  <c r="F347" i="1"/>
  <c r="AY344" i="1"/>
  <c r="AY345" i="1"/>
  <c r="AX344" i="1"/>
  <c r="AX345" i="1"/>
  <c r="AW344" i="1"/>
  <c r="AW345" i="1"/>
  <c r="AV344" i="1"/>
  <c r="AV345" i="1"/>
  <c r="AU344" i="1"/>
  <c r="AU345" i="1"/>
  <c r="AT344" i="1"/>
  <c r="AT345" i="1"/>
  <c r="AS344" i="1"/>
  <c r="AS345" i="1"/>
  <c r="AR344" i="1"/>
  <c r="AR345" i="1"/>
  <c r="AQ344" i="1"/>
  <c r="AQ345" i="1"/>
  <c r="AP344" i="1"/>
  <c r="AP345" i="1"/>
  <c r="AO344" i="1"/>
  <c r="AO345" i="1"/>
  <c r="AN344" i="1"/>
  <c r="AN345" i="1"/>
  <c r="AM344" i="1"/>
  <c r="AM345" i="1"/>
  <c r="AL344" i="1"/>
  <c r="AL345" i="1"/>
  <c r="AK344" i="1"/>
  <c r="AK345" i="1"/>
  <c r="AJ344" i="1"/>
  <c r="AJ345" i="1"/>
  <c r="AI344" i="1"/>
  <c r="AI345" i="1"/>
  <c r="AH344" i="1"/>
  <c r="AH345" i="1"/>
  <c r="AG344" i="1"/>
  <c r="AG345" i="1"/>
  <c r="AF344" i="1"/>
  <c r="AF345" i="1"/>
  <c r="AE344" i="1"/>
  <c r="AE345" i="1"/>
  <c r="AD344" i="1"/>
  <c r="AD345" i="1"/>
  <c r="AC344" i="1"/>
  <c r="AC345" i="1"/>
  <c r="AB344" i="1"/>
  <c r="AB345" i="1"/>
  <c r="AA344" i="1"/>
  <c r="AA345" i="1"/>
  <c r="Z344" i="1"/>
  <c r="Z345" i="1"/>
  <c r="Y344" i="1"/>
  <c r="Y345" i="1"/>
  <c r="X344" i="1"/>
  <c r="X345" i="1"/>
  <c r="W344" i="1"/>
  <c r="W345" i="1"/>
  <c r="V344" i="1"/>
  <c r="V345" i="1"/>
  <c r="U344" i="1"/>
  <c r="U345" i="1"/>
  <c r="T344" i="1"/>
  <c r="T345" i="1"/>
  <c r="S344" i="1"/>
  <c r="S345" i="1"/>
  <c r="R344" i="1"/>
  <c r="R345" i="1"/>
  <c r="Q344" i="1"/>
  <c r="Q345" i="1"/>
  <c r="P344" i="1"/>
  <c r="P345" i="1"/>
  <c r="O344" i="1"/>
  <c r="O345" i="1"/>
  <c r="N344" i="1"/>
  <c r="N345" i="1"/>
  <c r="M344" i="1"/>
  <c r="M345" i="1"/>
  <c r="L344" i="1"/>
  <c r="L345" i="1"/>
  <c r="K344" i="1"/>
  <c r="K345" i="1"/>
  <c r="J344" i="1"/>
  <c r="J345" i="1"/>
  <c r="I344" i="1"/>
  <c r="I345" i="1"/>
  <c r="H344" i="1"/>
  <c r="H345" i="1"/>
  <c r="G344" i="1"/>
  <c r="G345" i="1"/>
  <c r="F344" i="1"/>
  <c r="F345" i="1"/>
  <c r="AY342" i="1"/>
  <c r="AY343" i="1"/>
  <c r="AX342" i="1"/>
  <c r="AX343" i="1"/>
  <c r="AW342" i="1"/>
  <c r="AW343" i="1"/>
  <c r="AV342" i="1"/>
  <c r="AV343" i="1"/>
  <c r="AU342" i="1"/>
  <c r="AU343" i="1"/>
  <c r="AT342" i="1"/>
  <c r="AT343" i="1"/>
  <c r="AS342" i="1"/>
  <c r="AS343" i="1"/>
  <c r="AR342" i="1"/>
  <c r="AR343" i="1"/>
  <c r="AQ342" i="1"/>
  <c r="AQ343" i="1"/>
  <c r="AP342" i="1"/>
  <c r="AP343" i="1"/>
  <c r="AO342" i="1"/>
  <c r="AO343" i="1"/>
  <c r="AN342" i="1"/>
  <c r="AN343" i="1"/>
  <c r="AM342" i="1"/>
  <c r="AM343" i="1"/>
  <c r="AL342" i="1"/>
  <c r="AL343" i="1"/>
  <c r="AK342" i="1"/>
  <c r="AK343" i="1"/>
  <c r="AJ342" i="1"/>
  <c r="AJ343" i="1"/>
  <c r="AI342" i="1"/>
  <c r="AI343" i="1"/>
  <c r="AH342" i="1"/>
  <c r="AH343" i="1"/>
  <c r="AG342" i="1"/>
  <c r="AG343" i="1"/>
  <c r="AF342" i="1"/>
  <c r="AF343" i="1"/>
  <c r="AE342" i="1"/>
  <c r="AE343" i="1"/>
  <c r="AD342" i="1"/>
  <c r="AD343" i="1"/>
  <c r="AC342" i="1"/>
  <c r="AC343" i="1"/>
  <c r="AB342" i="1"/>
  <c r="AB343" i="1"/>
  <c r="AA342" i="1"/>
  <c r="AA343" i="1"/>
  <c r="Z342" i="1"/>
  <c r="Z343" i="1"/>
  <c r="Y342" i="1"/>
  <c r="Y343" i="1"/>
  <c r="X342" i="1"/>
  <c r="X343" i="1"/>
  <c r="W342" i="1"/>
  <c r="W343" i="1"/>
  <c r="V342" i="1"/>
  <c r="V343" i="1"/>
  <c r="U342" i="1"/>
  <c r="U343" i="1"/>
  <c r="T342" i="1"/>
  <c r="T343" i="1"/>
  <c r="S342" i="1"/>
  <c r="S343" i="1"/>
  <c r="R342" i="1"/>
  <c r="R343" i="1"/>
  <c r="Q342" i="1"/>
  <c r="Q343" i="1"/>
  <c r="P342" i="1"/>
  <c r="P343" i="1"/>
  <c r="O342" i="1"/>
  <c r="O343" i="1"/>
  <c r="N342" i="1"/>
  <c r="N343" i="1"/>
  <c r="M342" i="1"/>
  <c r="M343" i="1"/>
  <c r="L342" i="1"/>
  <c r="L343" i="1"/>
  <c r="K342" i="1"/>
  <c r="K343" i="1"/>
  <c r="J342" i="1"/>
  <c r="J343" i="1"/>
  <c r="I342" i="1"/>
  <c r="I343" i="1"/>
  <c r="H342" i="1"/>
  <c r="H343" i="1"/>
  <c r="G342" i="1"/>
  <c r="G343" i="1"/>
  <c r="F342" i="1"/>
  <c r="F343" i="1"/>
  <c r="AY340" i="1"/>
  <c r="AY341" i="1"/>
  <c r="AX340" i="1"/>
  <c r="AX341" i="1"/>
  <c r="AW340" i="1"/>
  <c r="AW341" i="1"/>
  <c r="AV340" i="1"/>
  <c r="AV341" i="1"/>
  <c r="AU340" i="1"/>
  <c r="AU341" i="1"/>
  <c r="AT340" i="1"/>
  <c r="AT341" i="1"/>
  <c r="AS340" i="1"/>
  <c r="AS341" i="1"/>
  <c r="AR340" i="1"/>
  <c r="AR341" i="1"/>
  <c r="AQ340" i="1"/>
  <c r="AQ341" i="1"/>
  <c r="AP340" i="1"/>
  <c r="AP341" i="1"/>
  <c r="AO340" i="1"/>
  <c r="AO341" i="1"/>
  <c r="AN340" i="1"/>
  <c r="AN341" i="1"/>
  <c r="AM340" i="1"/>
  <c r="AM341" i="1"/>
  <c r="AL340" i="1"/>
  <c r="AL341" i="1"/>
  <c r="AK340" i="1"/>
  <c r="AK341" i="1"/>
  <c r="AJ340" i="1"/>
  <c r="AJ341" i="1"/>
  <c r="AI340" i="1"/>
  <c r="AI341" i="1"/>
  <c r="AH340" i="1"/>
  <c r="AH341" i="1"/>
  <c r="AG340" i="1"/>
  <c r="AG341" i="1"/>
  <c r="AF340" i="1"/>
  <c r="AF341" i="1"/>
  <c r="AE340" i="1"/>
  <c r="AE341" i="1"/>
  <c r="AD340" i="1"/>
  <c r="AD341" i="1"/>
  <c r="AC340" i="1"/>
  <c r="AC341" i="1"/>
  <c r="AB340" i="1"/>
  <c r="AB341" i="1"/>
  <c r="AA340" i="1"/>
  <c r="AA341" i="1"/>
  <c r="Z340" i="1"/>
  <c r="Z341" i="1"/>
  <c r="Y340" i="1"/>
  <c r="Y341" i="1"/>
  <c r="X340" i="1"/>
  <c r="X341" i="1"/>
  <c r="W340" i="1"/>
  <c r="W341" i="1"/>
  <c r="V340" i="1"/>
  <c r="V341" i="1"/>
  <c r="U340" i="1"/>
  <c r="U341" i="1"/>
  <c r="T340" i="1"/>
  <c r="T341" i="1"/>
  <c r="S340" i="1"/>
  <c r="S341" i="1"/>
  <c r="R340" i="1"/>
  <c r="R341" i="1"/>
  <c r="Q340" i="1"/>
  <c r="Q341" i="1"/>
  <c r="P340" i="1"/>
  <c r="P341" i="1"/>
  <c r="O340" i="1"/>
  <c r="O341" i="1"/>
  <c r="N340" i="1"/>
  <c r="N341" i="1"/>
  <c r="M340" i="1"/>
  <c r="M341" i="1"/>
  <c r="L340" i="1"/>
  <c r="L341" i="1"/>
  <c r="K340" i="1"/>
  <c r="K341" i="1"/>
  <c r="J340" i="1"/>
  <c r="J341" i="1"/>
  <c r="I340" i="1"/>
  <c r="I341" i="1"/>
  <c r="H340" i="1"/>
  <c r="H341" i="1"/>
  <c r="G340" i="1"/>
  <c r="G341" i="1"/>
  <c r="F340" i="1"/>
  <c r="F341" i="1"/>
  <c r="G322" i="1"/>
  <c r="G323" i="1"/>
  <c r="G324" i="1"/>
  <c r="H322" i="1"/>
  <c r="H323" i="1"/>
  <c r="H324" i="1"/>
  <c r="I322" i="1"/>
  <c r="I323" i="1"/>
  <c r="I324" i="1"/>
  <c r="J322" i="1"/>
  <c r="J323" i="1"/>
  <c r="J324" i="1"/>
  <c r="K322" i="1"/>
  <c r="K323" i="1"/>
  <c r="K324" i="1"/>
  <c r="L322" i="1"/>
  <c r="L323" i="1"/>
  <c r="L324" i="1"/>
  <c r="M322" i="1"/>
  <c r="M323" i="1"/>
  <c r="M324" i="1"/>
  <c r="N322" i="1"/>
  <c r="N323" i="1"/>
  <c r="N324" i="1"/>
  <c r="O322" i="1"/>
  <c r="O323" i="1"/>
  <c r="O324" i="1"/>
  <c r="P322" i="1"/>
  <c r="P323" i="1"/>
  <c r="P324" i="1"/>
  <c r="Q322" i="1"/>
  <c r="Q323" i="1"/>
  <c r="Q324" i="1"/>
  <c r="R322" i="1"/>
  <c r="R323" i="1"/>
  <c r="R324" i="1"/>
  <c r="S322" i="1"/>
  <c r="S323" i="1"/>
  <c r="S324" i="1"/>
  <c r="T322" i="1"/>
  <c r="T323" i="1"/>
  <c r="T324" i="1"/>
  <c r="U322" i="1"/>
  <c r="U323" i="1"/>
  <c r="U324" i="1"/>
  <c r="V322" i="1"/>
  <c r="V323" i="1"/>
  <c r="V324" i="1"/>
  <c r="W322" i="1"/>
  <c r="W323" i="1"/>
  <c r="W324" i="1"/>
  <c r="X322" i="1"/>
  <c r="X323" i="1"/>
  <c r="X324" i="1"/>
  <c r="Y322" i="1"/>
  <c r="Y323" i="1"/>
  <c r="Y324" i="1"/>
  <c r="Z322" i="1"/>
  <c r="Z323" i="1"/>
  <c r="Z324" i="1"/>
  <c r="AA322" i="1"/>
  <c r="AA323" i="1"/>
  <c r="AA324" i="1"/>
  <c r="AB322" i="1"/>
  <c r="AB323" i="1"/>
  <c r="AB324" i="1"/>
  <c r="AC322" i="1"/>
  <c r="AC323" i="1"/>
  <c r="AC324" i="1"/>
  <c r="AD322" i="1"/>
  <c r="AD323" i="1"/>
  <c r="AD324" i="1"/>
  <c r="AE322" i="1"/>
  <c r="AE323" i="1"/>
  <c r="AE324" i="1"/>
  <c r="AF322" i="1"/>
  <c r="AF323" i="1"/>
  <c r="AF324" i="1"/>
  <c r="AG322" i="1"/>
  <c r="AG323" i="1"/>
  <c r="AG324" i="1"/>
  <c r="AH322" i="1"/>
  <c r="AH323" i="1"/>
  <c r="AH324" i="1"/>
  <c r="AI322" i="1"/>
  <c r="AI323" i="1"/>
  <c r="AI324" i="1"/>
  <c r="AJ322" i="1"/>
  <c r="AJ323" i="1"/>
  <c r="AJ324" i="1"/>
  <c r="AK322" i="1"/>
  <c r="AK323" i="1"/>
  <c r="AK324" i="1"/>
  <c r="AL322" i="1"/>
  <c r="AL323" i="1"/>
  <c r="AL324" i="1"/>
  <c r="AM322" i="1"/>
  <c r="AM323" i="1"/>
  <c r="AM324" i="1"/>
  <c r="AN322" i="1"/>
  <c r="AN323" i="1"/>
  <c r="AN324" i="1"/>
  <c r="AO322" i="1"/>
  <c r="AO323" i="1"/>
  <c r="AO324" i="1"/>
  <c r="AP322" i="1"/>
  <c r="AP323" i="1"/>
  <c r="AP324" i="1"/>
  <c r="AQ322" i="1"/>
  <c r="AQ323" i="1"/>
  <c r="AQ324" i="1"/>
  <c r="AR322" i="1"/>
  <c r="AR323" i="1"/>
  <c r="AR324" i="1"/>
  <c r="AS322" i="1"/>
  <c r="AS323" i="1"/>
  <c r="AS324" i="1"/>
  <c r="AT322" i="1"/>
  <c r="AT323" i="1"/>
  <c r="AT324" i="1"/>
  <c r="AU322" i="1"/>
  <c r="AU323" i="1"/>
  <c r="AU324" i="1"/>
  <c r="AV322" i="1"/>
  <c r="AV323" i="1"/>
  <c r="AV324" i="1"/>
  <c r="AW322" i="1"/>
  <c r="AW323" i="1"/>
  <c r="AW324" i="1"/>
  <c r="AX322" i="1"/>
  <c r="AX323" i="1"/>
  <c r="AX324" i="1"/>
  <c r="AY322" i="1"/>
  <c r="AY323" i="1"/>
  <c r="AY324" i="1"/>
  <c r="G325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W325" i="1"/>
  <c r="AX325" i="1"/>
  <c r="AY325" i="1"/>
  <c r="G326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W326" i="1"/>
  <c r="AX326" i="1"/>
  <c r="AY326" i="1"/>
  <c r="G327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W327" i="1"/>
  <c r="AX327" i="1"/>
  <c r="AY327" i="1"/>
  <c r="F322" i="1"/>
  <c r="F323" i="1"/>
  <c r="F324" i="1"/>
  <c r="F325" i="1"/>
  <c r="F326" i="1"/>
  <c r="F327" i="1"/>
  <c r="G320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W320" i="1"/>
  <c r="AX320" i="1"/>
  <c r="AY320" i="1"/>
  <c r="F320" i="1"/>
  <c r="F306" i="1"/>
  <c r="L310" i="1"/>
  <c r="F308" i="1"/>
  <c r="G308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W308" i="1"/>
  <c r="AX308" i="1"/>
  <c r="AY308" i="1"/>
  <c r="F309" i="1"/>
  <c r="G309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W309" i="1"/>
  <c r="AX309" i="1"/>
  <c r="AY309" i="1"/>
  <c r="F310" i="1"/>
  <c r="G310" i="1"/>
  <c r="H310" i="1"/>
  <c r="I310" i="1"/>
  <c r="J310" i="1"/>
  <c r="K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W310" i="1"/>
  <c r="AX310" i="1"/>
  <c r="AY310" i="1"/>
  <c r="F311" i="1"/>
  <c r="G311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W311" i="1"/>
  <c r="AX311" i="1"/>
  <c r="AY311" i="1"/>
  <c r="F312" i="1"/>
  <c r="G312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W312" i="1"/>
  <c r="AX312" i="1"/>
  <c r="AY312" i="1"/>
  <c r="F313" i="1"/>
  <c r="G313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W313" i="1"/>
  <c r="AX313" i="1"/>
  <c r="AY313" i="1"/>
  <c r="F314" i="1"/>
  <c r="G314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W314" i="1"/>
  <c r="AX314" i="1"/>
  <c r="AY314" i="1"/>
  <c r="F315" i="1"/>
  <c r="G315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W315" i="1"/>
  <c r="AX315" i="1"/>
  <c r="AY315" i="1"/>
  <c r="F316" i="1"/>
  <c r="G316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W316" i="1"/>
  <c r="AX316" i="1"/>
  <c r="AY316" i="1"/>
  <c r="G307" i="1"/>
  <c r="H307" i="1"/>
  <c r="I307" i="1"/>
  <c r="J307" i="1"/>
  <c r="K307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W307" i="1"/>
  <c r="AX307" i="1"/>
  <c r="AY307" i="1"/>
  <c r="F307" i="1"/>
  <c r="H278" i="1"/>
  <c r="H279" i="1"/>
  <c r="H28" i="1"/>
  <c r="H30" i="1"/>
  <c r="H31" i="1"/>
  <c r="H34" i="1"/>
  <c r="H45" i="1"/>
  <c r="H83" i="1"/>
  <c r="H59" i="1"/>
  <c r="H57" i="1"/>
  <c r="H55" i="1"/>
  <c r="H53" i="1"/>
  <c r="H51" i="1"/>
  <c r="H48" i="1"/>
  <c r="H84" i="1"/>
  <c r="H87" i="1"/>
  <c r="H92" i="1"/>
  <c r="H95" i="1"/>
  <c r="H98" i="1"/>
  <c r="H101" i="1"/>
  <c r="H102" i="1"/>
  <c r="H114" i="1"/>
  <c r="H115" i="1"/>
  <c r="H116" i="1"/>
  <c r="H117" i="1"/>
  <c r="H108" i="1"/>
  <c r="H109" i="1"/>
  <c r="H110" i="1"/>
  <c r="H111" i="1"/>
  <c r="H112" i="1"/>
  <c r="H113" i="1"/>
  <c r="H118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33" i="1"/>
  <c r="H134" i="1"/>
  <c r="H135" i="1"/>
  <c r="H136" i="1"/>
  <c r="H137" i="1"/>
  <c r="H138" i="1"/>
  <c r="H139" i="1"/>
  <c r="H140" i="1"/>
  <c r="H141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90" i="1"/>
  <c r="H191" i="1"/>
  <c r="H192" i="1"/>
  <c r="H193" i="1"/>
  <c r="H194" i="1"/>
  <c r="H195" i="1"/>
  <c r="H196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5" i="1"/>
  <c r="H228" i="1"/>
  <c r="H227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81" i="1"/>
  <c r="J278" i="1"/>
  <c r="J279" i="1"/>
  <c r="J28" i="1"/>
  <c r="J30" i="1"/>
  <c r="J31" i="1"/>
  <c r="J34" i="1"/>
  <c r="J45" i="1"/>
  <c r="J83" i="1"/>
  <c r="J59" i="1"/>
  <c r="J57" i="1"/>
  <c r="J55" i="1"/>
  <c r="J53" i="1"/>
  <c r="J51" i="1"/>
  <c r="J48" i="1"/>
  <c r="J84" i="1"/>
  <c r="J87" i="1"/>
  <c r="J92" i="1"/>
  <c r="J95" i="1"/>
  <c r="J98" i="1"/>
  <c r="J101" i="1"/>
  <c r="J102" i="1"/>
  <c r="J114" i="1"/>
  <c r="J115" i="1"/>
  <c r="J116" i="1"/>
  <c r="J117" i="1"/>
  <c r="J108" i="1"/>
  <c r="J109" i="1"/>
  <c r="J110" i="1"/>
  <c r="J111" i="1"/>
  <c r="J112" i="1"/>
  <c r="J113" i="1"/>
  <c r="J118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33" i="1"/>
  <c r="J134" i="1"/>
  <c r="J135" i="1"/>
  <c r="J136" i="1"/>
  <c r="J137" i="1"/>
  <c r="J138" i="1"/>
  <c r="J139" i="1"/>
  <c r="J140" i="1"/>
  <c r="J141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90" i="1"/>
  <c r="J191" i="1"/>
  <c r="J192" i="1"/>
  <c r="J193" i="1"/>
  <c r="J194" i="1"/>
  <c r="J195" i="1"/>
  <c r="J196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5" i="1"/>
  <c r="J228" i="1"/>
  <c r="J227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81" i="1"/>
  <c r="K228" i="1"/>
  <c r="K227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366" i="1"/>
  <c r="I150" i="1"/>
  <c r="AY357" i="1"/>
  <c r="AX357" i="1"/>
  <c r="AW357" i="1"/>
  <c r="AV357" i="1"/>
  <c r="AU357" i="1"/>
  <c r="AT357" i="1"/>
  <c r="AS357" i="1"/>
  <c r="AR357" i="1"/>
  <c r="AQ357" i="1"/>
  <c r="AP357" i="1"/>
  <c r="AO357" i="1"/>
  <c r="AN357" i="1"/>
  <c r="AM357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P357" i="1"/>
  <c r="O357" i="1"/>
  <c r="N357" i="1"/>
  <c r="M357" i="1"/>
  <c r="L357" i="1"/>
  <c r="K357" i="1"/>
  <c r="J357" i="1"/>
  <c r="I357" i="1"/>
  <c r="H357" i="1"/>
  <c r="G357" i="1"/>
  <c r="AY355" i="1"/>
  <c r="AX355" i="1"/>
  <c r="AW355" i="1"/>
  <c r="AV355" i="1"/>
  <c r="AU355" i="1"/>
  <c r="AT355" i="1"/>
  <c r="AS355" i="1"/>
  <c r="AR355" i="1"/>
  <c r="AQ355" i="1"/>
  <c r="AP355" i="1"/>
  <c r="AO355" i="1"/>
  <c r="AN355" i="1"/>
  <c r="AM355" i="1"/>
  <c r="AL355" i="1"/>
  <c r="AK355" i="1"/>
  <c r="AJ355" i="1"/>
  <c r="AI355" i="1"/>
  <c r="AH355" i="1"/>
  <c r="AG355" i="1"/>
  <c r="AF355" i="1"/>
  <c r="AE355" i="1"/>
  <c r="AD355" i="1"/>
  <c r="AC355" i="1"/>
  <c r="AB355" i="1"/>
  <c r="AA355" i="1"/>
  <c r="Z355" i="1"/>
  <c r="Y355" i="1"/>
  <c r="X355" i="1"/>
  <c r="W355" i="1"/>
  <c r="V355" i="1"/>
  <c r="U355" i="1"/>
  <c r="T355" i="1"/>
  <c r="S355" i="1"/>
  <c r="R355" i="1"/>
  <c r="Q355" i="1"/>
  <c r="P355" i="1"/>
  <c r="O355" i="1"/>
  <c r="N355" i="1"/>
  <c r="M355" i="1"/>
  <c r="L355" i="1"/>
  <c r="K355" i="1"/>
  <c r="J355" i="1"/>
  <c r="I355" i="1"/>
  <c r="H355" i="1"/>
  <c r="G355" i="1"/>
  <c r="F355" i="1"/>
  <c r="AY353" i="1"/>
  <c r="AX353" i="1"/>
  <c r="AW353" i="1"/>
  <c r="AV353" i="1"/>
  <c r="AU353" i="1"/>
  <c r="AT353" i="1"/>
  <c r="AS353" i="1"/>
  <c r="AR353" i="1"/>
  <c r="AQ353" i="1"/>
  <c r="AP353" i="1"/>
  <c r="AO353" i="1"/>
  <c r="AN353" i="1"/>
  <c r="AM353" i="1"/>
  <c r="AL353" i="1"/>
  <c r="AK353" i="1"/>
  <c r="AJ353" i="1"/>
  <c r="AI353" i="1"/>
  <c r="AH353" i="1"/>
  <c r="AG353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Q353" i="1"/>
  <c r="P353" i="1"/>
  <c r="O353" i="1"/>
  <c r="N353" i="1"/>
  <c r="M353" i="1"/>
  <c r="L353" i="1"/>
  <c r="K353" i="1"/>
  <c r="J353" i="1"/>
  <c r="I353" i="1"/>
  <c r="H353" i="1"/>
  <c r="G353" i="1"/>
  <c r="F353" i="1"/>
  <c r="AY338" i="1"/>
  <c r="AX338" i="1"/>
  <c r="AW338" i="1"/>
  <c r="AV338" i="1"/>
  <c r="AU338" i="1"/>
  <c r="AT338" i="1"/>
  <c r="AS338" i="1"/>
  <c r="AR338" i="1"/>
  <c r="AQ338" i="1"/>
  <c r="AP338" i="1"/>
  <c r="AO338" i="1"/>
  <c r="AN338" i="1"/>
  <c r="AM338" i="1"/>
  <c r="AL338" i="1"/>
  <c r="AK338" i="1"/>
  <c r="AJ338" i="1"/>
  <c r="AI338" i="1"/>
  <c r="AH338" i="1"/>
  <c r="AG338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P338" i="1"/>
  <c r="O338" i="1"/>
  <c r="N338" i="1"/>
  <c r="M338" i="1"/>
  <c r="L338" i="1"/>
  <c r="K338" i="1"/>
  <c r="J338" i="1"/>
  <c r="I338" i="1"/>
  <c r="H338" i="1"/>
  <c r="G338" i="1"/>
  <c r="F338" i="1"/>
  <c r="AY336" i="1"/>
  <c r="AX336" i="1"/>
  <c r="AW336" i="1"/>
  <c r="AV336" i="1"/>
  <c r="AU336" i="1"/>
  <c r="AT336" i="1"/>
  <c r="AS336" i="1"/>
  <c r="AR336" i="1"/>
  <c r="AQ336" i="1"/>
  <c r="AP336" i="1"/>
  <c r="AO336" i="1"/>
  <c r="AN336" i="1"/>
  <c r="AM336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P336" i="1"/>
  <c r="O336" i="1"/>
  <c r="N336" i="1"/>
  <c r="M336" i="1"/>
  <c r="L336" i="1"/>
  <c r="K336" i="1"/>
  <c r="J336" i="1"/>
  <c r="I336" i="1"/>
  <c r="H336" i="1"/>
  <c r="G336" i="1"/>
  <c r="F336" i="1"/>
  <c r="AY334" i="1"/>
  <c r="AX334" i="1"/>
  <c r="AW334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H334" i="1"/>
  <c r="AG334" i="1"/>
  <c r="AF334" i="1"/>
  <c r="AE334" i="1"/>
  <c r="AD334" i="1"/>
  <c r="AC334" i="1"/>
  <c r="AB334" i="1"/>
  <c r="AA334" i="1"/>
  <c r="Z334" i="1"/>
  <c r="Y334" i="1"/>
  <c r="X334" i="1"/>
  <c r="W334" i="1"/>
  <c r="V334" i="1"/>
  <c r="U334" i="1"/>
  <c r="T334" i="1"/>
  <c r="S334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F334" i="1"/>
  <c r="AY332" i="1"/>
  <c r="AX332" i="1"/>
  <c r="AW332" i="1"/>
  <c r="AV332" i="1"/>
  <c r="AU332" i="1"/>
  <c r="AT332" i="1"/>
  <c r="AS332" i="1"/>
  <c r="AR332" i="1"/>
  <c r="AQ332" i="1"/>
  <c r="AP332" i="1"/>
  <c r="AO332" i="1"/>
  <c r="AN332" i="1"/>
  <c r="AM332" i="1"/>
  <c r="AL332" i="1"/>
  <c r="AK332" i="1"/>
  <c r="AJ332" i="1"/>
  <c r="AI332" i="1"/>
  <c r="AH332" i="1"/>
  <c r="AG332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P332" i="1"/>
  <c r="O332" i="1"/>
  <c r="N332" i="1"/>
  <c r="M332" i="1"/>
  <c r="L332" i="1"/>
  <c r="K332" i="1"/>
  <c r="J332" i="1"/>
  <c r="I332" i="1"/>
  <c r="H332" i="1"/>
  <c r="G332" i="1"/>
  <c r="F332" i="1"/>
  <c r="AY329" i="1"/>
  <c r="AX329" i="1"/>
  <c r="AW329" i="1"/>
  <c r="AV329" i="1"/>
  <c r="AU329" i="1"/>
  <c r="AT329" i="1"/>
  <c r="AS329" i="1"/>
  <c r="AR329" i="1"/>
  <c r="AQ329" i="1"/>
  <c r="AP329" i="1"/>
  <c r="AO329" i="1"/>
  <c r="AN329" i="1"/>
  <c r="AM329" i="1"/>
  <c r="AL329" i="1"/>
  <c r="AK329" i="1"/>
  <c r="AJ329" i="1"/>
  <c r="AI329" i="1"/>
  <c r="AH329" i="1"/>
  <c r="AG329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P329" i="1"/>
  <c r="O329" i="1"/>
  <c r="N329" i="1"/>
  <c r="M329" i="1"/>
  <c r="L329" i="1"/>
  <c r="K329" i="1"/>
  <c r="J329" i="1"/>
  <c r="I329" i="1"/>
  <c r="H329" i="1"/>
  <c r="G329" i="1"/>
  <c r="F329" i="1"/>
  <c r="AY319" i="1"/>
  <c r="AX319" i="1"/>
  <c r="AW319" i="1"/>
  <c r="AV319" i="1"/>
  <c r="AU319" i="1"/>
  <c r="AT319" i="1"/>
  <c r="AS319" i="1"/>
  <c r="AR319" i="1"/>
  <c r="AQ319" i="1"/>
  <c r="AP319" i="1"/>
  <c r="AO319" i="1"/>
  <c r="AN319" i="1"/>
  <c r="AM319" i="1"/>
  <c r="AL319" i="1"/>
  <c r="AK319" i="1"/>
  <c r="AJ319" i="1"/>
  <c r="AI319" i="1"/>
  <c r="AH319" i="1"/>
  <c r="AG319" i="1"/>
  <c r="AF319" i="1"/>
  <c r="AE319" i="1"/>
  <c r="AD319" i="1"/>
  <c r="AC319" i="1"/>
  <c r="AB319" i="1"/>
  <c r="AA319" i="1"/>
  <c r="Z319" i="1"/>
  <c r="Y319" i="1"/>
  <c r="X319" i="1"/>
  <c r="W319" i="1"/>
  <c r="V319" i="1"/>
  <c r="U319" i="1"/>
  <c r="T319" i="1"/>
  <c r="S319" i="1"/>
  <c r="R319" i="1"/>
  <c r="Q319" i="1"/>
  <c r="P319" i="1"/>
  <c r="O319" i="1"/>
  <c r="N319" i="1"/>
  <c r="M319" i="1"/>
  <c r="L319" i="1"/>
  <c r="K319" i="1"/>
  <c r="J319" i="1"/>
  <c r="I319" i="1"/>
  <c r="H319" i="1"/>
  <c r="G319" i="1"/>
  <c r="F319" i="1"/>
  <c r="AY318" i="1"/>
  <c r="AX318" i="1"/>
  <c r="AW318" i="1"/>
  <c r="AV318" i="1"/>
  <c r="AU318" i="1"/>
  <c r="AT318" i="1"/>
  <c r="AS318" i="1"/>
  <c r="AR318" i="1"/>
  <c r="AQ318" i="1"/>
  <c r="AP318" i="1"/>
  <c r="AO318" i="1"/>
  <c r="AN318" i="1"/>
  <c r="AM318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P318" i="1"/>
  <c r="O318" i="1"/>
  <c r="N318" i="1"/>
  <c r="M318" i="1"/>
  <c r="L318" i="1"/>
  <c r="K318" i="1"/>
  <c r="J318" i="1"/>
  <c r="I318" i="1"/>
  <c r="H318" i="1"/>
  <c r="G318" i="1"/>
  <c r="F318" i="1"/>
  <c r="AY306" i="1"/>
  <c r="AX306" i="1"/>
  <c r="AW306" i="1"/>
  <c r="AV306" i="1"/>
  <c r="AU306" i="1"/>
  <c r="AT306" i="1"/>
  <c r="AS306" i="1"/>
  <c r="AR306" i="1"/>
  <c r="AQ306" i="1"/>
  <c r="AP306" i="1"/>
  <c r="AO306" i="1"/>
  <c r="AN306" i="1"/>
  <c r="AM306" i="1"/>
  <c r="AL306" i="1"/>
  <c r="AK306" i="1"/>
  <c r="AJ306" i="1"/>
  <c r="AI306" i="1"/>
  <c r="AH306" i="1"/>
  <c r="AG306" i="1"/>
  <c r="AF306" i="1"/>
  <c r="AE306" i="1"/>
  <c r="AD306" i="1"/>
  <c r="AC306" i="1"/>
  <c r="AB306" i="1"/>
  <c r="AA306" i="1"/>
  <c r="Z306" i="1"/>
  <c r="Y306" i="1"/>
  <c r="X306" i="1"/>
  <c r="W306" i="1"/>
  <c r="V306" i="1"/>
  <c r="U306" i="1"/>
  <c r="T306" i="1"/>
  <c r="S306" i="1"/>
  <c r="R306" i="1"/>
  <c r="Q306" i="1"/>
  <c r="P306" i="1"/>
  <c r="O306" i="1"/>
  <c r="N306" i="1"/>
  <c r="M306" i="1"/>
  <c r="L306" i="1"/>
  <c r="K306" i="1"/>
  <c r="J306" i="1"/>
  <c r="I306" i="1"/>
  <c r="H306" i="1"/>
  <c r="G306" i="1"/>
  <c r="AY293" i="1"/>
  <c r="AX293" i="1"/>
  <c r="AW293" i="1"/>
  <c r="AV293" i="1"/>
  <c r="AU293" i="1"/>
  <c r="AT293" i="1"/>
  <c r="AS293" i="1"/>
  <c r="AR293" i="1"/>
  <c r="AQ293" i="1"/>
  <c r="AP293" i="1"/>
  <c r="AO293" i="1"/>
  <c r="AN293" i="1"/>
  <c r="AM293" i="1"/>
  <c r="AL293" i="1"/>
  <c r="AK293" i="1"/>
  <c r="AJ293" i="1"/>
  <c r="AI293" i="1"/>
  <c r="AH293" i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Q293" i="1"/>
  <c r="P293" i="1"/>
  <c r="O293" i="1"/>
  <c r="N293" i="1"/>
  <c r="M293" i="1"/>
  <c r="L293" i="1"/>
  <c r="K293" i="1"/>
  <c r="J293" i="1"/>
  <c r="I293" i="1"/>
  <c r="H293" i="1"/>
  <c r="G293" i="1"/>
  <c r="F293" i="1"/>
  <c r="AY292" i="1"/>
  <c r="AX292" i="1"/>
  <c r="AW292" i="1"/>
  <c r="AV292" i="1"/>
  <c r="AU292" i="1"/>
  <c r="AT292" i="1"/>
  <c r="AS292" i="1"/>
  <c r="AR292" i="1"/>
  <c r="AQ292" i="1"/>
  <c r="AP292" i="1"/>
  <c r="AO292" i="1"/>
  <c r="AN292" i="1"/>
  <c r="AM292" i="1"/>
  <c r="AL292" i="1"/>
  <c r="AK292" i="1"/>
  <c r="AJ292" i="1"/>
  <c r="AI292" i="1"/>
  <c r="AH292" i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T292" i="1"/>
  <c r="S292" i="1"/>
  <c r="R292" i="1"/>
  <c r="Q292" i="1"/>
  <c r="P292" i="1"/>
  <c r="O292" i="1"/>
  <c r="N292" i="1"/>
  <c r="M292" i="1"/>
  <c r="L292" i="1"/>
  <c r="K292" i="1"/>
  <c r="J292" i="1"/>
  <c r="I292" i="1"/>
  <c r="H292" i="1"/>
  <c r="G292" i="1"/>
  <c r="F292" i="1"/>
  <c r="AY287" i="1"/>
  <c r="AX287" i="1"/>
  <c r="AW287" i="1"/>
  <c r="AV287" i="1"/>
  <c r="AU287" i="1"/>
  <c r="AT287" i="1"/>
  <c r="AS287" i="1"/>
  <c r="AR287" i="1"/>
  <c r="AQ287" i="1"/>
  <c r="AP287" i="1"/>
  <c r="AO287" i="1"/>
  <c r="AN287" i="1"/>
  <c r="AM287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P287" i="1"/>
  <c r="O287" i="1"/>
  <c r="N287" i="1"/>
  <c r="M287" i="1"/>
  <c r="L287" i="1"/>
  <c r="K287" i="1"/>
  <c r="J287" i="1"/>
  <c r="I287" i="1"/>
  <c r="H287" i="1"/>
  <c r="G287" i="1"/>
  <c r="F287" i="1"/>
  <c r="AY286" i="1"/>
  <c r="AX286" i="1"/>
  <c r="AW286" i="1"/>
  <c r="AV286" i="1"/>
  <c r="AU286" i="1"/>
  <c r="AT286" i="1"/>
  <c r="AS286" i="1"/>
  <c r="AR286" i="1"/>
  <c r="AQ286" i="1"/>
  <c r="AP286" i="1"/>
  <c r="AO286" i="1"/>
  <c r="AN286" i="1"/>
  <c r="AM286" i="1"/>
  <c r="AL286" i="1"/>
  <c r="AK286" i="1"/>
  <c r="AJ286" i="1"/>
  <c r="AI286" i="1"/>
  <c r="AH286" i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P286" i="1"/>
  <c r="O286" i="1"/>
  <c r="N286" i="1"/>
  <c r="M286" i="1"/>
  <c r="L286" i="1"/>
  <c r="K286" i="1"/>
  <c r="J286" i="1"/>
  <c r="I286" i="1"/>
  <c r="H286" i="1"/>
  <c r="G286" i="1"/>
  <c r="F286" i="1"/>
  <c r="AY284" i="1"/>
  <c r="AX284" i="1"/>
  <c r="AW284" i="1"/>
  <c r="AV284" i="1"/>
  <c r="AU284" i="1"/>
  <c r="AT284" i="1"/>
  <c r="AS284" i="1"/>
  <c r="AR284" i="1"/>
  <c r="AQ284" i="1"/>
  <c r="AP284" i="1"/>
  <c r="AO284" i="1"/>
  <c r="AN284" i="1"/>
  <c r="AM284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P284" i="1"/>
  <c r="O284" i="1"/>
  <c r="N284" i="1"/>
  <c r="M284" i="1"/>
  <c r="L284" i="1"/>
  <c r="K284" i="1"/>
  <c r="J284" i="1"/>
  <c r="I284" i="1"/>
  <c r="H284" i="1"/>
  <c r="G284" i="1"/>
  <c r="F284" i="1"/>
  <c r="AY283" i="1"/>
  <c r="AX283" i="1"/>
  <c r="AW283" i="1"/>
  <c r="AV283" i="1"/>
  <c r="AU283" i="1"/>
  <c r="AT283" i="1"/>
  <c r="AS283" i="1"/>
  <c r="AR283" i="1"/>
  <c r="AQ283" i="1"/>
  <c r="AP283" i="1"/>
  <c r="AO283" i="1"/>
  <c r="AN283" i="1"/>
  <c r="AM283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T283" i="1"/>
  <c r="S283" i="1"/>
  <c r="R283" i="1"/>
  <c r="Q283" i="1"/>
  <c r="P283" i="1"/>
  <c r="O283" i="1"/>
  <c r="N283" i="1"/>
  <c r="M283" i="1"/>
  <c r="L283" i="1"/>
  <c r="K283" i="1"/>
  <c r="J283" i="1"/>
  <c r="I283" i="1"/>
  <c r="H283" i="1"/>
  <c r="G283" i="1"/>
  <c r="F283" i="1"/>
  <c r="AY278" i="1"/>
  <c r="AX278" i="1"/>
  <c r="AW278" i="1"/>
  <c r="AV278" i="1"/>
  <c r="AU278" i="1"/>
  <c r="AT278" i="1"/>
  <c r="AS278" i="1"/>
  <c r="AR278" i="1"/>
  <c r="AQ278" i="1"/>
  <c r="AP278" i="1"/>
  <c r="AO278" i="1"/>
  <c r="AN278" i="1"/>
  <c r="AM278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Q278" i="1"/>
  <c r="P278" i="1"/>
  <c r="O278" i="1"/>
  <c r="N278" i="1"/>
  <c r="M278" i="1"/>
  <c r="L278" i="1"/>
  <c r="K278" i="1"/>
  <c r="I278" i="1"/>
  <c r="G278" i="1"/>
  <c r="AY276" i="1"/>
  <c r="AX276" i="1"/>
  <c r="AW276" i="1"/>
  <c r="AV276" i="1"/>
  <c r="AU276" i="1"/>
  <c r="AT276" i="1"/>
  <c r="AS276" i="1"/>
  <c r="AR276" i="1"/>
  <c r="AQ276" i="1"/>
  <c r="AP276" i="1"/>
  <c r="AO276" i="1"/>
  <c r="AN276" i="1"/>
  <c r="AM276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P276" i="1"/>
  <c r="O276" i="1"/>
  <c r="N276" i="1"/>
  <c r="M276" i="1"/>
  <c r="L276" i="1"/>
  <c r="K276" i="1"/>
  <c r="J276" i="1"/>
  <c r="I276" i="1"/>
  <c r="H276" i="1"/>
  <c r="G276" i="1"/>
  <c r="AY274" i="1"/>
  <c r="AX274" i="1"/>
  <c r="AW274" i="1"/>
  <c r="AV274" i="1"/>
  <c r="AU274" i="1"/>
  <c r="AT274" i="1"/>
  <c r="AS274" i="1"/>
  <c r="AR274" i="1"/>
  <c r="AQ274" i="1"/>
  <c r="AP274" i="1"/>
  <c r="AO274" i="1"/>
  <c r="AN274" i="1"/>
  <c r="AM274" i="1"/>
  <c r="AL274" i="1"/>
  <c r="AK274" i="1"/>
  <c r="AJ274" i="1"/>
  <c r="AI274" i="1"/>
  <c r="AH274" i="1"/>
  <c r="AG274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T274" i="1"/>
  <c r="S274" i="1"/>
  <c r="R274" i="1"/>
  <c r="Q274" i="1"/>
  <c r="P274" i="1"/>
  <c r="O274" i="1"/>
  <c r="N274" i="1"/>
  <c r="M274" i="1"/>
  <c r="L274" i="1"/>
  <c r="K274" i="1"/>
  <c r="I274" i="1"/>
  <c r="G274" i="1"/>
  <c r="AY273" i="1"/>
  <c r="AX273" i="1"/>
  <c r="AW273" i="1"/>
  <c r="AV273" i="1"/>
  <c r="AU273" i="1"/>
  <c r="AT273" i="1"/>
  <c r="AS273" i="1"/>
  <c r="AR273" i="1"/>
  <c r="AQ273" i="1"/>
  <c r="AP273" i="1"/>
  <c r="AO273" i="1"/>
  <c r="AN273" i="1"/>
  <c r="AM273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P273" i="1"/>
  <c r="O273" i="1"/>
  <c r="N273" i="1"/>
  <c r="M273" i="1"/>
  <c r="L273" i="1"/>
  <c r="K273" i="1"/>
  <c r="I273" i="1"/>
  <c r="G273" i="1"/>
  <c r="AY272" i="1"/>
  <c r="AX272" i="1"/>
  <c r="AW272" i="1"/>
  <c r="AV272" i="1"/>
  <c r="AU272" i="1"/>
  <c r="AT272" i="1"/>
  <c r="AS272" i="1"/>
  <c r="AR272" i="1"/>
  <c r="AQ272" i="1"/>
  <c r="AP272" i="1"/>
  <c r="AO272" i="1"/>
  <c r="AN272" i="1"/>
  <c r="AM272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P272" i="1"/>
  <c r="O272" i="1"/>
  <c r="N272" i="1"/>
  <c r="M272" i="1"/>
  <c r="L272" i="1"/>
  <c r="K272" i="1"/>
  <c r="I272" i="1"/>
  <c r="G272" i="1"/>
  <c r="AY271" i="1"/>
  <c r="AX271" i="1"/>
  <c r="AW271" i="1"/>
  <c r="AV271" i="1"/>
  <c r="AU271" i="1"/>
  <c r="AT271" i="1"/>
  <c r="AS271" i="1"/>
  <c r="AR271" i="1"/>
  <c r="AQ271" i="1"/>
  <c r="AP271" i="1"/>
  <c r="AO271" i="1"/>
  <c r="AN271" i="1"/>
  <c r="AM271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P271" i="1"/>
  <c r="O271" i="1"/>
  <c r="N271" i="1"/>
  <c r="M271" i="1"/>
  <c r="L271" i="1"/>
  <c r="K271" i="1"/>
  <c r="I271" i="1"/>
  <c r="G271" i="1"/>
  <c r="AY269" i="1"/>
  <c r="AX269" i="1"/>
  <c r="AW269" i="1"/>
  <c r="AV269" i="1"/>
  <c r="AU269" i="1"/>
  <c r="AT269" i="1"/>
  <c r="AS269" i="1"/>
  <c r="AR269" i="1"/>
  <c r="AQ269" i="1"/>
  <c r="AP269" i="1"/>
  <c r="AO269" i="1"/>
  <c r="AN269" i="1"/>
  <c r="AM269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P269" i="1"/>
  <c r="O269" i="1"/>
  <c r="N269" i="1"/>
  <c r="M269" i="1"/>
  <c r="L269" i="1"/>
  <c r="K269" i="1"/>
  <c r="I269" i="1"/>
  <c r="G269" i="1"/>
  <c r="AY268" i="1"/>
  <c r="AX268" i="1"/>
  <c r="AW268" i="1"/>
  <c r="AV268" i="1"/>
  <c r="AU268" i="1"/>
  <c r="AT268" i="1"/>
  <c r="AS268" i="1"/>
  <c r="AR268" i="1"/>
  <c r="AQ268" i="1"/>
  <c r="AP268" i="1"/>
  <c r="AO268" i="1"/>
  <c r="AN268" i="1"/>
  <c r="AM268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P268" i="1"/>
  <c r="O268" i="1"/>
  <c r="N268" i="1"/>
  <c r="M268" i="1"/>
  <c r="L268" i="1"/>
  <c r="K268" i="1"/>
  <c r="I268" i="1"/>
  <c r="G268" i="1"/>
  <c r="AY267" i="1"/>
  <c r="AX267" i="1"/>
  <c r="AW267" i="1"/>
  <c r="AV267" i="1"/>
  <c r="AU267" i="1"/>
  <c r="AT267" i="1"/>
  <c r="AS267" i="1"/>
  <c r="AR267" i="1"/>
  <c r="AQ267" i="1"/>
  <c r="AP267" i="1"/>
  <c r="AO267" i="1"/>
  <c r="AN267" i="1"/>
  <c r="AM267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P267" i="1"/>
  <c r="O267" i="1"/>
  <c r="N267" i="1"/>
  <c r="M267" i="1"/>
  <c r="L267" i="1"/>
  <c r="K267" i="1"/>
  <c r="I267" i="1"/>
  <c r="G267" i="1"/>
  <c r="AY266" i="1"/>
  <c r="AX266" i="1"/>
  <c r="AW266" i="1"/>
  <c r="AV266" i="1"/>
  <c r="AU266" i="1"/>
  <c r="AT266" i="1"/>
  <c r="AS266" i="1"/>
  <c r="AR266" i="1"/>
  <c r="AQ266" i="1"/>
  <c r="AP266" i="1"/>
  <c r="AO266" i="1"/>
  <c r="AN266" i="1"/>
  <c r="AM266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P266" i="1"/>
  <c r="O266" i="1"/>
  <c r="N266" i="1"/>
  <c r="M266" i="1"/>
  <c r="L266" i="1"/>
  <c r="K266" i="1"/>
  <c r="I266" i="1"/>
  <c r="G266" i="1"/>
  <c r="AY264" i="1"/>
  <c r="AX264" i="1"/>
  <c r="AW264" i="1"/>
  <c r="AV264" i="1"/>
  <c r="AU264" i="1"/>
  <c r="AT264" i="1"/>
  <c r="AS264" i="1"/>
  <c r="AR264" i="1"/>
  <c r="AQ264" i="1"/>
  <c r="AP264" i="1"/>
  <c r="AO264" i="1"/>
  <c r="AN264" i="1"/>
  <c r="AM264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T264" i="1"/>
  <c r="S264" i="1"/>
  <c r="R264" i="1"/>
  <c r="Q264" i="1"/>
  <c r="P264" i="1"/>
  <c r="O264" i="1"/>
  <c r="N264" i="1"/>
  <c r="M264" i="1"/>
  <c r="L264" i="1"/>
  <c r="K264" i="1"/>
  <c r="I264" i="1"/>
  <c r="G264" i="1"/>
  <c r="AY263" i="1"/>
  <c r="AX263" i="1"/>
  <c r="AW263" i="1"/>
  <c r="AV263" i="1"/>
  <c r="AU263" i="1"/>
  <c r="AT263" i="1"/>
  <c r="AS263" i="1"/>
  <c r="AR263" i="1"/>
  <c r="AQ263" i="1"/>
  <c r="AP263" i="1"/>
  <c r="AO263" i="1"/>
  <c r="AN263" i="1"/>
  <c r="AM263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P263" i="1"/>
  <c r="O263" i="1"/>
  <c r="N263" i="1"/>
  <c r="M263" i="1"/>
  <c r="L263" i="1"/>
  <c r="K263" i="1"/>
  <c r="I263" i="1"/>
  <c r="G263" i="1"/>
  <c r="AY260" i="1"/>
  <c r="AX260" i="1"/>
  <c r="AW260" i="1"/>
  <c r="AV260" i="1"/>
  <c r="AU260" i="1"/>
  <c r="AT260" i="1"/>
  <c r="AS260" i="1"/>
  <c r="AR260" i="1"/>
  <c r="AQ260" i="1"/>
  <c r="AP260" i="1"/>
  <c r="AO260" i="1"/>
  <c r="AN260" i="1"/>
  <c r="AM260" i="1"/>
  <c r="AL260" i="1"/>
  <c r="AK260" i="1"/>
  <c r="AJ260" i="1"/>
  <c r="AI260" i="1"/>
  <c r="AH260" i="1"/>
  <c r="A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P260" i="1"/>
  <c r="O260" i="1"/>
  <c r="N260" i="1"/>
  <c r="M260" i="1"/>
  <c r="L260" i="1"/>
  <c r="I260" i="1"/>
  <c r="G260" i="1"/>
  <c r="AY258" i="1"/>
  <c r="AX258" i="1"/>
  <c r="AW258" i="1"/>
  <c r="AV258" i="1"/>
  <c r="AU258" i="1"/>
  <c r="AT258" i="1"/>
  <c r="AS258" i="1"/>
  <c r="AR258" i="1"/>
  <c r="AQ258" i="1"/>
  <c r="AP258" i="1"/>
  <c r="AO258" i="1"/>
  <c r="AN258" i="1"/>
  <c r="AM258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T258" i="1"/>
  <c r="S258" i="1"/>
  <c r="R258" i="1"/>
  <c r="Q258" i="1"/>
  <c r="P258" i="1"/>
  <c r="O258" i="1"/>
  <c r="N258" i="1"/>
  <c r="M258" i="1"/>
  <c r="L258" i="1"/>
  <c r="I258" i="1"/>
  <c r="G258" i="1"/>
  <c r="AY256" i="1"/>
  <c r="AX256" i="1"/>
  <c r="AW256" i="1"/>
  <c r="AV256" i="1"/>
  <c r="AU256" i="1"/>
  <c r="AT256" i="1"/>
  <c r="AS256" i="1"/>
  <c r="AR256" i="1"/>
  <c r="AQ256" i="1"/>
  <c r="AP256" i="1"/>
  <c r="AO256" i="1"/>
  <c r="AN256" i="1"/>
  <c r="AM256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P256" i="1"/>
  <c r="O256" i="1"/>
  <c r="N256" i="1"/>
  <c r="M256" i="1"/>
  <c r="L256" i="1"/>
  <c r="I256" i="1"/>
  <c r="G256" i="1"/>
  <c r="AY254" i="1"/>
  <c r="AX254" i="1"/>
  <c r="AW254" i="1"/>
  <c r="AV254" i="1"/>
  <c r="AU254" i="1"/>
  <c r="AT254" i="1"/>
  <c r="AS254" i="1"/>
  <c r="AR254" i="1"/>
  <c r="AQ254" i="1"/>
  <c r="AP254" i="1"/>
  <c r="AO254" i="1"/>
  <c r="AN254" i="1"/>
  <c r="AM254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P254" i="1"/>
  <c r="O254" i="1"/>
  <c r="N254" i="1"/>
  <c r="M254" i="1"/>
  <c r="L254" i="1"/>
  <c r="I254" i="1"/>
  <c r="G254" i="1"/>
  <c r="AY252" i="1"/>
  <c r="AX252" i="1"/>
  <c r="AW252" i="1"/>
  <c r="AV252" i="1"/>
  <c r="AU252" i="1"/>
  <c r="AT252" i="1"/>
  <c r="AS252" i="1"/>
  <c r="AR252" i="1"/>
  <c r="AQ252" i="1"/>
  <c r="AP252" i="1"/>
  <c r="AO252" i="1"/>
  <c r="AN252" i="1"/>
  <c r="AM252" i="1"/>
  <c r="AL252" i="1"/>
  <c r="AK252" i="1"/>
  <c r="AJ252" i="1"/>
  <c r="AI252" i="1"/>
  <c r="AH252" i="1"/>
  <c r="A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I252" i="1"/>
  <c r="G252" i="1"/>
  <c r="AY250" i="1"/>
  <c r="AX250" i="1"/>
  <c r="AW250" i="1"/>
  <c r="AV250" i="1"/>
  <c r="AU250" i="1"/>
  <c r="AT250" i="1"/>
  <c r="AS250" i="1"/>
  <c r="AR250" i="1"/>
  <c r="AQ250" i="1"/>
  <c r="AP250" i="1"/>
  <c r="AO250" i="1"/>
  <c r="AN250" i="1"/>
  <c r="AM250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T250" i="1"/>
  <c r="S250" i="1"/>
  <c r="R250" i="1"/>
  <c r="Q250" i="1"/>
  <c r="P250" i="1"/>
  <c r="O250" i="1"/>
  <c r="N250" i="1"/>
  <c r="M250" i="1"/>
  <c r="L250" i="1"/>
  <c r="I250" i="1"/>
  <c r="G250" i="1"/>
  <c r="AY248" i="1"/>
  <c r="AX248" i="1"/>
  <c r="AW248" i="1"/>
  <c r="AV248" i="1"/>
  <c r="AU248" i="1"/>
  <c r="AT248" i="1"/>
  <c r="AS248" i="1"/>
  <c r="AR248" i="1"/>
  <c r="AQ248" i="1"/>
  <c r="AP248" i="1"/>
  <c r="AO248" i="1"/>
  <c r="AN248" i="1"/>
  <c r="AM248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N248" i="1"/>
  <c r="M248" i="1"/>
  <c r="L248" i="1"/>
  <c r="I248" i="1"/>
  <c r="G248" i="1"/>
  <c r="AY246" i="1"/>
  <c r="AX246" i="1"/>
  <c r="AW246" i="1"/>
  <c r="AV246" i="1"/>
  <c r="AU246" i="1"/>
  <c r="AT246" i="1"/>
  <c r="AS246" i="1"/>
  <c r="AR246" i="1"/>
  <c r="AQ246" i="1"/>
  <c r="AP246" i="1"/>
  <c r="AO246" i="1"/>
  <c r="AN246" i="1"/>
  <c r="AM246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P246" i="1"/>
  <c r="O246" i="1"/>
  <c r="N246" i="1"/>
  <c r="M246" i="1"/>
  <c r="L246" i="1"/>
  <c r="I246" i="1"/>
  <c r="G246" i="1"/>
  <c r="AY244" i="1"/>
  <c r="AX244" i="1"/>
  <c r="AW244" i="1"/>
  <c r="AV244" i="1"/>
  <c r="AU244" i="1"/>
  <c r="AT244" i="1"/>
  <c r="AS244" i="1"/>
  <c r="AR244" i="1"/>
  <c r="AQ244" i="1"/>
  <c r="AP244" i="1"/>
  <c r="AO244" i="1"/>
  <c r="AN244" i="1"/>
  <c r="AM244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I244" i="1"/>
  <c r="G244" i="1"/>
  <c r="AY242" i="1"/>
  <c r="AX242" i="1"/>
  <c r="AW242" i="1"/>
  <c r="AV242" i="1"/>
  <c r="AU242" i="1"/>
  <c r="AT242" i="1"/>
  <c r="AS242" i="1"/>
  <c r="AR242" i="1"/>
  <c r="AQ242" i="1"/>
  <c r="AP242" i="1"/>
  <c r="AO242" i="1"/>
  <c r="AN242" i="1"/>
  <c r="AM242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Q242" i="1"/>
  <c r="P242" i="1"/>
  <c r="O242" i="1"/>
  <c r="N242" i="1"/>
  <c r="M242" i="1"/>
  <c r="L242" i="1"/>
  <c r="I242" i="1"/>
  <c r="G242" i="1"/>
  <c r="AY240" i="1"/>
  <c r="AX240" i="1"/>
  <c r="AW240" i="1"/>
  <c r="AV240" i="1"/>
  <c r="AU240" i="1"/>
  <c r="AT240" i="1"/>
  <c r="AS240" i="1"/>
  <c r="AR240" i="1"/>
  <c r="AQ240" i="1"/>
  <c r="AP240" i="1"/>
  <c r="AO240" i="1"/>
  <c r="AN240" i="1"/>
  <c r="AM240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P240" i="1"/>
  <c r="O240" i="1"/>
  <c r="N240" i="1"/>
  <c r="M240" i="1"/>
  <c r="L240" i="1"/>
  <c r="I240" i="1"/>
  <c r="G240" i="1"/>
  <c r="AY238" i="1"/>
  <c r="AX238" i="1"/>
  <c r="AW238" i="1"/>
  <c r="AV238" i="1"/>
  <c r="AU238" i="1"/>
  <c r="AT238" i="1"/>
  <c r="AS238" i="1"/>
  <c r="AR238" i="1"/>
  <c r="AQ238" i="1"/>
  <c r="AP238" i="1"/>
  <c r="AO238" i="1"/>
  <c r="AN238" i="1"/>
  <c r="AM238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P238" i="1"/>
  <c r="O238" i="1"/>
  <c r="N238" i="1"/>
  <c r="M238" i="1"/>
  <c r="L238" i="1"/>
  <c r="I238" i="1"/>
  <c r="G238" i="1"/>
  <c r="AY236" i="1"/>
  <c r="AX236" i="1"/>
  <c r="AW236" i="1"/>
  <c r="AV236" i="1"/>
  <c r="AU236" i="1"/>
  <c r="AT236" i="1"/>
  <c r="AS236" i="1"/>
  <c r="AR236" i="1"/>
  <c r="AQ236" i="1"/>
  <c r="AP236" i="1"/>
  <c r="AO236" i="1"/>
  <c r="AN236" i="1"/>
  <c r="AM236" i="1"/>
  <c r="AL236" i="1"/>
  <c r="AK236" i="1"/>
  <c r="AJ236" i="1"/>
  <c r="AI236" i="1"/>
  <c r="AH236" i="1"/>
  <c r="AG236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P236" i="1"/>
  <c r="O236" i="1"/>
  <c r="N236" i="1"/>
  <c r="M236" i="1"/>
  <c r="L236" i="1"/>
  <c r="I236" i="1"/>
  <c r="G236" i="1"/>
  <c r="AY234" i="1"/>
  <c r="AX234" i="1"/>
  <c r="AW234" i="1"/>
  <c r="AV234" i="1"/>
  <c r="AU234" i="1"/>
  <c r="AT234" i="1"/>
  <c r="AS234" i="1"/>
  <c r="AR234" i="1"/>
  <c r="AQ234" i="1"/>
  <c r="AP234" i="1"/>
  <c r="AO234" i="1"/>
  <c r="AN234" i="1"/>
  <c r="AM234" i="1"/>
  <c r="AL234" i="1"/>
  <c r="AK234" i="1"/>
  <c r="AJ234" i="1"/>
  <c r="AI234" i="1"/>
  <c r="AH234" i="1"/>
  <c r="A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T234" i="1"/>
  <c r="S234" i="1"/>
  <c r="R234" i="1"/>
  <c r="Q234" i="1"/>
  <c r="P234" i="1"/>
  <c r="O234" i="1"/>
  <c r="N234" i="1"/>
  <c r="M234" i="1"/>
  <c r="L234" i="1"/>
  <c r="I234" i="1"/>
  <c r="G234" i="1"/>
  <c r="AY232" i="1"/>
  <c r="AX232" i="1"/>
  <c r="AW232" i="1"/>
  <c r="AV232" i="1"/>
  <c r="AU232" i="1"/>
  <c r="AT232" i="1"/>
  <c r="AS232" i="1"/>
  <c r="AR232" i="1"/>
  <c r="AQ232" i="1"/>
  <c r="AP232" i="1"/>
  <c r="AO232" i="1"/>
  <c r="AN232" i="1"/>
  <c r="AM232" i="1"/>
  <c r="AL232" i="1"/>
  <c r="AK232" i="1"/>
  <c r="AJ232" i="1"/>
  <c r="AI232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P232" i="1"/>
  <c r="O232" i="1"/>
  <c r="N232" i="1"/>
  <c r="M232" i="1"/>
  <c r="L232" i="1"/>
  <c r="I232" i="1"/>
  <c r="G232" i="1"/>
  <c r="AY230" i="1"/>
  <c r="AX230" i="1"/>
  <c r="AW230" i="1"/>
  <c r="AV230" i="1"/>
  <c r="AU230" i="1"/>
  <c r="AT230" i="1"/>
  <c r="AS230" i="1"/>
  <c r="AR230" i="1"/>
  <c r="AQ230" i="1"/>
  <c r="AP230" i="1"/>
  <c r="AO230" i="1"/>
  <c r="AN230" i="1"/>
  <c r="AM230" i="1"/>
  <c r="AL230" i="1"/>
  <c r="AK230" i="1"/>
  <c r="AJ230" i="1"/>
  <c r="AI230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P230" i="1"/>
  <c r="O230" i="1"/>
  <c r="N230" i="1"/>
  <c r="M230" i="1"/>
  <c r="L230" i="1"/>
  <c r="I230" i="1"/>
  <c r="G230" i="1"/>
  <c r="AY228" i="1"/>
  <c r="AX228" i="1"/>
  <c r="AW228" i="1"/>
  <c r="AV228" i="1"/>
  <c r="AU228" i="1"/>
  <c r="AT228" i="1"/>
  <c r="AS228" i="1"/>
  <c r="AR228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P228" i="1"/>
  <c r="O228" i="1"/>
  <c r="N228" i="1"/>
  <c r="M228" i="1"/>
  <c r="L228" i="1"/>
  <c r="I228" i="1"/>
  <c r="G228" i="1"/>
  <c r="AY227" i="1"/>
  <c r="AX227" i="1"/>
  <c r="AW227" i="1"/>
  <c r="AV227" i="1"/>
  <c r="AU227" i="1"/>
  <c r="AT227" i="1"/>
  <c r="AS227" i="1"/>
  <c r="AR227" i="1"/>
  <c r="AQ227" i="1"/>
  <c r="AP227" i="1"/>
  <c r="AO227" i="1"/>
  <c r="AN227" i="1"/>
  <c r="AM227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P227" i="1"/>
  <c r="O227" i="1"/>
  <c r="N227" i="1"/>
  <c r="M227" i="1"/>
  <c r="L227" i="1"/>
  <c r="I227" i="1"/>
  <c r="G227" i="1"/>
  <c r="AY221" i="1"/>
  <c r="AX221" i="1"/>
  <c r="AW221" i="1"/>
  <c r="AV221" i="1"/>
  <c r="AU221" i="1"/>
  <c r="AT221" i="1"/>
  <c r="AS221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P221" i="1"/>
  <c r="O221" i="1"/>
  <c r="N221" i="1"/>
  <c r="M221" i="1"/>
  <c r="L221" i="1"/>
  <c r="K221" i="1"/>
  <c r="I221" i="1"/>
  <c r="G221" i="1"/>
  <c r="AY220" i="1"/>
  <c r="AX220" i="1"/>
  <c r="AW220" i="1"/>
  <c r="AV220" i="1"/>
  <c r="AU220" i="1"/>
  <c r="AT220" i="1"/>
  <c r="AS220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P220" i="1"/>
  <c r="O220" i="1"/>
  <c r="N220" i="1"/>
  <c r="M220" i="1"/>
  <c r="L220" i="1"/>
  <c r="K220" i="1"/>
  <c r="I220" i="1"/>
  <c r="G220" i="1"/>
  <c r="AY219" i="1"/>
  <c r="AX219" i="1"/>
  <c r="AW219" i="1"/>
  <c r="AV219" i="1"/>
  <c r="AU219" i="1"/>
  <c r="AT219" i="1"/>
  <c r="AS219" i="1"/>
  <c r="AR219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P219" i="1"/>
  <c r="O219" i="1"/>
  <c r="N219" i="1"/>
  <c r="M219" i="1"/>
  <c r="L219" i="1"/>
  <c r="K219" i="1"/>
  <c r="I219" i="1"/>
  <c r="G219" i="1"/>
  <c r="AY218" i="1"/>
  <c r="AX218" i="1"/>
  <c r="AW218" i="1"/>
  <c r="AV218" i="1"/>
  <c r="AU218" i="1"/>
  <c r="AT218" i="1"/>
  <c r="AS218" i="1"/>
  <c r="AR218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P218" i="1"/>
  <c r="O218" i="1"/>
  <c r="N218" i="1"/>
  <c r="M218" i="1"/>
  <c r="L218" i="1"/>
  <c r="K218" i="1"/>
  <c r="I218" i="1"/>
  <c r="G218" i="1"/>
  <c r="AY217" i="1"/>
  <c r="AX217" i="1"/>
  <c r="AW217" i="1"/>
  <c r="AV217" i="1"/>
  <c r="AU217" i="1"/>
  <c r="AT217" i="1"/>
  <c r="AS217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P217" i="1"/>
  <c r="O217" i="1"/>
  <c r="N217" i="1"/>
  <c r="M217" i="1"/>
  <c r="L217" i="1"/>
  <c r="K217" i="1"/>
  <c r="I217" i="1"/>
  <c r="G217" i="1"/>
  <c r="AY216" i="1"/>
  <c r="AX216" i="1"/>
  <c r="AW216" i="1"/>
  <c r="AV216" i="1"/>
  <c r="AU216" i="1"/>
  <c r="AT216" i="1"/>
  <c r="AS216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P216" i="1"/>
  <c r="O216" i="1"/>
  <c r="N216" i="1"/>
  <c r="M216" i="1"/>
  <c r="L216" i="1"/>
  <c r="K216" i="1"/>
  <c r="I216" i="1"/>
  <c r="G216" i="1"/>
  <c r="AY215" i="1"/>
  <c r="AX215" i="1"/>
  <c r="AW215" i="1"/>
  <c r="AV215" i="1"/>
  <c r="AU215" i="1"/>
  <c r="AT215" i="1"/>
  <c r="AS215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P215" i="1"/>
  <c r="O215" i="1"/>
  <c r="N215" i="1"/>
  <c r="M215" i="1"/>
  <c r="L215" i="1"/>
  <c r="K215" i="1"/>
  <c r="I215" i="1"/>
  <c r="G215" i="1"/>
  <c r="AY214" i="1"/>
  <c r="AX214" i="1"/>
  <c r="AW214" i="1"/>
  <c r="AV214" i="1"/>
  <c r="AU214" i="1"/>
  <c r="AT214" i="1"/>
  <c r="AS214" i="1"/>
  <c r="AR214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L214" i="1"/>
  <c r="K214" i="1"/>
  <c r="I214" i="1"/>
  <c r="G214" i="1"/>
  <c r="AY213" i="1"/>
  <c r="AX213" i="1"/>
  <c r="AW213" i="1"/>
  <c r="AV213" i="1"/>
  <c r="AU213" i="1"/>
  <c r="AT213" i="1"/>
  <c r="AS213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P213" i="1"/>
  <c r="O213" i="1"/>
  <c r="N213" i="1"/>
  <c r="M213" i="1"/>
  <c r="L213" i="1"/>
  <c r="K213" i="1"/>
  <c r="I213" i="1"/>
  <c r="G213" i="1"/>
  <c r="AY212" i="1"/>
  <c r="AX212" i="1"/>
  <c r="AW212" i="1"/>
  <c r="AV212" i="1"/>
  <c r="AU212" i="1"/>
  <c r="AT212" i="1"/>
  <c r="AS212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L212" i="1"/>
  <c r="K212" i="1"/>
  <c r="I212" i="1"/>
  <c r="G212" i="1"/>
  <c r="AY211" i="1"/>
  <c r="AX211" i="1"/>
  <c r="AW211" i="1"/>
  <c r="AV211" i="1"/>
  <c r="AU211" i="1"/>
  <c r="AT211" i="1"/>
  <c r="AS211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K211" i="1"/>
  <c r="I211" i="1"/>
  <c r="G211" i="1"/>
  <c r="AY210" i="1"/>
  <c r="AX210" i="1"/>
  <c r="AW210" i="1"/>
  <c r="AV210" i="1"/>
  <c r="AU210" i="1"/>
  <c r="AT210" i="1"/>
  <c r="AS210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P210" i="1"/>
  <c r="O210" i="1"/>
  <c r="N210" i="1"/>
  <c r="M210" i="1"/>
  <c r="L210" i="1"/>
  <c r="K210" i="1"/>
  <c r="I210" i="1"/>
  <c r="G210" i="1"/>
  <c r="AY209" i="1"/>
  <c r="AX209" i="1"/>
  <c r="AW209" i="1"/>
  <c r="AV209" i="1"/>
  <c r="AU209" i="1"/>
  <c r="AT209" i="1"/>
  <c r="AS209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P209" i="1"/>
  <c r="O209" i="1"/>
  <c r="N209" i="1"/>
  <c r="M209" i="1"/>
  <c r="L209" i="1"/>
  <c r="K209" i="1"/>
  <c r="I209" i="1"/>
  <c r="G209" i="1"/>
  <c r="AY208" i="1"/>
  <c r="AX208" i="1"/>
  <c r="AW208" i="1"/>
  <c r="AV208" i="1"/>
  <c r="AU208" i="1"/>
  <c r="AT208" i="1"/>
  <c r="AS208" i="1"/>
  <c r="AR208" i="1"/>
  <c r="AQ208" i="1"/>
  <c r="AP208" i="1"/>
  <c r="AO208" i="1"/>
  <c r="AN208" i="1"/>
  <c r="AM208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O208" i="1"/>
  <c r="N208" i="1"/>
  <c r="M208" i="1"/>
  <c r="L208" i="1"/>
  <c r="K208" i="1"/>
  <c r="I208" i="1"/>
  <c r="G208" i="1"/>
  <c r="AY207" i="1"/>
  <c r="AX207" i="1"/>
  <c r="AW207" i="1"/>
  <c r="AV207" i="1"/>
  <c r="AU207" i="1"/>
  <c r="AT207" i="1"/>
  <c r="AS207" i="1"/>
  <c r="AR207" i="1"/>
  <c r="AQ207" i="1"/>
  <c r="AP207" i="1"/>
  <c r="AO207" i="1"/>
  <c r="AN207" i="1"/>
  <c r="AM207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P207" i="1"/>
  <c r="O207" i="1"/>
  <c r="N207" i="1"/>
  <c r="M207" i="1"/>
  <c r="L207" i="1"/>
  <c r="K207" i="1"/>
  <c r="I207" i="1"/>
  <c r="G207" i="1"/>
  <c r="AY206" i="1"/>
  <c r="AX206" i="1"/>
  <c r="AW206" i="1"/>
  <c r="AV206" i="1"/>
  <c r="AU206" i="1"/>
  <c r="AT206" i="1"/>
  <c r="AS206" i="1"/>
  <c r="AR206" i="1"/>
  <c r="AQ206" i="1"/>
  <c r="AP206" i="1"/>
  <c r="AO206" i="1"/>
  <c r="AN206" i="1"/>
  <c r="AM206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P206" i="1"/>
  <c r="O206" i="1"/>
  <c r="N206" i="1"/>
  <c r="M206" i="1"/>
  <c r="L206" i="1"/>
  <c r="K206" i="1"/>
  <c r="I206" i="1"/>
  <c r="G206" i="1"/>
  <c r="AY205" i="1"/>
  <c r="AX205" i="1"/>
  <c r="AW205" i="1"/>
  <c r="AV205" i="1"/>
  <c r="AU205" i="1"/>
  <c r="AT205" i="1"/>
  <c r="AS205" i="1"/>
  <c r="AR205" i="1"/>
  <c r="AQ205" i="1"/>
  <c r="AP205" i="1"/>
  <c r="AO205" i="1"/>
  <c r="AN205" i="1"/>
  <c r="AM205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P205" i="1"/>
  <c r="O205" i="1"/>
  <c r="N205" i="1"/>
  <c r="M205" i="1"/>
  <c r="L205" i="1"/>
  <c r="K205" i="1"/>
  <c r="I205" i="1"/>
  <c r="G205" i="1"/>
  <c r="AY204" i="1"/>
  <c r="AX204" i="1"/>
  <c r="AW204" i="1"/>
  <c r="AV204" i="1"/>
  <c r="AU204" i="1"/>
  <c r="AT204" i="1"/>
  <c r="AS204" i="1"/>
  <c r="AR204" i="1"/>
  <c r="AQ204" i="1"/>
  <c r="AP204" i="1"/>
  <c r="AO204" i="1"/>
  <c r="AN204" i="1"/>
  <c r="AM204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L204" i="1"/>
  <c r="K204" i="1"/>
  <c r="I204" i="1"/>
  <c r="G204" i="1"/>
  <c r="AY203" i="1"/>
  <c r="AX203" i="1"/>
  <c r="AW203" i="1"/>
  <c r="AV203" i="1"/>
  <c r="AU203" i="1"/>
  <c r="AT203" i="1"/>
  <c r="AS203" i="1"/>
  <c r="AR203" i="1"/>
  <c r="AQ203" i="1"/>
  <c r="AP203" i="1"/>
  <c r="AO203" i="1"/>
  <c r="AN203" i="1"/>
  <c r="AM203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O203" i="1"/>
  <c r="N203" i="1"/>
  <c r="M203" i="1"/>
  <c r="L203" i="1"/>
  <c r="K203" i="1"/>
  <c r="I203" i="1"/>
  <c r="G203" i="1"/>
  <c r="AY202" i="1"/>
  <c r="AX202" i="1"/>
  <c r="AW202" i="1"/>
  <c r="AV202" i="1"/>
  <c r="AU202" i="1"/>
  <c r="AT202" i="1"/>
  <c r="AS202" i="1"/>
  <c r="AR202" i="1"/>
  <c r="AQ202" i="1"/>
  <c r="AP202" i="1"/>
  <c r="AO202" i="1"/>
  <c r="AN202" i="1"/>
  <c r="AM202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P202" i="1"/>
  <c r="O202" i="1"/>
  <c r="N202" i="1"/>
  <c r="M202" i="1"/>
  <c r="L202" i="1"/>
  <c r="K202" i="1"/>
  <c r="I202" i="1"/>
  <c r="G202" i="1"/>
  <c r="AY201" i="1"/>
  <c r="AX201" i="1"/>
  <c r="AW201" i="1"/>
  <c r="AV201" i="1"/>
  <c r="AU201" i="1"/>
  <c r="AT201" i="1"/>
  <c r="AS201" i="1"/>
  <c r="AR201" i="1"/>
  <c r="AQ201" i="1"/>
  <c r="AP201" i="1"/>
  <c r="AO201" i="1"/>
  <c r="AN201" i="1"/>
  <c r="AM201" i="1"/>
  <c r="AL201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N201" i="1"/>
  <c r="M201" i="1"/>
  <c r="L201" i="1"/>
  <c r="K201" i="1"/>
  <c r="I201" i="1"/>
  <c r="G201" i="1"/>
  <c r="AY200" i="1"/>
  <c r="AX200" i="1"/>
  <c r="AW200" i="1"/>
  <c r="AV200" i="1"/>
  <c r="AU200" i="1"/>
  <c r="AT200" i="1"/>
  <c r="AS200" i="1"/>
  <c r="AR200" i="1"/>
  <c r="AQ200" i="1"/>
  <c r="AP200" i="1"/>
  <c r="AO200" i="1"/>
  <c r="AN200" i="1"/>
  <c r="AM200" i="1"/>
  <c r="AL20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L200" i="1"/>
  <c r="K200" i="1"/>
  <c r="I200" i="1"/>
  <c r="G200" i="1"/>
  <c r="AY199" i="1"/>
  <c r="AX199" i="1"/>
  <c r="AW199" i="1"/>
  <c r="AV199" i="1"/>
  <c r="AU199" i="1"/>
  <c r="AT199" i="1"/>
  <c r="AS199" i="1"/>
  <c r="AR199" i="1"/>
  <c r="AQ199" i="1"/>
  <c r="AP199" i="1"/>
  <c r="AO199" i="1"/>
  <c r="AN199" i="1"/>
  <c r="AM199" i="1"/>
  <c r="AL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I199" i="1"/>
  <c r="G199" i="1"/>
  <c r="AY198" i="1"/>
  <c r="AX198" i="1"/>
  <c r="AW198" i="1"/>
  <c r="AV198" i="1"/>
  <c r="AU198" i="1"/>
  <c r="AT198" i="1"/>
  <c r="AS198" i="1"/>
  <c r="AR198" i="1"/>
  <c r="AQ198" i="1"/>
  <c r="AP198" i="1"/>
  <c r="AO198" i="1"/>
  <c r="AN198" i="1"/>
  <c r="AM198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O198" i="1"/>
  <c r="N198" i="1"/>
  <c r="M198" i="1"/>
  <c r="L198" i="1"/>
  <c r="K198" i="1"/>
  <c r="I198" i="1"/>
  <c r="G198" i="1"/>
  <c r="AY196" i="1"/>
  <c r="AX196" i="1"/>
  <c r="AW196" i="1"/>
  <c r="AV196" i="1"/>
  <c r="AU196" i="1"/>
  <c r="AT196" i="1"/>
  <c r="AS196" i="1"/>
  <c r="AR196" i="1"/>
  <c r="AQ196" i="1"/>
  <c r="AP196" i="1"/>
  <c r="AO196" i="1"/>
  <c r="AN196" i="1"/>
  <c r="AM196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K196" i="1"/>
  <c r="I196" i="1"/>
  <c r="G196" i="1"/>
  <c r="AY195" i="1"/>
  <c r="AX195" i="1"/>
  <c r="AW195" i="1"/>
  <c r="AV195" i="1"/>
  <c r="AU195" i="1"/>
  <c r="AT195" i="1"/>
  <c r="AS195" i="1"/>
  <c r="AR195" i="1"/>
  <c r="AQ195" i="1"/>
  <c r="AP195" i="1"/>
  <c r="AO195" i="1"/>
  <c r="AN195" i="1"/>
  <c r="AM195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K195" i="1"/>
  <c r="I195" i="1"/>
  <c r="G195" i="1"/>
  <c r="AY194" i="1"/>
  <c r="AX194" i="1"/>
  <c r="AW194" i="1"/>
  <c r="AV194" i="1"/>
  <c r="AU194" i="1"/>
  <c r="AT194" i="1"/>
  <c r="AS194" i="1"/>
  <c r="AR194" i="1"/>
  <c r="AQ194" i="1"/>
  <c r="AP194" i="1"/>
  <c r="AO194" i="1"/>
  <c r="AN194" i="1"/>
  <c r="AM194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K194" i="1"/>
  <c r="I194" i="1"/>
  <c r="G194" i="1"/>
  <c r="AY193" i="1"/>
  <c r="AX193" i="1"/>
  <c r="AW193" i="1"/>
  <c r="AV193" i="1"/>
  <c r="AU193" i="1"/>
  <c r="AT193" i="1"/>
  <c r="AS193" i="1"/>
  <c r="AR193" i="1"/>
  <c r="AQ193" i="1"/>
  <c r="AP193" i="1"/>
  <c r="AO193" i="1"/>
  <c r="AN193" i="1"/>
  <c r="AM193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K193" i="1"/>
  <c r="I193" i="1"/>
  <c r="G193" i="1"/>
  <c r="AY192" i="1"/>
  <c r="AX192" i="1"/>
  <c r="AW192" i="1"/>
  <c r="AV192" i="1"/>
  <c r="AU192" i="1"/>
  <c r="AT192" i="1"/>
  <c r="AS192" i="1"/>
  <c r="AR192" i="1"/>
  <c r="AQ192" i="1"/>
  <c r="AP192" i="1"/>
  <c r="AO192" i="1"/>
  <c r="AN192" i="1"/>
  <c r="AM192" i="1"/>
  <c r="AL192" i="1"/>
  <c r="AK192" i="1"/>
  <c r="AJ192" i="1"/>
  <c r="AI192" i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K192" i="1"/>
  <c r="I192" i="1"/>
  <c r="G192" i="1"/>
  <c r="AY191" i="1"/>
  <c r="AX191" i="1"/>
  <c r="AW191" i="1"/>
  <c r="AV191" i="1"/>
  <c r="AU191" i="1"/>
  <c r="AT191" i="1"/>
  <c r="AS191" i="1"/>
  <c r="AR191" i="1"/>
  <c r="AQ191" i="1"/>
  <c r="AP191" i="1"/>
  <c r="AO191" i="1"/>
  <c r="AN191" i="1"/>
  <c r="AM191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K191" i="1"/>
  <c r="I191" i="1"/>
  <c r="G191" i="1"/>
  <c r="AY188" i="1"/>
  <c r="AX188" i="1"/>
  <c r="AW188" i="1"/>
  <c r="AV188" i="1"/>
  <c r="AU188" i="1"/>
  <c r="AT188" i="1"/>
  <c r="AS188" i="1"/>
  <c r="AR188" i="1"/>
  <c r="AQ188" i="1"/>
  <c r="AP188" i="1"/>
  <c r="AO188" i="1"/>
  <c r="AN188" i="1"/>
  <c r="AM188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K188" i="1"/>
  <c r="I188" i="1"/>
  <c r="G188" i="1"/>
  <c r="AY187" i="1"/>
  <c r="AX187" i="1"/>
  <c r="AW187" i="1"/>
  <c r="AV187" i="1"/>
  <c r="AU187" i="1"/>
  <c r="AT187" i="1"/>
  <c r="AS187" i="1"/>
  <c r="AR187" i="1"/>
  <c r="AQ187" i="1"/>
  <c r="AP187" i="1"/>
  <c r="AO187" i="1"/>
  <c r="AN187" i="1"/>
  <c r="AM187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K187" i="1"/>
  <c r="I187" i="1"/>
  <c r="G187" i="1"/>
  <c r="AY186" i="1"/>
  <c r="AX186" i="1"/>
  <c r="AW186" i="1"/>
  <c r="AV186" i="1"/>
  <c r="AU186" i="1"/>
  <c r="AT186" i="1"/>
  <c r="AS186" i="1"/>
  <c r="AR186" i="1"/>
  <c r="AQ186" i="1"/>
  <c r="AP186" i="1"/>
  <c r="AO186" i="1"/>
  <c r="AN186" i="1"/>
  <c r="AM186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K186" i="1"/>
  <c r="I186" i="1"/>
  <c r="G186" i="1"/>
  <c r="AY185" i="1"/>
  <c r="AX185" i="1"/>
  <c r="AW185" i="1"/>
  <c r="AV185" i="1"/>
  <c r="AU185" i="1"/>
  <c r="AT185" i="1"/>
  <c r="AS185" i="1"/>
  <c r="AR185" i="1"/>
  <c r="AQ185" i="1"/>
  <c r="AP185" i="1"/>
  <c r="AO185" i="1"/>
  <c r="AN185" i="1"/>
  <c r="AM185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K185" i="1"/>
  <c r="I185" i="1"/>
  <c r="G185" i="1"/>
  <c r="AY184" i="1"/>
  <c r="AX184" i="1"/>
  <c r="AW184" i="1"/>
  <c r="AV184" i="1"/>
  <c r="AU184" i="1"/>
  <c r="AT184" i="1"/>
  <c r="AS184" i="1"/>
  <c r="AR184" i="1"/>
  <c r="AQ184" i="1"/>
  <c r="AP184" i="1"/>
  <c r="AO184" i="1"/>
  <c r="AN184" i="1"/>
  <c r="AM184" i="1"/>
  <c r="AL184" i="1"/>
  <c r="AK184" i="1"/>
  <c r="AJ184" i="1"/>
  <c r="AI184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K184" i="1"/>
  <c r="I184" i="1"/>
  <c r="G184" i="1"/>
  <c r="AY183" i="1"/>
  <c r="AX183" i="1"/>
  <c r="AW183" i="1"/>
  <c r="AV183" i="1"/>
  <c r="AU183" i="1"/>
  <c r="AT183" i="1"/>
  <c r="AS183" i="1"/>
  <c r="AR183" i="1"/>
  <c r="AQ183" i="1"/>
  <c r="AP183" i="1"/>
  <c r="AO183" i="1"/>
  <c r="AN183" i="1"/>
  <c r="AM183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L183" i="1"/>
  <c r="K183" i="1"/>
  <c r="I183" i="1"/>
  <c r="G183" i="1"/>
  <c r="AY182" i="1"/>
  <c r="AX182" i="1"/>
  <c r="AW182" i="1"/>
  <c r="AV182" i="1"/>
  <c r="AU182" i="1"/>
  <c r="AT182" i="1"/>
  <c r="AS182" i="1"/>
  <c r="AR182" i="1"/>
  <c r="AQ182" i="1"/>
  <c r="AP182" i="1"/>
  <c r="AO182" i="1"/>
  <c r="AN182" i="1"/>
  <c r="AM182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K182" i="1"/>
  <c r="I182" i="1"/>
  <c r="G182" i="1"/>
  <c r="AY181" i="1"/>
  <c r="AX181" i="1"/>
  <c r="AW181" i="1"/>
  <c r="AV181" i="1"/>
  <c r="AU181" i="1"/>
  <c r="AT181" i="1"/>
  <c r="AS181" i="1"/>
  <c r="AR181" i="1"/>
  <c r="AQ181" i="1"/>
  <c r="AP181" i="1"/>
  <c r="AO181" i="1"/>
  <c r="AN181" i="1"/>
  <c r="AM181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K181" i="1"/>
  <c r="I181" i="1"/>
  <c r="G181" i="1"/>
  <c r="AY180" i="1"/>
  <c r="AX180" i="1"/>
  <c r="AW180" i="1"/>
  <c r="AV180" i="1"/>
  <c r="AU180" i="1"/>
  <c r="AT180" i="1"/>
  <c r="AS180" i="1"/>
  <c r="AR180" i="1"/>
  <c r="AQ180" i="1"/>
  <c r="AP180" i="1"/>
  <c r="AO180" i="1"/>
  <c r="AN180" i="1"/>
  <c r="AM180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P180" i="1"/>
  <c r="O180" i="1"/>
  <c r="N180" i="1"/>
  <c r="M180" i="1"/>
  <c r="L180" i="1"/>
  <c r="K180" i="1"/>
  <c r="I180" i="1"/>
  <c r="G180" i="1"/>
  <c r="AY179" i="1"/>
  <c r="AX179" i="1"/>
  <c r="AW179" i="1"/>
  <c r="AV179" i="1"/>
  <c r="AU179" i="1"/>
  <c r="AT179" i="1"/>
  <c r="AS179" i="1"/>
  <c r="AR179" i="1"/>
  <c r="AQ179" i="1"/>
  <c r="AP179" i="1"/>
  <c r="AO179" i="1"/>
  <c r="AN179" i="1"/>
  <c r="AM179" i="1"/>
  <c r="AL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K179" i="1"/>
  <c r="I179" i="1"/>
  <c r="G179" i="1"/>
  <c r="AY178" i="1"/>
  <c r="AX178" i="1"/>
  <c r="AW178" i="1"/>
  <c r="AV178" i="1"/>
  <c r="AU178" i="1"/>
  <c r="AT178" i="1"/>
  <c r="AS178" i="1"/>
  <c r="AR178" i="1"/>
  <c r="AQ178" i="1"/>
  <c r="AP178" i="1"/>
  <c r="AO178" i="1"/>
  <c r="AN178" i="1"/>
  <c r="AM178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K178" i="1"/>
  <c r="I178" i="1"/>
  <c r="G178" i="1"/>
  <c r="AY177" i="1"/>
  <c r="AX177" i="1"/>
  <c r="AW177" i="1"/>
  <c r="AV177" i="1"/>
  <c r="AU177" i="1"/>
  <c r="AT177" i="1"/>
  <c r="AS177" i="1"/>
  <c r="AR177" i="1"/>
  <c r="AQ177" i="1"/>
  <c r="AP177" i="1"/>
  <c r="AO177" i="1"/>
  <c r="AN177" i="1"/>
  <c r="AM177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O177" i="1"/>
  <c r="N177" i="1"/>
  <c r="M177" i="1"/>
  <c r="L177" i="1"/>
  <c r="K177" i="1"/>
  <c r="I177" i="1"/>
  <c r="G177" i="1"/>
  <c r="AY176" i="1"/>
  <c r="AX176" i="1"/>
  <c r="AW176" i="1"/>
  <c r="AV176" i="1"/>
  <c r="AU176" i="1"/>
  <c r="AT176" i="1"/>
  <c r="AS176" i="1"/>
  <c r="AR176" i="1"/>
  <c r="AQ176" i="1"/>
  <c r="AP176" i="1"/>
  <c r="AO176" i="1"/>
  <c r="AN176" i="1"/>
  <c r="AM176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K176" i="1"/>
  <c r="I176" i="1"/>
  <c r="G176" i="1"/>
  <c r="AY175" i="1"/>
  <c r="AX175" i="1"/>
  <c r="AW175" i="1"/>
  <c r="AV175" i="1"/>
  <c r="AU175" i="1"/>
  <c r="AT175" i="1"/>
  <c r="AS175" i="1"/>
  <c r="AR175" i="1"/>
  <c r="AQ175" i="1"/>
  <c r="AP175" i="1"/>
  <c r="AO175" i="1"/>
  <c r="AN175" i="1"/>
  <c r="AM175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K175" i="1"/>
  <c r="I175" i="1"/>
  <c r="G175" i="1"/>
  <c r="AY174" i="1"/>
  <c r="AX174" i="1"/>
  <c r="AW174" i="1"/>
  <c r="AV174" i="1"/>
  <c r="AU174" i="1"/>
  <c r="AT174" i="1"/>
  <c r="AS174" i="1"/>
  <c r="AR174" i="1"/>
  <c r="AQ174" i="1"/>
  <c r="AP174" i="1"/>
  <c r="AO174" i="1"/>
  <c r="AN174" i="1"/>
  <c r="AM174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O174" i="1"/>
  <c r="N174" i="1"/>
  <c r="M174" i="1"/>
  <c r="L174" i="1"/>
  <c r="K174" i="1"/>
  <c r="I174" i="1"/>
  <c r="G174" i="1"/>
  <c r="AY172" i="1"/>
  <c r="AX172" i="1"/>
  <c r="AW172" i="1"/>
  <c r="AV172" i="1"/>
  <c r="AU172" i="1"/>
  <c r="AT172" i="1"/>
  <c r="AS172" i="1"/>
  <c r="AR172" i="1"/>
  <c r="AQ172" i="1"/>
  <c r="AP172" i="1"/>
  <c r="AO172" i="1"/>
  <c r="AN172" i="1"/>
  <c r="AM172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K172" i="1"/>
  <c r="I172" i="1"/>
  <c r="G172" i="1"/>
  <c r="AY171" i="1"/>
  <c r="AX171" i="1"/>
  <c r="AW171" i="1"/>
  <c r="AV171" i="1"/>
  <c r="AU171" i="1"/>
  <c r="AT171" i="1"/>
  <c r="AS171" i="1"/>
  <c r="AR171" i="1"/>
  <c r="AQ171" i="1"/>
  <c r="AP171" i="1"/>
  <c r="AO171" i="1"/>
  <c r="AN171" i="1"/>
  <c r="AM171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O171" i="1"/>
  <c r="N171" i="1"/>
  <c r="M171" i="1"/>
  <c r="L171" i="1"/>
  <c r="K171" i="1"/>
  <c r="I171" i="1"/>
  <c r="G171" i="1"/>
  <c r="AY170" i="1"/>
  <c r="AX170" i="1"/>
  <c r="AW170" i="1"/>
  <c r="AV170" i="1"/>
  <c r="AU170" i="1"/>
  <c r="AT170" i="1"/>
  <c r="AS170" i="1"/>
  <c r="AR170" i="1"/>
  <c r="AQ170" i="1"/>
  <c r="AP170" i="1"/>
  <c r="AO170" i="1"/>
  <c r="AN170" i="1"/>
  <c r="AM170" i="1"/>
  <c r="AL170" i="1"/>
  <c r="AK170" i="1"/>
  <c r="AJ170" i="1"/>
  <c r="AI170" i="1"/>
  <c r="AH170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K170" i="1"/>
  <c r="I170" i="1"/>
  <c r="G170" i="1"/>
  <c r="AY169" i="1"/>
  <c r="AX169" i="1"/>
  <c r="AW169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I169" i="1"/>
  <c r="G169" i="1"/>
  <c r="AY168" i="1"/>
  <c r="AX168" i="1"/>
  <c r="AW168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O168" i="1"/>
  <c r="N168" i="1"/>
  <c r="M168" i="1"/>
  <c r="L168" i="1"/>
  <c r="K168" i="1"/>
  <c r="I168" i="1"/>
  <c r="G168" i="1"/>
  <c r="AY167" i="1"/>
  <c r="AX167" i="1"/>
  <c r="AW167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L167" i="1"/>
  <c r="K167" i="1"/>
  <c r="I167" i="1"/>
  <c r="G167" i="1"/>
  <c r="AY166" i="1"/>
  <c r="AX166" i="1"/>
  <c r="AW166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K166" i="1"/>
  <c r="I166" i="1"/>
  <c r="G166" i="1"/>
  <c r="AY165" i="1"/>
  <c r="AX165" i="1"/>
  <c r="AW165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P165" i="1"/>
  <c r="O165" i="1"/>
  <c r="N165" i="1"/>
  <c r="M165" i="1"/>
  <c r="L165" i="1"/>
  <c r="K165" i="1"/>
  <c r="I165" i="1"/>
  <c r="G165" i="1"/>
  <c r="AY164" i="1"/>
  <c r="AX164" i="1"/>
  <c r="AW164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P164" i="1"/>
  <c r="O164" i="1"/>
  <c r="N164" i="1"/>
  <c r="M164" i="1"/>
  <c r="L164" i="1"/>
  <c r="K164" i="1"/>
  <c r="I164" i="1"/>
  <c r="G164" i="1"/>
  <c r="AY163" i="1"/>
  <c r="AX163" i="1"/>
  <c r="AW163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O163" i="1"/>
  <c r="N163" i="1"/>
  <c r="M163" i="1"/>
  <c r="L163" i="1"/>
  <c r="K163" i="1"/>
  <c r="I163" i="1"/>
  <c r="G163" i="1"/>
  <c r="AY162" i="1"/>
  <c r="AX162" i="1"/>
  <c r="AW162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L162" i="1"/>
  <c r="K162" i="1"/>
  <c r="I162" i="1"/>
  <c r="G162" i="1"/>
  <c r="AY161" i="1"/>
  <c r="AX161" i="1"/>
  <c r="AW161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N161" i="1"/>
  <c r="M161" i="1"/>
  <c r="L161" i="1"/>
  <c r="K161" i="1"/>
  <c r="I161" i="1"/>
  <c r="G161" i="1"/>
  <c r="AY160" i="1"/>
  <c r="AX160" i="1"/>
  <c r="AW160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I160" i="1"/>
  <c r="G160" i="1"/>
  <c r="AY159" i="1"/>
  <c r="AX159" i="1"/>
  <c r="AW159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I159" i="1"/>
  <c r="G159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I158" i="1"/>
  <c r="G158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I157" i="1"/>
  <c r="G157" i="1"/>
  <c r="AY156" i="1"/>
  <c r="AX156" i="1"/>
  <c r="AW156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O156" i="1"/>
  <c r="N156" i="1"/>
  <c r="M156" i="1"/>
  <c r="L156" i="1"/>
  <c r="K156" i="1"/>
  <c r="I156" i="1"/>
  <c r="G156" i="1"/>
  <c r="AY154" i="1"/>
  <c r="AX154" i="1"/>
  <c r="AW154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K154" i="1"/>
  <c r="I154" i="1"/>
  <c r="G154" i="1"/>
  <c r="AY153" i="1"/>
  <c r="AX153" i="1"/>
  <c r="AW153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O153" i="1"/>
  <c r="N153" i="1"/>
  <c r="M153" i="1"/>
  <c r="L153" i="1"/>
  <c r="K153" i="1"/>
  <c r="I153" i="1"/>
  <c r="G153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I152" i="1"/>
  <c r="G152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I151" i="1"/>
  <c r="G151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G150" i="1"/>
  <c r="AY149" i="1"/>
  <c r="AX149" i="1"/>
  <c r="AW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K149" i="1"/>
  <c r="I149" i="1"/>
  <c r="G149" i="1"/>
  <c r="AY148" i="1"/>
  <c r="AX148" i="1"/>
  <c r="AW148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K148" i="1"/>
  <c r="I148" i="1"/>
  <c r="G148" i="1"/>
  <c r="AY147" i="1"/>
  <c r="AX147" i="1"/>
  <c r="AW147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K147" i="1"/>
  <c r="I147" i="1"/>
  <c r="G147" i="1"/>
  <c r="AY146" i="1"/>
  <c r="AX146" i="1"/>
  <c r="AW146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K146" i="1"/>
  <c r="I146" i="1"/>
  <c r="G146" i="1"/>
  <c r="AY145" i="1"/>
  <c r="AX145" i="1"/>
  <c r="AW145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K145" i="1"/>
  <c r="I145" i="1"/>
  <c r="G145" i="1"/>
  <c r="AY144" i="1"/>
  <c r="AX144" i="1"/>
  <c r="AW144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K144" i="1"/>
  <c r="I144" i="1"/>
  <c r="G144" i="1"/>
  <c r="AY143" i="1"/>
  <c r="AX143" i="1"/>
  <c r="AW143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K143" i="1"/>
  <c r="I143" i="1"/>
  <c r="G143" i="1"/>
  <c r="AY142" i="1"/>
  <c r="AX142" i="1"/>
  <c r="AW142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K142" i="1"/>
  <c r="I142" i="1"/>
  <c r="G142" i="1"/>
  <c r="AY140" i="1"/>
  <c r="AX140" i="1"/>
  <c r="AW140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I140" i="1"/>
  <c r="G140" i="1"/>
  <c r="AY139" i="1"/>
  <c r="AX139" i="1"/>
  <c r="AW139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I139" i="1"/>
  <c r="G139" i="1"/>
  <c r="AY138" i="1"/>
  <c r="AX138" i="1"/>
  <c r="AW138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I138" i="1"/>
  <c r="G138" i="1"/>
  <c r="AY137" i="1"/>
  <c r="AX137" i="1"/>
  <c r="AW137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I137" i="1"/>
  <c r="G137" i="1"/>
  <c r="AY136" i="1"/>
  <c r="AX136" i="1"/>
  <c r="AW136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I136" i="1"/>
  <c r="G136" i="1"/>
  <c r="AY135" i="1"/>
  <c r="AX135" i="1"/>
  <c r="AW135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I135" i="1"/>
  <c r="G135" i="1"/>
  <c r="AY134" i="1"/>
  <c r="AX134" i="1"/>
  <c r="AW134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I134" i="1"/>
  <c r="G134" i="1"/>
  <c r="AY133" i="1"/>
  <c r="AX133" i="1"/>
  <c r="AW133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I133" i="1"/>
  <c r="G133" i="1"/>
  <c r="AY131" i="1"/>
  <c r="AX131" i="1"/>
  <c r="AW131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I131" i="1"/>
  <c r="G131" i="1"/>
  <c r="AY130" i="1"/>
  <c r="AX130" i="1"/>
  <c r="AW130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I130" i="1"/>
  <c r="G130" i="1"/>
  <c r="AY129" i="1"/>
  <c r="AX129" i="1"/>
  <c r="AW129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I129" i="1"/>
  <c r="G129" i="1"/>
  <c r="AY128" i="1"/>
  <c r="AX128" i="1"/>
  <c r="AW128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I128" i="1"/>
  <c r="G128" i="1"/>
  <c r="AY127" i="1"/>
  <c r="AX127" i="1"/>
  <c r="AW127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I127" i="1"/>
  <c r="G127" i="1"/>
  <c r="AY126" i="1"/>
  <c r="AX126" i="1"/>
  <c r="AW126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I126" i="1"/>
  <c r="G126" i="1"/>
  <c r="AY125" i="1"/>
  <c r="AX125" i="1"/>
  <c r="AW125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I125" i="1"/>
  <c r="G125" i="1"/>
  <c r="AY124" i="1"/>
  <c r="AX124" i="1"/>
  <c r="AW124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I124" i="1"/>
  <c r="G124" i="1"/>
  <c r="AY123" i="1"/>
  <c r="AX123" i="1"/>
  <c r="AW123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I123" i="1"/>
  <c r="G123" i="1"/>
  <c r="AY122" i="1"/>
  <c r="AX122" i="1"/>
  <c r="AW122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I122" i="1"/>
  <c r="G122" i="1"/>
  <c r="AY121" i="1"/>
  <c r="AX121" i="1"/>
  <c r="AW121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I121" i="1"/>
  <c r="G121" i="1"/>
  <c r="AY120" i="1"/>
  <c r="AX120" i="1"/>
  <c r="AW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I120" i="1"/>
  <c r="G120" i="1"/>
  <c r="AY119" i="1"/>
  <c r="AX119" i="1"/>
  <c r="AW119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I119" i="1"/>
  <c r="G119" i="1"/>
  <c r="AY116" i="1"/>
  <c r="AX116" i="1"/>
  <c r="AW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I116" i="1"/>
  <c r="G116" i="1"/>
  <c r="AY115" i="1"/>
  <c r="AX115" i="1"/>
  <c r="AW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I115" i="1"/>
  <c r="G115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I114" i="1"/>
  <c r="G114" i="1"/>
  <c r="AY112" i="1"/>
  <c r="AX112" i="1"/>
  <c r="AW112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I112" i="1"/>
  <c r="G112" i="1"/>
  <c r="AY111" i="1"/>
  <c r="AX111" i="1"/>
  <c r="AW111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I111" i="1"/>
  <c r="G111" i="1"/>
  <c r="AY110" i="1"/>
  <c r="AX110" i="1"/>
  <c r="AW110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I110" i="1"/>
  <c r="G110" i="1"/>
  <c r="AY109" i="1"/>
  <c r="AX109" i="1"/>
  <c r="AW109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I109" i="1"/>
  <c r="G109" i="1"/>
  <c r="AY108" i="1"/>
  <c r="AX108" i="1"/>
  <c r="AW108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I108" i="1"/>
  <c r="G108" i="1"/>
  <c r="AY107" i="1"/>
  <c r="AX107" i="1"/>
  <c r="AW107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F22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L21" i="1"/>
  <c r="G22" i="1"/>
  <c r="H22" i="1"/>
  <c r="I22" i="1"/>
  <c r="J22" i="1"/>
  <c r="K22" i="1"/>
  <c r="L22" i="1"/>
  <c r="C13" i="4"/>
  <c r="F21" i="1"/>
  <c r="G21" i="1"/>
  <c r="I21" i="1"/>
  <c r="J21" i="1"/>
  <c r="K21" i="1"/>
  <c r="H21" i="1"/>
  <c r="E368" i="1"/>
  <c r="E373" i="1"/>
  <c r="E374" i="1"/>
  <c r="E375" i="1"/>
  <c r="E376" i="1"/>
  <c r="E377" i="1"/>
  <c r="E379" i="1"/>
  <c r="E380" i="1"/>
  <c r="E388" i="1"/>
  <c r="G28" i="1"/>
  <c r="I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G30" i="1"/>
  <c r="I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G31" i="1"/>
  <c r="I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G34" i="1"/>
  <c r="I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G45" i="1"/>
  <c r="I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G48" i="1"/>
  <c r="I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G51" i="1"/>
  <c r="I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G53" i="1"/>
  <c r="I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G55" i="1"/>
  <c r="I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G57" i="1"/>
  <c r="I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G59" i="1"/>
  <c r="I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G83" i="1"/>
  <c r="I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G84" i="1"/>
  <c r="I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G87" i="1"/>
  <c r="I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G92" i="1"/>
  <c r="I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G95" i="1"/>
  <c r="I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G98" i="1"/>
  <c r="I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G101" i="1"/>
  <c r="I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G102" i="1"/>
  <c r="I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G113" i="1"/>
  <c r="I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G117" i="1"/>
  <c r="I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G118" i="1"/>
  <c r="I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G132" i="1"/>
  <c r="I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G141" i="1"/>
  <c r="I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G155" i="1"/>
  <c r="I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G173" i="1"/>
  <c r="I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G189" i="1"/>
  <c r="I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G190" i="1"/>
  <c r="I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W190" i="1"/>
  <c r="AX190" i="1"/>
  <c r="AY190" i="1"/>
  <c r="G222" i="1"/>
  <c r="I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G223" i="1"/>
  <c r="I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W223" i="1"/>
  <c r="AX223" i="1"/>
  <c r="AY223" i="1"/>
  <c r="G225" i="1"/>
  <c r="I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G229" i="1"/>
  <c r="I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W229" i="1"/>
  <c r="AX229" i="1"/>
  <c r="AY229" i="1"/>
  <c r="G231" i="1"/>
  <c r="I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G233" i="1"/>
  <c r="I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W233" i="1"/>
  <c r="AX233" i="1"/>
  <c r="AY233" i="1"/>
  <c r="G235" i="1"/>
  <c r="I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G237" i="1"/>
  <c r="I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G239" i="1"/>
  <c r="I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W239" i="1"/>
  <c r="AX239" i="1"/>
  <c r="AY239" i="1"/>
  <c r="G241" i="1"/>
  <c r="I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W241" i="1"/>
  <c r="AX241" i="1"/>
  <c r="AY241" i="1"/>
  <c r="G243" i="1"/>
  <c r="I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G245" i="1"/>
  <c r="I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G247" i="1"/>
  <c r="I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W247" i="1"/>
  <c r="AX247" i="1"/>
  <c r="AY247" i="1"/>
  <c r="G249" i="1"/>
  <c r="I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G251" i="1"/>
  <c r="I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W251" i="1"/>
  <c r="AX251" i="1"/>
  <c r="AY251" i="1"/>
  <c r="G253" i="1"/>
  <c r="I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W253" i="1"/>
  <c r="AX253" i="1"/>
  <c r="AY253" i="1"/>
  <c r="G255" i="1"/>
  <c r="I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G257" i="1"/>
  <c r="I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W257" i="1"/>
  <c r="AX257" i="1"/>
  <c r="AY257" i="1"/>
  <c r="G259" i="1"/>
  <c r="I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W259" i="1"/>
  <c r="AX259" i="1"/>
  <c r="AY259" i="1"/>
  <c r="G261" i="1"/>
  <c r="I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G262" i="1"/>
  <c r="I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G265" i="1"/>
  <c r="I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G270" i="1"/>
  <c r="I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G275" i="1"/>
  <c r="I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W277" i="1"/>
  <c r="AX277" i="1"/>
  <c r="AY277" i="1"/>
  <c r="G279" i="1"/>
  <c r="I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G281" i="1"/>
  <c r="I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W281" i="1"/>
  <c r="AX281" i="1"/>
  <c r="AY281" i="1"/>
  <c r="F285" i="1"/>
  <c r="G285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E21" i="1"/>
  <c r="F317" i="1"/>
  <c r="G317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W317" i="1"/>
  <c r="AX317" i="1"/>
  <c r="AY317" i="1"/>
  <c r="F321" i="1"/>
  <c r="G321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W321" i="1"/>
  <c r="AX321" i="1"/>
  <c r="AY321" i="1"/>
  <c r="F328" i="1"/>
  <c r="G328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W328" i="1"/>
  <c r="AX328" i="1"/>
  <c r="AY328" i="1"/>
  <c r="F330" i="1"/>
  <c r="G330" i="1"/>
  <c r="H330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W330" i="1"/>
  <c r="AX330" i="1"/>
  <c r="AY330" i="1"/>
  <c r="F333" i="1"/>
  <c r="G333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W333" i="1"/>
  <c r="AX333" i="1"/>
  <c r="AY333" i="1"/>
  <c r="F335" i="1"/>
  <c r="G335" i="1"/>
  <c r="H335" i="1"/>
  <c r="I335" i="1"/>
  <c r="J335" i="1"/>
  <c r="K335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W335" i="1"/>
  <c r="AX335" i="1"/>
  <c r="AY335" i="1"/>
  <c r="F337" i="1"/>
  <c r="G337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W337" i="1"/>
  <c r="AX337" i="1"/>
  <c r="AY337" i="1"/>
  <c r="F339" i="1"/>
  <c r="G339" i="1"/>
  <c r="H339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W339" i="1"/>
  <c r="AX339" i="1"/>
  <c r="AY339" i="1"/>
  <c r="F354" i="1"/>
  <c r="G354" i="1"/>
  <c r="H354" i="1"/>
  <c r="I354" i="1"/>
  <c r="J354" i="1"/>
  <c r="K354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W354" i="1"/>
  <c r="AX354" i="1"/>
  <c r="AY354" i="1"/>
  <c r="F356" i="1"/>
  <c r="G356" i="1"/>
  <c r="H356" i="1"/>
  <c r="I356" i="1"/>
  <c r="J356" i="1"/>
  <c r="K356" i="1"/>
  <c r="L356" i="1"/>
  <c r="M356" i="1"/>
  <c r="N356" i="1"/>
  <c r="O356" i="1"/>
  <c r="P356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W356" i="1"/>
  <c r="AX356" i="1"/>
  <c r="AY356" i="1"/>
  <c r="F358" i="1"/>
  <c r="G358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W358" i="1"/>
  <c r="AX358" i="1"/>
  <c r="AY358" i="1"/>
  <c r="F361" i="1"/>
  <c r="G361" i="1"/>
  <c r="H361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W361" i="1"/>
  <c r="AX361" i="1"/>
  <c r="AY361" i="1"/>
  <c r="F362" i="1"/>
  <c r="G362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W362" i="1"/>
  <c r="AX362" i="1"/>
  <c r="AY362" i="1"/>
  <c r="F363" i="1"/>
  <c r="G363" i="1"/>
  <c r="H363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W363" i="1"/>
  <c r="AX363" i="1"/>
  <c r="AY363" i="1"/>
  <c r="F364" i="1"/>
  <c r="G364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W364" i="1"/>
  <c r="AX364" i="1"/>
  <c r="AY364" i="1"/>
  <c r="F365" i="1"/>
  <c r="G365" i="1"/>
  <c r="H365" i="1"/>
  <c r="I365" i="1"/>
  <c r="J365" i="1"/>
  <c r="K365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W365" i="1"/>
  <c r="AX365" i="1"/>
  <c r="AY365" i="1"/>
  <c r="F366" i="1"/>
  <c r="G366" i="1"/>
  <c r="H366" i="1"/>
  <c r="I366" i="1"/>
  <c r="J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W366" i="1"/>
  <c r="AX366" i="1"/>
  <c r="AY366" i="1"/>
  <c r="F368" i="1"/>
  <c r="G368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W368" i="1"/>
  <c r="AX368" i="1"/>
  <c r="AY368" i="1"/>
  <c r="F369" i="1"/>
  <c r="G369" i="1"/>
  <c r="H369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W369" i="1"/>
  <c r="AX369" i="1"/>
  <c r="AY369" i="1"/>
  <c r="F370" i="1"/>
  <c r="G370" i="1"/>
  <c r="H370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W370" i="1"/>
  <c r="AX370" i="1"/>
  <c r="AY370" i="1"/>
  <c r="F371" i="1"/>
  <c r="G371" i="1"/>
  <c r="H371" i="1"/>
  <c r="I371" i="1"/>
  <c r="J371" i="1"/>
  <c r="K371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W371" i="1"/>
  <c r="AX371" i="1"/>
  <c r="AY371" i="1"/>
  <c r="F372" i="1"/>
  <c r="G372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W372" i="1"/>
  <c r="AX372" i="1"/>
  <c r="AY372" i="1"/>
  <c r="F373" i="1"/>
  <c r="G373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W373" i="1"/>
  <c r="AX373" i="1"/>
  <c r="AY373" i="1"/>
  <c r="F374" i="1"/>
  <c r="G374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W374" i="1"/>
  <c r="AX374" i="1"/>
  <c r="AY374" i="1"/>
  <c r="F375" i="1"/>
  <c r="G375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W375" i="1"/>
  <c r="AX375" i="1"/>
  <c r="AY375" i="1"/>
  <c r="F376" i="1"/>
  <c r="G376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W376" i="1"/>
  <c r="AX376" i="1"/>
  <c r="AY376" i="1"/>
  <c r="F377" i="1"/>
  <c r="G377" i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W377" i="1"/>
  <c r="AX377" i="1"/>
  <c r="AY377" i="1"/>
  <c r="F378" i="1"/>
  <c r="G378" i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W378" i="1"/>
  <c r="AX378" i="1"/>
  <c r="AY378" i="1"/>
  <c r="F379" i="1"/>
  <c r="G379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W379" i="1"/>
  <c r="AX379" i="1"/>
  <c r="AY379" i="1"/>
  <c r="F380" i="1"/>
  <c r="G380" i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W380" i="1"/>
  <c r="AX380" i="1"/>
  <c r="AY380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W381" i="1"/>
  <c r="AX381" i="1"/>
  <c r="AY381" i="1"/>
  <c r="F382" i="1"/>
  <c r="G382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W382" i="1"/>
  <c r="AX382" i="1"/>
  <c r="AY382" i="1"/>
  <c r="F383" i="1"/>
  <c r="G383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W383" i="1"/>
  <c r="AX383" i="1"/>
  <c r="AY383" i="1"/>
  <c r="F384" i="1"/>
  <c r="G384" i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W384" i="1"/>
  <c r="AX384" i="1"/>
  <c r="AY384" i="1"/>
  <c r="F385" i="1"/>
  <c r="G385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W385" i="1"/>
  <c r="AX385" i="1"/>
  <c r="AY385" i="1"/>
  <c r="F386" i="1"/>
  <c r="G386" i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W386" i="1"/>
  <c r="AX386" i="1"/>
  <c r="AY386" i="1"/>
  <c r="F387" i="1"/>
  <c r="G387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W387" i="1"/>
  <c r="AX387" i="1"/>
  <c r="AY387" i="1"/>
  <c r="F388" i="1"/>
  <c r="G388" i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W388" i="1"/>
  <c r="AX388" i="1"/>
  <c r="AY388" i="1"/>
</calcChain>
</file>

<file path=xl/sharedStrings.xml><?xml version="1.0" encoding="utf-8"?>
<sst xmlns="http://schemas.openxmlformats.org/spreadsheetml/2006/main" count="1003" uniqueCount="383">
  <si>
    <t>CONTEXT</t>
  </si>
  <si>
    <t>Context selection</t>
  </si>
  <si>
    <t>Management unit</t>
  </si>
  <si>
    <t>Current phase &amp; period</t>
  </si>
  <si>
    <t>Comparison 1</t>
  </si>
  <si>
    <t>Comparison 2</t>
  </si>
  <si>
    <t>Currency</t>
  </si>
  <si>
    <t>Refresh Data</t>
  </si>
  <si>
    <t>CUBE:</t>
  </si>
  <si>
    <t>Activity</t>
  </si>
  <si>
    <t>ACT_TOT</t>
  </si>
  <si>
    <t>BUDG_VC_TOT</t>
  </si>
  <si>
    <t>Gaap</t>
  </si>
  <si>
    <t>Legal_Organization</t>
  </si>
  <si>
    <t>Integration_Rate</t>
  </si>
  <si>
    <t>Management_Organization</t>
  </si>
  <si>
    <t>P&amp;L indicators</t>
  </si>
  <si>
    <t>REVENUE FROM ORDINARY ACTIVITIES</t>
  </si>
  <si>
    <t>Revenue of subcontracted transport activity</t>
  </si>
  <si>
    <t>Cost of subcontracted transport activity</t>
  </si>
  <si>
    <t>GROSS MARGIN on subcontracted activity</t>
  </si>
  <si>
    <t>Revenue (net of subcontracting)</t>
  </si>
  <si>
    <t>D - Driving Costs</t>
  </si>
  <si>
    <t>Maintenance &amp; Cleaning Staff</t>
  </si>
  <si>
    <t>Maintenance Subcontracting</t>
  </si>
  <si>
    <t>Cleaning Subcontracting</t>
  </si>
  <si>
    <t>Parts</t>
  </si>
  <si>
    <t>Tyres</t>
  </si>
  <si>
    <t>Lubricants</t>
  </si>
  <si>
    <t>Other Maintenance</t>
  </si>
  <si>
    <t>M - Maintenance Costs</t>
  </si>
  <si>
    <t>Electricity (traction)</t>
  </si>
  <si>
    <t>Fuel</t>
  </si>
  <si>
    <t>Biofuel</t>
  </si>
  <si>
    <t>Gas (traction)</t>
  </si>
  <si>
    <t>Other</t>
  </si>
  <si>
    <t xml:space="preserve">E - Energy Costs </t>
  </si>
  <si>
    <t>Renting / Fleet depreciation</t>
  </si>
  <si>
    <t>F - Fleet Costs</t>
  </si>
  <si>
    <t>Insurance &amp; Damages</t>
  </si>
  <si>
    <t>Support to operations</t>
  </si>
  <si>
    <t>Infrastructure Costs</t>
  </si>
  <si>
    <t>O - Other Costs</t>
  </si>
  <si>
    <t>Vector Reconciliation (unallocated Gross Margin items)</t>
  </si>
  <si>
    <t>GROSS MARGIN excluding subcontracted activity</t>
  </si>
  <si>
    <t>GROSS MARGIN</t>
  </si>
  <si>
    <t>Business Dev. &amp; Commercial</t>
  </si>
  <si>
    <t>Communications</t>
  </si>
  <si>
    <t>Finance</t>
  </si>
  <si>
    <t>General Management</t>
  </si>
  <si>
    <t>Facility Management</t>
  </si>
  <si>
    <t>HR</t>
  </si>
  <si>
    <t>Internal Audit</t>
  </si>
  <si>
    <t>IT</t>
  </si>
  <si>
    <t>Legal</t>
  </si>
  <si>
    <t>Purchasing</t>
  </si>
  <si>
    <t>R&amp;D</t>
  </si>
  <si>
    <t>Risk management</t>
  </si>
  <si>
    <t>QHSE</t>
  </si>
  <si>
    <t>Technical department</t>
  </si>
  <si>
    <t>Tax management</t>
  </si>
  <si>
    <t>Management fees</t>
  </si>
  <si>
    <t>Vector Reconciliation (unallocated SG&amp;A items)</t>
  </si>
  <si>
    <t>SG&amp;A</t>
  </si>
  <si>
    <t>OTHER OPERATING REVENUE AND EXPENSE</t>
  </si>
  <si>
    <t>PROFIT OR LOSS OF JOINT VENTURES</t>
  </si>
  <si>
    <t>PROFIT OR LOSS OF ASSOCIATES</t>
  </si>
  <si>
    <t>RESOP_bef_mgmt_fees - OPERATING PROFIT bef. Mgmt &amp; Brand fees</t>
  </si>
  <si>
    <t>EBIT before MF</t>
  </si>
  <si>
    <t>EBIT after MF</t>
  </si>
  <si>
    <t>% EBIT after MF</t>
  </si>
  <si>
    <t>CAPEX</t>
  </si>
  <si>
    <t>Net Industrial CAPEX - Rolling stock</t>
  </si>
  <si>
    <t>Net Industrial CAPEX - Buildings plants &amp; equipment</t>
  </si>
  <si>
    <t>Net Industrial CAPEX - IT</t>
  </si>
  <si>
    <t>Net Industrial CAPEX - Other</t>
  </si>
  <si>
    <t>TOTAL CAPEX</t>
  </si>
  <si>
    <t>Revenues from financing on behalf of third parties - I12 financial receivables</t>
  </si>
  <si>
    <t>Theorical MF (0,8%)</t>
  </si>
  <si>
    <t>Result post MF bf tax</t>
  </si>
  <si>
    <t>Capital employed with IFRS16 rights-of-use</t>
  </si>
  <si>
    <r>
      <t xml:space="preserve">RETURN ON CAPITAL EMPLOYED </t>
    </r>
    <r>
      <rPr>
        <b/>
        <sz val="9"/>
        <color theme="1"/>
        <rFont val="Calibri"/>
        <family val="2"/>
        <scheme val="minor"/>
      </rPr>
      <t>(simplified)*</t>
    </r>
  </si>
  <si>
    <t>*based on EBIT post tax &amp; theoritical tax / average CAPEM</t>
  </si>
  <si>
    <t>Tot_km_fuel</t>
  </si>
  <si>
    <t>Tot_km_biofuel</t>
  </si>
  <si>
    <t>Tot_km_elec</t>
  </si>
  <si>
    <t>Tot_km_gas</t>
  </si>
  <si>
    <t>Working units</t>
  </si>
  <si>
    <t>Total km (production)</t>
  </si>
  <si>
    <t>FTE Operations - Drivers</t>
  </si>
  <si>
    <t>FTE Maintenance - Technicians</t>
  </si>
  <si>
    <t>FTE Operations - Others</t>
  </si>
  <si>
    <t>FTE Maintenance - Others</t>
  </si>
  <si>
    <t>Total FTEs</t>
  </si>
  <si>
    <t>Fuel liters</t>
  </si>
  <si>
    <t>Biofuel liters</t>
  </si>
  <si>
    <t>kWh gas</t>
  </si>
  <si>
    <t>kWh electricity</t>
  </si>
  <si>
    <t>Fleet (Bus/Coach)</t>
  </si>
  <si>
    <t>Fleet (Light vehicles)</t>
  </si>
  <si>
    <t>Fleet (LRV)</t>
  </si>
  <si>
    <t>Fleet (Heavy Rail)</t>
  </si>
  <si>
    <t>Fleet (BRT)</t>
  </si>
  <si>
    <t>Fleet (Ferries)</t>
  </si>
  <si>
    <t>Driver absenteeism (%)</t>
  </si>
  <si>
    <t>Driver open positions</t>
  </si>
  <si>
    <t>Other KPIs</t>
  </si>
  <si>
    <t>% Driving cost</t>
  </si>
  <si>
    <t>% Maintenance</t>
  </si>
  <si>
    <t>% Energy cost</t>
  </si>
  <si>
    <t>% Fleet cost</t>
  </si>
  <si>
    <t>% Other costs</t>
  </si>
  <si>
    <t>% SG&amp;A</t>
  </si>
  <si>
    <t>(E1) Efficiency L/km (fuel)</t>
  </si>
  <si>
    <t>(E1) Efficiency L/km (biofuel)</t>
  </si>
  <si>
    <t>(E1) Efficiency kWh/km (gas)</t>
  </si>
  <si>
    <t>(E1) Efficiency kWh/km (electricity)</t>
  </si>
  <si>
    <t>(D2) Productivity km/FTE</t>
  </si>
  <si>
    <t>(M3) Tech FTE/veh</t>
  </si>
  <si>
    <t>(M4) km/veh (Bus/Coach)</t>
  </si>
  <si>
    <t>(M4) km/veh (Light vehicles)</t>
  </si>
  <si>
    <t>(M4) km/veh (LRV)</t>
  </si>
  <si>
    <t>(M4) km/veh (Heavy Rail)</t>
  </si>
  <si>
    <t>(M4) km/veh (BRT)</t>
  </si>
  <si>
    <t>(M4) km/veh (Ferries)</t>
  </si>
  <si>
    <t>Administration Generic Context :</t>
  </si>
  <si>
    <t>Server</t>
  </si>
  <si>
    <t>xServer</t>
  </si>
  <si>
    <t>tango_core_model:</t>
  </si>
  <si>
    <t>Current_Period</t>
  </si>
  <si>
    <t>z_Year</t>
  </si>
  <si>
    <t>Default_UM</t>
  </si>
  <si>
    <t>z_Year_Selected</t>
  </si>
  <si>
    <t>z_Year_N-1</t>
  </si>
  <si>
    <t>Forecast_Phase</t>
  </si>
  <si>
    <t>z_Forecast_phase</t>
  </si>
  <si>
    <t>z_Current_N-1</t>
  </si>
  <si>
    <t>z_Current_Period</t>
  </si>
  <si>
    <t>z_Year_BUG_FOR</t>
  </si>
  <si>
    <t>PL0000_DO</t>
  </si>
  <si>
    <t>TPL10_dest_nosub</t>
  </si>
  <si>
    <t>TPL10_nat</t>
  </si>
  <si>
    <t/>
  </si>
  <si>
    <t>PL1003_RC_30</t>
  </si>
  <si>
    <t>PL1115S</t>
  </si>
  <si>
    <t>PL1110_DO_10</t>
  </si>
  <si>
    <t>PL1115_DO_20</t>
  </si>
  <si>
    <t>PL1115_DO_99</t>
  </si>
  <si>
    <t>PL1140_DO_10</t>
  </si>
  <si>
    <t>PL1150_DO_10</t>
  </si>
  <si>
    <t>PL1150_DO_11</t>
  </si>
  <si>
    <t>PL1150_DO_90</t>
  </si>
  <si>
    <t>PL1151_DO_10</t>
  </si>
  <si>
    <t>PL1151_DO_11</t>
  </si>
  <si>
    <t>PL1155_DO_10</t>
  </si>
  <si>
    <t>PL1110_MF_10</t>
  </si>
  <si>
    <t>PL1115_MF_20</t>
  </si>
  <si>
    <t>PL1115_MF_11</t>
  </si>
  <si>
    <t>PL1115_MF_25</t>
  </si>
  <si>
    <t>PL1115_MF_12</t>
  </si>
  <si>
    <t>PL1115_MF_30</t>
  </si>
  <si>
    <t>PL1115_MF_31</t>
  </si>
  <si>
    <t>PL1115_MF_32</t>
  </si>
  <si>
    <t>PL1115_MF_99</t>
  </si>
  <si>
    <t>PL1115_ST_10</t>
  </si>
  <si>
    <t>PL1116_MF</t>
  </si>
  <si>
    <t>PL1116_ST</t>
  </si>
  <si>
    <t>PL1117_MF</t>
  </si>
  <si>
    <t>PL1117_ST</t>
  </si>
  <si>
    <t>PL1118_MF</t>
  </si>
  <si>
    <t>PL1118_ST</t>
  </si>
  <si>
    <t>PL1140_MF_10</t>
  </si>
  <si>
    <t>PL1145_MF</t>
  </si>
  <si>
    <t>PL1150_MF_10</t>
  </si>
  <si>
    <t>PL1150_MF_11</t>
  </si>
  <si>
    <t>PL1150_MF_20</t>
  </si>
  <si>
    <t>PL1150_MF_21</t>
  </si>
  <si>
    <t>PL1150_MF_90</t>
  </si>
  <si>
    <t>PL1151_MF_10</t>
  </si>
  <si>
    <t>PL1151_MF_11</t>
  </si>
  <si>
    <t>PL1151_MF_20</t>
  </si>
  <si>
    <t>PL1151_MF_21</t>
  </si>
  <si>
    <t>PL1155_MF_99</t>
  </si>
  <si>
    <t>PL1160_MF_15</t>
  </si>
  <si>
    <t>PL1162_MF</t>
  </si>
  <si>
    <t>PL1162_ST</t>
  </si>
  <si>
    <t>PL1115_ET_83</t>
  </si>
  <si>
    <t>PL1155_ET_18</t>
  </si>
  <si>
    <t>PL1115_ET_80</t>
  </si>
  <si>
    <t>PL1115_ET_801</t>
  </si>
  <si>
    <t>PL1115_ET_802</t>
  </si>
  <si>
    <t>PL1155_ET_15</t>
  </si>
  <si>
    <t>PL1115_ET_81</t>
  </si>
  <si>
    <t>PL1155_ET_16</t>
  </si>
  <si>
    <t>PL1115_ET_82</t>
  </si>
  <si>
    <t>PL1155_ET_17</t>
  </si>
  <si>
    <t>PL1115_ET_99</t>
  </si>
  <si>
    <t>PL1155_ET_99</t>
  </si>
  <si>
    <t>PL1115_FL_55</t>
  </si>
  <si>
    <t>PL1115_FL_56</t>
  </si>
  <si>
    <t>PL1116_FL</t>
  </si>
  <si>
    <t>PL1117_FL</t>
  </si>
  <si>
    <t>PL1118_FL</t>
  </si>
  <si>
    <t>PL1140_FL_05</t>
  </si>
  <si>
    <t>PL1150_FL_10</t>
  </si>
  <si>
    <t>PL1151_FL_10</t>
  </si>
  <si>
    <t>PL1160_FL_10</t>
  </si>
  <si>
    <t>PL1162_FL</t>
  </si>
  <si>
    <t>PL1115_FL_65</t>
  </si>
  <si>
    <t>PL1115_FL_70</t>
  </si>
  <si>
    <t>PL1155_FL_99</t>
  </si>
  <si>
    <t>PL1110_CD_10</t>
  </si>
  <si>
    <t>PL1110_CD_20</t>
  </si>
  <si>
    <t>PL1110_CD_30</t>
  </si>
  <si>
    <t>PL1115_CD_20</t>
  </si>
  <si>
    <t>PL1115_CD_40</t>
  </si>
  <si>
    <t>PL1115_CD_45</t>
  </si>
  <si>
    <t>PL1115_CD_50</t>
  </si>
  <si>
    <t>PL1115_CD_51</t>
  </si>
  <si>
    <t>PL1115_CD_99</t>
  </si>
  <si>
    <t>PL1140_CD_10</t>
  </si>
  <si>
    <t>PL1150_CD_15</t>
  </si>
  <si>
    <t>PL1150_CD_25</t>
  </si>
  <si>
    <t>PL1150_CD_90</t>
  </si>
  <si>
    <t>PL1110_CS_10</t>
  </si>
  <si>
    <t>PL1155_CS_99</t>
  </si>
  <si>
    <t>PL1115_CS_20</t>
  </si>
  <si>
    <t>PL1115_CS_99</t>
  </si>
  <si>
    <t>PL1140_CS_05</t>
  </si>
  <si>
    <t>PL1150_CS_10</t>
  </si>
  <si>
    <t>PL1150_CS_11</t>
  </si>
  <si>
    <t>PL1150_CS_90</t>
  </si>
  <si>
    <t>Cust_service</t>
  </si>
  <si>
    <t>PL1110_DS_10</t>
  </si>
  <si>
    <t>PL1116_DS</t>
  </si>
  <si>
    <t>PL1145_DS</t>
  </si>
  <si>
    <t>PL1155_DS_99</t>
  </si>
  <si>
    <t>PL1115_DS_20</t>
  </si>
  <si>
    <t>PL1115_DS_70</t>
  </si>
  <si>
    <t>PL1115_DS_75</t>
  </si>
  <si>
    <t>PL1115_DS_99</t>
  </si>
  <si>
    <t>PL1118_DS</t>
  </si>
  <si>
    <t>PL1140_DS_10</t>
  </si>
  <si>
    <t>PL1150_DS_10</t>
  </si>
  <si>
    <t>PL1150_DS_11</t>
  </si>
  <si>
    <t>PL1150_DS_90</t>
  </si>
  <si>
    <t>PL1116_IN</t>
  </si>
  <si>
    <t>PL1155_IN_99</t>
  </si>
  <si>
    <t>PL1115_IN_60</t>
  </si>
  <si>
    <t>PL1115_IN_65</t>
  </si>
  <si>
    <t>PL1115_IN_55</t>
  </si>
  <si>
    <t>PL1140_IN_05</t>
  </si>
  <si>
    <t>PL1160_IN_15</t>
  </si>
  <si>
    <t>PL1150_IN_90</t>
  </si>
  <si>
    <t>PL1110_MI_10</t>
  </si>
  <si>
    <t>PL1116_MI</t>
  </si>
  <si>
    <t>PL1145_MI</t>
  </si>
  <si>
    <t>PL1155_MI_99</t>
  </si>
  <si>
    <t>PL1115_MI_99</t>
  </si>
  <si>
    <t>PL1115_MI_12</t>
  </si>
  <si>
    <t>PL1115_MI_11</t>
  </si>
  <si>
    <t>PL1140_MI_10</t>
  </si>
  <si>
    <t>PL1150_MI_10</t>
  </si>
  <si>
    <t>PL1100_AC</t>
  </si>
  <si>
    <t>PL1110_AC_20</t>
  </si>
  <si>
    <t>PL1115_AC_65</t>
  </si>
  <si>
    <t>PL1116_AC</t>
  </si>
  <si>
    <t>PL1126_AC</t>
  </si>
  <si>
    <t>PL1140_AC_10</t>
  </si>
  <si>
    <t>PL1155_AC_99</t>
  </si>
  <si>
    <t>PL1165_AC</t>
  </si>
  <si>
    <t>PL1145_AC</t>
  </si>
  <si>
    <t>PL1150_AC_30</t>
  </si>
  <si>
    <t>PL1150_AC_31</t>
  </si>
  <si>
    <t>PL1150_AC_90</t>
  </si>
  <si>
    <t>PL1150_AC_91</t>
  </si>
  <si>
    <t>PL1170_AC</t>
  </si>
  <si>
    <t>PL1175_AC</t>
  </si>
  <si>
    <t>PL1100_XX</t>
  </si>
  <si>
    <t>PL1105_XX</t>
  </si>
  <si>
    <t>PL1110_XX</t>
  </si>
  <si>
    <t>PL1111_XX</t>
  </si>
  <si>
    <t>PL1115_XX</t>
  </si>
  <si>
    <t>PL1115A_XX</t>
  </si>
  <si>
    <t>PL1115S_XX</t>
  </si>
  <si>
    <t>PL1116_XX</t>
  </si>
  <si>
    <t>PL1117_XX</t>
  </si>
  <si>
    <t>PL1118_XX</t>
  </si>
  <si>
    <t>PL1120_XX</t>
  </si>
  <si>
    <t>PL1125_XX</t>
  </si>
  <si>
    <t>PL1126_XX</t>
  </si>
  <si>
    <t>PL1130_XX</t>
  </si>
  <si>
    <t>PL1135_XX</t>
  </si>
  <si>
    <t>PL1140_XX</t>
  </si>
  <si>
    <t>PL1145_XX</t>
  </si>
  <si>
    <t>PL1150_XX</t>
  </si>
  <si>
    <t>PL1151_XX</t>
  </si>
  <si>
    <t>PL1155_XX</t>
  </si>
  <si>
    <t>PL1160_XX</t>
  </si>
  <si>
    <t>PL1161_XX</t>
  </si>
  <si>
    <t>PL1162_XX</t>
  </si>
  <si>
    <t>PL1165_XX</t>
  </si>
  <si>
    <t>PL1170_XX</t>
  </si>
  <si>
    <t>PL1175_XX</t>
  </si>
  <si>
    <t>PL1180_XX</t>
  </si>
  <si>
    <t>PL1181_XX</t>
  </si>
  <si>
    <t>PL1182_XX</t>
  </si>
  <si>
    <t>PL1183_XX</t>
  </si>
  <si>
    <t>PL1184_XX</t>
  </si>
  <si>
    <t>GROSS_MARGIN_dest</t>
  </si>
  <si>
    <t>PL0000_BD</t>
  </si>
  <si>
    <t>PL0000_TPL12</t>
  </si>
  <si>
    <t>PL0000_CO</t>
  </si>
  <si>
    <t>PL0000_FI</t>
  </si>
  <si>
    <t>PL0000_GM</t>
  </si>
  <si>
    <t>PL0000_GS</t>
  </si>
  <si>
    <t>PL0000_HR</t>
  </si>
  <si>
    <t>PL0000_IA</t>
  </si>
  <si>
    <t>PL0000_IT</t>
  </si>
  <si>
    <t>PL0000_LE</t>
  </si>
  <si>
    <t>PL0000_PU</t>
  </si>
  <si>
    <t>PL0000_RD</t>
  </si>
  <si>
    <t>PL0000_RM</t>
  </si>
  <si>
    <t>PL0000_SE</t>
  </si>
  <si>
    <t>PL0000_TD</t>
  </si>
  <si>
    <t>PL0000_TM</t>
  </si>
  <si>
    <t>PL0000_MGF</t>
  </si>
  <si>
    <t>PL0000_TPL13</t>
  </si>
  <si>
    <t>PL0000_OO</t>
  </si>
  <si>
    <t>PL0000_TPL14</t>
  </si>
  <si>
    <t>PL1500_JV</t>
  </si>
  <si>
    <t>PL1500_XX</t>
  </si>
  <si>
    <t>PL1520_JV</t>
  </si>
  <si>
    <t>PL1520_XX</t>
  </si>
  <si>
    <t>PL1600_AS</t>
  </si>
  <si>
    <t>PL1600_XX</t>
  </si>
  <si>
    <t>PL1620_AS</t>
  </si>
  <si>
    <t>PL1620_XX</t>
  </si>
  <si>
    <t>TPL5</t>
  </si>
  <si>
    <t>RESOP_bef_mgmt_fees</t>
  </si>
  <si>
    <t>TPL1_nat</t>
  </si>
  <si>
    <t>CAPEX_RS</t>
  </si>
  <si>
    <t>DISP_RS</t>
  </si>
  <si>
    <t>CAPEX_BE</t>
  </si>
  <si>
    <t>DISP_BE</t>
  </si>
  <si>
    <t>CAPEX_Other</t>
  </si>
  <si>
    <t>DISP_Other</t>
  </si>
  <si>
    <t>PL1005I12C</t>
  </si>
  <si>
    <t>TCI1A</t>
  </si>
  <si>
    <t>Tot_km</t>
  </si>
  <si>
    <t>Nb_Drivers</t>
  </si>
  <si>
    <t>Nb_Conductors</t>
  </si>
  <si>
    <t>Nb_Maintenance_team</t>
  </si>
  <si>
    <t>Nb_FTE</t>
  </si>
  <si>
    <t>Fuel_consu</t>
  </si>
  <si>
    <t>Biofuel_consu</t>
  </si>
  <si>
    <t>Gas_consu_kwh</t>
  </si>
  <si>
    <t>Elec_consu</t>
  </si>
  <si>
    <t>Tot_km_bus_coach</t>
  </si>
  <si>
    <t>Tot_km_light_vehicle</t>
  </si>
  <si>
    <t>Tot_km_LRV</t>
  </si>
  <si>
    <t>Tot_km_heavy_rail</t>
  </si>
  <si>
    <t>Tot_km_BRT</t>
  </si>
  <si>
    <t>Tot_km_ferries</t>
  </si>
  <si>
    <t>Nb_FTE_Drivers</t>
  </si>
  <si>
    <t>Nb_FTE_Maintenance_Technicians</t>
  </si>
  <si>
    <t>Nb_FTE_Operations_Others</t>
  </si>
  <si>
    <t>Nb_FTE_Maintenance_Others</t>
  </si>
  <si>
    <t>CAPEX_IT</t>
  </si>
  <si>
    <t>DISP_IT</t>
  </si>
  <si>
    <t>Tot_nb_bus_coach</t>
  </si>
  <si>
    <t>Tot_nb_light_vehicle</t>
  </si>
  <si>
    <t>Tot_nb_LRV</t>
  </si>
  <si>
    <t>Tot_nb_heavy_rail</t>
  </si>
  <si>
    <t>Tot_nb_BRT</t>
  </si>
  <si>
    <t>Tot_nb_ferries</t>
  </si>
  <si>
    <t>Driver_absenteeism</t>
  </si>
  <si>
    <t>Driver_turnover</t>
  </si>
  <si>
    <t>Nb_Driver_open_positions</t>
  </si>
  <si>
    <t>Customer Service</t>
  </si>
  <si>
    <t>tango_core_model</t>
  </si>
  <si>
    <t>PL1155_ET_17 - Reinvoicing - Gas</t>
  </si>
  <si>
    <t>Driver turnover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</si>
</sst>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164" formatCode="_-* #,##0.00\ _€_-;\-* #,##0.00\ _€_-;_-* &quot;-&quot;??\ _€_-;_-@_-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_-* #,##0.0\ _€_-;\-* #,##0.0\ _€_-;_-* &quot;-&quot;??\ _€_-;_-@_-"/>
    <numFmt numFmtId="169" formatCode="_-* #,##0.0\ _€_-;\-* #,##0.0\ _€_-;_-* &quot;-&quot;?\ _€_-;_-@_-"/>
    <numFmt numFmtId="170" formatCode="0.0%"/>
    <numFmt numFmtId="171" formatCode="&quot;$&quot;\ \ \ #,##0;\(&quot;$&quot;\ \ \ #,##0\)"/>
    <numFmt numFmtId="172" formatCode="#,##0;\(#,##0\)"/>
    <numFmt numFmtId="173" formatCode="#,##0.0;\(#,##0.0\);\-"/>
    <numFmt numFmtId="174" formatCode="_(* #,##0_);_(* \(#,##0\);_(* &quot;&quot;\ \-\ &quot;&quot;_);_(@_)"/>
    <numFmt numFmtId="175" formatCode="_(* #,##0.0_%_);_(* \(#,##0.0_%\);_(* &quot; - &quot;_%_);_(@_)"/>
    <numFmt numFmtId="176" formatCode="_(* #,##0.0%_);_(* \(#,##0.0%\);_(* &quot; - &quot;\%_);_(@_)"/>
    <numFmt numFmtId="177" formatCode="_(* #,##0_);_(* \(#,##0\);_(* &quot; - &quot;_);_(@_)"/>
    <numFmt numFmtId="178" formatCode="_(* #,##0.0_);_(* \(#,##0.0\);_(* &quot; - &quot;_);_(@_)"/>
    <numFmt numFmtId="179" formatCode="_(* #,##0.00_);_(* \(#,##0.00\);_(* &quot; - &quot;_);_(@_)"/>
    <numFmt numFmtId="180" formatCode="_(* #,##0.000_);_(* \(#,##0.000\);_(* &quot; - &quot;_);_(@_)"/>
    <numFmt numFmtId="181" formatCode="#,##0;\(#,##0\);&quot;-&quot;"/>
    <numFmt numFmtId="182" formatCode="#,##0.0_)\x;\(#,##0.0\)\x;#,##0.0_)\x;@_)_x"/>
    <numFmt numFmtId="183" formatCode="#,##0.0&quot; &quot;;\(#,##0.0\)&quot;&quot;;&quot;- &quot;"/>
    <numFmt numFmtId="184" formatCode="_-* #,##0.0000\ _€_-;\-* #,##0.0000\ _€_-;_-* &quot;-&quot;????\ _€_-;_-@_-"/>
    <numFmt numFmtId="185" formatCode="_-* #,##0.000\ _€_-;\-* #,##0.000\ _€_-;_-* &quot;-&quot;?\ _€_-;_-@_-"/>
    <numFmt numFmtId="186" formatCode="#,##0.0\ _€;\-#,##0.0\ _€;&quot;-&quot;"/>
  </numFmts>
  <fonts count="9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Verdana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2"/>
      <name val="Times New Roman"/>
      <family val="1"/>
    </font>
    <font>
      <sz val="11"/>
      <color indexed="10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sz val="11"/>
      <color indexed="62"/>
      <name val="Calibri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u/>
      <sz val="10"/>
      <color indexed="14"/>
      <name val="MS Sans Serif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1"/>
      <color indexed="20"/>
      <name val="Calibri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1"/>
      <color indexed="60"/>
      <name val="Calibri"/>
      <family val="2"/>
    </font>
    <font>
      <sz val="10"/>
      <name val="Courier"/>
      <family val="3"/>
    </font>
    <font>
      <sz val="12"/>
      <name val="Arial MT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sz val="11"/>
      <color indexed="17"/>
      <name val="Calibri"/>
      <family val="2"/>
    </font>
    <font>
      <sz val="10"/>
      <color indexed="12"/>
      <name val="Times New Roman"/>
      <family val="1"/>
    </font>
    <font>
      <b/>
      <sz val="11"/>
      <color indexed="63"/>
      <name val="Calibri"/>
      <family val="2"/>
    </font>
    <font>
      <b/>
      <sz val="8"/>
      <name val="Arial"/>
      <family val="2"/>
    </font>
    <font>
      <i/>
      <sz val="11"/>
      <color indexed="23"/>
      <name val="Calibri"/>
      <family val="2"/>
    </font>
    <font>
      <b/>
      <sz val="12"/>
      <name val="Avant Garde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name val="Helv"/>
    </font>
    <font>
      <b/>
      <sz val="11"/>
      <color indexed="9"/>
      <name val="Calibri"/>
      <family val="2"/>
    </font>
    <font>
      <b/>
      <sz val="10"/>
      <color indexed="12"/>
      <name val="Book Antiqua"/>
      <family val="1"/>
    </font>
    <font>
      <i/>
      <sz val="11"/>
      <color rgb="FFFF0000"/>
      <name val="Calibri"/>
      <family val="2"/>
      <scheme val="minor"/>
    </font>
    <font>
      <b/>
      <sz val="11"/>
      <color rgb="FF3391AA"/>
      <name val="Calibri"/>
      <family val="2"/>
      <scheme val="minor"/>
    </font>
    <font>
      <b/>
      <sz val="14"/>
      <color rgb="FF3391AA"/>
      <name val="Calibri"/>
      <family val="2"/>
      <scheme val="minor"/>
    </font>
    <font>
      <b/>
      <sz val="18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2"/>
      <color rgb="FF000000"/>
      <name val="Calibri"/>
      <family val="2"/>
    </font>
    <font>
      <sz val="11"/>
      <name val="Arial"/>
      <family val="2"/>
    </font>
    <font>
      <sz val="12"/>
      <color indexed="8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3391AA"/>
      <name val="Calibri"/>
      <family val="2"/>
    </font>
    <font>
      <b/>
      <sz val="10"/>
      <color indexed="9"/>
      <name val="Calibri"/>
      <family val="2"/>
    </font>
    <font>
      <b/>
      <sz val="12"/>
      <color indexed="9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65"/>
        <bgColor indexed="1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9B8C7"/>
        <bgColor indexed="64"/>
      </patternFill>
    </fill>
    <fill>
      <patternFill patternType="solid">
        <fgColor rgb="FFB5E3E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</fills>
  <borders count="3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426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167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" fillId="0" borderId="0" applyNumberFormat="0" applyBorder="0" applyAlignment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1" fontId="12" fillId="0" borderId="0" applyAlignment="0"/>
    <xf numFmtId="10" fontId="13" fillId="0" borderId="0"/>
    <xf numFmtId="9" fontId="14" fillId="0" borderId="0"/>
    <xf numFmtId="0" fontId="14" fillId="0" borderId="0"/>
    <xf numFmtId="10" fontId="14" fillId="0" borderId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2" fontId="14" fillId="0" borderId="0"/>
    <xf numFmtId="3" fontId="12" fillId="0" borderId="0"/>
    <xf numFmtId="2" fontId="12" fillId="0" borderId="0"/>
    <xf numFmtId="10" fontId="12" fillId="0" borderId="0" applyFont="0" applyBorder="0" applyAlignment="0">
      <alignment horizontal="centerContinuous"/>
    </xf>
    <xf numFmtId="0" fontId="15" fillId="0" borderId="11" applyFont="0" applyFill="0" applyBorder="0" applyAlignment="0" applyProtection="0"/>
    <xf numFmtId="172" fontId="14" fillId="0" borderId="0"/>
    <xf numFmtId="172" fontId="14" fillId="0" borderId="0"/>
    <xf numFmtId="172" fontId="14" fillId="0" borderId="0"/>
    <xf numFmtId="1" fontId="12" fillId="0" borderId="0" applyFont="0" applyAlignment="0">
      <alignment horizontal="centerContinuous"/>
    </xf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8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8" fillId="0" borderId="7" applyFont="0">
      <alignment horizontal="centerContinuous"/>
    </xf>
    <xf numFmtId="0" fontId="19" fillId="0" borderId="0" applyNumberFormat="0" applyFill="0" applyBorder="0" applyAlignment="0" applyProtection="0"/>
    <xf numFmtId="0" fontId="20" fillId="0" borderId="0"/>
    <xf numFmtId="9" fontId="13" fillId="0" borderId="0"/>
    <xf numFmtId="0" fontId="13" fillId="0" borderId="0"/>
    <xf numFmtId="0" fontId="1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3" fillId="0" borderId="0"/>
    <xf numFmtId="0" fontId="13" fillId="0" borderId="0"/>
    <xf numFmtId="0" fontId="21" fillId="0" borderId="0"/>
    <xf numFmtId="0" fontId="14" fillId="0" borderId="0"/>
    <xf numFmtId="38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4" fillId="0" borderId="0"/>
    <xf numFmtId="0" fontId="18" fillId="0" borderId="7" applyNumberFormat="0" applyFill="0" applyAlignment="0" applyProtection="0"/>
    <xf numFmtId="0" fontId="22" fillId="0" borderId="7" applyNumberFormat="0" applyFont="0" applyFill="0" applyAlignment="0" applyProtection="0"/>
    <xf numFmtId="0" fontId="20" fillId="0" borderId="6"/>
    <xf numFmtId="0" fontId="14" fillId="0" borderId="7">
      <alignment horizontal="centerContinuous"/>
    </xf>
    <xf numFmtId="0" fontId="21" fillId="0" borderId="12" applyBorder="0">
      <alignment horizontal="centerContinuous"/>
    </xf>
    <xf numFmtId="0" fontId="1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13" fillId="0" borderId="0"/>
    <xf numFmtId="0" fontId="24" fillId="0" borderId="0"/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0" fillId="0" borderId="0">
      <alignment horizontal="right"/>
    </xf>
    <xf numFmtId="0" fontId="24" fillId="0" borderId="0"/>
    <xf numFmtId="37" fontId="14" fillId="0" borderId="0">
      <alignment horizontal="center"/>
    </xf>
    <xf numFmtId="0" fontId="18" fillId="0" borderId="0"/>
    <xf numFmtId="0" fontId="25" fillId="28" borderId="13" applyNumberFormat="0" applyAlignment="0" applyProtection="0"/>
    <xf numFmtId="0" fontId="26" fillId="0" borderId="14" applyNumberFormat="0" applyFill="0" applyAlignment="0" applyProtection="0"/>
    <xf numFmtId="173" fontId="21" fillId="0" borderId="0">
      <alignment horizontal="right" wrapText="1"/>
    </xf>
    <xf numFmtId="0" fontId="14" fillId="0" borderId="0"/>
    <xf numFmtId="0" fontId="27" fillId="0" borderId="0" applyFont="0" applyFill="0" applyBorder="0" applyAlignment="0" applyProtection="0"/>
    <xf numFmtId="40" fontId="27" fillId="0" borderId="0" applyFont="0" applyFill="0" applyBorder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16" fillId="29" borderId="15" applyNumberFormat="0" applyFont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49" fontId="29" fillId="30" borderId="0">
      <alignment vertical="center"/>
    </xf>
    <xf numFmtId="0" fontId="14" fillId="0" borderId="0" applyFont="0" applyFill="0" applyBorder="0" applyAlignment="0" applyProtection="0"/>
    <xf numFmtId="174" fontId="30" fillId="31" borderId="0">
      <alignment horizontal="right"/>
    </xf>
    <xf numFmtId="167" fontId="21" fillId="0" borderId="0" applyFont="0" applyFill="0" applyBorder="0" applyAlignment="0" applyProtection="0"/>
    <xf numFmtId="0" fontId="31" fillId="15" borderId="13" applyNumberFormat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75" fontId="32" fillId="0" borderId="0">
      <alignment horizontal="right" vertical="top"/>
    </xf>
    <xf numFmtId="176" fontId="33" fillId="0" borderId="0">
      <alignment horizontal="right" vertical="top"/>
    </xf>
    <xf numFmtId="176" fontId="32" fillId="0" borderId="0">
      <alignment horizontal="right" vertical="top"/>
    </xf>
    <xf numFmtId="177" fontId="33" fillId="0" borderId="0" applyFill="0" applyBorder="0">
      <alignment horizontal="right" vertical="top"/>
    </xf>
    <xf numFmtId="178" fontId="33" fillId="0" borderId="0" applyFill="0" applyBorder="0">
      <alignment horizontal="right" vertical="top"/>
    </xf>
    <xf numFmtId="179" fontId="33" fillId="0" borderId="0" applyFill="0" applyBorder="0">
      <alignment horizontal="right" vertical="top"/>
    </xf>
    <xf numFmtId="180" fontId="33" fillId="0" borderId="0" applyFill="0" applyBorder="0">
      <alignment horizontal="right" vertical="top"/>
    </xf>
    <xf numFmtId="0" fontId="34" fillId="0" borderId="0">
      <alignment horizontal="center" wrapText="1"/>
    </xf>
    <xf numFmtId="181" fontId="35" fillId="0" borderId="0" applyFill="0" applyBorder="0">
      <alignment vertical="top"/>
    </xf>
    <xf numFmtId="181" fontId="36" fillId="0" borderId="0" applyFill="0" applyBorder="0" applyProtection="0">
      <alignment vertical="top"/>
    </xf>
    <xf numFmtId="181" fontId="37" fillId="0" borderId="0">
      <alignment vertical="top"/>
    </xf>
    <xf numFmtId="165" fontId="33" fillId="0" borderId="0" applyFill="0" applyBorder="0" applyAlignment="0" applyProtection="0">
      <alignment horizontal="right" vertical="top"/>
    </xf>
    <xf numFmtId="181" fontId="38" fillId="0" borderId="0"/>
    <xf numFmtId="0" fontId="33" fillId="0" borderId="0" applyFill="0" applyBorder="0">
      <alignment horizontal="left" vertical="top"/>
    </xf>
    <xf numFmtId="0" fontId="39" fillId="0" borderId="0" applyNumberFormat="0" applyFill="0" applyBorder="0" applyAlignment="0" applyProtection="0"/>
    <xf numFmtId="0" fontId="29" fillId="32" borderId="0">
      <alignment horizontal="right" vertical="center"/>
    </xf>
    <xf numFmtId="0" fontId="21" fillId="33" borderId="0"/>
    <xf numFmtId="0" fontId="40" fillId="0" borderId="0" applyNumberFormat="0" applyFill="0" applyProtection="0">
      <alignment horizontal="left"/>
    </xf>
    <xf numFmtId="0" fontId="41" fillId="0" borderId="0" applyNumberFormat="0" applyFill="0" applyBorder="0" applyAlignment="0" applyProtection="0"/>
    <xf numFmtId="0" fontId="14" fillId="16" borderId="0" applyNumberFormat="0" applyFont="0" applyBorder="0" applyAlignment="0">
      <protection locked="0"/>
    </xf>
    <xf numFmtId="0" fontId="13" fillId="0" borderId="0" applyNumberFormat="0" applyFill="0" applyBorder="0" applyAlignment="0">
      <protection locked="0"/>
    </xf>
    <xf numFmtId="0" fontId="42" fillId="0" borderId="0" applyNumberFormat="0" applyFill="0" applyBorder="0" applyAlignment="0"/>
    <xf numFmtId="0" fontId="43" fillId="11" borderId="0" applyNumberFormat="0" applyBorder="0" applyAlignment="0" applyProtection="0"/>
    <xf numFmtId="38" fontId="44" fillId="0" borderId="0"/>
    <xf numFmtId="38" fontId="45" fillId="0" borderId="0"/>
    <xf numFmtId="38" fontId="46" fillId="0" borderId="0"/>
    <xf numFmtId="38" fontId="47" fillId="0" borderId="0"/>
    <xf numFmtId="0" fontId="48" fillId="0" borderId="0"/>
    <xf numFmtId="0" fontId="48" fillId="0" borderId="0"/>
    <xf numFmtId="0" fontId="29" fillId="34" borderId="0">
      <alignment horizontal="right" vertical="center"/>
    </xf>
    <xf numFmtId="164" fontId="1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49" fontId="49" fillId="30" borderId="0">
      <alignment horizontal="centerContinuous" vertical="center"/>
    </xf>
    <xf numFmtId="0" fontId="50" fillId="35" borderId="0" applyNumberFormat="0" applyBorder="0" applyAlignment="0" applyProtection="0"/>
    <xf numFmtId="0" fontId="20" fillId="0" borderId="0">
      <alignment horizontal="left"/>
    </xf>
    <xf numFmtId="0" fontId="5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53" fillId="0" borderId="0"/>
    <xf numFmtId="0" fontId="2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54" fillId="31" borderId="0">
      <alignment horizontal="left" vertical="top" wrapText="1"/>
    </xf>
    <xf numFmtId="10" fontId="14" fillId="0" borderId="3"/>
    <xf numFmtId="10" fontId="14" fillId="0" borderId="3"/>
    <xf numFmtId="10" fontId="14" fillId="0" borderId="3"/>
    <xf numFmtId="10" fontId="14" fillId="0" borderId="3"/>
    <xf numFmtId="49" fontId="55" fillId="0" borderId="7" applyFill="0" applyProtection="0">
      <alignment vertical="center"/>
    </xf>
    <xf numFmtId="0" fontId="20" fillId="0" borderId="0"/>
    <xf numFmtId="0" fontId="56" fillId="0" borderId="0"/>
    <xf numFmtId="9" fontId="22" fillId="0" borderId="0" applyFont="0" applyFill="0" applyBorder="0" applyAlignment="0" applyProtection="0"/>
    <xf numFmtId="0" fontId="57" fillId="0" borderId="0" applyFont="0" applyFill="0" applyBorder="0" applyAlignment="0" applyProtection="0"/>
    <xf numFmtId="10" fontId="21" fillId="0" borderId="0" applyFont="0" applyFill="0" applyBorder="0" applyAlignment="0" applyProtection="0"/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0" fontId="58" fillId="0" borderId="0" applyFont="0" applyFill="0" applyBorder="0" applyAlignment="0" applyProtection="0">
      <alignment horizontal="center"/>
    </xf>
    <xf numFmtId="9" fontId="2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59" fillId="0" borderId="7"/>
    <xf numFmtId="10" fontId="20" fillId="0" borderId="2"/>
    <xf numFmtId="10" fontId="21" fillId="0" borderId="0"/>
    <xf numFmtId="2" fontId="14" fillId="0" borderId="0">
      <alignment horizontal="right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0"/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11">
      <protection locked="0"/>
    </xf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1" fillId="0" borderId="0">
      <alignment horizontal="center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0" fillId="0" borderId="11">
      <alignment horizontal="centerContinuous"/>
    </xf>
    <xf numFmtId="0" fontId="62" fillId="12" borderId="0" applyNumberFormat="0" applyBorder="0" applyAlignment="0" applyProtection="0"/>
    <xf numFmtId="0" fontId="63" fillId="33" borderId="0" applyNumberFormat="0" applyFont="0" applyBorder="0" applyAlignment="0" applyProtection="0"/>
    <xf numFmtId="0" fontId="29" fillId="30" borderId="0">
      <alignment horizontal="right" vertical="center"/>
    </xf>
    <xf numFmtId="0" fontId="64" fillId="28" borderId="16" applyNumberFormat="0" applyAlignment="0" applyProtection="0"/>
    <xf numFmtId="0" fontId="21" fillId="0" borderId="0"/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Continuous"/>
    </xf>
    <xf numFmtId="0" fontId="18" fillId="0" borderId="7">
      <alignment horizontal="center"/>
    </xf>
    <xf numFmtId="0" fontId="65" fillId="31" borderId="0"/>
    <xf numFmtId="0" fontId="30" fillId="31" borderId="0">
      <alignment horizontal="left"/>
    </xf>
    <xf numFmtId="0" fontId="30" fillId="31" borderId="0">
      <alignment horizontal="left" indent="1"/>
    </xf>
    <xf numFmtId="0" fontId="30" fillId="31" borderId="0">
      <alignment horizontal="left" vertical="center" indent="2"/>
    </xf>
    <xf numFmtId="0" fontId="66" fillId="0" borderId="0" applyNumberFormat="0" applyFill="0" applyBorder="0" applyAlignment="0" applyProtection="0"/>
    <xf numFmtId="0" fontId="67" fillId="0" borderId="5" applyNumberFormat="0" applyFill="0" applyBorder="0" applyAlignment="0" applyProtection="0">
      <alignment horizontal="left"/>
    </xf>
    <xf numFmtId="0" fontId="68" fillId="0" borderId="0" applyNumberFormat="0" applyFill="0" applyBorder="0" applyAlignment="0" applyProtection="0"/>
    <xf numFmtId="0" fontId="69" fillId="0" borderId="17" applyNumberFormat="0" applyFill="0" applyAlignment="0" applyProtection="0"/>
    <xf numFmtId="0" fontId="70" fillId="0" borderId="18" applyNumberFormat="0" applyFill="0" applyAlignment="0" applyProtection="0"/>
    <xf numFmtId="0" fontId="71" fillId="0" borderId="19" applyNumberFormat="0" applyFill="0" applyAlignment="0" applyProtection="0"/>
    <xf numFmtId="0" fontId="71" fillId="0" borderId="0" applyNumberFormat="0" applyFill="0" applyBorder="0" applyAlignment="0" applyProtection="0"/>
    <xf numFmtId="0" fontId="22" fillId="0" borderId="20" applyNumberFormat="0" applyFont="0" applyFill="0" applyAlignment="0" applyProtection="0"/>
    <xf numFmtId="0" fontId="72" fillId="0" borderId="21" applyNumberFormat="0" applyFill="0" applyAlignment="0" applyProtection="0"/>
    <xf numFmtId="0" fontId="73" fillId="0" borderId="0"/>
    <xf numFmtId="0" fontId="74" fillId="36" borderId="22" applyNumberFormat="0" applyAlignment="0" applyProtection="0"/>
    <xf numFmtId="1" fontId="75" fillId="0" borderId="7">
      <alignment horizontal="center"/>
    </xf>
    <xf numFmtId="183" fontId="14" fillId="0" borderId="0" applyFont="0" applyFill="0" applyBorder="0" applyAlignment="0" applyProtection="0">
      <alignment horizontal="right" vertical="center"/>
    </xf>
    <xf numFmtId="0" fontId="21" fillId="0" borderId="0"/>
  </cellStyleXfs>
  <cellXfs count="112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5" fillId="3" borderId="0" xfId="0" applyFon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4" fillId="0" borderId="0" xfId="1" applyNumberFormat="1" applyFont="1" applyBorder="1" applyAlignment="1">
      <alignment horizontal="center"/>
    </xf>
    <xf numFmtId="0" fontId="9" fillId="0" borderId="0" xfId="0" applyFont="1"/>
    <xf numFmtId="0" fontId="6" fillId="3" borderId="0" xfId="0" applyFont="1" applyFill="1" applyAlignment="1">
      <alignment horizontal="center"/>
    </xf>
    <xf numFmtId="0" fontId="9" fillId="5" borderId="0" xfId="2" applyFont="1" applyFill="1" applyAlignment="1">
      <alignment horizontal="left" indent="2"/>
    </xf>
    <xf numFmtId="168" fontId="9" fillId="0" borderId="0" xfId="1" applyNumberFormat="1" applyFont="1" applyBorder="1" applyAlignment="1">
      <alignment horizontal="center"/>
    </xf>
    <xf numFmtId="0" fontId="6" fillId="4" borderId="4" xfId="7" applyFont="1" applyFill="1" applyBorder="1"/>
    <xf numFmtId="0" fontId="9" fillId="0" borderId="0" xfId="0" applyFont="1" applyAlignment="1">
      <alignment horizontal="center"/>
    </xf>
    <xf numFmtId="0" fontId="6" fillId="4" borderId="4" xfId="2" applyFont="1" applyFill="1" applyBorder="1"/>
    <xf numFmtId="0" fontId="9" fillId="7" borderId="0" xfId="2" applyFont="1" applyFill="1"/>
    <xf numFmtId="0" fontId="9" fillId="7" borderId="8" xfId="2" applyFont="1" applyFill="1" applyBorder="1"/>
    <xf numFmtId="168" fontId="9" fillId="7" borderId="8" xfId="0" applyNumberFormat="1" applyFont="1" applyFill="1" applyBorder="1" applyAlignment="1">
      <alignment horizontal="center"/>
    </xf>
    <xf numFmtId="0" fontId="9" fillId="7" borderId="6" xfId="2" applyFont="1" applyFill="1" applyBorder="1"/>
    <xf numFmtId="0" fontId="9" fillId="7" borderId="7" xfId="2" applyFont="1" applyFill="1" applyBorder="1"/>
    <xf numFmtId="0" fontId="9" fillId="0" borderId="9" xfId="2" applyFont="1" applyBorder="1"/>
    <xf numFmtId="0" fontId="8" fillId="8" borderId="4" xfId="7" applyFont="1" applyFill="1" applyBorder="1"/>
    <xf numFmtId="0" fontId="11" fillId="9" borderId="4" xfId="7" applyFont="1" applyFill="1" applyBorder="1"/>
    <xf numFmtId="170" fontId="11" fillId="9" borderId="4" xfId="10" applyNumberFormat="1" applyFont="1" applyFill="1" applyBorder="1" applyAlignment="1">
      <alignment horizontal="right"/>
    </xf>
    <xf numFmtId="0" fontId="11" fillId="7" borderId="8" xfId="2" applyFont="1" applyFill="1" applyBorder="1"/>
    <xf numFmtId="169" fontId="9" fillId="0" borderId="0" xfId="1" applyNumberFormat="1" applyFont="1" applyBorder="1" applyAlignment="1">
      <alignment horizontal="center"/>
    </xf>
    <xf numFmtId="168" fontId="6" fillId="3" borderId="0" xfId="0" applyNumberFormat="1" applyFont="1" applyFill="1" applyAlignment="1">
      <alignment horizontal="center"/>
    </xf>
    <xf numFmtId="0" fontId="7" fillId="0" borderId="0" xfId="0" applyFont="1" applyAlignment="1">
      <alignment horizontal="center" vertical="center" textRotation="90"/>
    </xf>
    <xf numFmtId="0" fontId="11" fillId="0" borderId="0" xfId="7" applyFont="1"/>
    <xf numFmtId="184" fontId="9" fillId="0" borderId="0" xfId="0" applyNumberFormat="1" applyFont="1" applyAlignment="1">
      <alignment horizontal="center"/>
    </xf>
    <xf numFmtId="169" fontId="6" fillId="3" borderId="0" xfId="0" applyNumberFormat="1" applyFont="1" applyFill="1" applyAlignment="1">
      <alignment horizontal="center"/>
    </xf>
    <xf numFmtId="185" fontId="9" fillId="0" borderId="0" xfId="1" applyNumberFormat="1" applyFont="1" applyFill="1" applyBorder="1" applyAlignment="1">
      <alignment horizontal="center"/>
    </xf>
    <xf numFmtId="186" fontId="6" fillId="4" borderId="4" xfId="1" applyNumberFormat="1" applyFont="1" applyFill="1" applyBorder="1" applyAlignment="1">
      <alignment horizontal="right"/>
    </xf>
    <xf numFmtId="186" fontId="9" fillId="0" borderId="0" xfId="1" applyNumberFormat="1" applyFont="1" applyBorder="1" applyAlignment="1">
      <alignment horizontal="right"/>
    </xf>
    <xf numFmtId="186" fontId="9" fillId="7" borderId="0" xfId="1" applyNumberFormat="1" applyFont="1" applyFill="1" applyBorder="1" applyAlignment="1">
      <alignment horizontal="right"/>
    </xf>
    <xf numFmtId="186" fontId="9" fillId="7" borderId="8" xfId="1" applyNumberFormat="1" applyFont="1" applyFill="1" applyBorder="1" applyAlignment="1">
      <alignment horizontal="right"/>
    </xf>
    <xf numFmtId="186" fontId="6" fillId="4" borderId="4" xfId="7" applyNumberFormat="1" applyFont="1" applyFill="1" applyBorder="1" applyAlignment="1">
      <alignment horizontal="right"/>
    </xf>
    <xf numFmtId="186" fontId="11" fillId="7" borderId="8" xfId="1" applyNumberFormat="1" applyFont="1" applyFill="1" applyBorder="1" applyAlignment="1">
      <alignment horizontal="right"/>
    </xf>
    <xf numFmtId="186" fontId="8" fillId="8" borderId="4" xfId="7" applyNumberFormat="1" applyFont="1" applyFill="1" applyBorder="1" applyAlignment="1">
      <alignment horizontal="right"/>
    </xf>
    <xf numFmtId="186" fontId="9" fillId="7" borderId="0" xfId="0" applyNumberFormat="1" applyFont="1" applyFill="1" applyAlignment="1">
      <alignment horizontal="right"/>
    </xf>
    <xf numFmtId="186" fontId="9" fillId="7" borderId="8" xfId="0" applyNumberFormat="1" applyFont="1" applyFill="1" applyBorder="1" applyAlignment="1">
      <alignment horizontal="right"/>
    </xf>
    <xf numFmtId="186" fontId="9" fillId="7" borderId="10" xfId="0" applyNumberFormat="1" applyFont="1" applyFill="1" applyBorder="1" applyAlignment="1">
      <alignment horizontal="right"/>
    </xf>
    <xf numFmtId="186" fontId="9" fillId="7" borderId="7" xfId="0" applyNumberFormat="1" applyFont="1" applyFill="1" applyBorder="1" applyAlignment="1">
      <alignment horizontal="right"/>
    </xf>
    <xf numFmtId="170" fontId="6" fillId="4" borderId="4" xfId="10" applyNumberFormat="1" applyFont="1" applyFill="1" applyBorder="1" applyAlignment="1">
      <alignment horizontal="right"/>
    </xf>
    <xf numFmtId="164" fontId="9" fillId="7" borderId="6" xfId="1" applyFont="1" applyFill="1" applyBorder="1" applyAlignment="1">
      <alignment horizontal="right"/>
    </xf>
    <xf numFmtId="164" fontId="9" fillId="7" borderId="0" xfId="1" applyFont="1" applyFill="1" applyBorder="1" applyAlignment="1">
      <alignment horizontal="right"/>
    </xf>
    <xf numFmtId="164" fontId="9" fillId="7" borderId="8" xfId="1" applyFont="1" applyFill="1" applyBorder="1" applyAlignment="1">
      <alignment horizontal="right"/>
    </xf>
    <xf numFmtId="164" fontId="9" fillId="7" borderId="7" xfId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78" fillId="0" borderId="0" xfId="0" applyFont="1"/>
    <xf numFmtId="0" fontId="0" fillId="0" borderId="0" xfId="0" applyAlignment="1">
      <alignment horizontal="right"/>
    </xf>
    <xf numFmtId="0" fontId="11" fillId="0" borderId="0" xfId="0" applyFont="1" applyAlignment="1">
      <alignment horizontal="right"/>
    </xf>
    <xf numFmtId="0" fontId="9" fillId="0" borderId="0" xfId="2" applyFont="1"/>
    <xf numFmtId="186" fontId="76" fillId="0" borderId="0" xfId="1" applyNumberFormat="1" applyFont="1" applyFill="1" applyBorder="1" applyAlignment="1">
      <alignment horizontal="right"/>
    </xf>
    <xf numFmtId="0" fontId="9" fillId="7" borderId="24" xfId="2" applyFont="1" applyFill="1" applyBorder="1"/>
    <xf numFmtId="0" fontId="7" fillId="0" borderId="0" xfId="0" applyFont="1" applyAlignment="1">
      <alignment vertical="center" textRotation="90"/>
    </xf>
    <xf numFmtId="170" fontId="6" fillId="0" borderId="0" xfId="10" applyNumberFormat="1" applyFont="1" applyFill="1" applyBorder="1" applyAlignment="1">
      <alignment horizontal="right"/>
    </xf>
    <xf numFmtId="164" fontId="9" fillId="0" borderId="0" xfId="1" applyFont="1" applyFill="1" applyBorder="1" applyAlignment="1">
      <alignment horizontal="right"/>
    </xf>
    <xf numFmtId="39" fontId="9" fillId="7" borderId="8" xfId="1" applyNumberFormat="1" applyFont="1" applyFill="1" applyBorder="1" applyAlignment="1">
      <alignment horizontal="right"/>
    </xf>
    <xf numFmtId="39" fontId="9" fillId="7" borderId="6" xfId="1" applyNumberFormat="1" applyFont="1" applyFill="1" applyBorder="1" applyAlignment="1">
      <alignment horizontal="right"/>
    </xf>
    <xf numFmtId="39" fontId="9" fillId="7" borderId="24" xfId="1" applyNumberFormat="1" applyFont="1" applyFill="1" applyBorder="1" applyAlignment="1">
      <alignment horizontal="right"/>
    </xf>
    <xf numFmtId="0" fontId="8" fillId="6" borderId="25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0" fillId="0" borderId="0" xfId="7" applyFont="1"/>
    <xf numFmtId="0" fontId="0" fillId="37" borderId="0" xfId="0" applyFill="1"/>
    <xf numFmtId="0" fontId="0" fillId="0" borderId="26" xfId="0" applyBorder="1"/>
    <xf numFmtId="0" fontId="82" fillId="0" borderId="26" xfId="0" applyFont="1" applyBorder="1"/>
    <xf numFmtId="0" fontId="84" fillId="0" borderId="0" xfId="0" quotePrefix="1" applyNumberFormat="1" applyFont="1" applyFill="1" applyBorder="1" applyAlignment="1" applyProtection="1">
      <alignment vertical="center"/>
    </xf>
    <xf numFmtId="0" fontId="77" fillId="0" borderId="23" xfId="0" applyFont="1" applyFill="1" applyBorder="1" applyAlignment="1">
      <alignment horizontal="center"/>
    </xf>
    <xf numFmtId="0" fontId="82" fillId="0" borderId="26" xfId="0" applyFont="1" applyFill="1" applyBorder="1"/>
    <xf numFmtId="0" fontId="0" fillId="0" borderId="26" xfId="0" applyBorder="1" applyAlignment="1">
      <alignment horizontal="left"/>
    </xf>
    <xf numFmtId="186" fontId="4" fillId="0" borderId="0" xfId="0" applyNumberFormat="1" applyFont="1" applyAlignment="1">
      <alignment horizontal="center"/>
    </xf>
    <xf numFmtId="0" fontId="82" fillId="0" borderId="0" xfId="0" applyFont="1" applyFill="1" applyBorder="1"/>
    <xf numFmtId="0" fontId="0" fillId="0" borderId="0" xfId="0" applyBorder="1"/>
    <xf numFmtId="0" fontId="4" fillId="37" borderId="0" xfId="0" applyFont="1" applyFill="1"/>
    <xf numFmtId="0" fontId="6" fillId="0" borderId="9" xfId="0" applyFont="1" applyFill="1" applyBorder="1" applyAlignment="1">
      <alignment horizontal="center"/>
    </xf>
    <xf numFmtId="0" fontId="16" fillId="0" borderId="0" xfId="0" applyNumberFormat="1" applyFont="1" applyFill="1" applyBorder="1" applyAlignment="1" applyProtection="1">
      <alignment horizontal="left" vertical="center" indent="1"/>
    </xf>
    <xf numFmtId="186" fontId="9" fillId="0" borderId="0" xfId="1" applyNumberFormat="1" applyFont="1" applyFill="1" applyBorder="1" applyAlignment="1">
      <alignment horizontal="right"/>
    </xf>
    <xf numFmtId="0" fontId="4" fillId="0" borderId="0" xfId="0" applyFont="1" applyFill="1"/>
    <xf numFmtId="10" fontId="9" fillId="7" borderId="6" xfId="10" applyNumberFormat="1" applyFont="1" applyFill="1" applyBorder="1" applyAlignment="1">
      <alignment horizontal="right"/>
    </xf>
    <xf numFmtId="10" fontId="9" fillId="7" borderId="8" xfId="10" applyNumberFormat="1" applyFont="1" applyFill="1" applyBorder="1" applyAlignment="1">
      <alignment horizontal="right"/>
    </xf>
    <xf numFmtId="10" fontId="9" fillId="7" borderId="0" xfId="10" applyNumberFormat="1" applyFont="1" applyFill="1" applyBorder="1" applyAlignment="1">
      <alignment horizontal="right"/>
    </xf>
    <xf numFmtId="10" fontId="9" fillId="7" borderId="24" xfId="10" applyNumberFormat="1" applyFont="1" applyFill="1" applyBorder="1" applyAlignment="1">
      <alignment horizontal="right"/>
    </xf>
    <xf numFmtId="0" fontId="85" fillId="38" borderId="0" xfId="0" applyNumberFormat="1" applyFont="1" applyFill="1" applyBorder="1" applyAlignment="1" applyProtection="1"/>
    <xf numFmtId="0" fontId="85" fillId="38" borderId="27" xfId="0" applyNumberFormat="1" applyFont="1" applyFill="1" applyBorder="1" applyAlignment="1" applyProtection="1"/>
    <xf numFmtId="0" fontId="85" fillId="38" borderId="28" xfId="0" applyNumberFormat="1" applyFont="1" applyFill="1" applyBorder="1" applyAlignment="1" applyProtection="1"/>
    <xf numFmtId="0" fontId="77" fillId="4" borderId="23" xfId="0" applyFont="1" applyFill="1" applyBorder="1" applyAlignment="1">
      <alignment horizontal="center" wrapText="1"/>
    </xf>
    <xf numFmtId="0" fontId="85" fillId="38" borderId="29" xfId="0" applyNumberFormat="1" applyFont="1" applyFill="1" applyBorder="1" applyAlignment="1" applyProtection="1"/>
    <xf numFmtId="0" fontId="85" fillId="38" borderId="30" xfId="0" applyNumberFormat="1" applyFont="1" applyFill="1" applyBorder="1" applyAlignment="1" applyProtection="1"/>
    <xf numFmtId="0" fontId="85" fillId="38" borderId="31" xfId="0" applyNumberFormat="1" applyFont="1" applyFill="1" applyBorder="1" applyAlignment="1" applyProtection="1"/>
    <xf numFmtId="0" fontId="77" fillId="0" borderId="23" xfId="0" applyFont="1" applyFill="1" applyBorder="1" applyAlignment="1">
      <alignment horizontal="centerContinuous" vertical="center" wrapText="1"/>
    </xf>
    <xf numFmtId="0" fontId="77" fillId="0" borderId="23" xfId="0" applyFont="1" applyFill="1" applyBorder="1" applyAlignment="1">
      <alignment horizontal="centerContinuous" vertical="center"/>
    </xf>
    <xf numFmtId="0" fontId="0" fillId="6" borderId="0" xfId="0" applyFill="1"/>
    <xf numFmtId="0" fontId="82" fillId="6" borderId="0" xfId="0" applyFont="1" applyFill="1" applyBorder="1"/>
    <xf numFmtId="0" fontId="87" fillId="6" borderId="0" xfId="0" applyFont="1" applyFill="1"/>
    <xf numFmtId="0" fontId="86" fillId="6" borderId="0" xfId="0" applyFont="1" applyFill="1" applyBorder="1"/>
    <xf numFmtId="0" fontId="4" fillId="6" borderId="0" xfId="0" applyFont="1" applyFill="1" applyAlignment="1">
      <alignment horizontal="center"/>
    </xf>
    <xf numFmtId="0" fontId="9" fillId="7" borderId="0" xfId="2" applyFont="1" applyFill="1" applyAlignment="1">
      <alignment horizontal="left" indent="2"/>
    </xf>
    <xf numFmtId="0" fontId="90" fillId="39" borderId="32" xfId="0" applyNumberFormat="1" applyFont="1" applyFill="1" applyBorder="1" applyAlignment="1" applyProtection="1">
      <alignment horizontal="center"/>
    </xf>
    <xf numFmtId="186" fontId="92" fillId="8" borderId="33" xfId="0" applyNumberFormat="1" applyFont="1" applyFill="1" applyBorder="1" applyAlignment="1" applyProtection="1">
      <alignment horizontal="right"/>
    </xf>
    <xf numFmtId="186" fontId="9" fillId="0" borderId="34" xfId="1" applyNumberFormat="1" applyFont="1" applyFill="1" applyBorder="1" applyAlignment="1">
      <alignment horizontal="right"/>
    </xf>
    <xf numFmtId="0" fontId="79" fillId="6" borderId="0" xfId="0" applyFont="1" applyFill="1" applyAlignment="1">
      <alignment horizontal="center" vertical="center"/>
    </xf>
    <xf numFmtId="0" fontId="88" fillId="6" borderId="0" xfId="0" applyFont="1" applyFill="1" applyBorder="1" applyAlignment="1">
      <alignment horizontal="center" vertical="center"/>
    </xf>
    <xf numFmtId="0" fontId="89" fillId="6" borderId="0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7" fillId="6" borderId="0" xfId="0" applyFont="1" applyFill="1" applyAlignment="1">
      <alignment horizontal="center" vertical="center" textRotation="90"/>
    </xf>
    <xf numFmtId="0" fontId="10" fillId="6" borderId="25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1" fillId="6" borderId="0" xfId="0" applyNumberFormat="1" applyFont="1" applyFill="1" applyBorder="1" applyAlignment="1" applyProtection="1">
      <alignment horizontal="center" vertical="center" wrapText="1"/>
    </xf>
    <xf numFmtId="186" fontId="9" fillId="7" borderId="35" xfId="1" applyNumberFormat="1" applyFont="1" applyFill="1" applyBorder="1" applyAlignment="1">
      <alignment horizontal="right"/>
    </xf>
    <xf numFmtId="186" fontId="9" fillId="7" borderId="34" xfId="1" applyNumberFormat="1" applyFont="1" applyFill="1" applyBorder="1" applyAlignment="1">
      <alignment horizontal="right"/>
    </xf>
    <xf numFmtId="186" fontId="9" fillId="7" borderId="30" xfId="1" applyNumberFormat="1" applyFont="1" applyFill="1" applyBorder="1" applyAlignment="1">
      <alignment horizontal="right"/>
    </xf>
  </cellXfs>
  <cellStyles count="426">
    <cellStyle name="$   0,000" xfId="11"/>
    <cellStyle name="%" xfId="12"/>
    <cellStyle name="%0" xfId="13"/>
    <cellStyle name="%1" xfId="14"/>
    <cellStyle name="%2" xfId="15"/>
    <cellStyle name="£ BP" xfId="16"/>
    <cellStyle name="¥ JY" xfId="17"/>
    <cellStyle name="0" xfId="18"/>
    <cellStyle name="0,000" xfId="19"/>
    <cellStyle name="0.00" xfId="20"/>
    <cellStyle name="0.00%" xfId="21"/>
    <cellStyle name="0.0x" xfId="22"/>
    <cellStyle name="0_Actualisation provision contrat déficitaire SNCM 2010 V Def" xfId="23"/>
    <cellStyle name="0_Actualisation provision contrat déficitaire SNCM 2011 V3 30 05 2011" xfId="24"/>
    <cellStyle name="0_PPA SNCM - présentation CAC 28 06 2011" xfId="25"/>
    <cellStyle name="0_Simul location facturée par Trenitalia" xfId="26"/>
    <cellStyle name="20 % - Accent1 2" xfId="27"/>
    <cellStyle name="20 % - Accent1 2 2" xfId="28"/>
    <cellStyle name="20 % - Accent2 2" xfId="29"/>
    <cellStyle name="20 % - Accent2 2 2" xfId="30"/>
    <cellStyle name="20 % - Accent3 2" xfId="31"/>
    <cellStyle name="20 % - Accent3 2 2" xfId="32"/>
    <cellStyle name="20 % - Accent4 2" xfId="33"/>
    <cellStyle name="20 % - Accent4 2 2" xfId="34"/>
    <cellStyle name="20 % - Accent5 2" xfId="35"/>
    <cellStyle name="20 % - Accent5 2 2" xfId="36"/>
    <cellStyle name="20 % - Accent6 2" xfId="37"/>
    <cellStyle name="20 % - Accent6 2 2" xfId="38"/>
    <cellStyle name="40 % - Accent1 2" xfId="39"/>
    <cellStyle name="40 % - Accent1 2 2" xfId="40"/>
    <cellStyle name="40 % - Accent2 2" xfId="41"/>
    <cellStyle name="40 % - Accent2 2 2" xfId="42"/>
    <cellStyle name="40 % - Accent3 2" xfId="43"/>
    <cellStyle name="40 % - Accent3 2 2" xfId="44"/>
    <cellStyle name="40 % - Accent4 2" xfId="45"/>
    <cellStyle name="40 % - Accent4 2 2" xfId="46"/>
    <cellStyle name="40 % - Accent5 2" xfId="47"/>
    <cellStyle name="40 % - Accent5 2 2" xfId="48"/>
    <cellStyle name="40 % - Accent6 2" xfId="49"/>
    <cellStyle name="40 % - Accent6 2 2" xfId="50"/>
    <cellStyle name="60 % - Accent1 2" xfId="51"/>
    <cellStyle name="60 % - Accent2 2" xfId="52"/>
    <cellStyle name="60 % - Accent3 2" xfId="53"/>
    <cellStyle name="60 % - Accent4 2" xfId="54"/>
    <cellStyle name="60 % - Accent5 2" xfId="55"/>
    <cellStyle name="60 % - Accent6 2" xfId="56"/>
    <cellStyle name="Accent1 2" xfId="57"/>
    <cellStyle name="Accent2 2" xfId="58"/>
    <cellStyle name="Accent3 2" xfId="59"/>
    <cellStyle name="Accent4 2" xfId="60"/>
    <cellStyle name="Accent5 2" xfId="61"/>
    <cellStyle name="Accent6 2" xfId="62"/>
    <cellStyle name="at" xfId="63"/>
    <cellStyle name="Avertissement 2" xfId="64"/>
    <cellStyle name="b" xfId="65"/>
    <cellStyle name="b%0" xfId="66"/>
    <cellStyle name="b%1" xfId="67"/>
    <cellStyle name="b%2" xfId="68"/>
    <cellStyle name="b_Actualisation provision contrat déficitaire SNCM 2010 V Def" xfId="69"/>
    <cellStyle name="b_Actualisation provision contrat déficitaire SNCM 2011 V3 30 05 2011" xfId="70"/>
    <cellStyle name="b_LI819L_B13" xfId="71"/>
    <cellStyle name="b_PAO-CAF-RESOP_14_01_13 à 20h" xfId="72"/>
    <cellStyle name="b0" xfId="73"/>
    <cellStyle name="b09" xfId="74"/>
    <cellStyle name="b1" xfId="75"/>
    <cellStyle name="b2" xfId="76"/>
    <cellStyle name="Black" xfId="77"/>
    <cellStyle name="blue" xfId="78"/>
    <cellStyle name="bo" xfId="79"/>
    <cellStyle name="Bold/Border" xfId="80"/>
    <cellStyle name="Bottom" xfId="81"/>
    <cellStyle name="bout" xfId="82"/>
    <cellStyle name="bt" xfId="83"/>
    <cellStyle name="btit" xfId="84"/>
    <cellStyle name="Bullet" xfId="85"/>
    <cellStyle name="c" xfId="86"/>
    <cellStyle name="c_Actualisation provision contrat déficitaire SNCM 2010 V Def" xfId="87"/>
    <cellStyle name="c_Actualisation provision contrat déficitaire SNCM 2011 V3 30 05 2011" xfId="88"/>
    <cellStyle name="c_Grouse+Pelican" xfId="89"/>
    <cellStyle name="c_LI819L_B13" xfId="90"/>
    <cellStyle name="c_Macros" xfId="91"/>
    <cellStyle name="c_Macros (2)" xfId="92"/>
    <cellStyle name="c_Macros (2)_Actualisation provision contrat déficitaire SNCM 2010 V Def" xfId="93"/>
    <cellStyle name="c_Macros (2)_Actualisation provision contrat déficitaire SNCM 2011 V3 30 05 2011" xfId="94"/>
    <cellStyle name="c_Macros (2)_LI819L_B13" xfId="95"/>
    <cellStyle name="c_Macros (2)_PAO-CAF-RESOP_14_01_13 à 20h" xfId="96"/>
    <cellStyle name="c_Macros_Actualisation provision contrat déficitaire SNCM 2010 V Def" xfId="97"/>
    <cellStyle name="c_Macros_Actualisation provision contrat déficitaire SNCM 2011 V3 30 05 2011" xfId="98"/>
    <cellStyle name="c_Macros_LI819L_B13" xfId="99"/>
    <cellStyle name="c_Macros_PAO-CAF-RESOP_14_01_13 à 20h" xfId="100"/>
    <cellStyle name="c_Manager (2)" xfId="101"/>
    <cellStyle name="c_Manager (2)_Actualisation provision contrat déficitaire SNCM 2010 V Def" xfId="102"/>
    <cellStyle name="c_Manager (2)_Actualisation provision contrat déficitaire SNCM 2011 V3 30 05 2011" xfId="103"/>
    <cellStyle name="c_Manager (2)_LI819L_B13" xfId="104"/>
    <cellStyle name="c_Manager (2)_PAO-CAF-RESOP_14_01_13 à 20h" xfId="105"/>
    <cellStyle name="c_PAO-CAF-RESOP_14_01_13 à 20h" xfId="106"/>
    <cellStyle name="c0" xfId="107"/>
    <cellStyle name="cach" xfId="108"/>
    <cellStyle name="Calcul 2" xfId="109"/>
    <cellStyle name="Cellule liée 2" xfId="110"/>
    <cellStyle name="chiffre" xfId="111"/>
    <cellStyle name="co" xfId="112"/>
    <cellStyle name="Comma" xfId="1" builtinId="3"/>
    <cellStyle name="Comma [1]" xfId="113"/>
    <cellStyle name="Comma [2]" xfId="114"/>
    <cellStyle name="Commentaire 2" xfId="115"/>
    <cellStyle name="Commentaire 2 2" xfId="116"/>
    <cellStyle name="Commentaire 2_Synthèse" xfId="117"/>
    <cellStyle name="Currency [1]" xfId="118"/>
    <cellStyle name="Currency [2]" xfId="119"/>
    <cellStyle name="Currency-Denomination" xfId="120"/>
    <cellStyle name="Dash" xfId="121"/>
    <cellStyle name="Decimal_0dp" xfId="122"/>
    <cellStyle name="Dezimal__Utopia Index Index und Guidance (Deutsch)" xfId="123"/>
    <cellStyle name="Entrée 2" xfId="124"/>
    <cellStyle name="Euro" xfId="125"/>
    <cellStyle name="Euro 2" xfId="126"/>
    <cellStyle name="EY%colcalc" xfId="127"/>
    <cellStyle name="EY%input" xfId="128"/>
    <cellStyle name="EY%rowcalc" xfId="129"/>
    <cellStyle name="EY0dp" xfId="130"/>
    <cellStyle name="EY1dp" xfId="131"/>
    <cellStyle name="EY2dp" xfId="132"/>
    <cellStyle name="EY3dp" xfId="133"/>
    <cellStyle name="EYColumnHeading" xfId="134"/>
    <cellStyle name="EYHeading1" xfId="135"/>
    <cellStyle name="EYheading2" xfId="136"/>
    <cellStyle name="EYheading3" xfId="137"/>
    <cellStyle name="EYnumber" xfId="138"/>
    <cellStyle name="EYSheetHeader1" xfId="139"/>
    <cellStyle name="EYtext" xfId="140"/>
    <cellStyle name="Followed Hyperlink" xfId="141"/>
    <cellStyle name="Forecast Cell Column Heading" xfId="142"/>
    <cellStyle name="FormattingSheetDelimitor" xfId="143"/>
    <cellStyle name="h" xfId="144"/>
    <cellStyle name="Hyperlink" xfId="145"/>
    <cellStyle name="Input" xfId="146"/>
    <cellStyle name="InputBlueFont" xfId="147"/>
    <cellStyle name="InputBlueFontLocked" xfId="148"/>
    <cellStyle name="Insatisfaisant 2" xfId="149"/>
    <cellStyle name="KPMG Heading 1" xfId="150"/>
    <cellStyle name="KPMG Heading 2" xfId="151"/>
    <cellStyle name="KPMG Heading 3" xfId="152"/>
    <cellStyle name="KPMG Heading 4" xfId="153"/>
    <cellStyle name="KPMG Normal" xfId="154"/>
    <cellStyle name="KPMG Normal Text" xfId="155"/>
    <cellStyle name="LTM Cell Column Heading" xfId="156"/>
    <cellStyle name="Milliers 2" xfId="4"/>
    <cellStyle name="Milliers 2 2" xfId="158"/>
    <cellStyle name="Milliers 2 3" xfId="159"/>
    <cellStyle name="Milliers 2 4" xfId="160"/>
    <cellStyle name="Milliers 2_Context" xfId="157"/>
    <cellStyle name="Milliers 3" xfId="5"/>
    <cellStyle name="Milliers 3 2" xfId="162"/>
    <cellStyle name="Milliers 3 3" xfId="163"/>
    <cellStyle name="Milliers 3_Context" xfId="161"/>
    <cellStyle name="Milliers 4" xfId="164"/>
    <cellStyle name="Milliers 5" xfId="165"/>
    <cellStyle name="Multiple" xfId="166"/>
    <cellStyle name="Multiple Cell Column Heading" xfId="167"/>
    <cellStyle name="Neutre 2" xfId="168"/>
    <cellStyle name="no" xfId="169"/>
    <cellStyle name="Non d‚fini" xfId="170"/>
    <cellStyle name="Normal" xfId="0" builtinId="0"/>
    <cellStyle name="Normal - Style1" xfId="171"/>
    <cellStyle name="Normal - Style2" xfId="172"/>
    <cellStyle name="Normal - Style3" xfId="173"/>
    <cellStyle name="Normal - Style4" xfId="174"/>
    <cellStyle name="Normal - Style5" xfId="175"/>
    <cellStyle name="Normal - Style6" xfId="176"/>
    <cellStyle name="Normal - Style7" xfId="177"/>
    <cellStyle name="Normal - Style8" xfId="178"/>
    <cellStyle name="Normal 10" xfId="179"/>
    <cellStyle name="Normal 10 2" xfId="180"/>
    <cellStyle name="Normal 10 2 2" xfId="181"/>
    <cellStyle name="Normal 10 2 3" xfId="182"/>
    <cellStyle name="Normal 10 3" xfId="183"/>
    <cellStyle name="Normal 10 4" xfId="184"/>
    <cellStyle name="Normal 11" xfId="185"/>
    <cellStyle name="Normal 12" xfId="186"/>
    <cellStyle name="Normal 13" xfId="187"/>
    <cellStyle name="Normal 14" xfId="188"/>
    <cellStyle name="Normal 15" xfId="189"/>
    <cellStyle name="Normal 16" xfId="190"/>
    <cellStyle name="Normal 17" xfId="191"/>
    <cellStyle name="Normal 18" xfId="192"/>
    <cellStyle name="Normal 19" xfId="193"/>
    <cellStyle name="Normal 2" xfId="6"/>
    <cellStyle name="Normal 2 10" xfId="195"/>
    <cellStyle name="Normal 2 11" xfId="196"/>
    <cellStyle name="Normal 2 12" xfId="197"/>
    <cellStyle name="Normal 2 13" xfId="198"/>
    <cellStyle name="Normal 2 14" xfId="199"/>
    <cellStyle name="Normal 2 15" xfId="200"/>
    <cellStyle name="Normal 2 16" xfId="201"/>
    <cellStyle name="Normal 2 17" xfId="202"/>
    <cellStyle name="Normal 2 2" xfId="203"/>
    <cellStyle name="Normal 2 3" xfId="204"/>
    <cellStyle name="Normal 2 4" xfId="205"/>
    <cellStyle name="Normal 2 5" xfId="206"/>
    <cellStyle name="Normal 2 6" xfId="207"/>
    <cellStyle name="Normal 2 7" xfId="208"/>
    <cellStyle name="Normal 2 8" xfId="209"/>
    <cellStyle name="Normal 2 9" xfId="210"/>
    <cellStyle name="Normal 2_Context" xfId="194"/>
    <cellStyle name="Normal 20" xfId="211"/>
    <cellStyle name="Normal 21" xfId="212"/>
    <cellStyle name="Normal 22" xfId="213"/>
    <cellStyle name="Normal 23" xfId="214"/>
    <cellStyle name="Normal 24" xfId="215"/>
    <cellStyle name="Normal 25" xfId="216"/>
    <cellStyle name="Normal 26" xfId="217"/>
    <cellStyle name="Normal 27" xfId="218"/>
    <cellStyle name="Normal 28" xfId="219"/>
    <cellStyle name="Normal 29" xfId="220"/>
    <cellStyle name="Normal 29 2" xfId="221"/>
    <cellStyle name="Normal 29 3" xfId="222"/>
    <cellStyle name="Normal 29_Synthèse" xfId="223"/>
    <cellStyle name="Normal 3" xfId="2"/>
    <cellStyle name="Normal 3 10" xfId="225"/>
    <cellStyle name="Normal 3 11" xfId="226"/>
    <cellStyle name="Normal 3 12" xfId="227"/>
    <cellStyle name="Normal 3 2" xfId="7"/>
    <cellStyle name="Normal 3 2 2" xfId="229"/>
    <cellStyle name="Normal 3 2_Context" xfId="228"/>
    <cellStyle name="Normal 3 3" xfId="230"/>
    <cellStyle name="Normal 3 4" xfId="231"/>
    <cellStyle name="Normal 3 5" xfId="232"/>
    <cellStyle name="Normal 3 6" xfId="233"/>
    <cellStyle name="Normal 3 7" xfId="234"/>
    <cellStyle name="Normal 3 8" xfId="235"/>
    <cellStyle name="Normal 3 9" xfId="236"/>
    <cellStyle name="Normal 3_Context" xfId="224"/>
    <cellStyle name="Normal 30" xfId="237"/>
    <cellStyle name="Normal 4" xfId="238"/>
    <cellStyle name="Normal 4 2" xfId="239"/>
    <cellStyle name="Normal 4_NBV" xfId="240"/>
    <cellStyle name="Normal 43 4" xfId="241"/>
    <cellStyle name="Normal 43 4 2" xfId="242"/>
    <cellStyle name="Normal 46 2" xfId="243"/>
    <cellStyle name="Normal 5" xfId="244"/>
    <cellStyle name="Normal 6" xfId="245"/>
    <cellStyle name="Normal 6 2" xfId="246"/>
    <cellStyle name="Normal 6 2 2" xfId="247"/>
    <cellStyle name="Normal 6 2 3" xfId="248"/>
    <cellStyle name="Normal 6 3" xfId="249"/>
    <cellStyle name="Normal 6 4" xfId="250"/>
    <cellStyle name="Normal 7" xfId="251"/>
    <cellStyle name="Normal 7 2" xfId="252"/>
    <cellStyle name="Normal 7 2 2" xfId="253"/>
    <cellStyle name="Normal 7 2 3" xfId="254"/>
    <cellStyle name="Normal 7 3" xfId="255"/>
    <cellStyle name="Normal 7 4" xfId="256"/>
    <cellStyle name="Normal 8" xfId="257"/>
    <cellStyle name="Normal 8 2" xfId="258"/>
    <cellStyle name="Normal 8 2 2" xfId="259"/>
    <cellStyle name="Normal 8 2 3" xfId="260"/>
    <cellStyle name="Normal 8 3" xfId="261"/>
    <cellStyle name="Normal 8 4" xfId="262"/>
    <cellStyle name="Normal 9" xfId="263"/>
    <cellStyle name="Normal 9 2" xfId="264"/>
    <cellStyle name="Normal 9 2 2" xfId="265"/>
    <cellStyle name="Normal 9 2 3" xfId="266"/>
    <cellStyle name="Normal 9 3" xfId="267"/>
    <cellStyle name="Normal 9 4" xfId="268"/>
    <cellStyle name="Note" xfId="3"/>
    <cellStyle name="Notes_multi" xfId="269"/>
    <cellStyle name="p" xfId="270"/>
    <cellStyle name="p_Actualisation provision contrat déficitaire SNCM 2010 V Def" xfId="271"/>
    <cellStyle name="p_Actualisation provision contrat déficitaire SNCM 2011 V3 30 05 2011" xfId="272"/>
    <cellStyle name="p_PPA SNCM - présentation CAC 28 06 2011" xfId="273"/>
    <cellStyle name="pb_page_heading_LS" xfId="274"/>
    <cellStyle name="pe" xfId="275"/>
    <cellStyle name="per" xfId="276"/>
    <cellStyle name="Percent" xfId="10" builtinId="5"/>
    <cellStyle name="Percent [0]" xfId="277"/>
    <cellStyle name="Percent [1]" xfId="278"/>
    <cellStyle name="Percent [2]" xfId="279"/>
    <cellStyle name="Percent 2" xfId="8"/>
    <cellStyle name="Pound" xfId="280"/>
    <cellStyle name="Pound [1]" xfId="281"/>
    <cellStyle name="Pound [2]" xfId="282"/>
    <cellStyle name="Pourcentage 2" xfId="9"/>
    <cellStyle name="Pourcentage 2 2" xfId="283"/>
    <cellStyle name="Pourcentage 2 2 2" xfId="284"/>
    <cellStyle name="Pourcentage 2 3" xfId="285"/>
    <cellStyle name="Pourcentage 2 4" xfId="286"/>
    <cellStyle name="Pourcentage 2 5" xfId="287"/>
    <cellStyle name="Pourcentage 2 6" xfId="288"/>
    <cellStyle name="Pourcentage 2 7" xfId="289"/>
    <cellStyle name="Pourcentage 2 8" xfId="290"/>
    <cellStyle name="Pourcentage 3" xfId="291"/>
    <cellStyle name="Pourcentage 3 2" xfId="292"/>
    <cellStyle name="Pourcentage 3 3" xfId="293"/>
    <cellStyle name="Pourcentage 3 4" xfId="294"/>
    <cellStyle name="Pourcentage 4" xfId="295"/>
    <cellStyle name="Pourcentage 4 2" xfId="296"/>
    <cellStyle name="Pourcentage 5" xfId="297"/>
    <cellStyle name="ptit" xfId="298"/>
    <cellStyle name="rat" xfId="299"/>
    <cellStyle name="rate" xfId="300"/>
    <cellStyle name="ratio" xfId="301"/>
    <cellStyle name="s" xfId="302"/>
    <cellStyle name="s_Actualisation provision contrat déficitaire SNCM 2010 V Def" xfId="303"/>
    <cellStyle name="s_Actualisation provision contrat déficitaire SNCM 2011 V3 30 05 2011" xfId="304"/>
    <cellStyle name="s_Assumptions" xfId="305"/>
    <cellStyle name="s_Assumptions_Actualisation provision contrat déficitaire SNCM 2010 V Def" xfId="306"/>
    <cellStyle name="s_Assumptions_Actualisation provision contrat déficitaire SNCM 2011 V3 30 05 2011" xfId="307"/>
    <cellStyle name="s_Assumptions_LI819L_B13" xfId="308"/>
    <cellStyle name="s_Assumptions_PAO-CAF-RESOP_14_01_13 à 20h" xfId="309"/>
    <cellStyle name="s_B_S_Ratios _B" xfId="310"/>
    <cellStyle name="s_B_S_Ratios _B_Actualisation provision contrat déficitaire SNCM 2010 V Def" xfId="311"/>
    <cellStyle name="s_B_S_Ratios _B_Actualisation provision contrat déficitaire SNCM 2011 V3 30 05 2011" xfId="312"/>
    <cellStyle name="s_B_S_Ratios _B_LI819L_B13" xfId="313"/>
    <cellStyle name="s_B_S_Ratios _B_PAO-CAF-RESOP_14_01_13 à 20h" xfId="314"/>
    <cellStyle name="s_B_S_Ratios_T" xfId="315"/>
    <cellStyle name="s_B_S_Ratios_T_Actualisation provision contrat déficitaire SNCM 2010 V Def" xfId="316"/>
    <cellStyle name="s_B_S_Ratios_T_Actualisation provision contrat déficitaire SNCM 2011 V3 30 05 2011" xfId="317"/>
    <cellStyle name="s_B_S_Ratios_T_LI819L_B13" xfId="318"/>
    <cellStyle name="s_B_S_Ratios_T_PAO-CAF-RESOP_14_01_13 à 20h" xfId="319"/>
    <cellStyle name="s_DCFLBO Code" xfId="320"/>
    <cellStyle name="s_DCFLBO Code_1" xfId="321"/>
    <cellStyle name="s_DCFLBO Code_1_Actualisation provision contrat déficitaire SNCM 2010 V Def" xfId="322"/>
    <cellStyle name="s_DCFLBO Code_1_Actualisation provision contrat déficitaire SNCM 2011 V3 30 05 2011" xfId="323"/>
    <cellStyle name="s_DCFLBO Code_1_LI819L_B13" xfId="324"/>
    <cellStyle name="s_DCFLBO Code_1_PAO-CAF-RESOP_14_01_13 à 20h" xfId="325"/>
    <cellStyle name="s_DCFLBO Code_Actualisation provision contrat déficitaire SNCM 2010 V Def" xfId="326"/>
    <cellStyle name="s_DCFLBO Code_Actualisation provision contrat déficitaire SNCM 2011 V3 30 05 2011" xfId="327"/>
    <cellStyle name="s_DCFLBO Code_LI819L_B13" xfId="328"/>
    <cellStyle name="s_DCFLBO Code_PAO-CAF-RESOP_14_01_13 à 20h" xfId="329"/>
    <cellStyle name="s_Dilution" xfId="330"/>
    <cellStyle name="s_Dilution_Actualisation provision contrat déficitaire SNCM 2010 V Def" xfId="331"/>
    <cellStyle name="s_Dilution_Actualisation provision contrat déficitaire SNCM 2011 V3 30 05 2011" xfId="332"/>
    <cellStyle name="s_Dilution_LI819L_B13" xfId="333"/>
    <cellStyle name="s_Dilution_PAO-CAF-RESOP_14_01_13 à 20h" xfId="334"/>
    <cellStyle name="s_Financials_B" xfId="335"/>
    <cellStyle name="s_Financials_B_Actualisation provision contrat déficitaire SNCM 2010 V Def" xfId="336"/>
    <cellStyle name="s_Financials_B_Actualisation provision contrat déficitaire SNCM 2011 V3 30 05 2011" xfId="337"/>
    <cellStyle name="s_Financials_B_LI819L_B13" xfId="338"/>
    <cellStyle name="s_Financials_B_PAO-CAF-RESOP_14_01_13 à 20h" xfId="339"/>
    <cellStyle name="s_Financials_T" xfId="340"/>
    <cellStyle name="s_Financials_T_Actualisation provision contrat déficitaire SNCM 2010 V Def" xfId="341"/>
    <cellStyle name="s_Financials_T_Actualisation provision contrat déficitaire SNCM 2011 V3 30 05 2011" xfId="342"/>
    <cellStyle name="s_Financials_T_LI819L_B13" xfId="343"/>
    <cellStyle name="s_Financials_T_PAO-CAF-RESOP_14_01_13 à 20h" xfId="344"/>
    <cellStyle name="s_Grouse+Pelican" xfId="345"/>
    <cellStyle name="s_LI819L_B13" xfId="346"/>
    <cellStyle name="s_Matrix_B" xfId="347"/>
    <cellStyle name="s_Matrix_B_Actualisation provision contrat déficitaire SNCM 2010 V Def" xfId="348"/>
    <cellStyle name="s_Matrix_B_Actualisation provision contrat déficitaire SNCM 2011 V3 30 05 2011" xfId="349"/>
    <cellStyle name="s_Matrix_B_LI819L_B13" xfId="350"/>
    <cellStyle name="s_Matrix_B_PAO-CAF-RESOP_14_01_13 à 20h" xfId="351"/>
    <cellStyle name="s_Matrix_T" xfId="352"/>
    <cellStyle name="s_Matrix_T_Actualisation provision contrat déficitaire SNCM 2010 V Def" xfId="353"/>
    <cellStyle name="s_Matrix_T_Actualisation provision contrat déficitaire SNCM 2011 V3 30 05 2011" xfId="354"/>
    <cellStyle name="s_Matrix_T_LI819L_B13" xfId="355"/>
    <cellStyle name="s_Matrix_T_PAO-CAF-RESOP_14_01_13 à 20h" xfId="356"/>
    <cellStyle name="s_Merger" xfId="357"/>
    <cellStyle name="s_Merger_Actualisation provision contrat déficitaire SNCM 2010 V Def" xfId="358"/>
    <cellStyle name="s_Merger_Actualisation provision contrat déficitaire SNCM 2011 V3 30 05 2011" xfId="359"/>
    <cellStyle name="s_Merger_LI819L_B13" xfId="360"/>
    <cellStyle name="s_Merger_PAO-CAF-RESOP_14_01_13 à 20h" xfId="361"/>
    <cellStyle name="s_model2" xfId="362"/>
    <cellStyle name="s_model2_Actualisation provision contrat déficitaire SNCM 2010 V Def" xfId="363"/>
    <cellStyle name="s_model2_Actualisation provision contrat déficitaire SNCM 2011 V3 30 05 2011" xfId="364"/>
    <cellStyle name="s_model2_LI819L_B13" xfId="365"/>
    <cellStyle name="s_model2_PAO-CAF-RESOP_14_01_13 à 20h" xfId="366"/>
    <cellStyle name="s_P_L_Ratios" xfId="367"/>
    <cellStyle name="s_P_L_Ratios_Actualisation provision contrat déficitaire SNCM 2010 V Def" xfId="368"/>
    <cellStyle name="s_P_L_Ratios_Actualisation provision contrat déficitaire SNCM 2011 V3 30 05 2011" xfId="369"/>
    <cellStyle name="s_P_L_Ratios_B" xfId="370"/>
    <cellStyle name="s_P_L_Ratios_B_Actualisation provision contrat déficitaire SNCM 2010 V Def" xfId="371"/>
    <cellStyle name="s_P_L_Ratios_B_Actualisation provision contrat déficitaire SNCM 2011 V3 30 05 2011" xfId="372"/>
    <cellStyle name="s_P_L_Ratios_B_LI819L_B13" xfId="373"/>
    <cellStyle name="s_P_L_Ratios_B_PAO-CAF-RESOP_14_01_13 à 20h" xfId="374"/>
    <cellStyle name="s_P_L_Ratios_LI819L_B13" xfId="375"/>
    <cellStyle name="s_P_L_Ratios_PAO-CAF-RESOP_14_01_13 à 20h" xfId="376"/>
    <cellStyle name="s_PAO-CAF-RESOP_14_01_13 à 20h" xfId="377"/>
    <cellStyle name="s_S_By_S" xfId="378"/>
    <cellStyle name="s_S_By_S_Actualisation provision contrat déficitaire SNCM 2010 V Def" xfId="379"/>
    <cellStyle name="s_S_By_S_Actualisation provision contrat déficitaire SNCM 2011 V3 30 05 2011" xfId="380"/>
    <cellStyle name="s_S_By_S_LI819L_B13" xfId="381"/>
    <cellStyle name="s_S_By_S_PAO-CAF-RESOP_14_01_13 à 20h" xfId="382"/>
    <cellStyle name="s_Sheet5" xfId="383"/>
    <cellStyle name="s_Sheet5_Actualisation provision contrat déficitaire SNCM 2010 V Def" xfId="384"/>
    <cellStyle name="s_Sheet5_Actualisation provision contrat déficitaire SNCM 2011 V3 30 05 2011" xfId="385"/>
    <cellStyle name="s_Sheet5_LI819L_B13" xfId="386"/>
    <cellStyle name="s_Sheet5_PAO-CAF-RESOP_14_01_13 à 20h" xfId="387"/>
    <cellStyle name="s_Valuation " xfId="388"/>
    <cellStyle name="s_Valuation _Actualisation provision contrat déficitaire SNCM 2010 V Def" xfId="389"/>
    <cellStyle name="s_Valuation _Actualisation provision contrat déficitaire SNCM 2011 V3 30 05 2011" xfId="390"/>
    <cellStyle name="s_Valuation _LI819L_B13" xfId="391"/>
    <cellStyle name="s_Valuation _PAO-CAF-RESOP_14_01_13 à 20h" xfId="392"/>
    <cellStyle name="Satisfaisant 2" xfId="393"/>
    <cellStyle name="Shading" xfId="394"/>
    <cellStyle name="Single Cell Column Heading" xfId="395"/>
    <cellStyle name="Sortie 2" xfId="396"/>
    <cellStyle name="Standard__Utopia Index Index und Guidance (Deutsch)" xfId="397"/>
    <cellStyle name="t" xfId="398"/>
    <cellStyle name="t_Actualisation provision contrat déficitaire SNCM 2010 V Def" xfId="399"/>
    <cellStyle name="t_Actualisation provision contrat déficitaire SNCM 2011 V3 30 05 2011" xfId="400"/>
    <cellStyle name="t_LI819L_B13" xfId="401"/>
    <cellStyle name="t_Manager" xfId="402"/>
    <cellStyle name="t_Manager_Actualisation provision contrat déficitaire SNCM 2010 V Def" xfId="403"/>
    <cellStyle name="t_Manager_Actualisation provision contrat déficitaire SNCM 2011 V3 30 05 2011" xfId="404"/>
    <cellStyle name="t_Manager_LI819L_B13" xfId="405"/>
    <cellStyle name="t_Manager_PAO-CAF-RESOP_14_01_13 à 20h" xfId="406"/>
    <cellStyle name="t_PAO-CAF-RESOP_14_01_13 à 20h" xfId="407"/>
    <cellStyle name="Text Level 1" xfId="408"/>
    <cellStyle name="Text Level 2" xfId="409"/>
    <cellStyle name="Text Level 3" xfId="410"/>
    <cellStyle name="Text Level 4" xfId="411"/>
    <cellStyle name="Texte explicatif 2" xfId="412"/>
    <cellStyle name="Titles" xfId="413"/>
    <cellStyle name="Titre 2" xfId="414"/>
    <cellStyle name="Titre 1 2" xfId="415"/>
    <cellStyle name="Titre 2 2" xfId="416"/>
    <cellStyle name="Titre 3 2" xfId="417"/>
    <cellStyle name="Titre 4 2" xfId="418"/>
    <cellStyle name="Top_Double_Bottom" xfId="419"/>
    <cellStyle name="Total 2" xfId="420"/>
    <cellStyle name="UNDERRUBRIK" xfId="421"/>
    <cellStyle name="Vérification 2" xfId="422"/>
    <cellStyle name="Year" xfId="423"/>
    <cellStyle name="zoe" xfId="424"/>
    <cellStyle name="常规_Sheet1_Sub-consolidation Scope 2008 12 SX432 Lanzhou" xfId="425"/>
  </cellStyles>
  <dxfs count="0"/>
  <tableStyles count="0" defaultTableStyle="TableStyleMedium2" defaultPivotStyle="PivotStyleLight16"/>
  <colors>
    <mruColors>
      <color rgb="FF3391AA"/>
      <color rgb="FFB5E3E9"/>
      <color rgb="FF8FD4DD"/>
      <color rgb="FF49B8C7"/>
      <color rgb="FF3CADAA"/>
      <color rgb="FFF2B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673100</xdr:colOff>
      <xdr:row>24</xdr:row>
      <xdr:rowOff>50800</xdr:rowOff>
    </xdr:from>
    <xdr:to>
      <xdr:col>1</xdr:col>
      <xdr:colOff>958850</xdr:colOff>
      <xdr:row>49</xdr:row>
      <xdr:rowOff>98425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2813050"/>
          <a:ext cx="1085850" cy="475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41</xdr:row>
          <xdr:rowOff>76200</xdr:rowOff>
        </xdr:from>
        <xdr:to>
          <xdr:col>5</xdr:col>
          <xdr:colOff>1003300</xdr:colOff>
          <xdr:row>44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89991</xdr:colOff>
      <xdr:row>0</xdr:row>
      <xdr:rowOff>0</xdr:rowOff>
    </xdr:from>
    <xdr:to>
      <xdr:col>2</xdr:col>
      <xdr:colOff>126591</xdr:colOff>
      <xdr:row>17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991" y="0"/>
          <a:ext cx="18971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16</xdr:row>
          <xdr:rowOff>38100</xdr:rowOff>
        </xdr:from>
        <xdr:to>
          <xdr:col>4</xdr:col>
          <xdr:colOff>1174750</xdr:colOff>
          <xdr:row>18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95250</xdr:colOff>
      <xdr:row>8</xdr:row>
      <xdr:rowOff>13607</xdr:rowOff>
    </xdr:from>
    <xdr:to>
      <xdr:col>4</xdr:col>
      <xdr:colOff>2064883</xdr:colOff>
      <xdr:row>11</xdr:row>
      <xdr:rowOff>29765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036" y="13607"/>
          <a:ext cx="1969633" cy="7237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14</xdr:row>
          <xdr:rowOff>38100</xdr:rowOff>
        </xdr:from>
        <xdr:to>
          <xdr:col>4</xdr:col>
          <xdr:colOff>1174750</xdr:colOff>
          <xdr:row>16</xdr:row>
          <xdr:rowOff>31750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in value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95250</xdr:colOff>
      <xdr:row>8</xdr:row>
      <xdr:rowOff>13607</xdr:rowOff>
    </xdr:from>
    <xdr:to>
      <xdr:col>4</xdr:col>
      <xdr:colOff>2064883</xdr:colOff>
      <xdr:row>11</xdr:row>
      <xdr:rowOff>29765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13607"/>
          <a:ext cx="1969633" cy="708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G41"/>
  <sheetViews>
    <sheetView showGridLines="0" tabSelected="1" topLeftCell="A27" zoomScaleNormal="100" workbookViewId="0">
      <selection activeCell="E31" sqref="E31"/>
    </sheetView>
  </sheetViews>
  <sheetFormatPr defaultColWidth="11.453125" defaultRowHeight="14.5"/>
  <cols>
    <col min="2" max="2" width="15.1796875" customWidth="1"/>
    <col min="3" max="3" width="24" customWidth="1"/>
    <col min="4" max="4" width="2.7265625" customWidth="1"/>
    <col min="5" max="6" width="17" customWidth="1"/>
  </cols>
  <sheetData>
    <row r="1" spans="1:7" hidden="1">
      <c r="B1" s="63" t="s">
        <v>125</v>
      </c>
      <c r="C1" s="63"/>
    </row>
    <row r="2" spans="1:7" hidden="1">
      <c r="B2" s="65" t="s">
        <v>126</v>
      </c>
      <c r="C2" s="64" t="s">
        <v>128</v>
      </c>
    </row>
    <row r="3" spans="1:7" hidden="1">
      <c r="B3" s="65" t="s">
        <v>127</v>
      </c>
      <c r="C3" s="64" t="s">
        <v>380</v>
      </c>
    </row>
    <row r="4" spans="1:7" hidden="1">
      <c r="B4" s="65" t="s">
        <v>129</v>
      </c>
      <c r="C4" s="64" t="str">
        <f ca="1">_xll.DBR(Server&amp;"z_Admin_Param","MONTH_ACTUAL", "STR_VAR1")</f>
        <v>2023.02</v>
      </c>
    </row>
    <row r="5" spans="1:7" hidden="1">
      <c r="B5" s="65" t="s">
        <v>137</v>
      </c>
      <c r="C5" s="64" t="str">
        <f ca="1">C4&amp;"_YTD"</f>
        <v>2023.02_YTD</v>
      </c>
    </row>
    <row r="6" spans="1:7" hidden="1">
      <c r="B6" s="65" t="s">
        <v>130</v>
      </c>
      <c r="C6" s="64" t="str">
        <f ca="1">_xll.DBR(Server&amp;"z_Admin_Param","YEAR_ACTUAL", "STR_VAR1")</f>
        <v>2023</v>
      </c>
    </row>
    <row r="7" spans="1:7" hidden="1">
      <c r="B7" s="68" t="s">
        <v>131</v>
      </c>
      <c r="C7" s="64" t="str">
        <f ca="1">_xll.DBR(Server&amp;"z_Client_Properties","Default_Management_Organization",_xll.TM1USER("tango_core_model"))</f>
        <v>VTD_corp</v>
      </c>
    </row>
    <row r="8" spans="1:7" hidden="1">
      <c r="B8" s="68" t="s">
        <v>132</v>
      </c>
      <c r="C8" s="64" t="str">
        <f ca="1">LEFT($F$32,4)</f>
        <v>2023</v>
      </c>
    </row>
    <row r="9" spans="1:7" hidden="1">
      <c r="B9" s="68" t="s">
        <v>133</v>
      </c>
      <c r="C9" s="69">
        <f ca="1">z_Year_Selected-1</f>
        <v>2022</v>
      </c>
    </row>
    <row r="10" spans="1:7" hidden="1">
      <c r="B10" s="68" t="s">
        <v>136</v>
      </c>
      <c r="C10" s="69" t="str">
        <f ca="1">_xll.DBR(Server&amp;"}ElementAttributes_Period",Current_Period_YTD, "Prior Year")</f>
        <v>2022.02_YTD</v>
      </c>
    </row>
    <row r="11" spans="1:7" hidden="1">
      <c r="B11" s="68" t="s">
        <v>134</v>
      </c>
      <c r="C11" s="64" t="str">
        <f ca="1">_xll.DBR(Server&amp;"z_admin_param","TYPE_PHASE","STR_VAR1")</f>
        <v>Budget</v>
      </c>
    </row>
    <row r="12" spans="1:7" hidden="1">
      <c r="B12" s="68" t="s">
        <v>135</v>
      </c>
      <c r="C12" s="64" t="str">
        <f ca="1">IF($C$11="BUDGET","BUDG_VC_TOT",IF($C$11="Forecast1","FC_1_VC_TOT","FC_2_VC_TOT"))</f>
        <v>BUDG_VC_TOT</v>
      </c>
    </row>
    <row r="13" spans="1:7" hidden="1">
      <c r="B13" s="68" t="s">
        <v>138</v>
      </c>
      <c r="C13" s="64" t="str">
        <f ca="1">_xll.DBRW(Server&amp;"z_Admin_Param","YEAR_BUDGET_FORECAST", "STR_VAR1")</f>
        <v>2023</v>
      </c>
    </row>
    <row r="14" spans="1:7" hidden="1">
      <c r="B14" s="71"/>
      <c r="C14" s="72"/>
    </row>
    <row r="15" spans="1:7" ht="15" customHeight="1">
      <c r="A15" s="91"/>
      <c r="B15" s="92"/>
      <c r="C15" s="101" t="str">
        <f ca="1">"Reporting Europe "&amp;_xll.DBRA(Server&amp;"Management_Organization",$E$30,"English")&amp;", "&amp;$F$32</f>
        <v>Reporting Europe TRANSDEV All, 2023.02_YTD</v>
      </c>
      <c r="D15" s="101"/>
      <c r="E15" s="101"/>
      <c r="F15" s="101"/>
      <c r="G15" s="101"/>
    </row>
    <row r="16" spans="1:7" ht="15" customHeight="1">
      <c r="A16" s="91"/>
      <c r="B16" s="92"/>
      <c r="C16" s="101"/>
      <c r="D16" s="101"/>
      <c r="E16" s="101"/>
      <c r="F16" s="101"/>
      <c r="G16" s="101"/>
    </row>
    <row r="17" spans="1:7" ht="15" customHeight="1">
      <c r="A17" s="91"/>
      <c r="B17" s="92"/>
      <c r="C17" s="101"/>
      <c r="D17" s="101"/>
      <c r="E17" s="101"/>
      <c r="F17" s="101"/>
      <c r="G17" s="101"/>
    </row>
    <row r="18" spans="1:7">
      <c r="B18" s="71"/>
      <c r="C18" s="72"/>
    </row>
    <row r="19" spans="1:7">
      <c r="B19" s="71"/>
      <c r="C19" s="72"/>
    </row>
    <row r="20" spans="1:7">
      <c r="A20" s="100" t="s">
        <v>0</v>
      </c>
      <c r="B20" s="100"/>
      <c r="C20" s="100"/>
      <c r="D20" s="100"/>
      <c r="E20" s="100"/>
      <c r="F20" s="100"/>
      <c r="G20" s="100"/>
    </row>
    <row r="21" spans="1:7">
      <c r="A21" s="100"/>
      <c r="B21" s="100"/>
      <c r="C21" s="100"/>
      <c r="D21" s="100"/>
      <c r="E21" s="100"/>
      <c r="F21" s="100"/>
      <c r="G21" s="100"/>
    </row>
    <row r="22" spans="1:7">
      <c r="A22" s="100"/>
      <c r="B22" s="100"/>
      <c r="C22" s="100"/>
      <c r="D22" s="100"/>
      <c r="E22" s="100"/>
      <c r="F22" s="100"/>
      <c r="G22" s="100"/>
    </row>
    <row r="23" spans="1:7">
      <c r="A23" s="100"/>
      <c r="B23" s="100"/>
      <c r="C23" s="100"/>
      <c r="D23" s="100"/>
      <c r="E23" s="100"/>
      <c r="F23" s="100"/>
      <c r="G23" s="100"/>
    </row>
    <row r="24" spans="1:7">
      <c r="A24" s="47"/>
      <c r="B24" s="47"/>
      <c r="C24" s="47"/>
      <c r="D24" s="47"/>
      <c r="E24" s="47"/>
      <c r="F24" s="47"/>
      <c r="G24" s="47"/>
    </row>
    <row r="26" spans="1:7" ht="18.5">
      <c r="C26" s="48" t="s">
        <v>1</v>
      </c>
    </row>
    <row r="28" spans="1:7">
      <c r="E28" s="89"/>
    </row>
    <row r="29" spans="1:7">
      <c r="E29" s="89"/>
      <c r="F29" s="90"/>
    </row>
    <row r="30" spans="1:7">
      <c r="C30" s="50" t="s">
        <v>2</v>
      </c>
      <c r="E30" s="85" t="str">
        <f ca="1">_xll.SUBNM(Server&amp;"Management_Organization","",Default_Management_Organization)</f>
        <v>VTD_corp</v>
      </c>
      <c r="F30" s="67"/>
    </row>
    <row r="31" spans="1:7">
      <c r="C31" s="49"/>
      <c r="E31" s="47"/>
      <c r="F31" s="47"/>
    </row>
    <row r="32" spans="1:7">
      <c r="C32" s="50" t="s">
        <v>3</v>
      </c>
      <c r="E32" s="85" t="str">
        <f ca="1">_xll.SUBNM(Server&amp;"Phase","Default","ACT_TOT","English")</f>
        <v>Actual</v>
      </c>
      <c r="F32" s="97" t="str">
        <f ca="1">_xll.SUBNM(Server&amp;"Period","ACTUAL_YTD","2023.02_YTD")</f>
        <v>2023.02_YTD</v>
      </c>
    </row>
    <row r="33" spans="3:6">
      <c r="C33" s="49"/>
      <c r="E33" s="47"/>
      <c r="F33" s="47"/>
    </row>
    <row r="34" spans="3:6">
      <c r="C34" s="50" t="s">
        <v>4</v>
      </c>
      <c r="E34" s="85" t="str">
        <f ca="1">_xll.SUBNM(Server&amp;"Phase","Default","ACT_TOT","English")</f>
        <v>Actual</v>
      </c>
      <c r="F34" s="85" t="str">
        <f ca="1">_xll.SUBNM(Server&amp;"Period",z_Year_N_1&amp;"_YTD",z_Current_Period_N_1)</f>
        <v>2022.02_YTD</v>
      </c>
    </row>
    <row r="35" spans="3:6">
      <c r="C35" s="50" t="s">
        <v>5</v>
      </c>
      <c r="E35" s="85" t="str">
        <f ca="1">_xll.SUBNM(Server&amp;"Phase","default","BUDG_VC_TOT","English")</f>
        <v>Budget V current</v>
      </c>
      <c r="F35" s="97" t="str">
        <f ca="1">_xll.SUBNM(Server&amp;"Period","ACTUAL_YTD","2023.02_YTD")</f>
        <v>2023.02_YTD</v>
      </c>
    </row>
    <row r="37" spans="3:6">
      <c r="C37" s="50" t="s">
        <v>6</v>
      </c>
      <c r="E37" s="85" t="str">
        <f ca="1">_xll.SUBNM(Server&amp;"Currency","","MEUR")</f>
        <v>MEUR</v>
      </c>
      <c r="F37" s="67"/>
    </row>
    <row r="38" spans="3:6">
      <c r="E38" s="67"/>
      <c r="F38" s="67"/>
    </row>
    <row r="41" spans="3:6" ht="18.5">
      <c r="C41" s="48" t="s">
        <v>7</v>
      </c>
    </row>
  </sheetData>
  <mergeCells count="2">
    <mergeCell ref="A20:G23"/>
    <mergeCell ref="C15:G17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C11:C15 C18:C19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J">
                <anchor moveWithCells="1" sizeWithCells="1">
                  <from>
                    <xdr:col>4</xdr:col>
                    <xdr:colOff>107950</xdr:colOff>
                    <xdr:row>41</xdr:row>
                    <xdr:rowOff>76200</xdr:rowOff>
                  </from>
                  <to>
                    <xdr:col>5</xdr:col>
                    <xdr:colOff>1003300</xdr:colOff>
                    <xdr:row>44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3391AA"/>
    <pageSetUpPr fitToPage="1"/>
  </sheetPr>
  <dimension ref="A1:BH603"/>
  <sheetViews>
    <sheetView showGridLines="0" topLeftCell="B331" zoomScale="80" zoomScaleNormal="80" workbookViewId="0"/>
  </sheetViews>
  <sheetFormatPr defaultColWidth="11.453125" defaultRowHeight="13.5" outlineLevelRow="2" outlineLevelCol="1"/>
  <cols>
    <col min="1" max="1" width="27.7265625" style="1" hidden="1" customWidth="1"/>
    <col min="2" max="2" width="2.81640625" style="1" customWidth="1"/>
    <col min="3" max="3" width="3.81640625" style="1" customWidth="1"/>
    <col min="4" max="4" width="1.453125" style="1" customWidth="1"/>
    <col min="5" max="5" width="60.54296875" style="1" customWidth="1"/>
    <col min="6" max="6" width="17" style="2" customWidth="1"/>
    <col min="7" max="8" width="15.7265625" style="2" bestFit="1" customWidth="1"/>
    <col min="9" max="10" width="15" style="2" bestFit="1" customWidth="1"/>
    <col min="11" max="11" width="22.453125" style="2" bestFit="1" customWidth="1"/>
    <col min="12" max="12" width="14" style="2" customWidth="1"/>
    <col min="13" max="24" width="12.7265625" style="2" customWidth="1" outlineLevel="1"/>
    <col min="25" max="25" width="15" style="2" bestFit="1" customWidth="1"/>
    <col min="26" max="37" width="12.7265625" style="2" customWidth="1" outlineLevel="1"/>
    <col min="38" max="38" width="15" style="2" bestFit="1" customWidth="1"/>
    <col min="39" max="50" width="12.7265625" style="2" customWidth="1" outlineLevel="1"/>
    <col min="51" max="51" width="15" style="2" bestFit="1" customWidth="1" collapsed="1"/>
    <col min="52" max="16384" width="11.453125" style="1"/>
  </cols>
  <sheetData>
    <row r="1" spans="1:52" ht="15.5" hidden="1" outlineLevel="1">
      <c r="A1" s="1" t="s">
        <v>8</v>
      </c>
      <c r="C1" s="1" t="str">
        <f ca="1">_xll.VIEW("tango_core_model:Report_PL",$C$2,$C$3,$C$4,$C$6,$C$5,$C$7,"!","!","!")</f>
        <v>tango_core_model:Report_PL</v>
      </c>
      <c r="F1" s="74">
        <f ca="1">z_Year_Selected -7</f>
        <v>2016</v>
      </c>
      <c r="G1" s="74">
        <f ca="1">z_Year_Selected -6</f>
        <v>2017</v>
      </c>
      <c r="H1" s="74">
        <f ca="1">z_Year_Selected -5</f>
        <v>2018</v>
      </c>
      <c r="I1" s="74">
        <f ca="1">z_Year_Selected -4</f>
        <v>2019</v>
      </c>
      <c r="J1" s="74">
        <f ca="1">z_Year_Selected -3</f>
        <v>2020</v>
      </c>
      <c r="K1" s="74">
        <f ca="1">z_Year_Selected -2</f>
        <v>2021</v>
      </c>
      <c r="L1" s="74">
        <f ca="1">z_Year_N_1</f>
        <v>2022</v>
      </c>
      <c r="M1" s="4" t="str">
        <f ca="1">z_Year_N_1&amp;".01_YTD"</f>
        <v>2022.01_YTD</v>
      </c>
      <c r="N1" s="4" t="str">
        <f ca="1">z_Year_N_1&amp;".02_YTD"</f>
        <v>2022.02_YTD</v>
      </c>
      <c r="O1" s="4" t="str">
        <f ca="1">z_Year_N_1&amp;".03_YTD"</f>
        <v>2022.03_YTD</v>
      </c>
      <c r="P1" s="4" t="str">
        <f ca="1">z_Year_N_1&amp;".04_YTD"</f>
        <v>2022.04_YTD</v>
      </c>
      <c r="Q1" s="4" t="str">
        <f ca="1">z_Year_N_1&amp;".05_YTD"</f>
        <v>2022.05_YTD</v>
      </c>
      <c r="R1" s="4" t="str">
        <f ca="1">z_Year_N_1&amp;".06_YTD"</f>
        <v>2022.06_YTD</v>
      </c>
      <c r="S1" s="4" t="str">
        <f ca="1">z_Year_N_1&amp;".07_YTD"</f>
        <v>2022.07_YTD</v>
      </c>
      <c r="T1" s="4" t="str">
        <f ca="1">z_Year_N_1&amp;".08_YTD"</f>
        <v>2022.08_YTD</v>
      </c>
      <c r="U1" s="4" t="str">
        <f ca="1">z_Year_N_1&amp;".09_YTD"</f>
        <v>2022.09_YTD</v>
      </c>
      <c r="V1" s="4" t="str">
        <f ca="1">z_Year_N_1&amp;".10_YTD"</f>
        <v>2022.10_YTD</v>
      </c>
      <c r="W1" s="4" t="str">
        <f ca="1">z_Year_N_1&amp;".11_YTD"</f>
        <v>2022.11_YTD</v>
      </c>
      <c r="X1" s="4" t="str">
        <f ca="1">z_Year_N_1&amp;".12_YTD"</f>
        <v>2022.12_YTD</v>
      </c>
      <c r="Y1" s="4">
        <f ca="1">z_Year_N_1</f>
        <v>2022</v>
      </c>
      <c r="Z1" s="4" t="str">
        <f ca="1">z_Current_Year&amp;".01_YTD"</f>
        <v>2023.01_YTD</v>
      </c>
      <c r="AA1" s="4" t="str">
        <f ca="1">z_Current_Year&amp;".02_YTD"</f>
        <v>2023.02_YTD</v>
      </c>
      <c r="AB1" s="4" t="str">
        <f ca="1">z_Current_Year&amp;".03_YTD"</f>
        <v>2023.03_YTD</v>
      </c>
      <c r="AC1" s="4" t="str">
        <f ca="1">z_Current_Year&amp;".04_YTD"</f>
        <v>2023.04_YTD</v>
      </c>
      <c r="AD1" s="4" t="str">
        <f ca="1">z_Current_Year&amp;".05_YTD"</f>
        <v>2023.05_YTD</v>
      </c>
      <c r="AE1" s="4" t="str">
        <f ca="1">z_Current_Year&amp;".06_YTD"</f>
        <v>2023.06_YTD</v>
      </c>
      <c r="AF1" s="4" t="str">
        <f ca="1">z_Current_Year&amp;".07_YTD"</f>
        <v>2023.07_YTD</v>
      </c>
      <c r="AG1" s="4" t="str">
        <f ca="1">z_Current_Year&amp;".08_YTD"</f>
        <v>2023.08_YTD</v>
      </c>
      <c r="AH1" s="4" t="str">
        <f ca="1">z_Current_Year&amp;".09_YTD"</f>
        <v>2023.09_YTD</v>
      </c>
      <c r="AI1" s="4" t="str">
        <f ca="1">z_Current_Year&amp;".10_YTD"</f>
        <v>2023.10_YTD</v>
      </c>
      <c r="AJ1" s="4" t="str">
        <f ca="1">z_Current_Year&amp;".11_YTD"</f>
        <v>2023.11_YTD</v>
      </c>
      <c r="AK1" s="4" t="str">
        <f ca="1">z_Current_Year&amp;".12_YTD"</f>
        <v>2023.12_YTD</v>
      </c>
      <c r="AL1" s="4" t="str">
        <f ca="1">z_Current_Year</f>
        <v>2023</v>
      </c>
      <c r="AM1" s="4" t="str">
        <f ca="1">z_Current_Year&amp;".01_YTD"</f>
        <v>2023.01_YTD</v>
      </c>
      <c r="AN1" s="4" t="str">
        <f ca="1">z_Current_Year&amp;".02_YTD"</f>
        <v>2023.02_YTD</v>
      </c>
      <c r="AO1" s="4" t="str">
        <f ca="1">z_Current_Year&amp;".03_YTD"</f>
        <v>2023.03_YTD</v>
      </c>
      <c r="AP1" s="4" t="str">
        <f ca="1">z_Current_Year&amp;".04_YTD"</f>
        <v>2023.04_YTD</v>
      </c>
      <c r="AQ1" s="4" t="str">
        <f ca="1">z_Current_Year&amp;".05_YTD"</f>
        <v>2023.05_YTD</v>
      </c>
      <c r="AR1" s="4" t="str">
        <f ca="1">z_Current_Year&amp;".06_YTD"</f>
        <v>2023.06_YTD</v>
      </c>
      <c r="AS1" s="4" t="str">
        <f ca="1">z_Current_Year&amp;".07_YTD"</f>
        <v>2023.07_YTD</v>
      </c>
      <c r="AT1" s="4" t="str">
        <f ca="1">z_Current_Year&amp;".08_YTD"</f>
        <v>2023.08_YTD</v>
      </c>
      <c r="AU1" s="4" t="str">
        <f ca="1">z_Current_Year&amp;".09_YTD"</f>
        <v>2023.09_YTD</v>
      </c>
      <c r="AV1" s="4" t="str">
        <f ca="1">z_Current_Year&amp;".10_YTD"</f>
        <v>2023.10_YTD</v>
      </c>
      <c r="AW1" s="4" t="str">
        <f ca="1">z_Current_Year&amp;".11_YTD"</f>
        <v>2023.11_YTD</v>
      </c>
      <c r="AX1" s="4" t="str">
        <f ca="1">z_Current_Year&amp;".12_YTD"</f>
        <v>2023.12_YTD</v>
      </c>
      <c r="AY1" s="4" t="str">
        <f ca="1">z_Current_Year</f>
        <v>2023</v>
      </c>
    </row>
    <row r="2" spans="1:52" hidden="1" outlineLevel="1">
      <c r="A2" s="3" t="s">
        <v>9</v>
      </c>
      <c r="B2" s="3"/>
      <c r="C2" s="1" t="str">
        <f ca="1">_xll.SUBNM("tango_core_model:Activity","","Tot_act")</f>
        <v>Tot_act</v>
      </c>
      <c r="F2" s="4" t="s">
        <v>10</v>
      </c>
      <c r="G2" s="4" t="s">
        <v>10</v>
      </c>
      <c r="H2" s="4" t="s">
        <v>10</v>
      </c>
      <c r="I2" s="4" t="s">
        <v>10</v>
      </c>
      <c r="J2" s="4" t="s">
        <v>10</v>
      </c>
      <c r="K2" s="4" t="s">
        <v>10</v>
      </c>
      <c r="L2" s="4" t="s">
        <v>11</v>
      </c>
      <c r="M2" s="4" t="s">
        <v>10</v>
      </c>
      <c r="N2" s="4" t="s">
        <v>10</v>
      </c>
      <c r="O2" s="4" t="s">
        <v>10</v>
      </c>
      <c r="P2" s="4" t="s">
        <v>10</v>
      </c>
      <c r="Q2" s="4" t="s">
        <v>10</v>
      </c>
      <c r="R2" s="4" t="s">
        <v>10</v>
      </c>
      <c r="S2" s="4" t="s">
        <v>10</v>
      </c>
      <c r="T2" s="4" t="s">
        <v>10</v>
      </c>
      <c r="U2" s="4" t="s">
        <v>10</v>
      </c>
      <c r="V2" s="4" t="s">
        <v>10</v>
      </c>
      <c r="W2" s="4" t="s">
        <v>10</v>
      </c>
      <c r="X2" s="4" t="s">
        <v>10</v>
      </c>
      <c r="Y2" s="4" t="s">
        <v>10</v>
      </c>
      <c r="Z2" s="4" t="s">
        <v>11</v>
      </c>
      <c r="AA2" s="4" t="s">
        <v>11</v>
      </c>
      <c r="AB2" s="4" t="s">
        <v>11</v>
      </c>
      <c r="AC2" s="4" t="s">
        <v>11</v>
      </c>
      <c r="AD2" s="4" t="s">
        <v>11</v>
      </c>
      <c r="AE2" s="4" t="s">
        <v>11</v>
      </c>
      <c r="AF2" s="4" t="s">
        <v>11</v>
      </c>
      <c r="AG2" s="4" t="s">
        <v>11</v>
      </c>
      <c r="AH2" s="4" t="s">
        <v>11</v>
      </c>
      <c r="AI2" s="4" t="s">
        <v>11</v>
      </c>
      <c r="AJ2" s="4" t="s">
        <v>11</v>
      </c>
      <c r="AK2" s="4" t="s">
        <v>11</v>
      </c>
      <c r="AL2" s="4" t="s">
        <v>11</v>
      </c>
      <c r="AM2" s="4" t="s">
        <v>10</v>
      </c>
      <c r="AN2" s="4" t="s">
        <v>10</v>
      </c>
      <c r="AO2" s="4" t="s">
        <v>10</v>
      </c>
      <c r="AP2" s="4" t="s">
        <v>10</v>
      </c>
      <c r="AQ2" s="4" t="s">
        <v>10</v>
      </c>
      <c r="AR2" s="4" t="s">
        <v>10</v>
      </c>
      <c r="AS2" s="4" t="s">
        <v>10</v>
      </c>
      <c r="AT2" s="4" t="s">
        <v>10</v>
      </c>
      <c r="AU2" s="4" t="s">
        <v>10</v>
      </c>
      <c r="AV2" s="4" t="s">
        <v>10</v>
      </c>
      <c r="AW2" s="4" t="s">
        <v>10</v>
      </c>
      <c r="AX2" s="4" t="s">
        <v>10</v>
      </c>
      <c r="AY2" s="4" t="s">
        <v>10</v>
      </c>
    </row>
    <row r="3" spans="1:52" hidden="1" outlineLevel="1">
      <c r="A3" s="3" t="s">
        <v>6</v>
      </c>
      <c r="B3" s="3"/>
      <c r="C3" s="1" t="str">
        <f ca="1">Context!E37</f>
        <v>MEUR</v>
      </c>
    </row>
    <row r="4" spans="1:52" hidden="1" outlineLevel="1">
      <c r="A4" s="3" t="s">
        <v>12</v>
      </c>
      <c r="B4" s="3"/>
      <c r="C4" s="1" t="str">
        <f ca="1">_xll.SUBNM("tango_core_model:Gaap","","Total_conso")</f>
        <v>Total_conso</v>
      </c>
    </row>
    <row r="5" spans="1:52" hidden="1" outlineLevel="1">
      <c r="A5" s="3" t="s">
        <v>13</v>
      </c>
      <c r="B5" s="3"/>
      <c r="C5" s="1" t="str">
        <f ca="1">_xll.SUBNM("tango_core_model:Legal_Organization","","VTD_corp")</f>
        <v>VTD_corp</v>
      </c>
    </row>
    <row r="6" spans="1:52" hidden="1" outlineLevel="1">
      <c r="A6" s="3" t="s">
        <v>14</v>
      </c>
      <c r="B6" s="3"/>
      <c r="C6" s="1" t="str">
        <f ca="1">_xll.SUBNM("tango_core_model:Integration_Rate","","APP")</f>
        <v>APP</v>
      </c>
    </row>
    <row r="7" spans="1:52" ht="14" hidden="1" outlineLevel="1">
      <c r="A7" s="3" t="s">
        <v>15</v>
      </c>
      <c r="B7" s="3"/>
      <c r="C7" s="1" t="str">
        <f ca="1">Context!E30</f>
        <v>VTD_corp</v>
      </c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70"/>
    </row>
    <row r="8" spans="1:52" hidden="1" outlineLevel="1">
      <c r="A8" s="3"/>
      <c r="B8" s="3"/>
    </row>
    <row r="9" spans="1:52" ht="14.5" collapsed="1">
      <c r="A9" s="3"/>
      <c r="B9" s="3"/>
      <c r="C9" s="93"/>
      <c r="D9" s="94"/>
      <c r="E9" s="102" t="str">
        <f ca="1">"Reporting Europe "&amp;_xll.DBRA(Server&amp;"Management_Organization",Context!$E$30,"English")&amp;", "&amp;Context!$F$32</f>
        <v>Reporting Europe TRANSDEV All, 2023.02_YTD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77"/>
    </row>
    <row r="10" spans="1:52" ht="14.5">
      <c r="A10" s="3"/>
      <c r="B10" s="3"/>
      <c r="C10" s="93"/>
      <c r="D10" s="94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77"/>
    </row>
    <row r="11" spans="1:52" ht="25.5" customHeight="1">
      <c r="C11" s="93"/>
      <c r="D11" s="94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77"/>
    </row>
    <row r="16" spans="1:52">
      <c r="A16" s="3"/>
      <c r="B16" s="3"/>
    </row>
    <row r="21" spans="1:51" ht="15.5">
      <c r="E21" s="105" t="str">
        <f ca="1">C7</f>
        <v>VTD_corp</v>
      </c>
      <c r="F21" s="60" t="str">
        <f t="shared" ref="F21:AY21" si="0">IF(F2="ACT_TOT","ACTUAL","BUDGET")</f>
        <v>ACTUAL</v>
      </c>
      <c r="G21" s="60" t="str">
        <f t="shared" si="0"/>
        <v>ACTUAL</v>
      </c>
      <c r="H21" s="60" t="str">
        <f t="shared" si="0"/>
        <v>ACTUAL</v>
      </c>
      <c r="I21" s="60" t="str">
        <f t="shared" si="0"/>
        <v>ACTUAL</v>
      </c>
      <c r="J21" s="60" t="str">
        <f t="shared" si="0"/>
        <v>ACTUAL</v>
      </c>
      <c r="K21" s="60" t="str">
        <f t="shared" si="0"/>
        <v>ACTUAL</v>
      </c>
      <c r="L21" s="60" t="str">
        <f t="shared" si="0"/>
        <v>BUDGET</v>
      </c>
      <c r="M21" s="60" t="str">
        <f t="shared" si="0"/>
        <v>ACTUAL</v>
      </c>
      <c r="N21" s="60" t="str">
        <f t="shared" si="0"/>
        <v>ACTUAL</v>
      </c>
      <c r="O21" s="60" t="str">
        <f t="shared" si="0"/>
        <v>ACTUAL</v>
      </c>
      <c r="P21" s="60" t="str">
        <f t="shared" si="0"/>
        <v>ACTUAL</v>
      </c>
      <c r="Q21" s="60" t="str">
        <f t="shared" si="0"/>
        <v>ACTUAL</v>
      </c>
      <c r="R21" s="60" t="str">
        <f t="shared" si="0"/>
        <v>ACTUAL</v>
      </c>
      <c r="S21" s="60" t="str">
        <f t="shared" si="0"/>
        <v>ACTUAL</v>
      </c>
      <c r="T21" s="60" t="str">
        <f t="shared" si="0"/>
        <v>ACTUAL</v>
      </c>
      <c r="U21" s="60" t="str">
        <f t="shared" si="0"/>
        <v>ACTUAL</v>
      </c>
      <c r="V21" s="60" t="str">
        <f t="shared" si="0"/>
        <v>ACTUAL</v>
      </c>
      <c r="W21" s="60" t="str">
        <f t="shared" si="0"/>
        <v>ACTUAL</v>
      </c>
      <c r="X21" s="60" t="str">
        <f t="shared" si="0"/>
        <v>ACTUAL</v>
      </c>
      <c r="Y21" s="60" t="str">
        <f t="shared" si="0"/>
        <v>ACTUAL</v>
      </c>
      <c r="Z21" s="60" t="str">
        <f t="shared" si="0"/>
        <v>BUDGET</v>
      </c>
      <c r="AA21" s="60" t="str">
        <f t="shared" si="0"/>
        <v>BUDGET</v>
      </c>
      <c r="AB21" s="60" t="str">
        <f t="shared" si="0"/>
        <v>BUDGET</v>
      </c>
      <c r="AC21" s="60" t="str">
        <f t="shared" si="0"/>
        <v>BUDGET</v>
      </c>
      <c r="AD21" s="60" t="str">
        <f t="shared" si="0"/>
        <v>BUDGET</v>
      </c>
      <c r="AE21" s="60" t="str">
        <f t="shared" si="0"/>
        <v>BUDGET</v>
      </c>
      <c r="AF21" s="60" t="str">
        <f t="shared" si="0"/>
        <v>BUDGET</v>
      </c>
      <c r="AG21" s="60" t="str">
        <f t="shared" si="0"/>
        <v>BUDGET</v>
      </c>
      <c r="AH21" s="60" t="str">
        <f t="shared" si="0"/>
        <v>BUDGET</v>
      </c>
      <c r="AI21" s="60" t="str">
        <f t="shared" si="0"/>
        <v>BUDGET</v>
      </c>
      <c r="AJ21" s="60" t="str">
        <f t="shared" si="0"/>
        <v>BUDGET</v>
      </c>
      <c r="AK21" s="60" t="str">
        <f t="shared" si="0"/>
        <v>BUDGET</v>
      </c>
      <c r="AL21" s="60" t="str">
        <f t="shared" si="0"/>
        <v>BUDGET</v>
      </c>
      <c r="AM21" s="60" t="str">
        <f t="shared" si="0"/>
        <v>ACTUAL</v>
      </c>
      <c r="AN21" s="60" t="str">
        <f t="shared" si="0"/>
        <v>ACTUAL</v>
      </c>
      <c r="AO21" s="60" t="str">
        <f t="shared" si="0"/>
        <v>ACTUAL</v>
      </c>
      <c r="AP21" s="60" t="str">
        <f t="shared" si="0"/>
        <v>ACTUAL</v>
      </c>
      <c r="AQ21" s="60" t="str">
        <f t="shared" si="0"/>
        <v>ACTUAL</v>
      </c>
      <c r="AR21" s="60" t="str">
        <f t="shared" si="0"/>
        <v>ACTUAL</v>
      </c>
      <c r="AS21" s="60" t="str">
        <f t="shared" si="0"/>
        <v>ACTUAL</v>
      </c>
      <c r="AT21" s="60" t="str">
        <f t="shared" si="0"/>
        <v>ACTUAL</v>
      </c>
      <c r="AU21" s="60" t="str">
        <f t="shared" si="0"/>
        <v>ACTUAL</v>
      </c>
      <c r="AV21" s="60" t="str">
        <f t="shared" si="0"/>
        <v>ACTUAL</v>
      </c>
      <c r="AW21" s="60" t="str">
        <f t="shared" si="0"/>
        <v>ACTUAL</v>
      </c>
      <c r="AX21" s="60" t="str">
        <f t="shared" si="0"/>
        <v>ACTUAL</v>
      </c>
      <c r="AY21" s="60" t="str">
        <f t="shared" si="0"/>
        <v>ACTUAL</v>
      </c>
    </row>
    <row r="22" spans="1:51" ht="15.5">
      <c r="E22" s="106"/>
      <c r="F22" s="61">
        <f t="shared" ref="F22:AY22" ca="1" si="1">F1</f>
        <v>2016</v>
      </c>
      <c r="G22" s="61">
        <f t="shared" ca="1" si="1"/>
        <v>2017</v>
      </c>
      <c r="H22" s="61">
        <f t="shared" ca="1" si="1"/>
        <v>2018</v>
      </c>
      <c r="I22" s="61">
        <f t="shared" ca="1" si="1"/>
        <v>2019</v>
      </c>
      <c r="J22" s="61">
        <f t="shared" ca="1" si="1"/>
        <v>2020</v>
      </c>
      <c r="K22" s="61">
        <f t="shared" ca="1" si="1"/>
        <v>2021</v>
      </c>
      <c r="L22" s="61">
        <f t="shared" ca="1" si="1"/>
        <v>2022</v>
      </c>
      <c r="M22" s="61" t="str">
        <f t="shared" ca="1" si="1"/>
        <v>2022.01_YTD</v>
      </c>
      <c r="N22" s="61" t="str">
        <f t="shared" ca="1" si="1"/>
        <v>2022.02_YTD</v>
      </c>
      <c r="O22" s="61" t="str">
        <f t="shared" ca="1" si="1"/>
        <v>2022.03_YTD</v>
      </c>
      <c r="P22" s="61" t="str">
        <f t="shared" ca="1" si="1"/>
        <v>2022.04_YTD</v>
      </c>
      <c r="Q22" s="61" t="str">
        <f t="shared" ca="1" si="1"/>
        <v>2022.05_YTD</v>
      </c>
      <c r="R22" s="61" t="str">
        <f t="shared" ca="1" si="1"/>
        <v>2022.06_YTD</v>
      </c>
      <c r="S22" s="61" t="str">
        <f t="shared" ca="1" si="1"/>
        <v>2022.07_YTD</v>
      </c>
      <c r="T22" s="61" t="str">
        <f t="shared" ca="1" si="1"/>
        <v>2022.08_YTD</v>
      </c>
      <c r="U22" s="61" t="str">
        <f t="shared" ca="1" si="1"/>
        <v>2022.09_YTD</v>
      </c>
      <c r="V22" s="61" t="str">
        <f t="shared" ca="1" si="1"/>
        <v>2022.10_YTD</v>
      </c>
      <c r="W22" s="61" t="str">
        <f t="shared" ca="1" si="1"/>
        <v>2022.11_YTD</v>
      </c>
      <c r="X22" s="61" t="str">
        <f t="shared" ca="1" si="1"/>
        <v>2022.12_YTD</v>
      </c>
      <c r="Y22" s="61">
        <f t="shared" ca="1" si="1"/>
        <v>2022</v>
      </c>
      <c r="Z22" s="61" t="str">
        <f t="shared" ca="1" si="1"/>
        <v>2023.01_YTD</v>
      </c>
      <c r="AA22" s="61" t="str">
        <f t="shared" ca="1" si="1"/>
        <v>2023.02_YTD</v>
      </c>
      <c r="AB22" s="61" t="str">
        <f t="shared" ca="1" si="1"/>
        <v>2023.03_YTD</v>
      </c>
      <c r="AC22" s="61" t="str">
        <f t="shared" ca="1" si="1"/>
        <v>2023.04_YTD</v>
      </c>
      <c r="AD22" s="61" t="str">
        <f t="shared" ca="1" si="1"/>
        <v>2023.05_YTD</v>
      </c>
      <c r="AE22" s="61" t="str">
        <f t="shared" ca="1" si="1"/>
        <v>2023.06_YTD</v>
      </c>
      <c r="AF22" s="61" t="str">
        <f t="shared" ca="1" si="1"/>
        <v>2023.07_YTD</v>
      </c>
      <c r="AG22" s="61" t="str">
        <f t="shared" ca="1" si="1"/>
        <v>2023.08_YTD</v>
      </c>
      <c r="AH22" s="61" t="str">
        <f t="shared" ca="1" si="1"/>
        <v>2023.09_YTD</v>
      </c>
      <c r="AI22" s="61" t="str">
        <f t="shared" ca="1" si="1"/>
        <v>2023.10_YTD</v>
      </c>
      <c r="AJ22" s="61" t="str">
        <f t="shared" ca="1" si="1"/>
        <v>2023.11_YTD</v>
      </c>
      <c r="AK22" s="61" t="str">
        <f t="shared" ca="1" si="1"/>
        <v>2023.12_YTD</v>
      </c>
      <c r="AL22" s="61" t="str">
        <f t="shared" ca="1" si="1"/>
        <v>2023</v>
      </c>
      <c r="AM22" s="61" t="str">
        <f t="shared" ca="1" si="1"/>
        <v>2023.01_YTD</v>
      </c>
      <c r="AN22" s="61" t="str">
        <f t="shared" ca="1" si="1"/>
        <v>2023.02_YTD</v>
      </c>
      <c r="AO22" s="61" t="str">
        <f t="shared" ca="1" si="1"/>
        <v>2023.03_YTD</v>
      </c>
      <c r="AP22" s="61" t="str">
        <f t="shared" ca="1" si="1"/>
        <v>2023.04_YTD</v>
      </c>
      <c r="AQ22" s="61" t="str">
        <f t="shared" ca="1" si="1"/>
        <v>2023.05_YTD</v>
      </c>
      <c r="AR22" s="61" t="str">
        <f t="shared" ca="1" si="1"/>
        <v>2023.06_YTD</v>
      </c>
      <c r="AS22" s="61" t="str">
        <f t="shared" ca="1" si="1"/>
        <v>2023.07_YTD</v>
      </c>
      <c r="AT22" s="61" t="str">
        <f t="shared" ca="1" si="1"/>
        <v>2023.08_YTD</v>
      </c>
      <c r="AU22" s="61" t="str">
        <f t="shared" ca="1" si="1"/>
        <v>2023.09_YTD</v>
      </c>
      <c r="AV22" s="61" t="str">
        <f t="shared" ca="1" si="1"/>
        <v>2023.10_YTD</v>
      </c>
      <c r="AW22" s="61" t="str">
        <f t="shared" ca="1" si="1"/>
        <v>2023.11_YTD</v>
      </c>
      <c r="AX22" s="61" t="str">
        <f t="shared" ca="1" si="1"/>
        <v>2023.12_YTD</v>
      </c>
      <c r="AY22" s="61" t="str">
        <f t="shared" ca="1" si="1"/>
        <v>2023</v>
      </c>
    </row>
    <row r="23" spans="1:51" ht="7.5" customHeight="1">
      <c r="E23" s="7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</row>
    <row r="24" spans="1:51" ht="15.5" hidden="1" outlineLevel="1">
      <c r="A24" s="1" t="s">
        <v>141</v>
      </c>
      <c r="E24" s="9" t="str">
        <f ca="1">_xll.DBRW(Server&amp;"}ElementAttributes_Indicator",A24,"code_English")</f>
        <v>TPL10_nat - REVENUE FROM ORDINARY ACTIVITIES (by nature)</v>
      </c>
      <c r="F24" s="10">
        <f ca="1">_xll.DBRW($C$1,$C$2,$C$3,$C$4,$C$6,$C$5,$C$7,F$1,F$2,A24)</f>
        <v>6669.5947138140018</v>
      </c>
      <c r="G24" s="10">
        <f ca="1">_xll.DBRW($C$1,$C$2,$C$3,$C$4,$C$6,$C$5,$C$7,G$1,G$2,A24)</f>
        <v>6643.1579127559962</v>
      </c>
      <c r="H24" s="10">
        <f ca="1">_xll.DBRW($C$1,$C$2,$C$3,$C$4,$C$6,$C$5,$C$7,H$1,H$2,A24)</f>
        <v>6947.9634240439991</v>
      </c>
      <c r="I24" s="10">
        <f ca="1">_xll.DBRW($C$1,$C$2,$C$3,$C$4,$C$6,$C$5,$C$7,I$1,I$2,A24)</f>
        <v>7415.5181100089976</v>
      </c>
      <c r="J24" s="10">
        <f ca="1">_xll.DBRW($C$1,$C$2,$C$3,$C$4,$C$6,$C$5,$C$7,J$1,J$2,A24)</f>
        <v>6755.6456282149975</v>
      </c>
      <c r="K24" s="10">
        <f ca="1">_xll.DBRW($C$1,$C$2,$C$3,$C$4,$C$6,$C$5,$C$7,K$1,K$2,A24)</f>
        <v>7010.9005557079972</v>
      </c>
      <c r="L24" s="10">
        <f ca="1">_xll.DBRW($C$1,$C$2,$C$3,$C$4,$C$6,$C$5,$C$7,L$1,L$2,A24)</f>
        <v>7081.6430490570019</v>
      </c>
      <c r="M24" s="10">
        <f ca="1">_xll.DBRW($C$1,$C$2,$C$3,$C$4,$C$6,$C$5,$C$7,M$1,M$2,A24)</f>
        <v>161.96976921299998</v>
      </c>
      <c r="N24" s="10">
        <f ca="1">_xll.DBRW($C$1,$C$2,$C$3,$C$4,$C$6,$C$5,$C$7,N$1,N$2,A24)</f>
        <v>1169.2311753859999</v>
      </c>
      <c r="O24" s="10">
        <f ca="1">_xll.DBRW($C$1,$C$2,$C$3,$C$4,$C$6,$C$5,$C$7,O$1,O$2,A24)</f>
        <v>1809.686689918</v>
      </c>
      <c r="P24" s="10">
        <f ca="1">_xll.DBRW($C$1,$C$2,$C$3,$C$4,$C$6,$C$5,$C$7,P$1,P$2,A24)</f>
        <v>2418.8568855109997</v>
      </c>
      <c r="Q24" s="10">
        <f ca="1">_xll.DBRW($C$1,$C$2,$C$3,$C$4,$C$6,$C$5,$C$7,Q$1,Q$2,A24)</f>
        <v>3071.5613952959998</v>
      </c>
      <c r="R24" s="10">
        <f ca="1">_xll.DBRW($C$1,$C$2,$C$3,$C$4,$C$6,$C$5,$C$7,R$1,R$2,A24)</f>
        <v>3743.7476108800006</v>
      </c>
      <c r="S24" s="10">
        <f ca="1">_xll.DBRW($C$1,$C$2,$C$3,$C$4,$C$6,$C$5,$C$7,S$1,S$2,A24)</f>
        <v>1610.3066505310012</v>
      </c>
      <c r="T24" s="10">
        <f ca="1">_xll.DBRW($C$1,$C$2,$C$3,$C$4,$C$6,$C$5,$C$7,T$1,T$2,A24)</f>
        <v>4961.9211646770018</v>
      </c>
      <c r="U24" s="10">
        <f ca="1">_xll.DBRW($C$1,$C$2,$C$3,$C$4,$C$6,$C$5,$C$7,U$1,U$2,A24)</f>
        <v>5642.9075718170025</v>
      </c>
      <c r="V24" s="10">
        <f ca="1">_xll.DBRW($C$1,$C$2,$C$3,$C$4,$C$6,$C$5,$C$7,V$1,V$2,A24)</f>
        <v>1055.7407393710032</v>
      </c>
      <c r="W24" s="10">
        <f ca="1">_xll.DBRW($C$1,$C$2,$C$3,$C$4,$C$6,$C$5,$C$7,W$1,W$2,A24)</f>
        <v>6990.2623444810033</v>
      </c>
      <c r="X24" s="10">
        <f ca="1">_xll.DBRW($C$1,$C$2,$C$3,$C$4,$C$6,$C$5,$C$7,X$1,X$2,A24)</f>
        <v>7707.2141514720042</v>
      </c>
      <c r="Y24" s="10">
        <f ca="1">_xll.DBRW($C$1,$C$2,$C$3,$C$4,$C$6,$C$5,$C$7,Y$1,Y$2,A24)</f>
        <v>7707.2141514720042</v>
      </c>
      <c r="Z24" s="10">
        <f ca="1">_xll.DBRW($C$1,$C$2,$C$3,$C$4,$C$6,$C$5,$C$7,Z$1,Z$2,A24)</f>
        <v>697.38640434200022</v>
      </c>
      <c r="AA24" s="10">
        <f ca="1">_xll.DBRW($C$1,$C$2,$C$3,$C$4,$C$6,$C$5,$C$7,AA$1,AA$2,A24)</f>
        <v>1358.3655643290001</v>
      </c>
      <c r="AB24" s="10">
        <f ca="1">_xll.DBRW($C$1,$C$2,$C$3,$C$4,$C$6,$C$5,$C$7,AB$1,AB$2,A24)</f>
        <v>2080.5868982719999</v>
      </c>
      <c r="AC24" s="10">
        <f ca="1">_xll.DBRW($C$1,$C$2,$C$3,$C$4,$C$6,$C$5,$C$7,AC$1,AC$2,A24)</f>
        <v>2762.7248188689996</v>
      </c>
      <c r="AD24" s="10">
        <f ca="1">_xll.DBRW($C$1,$C$2,$C$3,$C$4,$C$6,$C$5,$C$7,AD$1,AD$2,A24)</f>
        <v>3596.2567491169993</v>
      </c>
      <c r="AE24" s="10">
        <f ca="1">_xll.DBRW($C$1,$C$2,$C$3,$C$4,$C$6,$C$5,$C$7,AE$1,AE$2,A24)</f>
        <v>4442.3887586319997</v>
      </c>
      <c r="AF24" s="10">
        <f ca="1">_xll.DBRW($C$1,$C$2,$C$3,$C$4,$C$6,$C$5,$C$7,AF$1,AF$2,A24)</f>
        <v>5238.3221558719997</v>
      </c>
      <c r="AG24" s="10">
        <f ca="1">_xll.DBRW($C$1,$C$2,$C$3,$C$4,$C$6,$C$5,$C$7,AG$1,AG$2,A24)</f>
        <v>6026.8841087010014</v>
      </c>
      <c r="AH24" s="10">
        <f ca="1">_xll.DBRW($C$1,$C$2,$C$3,$C$4,$C$6,$C$5,$C$7,AH$1,AH$2,A24)</f>
        <v>6855.1493218540018</v>
      </c>
      <c r="AI24" s="10">
        <f ca="1">_xll.DBRW($C$1,$C$2,$C$3,$C$4,$C$6,$C$5,$C$7,AI$1,AI$2,A24)</f>
        <v>7687.3052626810004</v>
      </c>
      <c r="AJ24" s="10">
        <f ca="1">_xll.DBRW($C$1,$C$2,$C$3,$C$4,$C$6,$C$5,$C$7,AJ$1,AJ$2,A24)</f>
        <v>8509.123754471002</v>
      </c>
      <c r="AK24" s="10">
        <f ca="1">_xll.DBRW($C$1,$C$2,$C$3,$C$4,$C$6,$C$5,$C$7,AK$1,AK$2,A24)</f>
        <v>9336.3625297590024</v>
      </c>
      <c r="AL24" s="24">
        <f ca="1">_xll.DBRW($C$1,$C$2,$C$3,$C$4,$C$6,$C$5,$C$7,AL$1,AL$2,A24)</f>
        <v>9336.3625297590024</v>
      </c>
      <c r="AM24" s="10">
        <f ca="1">_xll.DBRW($C$1,$C$2,$C$3,$C$4,$C$6,$C$5,$C$7,AM$1,AM$2,A24)</f>
        <v>97.660878448000062</v>
      </c>
      <c r="AN24" s="10">
        <f ca="1">_xll.DBRW($C$1,$C$2,$C$3,$C$4,$C$6,$C$5,$C$7,AN$1,AN$2,A24)</f>
        <v>1323.8218006309996</v>
      </c>
      <c r="AO24" s="10">
        <f ca="1">_xll.DBRW($C$1,$C$2,$C$3,$C$4,$C$6,$C$5,$C$7,AO$1,AO$2,A24)</f>
        <v>1323.8218006309999</v>
      </c>
      <c r="AP24" s="10">
        <f ca="1">_xll.DBRW($C$1,$C$2,$C$3,$C$4,$C$6,$C$5,$C$7,AP$1,AP$2,A24)</f>
        <v>1323.8218006309999</v>
      </c>
      <c r="AQ24" s="10">
        <f ca="1">_xll.DBRW($C$1,$C$2,$C$3,$C$4,$C$6,$C$5,$C$7,AQ$1,AQ$2,A24)</f>
        <v>1323.8218006309999</v>
      </c>
      <c r="AR24" s="10">
        <f ca="1">_xll.DBRW($C$1,$C$2,$C$3,$C$4,$C$6,$C$5,$C$7,AR$1,AR$2,A24)</f>
        <v>1323.8218006309999</v>
      </c>
      <c r="AS24" s="10">
        <f ca="1">_xll.DBRW($C$1,$C$2,$C$3,$C$4,$C$6,$C$5,$C$7,AS$1,AS$2,A24)</f>
        <v>1323.8218006309999</v>
      </c>
      <c r="AT24" s="10">
        <f ca="1">_xll.DBRW($C$1,$C$2,$C$3,$C$4,$C$6,$C$5,$C$7,AT$1,AT$2,A24)</f>
        <v>1323.8218006309999</v>
      </c>
      <c r="AU24" s="10">
        <f ca="1">_xll.DBRW($C$1,$C$2,$C$3,$C$4,$C$6,$C$5,$C$7,AU$1,AU$2,A24)</f>
        <v>1323.8218006309999</v>
      </c>
      <c r="AV24" s="10">
        <f ca="1">_xll.DBRW($C$1,$C$2,$C$3,$C$4,$C$6,$C$5,$C$7,AV$1,AV$2,A24)</f>
        <v>1323.8218006309999</v>
      </c>
      <c r="AW24" s="10">
        <f ca="1">_xll.DBRW($C$1,$C$2,$C$3,$C$4,$C$6,$C$5,$C$7,AW$1,AW$2,A24)</f>
        <v>1323.8218006309999</v>
      </c>
      <c r="AX24" s="10">
        <f ca="1">_xll.DBRW($C$1,$C$2,$C$3,$C$4,$C$6,$C$5,$C$7,AX$1,AX$2,A24)</f>
        <v>1323.8218006309999</v>
      </c>
      <c r="AY24" s="10">
        <f ca="1">_xll.DBRW($C$1,$C$2,$C$3,$C$4,$C$6,$C$5,$C$7,AY$1,AY$2,A24)</f>
        <v>1323.8218006309999</v>
      </c>
    </row>
    <row r="25" spans="1:51" ht="15.75" customHeight="1" collapsed="1">
      <c r="A25" s="1" t="s">
        <v>142</v>
      </c>
      <c r="C25" s="104" t="s">
        <v>16</v>
      </c>
      <c r="E25" s="20" t="s">
        <v>17</v>
      </c>
      <c r="F25" s="37">
        <f ca="1">F24</f>
        <v>6669.5947138140018</v>
      </c>
      <c r="G25" s="37">
        <f t="shared" ref="G25:AY25" ca="1" si="2">G24</f>
        <v>6643.1579127559962</v>
      </c>
      <c r="H25" s="37">
        <f t="shared" ca="1" si="2"/>
        <v>6947.9634240439991</v>
      </c>
      <c r="I25" s="37">
        <f t="shared" ca="1" si="2"/>
        <v>7415.5181100089976</v>
      </c>
      <c r="J25" s="37">
        <f t="shared" ca="1" si="2"/>
        <v>6755.6456282149975</v>
      </c>
      <c r="K25" s="37">
        <f t="shared" ca="1" si="2"/>
        <v>7010.9005557079972</v>
      </c>
      <c r="L25" s="37">
        <f t="shared" ca="1" si="2"/>
        <v>7081.6430490570019</v>
      </c>
      <c r="M25" s="37">
        <f t="shared" ca="1" si="2"/>
        <v>161.96976921299998</v>
      </c>
      <c r="N25" s="37">
        <f t="shared" ca="1" si="2"/>
        <v>1169.2311753859999</v>
      </c>
      <c r="O25" s="37">
        <f t="shared" ca="1" si="2"/>
        <v>1809.686689918</v>
      </c>
      <c r="P25" s="37">
        <f t="shared" ca="1" si="2"/>
        <v>2418.8568855109997</v>
      </c>
      <c r="Q25" s="37">
        <f t="shared" ca="1" si="2"/>
        <v>3071.5613952959998</v>
      </c>
      <c r="R25" s="37">
        <f t="shared" ca="1" si="2"/>
        <v>3743.7476108800006</v>
      </c>
      <c r="S25" s="37">
        <f t="shared" ca="1" si="2"/>
        <v>1610.3066505310012</v>
      </c>
      <c r="T25" s="37">
        <f t="shared" ca="1" si="2"/>
        <v>4961.9211646770018</v>
      </c>
      <c r="U25" s="37">
        <f t="shared" ca="1" si="2"/>
        <v>5642.9075718170025</v>
      </c>
      <c r="V25" s="37">
        <f t="shared" ca="1" si="2"/>
        <v>1055.7407393710032</v>
      </c>
      <c r="W25" s="37">
        <f t="shared" ca="1" si="2"/>
        <v>6990.2623444810033</v>
      </c>
      <c r="X25" s="37">
        <f t="shared" ca="1" si="2"/>
        <v>7707.2141514720042</v>
      </c>
      <c r="Y25" s="37">
        <f t="shared" ca="1" si="2"/>
        <v>7707.2141514720042</v>
      </c>
      <c r="Z25" s="37">
        <f t="shared" ca="1" si="2"/>
        <v>697.38640434200022</v>
      </c>
      <c r="AA25" s="37">
        <f t="shared" ca="1" si="2"/>
        <v>1358.3655643290001</v>
      </c>
      <c r="AB25" s="37">
        <f t="shared" ca="1" si="2"/>
        <v>2080.5868982719999</v>
      </c>
      <c r="AC25" s="37">
        <f t="shared" ca="1" si="2"/>
        <v>2762.7248188689996</v>
      </c>
      <c r="AD25" s="37">
        <f t="shared" ca="1" si="2"/>
        <v>3596.2567491169993</v>
      </c>
      <c r="AE25" s="37">
        <f t="shared" ca="1" si="2"/>
        <v>4442.3887586319997</v>
      </c>
      <c r="AF25" s="37">
        <f t="shared" ca="1" si="2"/>
        <v>5238.3221558719997</v>
      </c>
      <c r="AG25" s="37">
        <f t="shared" ca="1" si="2"/>
        <v>6026.8841087010014</v>
      </c>
      <c r="AH25" s="37">
        <f t="shared" ca="1" si="2"/>
        <v>6855.1493218540018</v>
      </c>
      <c r="AI25" s="37">
        <f t="shared" ca="1" si="2"/>
        <v>7687.3052626810004</v>
      </c>
      <c r="AJ25" s="37">
        <f t="shared" ca="1" si="2"/>
        <v>8509.123754471002</v>
      </c>
      <c r="AK25" s="37">
        <f t="shared" ca="1" si="2"/>
        <v>9336.3625297590024</v>
      </c>
      <c r="AL25" s="37">
        <f t="shared" ca="1" si="2"/>
        <v>9336.3625297590024</v>
      </c>
      <c r="AM25" s="37">
        <f t="shared" ca="1" si="2"/>
        <v>97.660878448000062</v>
      </c>
      <c r="AN25" s="37">
        <f t="shared" ca="1" si="2"/>
        <v>1323.8218006309996</v>
      </c>
      <c r="AO25" s="37">
        <f t="shared" ca="1" si="2"/>
        <v>1323.8218006309999</v>
      </c>
      <c r="AP25" s="37">
        <f t="shared" ca="1" si="2"/>
        <v>1323.8218006309999</v>
      </c>
      <c r="AQ25" s="37">
        <f t="shared" ca="1" si="2"/>
        <v>1323.8218006309999</v>
      </c>
      <c r="AR25" s="37">
        <f t="shared" ca="1" si="2"/>
        <v>1323.8218006309999</v>
      </c>
      <c r="AS25" s="37">
        <f t="shared" ca="1" si="2"/>
        <v>1323.8218006309999</v>
      </c>
      <c r="AT25" s="37">
        <f t="shared" ca="1" si="2"/>
        <v>1323.8218006309999</v>
      </c>
      <c r="AU25" s="37">
        <f t="shared" ca="1" si="2"/>
        <v>1323.8218006309999</v>
      </c>
      <c r="AV25" s="37">
        <f t="shared" ca="1" si="2"/>
        <v>1323.8218006309999</v>
      </c>
      <c r="AW25" s="37">
        <f t="shared" ca="1" si="2"/>
        <v>1323.8218006309999</v>
      </c>
      <c r="AX25" s="37">
        <f t="shared" ca="1" si="2"/>
        <v>1323.8218006309999</v>
      </c>
      <c r="AY25" s="37">
        <f t="shared" ca="1" si="2"/>
        <v>1323.8218006309999</v>
      </c>
    </row>
    <row r="26" spans="1:51" ht="7.5" customHeight="1">
      <c r="A26" s="1" t="s">
        <v>142</v>
      </c>
      <c r="C26" s="104"/>
      <c r="E26" s="7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</row>
    <row r="27" spans="1:51" ht="15.75" hidden="1" customHeight="1" outlineLevel="1">
      <c r="A27" s="1" t="s">
        <v>143</v>
      </c>
      <c r="C27" s="104"/>
      <c r="E27" s="9" t="str">
        <f ca="1">_xll.DBRW(Server&amp;"}ElementAttributes_Indicator",A27,"code_English")</f>
        <v>PL1003_RC_30 - Other transportation revenue (incl. subcontracting revenue)</v>
      </c>
      <c r="F27" s="10">
        <f ca="1">_xll.DBRW($C$1,$C$2,$C$3,$C$4,$C$6,$C$5,$C$7,F$1,F$2,A27)</f>
        <v>582.00475821437067</v>
      </c>
      <c r="G27" s="10">
        <f ca="1">_xll.DBRW($C$1,$C$2,$C$3,$C$4,$C$6,$C$5,$C$7,G$1,G$2,A27)</f>
        <v>482.22699307425091</v>
      </c>
      <c r="H27" s="10">
        <f ca="1">_xll.DBRW($C$1,$C$2,$C$3,$C$4,$C$6,$C$5,$C$7,H$1,H$2,A27)</f>
        <v>448.8025741672613</v>
      </c>
      <c r="I27" s="10">
        <f ca="1">_xll.DBRW($C$1,$C$2,$C$3,$C$4,$C$6,$C$5,$C$7,I$1,I$2,A27)</f>
        <v>357.57913251514611</v>
      </c>
      <c r="J27" s="10">
        <f ca="1">_xll.DBRW($C$1,$C$2,$C$3,$C$4,$C$6,$C$5,$C$7,J$1,J$2,A27)</f>
        <v>179.75126740414464</v>
      </c>
      <c r="K27" s="10">
        <f ca="1">_xll.DBRW($C$1,$C$2,$C$3,$C$4,$C$6,$C$5,$C$7,K$1,K$2,A27)</f>
        <v>321.72473169825196</v>
      </c>
      <c r="L27" s="10">
        <f ca="1">_xll.DBRW($C$1,$C$2,$C$3,$C$4,$C$6,$C$5,$C$7,L$1,L$2,A27)</f>
        <v>341.66747404511284</v>
      </c>
      <c r="M27" s="10">
        <f ca="1">_xll.DBRW($C$1,$C$2,$C$3,$C$4,$C$6,$C$5,$C$7,M$1,M$2,A27)</f>
        <v>19.213021267272548</v>
      </c>
      <c r="N27" s="10">
        <f ca="1">_xll.DBRW($C$1,$C$2,$C$3,$C$4,$C$6,$C$5,$C$7,N$1,N$2,A27)</f>
        <v>43.102836127928306</v>
      </c>
      <c r="O27" s="10">
        <f ca="1">_xll.DBRW($C$1,$C$2,$C$3,$C$4,$C$6,$C$5,$C$7,O$1,O$2,A27)</f>
        <v>79.309406549760666</v>
      </c>
      <c r="P27" s="10">
        <f ca="1">_xll.DBRW($C$1,$C$2,$C$3,$C$4,$C$6,$C$5,$C$7,P$1,P$2,A27)</f>
        <v>105.94606948475541</v>
      </c>
      <c r="Q27" s="10">
        <f ca="1">_xll.DBRW($C$1,$C$2,$C$3,$C$4,$C$6,$C$5,$C$7,Q$1,Q$2,A27)</f>
        <v>143.20418269550089</v>
      </c>
      <c r="R27" s="10">
        <f ca="1">_xll.DBRW($C$1,$C$2,$C$3,$C$4,$C$6,$C$5,$C$7,R$1,R$2,A27)</f>
        <v>179.41713767718124</v>
      </c>
      <c r="S27" s="10">
        <f ca="1">_xll.DBRW($C$1,$C$2,$C$3,$C$4,$C$6,$C$5,$C$7,S$1,S$2,A27)</f>
        <v>186.47642649819625</v>
      </c>
      <c r="T27" s="10">
        <f ca="1">_xll.DBRW($C$1,$C$2,$C$3,$C$4,$C$6,$C$5,$C$7,T$1,T$2,A27)</f>
        <v>241.22952287232749</v>
      </c>
      <c r="U27" s="10">
        <f ca="1">_xll.DBRW($C$1,$C$2,$C$3,$C$4,$C$6,$C$5,$C$7,U$1,U$2,A27)</f>
        <v>274.43470112285286</v>
      </c>
      <c r="V27" s="10">
        <f ca="1">_xll.DBRW($C$1,$C$2,$C$3,$C$4,$C$6,$C$5,$C$7,V$1,V$2,A27)</f>
        <v>265.48453744846762</v>
      </c>
      <c r="W27" s="10">
        <f ca="1">_xll.DBRW($C$1,$C$2,$C$3,$C$4,$C$6,$C$5,$C$7,W$1,W$2,A27)</f>
        <v>297.33485102827854</v>
      </c>
      <c r="X27" s="10">
        <f ca="1">_xll.DBRW($C$1,$C$2,$C$3,$C$4,$C$6,$C$5,$C$7,X$1,X$2,A27)</f>
        <v>379.02827898204259</v>
      </c>
      <c r="Y27" s="10">
        <f ca="1">_xll.DBRW($C$1,$C$2,$C$3,$C$4,$C$6,$C$5,$C$7,Y$1,Y$2,A27)</f>
        <v>379.02827898204259</v>
      </c>
      <c r="Z27" s="10">
        <f ca="1">_xll.DBRW($C$1,$C$2,$C$3,$C$4,$C$6,$C$5,$C$7,Z$1,Z$2,A27)</f>
        <v>28.129092767290814</v>
      </c>
      <c r="AA27" s="10">
        <f ca="1">_xll.DBRW($C$1,$C$2,$C$3,$C$4,$C$6,$C$5,$C$7,AA$1,AA$2,A27)</f>
        <v>59.080823096520774</v>
      </c>
      <c r="AB27" s="10">
        <f ca="1">_xll.DBRW($C$1,$C$2,$C$3,$C$4,$C$6,$C$5,$C$7,AB$1,AB$2,A27)</f>
        <v>94.336279228312065</v>
      </c>
      <c r="AC27" s="10">
        <f ca="1">_xll.DBRW($C$1,$C$2,$C$3,$C$4,$C$6,$C$5,$C$7,AC$1,AC$2,A27)</f>
        <v>126.67610635062745</v>
      </c>
      <c r="AD27" s="10">
        <f ca="1">_xll.DBRW($C$1,$C$2,$C$3,$C$4,$C$6,$C$5,$C$7,AD$1,AD$2,A27)</f>
        <v>161.66528082950714</v>
      </c>
      <c r="AE27" s="10">
        <f ca="1">_xll.DBRW($C$1,$C$2,$C$3,$C$4,$C$6,$C$5,$C$7,AE$1,AE$2,A27)</f>
        <v>199.75031452253054</v>
      </c>
      <c r="AF27" s="10">
        <f ca="1">_xll.DBRW($C$1,$C$2,$C$3,$C$4,$C$6,$C$5,$C$7,AF$1,AF$2,A27)</f>
        <v>234.27905798505523</v>
      </c>
      <c r="AG27" s="10">
        <f ca="1">_xll.DBRW($C$1,$C$2,$C$3,$C$4,$C$6,$C$5,$C$7,AG$1,AG$2,A27)</f>
        <v>264.76873288769025</v>
      </c>
      <c r="AH27" s="10">
        <f ca="1">_xll.DBRW($C$1,$C$2,$C$3,$C$4,$C$6,$C$5,$C$7,AH$1,AH$2,A27)</f>
        <v>297.24616539216595</v>
      </c>
      <c r="AI27" s="10">
        <f ca="1">_xll.DBRW($C$1,$C$2,$C$3,$C$4,$C$6,$C$5,$C$7,AI$1,AI$2,A27)</f>
        <v>328.85333691435653</v>
      </c>
      <c r="AJ27" s="10">
        <f ca="1">_xll.DBRW($C$1,$C$2,$C$3,$C$4,$C$6,$C$5,$C$7,AJ$1,AJ$2,A27)</f>
        <v>359.78109450777748</v>
      </c>
      <c r="AK27" s="10">
        <f ca="1">_xll.DBRW($C$1,$C$2,$C$3,$C$4,$C$6,$C$5,$C$7,AK$1,AK$2,A27)</f>
        <v>389.89892802115651</v>
      </c>
      <c r="AL27" s="10">
        <f ca="1">_xll.DBRW($C$1,$C$2,$C$3,$C$4,$C$6,$C$5,$C$7,AL$1,AL$2,A27)</f>
        <v>389.89892802115651</v>
      </c>
      <c r="AM27" s="10">
        <f ca="1">_xll.DBRW($C$1,$C$2,$C$3,$C$4,$C$6,$C$5,$C$7,AM$1,AM$2,A27)</f>
        <v>21.283535859178965</v>
      </c>
      <c r="AN27" s="10">
        <f ca="1">_xll.DBRW($C$1,$C$2,$C$3,$C$4,$C$6,$C$5,$C$7,AN$1,AN$2,A27)</f>
        <v>64.63449310194531</v>
      </c>
      <c r="AO27" s="10">
        <f ca="1">_xll.DBRW($C$1,$C$2,$C$3,$C$4,$C$6,$C$5,$C$7,AO$1,AO$2,A27)</f>
        <v>-1.4210854715202004E-14</v>
      </c>
      <c r="AP27" s="10">
        <f ca="1">_xll.DBRW($C$1,$C$2,$C$3,$C$4,$C$6,$C$5,$C$7,AP$1,AP$2,A27)</f>
        <v>-1.4210854715202004E-14</v>
      </c>
      <c r="AQ27" s="10">
        <f ca="1">_xll.DBRW($C$1,$C$2,$C$3,$C$4,$C$6,$C$5,$C$7,AQ$1,AQ$2,A27)</f>
        <v>-1.4210854715202004E-14</v>
      </c>
      <c r="AR27" s="10">
        <f ca="1">_xll.DBRW($C$1,$C$2,$C$3,$C$4,$C$6,$C$5,$C$7,AR$1,AR$2,A27)</f>
        <v>-1.4210854715202004E-14</v>
      </c>
      <c r="AS27" s="10">
        <f ca="1">_xll.DBRW($C$1,$C$2,$C$3,$C$4,$C$6,$C$5,$C$7,AS$1,AS$2,A27)</f>
        <v>-1.4210854715202004E-14</v>
      </c>
      <c r="AT27" s="10">
        <f ca="1">_xll.DBRW($C$1,$C$2,$C$3,$C$4,$C$6,$C$5,$C$7,AT$1,AT$2,A27)</f>
        <v>-1.4210854715202004E-14</v>
      </c>
      <c r="AU27" s="10">
        <f ca="1">_xll.DBRW($C$1,$C$2,$C$3,$C$4,$C$6,$C$5,$C$7,AU$1,AU$2,A27)</f>
        <v>-1.4210854715202004E-14</v>
      </c>
      <c r="AV27" s="10">
        <f ca="1">_xll.DBRW($C$1,$C$2,$C$3,$C$4,$C$6,$C$5,$C$7,AV$1,AV$2,A27)</f>
        <v>-1.4210854715202004E-14</v>
      </c>
      <c r="AW27" s="10">
        <f ca="1">_xll.DBRW($C$1,$C$2,$C$3,$C$4,$C$6,$C$5,$C$7,AW$1,AW$2,A27)</f>
        <v>-1.4210854715202004E-14</v>
      </c>
      <c r="AX27" s="10">
        <f ca="1">_xll.DBRW($C$1,$C$2,$C$3,$C$4,$C$6,$C$5,$C$7,AX$1,AX$2,A27)</f>
        <v>-1.4210854715202004E-14</v>
      </c>
      <c r="AY27" s="10">
        <f ca="1">_xll.DBRW($C$1,$C$2,$C$3,$C$4,$C$6,$C$5,$C$7,AY$1,AY$2,A27)</f>
        <v>-1.4210854715202004E-14</v>
      </c>
    </row>
    <row r="28" spans="1:51" ht="15.75" customHeight="1" collapsed="1">
      <c r="A28" s="1" t="s">
        <v>142</v>
      </c>
      <c r="C28" s="104"/>
      <c r="E28" s="13" t="s">
        <v>18</v>
      </c>
      <c r="F28" s="31">
        <f t="shared" ref="F28:L28" ca="1" si="3">F27</f>
        <v>582.00475821437067</v>
      </c>
      <c r="G28" s="31">
        <f t="shared" ca="1" si="3"/>
        <v>482.22699307425091</v>
      </c>
      <c r="H28" s="31">
        <f t="shared" ca="1" si="3"/>
        <v>448.8025741672613</v>
      </c>
      <c r="I28" s="31">
        <f t="shared" ca="1" si="3"/>
        <v>357.57913251514611</v>
      </c>
      <c r="J28" s="31">
        <f t="shared" ca="1" si="3"/>
        <v>179.75126740414464</v>
      </c>
      <c r="K28" s="31">
        <f t="shared" ca="1" si="3"/>
        <v>321.72473169825196</v>
      </c>
      <c r="L28" s="31">
        <f t="shared" ca="1" si="3"/>
        <v>341.66747404511284</v>
      </c>
      <c r="M28" s="31">
        <f t="shared" ref="M28:X28" ca="1" si="4">M27</f>
        <v>19.213021267272548</v>
      </c>
      <c r="N28" s="31">
        <f t="shared" ca="1" si="4"/>
        <v>43.102836127928306</v>
      </c>
      <c r="O28" s="31">
        <f t="shared" ca="1" si="4"/>
        <v>79.309406549760666</v>
      </c>
      <c r="P28" s="31">
        <f t="shared" ca="1" si="4"/>
        <v>105.94606948475541</v>
      </c>
      <c r="Q28" s="31">
        <f t="shared" ca="1" si="4"/>
        <v>143.20418269550089</v>
      </c>
      <c r="R28" s="31">
        <f t="shared" ca="1" si="4"/>
        <v>179.41713767718124</v>
      </c>
      <c r="S28" s="31">
        <f t="shared" ca="1" si="4"/>
        <v>186.47642649819625</v>
      </c>
      <c r="T28" s="31">
        <f t="shared" ca="1" si="4"/>
        <v>241.22952287232749</v>
      </c>
      <c r="U28" s="31">
        <f t="shared" ca="1" si="4"/>
        <v>274.43470112285286</v>
      </c>
      <c r="V28" s="31">
        <f t="shared" ca="1" si="4"/>
        <v>265.48453744846762</v>
      </c>
      <c r="W28" s="31">
        <f t="shared" ca="1" si="4"/>
        <v>297.33485102827854</v>
      </c>
      <c r="X28" s="31">
        <f t="shared" ca="1" si="4"/>
        <v>379.02827898204259</v>
      </c>
      <c r="Y28" s="31">
        <f ca="1">Y27</f>
        <v>379.02827898204259</v>
      </c>
      <c r="Z28" s="31">
        <f t="shared" ref="Z28:AK28" ca="1" si="5">Z27</f>
        <v>28.129092767290814</v>
      </c>
      <c r="AA28" s="31">
        <f t="shared" ca="1" si="5"/>
        <v>59.080823096520774</v>
      </c>
      <c r="AB28" s="31">
        <f t="shared" ca="1" si="5"/>
        <v>94.336279228312065</v>
      </c>
      <c r="AC28" s="31">
        <f t="shared" ca="1" si="5"/>
        <v>126.67610635062745</v>
      </c>
      <c r="AD28" s="31">
        <f t="shared" ca="1" si="5"/>
        <v>161.66528082950714</v>
      </c>
      <c r="AE28" s="31">
        <f t="shared" ca="1" si="5"/>
        <v>199.75031452253054</v>
      </c>
      <c r="AF28" s="31">
        <f t="shared" ca="1" si="5"/>
        <v>234.27905798505523</v>
      </c>
      <c r="AG28" s="31">
        <f t="shared" ca="1" si="5"/>
        <v>264.76873288769025</v>
      </c>
      <c r="AH28" s="31">
        <f t="shared" ca="1" si="5"/>
        <v>297.24616539216595</v>
      </c>
      <c r="AI28" s="31">
        <f t="shared" ca="1" si="5"/>
        <v>328.85333691435653</v>
      </c>
      <c r="AJ28" s="31">
        <f t="shared" ca="1" si="5"/>
        <v>359.78109450777748</v>
      </c>
      <c r="AK28" s="31">
        <f t="shared" ca="1" si="5"/>
        <v>389.89892802115651</v>
      </c>
      <c r="AL28" s="31">
        <f ca="1">AL27</f>
        <v>389.89892802115651</v>
      </c>
      <c r="AM28" s="31">
        <f t="shared" ref="AM28:AX28" ca="1" si="6">AM27</f>
        <v>21.283535859178965</v>
      </c>
      <c r="AN28" s="31">
        <f t="shared" ca="1" si="6"/>
        <v>64.63449310194531</v>
      </c>
      <c r="AO28" s="31">
        <f t="shared" ca="1" si="6"/>
        <v>-1.4210854715202004E-14</v>
      </c>
      <c r="AP28" s="31">
        <f t="shared" ca="1" si="6"/>
        <v>-1.4210854715202004E-14</v>
      </c>
      <c r="AQ28" s="31">
        <f t="shared" ca="1" si="6"/>
        <v>-1.4210854715202004E-14</v>
      </c>
      <c r="AR28" s="31">
        <f t="shared" ca="1" si="6"/>
        <v>-1.4210854715202004E-14</v>
      </c>
      <c r="AS28" s="31">
        <f t="shared" ca="1" si="6"/>
        <v>-1.4210854715202004E-14</v>
      </c>
      <c r="AT28" s="31">
        <f t="shared" ca="1" si="6"/>
        <v>-1.4210854715202004E-14</v>
      </c>
      <c r="AU28" s="31">
        <f t="shared" ca="1" si="6"/>
        <v>-1.4210854715202004E-14</v>
      </c>
      <c r="AV28" s="31">
        <f t="shared" ca="1" si="6"/>
        <v>-1.4210854715202004E-14</v>
      </c>
      <c r="AW28" s="31">
        <f t="shared" ca="1" si="6"/>
        <v>-1.4210854715202004E-14</v>
      </c>
      <c r="AX28" s="31">
        <f t="shared" ca="1" si="6"/>
        <v>-1.4210854715202004E-14</v>
      </c>
      <c r="AY28" s="31">
        <f ca="1">AY27</f>
        <v>-1.4210854715202004E-14</v>
      </c>
    </row>
    <row r="29" spans="1:51" ht="15.75" hidden="1" customHeight="1" outlineLevel="1">
      <c r="A29" s="1" t="s">
        <v>144</v>
      </c>
      <c r="C29" s="104"/>
      <c r="E29" s="9" t="str">
        <f ca="1">_xll.DBRW(Server&amp;"}ElementAttributes_Indicator",A29,"code_English")</f>
        <v>PL1115S - COS - Subcontracting transportation costs</v>
      </c>
      <c r="F29" s="32">
        <f ca="1">_xll.DBRW($C$1,$C$2,$C$3,$C$4,$C$6,$C$5,$C$7,F$1,F$2,A29)</f>
        <v>2.8421709430404007E-14</v>
      </c>
      <c r="G29" s="32">
        <f ca="1">_xll.DBRW($C$1,$C$2,$C$3,$C$4,$C$6,$C$5,$C$7,G$1,G$2,A29)</f>
        <v>-8.1712414612411521E-14</v>
      </c>
      <c r="H29" s="32">
        <f ca="1">_xll.DBRW($C$1,$C$2,$C$3,$C$4,$C$6,$C$5,$C$7,H$1,H$2,A29)</f>
        <v>-1.0658141036401503E-14</v>
      </c>
      <c r="I29" s="32">
        <f ca="1">_xll.DBRW($C$1,$C$2,$C$3,$C$4,$C$6,$C$5,$C$7,I$1,I$2,A29)</f>
        <v>-4.0856207306205761E-14</v>
      </c>
      <c r="J29" s="32">
        <f ca="1">_xll.DBRW($C$1,$C$2,$C$3,$C$4,$C$6,$C$5,$C$7,J$1,J$2,A29)</f>
        <v>-447.76944719600027</v>
      </c>
      <c r="K29" s="32">
        <f ca="1">_xll.DBRW($C$1,$C$2,$C$3,$C$4,$C$6,$C$5,$C$7,K$1,K$2,A29)</f>
        <v>-448.46645988200027</v>
      </c>
      <c r="L29" s="32">
        <f ca="1">_xll.DBRW($C$1,$C$2,$C$3,$C$4,$C$6,$C$5,$C$7,L$1,L$2,A29)</f>
        <v>-430.49027833299999</v>
      </c>
      <c r="M29" s="32">
        <f ca="1">_xll.DBRW($C$1,$C$2,$C$3,$C$4,$C$6,$C$5,$C$7,M$1,M$2,A29)</f>
        <v>-12.044245533999995</v>
      </c>
      <c r="N29" s="32">
        <f ca="1">_xll.DBRW($C$1,$C$2,$C$3,$C$4,$C$6,$C$5,$C$7,N$1,N$2,A29)</f>
        <v>-80.073664624000003</v>
      </c>
      <c r="O29" s="32">
        <f ca="1">_xll.DBRW($C$1,$C$2,$C$3,$C$4,$C$6,$C$5,$C$7,O$1,O$2,A29)</f>
        <v>-127.68520355299998</v>
      </c>
      <c r="P29" s="32">
        <f ca="1">_xll.DBRW($C$1,$C$2,$C$3,$C$4,$C$6,$C$5,$C$7,P$1,P$2,A29)</f>
        <v>-169.82953845099999</v>
      </c>
      <c r="Q29" s="32">
        <f ca="1">_xll.DBRW($C$1,$C$2,$C$3,$C$4,$C$6,$C$5,$C$7,Q$1,Q$2,A29)</f>
        <v>-214.39112140999998</v>
      </c>
      <c r="R29" s="32">
        <f ca="1">_xll.DBRW($C$1,$C$2,$C$3,$C$4,$C$6,$C$5,$C$7,R$1,R$2,A29)</f>
        <v>-263.54449242099997</v>
      </c>
      <c r="S29" s="32">
        <f ca="1">_xll.DBRW($C$1,$C$2,$C$3,$C$4,$C$6,$C$5,$C$7,S$1,S$2,A29)</f>
        <v>-99.899799194999986</v>
      </c>
      <c r="T29" s="32">
        <f ca="1">_xll.DBRW($C$1,$C$2,$C$3,$C$4,$C$6,$C$5,$C$7,T$1,T$2,A29)</f>
        <v>-341.993557512</v>
      </c>
      <c r="U29" s="32">
        <f ca="1">_xll.DBRW($C$1,$C$2,$C$3,$C$4,$C$6,$C$5,$C$7,U$1,U$2,A29)</f>
        <v>-397.57937237199997</v>
      </c>
      <c r="V29" s="32">
        <f ca="1">_xll.DBRW($C$1,$C$2,$C$3,$C$4,$C$6,$C$5,$C$7,V$1,V$2,A29)</f>
        <v>-25.764413857999926</v>
      </c>
      <c r="W29" s="32">
        <f ca="1">_xll.DBRW($C$1,$C$2,$C$3,$C$4,$C$6,$C$5,$C$7,W$1,W$2,A29)</f>
        <v>-478.8413018519999</v>
      </c>
      <c r="X29" s="32">
        <f ca="1">_xll.DBRW($C$1,$C$2,$C$3,$C$4,$C$6,$C$5,$C$7,X$1,X$2,A29)</f>
        <v>-539.80025962499985</v>
      </c>
      <c r="Y29" s="32">
        <f ca="1">_xll.DBRW($C$1,$C$2,$C$3,$C$4,$C$6,$C$5,$C$7,Y$1,Y$2,A29)</f>
        <v>-539.80025962499985</v>
      </c>
      <c r="Z29" s="32">
        <f ca="1">_xll.DBRW($C$1,$C$2,$C$3,$C$4,$C$6,$C$5,$C$7,Z$1,Z$2,A29)</f>
        <v>-44.392171036999997</v>
      </c>
      <c r="AA29" s="32">
        <f ca="1">_xll.DBRW($C$1,$C$2,$C$3,$C$4,$C$6,$C$5,$C$7,AA$1,AA$2,A29)</f>
        <v>-85.282257451999996</v>
      </c>
      <c r="AB29" s="32">
        <f ca="1">_xll.DBRW($C$1,$C$2,$C$3,$C$4,$C$6,$C$5,$C$7,AB$1,AB$2,A29)</f>
        <v>-133.28408751499998</v>
      </c>
      <c r="AC29" s="32">
        <f ca="1">_xll.DBRW($C$1,$C$2,$C$3,$C$4,$C$6,$C$5,$C$7,AC$1,AC$2,A29)</f>
        <v>-174.12485317899998</v>
      </c>
      <c r="AD29" s="32">
        <f ca="1">_xll.DBRW($C$1,$C$2,$C$3,$C$4,$C$6,$C$5,$C$7,AD$1,AD$2,A29)</f>
        <v>-218.75147948199998</v>
      </c>
      <c r="AE29" s="32">
        <f ca="1">_xll.DBRW($C$1,$C$2,$C$3,$C$4,$C$6,$C$5,$C$7,AE$1,AE$2,A29)</f>
        <v>-266.03238348299999</v>
      </c>
      <c r="AF29" s="32">
        <f ca="1">_xll.DBRW($C$1,$C$2,$C$3,$C$4,$C$6,$C$5,$C$7,AF$1,AF$2,A29)</f>
        <v>-305.40468038099999</v>
      </c>
      <c r="AG29" s="32">
        <f ca="1">_xll.DBRW($C$1,$C$2,$C$3,$C$4,$C$6,$C$5,$C$7,AG$1,AG$2,A29)</f>
        <v>-344.365971108</v>
      </c>
      <c r="AH29" s="32">
        <f ca="1">_xll.DBRW($C$1,$C$2,$C$3,$C$4,$C$6,$C$5,$C$7,AH$1,AH$2,A29)</f>
        <v>-390.78743009499999</v>
      </c>
      <c r="AI29" s="32">
        <f ca="1">_xll.DBRW($C$1,$C$2,$C$3,$C$4,$C$6,$C$5,$C$7,AI$1,AI$2,A29)</f>
        <v>-432.78424507400001</v>
      </c>
      <c r="AJ29" s="32">
        <f ca="1">_xll.DBRW($C$1,$C$2,$C$3,$C$4,$C$6,$C$5,$C$7,AJ$1,AJ$2,A29)</f>
        <v>-477.72358157799999</v>
      </c>
      <c r="AK29" s="32">
        <f ca="1">_xll.DBRW($C$1,$C$2,$C$3,$C$4,$C$6,$C$5,$C$7,AK$1,AK$2,A29)</f>
        <v>-520.41319267699998</v>
      </c>
      <c r="AL29" s="32">
        <f ca="1">_xll.DBRW($C$1,$C$2,$C$3,$C$4,$C$6,$C$5,$C$7,AL$1,AL$2,A29)</f>
        <v>-520.41319267699998</v>
      </c>
      <c r="AM29" s="32">
        <f ca="1">_xll.DBRW($C$1,$C$2,$C$3,$C$4,$C$6,$C$5,$C$7,AM$1,AM$2,A29)</f>
        <v>-2.7059151269999884</v>
      </c>
      <c r="AN29" s="32">
        <f ca="1">_xll.DBRW($C$1,$C$2,$C$3,$C$4,$C$6,$C$5,$C$7,AN$1,AN$2,A29)</f>
        <v>-89.637113449999987</v>
      </c>
      <c r="AO29" s="32">
        <f ca="1">_xll.DBRW($C$1,$C$2,$C$3,$C$4,$C$6,$C$5,$C$7,AO$1,AO$2,A29)</f>
        <v>-89.637113449999987</v>
      </c>
      <c r="AP29" s="32">
        <f ca="1">_xll.DBRW($C$1,$C$2,$C$3,$C$4,$C$6,$C$5,$C$7,AP$1,AP$2,A29)</f>
        <v>-89.637113449999987</v>
      </c>
      <c r="AQ29" s="32">
        <f ca="1">_xll.DBRW($C$1,$C$2,$C$3,$C$4,$C$6,$C$5,$C$7,AQ$1,AQ$2,A29)</f>
        <v>-89.637113449999987</v>
      </c>
      <c r="AR29" s="32">
        <f ca="1">_xll.DBRW($C$1,$C$2,$C$3,$C$4,$C$6,$C$5,$C$7,AR$1,AR$2,A29)</f>
        <v>-89.637113449999987</v>
      </c>
      <c r="AS29" s="32">
        <f ca="1">_xll.DBRW($C$1,$C$2,$C$3,$C$4,$C$6,$C$5,$C$7,AS$1,AS$2,A29)</f>
        <v>-89.637113449999987</v>
      </c>
      <c r="AT29" s="32">
        <f ca="1">_xll.DBRW($C$1,$C$2,$C$3,$C$4,$C$6,$C$5,$C$7,AT$1,AT$2,A29)</f>
        <v>-89.637113449999987</v>
      </c>
      <c r="AU29" s="32">
        <f ca="1">_xll.DBRW($C$1,$C$2,$C$3,$C$4,$C$6,$C$5,$C$7,AU$1,AU$2,A29)</f>
        <v>-89.637113449999987</v>
      </c>
      <c r="AV29" s="32">
        <f ca="1">_xll.DBRW($C$1,$C$2,$C$3,$C$4,$C$6,$C$5,$C$7,AV$1,AV$2,A29)</f>
        <v>-89.637113449999987</v>
      </c>
      <c r="AW29" s="32">
        <f ca="1">_xll.DBRW($C$1,$C$2,$C$3,$C$4,$C$6,$C$5,$C$7,AW$1,AW$2,A29)</f>
        <v>-89.637113449999987</v>
      </c>
      <c r="AX29" s="32">
        <f ca="1">_xll.DBRW($C$1,$C$2,$C$3,$C$4,$C$6,$C$5,$C$7,AX$1,AX$2,A29)</f>
        <v>-89.637113449999987</v>
      </c>
      <c r="AY29" s="32">
        <f ca="1">_xll.DBRW($C$1,$C$2,$C$3,$C$4,$C$6,$C$5,$C$7,AY$1,AY$2,A29)</f>
        <v>-89.637113449999987</v>
      </c>
    </row>
    <row r="30" spans="1:51" ht="15.5" collapsed="1">
      <c r="A30" s="1" t="s">
        <v>142</v>
      </c>
      <c r="C30" s="104"/>
      <c r="E30" s="13" t="s">
        <v>19</v>
      </c>
      <c r="F30" s="31">
        <f t="shared" ref="F30:L30" ca="1" si="7">F29</f>
        <v>2.8421709430404007E-14</v>
      </c>
      <c r="G30" s="31">
        <f t="shared" ca="1" si="7"/>
        <v>-8.1712414612411521E-14</v>
      </c>
      <c r="H30" s="31">
        <f t="shared" ca="1" si="7"/>
        <v>-1.0658141036401503E-14</v>
      </c>
      <c r="I30" s="31">
        <f t="shared" ca="1" si="7"/>
        <v>-4.0856207306205761E-14</v>
      </c>
      <c r="J30" s="31">
        <f t="shared" ca="1" si="7"/>
        <v>-447.76944719600027</v>
      </c>
      <c r="K30" s="31">
        <f t="shared" ca="1" si="7"/>
        <v>-448.46645988200027</v>
      </c>
      <c r="L30" s="31">
        <f t="shared" ca="1" si="7"/>
        <v>-430.49027833299999</v>
      </c>
      <c r="M30" s="31">
        <f t="shared" ref="M30:X30" ca="1" si="8">M29</f>
        <v>-12.044245533999995</v>
      </c>
      <c r="N30" s="31">
        <f t="shared" ca="1" si="8"/>
        <v>-80.073664624000003</v>
      </c>
      <c r="O30" s="31">
        <f t="shared" ca="1" si="8"/>
        <v>-127.68520355299998</v>
      </c>
      <c r="P30" s="31">
        <f t="shared" ca="1" si="8"/>
        <v>-169.82953845099999</v>
      </c>
      <c r="Q30" s="31">
        <f t="shared" ca="1" si="8"/>
        <v>-214.39112140999998</v>
      </c>
      <c r="R30" s="31">
        <f t="shared" ca="1" si="8"/>
        <v>-263.54449242099997</v>
      </c>
      <c r="S30" s="31">
        <f t="shared" ca="1" si="8"/>
        <v>-99.899799194999986</v>
      </c>
      <c r="T30" s="31">
        <f t="shared" ca="1" si="8"/>
        <v>-341.993557512</v>
      </c>
      <c r="U30" s="31">
        <f t="shared" ca="1" si="8"/>
        <v>-397.57937237199997</v>
      </c>
      <c r="V30" s="31">
        <f t="shared" ca="1" si="8"/>
        <v>-25.764413857999926</v>
      </c>
      <c r="W30" s="31">
        <f t="shared" ca="1" si="8"/>
        <v>-478.8413018519999</v>
      </c>
      <c r="X30" s="31">
        <f t="shared" ca="1" si="8"/>
        <v>-539.80025962499985</v>
      </c>
      <c r="Y30" s="31">
        <f ca="1">Y29</f>
        <v>-539.80025962499985</v>
      </c>
      <c r="Z30" s="31">
        <f t="shared" ref="Z30:AK30" ca="1" si="9">Z29</f>
        <v>-44.392171036999997</v>
      </c>
      <c r="AA30" s="31">
        <f t="shared" ca="1" si="9"/>
        <v>-85.282257451999996</v>
      </c>
      <c r="AB30" s="31">
        <f t="shared" ca="1" si="9"/>
        <v>-133.28408751499998</v>
      </c>
      <c r="AC30" s="31">
        <f t="shared" ca="1" si="9"/>
        <v>-174.12485317899998</v>
      </c>
      <c r="AD30" s="31">
        <f t="shared" ca="1" si="9"/>
        <v>-218.75147948199998</v>
      </c>
      <c r="AE30" s="31">
        <f t="shared" ca="1" si="9"/>
        <v>-266.03238348299999</v>
      </c>
      <c r="AF30" s="31">
        <f t="shared" ca="1" si="9"/>
        <v>-305.40468038099999</v>
      </c>
      <c r="AG30" s="31">
        <f t="shared" ca="1" si="9"/>
        <v>-344.365971108</v>
      </c>
      <c r="AH30" s="31">
        <f t="shared" ca="1" si="9"/>
        <v>-390.78743009499999</v>
      </c>
      <c r="AI30" s="31">
        <f t="shared" ca="1" si="9"/>
        <v>-432.78424507400001</v>
      </c>
      <c r="AJ30" s="31">
        <f t="shared" ca="1" si="9"/>
        <v>-477.72358157799999</v>
      </c>
      <c r="AK30" s="31">
        <f t="shared" ca="1" si="9"/>
        <v>-520.41319267699998</v>
      </c>
      <c r="AL30" s="31">
        <f ca="1">AL29</f>
        <v>-520.41319267699998</v>
      </c>
      <c r="AM30" s="31">
        <f t="shared" ref="AM30:AX30" ca="1" si="10">AM29</f>
        <v>-2.7059151269999884</v>
      </c>
      <c r="AN30" s="31">
        <f t="shared" ca="1" si="10"/>
        <v>-89.637113449999987</v>
      </c>
      <c r="AO30" s="31">
        <f t="shared" ca="1" si="10"/>
        <v>-89.637113449999987</v>
      </c>
      <c r="AP30" s="31">
        <f t="shared" ca="1" si="10"/>
        <v>-89.637113449999987</v>
      </c>
      <c r="AQ30" s="31">
        <f t="shared" ca="1" si="10"/>
        <v>-89.637113449999987</v>
      </c>
      <c r="AR30" s="31">
        <f t="shared" ca="1" si="10"/>
        <v>-89.637113449999987</v>
      </c>
      <c r="AS30" s="31">
        <f t="shared" ca="1" si="10"/>
        <v>-89.637113449999987</v>
      </c>
      <c r="AT30" s="31">
        <f t="shared" ca="1" si="10"/>
        <v>-89.637113449999987</v>
      </c>
      <c r="AU30" s="31">
        <f t="shared" ca="1" si="10"/>
        <v>-89.637113449999987</v>
      </c>
      <c r="AV30" s="31">
        <f t="shared" ca="1" si="10"/>
        <v>-89.637113449999987</v>
      </c>
      <c r="AW30" s="31">
        <f t="shared" ca="1" si="10"/>
        <v>-89.637113449999987</v>
      </c>
      <c r="AX30" s="31">
        <f t="shared" ca="1" si="10"/>
        <v>-89.637113449999987</v>
      </c>
      <c r="AY30" s="31">
        <f ca="1">AY29</f>
        <v>-89.637113449999987</v>
      </c>
    </row>
    <row r="31" spans="1:51" ht="15.5">
      <c r="A31" s="1" t="s">
        <v>142</v>
      </c>
      <c r="C31" s="104"/>
      <c r="E31" s="20" t="s">
        <v>20</v>
      </c>
      <c r="F31" s="37">
        <f t="shared" ref="F31:L31" ca="1" si="11">F28+F30</f>
        <v>582.00475821437067</v>
      </c>
      <c r="G31" s="37">
        <f t="shared" ca="1" si="11"/>
        <v>482.22699307425086</v>
      </c>
      <c r="H31" s="37">
        <f t="shared" ca="1" si="11"/>
        <v>448.8025741672613</v>
      </c>
      <c r="I31" s="37">
        <f t="shared" ca="1" si="11"/>
        <v>357.57913251514606</v>
      </c>
      <c r="J31" s="37">
        <f t="shared" ca="1" si="11"/>
        <v>-268.01817979185563</v>
      </c>
      <c r="K31" s="37">
        <f t="shared" ca="1" si="11"/>
        <v>-126.74172818374831</v>
      </c>
      <c r="L31" s="37">
        <f t="shared" ca="1" si="11"/>
        <v>-88.822804287887152</v>
      </c>
      <c r="M31" s="37">
        <f t="shared" ref="M31:X31" ca="1" si="12">M28+M30</f>
        <v>7.1687757332725539</v>
      </c>
      <c r="N31" s="37">
        <f t="shared" ca="1" si="12"/>
        <v>-36.970828496071697</v>
      </c>
      <c r="O31" s="37">
        <f t="shared" ca="1" si="12"/>
        <v>-48.375797003239313</v>
      </c>
      <c r="P31" s="37">
        <f t="shared" ca="1" si="12"/>
        <v>-63.883468966244578</v>
      </c>
      <c r="Q31" s="37">
        <f t="shared" ca="1" si="12"/>
        <v>-71.186938714499092</v>
      </c>
      <c r="R31" s="37">
        <f t="shared" ca="1" si="12"/>
        <v>-84.127354743818728</v>
      </c>
      <c r="S31" s="37">
        <f t="shared" ca="1" si="12"/>
        <v>86.576627303196261</v>
      </c>
      <c r="T31" s="37">
        <f t="shared" ca="1" si="12"/>
        <v>-100.7640346396725</v>
      </c>
      <c r="U31" s="37">
        <f t="shared" ca="1" si="12"/>
        <v>-123.14467124914711</v>
      </c>
      <c r="V31" s="37">
        <f t="shared" ca="1" si="12"/>
        <v>239.72012359046769</v>
      </c>
      <c r="W31" s="37">
        <f t="shared" ca="1" si="12"/>
        <v>-181.50645082372137</v>
      </c>
      <c r="X31" s="37">
        <f t="shared" ca="1" si="12"/>
        <v>-160.77198064295726</v>
      </c>
      <c r="Y31" s="37">
        <f ca="1">Y28+Y30</f>
        <v>-160.77198064295726</v>
      </c>
      <c r="Z31" s="37">
        <f t="shared" ref="Z31:AK31" ca="1" si="13">Z28+Z30</f>
        <v>-16.263078269709183</v>
      </c>
      <c r="AA31" s="37">
        <f t="shared" ca="1" si="13"/>
        <v>-26.201434355479222</v>
      </c>
      <c r="AB31" s="37">
        <f t="shared" ca="1" si="13"/>
        <v>-38.947808286687916</v>
      </c>
      <c r="AC31" s="37">
        <f t="shared" ca="1" si="13"/>
        <v>-47.448746828372535</v>
      </c>
      <c r="AD31" s="37">
        <f t="shared" ca="1" si="13"/>
        <v>-57.08619865249284</v>
      </c>
      <c r="AE31" s="37">
        <f t="shared" ca="1" si="13"/>
        <v>-66.282068960469445</v>
      </c>
      <c r="AF31" s="37">
        <f t="shared" ca="1" si="13"/>
        <v>-71.12562239594476</v>
      </c>
      <c r="AG31" s="37">
        <f t="shared" ca="1" si="13"/>
        <v>-79.597238220309748</v>
      </c>
      <c r="AH31" s="37">
        <f t="shared" ca="1" si="13"/>
        <v>-93.541264702834042</v>
      </c>
      <c r="AI31" s="37">
        <f t="shared" ca="1" si="13"/>
        <v>-103.93090815964348</v>
      </c>
      <c r="AJ31" s="37">
        <f t="shared" ca="1" si="13"/>
        <v>-117.94248707022251</v>
      </c>
      <c r="AK31" s="37">
        <f t="shared" ca="1" si="13"/>
        <v>-130.51426465584348</v>
      </c>
      <c r="AL31" s="37">
        <f ca="1">AL28+AL30</f>
        <v>-130.51426465584348</v>
      </c>
      <c r="AM31" s="37">
        <f t="shared" ref="AM31:AX31" ca="1" si="14">AM28+AM30</f>
        <v>18.577620732178978</v>
      </c>
      <c r="AN31" s="37">
        <f t="shared" ca="1" si="14"/>
        <v>-25.002620348054677</v>
      </c>
      <c r="AO31" s="37">
        <f t="shared" ca="1" si="14"/>
        <v>-89.637113450000001</v>
      </c>
      <c r="AP31" s="37">
        <f t="shared" ca="1" si="14"/>
        <v>-89.637113450000001</v>
      </c>
      <c r="AQ31" s="37">
        <f t="shared" ca="1" si="14"/>
        <v>-89.637113450000001</v>
      </c>
      <c r="AR31" s="37">
        <f t="shared" ca="1" si="14"/>
        <v>-89.637113450000001</v>
      </c>
      <c r="AS31" s="37">
        <f t="shared" ca="1" si="14"/>
        <v>-89.637113450000001</v>
      </c>
      <c r="AT31" s="37">
        <f t="shared" ca="1" si="14"/>
        <v>-89.637113450000001</v>
      </c>
      <c r="AU31" s="37">
        <f t="shared" ca="1" si="14"/>
        <v>-89.637113450000001</v>
      </c>
      <c r="AV31" s="37">
        <f t="shared" ca="1" si="14"/>
        <v>-89.637113450000001</v>
      </c>
      <c r="AW31" s="37">
        <f t="shared" ca="1" si="14"/>
        <v>-89.637113450000001</v>
      </c>
      <c r="AX31" s="37">
        <f t="shared" ca="1" si="14"/>
        <v>-89.637113450000001</v>
      </c>
      <c r="AY31" s="37">
        <f ca="1">AY28+AY30</f>
        <v>-89.637113450000001</v>
      </c>
    </row>
    <row r="32" spans="1:51" ht="9" customHeight="1">
      <c r="A32" s="1" t="s">
        <v>142</v>
      </c>
      <c r="C32" s="104"/>
      <c r="E32" s="7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25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29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</row>
    <row r="33" spans="1:51" ht="15.75" hidden="1" customHeight="1" outlineLevel="1">
      <c r="A33" s="1" t="s">
        <v>141</v>
      </c>
      <c r="C33" s="104"/>
      <c r="E33" s="9" t="str">
        <f ca="1">_xll.DBRW(Server&amp;"}ElementAttributes_Indicator",A34,"code_English")</f>
        <v>TPL10_dest_nosub - REVENUE FROM ORDINARY ACTIVITIES (ROA) net of subcontracted transport and reinvoicing</v>
      </c>
      <c r="F33" s="10">
        <f ca="1">_xll.DBRW($C$1,$C$2,$C$3,$C$4,$C$6,$C$5,$C$7,F$1,F$2,A33)</f>
        <v>6669.5947138140018</v>
      </c>
      <c r="G33" s="10">
        <f ca="1">_xll.DBRW($C$1,$C$2,$C$3,$C$4,$C$6,$C$5,$C$7,G$1,G$2,A33)</f>
        <v>6643.1579127559962</v>
      </c>
      <c r="H33" s="10">
        <f ca="1">_xll.DBRW($C$1,$C$2,$C$3,$C$4,$C$6,$C$5,$C$7,H$1,H$2,A33)</f>
        <v>6947.9634240439991</v>
      </c>
      <c r="I33" s="10">
        <f ca="1">_xll.DBRW($C$1,$C$2,$C$3,$C$4,$C$6,$C$5,$C$7,I$1,I$2,A33)</f>
        <v>7415.5181100089976</v>
      </c>
      <c r="J33" s="10">
        <f ca="1">_xll.DBRW($C$1,$C$2,$C$3,$C$4,$C$6,$C$5,$C$7,J$1,J$2,A33)</f>
        <v>6755.6456282149975</v>
      </c>
      <c r="K33" s="10">
        <f ca="1">_xll.DBRW($C$1,$C$2,$C$3,$C$4,$C$6,$C$5,$C$7,K$1,K$2,A33)</f>
        <v>7010.9005557079972</v>
      </c>
      <c r="L33" s="10">
        <f ca="1">_xll.DBRW($C$1,$C$2,$C$3,$C$4,$C$6,$C$5,$C$7,L$1,L$2,A33)</f>
        <v>7081.6430490570019</v>
      </c>
      <c r="M33" s="10">
        <f ca="1">_xll.DBRW($C$1,$C$2,$C$3,$C$4,$C$6,$C$5,$C$7,M$1,M$2,A33)</f>
        <v>161.96976921299998</v>
      </c>
      <c r="N33" s="10">
        <f ca="1">_xll.DBRW($C$1,$C$2,$C$3,$C$4,$C$6,$C$5,$C$7,N$1,N$2,A33)</f>
        <v>1169.2311753859999</v>
      </c>
      <c r="O33" s="10">
        <f ca="1">_xll.DBRW($C$1,$C$2,$C$3,$C$4,$C$6,$C$5,$C$7,O$1,O$2,A33)</f>
        <v>1809.686689918</v>
      </c>
      <c r="P33" s="10">
        <f ca="1">_xll.DBRW($C$1,$C$2,$C$3,$C$4,$C$6,$C$5,$C$7,P$1,P$2,A33)</f>
        <v>2418.8568855109997</v>
      </c>
      <c r="Q33" s="10">
        <f ca="1">_xll.DBRW($C$1,$C$2,$C$3,$C$4,$C$6,$C$5,$C$7,Q$1,Q$2,A33)</f>
        <v>3071.5613952959998</v>
      </c>
      <c r="R33" s="10">
        <f ca="1">_xll.DBRW($C$1,$C$2,$C$3,$C$4,$C$6,$C$5,$C$7,R$1,R$2,A33)</f>
        <v>3743.7476108800006</v>
      </c>
      <c r="S33" s="10">
        <f ca="1">_xll.DBRW($C$1,$C$2,$C$3,$C$4,$C$6,$C$5,$C$7,S$1,S$2,A33)</f>
        <v>1610.3066505310012</v>
      </c>
      <c r="T33" s="10">
        <f ca="1">_xll.DBRW($C$1,$C$2,$C$3,$C$4,$C$6,$C$5,$C$7,T$1,T$2,A33)</f>
        <v>4961.9211646770018</v>
      </c>
      <c r="U33" s="10">
        <f ca="1">_xll.DBRW($C$1,$C$2,$C$3,$C$4,$C$6,$C$5,$C$7,U$1,U$2,A33)</f>
        <v>5642.9075718170025</v>
      </c>
      <c r="V33" s="10">
        <f ca="1">_xll.DBRW($C$1,$C$2,$C$3,$C$4,$C$6,$C$5,$C$7,V$1,V$2,A33)</f>
        <v>1055.7407393710032</v>
      </c>
      <c r="W33" s="10">
        <f ca="1">_xll.DBRW($C$1,$C$2,$C$3,$C$4,$C$6,$C$5,$C$7,W$1,W$2,A33)</f>
        <v>6990.2623444810033</v>
      </c>
      <c r="X33" s="10">
        <f ca="1">_xll.DBRW($C$1,$C$2,$C$3,$C$4,$C$6,$C$5,$C$7,X$1,X$2,A33)</f>
        <v>7707.2141514720042</v>
      </c>
      <c r="Y33" s="10">
        <f ca="1">_xll.DBRW($C$1,$C$2,$C$3,$C$4,$C$6,$C$5,$C$7,Y$1,Y$2,A33)</f>
        <v>7707.2141514720042</v>
      </c>
      <c r="Z33" s="10">
        <f ca="1">_xll.DBRW($C$1,$C$2,$C$3,$C$4,$C$6,$C$5,$C$7,Z$1,Z$2,A33)</f>
        <v>697.38640434200022</v>
      </c>
      <c r="AA33" s="10">
        <f ca="1">_xll.DBRW($C$1,$C$2,$C$3,$C$4,$C$6,$C$5,$C$7,AA$1,AA$2,A33)</f>
        <v>1358.3655643290001</v>
      </c>
      <c r="AB33" s="10">
        <f ca="1">_xll.DBRW($C$1,$C$2,$C$3,$C$4,$C$6,$C$5,$C$7,AB$1,AB$2,A33)</f>
        <v>2080.5868982719999</v>
      </c>
      <c r="AC33" s="10">
        <f ca="1">_xll.DBRW($C$1,$C$2,$C$3,$C$4,$C$6,$C$5,$C$7,AC$1,AC$2,A33)</f>
        <v>2762.7248188689996</v>
      </c>
      <c r="AD33" s="10">
        <f ca="1">_xll.DBRW($C$1,$C$2,$C$3,$C$4,$C$6,$C$5,$C$7,AD$1,AD$2,A33)</f>
        <v>3596.2567491169993</v>
      </c>
      <c r="AE33" s="10">
        <f ca="1">_xll.DBRW($C$1,$C$2,$C$3,$C$4,$C$6,$C$5,$C$7,AE$1,AE$2,A33)</f>
        <v>4442.3887586319997</v>
      </c>
      <c r="AF33" s="10">
        <f ca="1">_xll.DBRW($C$1,$C$2,$C$3,$C$4,$C$6,$C$5,$C$7,AF$1,AF$2,A33)</f>
        <v>5238.3221558719997</v>
      </c>
      <c r="AG33" s="10">
        <f ca="1">_xll.DBRW($C$1,$C$2,$C$3,$C$4,$C$6,$C$5,$C$7,AG$1,AG$2,A33)</f>
        <v>6026.8841087010014</v>
      </c>
      <c r="AH33" s="10">
        <f ca="1">_xll.DBRW($C$1,$C$2,$C$3,$C$4,$C$6,$C$5,$C$7,AH$1,AH$2,A33)</f>
        <v>6855.1493218540018</v>
      </c>
      <c r="AI33" s="10">
        <f ca="1">_xll.DBRW($C$1,$C$2,$C$3,$C$4,$C$6,$C$5,$C$7,AI$1,AI$2,A33)</f>
        <v>7687.3052626810004</v>
      </c>
      <c r="AJ33" s="10">
        <f ca="1">_xll.DBRW($C$1,$C$2,$C$3,$C$4,$C$6,$C$5,$C$7,AJ$1,AJ$2,A33)</f>
        <v>8509.123754471002</v>
      </c>
      <c r="AK33" s="10">
        <f ca="1">_xll.DBRW($C$1,$C$2,$C$3,$C$4,$C$6,$C$5,$C$7,AK$1,AK$2,A33)</f>
        <v>9336.3625297590024</v>
      </c>
      <c r="AL33" s="24">
        <f ca="1">_xll.DBRW($C$1,$C$2,$C$3,$C$4,$C$6,$C$5,$C$7,AL$1,AL$2,A33)</f>
        <v>9336.3625297590024</v>
      </c>
      <c r="AM33" s="10">
        <f ca="1">_xll.DBRW($C$1,$C$2,$C$3,$C$4,$C$6,$C$5,$C$7,AM$1,AM$2,A33)</f>
        <v>97.660878448000062</v>
      </c>
      <c r="AN33" s="10">
        <f ca="1">_xll.DBRW($C$1,$C$2,$C$3,$C$4,$C$6,$C$5,$C$7,AN$1,AN$2,A33)</f>
        <v>1323.8218006309996</v>
      </c>
      <c r="AO33" s="10">
        <f ca="1">_xll.DBRW($C$1,$C$2,$C$3,$C$4,$C$6,$C$5,$C$7,AO$1,AO$2,A33)</f>
        <v>1323.8218006309999</v>
      </c>
      <c r="AP33" s="10">
        <f ca="1">_xll.DBRW($C$1,$C$2,$C$3,$C$4,$C$6,$C$5,$C$7,AP$1,AP$2,A33)</f>
        <v>1323.8218006309999</v>
      </c>
      <c r="AQ33" s="10">
        <f ca="1">_xll.DBRW($C$1,$C$2,$C$3,$C$4,$C$6,$C$5,$C$7,AQ$1,AQ$2,A33)</f>
        <v>1323.8218006309999</v>
      </c>
      <c r="AR33" s="10">
        <f ca="1">_xll.DBRW($C$1,$C$2,$C$3,$C$4,$C$6,$C$5,$C$7,AR$1,AR$2,A33)</f>
        <v>1323.8218006309999</v>
      </c>
      <c r="AS33" s="10">
        <f ca="1">_xll.DBRW($C$1,$C$2,$C$3,$C$4,$C$6,$C$5,$C$7,AS$1,AS$2,A33)</f>
        <v>1323.8218006309999</v>
      </c>
      <c r="AT33" s="10">
        <f ca="1">_xll.DBRW($C$1,$C$2,$C$3,$C$4,$C$6,$C$5,$C$7,AT$1,AT$2,A33)</f>
        <v>1323.8218006309999</v>
      </c>
      <c r="AU33" s="10">
        <f ca="1">_xll.DBRW($C$1,$C$2,$C$3,$C$4,$C$6,$C$5,$C$7,AU$1,AU$2,A33)</f>
        <v>1323.8218006309999</v>
      </c>
      <c r="AV33" s="10">
        <f ca="1">_xll.DBRW($C$1,$C$2,$C$3,$C$4,$C$6,$C$5,$C$7,AV$1,AV$2,A33)</f>
        <v>1323.8218006309999</v>
      </c>
      <c r="AW33" s="10">
        <f ca="1">_xll.DBRW($C$1,$C$2,$C$3,$C$4,$C$6,$C$5,$C$7,AW$1,AW$2,A33)</f>
        <v>1323.8218006309999</v>
      </c>
      <c r="AX33" s="10">
        <f ca="1">_xll.DBRW($C$1,$C$2,$C$3,$C$4,$C$6,$C$5,$C$7,AX$1,AX$2,A33)</f>
        <v>1323.8218006309999</v>
      </c>
      <c r="AY33" s="10">
        <f ca="1">_xll.DBRW($C$1,$C$2,$C$3,$C$4,$C$6,$C$5,$C$7,AY$1,AY$2,A33)</f>
        <v>1323.8218006309999</v>
      </c>
    </row>
    <row r="34" spans="1:51" ht="15.5" collapsed="1">
      <c r="A34" s="73" t="s">
        <v>140</v>
      </c>
      <c r="B34" s="73"/>
      <c r="C34" s="104"/>
      <c r="E34" s="13" t="s">
        <v>21</v>
      </c>
      <c r="F34" s="31">
        <f t="shared" ref="F34:L34" ca="1" si="15">F33-F28</f>
        <v>6087.5899555996311</v>
      </c>
      <c r="G34" s="31">
        <f t="shared" ca="1" si="15"/>
        <v>6160.9309196817449</v>
      </c>
      <c r="H34" s="31">
        <f t="shared" ca="1" si="15"/>
        <v>6499.1608498767382</v>
      </c>
      <c r="I34" s="31">
        <f t="shared" ca="1" si="15"/>
        <v>7057.9389774938518</v>
      </c>
      <c r="J34" s="31">
        <f t="shared" ca="1" si="15"/>
        <v>6575.894360810853</v>
      </c>
      <c r="K34" s="31">
        <f t="shared" ca="1" si="15"/>
        <v>6689.1758240097452</v>
      </c>
      <c r="L34" s="31">
        <f t="shared" ca="1" si="15"/>
        <v>6739.9755750118893</v>
      </c>
      <c r="M34" s="31">
        <f t="shared" ref="M34:X34" ca="1" si="16">M33-M28</f>
        <v>142.75674794572743</v>
      </c>
      <c r="N34" s="31">
        <f t="shared" ca="1" si="16"/>
        <v>1126.1283392580715</v>
      </c>
      <c r="O34" s="31">
        <f t="shared" ca="1" si="16"/>
        <v>1730.3772833682392</v>
      </c>
      <c r="P34" s="31">
        <f t="shared" ca="1" si="16"/>
        <v>2312.9108160262444</v>
      </c>
      <c r="Q34" s="31">
        <f t="shared" ca="1" si="16"/>
        <v>2928.3572126004988</v>
      </c>
      <c r="R34" s="31">
        <f t="shared" ca="1" si="16"/>
        <v>3564.3304732028191</v>
      </c>
      <c r="S34" s="31">
        <f t="shared" ca="1" si="16"/>
        <v>1423.8302240328048</v>
      </c>
      <c r="T34" s="31">
        <f t="shared" ca="1" si="16"/>
        <v>4720.691641804674</v>
      </c>
      <c r="U34" s="31">
        <f t="shared" ca="1" si="16"/>
        <v>5368.4728706941496</v>
      </c>
      <c r="V34" s="31">
        <f t="shared" ca="1" si="16"/>
        <v>790.25620192253564</v>
      </c>
      <c r="W34" s="31">
        <f t="shared" ca="1" si="16"/>
        <v>6692.9274934527248</v>
      </c>
      <c r="X34" s="31">
        <f t="shared" ca="1" si="16"/>
        <v>7328.1858724899612</v>
      </c>
      <c r="Y34" s="31">
        <f ca="1">Y33-Y28</f>
        <v>7328.1858724899612</v>
      </c>
      <c r="Z34" s="31">
        <f t="shared" ref="Z34:AK34" ca="1" si="17">Z33-Z28</f>
        <v>669.25731157470943</v>
      </c>
      <c r="AA34" s="31">
        <f t="shared" ca="1" si="17"/>
        <v>1299.2847412324793</v>
      </c>
      <c r="AB34" s="31">
        <f t="shared" ca="1" si="17"/>
        <v>1986.2506190436877</v>
      </c>
      <c r="AC34" s="31">
        <f t="shared" ca="1" si="17"/>
        <v>2636.0487125183722</v>
      </c>
      <c r="AD34" s="31">
        <f t="shared" ca="1" si="17"/>
        <v>3434.5914682874923</v>
      </c>
      <c r="AE34" s="31">
        <f t="shared" ca="1" si="17"/>
        <v>4242.6384441094688</v>
      </c>
      <c r="AF34" s="31">
        <f t="shared" ca="1" si="17"/>
        <v>5004.0430978869445</v>
      </c>
      <c r="AG34" s="31">
        <f t="shared" ca="1" si="17"/>
        <v>5762.1153758133114</v>
      </c>
      <c r="AH34" s="31">
        <f t="shared" ca="1" si="17"/>
        <v>6557.9031564618363</v>
      </c>
      <c r="AI34" s="31">
        <f t="shared" ca="1" si="17"/>
        <v>7358.4519257666434</v>
      </c>
      <c r="AJ34" s="31">
        <f t="shared" ca="1" si="17"/>
        <v>8149.3426599632248</v>
      </c>
      <c r="AK34" s="31">
        <f t="shared" ca="1" si="17"/>
        <v>8946.4636017378452</v>
      </c>
      <c r="AL34" s="31">
        <f ca="1">AL33-AL28</f>
        <v>8946.4636017378452</v>
      </c>
      <c r="AM34" s="31">
        <f t="shared" ref="AM34:AX34" ca="1" si="18">AM33-AM28</f>
        <v>76.377342588821094</v>
      </c>
      <c r="AN34" s="31">
        <f t="shared" ca="1" si="18"/>
        <v>1259.1873075290544</v>
      </c>
      <c r="AO34" s="31">
        <f t="shared" ca="1" si="18"/>
        <v>1323.8218006309999</v>
      </c>
      <c r="AP34" s="31">
        <f t="shared" ca="1" si="18"/>
        <v>1323.8218006309999</v>
      </c>
      <c r="AQ34" s="31">
        <f t="shared" ca="1" si="18"/>
        <v>1323.8218006309999</v>
      </c>
      <c r="AR34" s="31">
        <f t="shared" ca="1" si="18"/>
        <v>1323.8218006309999</v>
      </c>
      <c r="AS34" s="31">
        <f t="shared" ca="1" si="18"/>
        <v>1323.8218006309999</v>
      </c>
      <c r="AT34" s="31">
        <f t="shared" ca="1" si="18"/>
        <v>1323.8218006309999</v>
      </c>
      <c r="AU34" s="31">
        <f t="shared" ca="1" si="18"/>
        <v>1323.8218006309999</v>
      </c>
      <c r="AV34" s="31">
        <f t="shared" ca="1" si="18"/>
        <v>1323.8218006309999</v>
      </c>
      <c r="AW34" s="31">
        <f t="shared" ca="1" si="18"/>
        <v>1323.8218006309999</v>
      </c>
      <c r="AX34" s="31">
        <f t="shared" ca="1" si="18"/>
        <v>1323.8218006309999</v>
      </c>
      <c r="AY34" s="31">
        <f ca="1">AY33-AY28</f>
        <v>1323.8218006309999</v>
      </c>
    </row>
    <row r="35" spans="1:51" ht="15.75" hidden="1" customHeight="1" outlineLevel="1">
      <c r="A35" s="1" t="s">
        <v>145</v>
      </c>
      <c r="C35" s="104"/>
      <c r="E35" s="9" t="str">
        <f ca="1">_xll.DBRW(Server&amp;"}ElementAttributes_Indicator",A35,"code_English")</f>
        <v>PL1110_DO_10 - Staff costs (DO)</v>
      </c>
      <c r="F35" s="32">
        <f ca="1">_xll.DBRW($C$1,$C$2,$C$3,$C$4,$C$6,$C$5,$C$7,F$1,F$2,A35)</f>
        <v>-2312.9936011331856</v>
      </c>
      <c r="G35" s="32">
        <f ca="1">_xll.DBRW($C$1,$C$2,$C$3,$C$4,$C$6,$C$5,$C$7,G$1,G$2,A35)</f>
        <v>-2250.4103321500288</v>
      </c>
      <c r="H35" s="32">
        <f ca="1">_xll.DBRW($C$1,$C$2,$C$3,$C$4,$C$6,$C$5,$C$7,H$1,H$2,A35)</f>
        <v>-2359.1791068380589</v>
      </c>
      <c r="I35" s="32">
        <f ca="1">_xll.DBRW($C$1,$C$2,$C$3,$C$4,$C$6,$C$5,$C$7,I$1,I$2,A35)</f>
        <v>-2201.5803529741029</v>
      </c>
      <c r="J35" s="32">
        <f ca="1">_xll.DBRW($C$1,$C$2,$C$3,$C$4,$C$6,$C$5,$C$7,J$1,J$2,A35)</f>
        <v>-2074.2703586592434</v>
      </c>
      <c r="K35" s="32">
        <f ca="1">_xll.DBRW($C$1,$C$2,$C$3,$C$4,$C$6,$C$5,$C$7,K$1,K$2,A35)</f>
        <v>-2364.2871458147652</v>
      </c>
      <c r="L35" s="32">
        <f ca="1">_xll.DBRW($C$1,$C$2,$C$3,$C$4,$C$6,$C$5,$C$7,L$1,L$2,A35)</f>
        <v>-2335.6752636148071</v>
      </c>
      <c r="M35" s="32">
        <f ca="1">_xll.DBRW($C$1,$C$2,$C$3,$C$4,$C$6,$C$5,$C$7,M$1,M$2,A35)</f>
        <v>-127.73499068490317</v>
      </c>
      <c r="N35" s="32">
        <f ca="1">_xll.DBRW($C$1,$C$2,$C$3,$C$4,$C$6,$C$5,$C$7,N$1,N$2,A35)</f>
        <v>-397.6808822362355</v>
      </c>
      <c r="O35" s="32">
        <f ca="1">_xll.DBRW($C$1,$C$2,$C$3,$C$4,$C$6,$C$5,$C$7,O$1,O$2,A35)</f>
        <v>-607.86456869470248</v>
      </c>
      <c r="P35" s="32">
        <f ca="1">_xll.DBRW($C$1,$C$2,$C$3,$C$4,$C$6,$C$5,$C$7,P$1,P$2,A35)</f>
        <v>-808.23207613262525</v>
      </c>
      <c r="Q35" s="32">
        <f ca="1">_xll.DBRW($C$1,$C$2,$C$3,$C$4,$C$6,$C$5,$C$7,Q$1,Q$2,A35)</f>
        <v>-1016.1867830589529</v>
      </c>
      <c r="R35" s="32">
        <f ca="1">_xll.DBRW($C$1,$C$2,$C$3,$C$4,$C$6,$C$5,$C$7,R$1,R$2,A35)</f>
        <v>-1258.6441064612629</v>
      </c>
      <c r="S35" s="32">
        <f ca="1">_xll.DBRW($C$1,$C$2,$C$3,$C$4,$C$6,$C$5,$C$7,S$1,S$2,A35)</f>
        <v>-922.49098478020915</v>
      </c>
      <c r="T35" s="32">
        <f ca="1">_xll.DBRW($C$1,$C$2,$C$3,$C$4,$C$6,$C$5,$C$7,T$1,T$2,A35)</f>
        <v>-1653.3875650126392</v>
      </c>
      <c r="U35" s="32">
        <f ca="1">_xll.DBRW($C$1,$C$2,$C$3,$C$4,$C$6,$C$5,$C$7,U$1,U$2,A35)</f>
        <v>-1848.8373566507712</v>
      </c>
      <c r="V35" s="32">
        <f ca="1">_xll.DBRW($C$1,$C$2,$C$3,$C$4,$C$6,$C$5,$C$7,V$1,V$2,A35)</f>
        <v>-1354.0331105908979</v>
      </c>
      <c r="W35" s="32">
        <f ca="1">_xll.DBRW($C$1,$C$2,$C$3,$C$4,$C$6,$C$5,$C$7,W$1,W$2,A35)</f>
        <v>-2159.6299544971562</v>
      </c>
      <c r="X35" s="32">
        <f ca="1">_xll.DBRW($C$1,$C$2,$C$3,$C$4,$C$6,$C$5,$C$7,X$1,X$2,A35)</f>
        <v>-2538.396817298415</v>
      </c>
      <c r="Y35" s="32">
        <f ca="1">_xll.DBRW($C$1,$C$2,$C$3,$C$4,$C$6,$C$5,$C$7,Y$1,Y$2,A35)</f>
        <v>-2538.396817298415</v>
      </c>
      <c r="Z35" s="32">
        <f ca="1">_xll.DBRW($C$1,$C$2,$C$3,$C$4,$C$6,$C$5,$C$7,Z$1,Z$2,A35)</f>
        <v>-207.31102588223368</v>
      </c>
      <c r="AA35" s="32">
        <f ca="1">_xll.DBRW($C$1,$C$2,$C$3,$C$4,$C$6,$C$5,$C$7,AA$1,AA$2,A35)</f>
        <v>-444.96771643318584</v>
      </c>
      <c r="AB35" s="32">
        <f ca="1">_xll.DBRW($C$1,$C$2,$C$3,$C$4,$C$6,$C$5,$C$7,AB$1,AB$2,A35)</f>
        <v>-673.19168338956615</v>
      </c>
      <c r="AC35" s="32">
        <f ca="1">_xll.DBRW($C$1,$C$2,$C$3,$C$4,$C$6,$C$5,$C$7,AC$1,AC$2,A35)</f>
        <v>-896.85402055498059</v>
      </c>
      <c r="AD35" s="32">
        <f ca="1">_xll.DBRW($C$1,$C$2,$C$3,$C$4,$C$6,$C$5,$C$7,AD$1,AD$2,A35)</f>
        <v>-1126.2453339779629</v>
      </c>
      <c r="AE35" s="32">
        <f ca="1">_xll.DBRW($C$1,$C$2,$C$3,$C$4,$C$6,$C$5,$C$7,AE$1,AE$2,A35)</f>
        <v>-1357.3134258547393</v>
      </c>
      <c r="AF35" s="32">
        <f ca="1">_xll.DBRW($C$1,$C$2,$C$3,$C$4,$C$6,$C$5,$C$7,AF$1,AF$2,A35)</f>
        <v>-1578.7126566693346</v>
      </c>
      <c r="AG35" s="32">
        <f ca="1">_xll.DBRW($C$1,$C$2,$C$3,$C$4,$C$6,$C$5,$C$7,AG$1,AG$2,A35)</f>
        <v>-1793.555659318208</v>
      </c>
      <c r="AH35" s="32">
        <f ca="1">_xll.DBRW($C$1,$C$2,$C$3,$C$4,$C$6,$C$5,$C$7,AH$1,AH$2,A35)</f>
        <v>-2018.490732275126</v>
      </c>
      <c r="AI35" s="32">
        <f ca="1">_xll.DBRW($C$1,$C$2,$C$3,$C$4,$C$6,$C$5,$C$7,AI$1,AI$2,A35)</f>
        <v>-2246.727908799352</v>
      </c>
      <c r="AJ35" s="32">
        <f ca="1">_xll.DBRW($C$1,$C$2,$C$3,$C$4,$C$6,$C$5,$C$7,AJ$1,AJ$2,A35)</f>
        <v>-2476.3315659800519</v>
      </c>
      <c r="AK35" s="32">
        <f ca="1">_xll.DBRW($C$1,$C$2,$C$3,$C$4,$C$6,$C$5,$C$7,AK$1,AK$2,A35)</f>
        <v>-2706.1247647285554</v>
      </c>
      <c r="AL35" s="32">
        <f ca="1">_xll.DBRW($C$1,$C$2,$C$3,$C$4,$C$6,$C$5,$C$7,AL$1,AL$2,A35)</f>
        <v>-2706.1247647285554</v>
      </c>
      <c r="AM35" s="32">
        <f ca="1">_xll.DBRW($C$1,$C$2,$C$3,$C$4,$C$6,$C$5,$C$7,AM$1,AM$2,A35)</f>
        <v>-174.66455891443979</v>
      </c>
      <c r="AN35" s="32">
        <f ca="1">_xll.DBRW($C$1,$C$2,$C$3,$C$4,$C$6,$C$5,$C$7,AN$1,AN$2,A35)</f>
        <v>-461.2189786093316</v>
      </c>
      <c r="AO35" s="32">
        <f ca="1">_xll.DBRW($C$1,$C$2,$C$3,$C$4,$C$6,$C$5,$C$7,AO$1,AO$2,A35)</f>
        <v>5.6843418860808015E-14</v>
      </c>
      <c r="AP35" s="32">
        <f ca="1">_xll.DBRW($C$1,$C$2,$C$3,$C$4,$C$6,$C$5,$C$7,AP$1,AP$2,A35)</f>
        <v>5.6843418860808015E-14</v>
      </c>
      <c r="AQ35" s="32">
        <f ca="1">_xll.DBRW($C$1,$C$2,$C$3,$C$4,$C$6,$C$5,$C$7,AQ$1,AQ$2,A35)</f>
        <v>5.6843418860808015E-14</v>
      </c>
      <c r="AR35" s="32">
        <f ca="1">_xll.DBRW($C$1,$C$2,$C$3,$C$4,$C$6,$C$5,$C$7,AR$1,AR$2,A35)</f>
        <v>5.6843418860808015E-14</v>
      </c>
      <c r="AS35" s="32">
        <f ca="1">_xll.DBRW($C$1,$C$2,$C$3,$C$4,$C$6,$C$5,$C$7,AS$1,AS$2,A35)</f>
        <v>5.6843418860808015E-14</v>
      </c>
      <c r="AT35" s="32">
        <f ca="1">_xll.DBRW($C$1,$C$2,$C$3,$C$4,$C$6,$C$5,$C$7,AT$1,AT$2,A35)</f>
        <v>5.6843418860808015E-14</v>
      </c>
      <c r="AU35" s="32">
        <f ca="1">_xll.DBRW($C$1,$C$2,$C$3,$C$4,$C$6,$C$5,$C$7,AU$1,AU$2,A35)</f>
        <v>5.6843418860808015E-14</v>
      </c>
      <c r="AV35" s="32">
        <f ca="1">_xll.DBRW($C$1,$C$2,$C$3,$C$4,$C$6,$C$5,$C$7,AV$1,AV$2,A35)</f>
        <v>5.6843418860808015E-14</v>
      </c>
      <c r="AW35" s="32">
        <f ca="1">_xll.DBRW($C$1,$C$2,$C$3,$C$4,$C$6,$C$5,$C$7,AW$1,AW$2,A35)</f>
        <v>5.6843418860808015E-14</v>
      </c>
      <c r="AX35" s="32">
        <f ca="1">_xll.DBRW($C$1,$C$2,$C$3,$C$4,$C$6,$C$5,$C$7,AX$1,AX$2,A35)</f>
        <v>5.6843418860808015E-14</v>
      </c>
      <c r="AY35" s="32">
        <f ca="1">_xll.DBRW($C$1,$C$2,$C$3,$C$4,$C$6,$C$5,$C$7,AY$1,AY$2,A35)</f>
        <v>5.6843418860808015E-14</v>
      </c>
    </row>
    <row r="36" spans="1:51" ht="15.75" hidden="1" customHeight="1" outlineLevel="1">
      <c r="A36" s="1" t="s">
        <v>146</v>
      </c>
      <c r="C36" s="104"/>
      <c r="E36" s="9" t="str">
        <f ca="1">_xll.DBRW(Server&amp;"}ElementAttributes_Indicator",A36,"code_English")</f>
        <v>PL1115_DO_20 - Interim staff (DO)</v>
      </c>
      <c r="F36" s="32">
        <f ca="1">_xll.DBRW($C$1,$C$2,$C$3,$C$4,$C$6,$C$5,$C$7,F$1,F$2,A36)</f>
        <v>-30.832692451387263</v>
      </c>
      <c r="G36" s="32">
        <f ca="1">_xll.DBRW($C$1,$C$2,$C$3,$C$4,$C$6,$C$5,$C$7,G$1,G$2,A36)</f>
        <v>-37.164571951893912</v>
      </c>
      <c r="H36" s="32">
        <f ca="1">_xll.DBRW($C$1,$C$2,$C$3,$C$4,$C$6,$C$5,$C$7,H$1,H$2,A36)</f>
        <v>-46.421789966846134</v>
      </c>
      <c r="I36" s="32">
        <f ca="1">_xll.DBRW($C$1,$C$2,$C$3,$C$4,$C$6,$C$5,$C$7,I$1,I$2,A36)</f>
        <v>-46.135763209763887</v>
      </c>
      <c r="J36" s="32">
        <f ca="1">_xll.DBRW($C$1,$C$2,$C$3,$C$4,$C$6,$C$5,$C$7,J$1,J$2,A36)</f>
        <v>-13.955275943795879</v>
      </c>
      <c r="K36" s="32">
        <f ca="1">_xll.DBRW($C$1,$C$2,$C$3,$C$4,$C$6,$C$5,$C$7,K$1,K$2,A36)</f>
        <v>-6.6843233648294591</v>
      </c>
      <c r="L36" s="32">
        <f ca="1">_xll.DBRW($C$1,$C$2,$C$3,$C$4,$C$6,$C$5,$C$7,L$1,L$2,A36)</f>
        <v>-3.1316280959999996</v>
      </c>
      <c r="M36" s="32">
        <f ca="1">_xll.DBRW($C$1,$C$2,$C$3,$C$4,$C$6,$C$5,$C$7,M$1,M$2,A36)</f>
        <v>-0.20598357568300138</v>
      </c>
      <c r="N36" s="32">
        <f ca="1">_xll.DBRW($C$1,$C$2,$C$3,$C$4,$C$6,$C$5,$C$7,N$1,N$2,A36)</f>
        <v>-1.5785541630395714</v>
      </c>
      <c r="O36" s="32">
        <f ca="1">_xll.DBRW($C$1,$C$2,$C$3,$C$4,$C$6,$C$5,$C$7,O$1,O$2,A36)</f>
        <v>-2.1156507182608442</v>
      </c>
      <c r="P36" s="32">
        <f ca="1">_xll.DBRW($C$1,$C$2,$C$3,$C$4,$C$6,$C$5,$C$7,P$1,P$2,A36)</f>
        <v>-2.789711391567637</v>
      </c>
      <c r="Q36" s="32">
        <f ca="1">_xll.DBRW($C$1,$C$2,$C$3,$C$4,$C$6,$C$5,$C$7,Q$1,Q$2,A36)</f>
        <v>-2.3612686008749844</v>
      </c>
      <c r="R36" s="32">
        <f ca="1">_xll.DBRW($C$1,$C$2,$C$3,$C$4,$C$6,$C$5,$C$7,R$1,R$2,A36)</f>
        <v>-4.9581210674713807</v>
      </c>
      <c r="S36" s="32">
        <f ca="1">_xll.DBRW($C$1,$C$2,$C$3,$C$4,$C$6,$C$5,$C$7,S$1,S$2,A36)</f>
        <v>-2.2204460492503131E-16</v>
      </c>
      <c r="T36" s="32">
        <f ca="1">_xll.DBRW($C$1,$C$2,$C$3,$C$4,$C$6,$C$5,$C$7,T$1,T$2,A36)</f>
        <v>-7.9784493156551122</v>
      </c>
      <c r="U36" s="32">
        <f ca="1">_xll.DBRW($C$1,$C$2,$C$3,$C$4,$C$6,$C$5,$C$7,U$1,U$2,A36)</f>
        <v>-9.1222077319347186</v>
      </c>
      <c r="V36" s="32">
        <f ca="1">_xll.DBRW($C$1,$C$2,$C$3,$C$4,$C$6,$C$5,$C$7,V$1,V$2,A36)</f>
        <v>-4.1548426590736041</v>
      </c>
      <c r="W36" s="32">
        <f ca="1">_xll.DBRW($C$1,$C$2,$C$3,$C$4,$C$6,$C$5,$C$7,W$1,W$2,A36)</f>
        <v>-10.253553050430504</v>
      </c>
      <c r="X36" s="32">
        <f ca="1">_xll.DBRW($C$1,$C$2,$C$3,$C$4,$C$6,$C$5,$C$7,X$1,X$2,A36)</f>
        <v>-13.062476187789342</v>
      </c>
      <c r="Y36" s="32">
        <f ca="1">_xll.DBRW($C$1,$C$2,$C$3,$C$4,$C$6,$C$5,$C$7,Y$1,Y$2,A36)</f>
        <v>-13.062476187789342</v>
      </c>
      <c r="Z36" s="32">
        <f ca="1">_xll.DBRW($C$1,$C$2,$C$3,$C$4,$C$6,$C$5,$C$7,Z$1,Z$2,A36)</f>
        <v>-0.57891788999999994</v>
      </c>
      <c r="AA36" s="32">
        <f ca="1">_xll.DBRW($C$1,$C$2,$C$3,$C$4,$C$6,$C$5,$C$7,AA$1,AA$2,A36)</f>
        <v>-1.4453411999343135</v>
      </c>
      <c r="AB36" s="32">
        <f ca="1">_xll.DBRW($C$1,$C$2,$C$3,$C$4,$C$6,$C$5,$C$7,AB$1,AB$2,A36)</f>
        <v>-2.1309343317647054</v>
      </c>
      <c r="AC36" s="32">
        <f ca="1">_xll.DBRW($C$1,$C$2,$C$3,$C$4,$C$6,$C$5,$C$7,AC$1,AC$2,A36)</f>
        <v>-2.8139610812450973</v>
      </c>
      <c r="AD36" s="32">
        <f ca="1">_xll.DBRW($C$1,$C$2,$C$3,$C$4,$C$6,$C$5,$C$7,AD$1,AD$2,A36)</f>
        <v>-3.5081890365980386</v>
      </c>
      <c r="AE36" s="32">
        <f ca="1">_xll.DBRW($C$1,$C$2,$C$3,$C$4,$C$6,$C$5,$C$7,AE$1,AE$2,A36)</f>
        <v>-4.2136758743137248</v>
      </c>
      <c r="AF36" s="32">
        <f ca="1">_xll.DBRW($C$1,$C$2,$C$3,$C$4,$C$6,$C$5,$C$7,AF$1,AF$2,A36)</f>
        <v>-4.8994509669313722</v>
      </c>
      <c r="AG36" s="32">
        <f ca="1">_xll.DBRW($C$1,$C$2,$C$3,$C$4,$C$6,$C$5,$C$7,AG$1,AG$2,A36)</f>
        <v>-5.5763335987549016</v>
      </c>
      <c r="AH36" s="32">
        <f ca="1">_xll.DBRW($C$1,$C$2,$C$3,$C$4,$C$6,$C$5,$C$7,AH$1,AH$2,A36)</f>
        <v>-6.010877416862745</v>
      </c>
      <c r="AI36" s="32">
        <f ca="1">_xll.DBRW($C$1,$C$2,$C$3,$C$4,$C$6,$C$5,$C$7,AI$1,AI$2,A36)</f>
        <v>-6.3723397251666665</v>
      </c>
      <c r="AJ36" s="32">
        <f ca="1">_xll.DBRW($C$1,$C$2,$C$3,$C$4,$C$6,$C$5,$C$7,AJ$1,AJ$2,A36)</f>
        <v>-6.709017283460784</v>
      </c>
      <c r="AK36" s="32">
        <f ca="1">_xll.DBRW($C$1,$C$2,$C$3,$C$4,$C$6,$C$5,$C$7,AK$1,AK$2,A36)</f>
        <v>-7.0432780280392153</v>
      </c>
      <c r="AL36" s="32">
        <f ca="1">_xll.DBRW($C$1,$C$2,$C$3,$C$4,$C$6,$C$5,$C$7,AL$1,AL$2,A36)</f>
        <v>-7.0432780280392153</v>
      </c>
      <c r="AM36" s="32">
        <f ca="1">_xll.DBRW($C$1,$C$2,$C$3,$C$4,$C$6,$C$5,$C$7,AM$1,AM$2,A36)</f>
        <v>-1.6148196380562414</v>
      </c>
      <c r="AN36" s="32">
        <f ca="1">_xll.DBRW($C$1,$C$2,$C$3,$C$4,$C$6,$C$5,$C$7,AN$1,AN$2,A36)</f>
        <v>-5.2112186235288798</v>
      </c>
      <c r="AO36" s="32">
        <f ca="1">_xll.DBRW($C$1,$C$2,$C$3,$C$4,$C$6,$C$5,$C$7,AO$1,AO$2,A36)</f>
        <v>-8.8817841970012523E-16</v>
      </c>
      <c r="AP36" s="32">
        <f ca="1">_xll.DBRW($C$1,$C$2,$C$3,$C$4,$C$6,$C$5,$C$7,AP$1,AP$2,A36)</f>
        <v>-8.8817841970012523E-16</v>
      </c>
      <c r="AQ36" s="32">
        <f ca="1">_xll.DBRW($C$1,$C$2,$C$3,$C$4,$C$6,$C$5,$C$7,AQ$1,AQ$2,A36)</f>
        <v>-8.8817841970012523E-16</v>
      </c>
      <c r="AR36" s="32">
        <f ca="1">_xll.DBRW($C$1,$C$2,$C$3,$C$4,$C$6,$C$5,$C$7,AR$1,AR$2,A36)</f>
        <v>-8.8817841970012523E-16</v>
      </c>
      <c r="AS36" s="32">
        <f ca="1">_xll.DBRW($C$1,$C$2,$C$3,$C$4,$C$6,$C$5,$C$7,AS$1,AS$2,A36)</f>
        <v>-8.8817841970012523E-16</v>
      </c>
      <c r="AT36" s="32">
        <f ca="1">_xll.DBRW($C$1,$C$2,$C$3,$C$4,$C$6,$C$5,$C$7,AT$1,AT$2,A36)</f>
        <v>-8.8817841970012523E-16</v>
      </c>
      <c r="AU36" s="32">
        <f ca="1">_xll.DBRW($C$1,$C$2,$C$3,$C$4,$C$6,$C$5,$C$7,AU$1,AU$2,A36)</f>
        <v>-8.8817841970012523E-16</v>
      </c>
      <c r="AV36" s="32">
        <f ca="1">_xll.DBRW($C$1,$C$2,$C$3,$C$4,$C$6,$C$5,$C$7,AV$1,AV$2,A36)</f>
        <v>-8.8817841970012523E-16</v>
      </c>
      <c r="AW36" s="32">
        <f ca="1">_xll.DBRW($C$1,$C$2,$C$3,$C$4,$C$6,$C$5,$C$7,AW$1,AW$2,A36)</f>
        <v>-8.8817841970012523E-16</v>
      </c>
      <c r="AX36" s="32">
        <f ca="1">_xll.DBRW($C$1,$C$2,$C$3,$C$4,$C$6,$C$5,$C$7,AX$1,AX$2,A36)</f>
        <v>-8.8817841970012523E-16</v>
      </c>
      <c r="AY36" s="32">
        <f ca="1">_xll.DBRW($C$1,$C$2,$C$3,$C$4,$C$6,$C$5,$C$7,AY$1,AY$2,A36)</f>
        <v>-8.8817841970012523E-16</v>
      </c>
    </row>
    <row r="37" spans="1:51" ht="15.75" hidden="1" customHeight="1" outlineLevel="1">
      <c r="A37" s="1" t="s">
        <v>147</v>
      </c>
      <c r="C37" s="104"/>
      <c r="E37" s="9" t="str">
        <f ca="1">_xll.DBRW(Server&amp;"}ElementAttributes_Indicator",A37,"code_English")</f>
        <v>PL1115_DO_99 - Others (DO)</v>
      </c>
      <c r="F37" s="32">
        <f ca="1">_xll.DBRW($C$1,$C$2,$C$3,$C$4,$C$6,$C$5,$C$7,F$1,F$2,A37)</f>
        <v>-43.131645151793762</v>
      </c>
      <c r="G37" s="32">
        <f ca="1">_xll.DBRW($C$1,$C$2,$C$3,$C$4,$C$6,$C$5,$C$7,G$1,G$2,A37)</f>
        <v>-22.787751877784064</v>
      </c>
      <c r="H37" s="32">
        <f ca="1">_xll.DBRW($C$1,$C$2,$C$3,$C$4,$C$6,$C$5,$C$7,H$1,H$2,A37)</f>
        <v>-8.3516166850684463</v>
      </c>
      <c r="I37" s="32">
        <f ca="1">_xll.DBRW($C$1,$C$2,$C$3,$C$4,$C$6,$C$5,$C$7,I$1,I$2,A37)</f>
        <v>-9.6411120835490518</v>
      </c>
      <c r="J37" s="32">
        <f ca="1">_xll.DBRW($C$1,$C$2,$C$3,$C$4,$C$6,$C$5,$C$7,J$1,J$2,A37)</f>
        <v>45.388076439566895</v>
      </c>
      <c r="K37" s="32">
        <f ca="1">_xll.DBRW($C$1,$C$2,$C$3,$C$4,$C$6,$C$5,$C$7,K$1,K$2,A37)</f>
        <v>-20.653536159300131</v>
      </c>
      <c r="L37" s="32">
        <f ca="1">_xll.DBRW($C$1,$C$2,$C$3,$C$4,$C$6,$C$5,$C$7,L$1,L$2,A37)</f>
        <v>-12.155580140881703</v>
      </c>
      <c r="M37" s="32">
        <f ca="1">_xll.DBRW($C$1,$C$2,$C$3,$C$4,$C$6,$C$5,$C$7,M$1,M$2,A37)</f>
        <v>-0.88973871827401252</v>
      </c>
      <c r="N37" s="32">
        <f ca="1">_xll.DBRW($C$1,$C$2,$C$3,$C$4,$C$6,$C$5,$C$7,N$1,N$2,A37)</f>
        <v>-2.9079602718223931</v>
      </c>
      <c r="O37" s="32">
        <f ca="1">_xll.DBRW($C$1,$C$2,$C$3,$C$4,$C$6,$C$5,$C$7,O$1,O$2,A37)</f>
        <v>-4.0387178394820396</v>
      </c>
      <c r="P37" s="32">
        <f ca="1">_xll.DBRW($C$1,$C$2,$C$3,$C$4,$C$6,$C$5,$C$7,P$1,P$2,A37)</f>
        <v>-5.5809107296413334</v>
      </c>
      <c r="Q37" s="32">
        <f ca="1">_xll.DBRW($C$1,$C$2,$C$3,$C$4,$C$6,$C$5,$C$7,Q$1,Q$2,A37)</f>
        <v>-6.9822979227912043</v>
      </c>
      <c r="R37" s="32">
        <f ca="1">_xll.DBRW($C$1,$C$2,$C$3,$C$4,$C$6,$C$5,$C$7,R$1,R$2,A37)</f>
        <v>-8.5870953281137616</v>
      </c>
      <c r="S37" s="32">
        <f ca="1">_xll.DBRW($C$1,$C$2,$C$3,$C$4,$C$6,$C$5,$C$7,S$1,S$2,A37)</f>
        <v>-4.9871722314768112</v>
      </c>
      <c r="T37" s="32">
        <f ca="1">_xll.DBRW($C$1,$C$2,$C$3,$C$4,$C$6,$C$5,$C$7,T$1,T$2,A37)</f>
        <v>-15.114294242799168</v>
      </c>
      <c r="U37" s="32">
        <f ca="1">_xll.DBRW($C$1,$C$2,$C$3,$C$4,$C$6,$C$5,$C$7,U$1,U$2,A37)</f>
        <v>-16.435325047615319</v>
      </c>
      <c r="V37" s="32">
        <f ca="1">_xll.DBRW($C$1,$C$2,$C$3,$C$4,$C$6,$C$5,$C$7,V$1,V$2,A37)</f>
        <v>-6.5029374704343317</v>
      </c>
      <c r="W37" s="32">
        <f ca="1">_xll.DBRW($C$1,$C$2,$C$3,$C$4,$C$6,$C$5,$C$7,W$1,W$2,A37)</f>
        <v>-17.540521367587115</v>
      </c>
      <c r="X37" s="32">
        <f ca="1">_xll.DBRW($C$1,$C$2,$C$3,$C$4,$C$6,$C$5,$C$7,X$1,X$2,A37)</f>
        <v>-17.744961632383035</v>
      </c>
      <c r="Y37" s="32">
        <f ca="1">_xll.DBRW($C$1,$C$2,$C$3,$C$4,$C$6,$C$5,$C$7,Y$1,Y$2,A37)</f>
        <v>-17.744961632383035</v>
      </c>
      <c r="Z37" s="32">
        <f ca="1">_xll.DBRW($C$1,$C$2,$C$3,$C$4,$C$6,$C$5,$C$7,Z$1,Z$2,A37)</f>
        <v>-1.3560087726415235</v>
      </c>
      <c r="AA37" s="32">
        <f ca="1">_xll.DBRW($C$1,$C$2,$C$3,$C$4,$C$6,$C$5,$C$7,AA$1,AA$2,A37)</f>
        <v>-2.6150956052180083</v>
      </c>
      <c r="AB37" s="32">
        <f ca="1">_xll.DBRW($C$1,$C$2,$C$3,$C$4,$C$6,$C$5,$C$7,AB$1,AB$2,A37)</f>
        <v>-3.9153587511849874</v>
      </c>
      <c r="AC37" s="32">
        <f ca="1">_xll.DBRW($C$1,$C$2,$C$3,$C$4,$C$6,$C$5,$C$7,AC$1,AC$2,A37)</f>
        <v>-5.1818827338333406</v>
      </c>
      <c r="AD37" s="32">
        <f ca="1">_xll.DBRW($C$1,$C$2,$C$3,$C$4,$C$6,$C$5,$C$7,AD$1,AD$2,A37)</f>
        <v>-6.4541593685608056</v>
      </c>
      <c r="AE37" s="32">
        <f ca="1">_xll.DBRW($C$1,$C$2,$C$3,$C$4,$C$6,$C$5,$C$7,AE$1,AE$2,A37)</f>
        <v>-7.7218292307935172</v>
      </c>
      <c r="AF37" s="32">
        <f ca="1">_xll.DBRW($C$1,$C$2,$C$3,$C$4,$C$6,$C$5,$C$7,AF$1,AF$2,A37)</f>
        <v>-9.0252371723984623</v>
      </c>
      <c r="AG37" s="32">
        <f ca="1">_xll.DBRW($C$1,$C$2,$C$3,$C$4,$C$6,$C$5,$C$7,AG$1,AG$2,A37)</f>
        <v>-10.21423587752826</v>
      </c>
      <c r="AH37" s="32">
        <f ca="1">_xll.DBRW($C$1,$C$2,$C$3,$C$4,$C$6,$C$5,$C$7,AH$1,AH$2,A37)</f>
        <v>-11.395213242502379</v>
      </c>
      <c r="AI37" s="32">
        <f ca="1">_xll.DBRW($C$1,$C$2,$C$3,$C$4,$C$6,$C$5,$C$7,AI$1,AI$2,A37)</f>
        <v>-12.561787233205607</v>
      </c>
      <c r="AJ37" s="32">
        <f ca="1">_xll.DBRW($C$1,$C$2,$C$3,$C$4,$C$6,$C$5,$C$7,AJ$1,AJ$2,A37)</f>
        <v>-13.645532478160064</v>
      </c>
      <c r="AK37" s="32">
        <f ca="1">_xll.DBRW($C$1,$C$2,$C$3,$C$4,$C$6,$C$5,$C$7,AK$1,AK$2,A37)</f>
        <v>-14.749027339027522</v>
      </c>
      <c r="AL37" s="32">
        <f ca="1">_xll.DBRW($C$1,$C$2,$C$3,$C$4,$C$6,$C$5,$C$7,AL$1,AL$2,A37)</f>
        <v>-14.749027339027522</v>
      </c>
      <c r="AM37" s="32">
        <f ca="1">_xll.DBRW($C$1,$C$2,$C$3,$C$4,$C$6,$C$5,$C$7,AM$1,AM$2,A37)</f>
        <v>-0.84248542839214224</v>
      </c>
      <c r="AN37" s="32">
        <f ca="1">_xll.DBRW($C$1,$C$2,$C$3,$C$4,$C$6,$C$5,$C$7,AN$1,AN$2,A37)</f>
        <v>-3.3027146140084858</v>
      </c>
      <c r="AO37" s="32">
        <f ca="1">_xll.DBRW($C$1,$C$2,$C$3,$C$4,$C$6,$C$5,$C$7,AO$1,AO$2,A37)</f>
        <v>2.6645352591003757E-15</v>
      </c>
      <c r="AP37" s="32">
        <f ca="1">_xll.DBRW($C$1,$C$2,$C$3,$C$4,$C$6,$C$5,$C$7,AP$1,AP$2,A37)</f>
        <v>2.6645352591003757E-15</v>
      </c>
      <c r="AQ37" s="32">
        <f ca="1">_xll.DBRW($C$1,$C$2,$C$3,$C$4,$C$6,$C$5,$C$7,AQ$1,AQ$2,A37)</f>
        <v>2.6645352591003757E-15</v>
      </c>
      <c r="AR37" s="32">
        <f ca="1">_xll.DBRW($C$1,$C$2,$C$3,$C$4,$C$6,$C$5,$C$7,AR$1,AR$2,A37)</f>
        <v>2.6645352591003757E-15</v>
      </c>
      <c r="AS37" s="32">
        <f ca="1">_xll.DBRW($C$1,$C$2,$C$3,$C$4,$C$6,$C$5,$C$7,AS$1,AS$2,A37)</f>
        <v>2.6645352591003757E-15</v>
      </c>
      <c r="AT37" s="32">
        <f ca="1">_xll.DBRW($C$1,$C$2,$C$3,$C$4,$C$6,$C$5,$C$7,AT$1,AT$2,A37)</f>
        <v>2.6645352591003757E-15</v>
      </c>
      <c r="AU37" s="32">
        <f ca="1">_xll.DBRW($C$1,$C$2,$C$3,$C$4,$C$6,$C$5,$C$7,AU$1,AU$2,A37)</f>
        <v>2.6645352591003757E-15</v>
      </c>
      <c r="AV37" s="32">
        <f ca="1">_xll.DBRW($C$1,$C$2,$C$3,$C$4,$C$6,$C$5,$C$7,AV$1,AV$2,A37)</f>
        <v>2.6645352591003757E-15</v>
      </c>
      <c r="AW37" s="32">
        <f ca="1">_xll.DBRW($C$1,$C$2,$C$3,$C$4,$C$6,$C$5,$C$7,AW$1,AW$2,A37)</f>
        <v>2.6645352591003757E-15</v>
      </c>
      <c r="AX37" s="32">
        <f ca="1">_xll.DBRW($C$1,$C$2,$C$3,$C$4,$C$6,$C$5,$C$7,AX$1,AX$2,A37)</f>
        <v>2.6645352591003757E-15</v>
      </c>
      <c r="AY37" s="32">
        <f ca="1">_xll.DBRW($C$1,$C$2,$C$3,$C$4,$C$6,$C$5,$C$7,AY$1,AY$2,A37)</f>
        <v>2.6645352591003757E-15</v>
      </c>
    </row>
    <row r="38" spans="1:51" ht="15.75" hidden="1" customHeight="1" outlineLevel="1">
      <c r="A38" s="1" t="s">
        <v>148</v>
      </c>
      <c r="C38" s="104"/>
      <c r="E38" s="9" t="str">
        <f ca="1">_xll.DBRW(Server&amp;"}ElementAttributes_Indicator",A38,"code_English")</f>
        <v>PL1140_DO_10 - Amortization of pensions</v>
      </c>
      <c r="F38" s="32">
        <f ca="1">_xll.DBRW($C$1,$C$2,$C$3,$C$4,$C$6,$C$5,$C$7,F$1,F$2,A38)</f>
        <v>-2.7842475889857891E-2</v>
      </c>
      <c r="G38" s="32">
        <f ca="1">_xll.DBRW($C$1,$C$2,$C$3,$C$4,$C$6,$C$5,$C$7,G$1,G$2,A38)</f>
        <v>-0.14120382251657501</v>
      </c>
      <c r="H38" s="32">
        <f ca="1">_xll.DBRW($C$1,$C$2,$C$3,$C$4,$C$6,$C$5,$C$7,H$1,H$2,A38)</f>
        <v>-5.7187184129508781E-2</v>
      </c>
      <c r="I38" s="32">
        <f ca="1">_xll.DBRW($C$1,$C$2,$C$3,$C$4,$C$6,$C$5,$C$7,I$1,I$2,A38)</f>
        <v>-2.1009204664962925E-2</v>
      </c>
      <c r="J38" s="32">
        <f ca="1">_xll.DBRW($C$1,$C$2,$C$3,$C$4,$C$6,$C$5,$C$7,J$1,J$2,A38)</f>
        <v>-3.5606311818930328E-2</v>
      </c>
      <c r="K38" s="32">
        <f ca="1">_xll.DBRW($C$1,$C$2,$C$3,$C$4,$C$6,$C$5,$C$7,K$1,K$2,A38)</f>
        <v>-2.0171895832482939E-2</v>
      </c>
      <c r="L38" s="32">
        <f ca="1">_xll.DBRW($C$1,$C$2,$C$3,$C$4,$C$6,$C$5,$C$7,L$1,L$2,A38)</f>
        <v>-3.3449999999999999E-3</v>
      </c>
      <c r="M38" s="32">
        <f ca="1">_xll.DBRW($C$1,$C$2,$C$3,$C$4,$C$6,$C$5,$C$7,M$1,M$2,A38)</f>
        <v>-6.1829689190988739E-3</v>
      </c>
      <c r="N38" s="32">
        <f ca="1">_xll.DBRW($C$1,$C$2,$C$3,$C$4,$C$6,$C$5,$C$7,N$1,N$2,A38)</f>
        <v>-7.9001696390989303E-3</v>
      </c>
      <c r="O38" s="32">
        <f ca="1">_xll.DBRW($C$1,$C$2,$C$3,$C$4,$C$6,$C$5,$C$7,O$1,O$2,A38)</f>
        <v>-1.3027087134276857E-2</v>
      </c>
      <c r="P38" s="32">
        <f ca="1">_xll.DBRW($C$1,$C$2,$C$3,$C$4,$C$6,$C$5,$C$7,P$1,P$2,A38)</f>
        <v>-1.4965873932813791E-2</v>
      </c>
      <c r="Q38" s="32">
        <f ca="1">_xll.DBRW($C$1,$C$2,$C$3,$C$4,$C$6,$C$5,$C$7,Q$1,Q$2,A38)</f>
        <v>-1.6766786040265123E-2</v>
      </c>
      <c r="R38" s="32">
        <f ca="1">_xll.DBRW($C$1,$C$2,$C$3,$C$4,$C$6,$C$5,$C$7,R$1,R$2,A38)</f>
        <v>-1.853413651234502E-2</v>
      </c>
      <c r="S38" s="32">
        <f ca="1">_xll.DBRW($C$1,$C$2,$C$3,$C$4,$C$6,$C$5,$C$7,S$1,S$2,A38)</f>
        <v>-2.0291925884609558E-2</v>
      </c>
      <c r="T38" s="32">
        <f ca="1">_xll.DBRW($C$1,$C$2,$C$3,$C$4,$C$6,$C$5,$C$7,T$1,T$2,A38)</f>
        <v>-2.215852977760023E-2</v>
      </c>
      <c r="U38" s="32">
        <f ca="1">_xll.DBRW($C$1,$C$2,$C$3,$C$4,$C$6,$C$5,$C$7,U$1,U$2,A38)</f>
        <v>-2.3925479437905822E-2</v>
      </c>
      <c r="V38" s="32">
        <f ca="1">_xll.DBRW($C$1,$C$2,$C$3,$C$4,$C$6,$C$5,$C$7,V$1,V$2,A38)</f>
        <v>-2.5721998828678455E-2</v>
      </c>
      <c r="W38" s="32">
        <f ca="1">_xll.DBRW($C$1,$C$2,$C$3,$C$4,$C$6,$C$5,$C$7,W$1,W$2,A38)</f>
        <v>-0.20455746381385104</v>
      </c>
      <c r="X38" s="32">
        <f ca="1">_xll.DBRW($C$1,$C$2,$C$3,$C$4,$C$6,$C$5,$C$7,X$1,X$2,A38)</f>
        <v>-0.20587415462597111</v>
      </c>
      <c r="Y38" s="32">
        <f ca="1">_xll.DBRW($C$1,$C$2,$C$3,$C$4,$C$6,$C$5,$C$7,Y$1,Y$2,A38)</f>
        <v>-0.20587415462597111</v>
      </c>
      <c r="Z38" s="32">
        <f ca="1">_xll.DBRW($C$1,$C$2,$C$3,$C$4,$C$6,$C$5,$C$7,Z$1,Z$2,A38)</f>
        <v>-2.7530120481927708E-4</v>
      </c>
      <c r="AA38" s="32">
        <f ca="1">_xll.DBRW($C$1,$C$2,$C$3,$C$4,$C$6,$C$5,$C$7,AA$1,AA$2,A38)</f>
        <v>-5.5120481927710841E-4</v>
      </c>
      <c r="AB38" s="32">
        <f ca="1">_xll.DBRW($C$1,$C$2,$C$3,$C$4,$C$6,$C$5,$C$7,AB$1,AB$2,A38)</f>
        <v>-8.2710843373493979E-4</v>
      </c>
      <c r="AC38" s="32">
        <f ca="1">_xll.DBRW($C$1,$C$2,$C$3,$C$4,$C$6,$C$5,$C$7,AC$1,AC$2,A38)</f>
        <v>-1.1024096385542168E-3</v>
      </c>
      <c r="AD38" s="32">
        <f ca="1">_xll.DBRW($C$1,$C$2,$C$3,$C$4,$C$6,$C$5,$C$7,AD$1,AD$2,A38)</f>
        <v>-1.346987951807229E-3</v>
      </c>
      <c r="AE38" s="32">
        <f ca="1">_xll.DBRW($C$1,$C$2,$C$3,$C$4,$C$6,$C$5,$C$7,AE$1,AE$2,A38)</f>
        <v>-1.5602409638554218E-3</v>
      </c>
      <c r="AF38" s="32">
        <f ca="1">_xll.DBRW($C$1,$C$2,$C$3,$C$4,$C$6,$C$5,$C$7,AF$1,AF$2,A38)</f>
        <v>-1.7728915662650604E-3</v>
      </c>
      <c r="AG38" s="32">
        <f ca="1">_xll.DBRW($C$1,$C$2,$C$3,$C$4,$C$6,$C$5,$C$7,AG$1,AG$2,A38)</f>
        <v>-1.9837349397590362E-3</v>
      </c>
      <c r="AH38" s="32">
        <f ca="1">_xll.DBRW($C$1,$C$2,$C$3,$C$4,$C$6,$C$5,$C$7,AH$1,AH$2,A38)</f>
        <v>-2.1554216867469881E-3</v>
      </c>
      <c r="AI38" s="32">
        <f ca="1">_xll.DBRW($C$1,$C$2,$C$3,$C$4,$C$6,$C$5,$C$7,AI$1,AI$2,A38)</f>
        <v>-2.3313253012048193E-3</v>
      </c>
      <c r="AJ38" s="32">
        <f ca="1">_xll.DBRW($C$1,$C$2,$C$3,$C$4,$C$6,$C$5,$C$7,AJ$1,AJ$2,A38)</f>
        <v>-2.4578313253012045E-3</v>
      </c>
      <c r="AK38" s="32">
        <f ca="1">_xll.DBRW($C$1,$C$2,$C$3,$C$4,$C$6,$C$5,$C$7,AK$1,AK$2,A38)</f>
        <v>-2.5843373493975906E-3</v>
      </c>
      <c r="AL38" s="32">
        <f ca="1">_xll.DBRW($C$1,$C$2,$C$3,$C$4,$C$6,$C$5,$C$7,AL$1,AL$2,A38)</f>
        <v>-2.5843373493975906E-3</v>
      </c>
      <c r="AM38" s="32">
        <f ca="1">_xll.DBRW($C$1,$C$2,$C$3,$C$4,$C$6,$C$5,$C$7,AM$1,AM$2,A38)</f>
        <v>-1.917971525033517E-3</v>
      </c>
      <c r="AN38" s="32">
        <f ca="1">_xll.DBRW($C$1,$C$2,$C$3,$C$4,$C$6,$C$5,$C$7,AN$1,AN$2,A38)</f>
        <v>-3.8181536153174935E-3</v>
      </c>
      <c r="AO38" s="32">
        <f ca="1">_xll.DBRW($C$1,$C$2,$C$3,$C$4,$C$6,$C$5,$C$7,AO$1,AO$2,A38)</f>
        <v>0</v>
      </c>
      <c r="AP38" s="32">
        <f ca="1">_xll.DBRW($C$1,$C$2,$C$3,$C$4,$C$6,$C$5,$C$7,AP$1,AP$2,A38)</f>
        <v>0</v>
      </c>
      <c r="AQ38" s="32">
        <f ca="1">_xll.DBRW($C$1,$C$2,$C$3,$C$4,$C$6,$C$5,$C$7,AQ$1,AQ$2,A38)</f>
        <v>0</v>
      </c>
      <c r="AR38" s="32">
        <f ca="1">_xll.DBRW($C$1,$C$2,$C$3,$C$4,$C$6,$C$5,$C$7,AR$1,AR$2,A38)</f>
        <v>0</v>
      </c>
      <c r="AS38" s="32">
        <f ca="1">_xll.DBRW($C$1,$C$2,$C$3,$C$4,$C$6,$C$5,$C$7,AS$1,AS$2,A38)</f>
        <v>0</v>
      </c>
      <c r="AT38" s="32">
        <f ca="1">_xll.DBRW($C$1,$C$2,$C$3,$C$4,$C$6,$C$5,$C$7,AT$1,AT$2,A38)</f>
        <v>0</v>
      </c>
      <c r="AU38" s="32">
        <f ca="1">_xll.DBRW($C$1,$C$2,$C$3,$C$4,$C$6,$C$5,$C$7,AU$1,AU$2,A38)</f>
        <v>0</v>
      </c>
      <c r="AV38" s="32">
        <f ca="1">_xll.DBRW($C$1,$C$2,$C$3,$C$4,$C$6,$C$5,$C$7,AV$1,AV$2,A38)</f>
        <v>0</v>
      </c>
      <c r="AW38" s="32">
        <f ca="1">_xll.DBRW($C$1,$C$2,$C$3,$C$4,$C$6,$C$5,$C$7,AW$1,AW$2,A38)</f>
        <v>0</v>
      </c>
      <c r="AX38" s="32">
        <f ca="1">_xll.DBRW($C$1,$C$2,$C$3,$C$4,$C$6,$C$5,$C$7,AX$1,AX$2,A38)</f>
        <v>0</v>
      </c>
      <c r="AY38" s="32">
        <f ca="1">_xll.DBRW($C$1,$C$2,$C$3,$C$4,$C$6,$C$5,$C$7,AY$1,AY$2,A38)</f>
        <v>0</v>
      </c>
    </row>
    <row r="39" spans="1:51" ht="15.75" hidden="1" customHeight="1" outlineLevel="1">
      <c r="A39" s="1" t="s">
        <v>149</v>
      </c>
      <c r="C39" s="104"/>
      <c r="E39" s="9" t="str">
        <f ca="1">_xll.DBRW(Server&amp;"}ElementAttributes_Indicator",A39,"code_English")</f>
        <v>PL1150_DO_10 - Impairment (other than working capital) and provisions - related to staff costs (DO)</v>
      </c>
      <c r="F39" s="32">
        <f ca="1">_xll.DBRW($C$1,$C$2,$C$3,$C$4,$C$6,$C$5,$C$7,F$1,F$2,A39)</f>
        <v>-9.3104628822298423</v>
      </c>
      <c r="G39" s="32">
        <f ca="1">_xll.DBRW($C$1,$C$2,$C$3,$C$4,$C$6,$C$5,$C$7,G$1,G$2,A39)</f>
        <v>-11.981649787579409</v>
      </c>
      <c r="H39" s="32">
        <f ca="1">_xll.DBRW($C$1,$C$2,$C$3,$C$4,$C$6,$C$5,$C$7,H$1,H$2,A39)</f>
        <v>-11.007999761926387</v>
      </c>
      <c r="I39" s="32">
        <f ca="1">_xll.DBRW($C$1,$C$2,$C$3,$C$4,$C$6,$C$5,$C$7,I$1,I$2,A39)</f>
        <v>-15.672314391884692</v>
      </c>
      <c r="J39" s="32">
        <f ca="1">_xll.DBRW($C$1,$C$2,$C$3,$C$4,$C$6,$C$5,$C$7,J$1,J$2,A39)</f>
        <v>-13.377706417549234</v>
      </c>
      <c r="K39" s="32">
        <f ca="1">_xll.DBRW($C$1,$C$2,$C$3,$C$4,$C$6,$C$5,$C$7,K$1,K$2,A39)</f>
        <v>-8.9981547497740202</v>
      </c>
      <c r="L39" s="32">
        <f ca="1">_xll.DBRW($C$1,$C$2,$C$3,$C$4,$C$6,$C$5,$C$7,L$1,L$2,A39)</f>
        <v>-1.3628825068652675</v>
      </c>
      <c r="M39" s="32">
        <f ca="1">_xll.DBRW($C$1,$C$2,$C$3,$C$4,$C$6,$C$5,$C$7,M$1,M$2,A39)</f>
        <v>-0.16984640464850739</v>
      </c>
      <c r="N39" s="32">
        <f ca="1">_xll.DBRW($C$1,$C$2,$C$3,$C$4,$C$6,$C$5,$C$7,N$1,N$2,A39)</f>
        <v>1.6337756032602282</v>
      </c>
      <c r="O39" s="32">
        <f ca="1">_xll.DBRW($C$1,$C$2,$C$3,$C$4,$C$6,$C$5,$C$7,O$1,O$2,A39)</f>
        <v>1.6185904747107647</v>
      </c>
      <c r="P39" s="32">
        <f ca="1">_xll.DBRW($C$1,$C$2,$C$3,$C$4,$C$6,$C$5,$C$7,P$1,P$2,A39)</f>
        <v>1.6290900374529205</v>
      </c>
      <c r="Q39" s="32">
        <f ca="1">_xll.DBRW($C$1,$C$2,$C$3,$C$4,$C$6,$C$5,$C$7,Q$1,Q$2,A39)</f>
        <v>2.096918173470625</v>
      </c>
      <c r="R39" s="32">
        <f ca="1">_xll.DBRW($C$1,$C$2,$C$3,$C$4,$C$6,$C$5,$C$7,R$1,R$2,A39)</f>
        <v>1.7488931429308039</v>
      </c>
      <c r="S39" s="32">
        <f ca="1">_xll.DBRW($C$1,$C$2,$C$3,$C$4,$C$6,$C$5,$C$7,S$1,S$2,A39)</f>
        <v>0.31555967068854551</v>
      </c>
      <c r="T39" s="32">
        <f ca="1">_xll.DBRW($C$1,$C$2,$C$3,$C$4,$C$6,$C$5,$C$7,T$1,T$2,A39)</f>
        <v>0.8317030288116104</v>
      </c>
      <c r="U39" s="32">
        <f ca="1">_xll.DBRW($C$1,$C$2,$C$3,$C$4,$C$6,$C$5,$C$7,U$1,U$2,A39)</f>
        <v>-1.8586659864055832</v>
      </c>
      <c r="V39" s="32">
        <f ca="1">_xll.DBRW($C$1,$C$2,$C$3,$C$4,$C$6,$C$5,$C$7,V$1,V$2,A39)</f>
        <v>-3.3511228502071924</v>
      </c>
      <c r="W39" s="32">
        <f ca="1">_xll.DBRW($C$1,$C$2,$C$3,$C$4,$C$6,$C$5,$C$7,W$1,W$2,A39)</f>
        <v>-1.4724964302821613</v>
      </c>
      <c r="X39" s="32">
        <f ca="1">_xll.DBRW($C$1,$C$2,$C$3,$C$4,$C$6,$C$5,$C$7,X$1,X$2,A39)</f>
        <v>-7.8729477892749946</v>
      </c>
      <c r="Y39" s="32">
        <f ca="1">_xll.DBRW($C$1,$C$2,$C$3,$C$4,$C$6,$C$5,$C$7,Y$1,Y$2,A39)</f>
        <v>-7.8729477892749946</v>
      </c>
      <c r="Z39" s="32">
        <f ca="1">_xll.DBRW($C$1,$C$2,$C$3,$C$4,$C$6,$C$5,$C$7,Z$1,Z$2,A39)</f>
        <v>-0.42339237133559499</v>
      </c>
      <c r="AA39" s="32">
        <f ca="1">_xll.DBRW($C$1,$C$2,$C$3,$C$4,$C$6,$C$5,$C$7,AA$1,AA$2,A39)</f>
        <v>0.95959691747027587</v>
      </c>
      <c r="AB39" s="32">
        <f ca="1">_xll.DBRW($C$1,$C$2,$C$3,$C$4,$C$6,$C$5,$C$7,AB$1,AB$2,A39)</f>
        <v>0.78293353851328318</v>
      </c>
      <c r="AC39" s="32">
        <f ca="1">_xll.DBRW($C$1,$C$2,$C$3,$C$4,$C$6,$C$5,$C$7,AC$1,AC$2,A39)</f>
        <v>0.60531441291199539</v>
      </c>
      <c r="AD39" s="32">
        <f ca="1">_xll.DBRW($C$1,$C$2,$C$3,$C$4,$C$6,$C$5,$C$7,AD$1,AD$2,A39)</f>
        <v>0.42789203237518958</v>
      </c>
      <c r="AE39" s="32">
        <f ca="1">_xll.DBRW($C$1,$C$2,$C$3,$C$4,$C$6,$C$5,$C$7,AE$1,AE$2,A39)</f>
        <v>0.2012521802638344</v>
      </c>
      <c r="AF39" s="32">
        <f ca="1">_xll.DBRW($C$1,$C$2,$C$3,$C$4,$C$6,$C$5,$C$7,AF$1,AF$2,A39)</f>
        <v>2.5247208488049733E-2</v>
      </c>
      <c r="AG39" s="32">
        <f ca="1">_xll.DBRW($C$1,$C$2,$C$3,$C$4,$C$6,$C$5,$C$7,AG$1,AG$2,A39)</f>
        <v>-0.15114372415166433</v>
      </c>
      <c r="AH39" s="32">
        <f ca="1">_xll.DBRW($C$1,$C$2,$C$3,$C$4,$C$6,$C$5,$C$7,AH$1,AH$2,A39)</f>
        <v>-0.32511528608404855</v>
      </c>
      <c r="AI39" s="32">
        <f ca="1">_xll.DBRW($C$1,$C$2,$C$3,$C$4,$C$6,$C$5,$C$7,AI$1,AI$2,A39)</f>
        <v>-0.49968656110368076</v>
      </c>
      <c r="AJ39" s="32">
        <f ca="1">_xll.DBRW($C$1,$C$2,$C$3,$C$4,$C$6,$C$5,$C$7,AJ$1,AJ$2,A39)</f>
        <v>-0.67036119172997266</v>
      </c>
      <c r="AK39" s="32">
        <f ca="1">_xll.DBRW($C$1,$C$2,$C$3,$C$4,$C$6,$C$5,$C$7,AK$1,AK$2,A39)</f>
        <v>-1.1473004619173899</v>
      </c>
      <c r="AL39" s="32">
        <f ca="1">_xll.DBRW($C$1,$C$2,$C$3,$C$4,$C$6,$C$5,$C$7,AL$1,AL$2,A39)</f>
        <v>-1.1473004619173899</v>
      </c>
      <c r="AM39" s="32">
        <f ca="1">_xll.DBRW($C$1,$C$2,$C$3,$C$4,$C$6,$C$5,$C$7,AM$1,AM$2,A39)</f>
        <v>-0.28389905428196766</v>
      </c>
      <c r="AN39" s="32">
        <f ca="1">_xll.DBRW($C$1,$C$2,$C$3,$C$4,$C$6,$C$5,$C$7,AN$1,AN$2,A39)</f>
        <v>0.90052057839121291</v>
      </c>
      <c r="AO39" s="32">
        <f ca="1">_xll.DBRW($C$1,$C$2,$C$3,$C$4,$C$6,$C$5,$C$7,AO$1,AO$2,A39)</f>
        <v>-4.4408920985006262E-16</v>
      </c>
      <c r="AP39" s="32">
        <f ca="1">_xll.DBRW($C$1,$C$2,$C$3,$C$4,$C$6,$C$5,$C$7,AP$1,AP$2,A39)</f>
        <v>-4.4408920985006262E-16</v>
      </c>
      <c r="AQ39" s="32">
        <f ca="1">_xll.DBRW($C$1,$C$2,$C$3,$C$4,$C$6,$C$5,$C$7,AQ$1,AQ$2,A39)</f>
        <v>-4.4408920985006262E-16</v>
      </c>
      <c r="AR39" s="32">
        <f ca="1">_xll.DBRW($C$1,$C$2,$C$3,$C$4,$C$6,$C$5,$C$7,AR$1,AR$2,A39)</f>
        <v>-4.4408920985006262E-16</v>
      </c>
      <c r="AS39" s="32">
        <f ca="1">_xll.DBRW($C$1,$C$2,$C$3,$C$4,$C$6,$C$5,$C$7,AS$1,AS$2,A39)</f>
        <v>-4.4408920985006262E-16</v>
      </c>
      <c r="AT39" s="32">
        <f ca="1">_xll.DBRW($C$1,$C$2,$C$3,$C$4,$C$6,$C$5,$C$7,AT$1,AT$2,A39)</f>
        <v>-4.4408920985006262E-16</v>
      </c>
      <c r="AU39" s="32">
        <f ca="1">_xll.DBRW($C$1,$C$2,$C$3,$C$4,$C$6,$C$5,$C$7,AU$1,AU$2,A39)</f>
        <v>-4.4408920985006262E-16</v>
      </c>
      <c r="AV39" s="32">
        <f ca="1">_xll.DBRW($C$1,$C$2,$C$3,$C$4,$C$6,$C$5,$C$7,AV$1,AV$2,A39)</f>
        <v>-4.4408920985006262E-16</v>
      </c>
      <c r="AW39" s="32">
        <f ca="1">_xll.DBRW($C$1,$C$2,$C$3,$C$4,$C$6,$C$5,$C$7,AW$1,AW$2,A39)</f>
        <v>-4.4408920985006262E-16</v>
      </c>
      <c r="AX39" s="32">
        <f ca="1">_xll.DBRW($C$1,$C$2,$C$3,$C$4,$C$6,$C$5,$C$7,AX$1,AX$2,A39)</f>
        <v>-4.4408920985006262E-16</v>
      </c>
      <c r="AY39" s="32">
        <f ca="1">_xll.DBRW($C$1,$C$2,$C$3,$C$4,$C$6,$C$5,$C$7,AY$1,AY$2,A39)</f>
        <v>-4.4408920985006262E-16</v>
      </c>
    </row>
    <row r="40" spans="1:51" ht="15.75" hidden="1" customHeight="1" outlineLevel="1">
      <c r="A40" s="1" t="s">
        <v>150</v>
      </c>
      <c r="C40" s="104"/>
      <c r="E40" s="9" t="str">
        <f ca="1">_xll.DBRW(Server&amp;"}ElementAttributes_Indicator",A40,"code_English")</f>
        <v>PL1150_DO_11 - Impairment (other than working capital) and provisions - related to staff costs - Reversal (DO)</v>
      </c>
      <c r="F40" s="32">
        <f ca="1">_xll.DBRW($C$1,$C$2,$C$3,$C$4,$C$6,$C$5,$C$7,F$1,F$2,A40)</f>
        <v>12.384868539999999</v>
      </c>
      <c r="G40" s="32">
        <f ca="1">_xll.DBRW($C$1,$C$2,$C$3,$C$4,$C$6,$C$5,$C$7,G$1,G$2,A40)</f>
        <v>11.12831068</v>
      </c>
      <c r="H40" s="32">
        <f ca="1">_xll.DBRW($C$1,$C$2,$C$3,$C$4,$C$6,$C$5,$C$7,H$1,H$2,A40)</f>
        <v>11.404428250000002</v>
      </c>
      <c r="I40" s="32">
        <f ca="1">_xll.DBRW($C$1,$C$2,$C$3,$C$4,$C$6,$C$5,$C$7,I$1,I$2,A40)</f>
        <v>12.79457296</v>
      </c>
      <c r="J40" s="32">
        <f ca="1">_xll.DBRW($C$1,$C$2,$C$3,$C$4,$C$6,$C$5,$C$7,J$1,J$2,A40)</f>
        <v>13.5684629</v>
      </c>
      <c r="K40" s="32">
        <f ca="1">_xll.DBRW($C$1,$C$2,$C$3,$C$4,$C$6,$C$5,$C$7,K$1,K$2,A40)</f>
        <v>18.66031722</v>
      </c>
      <c r="L40" s="32">
        <f ca="1">_xll.DBRW($C$1,$C$2,$C$3,$C$4,$C$6,$C$5,$C$7,L$1,L$2,A40)</f>
        <v>8.9207446240207489</v>
      </c>
      <c r="M40" s="32">
        <f ca="1">_xll.DBRW($C$1,$C$2,$C$3,$C$4,$C$6,$C$5,$C$7,M$1,M$2,A40)</f>
        <v>7.7250110000000011E-2</v>
      </c>
      <c r="N40" s="32">
        <f ca="1">_xll.DBRW($C$1,$C$2,$C$3,$C$4,$C$6,$C$5,$C$7,N$1,N$2,A40)</f>
        <v>1.2952156899999996</v>
      </c>
      <c r="O40" s="32">
        <f ca="1">_xll.DBRW($C$1,$C$2,$C$3,$C$4,$C$6,$C$5,$C$7,O$1,O$2,A40)</f>
        <v>1.8673350399999997</v>
      </c>
      <c r="P40" s="32">
        <f ca="1">_xll.DBRW($C$1,$C$2,$C$3,$C$4,$C$6,$C$5,$C$7,P$1,P$2,A40)</f>
        <v>2.0175468999999997</v>
      </c>
      <c r="Q40" s="32">
        <f ca="1">_xll.DBRW($C$1,$C$2,$C$3,$C$4,$C$6,$C$5,$C$7,Q$1,Q$2,A40)</f>
        <v>2.6251028899999995</v>
      </c>
      <c r="R40" s="32">
        <f ca="1">_xll.DBRW($C$1,$C$2,$C$3,$C$4,$C$6,$C$5,$C$7,R$1,R$2,A40)</f>
        <v>3.2760451499999999</v>
      </c>
      <c r="S40" s="32">
        <f ca="1">_xll.DBRW($C$1,$C$2,$C$3,$C$4,$C$6,$C$5,$C$7,S$1,S$2,A40)</f>
        <v>3.1288286099999993</v>
      </c>
      <c r="T40" s="32">
        <f ca="1">_xll.DBRW($C$1,$C$2,$C$3,$C$4,$C$6,$C$5,$C$7,T$1,T$2,A40)</f>
        <v>5.6362094699999998</v>
      </c>
      <c r="U40" s="32">
        <f ca="1">_xll.DBRW($C$1,$C$2,$C$3,$C$4,$C$6,$C$5,$C$7,U$1,U$2,A40)</f>
        <v>6.5341894899999993</v>
      </c>
      <c r="V40" s="32">
        <f ca="1">_xll.DBRW($C$1,$C$2,$C$3,$C$4,$C$6,$C$5,$C$7,V$1,V$2,A40)</f>
        <v>6.05731894</v>
      </c>
      <c r="W40" s="32">
        <f ca="1">_xll.DBRW($C$1,$C$2,$C$3,$C$4,$C$6,$C$5,$C$7,W$1,W$2,A40)</f>
        <v>6.3393176199999992</v>
      </c>
      <c r="X40" s="32">
        <f ca="1">_xll.DBRW($C$1,$C$2,$C$3,$C$4,$C$6,$C$5,$C$7,X$1,X$2,A40)</f>
        <v>17.485850109999994</v>
      </c>
      <c r="Y40" s="32">
        <f ca="1">_xll.DBRW($C$1,$C$2,$C$3,$C$4,$C$6,$C$5,$C$7,Y$1,Y$2,A40)</f>
        <v>17.485850109999994</v>
      </c>
      <c r="Z40" s="32">
        <f ca="1">_xll.DBRW($C$1,$C$2,$C$3,$C$4,$C$6,$C$5,$C$7,Z$1,Z$2,A40)</f>
        <v>0.47107773537546488</v>
      </c>
      <c r="AA40" s="32">
        <f ca="1">_xll.DBRW($C$1,$C$2,$C$3,$C$4,$C$6,$C$5,$C$7,AA$1,AA$2,A40)</f>
        <v>0.64603115741759631</v>
      </c>
      <c r="AB40" s="32">
        <f ca="1">_xll.DBRW($C$1,$C$2,$C$3,$C$4,$C$6,$C$5,$C$7,AB$1,AB$2,A40)</f>
        <v>0.80729091945972775</v>
      </c>
      <c r="AC40" s="32">
        <f ca="1">_xll.DBRW($C$1,$C$2,$C$3,$C$4,$C$6,$C$5,$C$7,AC$1,AC$2,A40)</f>
        <v>0.96690506150185929</v>
      </c>
      <c r="AD40" s="32">
        <f ca="1">_xll.DBRW($C$1,$C$2,$C$3,$C$4,$C$6,$C$5,$C$7,AD$1,AD$2,A40)</f>
        <v>1.1281452035439907</v>
      </c>
      <c r="AE40" s="32">
        <f ca="1">_xll.DBRW($C$1,$C$2,$C$3,$C$4,$C$6,$C$5,$C$7,AE$1,AE$2,A40)</f>
        <v>1.3616227055861223</v>
      </c>
      <c r="AF40" s="32">
        <f ca="1">_xll.DBRW($C$1,$C$2,$C$3,$C$4,$C$6,$C$5,$C$7,AF$1,AF$2,A40)</f>
        <v>1.518958497628254</v>
      </c>
      <c r="AG40" s="32">
        <f ca="1">_xll.DBRW($C$1,$C$2,$C$3,$C$4,$C$6,$C$5,$C$7,AG$1,AG$2,A40)</f>
        <v>1.6730129801465758</v>
      </c>
      <c r="AH40" s="32">
        <f ca="1">_xll.DBRW($C$1,$C$2,$C$3,$C$4,$C$6,$C$5,$C$7,AH$1,AH$2,A40)</f>
        <v>3.7810457526648977</v>
      </c>
      <c r="AI40" s="32">
        <f ca="1">_xll.DBRW($C$1,$C$2,$C$3,$C$4,$C$6,$C$5,$C$7,AI$1,AI$2,A40)</f>
        <v>3.9336172351832199</v>
      </c>
      <c r="AJ40" s="32">
        <f ca="1">_xll.DBRW($C$1,$C$2,$C$3,$C$4,$C$6,$C$5,$C$7,AJ$1,AJ$2,A40)</f>
        <v>4.0861887177015417</v>
      </c>
      <c r="AK40" s="32">
        <f ca="1">_xll.DBRW($C$1,$C$2,$C$3,$C$4,$C$6,$C$5,$C$7,AK$1,AK$2,A40)</f>
        <v>10.469347341419862</v>
      </c>
      <c r="AL40" s="32">
        <f ca="1">_xll.DBRW($C$1,$C$2,$C$3,$C$4,$C$6,$C$5,$C$7,AL$1,AL$2,A40)</f>
        <v>10.469347341419862</v>
      </c>
      <c r="AM40" s="32">
        <f ca="1">_xll.DBRW($C$1,$C$2,$C$3,$C$4,$C$6,$C$5,$C$7,AM$1,AM$2,A40)</f>
        <v>0.29780125000000007</v>
      </c>
      <c r="AN40" s="32">
        <f ca="1">_xll.DBRW($C$1,$C$2,$C$3,$C$4,$C$6,$C$5,$C$7,AN$1,AN$2,A40)</f>
        <v>1.6998759799999996</v>
      </c>
      <c r="AO40" s="32">
        <f ca="1">_xll.DBRW($C$1,$C$2,$C$3,$C$4,$C$6,$C$5,$C$7,AO$1,AO$2,A40)</f>
        <v>-2.2204460492503131E-16</v>
      </c>
      <c r="AP40" s="32">
        <f ca="1">_xll.DBRW($C$1,$C$2,$C$3,$C$4,$C$6,$C$5,$C$7,AP$1,AP$2,A40)</f>
        <v>-2.2204460492503131E-16</v>
      </c>
      <c r="AQ40" s="32">
        <f ca="1">_xll.DBRW($C$1,$C$2,$C$3,$C$4,$C$6,$C$5,$C$7,AQ$1,AQ$2,A40)</f>
        <v>-2.2204460492503131E-16</v>
      </c>
      <c r="AR40" s="32">
        <f ca="1">_xll.DBRW($C$1,$C$2,$C$3,$C$4,$C$6,$C$5,$C$7,AR$1,AR$2,A40)</f>
        <v>-2.2204460492503131E-16</v>
      </c>
      <c r="AS40" s="32">
        <f ca="1">_xll.DBRW($C$1,$C$2,$C$3,$C$4,$C$6,$C$5,$C$7,AS$1,AS$2,A40)</f>
        <v>-2.2204460492503131E-16</v>
      </c>
      <c r="AT40" s="32">
        <f ca="1">_xll.DBRW($C$1,$C$2,$C$3,$C$4,$C$6,$C$5,$C$7,AT$1,AT$2,A40)</f>
        <v>-2.2204460492503131E-16</v>
      </c>
      <c r="AU40" s="32">
        <f ca="1">_xll.DBRW($C$1,$C$2,$C$3,$C$4,$C$6,$C$5,$C$7,AU$1,AU$2,A40)</f>
        <v>-2.2204460492503131E-16</v>
      </c>
      <c r="AV40" s="32">
        <f ca="1">_xll.DBRW($C$1,$C$2,$C$3,$C$4,$C$6,$C$5,$C$7,AV$1,AV$2,A40)</f>
        <v>-2.2204460492503131E-16</v>
      </c>
      <c r="AW40" s="32">
        <f ca="1">_xll.DBRW($C$1,$C$2,$C$3,$C$4,$C$6,$C$5,$C$7,AW$1,AW$2,A40)</f>
        <v>-2.2204460492503131E-16</v>
      </c>
      <c r="AX40" s="32">
        <f ca="1">_xll.DBRW($C$1,$C$2,$C$3,$C$4,$C$6,$C$5,$C$7,AX$1,AX$2,A40)</f>
        <v>-2.2204460492503131E-16</v>
      </c>
      <c r="AY40" s="32">
        <f ca="1">_xll.DBRW($C$1,$C$2,$C$3,$C$4,$C$6,$C$5,$C$7,AY$1,AY$2,A40)</f>
        <v>-2.2204460492503131E-16</v>
      </c>
    </row>
    <row r="41" spans="1:51" ht="15.75" hidden="1" customHeight="1" outlineLevel="1">
      <c r="A41" s="1" t="s">
        <v>151</v>
      </c>
      <c r="C41" s="104"/>
      <c r="E41" s="9" t="str">
        <f ca="1">_xll.DBRW(Server&amp;"}ElementAttributes_Indicator",A41,"code_English")</f>
        <v>PL1150_DO_90 - Impairment (other than working capital) and provisions - other (DO)</v>
      </c>
      <c r="F41" s="32">
        <f ca="1">_xll.DBRW($C$1,$C$2,$C$3,$C$4,$C$6,$C$5,$C$7,F$1,F$2,A41)</f>
        <v>0</v>
      </c>
      <c r="G41" s="32">
        <f ca="1">_xll.DBRW($C$1,$C$2,$C$3,$C$4,$C$6,$C$5,$C$7,G$1,G$2,A41)</f>
        <v>0</v>
      </c>
      <c r="H41" s="32">
        <f ca="1">_xll.DBRW($C$1,$C$2,$C$3,$C$4,$C$6,$C$5,$C$7,H$1,H$2,A41)</f>
        <v>0</v>
      </c>
      <c r="I41" s="32">
        <f ca="1">_xll.DBRW($C$1,$C$2,$C$3,$C$4,$C$6,$C$5,$C$7,I$1,I$2,A41)</f>
        <v>0</v>
      </c>
      <c r="J41" s="32">
        <f ca="1">_xll.DBRW($C$1,$C$2,$C$3,$C$4,$C$6,$C$5,$C$7,J$1,J$2,A41)</f>
        <v>0.02</v>
      </c>
      <c r="K41" s="32">
        <f ca="1">_xll.DBRW($C$1,$C$2,$C$3,$C$4,$C$6,$C$5,$C$7,K$1,K$2,A41)</f>
        <v>-5.0000000000000001E-3</v>
      </c>
      <c r="L41" s="32">
        <f ca="1">_xll.DBRW($C$1,$C$2,$C$3,$C$4,$C$6,$C$5,$C$7,L$1,L$2,A41)</f>
        <v>0</v>
      </c>
      <c r="M41" s="32">
        <f ca="1">_xll.DBRW($C$1,$C$2,$C$3,$C$4,$C$6,$C$5,$C$7,M$1,M$2,A41)</f>
        <v>0</v>
      </c>
      <c r="N41" s="32">
        <f ca="1">_xll.DBRW($C$1,$C$2,$C$3,$C$4,$C$6,$C$5,$C$7,N$1,N$2,A41)</f>
        <v>0</v>
      </c>
      <c r="O41" s="32">
        <f ca="1">_xll.DBRW($C$1,$C$2,$C$3,$C$4,$C$6,$C$5,$C$7,O$1,O$2,A41)</f>
        <v>0</v>
      </c>
      <c r="P41" s="32">
        <f ca="1">_xll.DBRW($C$1,$C$2,$C$3,$C$4,$C$6,$C$5,$C$7,P$1,P$2,A41)</f>
        <v>0</v>
      </c>
      <c r="Q41" s="32">
        <f ca="1">_xll.DBRW($C$1,$C$2,$C$3,$C$4,$C$6,$C$5,$C$7,Q$1,Q$2,A41)</f>
        <v>0</v>
      </c>
      <c r="R41" s="32">
        <f ca="1">_xll.DBRW($C$1,$C$2,$C$3,$C$4,$C$6,$C$5,$C$7,R$1,R$2,A41)</f>
        <v>5.0000000000000001E-3</v>
      </c>
      <c r="S41" s="32">
        <f ca="1">_xll.DBRW($C$1,$C$2,$C$3,$C$4,$C$6,$C$5,$C$7,S$1,S$2,A41)</f>
        <v>0</v>
      </c>
      <c r="T41" s="32">
        <f ca="1">_xll.DBRW($C$1,$C$2,$C$3,$C$4,$C$6,$C$5,$C$7,T$1,T$2,A41)</f>
        <v>5.0000000000000001E-3</v>
      </c>
      <c r="U41" s="32">
        <f ca="1">_xll.DBRW($C$1,$C$2,$C$3,$C$4,$C$6,$C$5,$C$7,U$1,U$2,A41)</f>
        <v>5.0000000000000001E-3</v>
      </c>
      <c r="V41" s="32">
        <f ca="1">_xll.DBRW($C$1,$C$2,$C$3,$C$4,$C$6,$C$5,$C$7,V$1,V$2,A41)</f>
        <v>0</v>
      </c>
      <c r="W41" s="32">
        <f ca="1">_xll.DBRW($C$1,$C$2,$C$3,$C$4,$C$6,$C$5,$C$7,W$1,W$2,A41)</f>
        <v>1.213385E-2</v>
      </c>
      <c r="X41" s="32">
        <f ca="1">_xll.DBRW($C$1,$C$2,$C$3,$C$4,$C$6,$C$5,$C$7,X$1,X$2,A41)</f>
        <v>1.1316E-2</v>
      </c>
      <c r="Y41" s="32">
        <f ca="1">_xll.DBRW($C$1,$C$2,$C$3,$C$4,$C$6,$C$5,$C$7,Y$1,Y$2,A41)</f>
        <v>1.1316E-2</v>
      </c>
      <c r="Z41" s="32">
        <f ca="1">_xll.DBRW($C$1,$C$2,$C$3,$C$4,$C$6,$C$5,$C$7,Z$1,Z$2,A41)</f>
        <v>0</v>
      </c>
      <c r="AA41" s="32">
        <f ca="1">_xll.DBRW($C$1,$C$2,$C$3,$C$4,$C$6,$C$5,$C$7,AA$1,AA$2,A41)</f>
        <v>0</v>
      </c>
      <c r="AB41" s="32">
        <f ca="1">_xll.DBRW($C$1,$C$2,$C$3,$C$4,$C$6,$C$5,$C$7,AB$1,AB$2,A41)</f>
        <v>0</v>
      </c>
      <c r="AC41" s="32">
        <f ca="1">_xll.DBRW($C$1,$C$2,$C$3,$C$4,$C$6,$C$5,$C$7,AC$1,AC$2,A41)</f>
        <v>0</v>
      </c>
      <c r="AD41" s="32">
        <f ca="1">_xll.DBRW($C$1,$C$2,$C$3,$C$4,$C$6,$C$5,$C$7,AD$1,AD$2,A41)</f>
        <v>0</v>
      </c>
      <c r="AE41" s="32">
        <f ca="1">_xll.DBRW($C$1,$C$2,$C$3,$C$4,$C$6,$C$5,$C$7,AE$1,AE$2,A41)</f>
        <v>0</v>
      </c>
      <c r="AF41" s="32">
        <f ca="1">_xll.DBRW($C$1,$C$2,$C$3,$C$4,$C$6,$C$5,$C$7,AF$1,AF$2,A41)</f>
        <v>0</v>
      </c>
      <c r="AG41" s="32">
        <f ca="1">_xll.DBRW($C$1,$C$2,$C$3,$C$4,$C$6,$C$5,$C$7,AG$1,AG$2,A41)</f>
        <v>0</v>
      </c>
      <c r="AH41" s="32">
        <f ca="1">_xll.DBRW($C$1,$C$2,$C$3,$C$4,$C$6,$C$5,$C$7,AH$1,AH$2,A41)</f>
        <v>0</v>
      </c>
      <c r="AI41" s="32">
        <f ca="1">_xll.DBRW($C$1,$C$2,$C$3,$C$4,$C$6,$C$5,$C$7,AI$1,AI$2,A41)</f>
        <v>0</v>
      </c>
      <c r="AJ41" s="32">
        <f ca="1">_xll.DBRW($C$1,$C$2,$C$3,$C$4,$C$6,$C$5,$C$7,AJ$1,AJ$2,A41)</f>
        <v>0</v>
      </c>
      <c r="AK41" s="32">
        <f ca="1">_xll.DBRW($C$1,$C$2,$C$3,$C$4,$C$6,$C$5,$C$7,AK$1,AK$2,A41)</f>
        <v>0</v>
      </c>
      <c r="AL41" s="32">
        <f ca="1">_xll.DBRW($C$1,$C$2,$C$3,$C$4,$C$6,$C$5,$C$7,AL$1,AL$2,A41)</f>
        <v>0</v>
      </c>
      <c r="AM41" s="32">
        <f ca="1">_xll.DBRW($C$1,$C$2,$C$3,$C$4,$C$6,$C$5,$C$7,AM$1,AM$2,A41)</f>
        <v>0</v>
      </c>
      <c r="AN41" s="32">
        <f ca="1">_xll.DBRW($C$1,$C$2,$C$3,$C$4,$C$6,$C$5,$C$7,AN$1,AN$2,A41)</f>
        <v>0</v>
      </c>
      <c r="AO41" s="32">
        <f ca="1">_xll.DBRW($C$1,$C$2,$C$3,$C$4,$C$6,$C$5,$C$7,AO$1,AO$2,A41)</f>
        <v>0</v>
      </c>
      <c r="AP41" s="32">
        <f ca="1">_xll.DBRW($C$1,$C$2,$C$3,$C$4,$C$6,$C$5,$C$7,AP$1,AP$2,A41)</f>
        <v>0</v>
      </c>
      <c r="AQ41" s="32">
        <f ca="1">_xll.DBRW($C$1,$C$2,$C$3,$C$4,$C$6,$C$5,$C$7,AQ$1,AQ$2,A41)</f>
        <v>0</v>
      </c>
      <c r="AR41" s="32">
        <f ca="1">_xll.DBRW($C$1,$C$2,$C$3,$C$4,$C$6,$C$5,$C$7,AR$1,AR$2,A41)</f>
        <v>0</v>
      </c>
      <c r="AS41" s="32">
        <f ca="1">_xll.DBRW($C$1,$C$2,$C$3,$C$4,$C$6,$C$5,$C$7,AS$1,AS$2,A41)</f>
        <v>0</v>
      </c>
      <c r="AT41" s="32">
        <f ca="1">_xll.DBRW($C$1,$C$2,$C$3,$C$4,$C$6,$C$5,$C$7,AT$1,AT$2,A41)</f>
        <v>0</v>
      </c>
      <c r="AU41" s="32">
        <f ca="1">_xll.DBRW($C$1,$C$2,$C$3,$C$4,$C$6,$C$5,$C$7,AU$1,AU$2,A41)</f>
        <v>0</v>
      </c>
      <c r="AV41" s="32">
        <f ca="1">_xll.DBRW($C$1,$C$2,$C$3,$C$4,$C$6,$C$5,$C$7,AV$1,AV$2,A41)</f>
        <v>0</v>
      </c>
      <c r="AW41" s="32">
        <f ca="1">_xll.DBRW($C$1,$C$2,$C$3,$C$4,$C$6,$C$5,$C$7,AW$1,AW$2,A41)</f>
        <v>0</v>
      </c>
      <c r="AX41" s="32">
        <f ca="1">_xll.DBRW($C$1,$C$2,$C$3,$C$4,$C$6,$C$5,$C$7,AX$1,AX$2,A41)</f>
        <v>0</v>
      </c>
      <c r="AY41" s="32">
        <f ca="1">_xll.DBRW($C$1,$C$2,$C$3,$C$4,$C$6,$C$5,$C$7,AY$1,AY$2,A41)</f>
        <v>0</v>
      </c>
    </row>
    <row r="42" spans="1:51" ht="15.75" hidden="1" customHeight="1" outlineLevel="1">
      <c r="A42" s="1" t="s">
        <v>152</v>
      </c>
      <c r="C42" s="104"/>
      <c r="E42" s="9" t="str">
        <f ca="1">_xll.DBRW(Server&amp;"}ElementAttributes_Indicator",A42,"code_English")</f>
        <v>PL1151_DO_10 - Impact of change in revaluation rate on provisions for losses on LT contracts - related to staff costs (DO)</v>
      </c>
      <c r="F42" s="32">
        <f ca="1">_xll.DBRW($C$1,$C$2,$C$3,$C$4,$C$6,$C$5,$C$7,F$1,F$2,A42)</f>
        <v>0</v>
      </c>
      <c r="G42" s="32">
        <f ca="1">_xll.DBRW($C$1,$C$2,$C$3,$C$4,$C$6,$C$5,$C$7,G$1,G$2,A42)</f>
        <v>0</v>
      </c>
      <c r="H42" s="32">
        <f ca="1">_xll.DBRW($C$1,$C$2,$C$3,$C$4,$C$6,$C$5,$C$7,H$1,H$2,A42)</f>
        <v>0</v>
      </c>
      <c r="I42" s="32">
        <f ca="1">_xll.DBRW($C$1,$C$2,$C$3,$C$4,$C$6,$C$5,$C$7,I$1,I$2,A42)</f>
        <v>0</v>
      </c>
      <c r="J42" s="32">
        <f ca="1">_xll.DBRW($C$1,$C$2,$C$3,$C$4,$C$6,$C$5,$C$7,J$1,J$2,A42)</f>
        <v>0</v>
      </c>
      <c r="K42" s="32">
        <f ca="1">_xll.DBRW($C$1,$C$2,$C$3,$C$4,$C$6,$C$5,$C$7,K$1,K$2,A42)</f>
        <v>0</v>
      </c>
      <c r="L42" s="32">
        <f ca="1">_xll.DBRW($C$1,$C$2,$C$3,$C$4,$C$6,$C$5,$C$7,L$1,L$2,A42)</f>
        <v>0</v>
      </c>
      <c r="M42" s="32">
        <f ca="1">_xll.DBRW($C$1,$C$2,$C$3,$C$4,$C$6,$C$5,$C$7,M$1,M$2,A42)</f>
        <v>0</v>
      </c>
      <c r="N42" s="32">
        <f ca="1">_xll.DBRW($C$1,$C$2,$C$3,$C$4,$C$6,$C$5,$C$7,N$1,N$2,A42)</f>
        <v>0</v>
      </c>
      <c r="O42" s="32">
        <f ca="1">_xll.DBRW($C$1,$C$2,$C$3,$C$4,$C$6,$C$5,$C$7,O$1,O$2,A42)</f>
        <v>0</v>
      </c>
      <c r="P42" s="32">
        <f ca="1">_xll.DBRW($C$1,$C$2,$C$3,$C$4,$C$6,$C$5,$C$7,P$1,P$2,A42)</f>
        <v>0</v>
      </c>
      <c r="Q42" s="32">
        <f ca="1">_xll.DBRW($C$1,$C$2,$C$3,$C$4,$C$6,$C$5,$C$7,Q$1,Q$2,A42)</f>
        <v>0</v>
      </c>
      <c r="R42" s="32">
        <f ca="1">_xll.DBRW($C$1,$C$2,$C$3,$C$4,$C$6,$C$5,$C$7,R$1,R$2,A42)</f>
        <v>0</v>
      </c>
      <c r="S42" s="32">
        <f ca="1">_xll.DBRW($C$1,$C$2,$C$3,$C$4,$C$6,$C$5,$C$7,S$1,S$2,A42)</f>
        <v>0</v>
      </c>
      <c r="T42" s="32">
        <f ca="1">_xll.DBRW($C$1,$C$2,$C$3,$C$4,$C$6,$C$5,$C$7,T$1,T$2,A42)</f>
        <v>0</v>
      </c>
      <c r="U42" s="32">
        <f ca="1">_xll.DBRW($C$1,$C$2,$C$3,$C$4,$C$6,$C$5,$C$7,U$1,U$2,A42)</f>
        <v>0</v>
      </c>
      <c r="V42" s="32">
        <f ca="1">_xll.DBRW($C$1,$C$2,$C$3,$C$4,$C$6,$C$5,$C$7,V$1,V$2,A42)</f>
        <v>0</v>
      </c>
      <c r="W42" s="32">
        <f ca="1">_xll.DBRW($C$1,$C$2,$C$3,$C$4,$C$6,$C$5,$C$7,W$1,W$2,A42)</f>
        <v>0</v>
      </c>
      <c r="X42" s="32">
        <f ca="1">_xll.DBRW($C$1,$C$2,$C$3,$C$4,$C$6,$C$5,$C$7,X$1,X$2,A42)</f>
        <v>0</v>
      </c>
      <c r="Y42" s="32">
        <f ca="1">_xll.DBRW($C$1,$C$2,$C$3,$C$4,$C$6,$C$5,$C$7,Y$1,Y$2,A42)</f>
        <v>0</v>
      </c>
      <c r="Z42" s="32">
        <f ca="1">_xll.DBRW($C$1,$C$2,$C$3,$C$4,$C$6,$C$5,$C$7,Z$1,Z$2,A42)</f>
        <v>0</v>
      </c>
      <c r="AA42" s="32">
        <f ca="1">_xll.DBRW($C$1,$C$2,$C$3,$C$4,$C$6,$C$5,$C$7,AA$1,AA$2,A42)</f>
        <v>0</v>
      </c>
      <c r="AB42" s="32">
        <f ca="1">_xll.DBRW($C$1,$C$2,$C$3,$C$4,$C$6,$C$5,$C$7,AB$1,AB$2,A42)</f>
        <v>0</v>
      </c>
      <c r="AC42" s="32">
        <f ca="1">_xll.DBRW($C$1,$C$2,$C$3,$C$4,$C$6,$C$5,$C$7,AC$1,AC$2,A42)</f>
        <v>0</v>
      </c>
      <c r="AD42" s="32">
        <f ca="1">_xll.DBRW($C$1,$C$2,$C$3,$C$4,$C$6,$C$5,$C$7,AD$1,AD$2,A42)</f>
        <v>0</v>
      </c>
      <c r="AE42" s="32">
        <f ca="1">_xll.DBRW($C$1,$C$2,$C$3,$C$4,$C$6,$C$5,$C$7,AE$1,AE$2,A42)</f>
        <v>0</v>
      </c>
      <c r="AF42" s="32">
        <f ca="1">_xll.DBRW($C$1,$C$2,$C$3,$C$4,$C$6,$C$5,$C$7,AF$1,AF$2,A42)</f>
        <v>0</v>
      </c>
      <c r="AG42" s="32">
        <f ca="1">_xll.DBRW($C$1,$C$2,$C$3,$C$4,$C$6,$C$5,$C$7,AG$1,AG$2,A42)</f>
        <v>0</v>
      </c>
      <c r="AH42" s="32">
        <f ca="1">_xll.DBRW($C$1,$C$2,$C$3,$C$4,$C$6,$C$5,$C$7,AH$1,AH$2,A42)</f>
        <v>0</v>
      </c>
      <c r="AI42" s="32">
        <f ca="1">_xll.DBRW($C$1,$C$2,$C$3,$C$4,$C$6,$C$5,$C$7,AI$1,AI$2,A42)</f>
        <v>0</v>
      </c>
      <c r="AJ42" s="32">
        <f ca="1">_xll.DBRW($C$1,$C$2,$C$3,$C$4,$C$6,$C$5,$C$7,AJ$1,AJ$2,A42)</f>
        <v>0</v>
      </c>
      <c r="AK42" s="32">
        <f ca="1">_xll.DBRW($C$1,$C$2,$C$3,$C$4,$C$6,$C$5,$C$7,AK$1,AK$2,A42)</f>
        <v>0</v>
      </c>
      <c r="AL42" s="32">
        <f ca="1">_xll.DBRW($C$1,$C$2,$C$3,$C$4,$C$6,$C$5,$C$7,AL$1,AL$2,A42)</f>
        <v>0</v>
      </c>
      <c r="AM42" s="32">
        <f ca="1">_xll.DBRW($C$1,$C$2,$C$3,$C$4,$C$6,$C$5,$C$7,AM$1,AM$2,A42)</f>
        <v>0</v>
      </c>
      <c r="AN42" s="32">
        <f ca="1">_xll.DBRW($C$1,$C$2,$C$3,$C$4,$C$6,$C$5,$C$7,AN$1,AN$2,A42)</f>
        <v>0</v>
      </c>
      <c r="AO42" s="32">
        <f ca="1">_xll.DBRW($C$1,$C$2,$C$3,$C$4,$C$6,$C$5,$C$7,AO$1,AO$2,A42)</f>
        <v>0</v>
      </c>
      <c r="AP42" s="32">
        <f ca="1">_xll.DBRW($C$1,$C$2,$C$3,$C$4,$C$6,$C$5,$C$7,AP$1,AP$2,A42)</f>
        <v>0</v>
      </c>
      <c r="AQ42" s="32">
        <f ca="1">_xll.DBRW($C$1,$C$2,$C$3,$C$4,$C$6,$C$5,$C$7,AQ$1,AQ$2,A42)</f>
        <v>0</v>
      </c>
      <c r="AR42" s="32">
        <f ca="1">_xll.DBRW($C$1,$C$2,$C$3,$C$4,$C$6,$C$5,$C$7,AR$1,AR$2,A42)</f>
        <v>0</v>
      </c>
      <c r="AS42" s="32">
        <f ca="1">_xll.DBRW($C$1,$C$2,$C$3,$C$4,$C$6,$C$5,$C$7,AS$1,AS$2,A42)</f>
        <v>0</v>
      </c>
      <c r="AT42" s="32">
        <f ca="1">_xll.DBRW($C$1,$C$2,$C$3,$C$4,$C$6,$C$5,$C$7,AT$1,AT$2,A42)</f>
        <v>0</v>
      </c>
      <c r="AU42" s="32">
        <f ca="1">_xll.DBRW($C$1,$C$2,$C$3,$C$4,$C$6,$C$5,$C$7,AU$1,AU$2,A42)</f>
        <v>0</v>
      </c>
      <c r="AV42" s="32">
        <f ca="1">_xll.DBRW($C$1,$C$2,$C$3,$C$4,$C$6,$C$5,$C$7,AV$1,AV$2,A42)</f>
        <v>0</v>
      </c>
      <c r="AW42" s="32">
        <f ca="1">_xll.DBRW($C$1,$C$2,$C$3,$C$4,$C$6,$C$5,$C$7,AW$1,AW$2,A42)</f>
        <v>0</v>
      </c>
      <c r="AX42" s="32">
        <f ca="1">_xll.DBRW($C$1,$C$2,$C$3,$C$4,$C$6,$C$5,$C$7,AX$1,AX$2,A42)</f>
        <v>0</v>
      </c>
      <c r="AY42" s="32">
        <f ca="1">_xll.DBRW($C$1,$C$2,$C$3,$C$4,$C$6,$C$5,$C$7,AY$1,AY$2,A42)</f>
        <v>0</v>
      </c>
    </row>
    <row r="43" spans="1:51" ht="15.75" hidden="1" customHeight="1" outlineLevel="1">
      <c r="A43" s="1" t="s">
        <v>153</v>
      </c>
      <c r="C43" s="104"/>
      <c r="E43" s="9" t="str">
        <f ca="1">_xll.DBRW(Server&amp;"}ElementAttributes_Indicator",A43,"code_English")</f>
        <v>PL1151_DO_11 - Impact of change in revaluation rate on provisions for losses on LT contracts  - related to staff costs - Reversal (DO)</v>
      </c>
      <c r="F43" s="32">
        <f ca="1">_xll.DBRW($C$1,$C$2,$C$3,$C$4,$C$6,$C$5,$C$7,F$1,F$2,A43)</f>
        <v>0</v>
      </c>
      <c r="G43" s="32">
        <f ca="1">_xll.DBRW($C$1,$C$2,$C$3,$C$4,$C$6,$C$5,$C$7,G$1,G$2,A43)</f>
        <v>0</v>
      </c>
      <c r="H43" s="32">
        <f ca="1">_xll.DBRW($C$1,$C$2,$C$3,$C$4,$C$6,$C$5,$C$7,H$1,H$2,A43)</f>
        <v>0</v>
      </c>
      <c r="I43" s="32">
        <f ca="1">_xll.DBRW($C$1,$C$2,$C$3,$C$4,$C$6,$C$5,$C$7,I$1,I$2,A43)</f>
        <v>0</v>
      </c>
      <c r="J43" s="32">
        <f ca="1">_xll.DBRW($C$1,$C$2,$C$3,$C$4,$C$6,$C$5,$C$7,J$1,J$2,A43)</f>
        <v>0</v>
      </c>
      <c r="K43" s="32">
        <f ca="1">_xll.DBRW($C$1,$C$2,$C$3,$C$4,$C$6,$C$5,$C$7,K$1,K$2,A43)</f>
        <v>0</v>
      </c>
      <c r="L43" s="32">
        <f ca="1">_xll.DBRW($C$1,$C$2,$C$3,$C$4,$C$6,$C$5,$C$7,L$1,L$2,A43)</f>
        <v>0</v>
      </c>
      <c r="M43" s="32">
        <f ca="1">_xll.DBRW($C$1,$C$2,$C$3,$C$4,$C$6,$C$5,$C$7,M$1,M$2,A43)</f>
        <v>0</v>
      </c>
      <c r="N43" s="32">
        <f ca="1">_xll.DBRW($C$1,$C$2,$C$3,$C$4,$C$6,$C$5,$C$7,N$1,N$2,A43)</f>
        <v>0</v>
      </c>
      <c r="O43" s="32">
        <f ca="1">_xll.DBRW($C$1,$C$2,$C$3,$C$4,$C$6,$C$5,$C$7,O$1,O$2,A43)</f>
        <v>0</v>
      </c>
      <c r="P43" s="32">
        <f ca="1">_xll.DBRW($C$1,$C$2,$C$3,$C$4,$C$6,$C$5,$C$7,P$1,P$2,A43)</f>
        <v>0</v>
      </c>
      <c r="Q43" s="32">
        <f ca="1">_xll.DBRW($C$1,$C$2,$C$3,$C$4,$C$6,$C$5,$C$7,Q$1,Q$2,A43)</f>
        <v>0</v>
      </c>
      <c r="R43" s="32">
        <f ca="1">_xll.DBRW($C$1,$C$2,$C$3,$C$4,$C$6,$C$5,$C$7,R$1,R$2,A43)</f>
        <v>0</v>
      </c>
      <c r="S43" s="32">
        <f ca="1">_xll.DBRW($C$1,$C$2,$C$3,$C$4,$C$6,$C$5,$C$7,S$1,S$2,A43)</f>
        <v>0</v>
      </c>
      <c r="T43" s="32">
        <f ca="1">_xll.DBRW($C$1,$C$2,$C$3,$C$4,$C$6,$C$5,$C$7,T$1,T$2,A43)</f>
        <v>0</v>
      </c>
      <c r="U43" s="32">
        <f ca="1">_xll.DBRW($C$1,$C$2,$C$3,$C$4,$C$6,$C$5,$C$7,U$1,U$2,A43)</f>
        <v>0</v>
      </c>
      <c r="V43" s="32">
        <f ca="1">_xll.DBRW($C$1,$C$2,$C$3,$C$4,$C$6,$C$5,$C$7,V$1,V$2,A43)</f>
        <v>0</v>
      </c>
      <c r="W43" s="32">
        <f ca="1">_xll.DBRW($C$1,$C$2,$C$3,$C$4,$C$6,$C$5,$C$7,W$1,W$2,A43)</f>
        <v>0</v>
      </c>
      <c r="X43" s="32">
        <f ca="1">_xll.DBRW($C$1,$C$2,$C$3,$C$4,$C$6,$C$5,$C$7,X$1,X$2,A43)</f>
        <v>0</v>
      </c>
      <c r="Y43" s="32">
        <f ca="1">_xll.DBRW($C$1,$C$2,$C$3,$C$4,$C$6,$C$5,$C$7,Y$1,Y$2,A43)</f>
        <v>0</v>
      </c>
      <c r="Z43" s="32">
        <f ca="1">_xll.DBRW($C$1,$C$2,$C$3,$C$4,$C$6,$C$5,$C$7,Z$1,Z$2,A43)</f>
        <v>0</v>
      </c>
      <c r="AA43" s="32">
        <f ca="1">_xll.DBRW($C$1,$C$2,$C$3,$C$4,$C$6,$C$5,$C$7,AA$1,AA$2,A43)</f>
        <v>0</v>
      </c>
      <c r="AB43" s="32">
        <f ca="1">_xll.DBRW($C$1,$C$2,$C$3,$C$4,$C$6,$C$5,$C$7,AB$1,AB$2,A43)</f>
        <v>0</v>
      </c>
      <c r="AC43" s="32">
        <f ca="1">_xll.DBRW($C$1,$C$2,$C$3,$C$4,$C$6,$C$5,$C$7,AC$1,AC$2,A43)</f>
        <v>0</v>
      </c>
      <c r="AD43" s="32">
        <f ca="1">_xll.DBRW($C$1,$C$2,$C$3,$C$4,$C$6,$C$5,$C$7,AD$1,AD$2,A43)</f>
        <v>0</v>
      </c>
      <c r="AE43" s="32">
        <f ca="1">_xll.DBRW($C$1,$C$2,$C$3,$C$4,$C$6,$C$5,$C$7,AE$1,AE$2,A43)</f>
        <v>0</v>
      </c>
      <c r="AF43" s="32">
        <f ca="1">_xll.DBRW($C$1,$C$2,$C$3,$C$4,$C$6,$C$5,$C$7,AF$1,AF$2,A43)</f>
        <v>0</v>
      </c>
      <c r="AG43" s="32">
        <f ca="1">_xll.DBRW($C$1,$C$2,$C$3,$C$4,$C$6,$C$5,$C$7,AG$1,AG$2,A43)</f>
        <v>0</v>
      </c>
      <c r="AH43" s="32">
        <f ca="1">_xll.DBRW($C$1,$C$2,$C$3,$C$4,$C$6,$C$5,$C$7,AH$1,AH$2,A43)</f>
        <v>0</v>
      </c>
      <c r="AI43" s="32">
        <f ca="1">_xll.DBRW($C$1,$C$2,$C$3,$C$4,$C$6,$C$5,$C$7,AI$1,AI$2,A43)</f>
        <v>0</v>
      </c>
      <c r="AJ43" s="32">
        <f ca="1">_xll.DBRW($C$1,$C$2,$C$3,$C$4,$C$6,$C$5,$C$7,AJ$1,AJ$2,A43)</f>
        <v>0</v>
      </c>
      <c r="AK43" s="32">
        <f ca="1">_xll.DBRW($C$1,$C$2,$C$3,$C$4,$C$6,$C$5,$C$7,AK$1,AK$2,A43)</f>
        <v>0</v>
      </c>
      <c r="AL43" s="32">
        <f ca="1">_xll.DBRW($C$1,$C$2,$C$3,$C$4,$C$6,$C$5,$C$7,AL$1,AL$2,A43)</f>
        <v>0</v>
      </c>
      <c r="AM43" s="32">
        <f ca="1">_xll.DBRW($C$1,$C$2,$C$3,$C$4,$C$6,$C$5,$C$7,AM$1,AM$2,A43)</f>
        <v>0</v>
      </c>
      <c r="AN43" s="32">
        <f ca="1">_xll.DBRW($C$1,$C$2,$C$3,$C$4,$C$6,$C$5,$C$7,AN$1,AN$2,A43)</f>
        <v>0</v>
      </c>
      <c r="AO43" s="32">
        <f ca="1">_xll.DBRW($C$1,$C$2,$C$3,$C$4,$C$6,$C$5,$C$7,AO$1,AO$2,A43)</f>
        <v>0</v>
      </c>
      <c r="AP43" s="32">
        <f ca="1">_xll.DBRW($C$1,$C$2,$C$3,$C$4,$C$6,$C$5,$C$7,AP$1,AP$2,A43)</f>
        <v>0</v>
      </c>
      <c r="AQ43" s="32">
        <f ca="1">_xll.DBRW($C$1,$C$2,$C$3,$C$4,$C$6,$C$5,$C$7,AQ$1,AQ$2,A43)</f>
        <v>0</v>
      </c>
      <c r="AR43" s="32">
        <f ca="1">_xll.DBRW($C$1,$C$2,$C$3,$C$4,$C$6,$C$5,$C$7,AR$1,AR$2,A43)</f>
        <v>0</v>
      </c>
      <c r="AS43" s="32">
        <f ca="1">_xll.DBRW($C$1,$C$2,$C$3,$C$4,$C$6,$C$5,$C$7,AS$1,AS$2,A43)</f>
        <v>0</v>
      </c>
      <c r="AT43" s="32">
        <f ca="1">_xll.DBRW($C$1,$C$2,$C$3,$C$4,$C$6,$C$5,$C$7,AT$1,AT$2,A43)</f>
        <v>0</v>
      </c>
      <c r="AU43" s="32">
        <f ca="1">_xll.DBRW($C$1,$C$2,$C$3,$C$4,$C$6,$C$5,$C$7,AU$1,AU$2,A43)</f>
        <v>0</v>
      </c>
      <c r="AV43" s="32">
        <f ca="1">_xll.DBRW($C$1,$C$2,$C$3,$C$4,$C$6,$C$5,$C$7,AV$1,AV$2,A43)</f>
        <v>0</v>
      </c>
      <c r="AW43" s="32">
        <f ca="1">_xll.DBRW($C$1,$C$2,$C$3,$C$4,$C$6,$C$5,$C$7,AW$1,AW$2,A43)</f>
        <v>0</v>
      </c>
      <c r="AX43" s="32">
        <f ca="1">_xll.DBRW($C$1,$C$2,$C$3,$C$4,$C$6,$C$5,$C$7,AX$1,AX$2,A43)</f>
        <v>0</v>
      </c>
      <c r="AY43" s="32">
        <f ca="1">_xll.DBRW($C$1,$C$2,$C$3,$C$4,$C$6,$C$5,$C$7,AY$1,AY$2,A43)</f>
        <v>0</v>
      </c>
    </row>
    <row r="44" spans="1:51" ht="15.75" hidden="1" customHeight="1" outlineLevel="1">
      <c r="A44" s="1" t="s">
        <v>154</v>
      </c>
      <c r="C44" s="104"/>
      <c r="E44" s="9" t="str">
        <f ca="1">_xll.DBRW(Server&amp;"}ElementAttributes_Indicator",A44,"code_English")</f>
        <v>PL1155_DO_10 - Reinvoicing - Others (DO)</v>
      </c>
      <c r="F44" s="32">
        <f ca="1">_xll.DBRW($C$1,$C$2,$C$3,$C$4,$C$6,$C$5,$C$7,F$1,F$2,A44)</f>
        <v>24.566474519099994</v>
      </c>
      <c r="G44" s="32">
        <f ca="1">_xll.DBRW($C$1,$C$2,$C$3,$C$4,$C$6,$C$5,$C$7,G$1,G$2,A44)</f>
        <v>25.548214525000002</v>
      </c>
      <c r="H44" s="32">
        <f ca="1">_xll.DBRW($C$1,$C$2,$C$3,$C$4,$C$6,$C$5,$C$7,H$1,H$2,A44)</f>
        <v>22.454525371399999</v>
      </c>
      <c r="I44" s="32">
        <f ca="1">_xll.DBRW($C$1,$C$2,$C$3,$C$4,$C$6,$C$5,$C$7,I$1,I$2,A44)</f>
        <v>0.85934587999999112</v>
      </c>
      <c r="J44" s="32">
        <f ca="1">_xll.DBRW($C$1,$C$2,$C$3,$C$4,$C$6,$C$5,$C$7,J$1,J$2,A44)</f>
        <v>0.71744939000000185</v>
      </c>
      <c r="K44" s="32">
        <f ca="1">_xll.DBRW($C$1,$C$2,$C$3,$C$4,$C$6,$C$5,$C$7,K$1,K$2,A44)</f>
        <v>2.467950070000001</v>
      </c>
      <c r="L44" s="32">
        <f ca="1">_xll.DBRW($C$1,$C$2,$C$3,$C$4,$C$6,$C$5,$C$7,L$1,L$2,A44)</f>
        <v>3.142031560135679</v>
      </c>
      <c r="M44" s="32">
        <f ca="1">_xll.DBRW($C$1,$C$2,$C$3,$C$4,$C$6,$C$5,$C$7,M$1,M$2,A44)</f>
        <v>0.70102460000000022</v>
      </c>
      <c r="N44" s="32">
        <f ca="1">_xll.DBRW($C$1,$C$2,$C$3,$C$4,$C$6,$C$5,$C$7,N$1,N$2,A44)</f>
        <v>0.26807988000000038</v>
      </c>
      <c r="O44" s="32">
        <f ca="1">_xll.DBRW($C$1,$C$2,$C$3,$C$4,$C$6,$C$5,$C$7,O$1,O$2,A44)</f>
        <v>0.80442201000000024</v>
      </c>
      <c r="P44" s="32">
        <f ca="1">_xll.DBRW($C$1,$C$2,$C$3,$C$4,$C$6,$C$5,$C$7,P$1,P$2,A44)</f>
        <v>1.0292263900000003</v>
      </c>
      <c r="Q44" s="32">
        <f ca="1">_xll.DBRW($C$1,$C$2,$C$3,$C$4,$C$6,$C$5,$C$7,Q$1,Q$2,A44)</f>
        <v>1.3383106300000003</v>
      </c>
      <c r="R44" s="32">
        <f ca="1">_xll.DBRW($C$1,$C$2,$C$3,$C$4,$C$6,$C$5,$C$7,R$1,R$2,A44)</f>
        <v>2.0174557100000001</v>
      </c>
      <c r="S44" s="32">
        <f ca="1">_xll.DBRW($C$1,$C$2,$C$3,$C$4,$C$6,$C$5,$C$7,S$1,S$2,A44)</f>
        <v>1.8527969500000001</v>
      </c>
      <c r="T44" s="32">
        <f ca="1">_xll.DBRW($C$1,$C$2,$C$3,$C$4,$C$6,$C$5,$C$7,T$1,T$2,A44)</f>
        <v>2.1853220499999999</v>
      </c>
      <c r="U44" s="32">
        <f ca="1">_xll.DBRW($C$1,$C$2,$C$3,$C$4,$C$6,$C$5,$C$7,U$1,U$2,A44)</f>
        <v>2.4248462899999996</v>
      </c>
      <c r="V44" s="32">
        <f ca="1">_xll.DBRW($C$1,$C$2,$C$3,$C$4,$C$6,$C$5,$C$7,V$1,V$2,A44)</f>
        <v>2.2868419799999997</v>
      </c>
      <c r="W44" s="32">
        <f ca="1">_xll.DBRW($C$1,$C$2,$C$3,$C$4,$C$6,$C$5,$C$7,W$1,W$2,A44)</f>
        <v>2.8630032100000005</v>
      </c>
      <c r="X44" s="32">
        <f ca="1">_xll.DBRW($C$1,$C$2,$C$3,$C$4,$C$6,$C$5,$C$7,X$1,X$2,A44)</f>
        <v>3.0637201700000007</v>
      </c>
      <c r="Y44" s="32">
        <f ca="1">_xll.DBRW($C$1,$C$2,$C$3,$C$4,$C$6,$C$5,$C$7,Y$1,Y$2,A44)</f>
        <v>3.0637201700000007</v>
      </c>
      <c r="Z44" s="32">
        <f ca="1">_xll.DBRW($C$1,$C$2,$C$3,$C$4,$C$6,$C$5,$C$7,Z$1,Z$2,A44)</f>
        <v>0.13559151660177038</v>
      </c>
      <c r="AA44" s="32">
        <f ca="1">_xll.DBRW($C$1,$C$2,$C$3,$C$4,$C$6,$C$5,$C$7,AA$1,AA$2,A44)</f>
        <v>0.25764969592483478</v>
      </c>
      <c r="AB44" s="32">
        <f ca="1">_xll.DBRW($C$1,$C$2,$C$3,$C$4,$C$6,$C$5,$C$7,AB$1,AB$2,A44)</f>
        <v>0.39298121252660506</v>
      </c>
      <c r="AC44" s="32">
        <f ca="1">_xll.DBRW($C$1,$C$2,$C$3,$C$4,$C$6,$C$5,$C$7,AC$1,AC$2,A44)</f>
        <v>0.5129693918496695</v>
      </c>
      <c r="AD44" s="32">
        <f ca="1">_xll.DBRW($C$1,$C$2,$C$3,$C$4,$C$6,$C$5,$C$7,AD$1,AD$2,A44)</f>
        <v>0.64757090845143983</v>
      </c>
      <c r="AE44" s="32">
        <f ca="1">_xll.DBRW($C$1,$C$2,$C$3,$C$4,$C$6,$C$5,$C$7,AE$1,AE$2,A44)</f>
        <v>0.77910742505321018</v>
      </c>
      <c r="AF44" s="32">
        <f ca="1">_xll.DBRW($C$1,$C$2,$C$3,$C$4,$C$6,$C$5,$C$7,AF$1,AF$2,A44)</f>
        <v>0.89032847416355176</v>
      </c>
      <c r="AG44" s="32">
        <f ca="1">_xll.DBRW($C$1,$C$2,$C$3,$C$4,$C$6,$C$5,$C$7,AG$1,AG$2,A44)</f>
        <v>0.98547303567063183</v>
      </c>
      <c r="AH44" s="32">
        <f ca="1">_xll.DBRW($C$1,$C$2,$C$3,$C$4,$C$6,$C$5,$C$7,AH$1,AH$2,A44)</f>
        <v>1.1147733648191411</v>
      </c>
      <c r="AI44" s="32">
        <f ca="1">_xll.DBRW($C$1,$C$2,$C$3,$C$4,$C$6,$C$5,$C$7,AI$1,AI$2,A44)</f>
        <v>1.2249164900517739</v>
      </c>
      <c r="AJ44" s="32">
        <f ca="1">_xll.DBRW($C$1,$C$2,$C$3,$C$4,$C$6,$C$5,$C$7,AJ$1,AJ$2,A44)</f>
        <v>1.3448285068035442</v>
      </c>
      <c r="AK44" s="32">
        <f ca="1">_xll.DBRW($C$1,$C$2,$C$3,$C$4,$C$6,$C$5,$C$7,AK$1,AK$2,A44)</f>
        <v>1.5452469762766083</v>
      </c>
      <c r="AL44" s="32">
        <f ca="1">_xll.DBRW($C$1,$C$2,$C$3,$C$4,$C$6,$C$5,$C$7,AL$1,AL$2,A44)</f>
        <v>1.5452469762766083</v>
      </c>
      <c r="AM44" s="32">
        <f ca="1">_xll.DBRW($C$1,$C$2,$C$3,$C$4,$C$6,$C$5,$C$7,AM$1,AM$2,A44)</f>
        <v>-8.8135345000000018E-2</v>
      </c>
      <c r="AN44" s="32">
        <f ca="1">_xll.DBRW($C$1,$C$2,$C$3,$C$4,$C$6,$C$5,$C$7,AN$1,AN$2,A44)</f>
        <v>0.18360813500000006</v>
      </c>
      <c r="AO44" s="32">
        <f ca="1">_xll.DBRW($C$1,$C$2,$C$3,$C$4,$C$6,$C$5,$C$7,AO$1,AO$2,A44)</f>
        <v>2.2204460492503131E-16</v>
      </c>
      <c r="AP44" s="32">
        <f ca="1">_xll.DBRW($C$1,$C$2,$C$3,$C$4,$C$6,$C$5,$C$7,AP$1,AP$2,A44)</f>
        <v>2.2204460492503131E-16</v>
      </c>
      <c r="AQ44" s="32">
        <f ca="1">_xll.DBRW($C$1,$C$2,$C$3,$C$4,$C$6,$C$5,$C$7,AQ$1,AQ$2,A44)</f>
        <v>2.2204460492503131E-16</v>
      </c>
      <c r="AR44" s="32">
        <f ca="1">_xll.DBRW($C$1,$C$2,$C$3,$C$4,$C$6,$C$5,$C$7,AR$1,AR$2,A44)</f>
        <v>2.2204460492503131E-16</v>
      </c>
      <c r="AS44" s="32">
        <f ca="1">_xll.DBRW($C$1,$C$2,$C$3,$C$4,$C$6,$C$5,$C$7,AS$1,AS$2,A44)</f>
        <v>2.2204460492503131E-16</v>
      </c>
      <c r="AT44" s="32">
        <f ca="1">_xll.DBRW($C$1,$C$2,$C$3,$C$4,$C$6,$C$5,$C$7,AT$1,AT$2,A44)</f>
        <v>2.2204460492503131E-16</v>
      </c>
      <c r="AU44" s="32">
        <f ca="1">_xll.DBRW($C$1,$C$2,$C$3,$C$4,$C$6,$C$5,$C$7,AU$1,AU$2,A44)</f>
        <v>2.2204460492503131E-16</v>
      </c>
      <c r="AV44" s="32">
        <f ca="1">_xll.DBRW($C$1,$C$2,$C$3,$C$4,$C$6,$C$5,$C$7,AV$1,AV$2,A44)</f>
        <v>2.2204460492503131E-16</v>
      </c>
      <c r="AW44" s="32">
        <f ca="1">_xll.DBRW($C$1,$C$2,$C$3,$C$4,$C$6,$C$5,$C$7,AW$1,AW$2,A44)</f>
        <v>2.2204460492503131E-16</v>
      </c>
      <c r="AX44" s="32">
        <f ca="1">_xll.DBRW($C$1,$C$2,$C$3,$C$4,$C$6,$C$5,$C$7,AX$1,AX$2,A44)</f>
        <v>2.2204460492503131E-16</v>
      </c>
      <c r="AY44" s="32">
        <f ca="1">_xll.DBRW($C$1,$C$2,$C$3,$C$4,$C$6,$C$5,$C$7,AY$1,AY$2,A44)</f>
        <v>2.2204460492503131E-16</v>
      </c>
    </row>
    <row r="45" spans="1:51" ht="15.5" collapsed="1">
      <c r="A45" s="73" t="s">
        <v>139</v>
      </c>
      <c r="B45" s="73"/>
      <c r="C45" s="104"/>
      <c r="E45" s="13" t="s">
        <v>22</v>
      </c>
      <c r="F45" s="31">
        <f t="shared" ref="F45:L45" ca="1" si="19">SUM(F35:F44)</f>
        <v>-2359.3449010353861</v>
      </c>
      <c r="G45" s="31">
        <f t="shared" ca="1" si="19"/>
        <v>-2285.8089843848029</v>
      </c>
      <c r="H45" s="31">
        <f t="shared" ca="1" si="19"/>
        <v>-2391.1587468146295</v>
      </c>
      <c r="I45" s="31">
        <f t="shared" ca="1" si="19"/>
        <v>-2259.3966330239655</v>
      </c>
      <c r="J45" s="31">
        <f t="shared" ca="1" si="19"/>
        <v>-2041.9449586028409</v>
      </c>
      <c r="K45" s="31">
        <f t="shared" ca="1" si="19"/>
        <v>-2379.5200646945018</v>
      </c>
      <c r="L45" s="31">
        <f t="shared" ca="1" si="19"/>
        <v>-2340.2659231743978</v>
      </c>
      <c r="M45" s="31">
        <f t="shared" ref="M45:X45" ca="1" si="20">SUM(M35:M44)</f>
        <v>-128.22846764242777</v>
      </c>
      <c r="N45" s="31">
        <f t="shared" ca="1" si="20"/>
        <v>-398.97822566747629</v>
      </c>
      <c r="O45" s="31">
        <f t="shared" ca="1" si="20"/>
        <v>-609.74161681486896</v>
      </c>
      <c r="P45" s="31">
        <f t="shared" ca="1" si="20"/>
        <v>-811.94180080031424</v>
      </c>
      <c r="Q45" s="31">
        <f t="shared" ca="1" si="20"/>
        <v>-1019.4867846751887</v>
      </c>
      <c r="R45" s="31">
        <f t="shared" ca="1" si="20"/>
        <v>-1265.1604629904293</v>
      </c>
      <c r="S45" s="31">
        <f t="shared" ca="1" si="20"/>
        <v>-922.20126370688206</v>
      </c>
      <c r="T45" s="31">
        <f t="shared" ca="1" si="20"/>
        <v>-1667.8442325520593</v>
      </c>
      <c r="U45" s="31">
        <f t="shared" ca="1" si="20"/>
        <v>-1867.3134451161645</v>
      </c>
      <c r="V45" s="31">
        <f t="shared" ca="1" si="20"/>
        <v>-1359.7235746494418</v>
      </c>
      <c r="W45" s="31">
        <f t="shared" ca="1" si="20"/>
        <v>-2179.8866281292699</v>
      </c>
      <c r="X45" s="31">
        <f t="shared" ca="1" si="20"/>
        <v>-2556.7221907824883</v>
      </c>
      <c r="Y45" s="31">
        <f ca="1">SUM(Y35:Y44)</f>
        <v>-2556.7221907824883</v>
      </c>
      <c r="Z45" s="31">
        <f t="shared" ref="Z45:AK45" ca="1" si="21">SUM(Z35:Z44)</f>
        <v>-209.0629509654384</v>
      </c>
      <c r="AA45" s="31">
        <f t="shared" ca="1" si="21"/>
        <v>-447.16542667234472</v>
      </c>
      <c r="AB45" s="31">
        <f t="shared" ca="1" si="21"/>
        <v>-677.25559791044998</v>
      </c>
      <c r="AC45" s="31">
        <f t="shared" ca="1" si="21"/>
        <v>-902.76577791343414</v>
      </c>
      <c r="AD45" s="31">
        <f t="shared" ca="1" si="21"/>
        <v>-1134.005421226703</v>
      </c>
      <c r="AE45" s="31">
        <f t="shared" ca="1" si="21"/>
        <v>-1366.9085088899076</v>
      </c>
      <c r="AF45" s="31">
        <f t="shared" ca="1" si="21"/>
        <v>-1590.2045835199508</v>
      </c>
      <c r="AG45" s="31">
        <f t="shared" ca="1" si="21"/>
        <v>-1806.8408702377653</v>
      </c>
      <c r="AH45" s="31">
        <f t="shared" ca="1" si="21"/>
        <v>-2031.3282745247782</v>
      </c>
      <c r="AI45" s="31">
        <f t="shared" ca="1" si="21"/>
        <v>-2261.0055199188942</v>
      </c>
      <c r="AJ45" s="31">
        <f t="shared" ca="1" si="21"/>
        <v>-2491.9279175402235</v>
      </c>
      <c r="AK45" s="31">
        <f t="shared" ca="1" si="21"/>
        <v>-2717.0523605771928</v>
      </c>
      <c r="AL45" s="31">
        <f ca="1">SUM(AL35:AL44)</f>
        <v>-2717.0523605771928</v>
      </c>
      <c r="AM45" s="31">
        <f t="shared" ref="AM45:AX45" ca="1" si="22">SUM(AM35:AM44)</f>
        <v>-177.1980151016952</v>
      </c>
      <c r="AN45" s="31">
        <f t="shared" ca="1" si="22"/>
        <v>-466.95272530709315</v>
      </c>
      <c r="AO45" s="31">
        <f t="shared" ca="1" si="22"/>
        <v>5.8175686490358203E-14</v>
      </c>
      <c r="AP45" s="31">
        <f t="shared" ca="1" si="22"/>
        <v>5.8175686490358203E-14</v>
      </c>
      <c r="AQ45" s="31">
        <f t="shared" ca="1" si="22"/>
        <v>5.8175686490358203E-14</v>
      </c>
      <c r="AR45" s="31">
        <f t="shared" ca="1" si="22"/>
        <v>5.8175686490358203E-14</v>
      </c>
      <c r="AS45" s="31">
        <f t="shared" ca="1" si="22"/>
        <v>5.8175686490358203E-14</v>
      </c>
      <c r="AT45" s="31">
        <f t="shared" ca="1" si="22"/>
        <v>5.8175686490358203E-14</v>
      </c>
      <c r="AU45" s="31">
        <f t="shared" ca="1" si="22"/>
        <v>5.8175686490358203E-14</v>
      </c>
      <c r="AV45" s="31">
        <f t="shared" ca="1" si="22"/>
        <v>5.8175686490358203E-14</v>
      </c>
      <c r="AW45" s="31">
        <f t="shared" ca="1" si="22"/>
        <v>5.8175686490358203E-14</v>
      </c>
      <c r="AX45" s="31">
        <f t="shared" ca="1" si="22"/>
        <v>5.8175686490358203E-14</v>
      </c>
      <c r="AY45" s="31">
        <f ca="1">SUM(AY35:AY44)</f>
        <v>5.8175686490358203E-14</v>
      </c>
    </row>
    <row r="46" spans="1:51" ht="15.75" hidden="1" customHeight="1" outlineLevel="1">
      <c r="A46" s="1" t="s">
        <v>155</v>
      </c>
      <c r="C46" s="104"/>
      <c r="E46" s="9" t="str">
        <f ca="1">_xll.DBRW(Server&amp;"}ElementAttributes_Indicator",A46,"code_English")</f>
        <v>PL1110_MF_10 - Staff costs (MF)</v>
      </c>
      <c r="F46" s="32">
        <f ca="1">_xll.DBRW($C$1,$C$2,$C$3,$C$4,$C$6,$C$5,$C$7,F$1,F$2,A46)</f>
        <v>-264.24419855371207</v>
      </c>
      <c r="G46" s="32">
        <f ca="1">_xll.DBRW($C$1,$C$2,$C$3,$C$4,$C$6,$C$5,$C$7,G$1,G$2,A46)</f>
        <v>-263.77910535508073</v>
      </c>
      <c r="H46" s="32">
        <f ca="1">_xll.DBRW($C$1,$C$2,$C$3,$C$4,$C$6,$C$5,$C$7,H$1,H$2,A46)</f>
        <v>-242.09630755519163</v>
      </c>
      <c r="I46" s="32">
        <f ca="1">_xll.DBRW($C$1,$C$2,$C$3,$C$4,$C$6,$C$5,$C$7,I$1,I$2,A46)</f>
        <v>-253.8305282401808</v>
      </c>
      <c r="J46" s="32">
        <f ca="1">_xll.DBRW($C$1,$C$2,$C$3,$C$4,$C$6,$C$5,$C$7,J$1,J$2,A46)</f>
        <v>-261.10405179676508</v>
      </c>
      <c r="K46" s="32">
        <f ca="1">_xll.DBRW($C$1,$C$2,$C$3,$C$4,$C$6,$C$5,$C$7,K$1,K$2,A46)</f>
        <v>-248.3969464617108</v>
      </c>
      <c r="L46" s="32">
        <f ca="1">_xll.DBRW($C$1,$C$2,$C$3,$C$4,$C$6,$C$5,$C$7,L$1,L$2,A46)</f>
        <v>-239.84062170710729</v>
      </c>
      <c r="M46" s="32">
        <f ca="1">_xll.DBRW($C$1,$C$2,$C$3,$C$4,$C$6,$C$5,$C$7,M$1,M$2,A46)</f>
        <v>-11.917705368807262</v>
      </c>
      <c r="N46" s="32">
        <f ca="1">_xll.DBRW($C$1,$C$2,$C$3,$C$4,$C$6,$C$5,$C$7,N$1,N$2,A46)</f>
        <v>-40.322706861855963</v>
      </c>
      <c r="O46" s="32">
        <f ca="1">_xll.DBRW($C$1,$C$2,$C$3,$C$4,$C$6,$C$5,$C$7,O$1,O$2,A46)</f>
        <v>-62.025120856574006</v>
      </c>
      <c r="P46" s="32">
        <f ca="1">_xll.DBRW($C$1,$C$2,$C$3,$C$4,$C$6,$C$5,$C$7,P$1,P$2,A46)</f>
        <v>-83.207489845757465</v>
      </c>
      <c r="Q46" s="32">
        <f ca="1">_xll.DBRW($C$1,$C$2,$C$3,$C$4,$C$6,$C$5,$C$7,Q$1,Q$2,A46)</f>
        <v>-102.56083356204206</v>
      </c>
      <c r="R46" s="32">
        <f ca="1">_xll.DBRW($C$1,$C$2,$C$3,$C$4,$C$6,$C$5,$C$7,R$1,R$2,A46)</f>
        <v>-127.93484086896345</v>
      </c>
      <c r="S46" s="32">
        <f ca="1">_xll.DBRW($C$1,$C$2,$C$3,$C$4,$C$6,$C$5,$C$7,S$1,S$2,A46)</f>
        <v>-78.649034775888751</v>
      </c>
      <c r="T46" s="32">
        <f ca="1">_xll.DBRW($C$1,$C$2,$C$3,$C$4,$C$6,$C$5,$C$7,T$1,T$2,A46)</f>
        <v>-167.479224043958</v>
      </c>
      <c r="U46" s="32">
        <f ca="1">_xll.DBRW($C$1,$C$2,$C$3,$C$4,$C$6,$C$5,$C$7,U$1,U$2,A46)</f>
        <v>-188.33218007955045</v>
      </c>
      <c r="V46" s="32">
        <f ca="1">_xll.DBRW($C$1,$C$2,$C$3,$C$4,$C$6,$C$5,$C$7,V$1,V$2,A46)</f>
        <v>-120.81312859706989</v>
      </c>
      <c r="W46" s="32">
        <f ca="1">_xll.DBRW($C$1,$C$2,$C$3,$C$4,$C$6,$C$5,$C$7,W$1,W$2,A46)</f>
        <v>-227.34086644816347</v>
      </c>
      <c r="X46" s="32">
        <f ca="1">_xll.DBRW($C$1,$C$2,$C$3,$C$4,$C$6,$C$5,$C$7,X$1,X$2,A46)</f>
        <v>-260.59949031069272</v>
      </c>
      <c r="Y46" s="32">
        <f ca="1">_xll.DBRW($C$1,$C$2,$C$3,$C$4,$C$6,$C$5,$C$7,Y$1,Y$2,A46)</f>
        <v>-260.59949031069272</v>
      </c>
      <c r="Z46" s="32">
        <f ca="1">_xll.DBRW($C$1,$C$2,$C$3,$C$4,$C$6,$C$5,$C$7,Z$1,Z$2,A46)</f>
        <v>-22.544669827334214</v>
      </c>
      <c r="AA46" s="32">
        <f ca="1">_xll.DBRW($C$1,$C$2,$C$3,$C$4,$C$6,$C$5,$C$7,AA$1,AA$2,A46)</f>
        <v>-46.178769942423898</v>
      </c>
      <c r="AB46" s="32">
        <f ca="1">_xll.DBRW($C$1,$C$2,$C$3,$C$4,$C$6,$C$5,$C$7,AB$1,AB$2,A46)</f>
        <v>-70.356649050901936</v>
      </c>
      <c r="AC46" s="32">
        <f ca="1">_xll.DBRW($C$1,$C$2,$C$3,$C$4,$C$6,$C$5,$C$7,AC$1,AC$2,A46)</f>
        <v>-93.421737209372978</v>
      </c>
      <c r="AD46" s="32">
        <f ca="1">_xll.DBRW($C$1,$C$2,$C$3,$C$4,$C$6,$C$5,$C$7,AD$1,AD$2,A46)</f>
        <v>-117.31541127596182</v>
      </c>
      <c r="AE46" s="32">
        <f ca="1">_xll.DBRW($C$1,$C$2,$C$3,$C$4,$C$6,$C$5,$C$7,AE$1,AE$2,A46)</f>
        <v>-140.87431443793497</v>
      </c>
      <c r="AF46" s="32">
        <f ca="1">_xll.DBRW($C$1,$C$2,$C$3,$C$4,$C$6,$C$5,$C$7,AF$1,AF$2,A46)</f>
        <v>-164.24051862969748</v>
      </c>
      <c r="AG46" s="32">
        <f ca="1">_xll.DBRW($C$1,$C$2,$C$3,$C$4,$C$6,$C$5,$C$7,AG$1,AG$2,A46)</f>
        <v>-186.76248183281078</v>
      </c>
      <c r="AH46" s="32">
        <f ca="1">_xll.DBRW($C$1,$C$2,$C$3,$C$4,$C$6,$C$5,$C$7,AH$1,AH$2,A46)</f>
        <v>-209.01546026163498</v>
      </c>
      <c r="AI46" s="32">
        <f ca="1">_xll.DBRW($C$1,$C$2,$C$3,$C$4,$C$6,$C$5,$C$7,AI$1,AI$2,A46)</f>
        <v>-232.18887184457861</v>
      </c>
      <c r="AJ46" s="32">
        <f ca="1">_xll.DBRW($C$1,$C$2,$C$3,$C$4,$C$6,$C$5,$C$7,AJ$1,AJ$2,A46)</f>
        <v>-255.68863398962009</v>
      </c>
      <c r="AK46" s="32">
        <f ca="1">_xll.DBRW($C$1,$C$2,$C$3,$C$4,$C$6,$C$5,$C$7,AK$1,AK$2,A46)</f>
        <v>-279.11985065909261</v>
      </c>
      <c r="AL46" s="32">
        <f ca="1">_xll.DBRW($C$1,$C$2,$C$3,$C$4,$C$6,$C$5,$C$7,AL$1,AL$2,A46)</f>
        <v>-279.11985065909261</v>
      </c>
      <c r="AM46" s="32">
        <f ca="1">_xll.DBRW($C$1,$C$2,$C$3,$C$4,$C$6,$C$5,$C$7,AM$1,AM$2,A46)</f>
        <v>-19.283872597528529</v>
      </c>
      <c r="AN46" s="32">
        <f ca="1">_xll.DBRW($C$1,$C$2,$C$3,$C$4,$C$6,$C$5,$C$7,AN$1,AN$2,A46)</f>
        <v>-45.094262291904862</v>
      </c>
      <c r="AO46" s="32">
        <f ca="1">_xll.DBRW($C$1,$C$2,$C$3,$C$4,$C$6,$C$5,$C$7,AO$1,AO$2,A46)</f>
        <v>1.4210854715202004E-14</v>
      </c>
      <c r="AP46" s="32">
        <f ca="1">_xll.DBRW($C$1,$C$2,$C$3,$C$4,$C$6,$C$5,$C$7,AP$1,AP$2,A46)</f>
        <v>1.4210854715202004E-14</v>
      </c>
      <c r="AQ46" s="32">
        <f ca="1">_xll.DBRW($C$1,$C$2,$C$3,$C$4,$C$6,$C$5,$C$7,AQ$1,AQ$2,A46)</f>
        <v>1.4210854715202004E-14</v>
      </c>
      <c r="AR46" s="32">
        <f ca="1">_xll.DBRW($C$1,$C$2,$C$3,$C$4,$C$6,$C$5,$C$7,AR$1,AR$2,A46)</f>
        <v>1.4210854715202004E-14</v>
      </c>
      <c r="AS46" s="32">
        <f ca="1">_xll.DBRW($C$1,$C$2,$C$3,$C$4,$C$6,$C$5,$C$7,AS$1,AS$2,A46)</f>
        <v>1.4210854715202004E-14</v>
      </c>
      <c r="AT46" s="32">
        <f ca="1">_xll.DBRW($C$1,$C$2,$C$3,$C$4,$C$6,$C$5,$C$7,AT$1,AT$2,A46)</f>
        <v>1.4210854715202004E-14</v>
      </c>
      <c r="AU46" s="32">
        <f ca="1">_xll.DBRW($C$1,$C$2,$C$3,$C$4,$C$6,$C$5,$C$7,AU$1,AU$2,A46)</f>
        <v>1.4210854715202004E-14</v>
      </c>
      <c r="AV46" s="32">
        <f ca="1">_xll.DBRW($C$1,$C$2,$C$3,$C$4,$C$6,$C$5,$C$7,AV$1,AV$2,A46)</f>
        <v>1.4210854715202004E-14</v>
      </c>
      <c r="AW46" s="32">
        <f ca="1">_xll.DBRW($C$1,$C$2,$C$3,$C$4,$C$6,$C$5,$C$7,AW$1,AW$2,A46)</f>
        <v>1.4210854715202004E-14</v>
      </c>
      <c r="AX46" s="32">
        <f ca="1">_xll.DBRW($C$1,$C$2,$C$3,$C$4,$C$6,$C$5,$C$7,AX$1,AX$2,A46)</f>
        <v>1.4210854715202004E-14</v>
      </c>
      <c r="AY46" s="32">
        <f ca="1">_xll.DBRW($C$1,$C$2,$C$3,$C$4,$C$6,$C$5,$C$7,AY$1,AY$2,A46)</f>
        <v>1.4210854715202004E-14</v>
      </c>
    </row>
    <row r="47" spans="1:51" ht="15.75" hidden="1" customHeight="1" outlineLevel="1">
      <c r="A47" s="1" t="s">
        <v>156</v>
      </c>
      <c r="C47" s="104"/>
      <c r="E47" s="9" t="str">
        <f ca="1">_xll.DBRW(Server&amp;"}ElementAttributes_Indicator",A47,"code_English")</f>
        <v>PL1115_MF_20 - Interim staff (MF)</v>
      </c>
      <c r="F47" s="32">
        <f ca="1">_xll.DBRW($C$1,$C$2,$C$3,$C$4,$C$6,$C$5,$C$7,F$1,F$2,A47)</f>
        <v>-2.7465408363879282</v>
      </c>
      <c r="G47" s="32">
        <f ca="1">_xll.DBRW($C$1,$C$2,$C$3,$C$4,$C$6,$C$5,$C$7,G$1,G$2,A47)</f>
        <v>-2.8382226294099353</v>
      </c>
      <c r="H47" s="32">
        <f ca="1">_xll.DBRW($C$1,$C$2,$C$3,$C$4,$C$6,$C$5,$C$7,H$1,H$2,A47)</f>
        <v>-2.9432887287813116</v>
      </c>
      <c r="I47" s="32">
        <f ca="1">_xll.DBRW($C$1,$C$2,$C$3,$C$4,$C$6,$C$5,$C$7,I$1,I$2,A47)</f>
        <v>-3.0353912491425552</v>
      </c>
      <c r="J47" s="32">
        <f ca="1">_xll.DBRW($C$1,$C$2,$C$3,$C$4,$C$6,$C$5,$C$7,J$1,J$2,A47)</f>
        <v>-0.37718777986010887</v>
      </c>
      <c r="K47" s="32">
        <f ca="1">_xll.DBRW($C$1,$C$2,$C$3,$C$4,$C$6,$C$5,$C$7,K$1,K$2,A47)</f>
        <v>-0.33358657843611472</v>
      </c>
      <c r="L47" s="32">
        <f ca="1">_xll.DBRW($C$1,$C$2,$C$3,$C$4,$C$6,$C$5,$C$7,L$1,L$2,A47)</f>
        <v>-0.45700003999999994</v>
      </c>
      <c r="M47" s="32">
        <f ca="1">_xll.DBRW($C$1,$C$2,$C$3,$C$4,$C$6,$C$5,$C$7,M$1,M$2,A47)</f>
        <v>-0.23969480948322319</v>
      </c>
      <c r="N47" s="32">
        <f ca="1">_xll.DBRW($C$1,$C$2,$C$3,$C$4,$C$6,$C$5,$C$7,N$1,N$2,A47)</f>
        <v>-0.50340419905741784</v>
      </c>
      <c r="O47" s="32">
        <f ca="1">_xll.DBRW($C$1,$C$2,$C$3,$C$4,$C$6,$C$5,$C$7,O$1,O$2,A47)</f>
        <v>-0.77472217795299281</v>
      </c>
      <c r="P47" s="32">
        <f ca="1">_xll.DBRW($C$1,$C$2,$C$3,$C$4,$C$6,$C$5,$C$7,P$1,P$2,A47)</f>
        <v>-1.0784957368862433</v>
      </c>
      <c r="Q47" s="32">
        <f ca="1">_xll.DBRW($C$1,$C$2,$C$3,$C$4,$C$6,$C$5,$C$7,Q$1,Q$2,A47)</f>
        <v>-0.26918236060806799</v>
      </c>
      <c r="R47" s="32">
        <f ca="1">_xll.DBRW($C$1,$C$2,$C$3,$C$4,$C$6,$C$5,$C$7,R$1,R$2,A47)</f>
        <v>-1.5661626342720294</v>
      </c>
      <c r="S47" s="32">
        <f ca="1">_xll.DBRW($C$1,$C$2,$C$3,$C$4,$C$6,$C$5,$C$7,S$1,S$2,A47)</f>
        <v>-4.4408920985006262E-16</v>
      </c>
      <c r="T47" s="32">
        <f ca="1">_xll.DBRW($C$1,$C$2,$C$3,$C$4,$C$6,$C$5,$C$7,T$1,T$2,A47)</f>
        <v>-2.1550756947836787</v>
      </c>
      <c r="U47" s="32">
        <f ca="1">_xll.DBRW($C$1,$C$2,$C$3,$C$4,$C$6,$C$5,$C$7,U$1,U$2,A47)</f>
        <v>-2.3976609331900658</v>
      </c>
      <c r="V47" s="32">
        <f ca="1">_xll.DBRW($C$1,$C$2,$C$3,$C$4,$C$6,$C$5,$C$7,V$1,V$2,A47)</f>
        <v>-2.2237239277176726</v>
      </c>
      <c r="W47" s="32">
        <f ca="1">_xll.DBRW($C$1,$C$2,$C$3,$C$4,$C$6,$C$5,$C$7,W$1,W$2,A47)</f>
        <v>-2.7461368436294693</v>
      </c>
      <c r="X47" s="32">
        <f ca="1">_xll.DBRW($C$1,$C$2,$C$3,$C$4,$C$6,$C$5,$C$7,X$1,X$2,A47)</f>
        <v>-3.1568942132066597</v>
      </c>
      <c r="Y47" s="32">
        <f ca="1">_xll.DBRW($C$1,$C$2,$C$3,$C$4,$C$6,$C$5,$C$7,Y$1,Y$2,A47)</f>
        <v>-3.1568942132066597</v>
      </c>
      <c r="Z47" s="32">
        <f ca="1">_xll.DBRW($C$1,$C$2,$C$3,$C$4,$C$6,$C$5,$C$7,Z$1,Z$2,A47)</f>
        <v>-1.7250010000000003E-2</v>
      </c>
      <c r="AA47" s="32">
        <f ca="1">_xll.DBRW($C$1,$C$2,$C$3,$C$4,$C$6,$C$5,$C$7,AA$1,AA$2,A47)</f>
        <v>-5.9320281438235298E-2</v>
      </c>
      <c r="AB47" s="32">
        <f ca="1">_xll.DBRW($C$1,$C$2,$C$3,$C$4,$C$6,$C$5,$C$7,AB$1,AB$2,A47)</f>
        <v>-8.8980422156862762E-2</v>
      </c>
      <c r="AC47" s="32">
        <f ca="1">_xll.DBRW($C$1,$C$2,$C$3,$C$4,$C$6,$C$5,$C$7,AC$1,AC$2,A47)</f>
        <v>-0.11158173934607843</v>
      </c>
      <c r="AD47" s="32">
        <f ca="1">_xll.DBRW($C$1,$C$2,$C$3,$C$4,$C$6,$C$5,$C$7,AD$1,AD$2,A47)</f>
        <v>-0.13418305653627455</v>
      </c>
      <c r="AE47" s="32">
        <f ca="1">_xll.DBRW($C$1,$C$2,$C$3,$C$4,$C$6,$C$5,$C$7,AE$1,AE$2,A47)</f>
        <v>-0.1567843737254902</v>
      </c>
      <c r="AF47" s="32">
        <f ca="1">_xll.DBRW($C$1,$C$2,$C$3,$C$4,$C$6,$C$5,$C$7,AF$1,AF$2,A47)</f>
        <v>-0.17938569091176471</v>
      </c>
      <c r="AG47" s="32">
        <f ca="1">_xll.DBRW($C$1,$C$2,$C$3,$C$4,$C$6,$C$5,$C$7,AG$1,AG$2,A47)</f>
        <v>-0.20198700810784315</v>
      </c>
      <c r="AH47" s="32">
        <f ca="1">_xll.DBRW($C$1,$C$2,$C$3,$C$4,$C$6,$C$5,$C$7,AH$1,AH$2,A47)</f>
        <v>-0.22458832529411768</v>
      </c>
      <c r="AI47" s="32">
        <f ca="1">_xll.DBRW($C$1,$C$2,$C$3,$C$4,$C$6,$C$5,$C$7,AI$1,AI$2,A47)</f>
        <v>-0.24718964248039219</v>
      </c>
      <c r="AJ47" s="32">
        <f ca="1">_xll.DBRW($C$1,$C$2,$C$3,$C$4,$C$6,$C$5,$C$7,AJ$1,AJ$2,A47)</f>
        <v>-0.2697909596764706</v>
      </c>
      <c r="AK47" s="32">
        <f ca="1">_xll.DBRW($C$1,$C$2,$C$3,$C$4,$C$6,$C$5,$C$7,AK$1,AK$2,A47)</f>
        <v>-0.29239227686274516</v>
      </c>
      <c r="AL47" s="32">
        <f ca="1">_xll.DBRW($C$1,$C$2,$C$3,$C$4,$C$6,$C$5,$C$7,AL$1,AL$2,A47)</f>
        <v>-0.29239227686274516</v>
      </c>
      <c r="AM47" s="32">
        <f ca="1">_xll.DBRW($C$1,$C$2,$C$3,$C$4,$C$6,$C$5,$C$7,AM$1,AM$2,A47)</f>
        <v>-0.23304001549298362</v>
      </c>
      <c r="AN47" s="32">
        <f ca="1">_xll.DBRW($C$1,$C$2,$C$3,$C$4,$C$6,$C$5,$C$7,AN$1,AN$2,A47)</f>
        <v>-0.68607688840731207</v>
      </c>
      <c r="AO47" s="32">
        <f ca="1">_xll.DBRW($C$1,$C$2,$C$3,$C$4,$C$6,$C$5,$C$7,AO$1,AO$2,A47)</f>
        <v>1.1102230246251565E-16</v>
      </c>
      <c r="AP47" s="32">
        <f ca="1">_xll.DBRW($C$1,$C$2,$C$3,$C$4,$C$6,$C$5,$C$7,AP$1,AP$2,A47)</f>
        <v>1.1102230246251565E-16</v>
      </c>
      <c r="AQ47" s="32">
        <f ca="1">_xll.DBRW($C$1,$C$2,$C$3,$C$4,$C$6,$C$5,$C$7,AQ$1,AQ$2,A47)</f>
        <v>1.1102230246251565E-16</v>
      </c>
      <c r="AR47" s="32">
        <f ca="1">_xll.DBRW($C$1,$C$2,$C$3,$C$4,$C$6,$C$5,$C$7,AR$1,AR$2,A47)</f>
        <v>1.1102230246251565E-16</v>
      </c>
      <c r="AS47" s="32">
        <f ca="1">_xll.DBRW($C$1,$C$2,$C$3,$C$4,$C$6,$C$5,$C$7,AS$1,AS$2,A47)</f>
        <v>1.1102230246251565E-16</v>
      </c>
      <c r="AT47" s="32">
        <f ca="1">_xll.DBRW($C$1,$C$2,$C$3,$C$4,$C$6,$C$5,$C$7,AT$1,AT$2,A47)</f>
        <v>1.1102230246251565E-16</v>
      </c>
      <c r="AU47" s="32">
        <f ca="1">_xll.DBRW($C$1,$C$2,$C$3,$C$4,$C$6,$C$5,$C$7,AU$1,AU$2,A47)</f>
        <v>1.1102230246251565E-16</v>
      </c>
      <c r="AV47" s="32">
        <f ca="1">_xll.DBRW($C$1,$C$2,$C$3,$C$4,$C$6,$C$5,$C$7,AV$1,AV$2,A47)</f>
        <v>1.1102230246251565E-16</v>
      </c>
      <c r="AW47" s="32">
        <f ca="1">_xll.DBRW($C$1,$C$2,$C$3,$C$4,$C$6,$C$5,$C$7,AW$1,AW$2,A47)</f>
        <v>1.1102230246251565E-16</v>
      </c>
      <c r="AX47" s="32">
        <f ca="1">_xll.DBRW($C$1,$C$2,$C$3,$C$4,$C$6,$C$5,$C$7,AX$1,AX$2,A47)</f>
        <v>1.1102230246251565E-16</v>
      </c>
      <c r="AY47" s="32">
        <f ca="1">_xll.DBRW($C$1,$C$2,$C$3,$C$4,$C$6,$C$5,$C$7,AY$1,AY$2,A47)</f>
        <v>1.1102230246251565E-16</v>
      </c>
    </row>
    <row r="48" spans="1:51" ht="15.5" hidden="1" outlineLevel="1" collapsed="1">
      <c r="A48" s="1" t="s">
        <v>142</v>
      </c>
      <c r="C48" s="104"/>
      <c r="E48" s="14" t="s">
        <v>23</v>
      </c>
      <c r="F48" s="33">
        <f ca="1">SUM(F46:F47)</f>
        <v>-266.99073939009998</v>
      </c>
      <c r="G48" s="33">
        <f t="shared" ref="G48:L48" ca="1" si="23">SUM(G46:G47)</f>
        <v>-266.61732798449066</v>
      </c>
      <c r="H48" s="33">
        <f t="shared" ca="1" si="23"/>
        <v>-245.03959628397294</v>
      </c>
      <c r="I48" s="33">
        <f t="shared" ca="1" si="23"/>
        <v>-256.86591948932335</v>
      </c>
      <c r="J48" s="33">
        <f t="shared" ca="1" si="23"/>
        <v>-261.48123957662517</v>
      </c>
      <c r="K48" s="33">
        <f t="shared" ca="1" si="23"/>
        <v>-248.73053304014692</v>
      </c>
      <c r="L48" s="33">
        <f t="shared" ca="1" si="23"/>
        <v>-240.29762174710729</v>
      </c>
      <c r="M48" s="33">
        <f t="shared" ref="M48:X48" ca="1" si="24">SUM(M46:M47)</f>
        <v>-12.157400178290485</v>
      </c>
      <c r="N48" s="33">
        <f t="shared" ca="1" si="24"/>
        <v>-40.826111060913384</v>
      </c>
      <c r="O48" s="33">
        <f t="shared" ca="1" si="24"/>
        <v>-62.799843034527001</v>
      </c>
      <c r="P48" s="33">
        <f t="shared" ca="1" si="24"/>
        <v>-84.285985582643704</v>
      </c>
      <c r="Q48" s="33">
        <f t="shared" ca="1" si="24"/>
        <v>-102.83001592265013</v>
      </c>
      <c r="R48" s="33">
        <f t="shared" ca="1" si="24"/>
        <v>-129.50100350323547</v>
      </c>
      <c r="S48" s="33">
        <f t="shared" ca="1" si="24"/>
        <v>-78.649034775888751</v>
      </c>
      <c r="T48" s="33">
        <f t="shared" ca="1" si="24"/>
        <v>-169.63429973874167</v>
      </c>
      <c r="U48" s="33">
        <f t="shared" ca="1" si="24"/>
        <v>-190.72984101274051</v>
      </c>
      <c r="V48" s="33">
        <f t="shared" ca="1" si="24"/>
        <v>-123.03685252478756</v>
      </c>
      <c r="W48" s="33">
        <f t="shared" ca="1" si="24"/>
        <v>-230.08700329179294</v>
      </c>
      <c r="X48" s="33">
        <f t="shared" ca="1" si="24"/>
        <v>-263.75638452389938</v>
      </c>
      <c r="Y48" s="33">
        <f ca="1">SUM(Y46:Y47)</f>
        <v>-263.75638452389938</v>
      </c>
      <c r="Z48" s="33">
        <f t="shared" ref="Z48:AK48" ca="1" si="25">SUM(Z46:Z47)</f>
        <v>-22.561919837334216</v>
      </c>
      <c r="AA48" s="33">
        <f t="shared" ca="1" si="25"/>
        <v>-46.23809022386213</v>
      </c>
      <c r="AB48" s="33">
        <f t="shared" ca="1" si="25"/>
        <v>-70.445629473058801</v>
      </c>
      <c r="AC48" s="33">
        <f t="shared" ca="1" si="25"/>
        <v>-93.533318948719057</v>
      </c>
      <c r="AD48" s="33">
        <f t="shared" ca="1" si="25"/>
        <v>-117.44959433249809</v>
      </c>
      <c r="AE48" s="33">
        <f t="shared" ca="1" si="25"/>
        <v>-141.03109881166046</v>
      </c>
      <c r="AF48" s="33">
        <f t="shared" ca="1" si="25"/>
        <v>-164.41990432060925</v>
      </c>
      <c r="AG48" s="33">
        <f t="shared" ca="1" si="25"/>
        <v>-186.96446884091861</v>
      </c>
      <c r="AH48" s="33">
        <f t="shared" ca="1" si="25"/>
        <v>-209.24004858692911</v>
      </c>
      <c r="AI48" s="33">
        <f t="shared" ca="1" si="25"/>
        <v>-232.43606148705899</v>
      </c>
      <c r="AJ48" s="33">
        <f t="shared" ca="1" si="25"/>
        <v>-255.95842494929656</v>
      </c>
      <c r="AK48" s="33">
        <f t="shared" ca="1" si="25"/>
        <v>-279.41224293595536</v>
      </c>
      <c r="AL48" s="33">
        <f ca="1">SUM(AL46:AL47)</f>
        <v>-279.41224293595536</v>
      </c>
      <c r="AM48" s="33">
        <f t="shared" ref="AM48:AX48" ca="1" si="26">SUM(AM46:AM47)</f>
        <v>-19.51691261302151</v>
      </c>
      <c r="AN48" s="33">
        <f t="shared" ca="1" si="26"/>
        <v>-45.780339180312176</v>
      </c>
      <c r="AO48" s="33">
        <f t="shared" ca="1" si="26"/>
        <v>1.4321877017664519E-14</v>
      </c>
      <c r="AP48" s="33">
        <f t="shared" ca="1" si="26"/>
        <v>1.4321877017664519E-14</v>
      </c>
      <c r="AQ48" s="33">
        <f t="shared" ca="1" si="26"/>
        <v>1.4321877017664519E-14</v>
      </c>
      <c r="AR48" s="33">
        <f t="shared" ca="1" si="26"/>
        <v>1.4321877017664519E-14</v>
      </c>
      <c r="AS48" s="33">
        <f t="shared" ca="1" si="26"/>
        <v>1.4321877017664519E-14</v>
      </c>
      <c r="AT48" s="33">
        <f t="shared" ca="1" si="26"/>
        <v>1.4321877017664519E-14</v>
      </c>
      <c r="AU48" s="33">
        <f t="shared" ca="1" si="26"/>
        <v>1.4321877017664519E-14</v>
      </c>
      <c r="AV48" s="33">
        <f t="shared" ca="1" si="26"/>
        <v>1.4321877017664519E-14</v>
      </c>
      <c r="AW48" s="33">
        <f t="shared" ca="1" si="26"/>
        <v>1.4321877017664519E-14</v>
      </c>
      <c r="AX48" s="33">
        <f t="shared" ca="1" si="26"/>
        <v>1.4321877017664519E-14</v>
      </c>
      <c r="AY48" s="33">
        <f ca="1">SUM(AY46:AY47)</f>
        <v>1.4321877017664519E-14</v>
      </c>
    </row>
    <row r="49" spans="1:51" ht="15.75" hidden="1" customHeight="1" outlineLevel="2">
      <c r="A49" s="1" t="s">
        <v>157</v>
      </c>
      <c r="C49" s="104"/>
      <c r="E49" s="9" t="str">
        <f ca="1">_xll.DBRW(Server&amp;"}ElementAttributes_Indicator",A49,"code_English")</f>
        <v>PL1115_MF_11 - Subcontracting maintenance (MF)</v>
      </c>
      <c r="F49" s="33">
        <f ca="1">_xll.DBRW($C$1,$C$2,$C$3,$C$4,$C$6,$C$5,$C$7,F$1,F$2,A49)</f>
        <v>-148.60578275925005</v>
      </c>
      <c r="G49" s="33">
        <f ca="1">_xll.DBRW($C$1,$C$2,$C$3,$C$4,$C$6,$C$5,$C$7,G$1,G$2,A49)</f>
        <v>-140.19481876250154</v>
      </c>
      <c r="H49" s="33">
        <f ca="1">_xll.DBRW($C$1,$C$2,$C$3,$C$4,$C$6,$C$5,$C$7,H$1,H$2,A49)</f>
        <v>-161.53356012723003</v>
      </c>
      <c r="I49" s="33">
        <f ca="1">_xll.DBRW($C$1,$C$2,$C$3,$C$4,$C$6,$C$5,$C$7,I$1,I$2,A49)</f>
        <v>-100.85567287880437</v>
      </c>
      <c r="J49" s="33">
        <f ca="1">_xll.DBRW($C$1,$C$2,$C$3,$C$4,$C$6,$C$5,$C$7,J$1,J$2,A49)</f>
        <v>-135.19163974833674</v>
      </c>
      <c r="K49" s="33">
        <f ca="1">_xll.DBRW($C$1,$C$2,$C$3,$C$4,$C$6,$C$5,$C$7,K$1,K$2,A49)</f>
        <v>-140.91710736387569</v>
      </c>
      <c r="L49" s="33">
        <f ca="1">_xll.DBRW($C$1,$C$2,$C$3,$C$4,$C$6,$C$5,$C$7,L$1,L$2,A49)</f>
        <v>-131.31197057493614</v>
      </c>
      <c r="M49" s="33">
        <f ca="1">_xll.DBRW($C$1,$C$2,$C$3,$C$4,$C$6,$C$5,$C$7,M$1,M$2,A49)</f>
        <v>-4.5724346267834157</v>
      </c>
      <c r="N49" s="33">
        <f ca="1">_xll.DBRW($C$1,$C$2,$C$3,$C$4,$C$6,$C$5,$C$7,N$1,N$2,A49)</f>
        <v>-23.331855752519619</v>
      </c>
      <c r="O49" s="33">
        <f ca="1">_xll.DBRW($C$1,$C$2,$C$3,$C$4,$C$6,$C$5,$C$7,O$1,O$2,A49)</f>
        <v>-35.679455100283526</v>
      </c>
      <c r="P49" s="33">
        <f ca="1">_xll.DBRW($C$1,$C$2,$C$3,$C$4,$C$6,$C$5,$C$7,P$1,P$2,A49)</f>
        <v>-45.536212187771937</v>
      </c>
      <c r="Q49" s="33">
        <f ca="1">_xll.DBRW($C$1,$C$2,$C$3,$C$4,$C$6,$C$5,$C$7,Q$1,Q$2,A49)</f>
        <v>-56.662206621087407</v>
      </c>
      <c r="R49" s="33">
        <f ca="1">_xll.DBRW($C$1,$C$2,$C$3,$C$4,$C$6,$C$5,$C$7,R$1,R$2,A49)</f>
        <v>-71.549252065704664</v>
      </c>
      <c r="S49" s="33">
        <f ca="1">_xll.DBRW($C$1,$C$2,$C$3,$C$4,$C$6,$C$5,$C$7,S$1,S$2,A49)</f>
        <v>-41.320294715913725</v>
      </c>
      <c r="T49" s="33">
        <f ca="1">_xll.DBRW($C$1,$C$2,$C$3,$C$4,$C$6,$C$5,$C$7,T$1,T$2,A49)</f>
        <v>-94.546051674156558</v>
      </c>
      <c r="U49" s="33">
        <f ca="1">_xll.DBRW($C$1,$C$2,$C$3,$C$4,$C$6,$C$5,$C$7,U$1,U$2,A49)</f>
        <v>-108.16405325265322</v>
      </c>
      <c r="V49" s="33">
        <f ca="1">_xll.DBRW($C$1,$C$2,$C$3,$C$4,$C$6,$C$5,$C$7,V$1,V$2,A49)</f>
        <v>-62.749289335524331</v>
      </c>
      <c r="W49" s="33">
        <f ca="1">_xll.DBRW($C$1,$C$2,$C$3,$C$4,$C$6,$C$5,$C$7,W$1,W$2,A49)</f>
        <v>-121.63924818637733</v>
      </c>
      <c r="X49" s="33">
        <f ca="1">_xll.DBRW($C$1,$C$2,$C$3,$C$4,$C$6,$C$5,$C$7,X$1,X$2,A49)</f>
        <v>-152.99562456167945</v>
      </c>
      <c r="Y49" s="33">
        <f ca="1">_xll.DBRW($C$1,$C$2,$C$3,$C$4,$C$6,$C$5,$C$7,Y$1,Y$2,A49)</f>
        <v>-152.99562456167945</v>
      </c>
      <c r="Z49" s="33">
        <f ca="1">_xll.DBRW($C$1,$C$2,$C$3,$C$4,$C$6,$C$5,$C$7,Z$1,Z$2,A49)</f>
        <v>-10.610893122722265</v>
      </c>
      <c r="AA49" s="33">
        <f ca="1">_xll.DBRW($C$1,$C$2,$C$3,$C$4,$C$6,$C$5,$C$7,AA$1,AA$2,A49)</f>
        <v>-23.751103890771812</v>
      </c>
      <c r="AB49" s="33">
        <f ca="1">_xll.DBRW($C$1,$C$2,$C$3,$C$4,$C$6,$C$5,$C$7,AB$1,AB$2,A49)</f>
        <v>-35.832151994875126</v>
      </c>
      <c r="AC49" s="33">
        <f ca="1">_xll.DBRW($C$1,$C$2,$C$3,$C$4,$C$6,$C$5,$C$7,AC$1,AC$2,A49)</f>
        <v>-46.826262972790985</v>
      </c>
      <c r="AD49" s="33">
        <f ca="1">_xll.DBRW($C$1,$C$2,$C$3,$C$4,$C$6,$C$5,$C$7,AD$1,AD$2,A49)</f>
        <v>-58.218740211821483</v>
      </c>
      <c r="AE49" s="33">
        <f ca="1">_xll.DBRW($C$1,$C$2,$C$3,$C$4,$C$6,$C$5,$C$7,AE$1,AE$2,A49)</f>
        <v>-70.05784604729638</v>
      </c>
      <c r="AF49" s="33">
        <f ca="1">_xll.DBRW($C$1,$C$2,$C$3,$C$4,$C$6,$C$5,$C$7,AF$1,AF$2,A49)</f>
        <v>-80.659925934814368</v>
      </c>
      <c r="AG49" s="33">
        <f ca="1">_xll.DBRW($C$1,$C$2,$C$3,$C$4,$C$6,$C$5,$C$7,AG$1,AG$2,A49)</f>
        <v>-90.835445675242056</v>
      </c>
      <c r="AH49" s="33">
        <f ca="1">_xll.DBRW($C$1,$C$2,$C$3,$C$4,$C$6,$C$5,$C$7,AH$1,AH$2,A49)</f>
        <v>-101.64319501507313</v>
      </c>
      <c r="AI49" s="33">
        <f ca="1">_xll.DBRW($C$1,$C$2,$C$3,$C$4,$C$6,$C$5,$C$7,AI$1,AI$2,A49)</f>
        <v>-112.63424549036588</v>
      </c>
      <c r="AJ49" s="33">
        <f ca="1">_xll.DBRW($C$1,$C$2,$C$3,$C$4,$C$6,$C$5,$C$7,AJ$1,AJ$2,A49)</f>
        <v>-123.29720823405412</v>
      </c>
      <c r="AK49" s="33">
        <f ca="1">_xll.DBRW($C$1,$C$2,$C$3,$C$4,$C$6,$C$5,$C$7,AK$1,AK$2,A49)</f>
        <v>-133.68436394269185</v>
      </c>
      <c r="AL49" s="33">
        <f ca="1">_xll.DBRW($C$1,$C$2,$C$3,$C$4,$C$6,$C$5,$C$7,AL$1,AL$2,A49)</f>
        <v>-133.68436394269185</v>
      </c>
      <c r="AM49" s="33">
        <f ca="1">_xll.DBRW($C$1,$C$2,$C$3,$C$4,$C$6,$C$5,$C$7,AM$1,AM$2,A49)</f>
        <v>-8.1302182695324028</v>
      </c>
      <c r="AN49" s="33">
        <f ca="1">_xll.DBRW($C$1,$C$2,$C$3,$C$4,$C$6,$C$5,$C$7,AN$1,AN$2,A49)</f>
        <v>-28.022780424032739</v>
      </c>
      <c r="AO49" s="33">
        <f ca="1">_xll.DBRW($C$1,$C$2,$C$3,$C$4,$C$6,$C$5,$C$7,AO$1,AO$2,A49)</f>
        <v>-7.1054273576010019E-15</v>
      </c>
      <c r="AP49" s="33">
        <f ca="1">_xll.DBRW($C$1,$C$2,$C$3,$C$4,$C$6,$C$5,$C$7,AP$1,AP$2,A49)</f>
        <v>-7.1054273576010019E-15</v>
      </c>
      <c r="AQ49" s="33">
        <f ca="1">_xll.DBRW($C$1,$C$2,$C$3,$C$4,$C$6,$C$5,$C$7,AQ$1,AQ$2,A49)</f>
        <v>-7.1054273576010019E-15</v>
      </c>
      <c r="AR49" s="33">
        <f ca="1">_xll.DBRW($C$1,$C$2,$C$3,$C$4,$C$6,$C$5,$C$7,AR$1,AR$2,A49)</f>
        <v>-7.1054273576010019E-15</v>
      </c>
      <c r="AS49" s="33">
        <f ca="1">_xll.DBRW($C$1,$C$2,$C$3,$C$4,$C$6,$C$5,$C$7,AS$1,AS$2,A49)</f>
        <v>-7.1054273576010019E-15</v>
      </c>
      <c r="AT49" s="33">
        <f ca="1">_xll.DBRW($C$1,$C$2,$C$3,$C$4,$C$6,$C$5,$C$7,AT$1,AT$2,A49)</f>
        <v>-7.1054273576010019E-15</v>
      </c>
      <c r="AU49" s="33">
        <f ca="1">_xll.DBRW($C$1,$C$2,$C$3,$C$4,$C$6,$C$5,$C$7,AU$1,AU$2,A49)</f>
        <v>-7.1054273576010019E-15</v>
      </c>
      <c r="AV49" s="33">
        <f ca="1">_xll.DBRW($C$1,$C$2,$C$3,$C$4,$C$6,$C$5,$C$7,AV$1,AV$2,A49)</f>
        <v>-7.1054273576010019E-15</v>
      </c>
      <c r="AW49" s="33">
        <f ca="1">_xll.DBRW($C$1,$C$2,$C$3,$C$4,$C$6,$C$5,$C$7,AW$1,AW$2,A49)</f>
        <v>-7.1054273576010019E-15</v>
      </c>
      <c r="AX49" s="33">
        <f ca="1">_xll.DBRW($C$1,$C$2,$C$3,$C$4,$C$6,$C$5,$C$7,AX$1,AX$2,A49)</f>
        <v>-7.1054273576010019E-15</v>
      </c>
      <c r="AY49" s="33">
        <f ca="1">_xll.DBRW($C$1,$C$2,$C$3,$C$4,$C$6,$C$5,$C$7,AY$1,AY$2,A49)</f>
        <v>-7.1054273576010019E-15</v>
      </c>
    </row>
    <row r="50" spans="1:51" ht="15.75" hidden="1" customHeight="1" outlineLevel="2">
      <c r="A50" s="1" t="s">
        <v>158</v>
      </c>
      <c r="C50" s="104"/>
      <c r="E50" s="9" t="str">
        <f ca="1">_xll.DBRW(Server&amp;"}ElementAttributes_Indicator",A50,"code_English")</f>
        <v>PL1115_MF_25 - Major maintenance</v>
      </c>
      <c r="F50" s="33">
        <f ca="1">_xll.DBRW($C$1,$C$2,$C$3,$C$4,$C$6,$C$5,$C$7,F$1,F$2,A50)</f>
        <v>-3.8774693499999993</v>
      </c>
      <c r="G50" s="33">
        <f ca="1">_xll.DBRW($C$1,$C$2,$C$3,$C$4,$C$6,$C$5,$C$7,G$1,G$2,A50)</f>
        <v>-3.5054396438568132</v>
      </c>
      <c r="H50" s="33">
        <f ca="1">_xll.DBRW($C$1,$C$2,$C$3,$C$4,$C$6,$C$5,$C$7,H$1,H$2,A50)</f>
        <v>-11.324427516737146</v>
      </c>
      <c r="I50" s="33">
        <f ca="1">_xll.DBRW($C$1,$C$2,$C$3,$C$4,$C$6,$C$5,$C$7,I$1,I$2,A50)</f>
        <v>-4.3111250923905287</v>
      </c>
      <c r="J50" s="33">
        <f ca="1">_xll.DBRW($C$1,$C$2,$C$3,$C$4,$C$6,$C$5,$C$7,J$1,J$2,A50)</f>
        <v>-14.979781278167371</v>
      </c>
      <c r="K50" s="33">
        <f ca="1">_xll.DBRW($C$1,$C$2,$C$3,$C$4,$C$6,$C$5,$C$7,K$1,K$2,A50)</f>
        <v>-37.662293782646181</v>
      </c>
      <c r="L50" s="33">
        <f ca="1">_xll.DBRW($C$1,$C$2,$C$3,$C$4,$C$6,$C$5,$C$7,L$1,L$2,A50)</f>
        <v>-25.709865216494254</v>
      </c>
      <c r="M50" s="33">
        <f ca="1">_xll.DBRW($C$1,$C$2,$C$3,$C$4,$C$6,$C$5,$C$7,M$1,M$2,A50)</f>
        <v>-0.16950028734488351</v>
      </c>
      <c r="N50" s="33">
        <f ca="1">_xll.DBRW($C$1,$C$2,$C$3,$C$4,$C$6,$C$5,$C$7,N$1,N$2,A50)</f>
        <v>-1.5789730868521754</v>
      </c>
      <c r="O50" s="33">
        <f ca="1">_xll.DBRW($C$1,$C$2,$C$3,$C$4,$C$6,$C$5,$C$7,O$1,O$2,A50)</f>
        <v>-3.7967918500728679</v>
      </c>
      <c r="P50" s="33">
        <f ca="1">_xll.DBRW($C$1,$C$2,$C$3,$C$4,$C$6,$C$5,$C$7,P$1,P$2,A50)</f>
        <v>-6.1673565624546702</v>
      </c>
      <c r="Q50" s="33">
        <f ca="1">_xll.DBRW($C$1,$C$2,$C$3,$C$4,$C$6,$C$5,$C$7,Q$1,Q$2,A50)</f>
        <v>-8.0738758020603889</v>
      </c>
      <c r="R50" s="33">
        <f ca="1">_xll.DBRW($C$1,$C$2,$C$3,$C$4,$C$6,$C$5,$C$7,R$1,R$2,A50)</f>
        <v>-10.553180247580483</v>
      </c>
      <c r="S50" s="33">
        <f ca="1">_xll.DBRW($C$1,$C$2,$C$3,$C$4,$C$6,$C$5,$C$7,S$1,S$2,A50)</f>
        <v>-6.0918664091188557</v>
      </c>
      <c r="T50" s="33">
        <f ca="1">_xll.DBRW($C$1,$C$2,$C$3,$C$4,$C$6,$C$5,$C$7,T$1,T$2,A50)</f>
        <v>-15.140622259504781</v>
      </c>
      <c r="U50" s="33">
        <f ca="1">_xll.DBRW($C$1,$C$2,$C$3,$C$4,$C$6,$C$5,$C$7,U$1,U$2,A50)</f>
        <v>-16.529579185698218</v>
      </c>
      <c r="V50" s="33">
        <f ca="1">_xll.DBRW($C$1,$C$2,$C$3,$C$4,$C$6,$C$5,$C$7,V$1,V$2,A50)</f>
        <v>-8.8892860520401999</v>
      </c>
      <c r="W50" s="33">
        <f ca="1">_xll.DBRW($C$1,$C$2,$C$3,$C$4,$C$6,$C$5,$C$7,W$1,W$2,A50)</f>
        <v>-20.66977040785298</v>
      </c>
      <c r="X50" s="33">
        <f ca="1">_xll.DBRW($C$1,$C$2,$C$3,$C$4,$C$6,$C$5,$C$7,X$1,X$2,A50)</f>
        <v>-26.799491660506849</v>
      </c>
      <c r="Y50" s="33">
        <f ca="1">_xll.DBRW($C$1,$C$2,$C$3,$C$4,$C$6,$C$5,$C$7,Y$1,Y$2,A50)</f>
        <v>-26.799491660506849</v>
      </c>
      <c r="Z50" s="33">
        <f ca="1">_xll.DBRW($C$1,$C$2,$C$3,$C$4,$C$6,$C$5,$C$7,Z$1,Z$2,A50)</f>
        <v>-1.9391747140693936</v>
      </c>
      <c r="AA50" s="33">
        <f ca="1">_xll.DBRW($C$1,$C$2,$C$3,$C$4,$C$6,$C$5,$C$7,AA$1,AA$2,A50)</f>
        <v>-3.8131466455072083</v>
      </c>
      <c r="AB50" s="33">
        <f ca="1">_xll.DBRW($C$1,$C$2,$C$3,$C$4,$C$6,$C$5,$C$7,AB$1,AB$2,A50)</f>
        <v>-6.0808078209462906</v>
      </c>
      <c r="AC50" s="33">
        <f ca="1">_xll.DBRW($C$1,$C$2,$C$3,$C$4,$C$6,$C$5,$C$7,AC$1,AC$2,A50)</f>
        <v>-8.0340955431931729</v>
      </c>
      <c r="AD50" s="33">
        <f ca="1">_xll.DBRW($C$1,$C$2,$C$3,$C$4,$C$6,$C$5,$C$7,AD$1,AD$2,A50)</f>
        <v>-10.30901559480594</v>
      </c>
      <c r="AE50" s="33">
        <f ca="1">_xll.DBRW($C$1,$C$2,$C$3,$C$4,$C$6,$C$5,$C$7,AE$1,AE$2,A50)</f>
        <v>-12.335559407052822</v>
      </c>
      <c r="AF50" s="33">
        <f ca="1">_xll.DBRW($C$1,$C$2,$C$3,$C$4,$C$6,$C$5,$C$7,AF$1,AF$2,A50)</f>
        <v>-14.238630470066983</v>
      </c>
      <c r="AG50" s="33">
        <f ca="1">_xll.DBRW($C$1,$C$2,$C$3,$C$4,$C$6,$C$5,$C$7,AG$1,AG$2,A50)</f>
        <v>-16.123885717684821</v>
      </c>
      <c r="AH50" s="33">
        <f ca="1">_xll.DBRW($C$1,$C$2,$C$3,$C$4,$C$6,$C$5,$C$7,AH$1,AH$2,A50)</f>
        <v>-18.454018100483385</v>
      </c>
      <c r="AI50" s="33">
        <f ca="1">_xll.DBRW($C$1,$C$2,$C$3,$C$4,$C$6,$C$5,$C$7,AI$1,AI$2,A50)</f>
        <v>-20.930968517717012</v>
      </c>
      <c r="AJ50" s="33">
        <f ca="1">_xll.DBRW($C$1,$C$2,$C$3,$C$4,$C$6,$C$5,$C$7,AJ$1,AJ$2,A50)</f>
        <v>-23.079942969687483</v>
      </c>
      <c r="AK50" s="33">
        <f ca="1">_xll.DBRW($C$1,$C$2,$C$3,$C$4,$C$6,$C$5,$C$7,AK$1,AK$2,A50)</f>
        <v>-25.889114438176662</v>
      </c>
      <c r="AL50" s="33">
        <f ca="1">_xll.DBRW($C$1,$C$2,$C$3,$C$4,$C$6,$C$5,$C$7,AL$1,AL$2,A50)</f>
        <v>-25.889114438176662</v>
      </c>
      <c r="AM50" s="33">
        <f ca="1">_xll.DBRW($C$1,$C$2,$C$3,$C$4,$C$6,$C$5,$C$7,AM$1,AM$2,A50)</f>
        <v>-0.15306982120179607</v>
      </c>
      <c r="AN50" s="33">
        <f ca="1">_xll.DBRW($C$1,$C$2,$C$3,$C$4,$C$6,$C$5,$C$7,AN$1,AN$2,A50)</f>
        <v>-3.5094441646223657</v>
      </c>
      <c r="AO50" s="33">
        <f ca="1">_xll.DBRW($C$1,$C$2,$C$3,$C$4,$C$6,$C$5,$C$7,AO$1,AO$2,A50)</f>
        <v>8.8817841970012523E-16</v>
      </c>
      <c r="AP50" s="33">
        <f ca="1">_xll.DBRW($C$1,$C$2,$C$3,$C$4,$C$6,$C$5,$C$7,AP$1,AP$2,A50)</f>
        <v>8.8817841970012523E-16</v>
      </c>
      <c r="AQ50" s="33">
        <f ca="1">_xll.DBRW($C$1,$C$2,$C$3,$C$4,$C$6,$C$5,$C$7,AQ$1,AQ$2,A50)</f>
        <v>8.8817841970012523E-16</v>
      </c>
      <c r="AR50" s="33">
        <f ca="1">_xll.DBRW($C$1,$C$2,$C$3,$C$4,$C$6,$C$5,$C$7,AR$1,AR$2,A50)</f>
        <v>8.8817841970012523E-16</v>
      </c>
      <c r="AS50" s="33">
        <f ca="1">_xll.DBRW($C$1,$C$2,$C$3,$C$4,$C$6,$C$5,$C$7,AS$1,AS$2,A50)</f>
        <v>8.8817841970012523E-16</v>
      </c>
      <c r="AT50" s="33">
        <f ca="1">_xll.DBRW($C$1,$C$2,$C$3,$C$4,$C$6,$C$5,$C$7,AT$1,AT$2,A50)</f>
        <v>8.8817841970012523E-16</v>
      </c>
      <c r="AU50" s="33">
        <f ca="1">_xll.DBRW($C$1,$C$2,$C$3,$C$4,$C$6,$C$5,$C$7,AU$1,AU$2,A50)</f>
        <v>8.8817841970012523E-16</v>
      </c>
      <c r="AV50" s="33">
        <f ca="1">_xll.DBRW($C$1,$C$2,$C$3,$C$4,$C$6,$C$5,$C$7,AV$1,AV$2,A50)</f>
        <v>8.8817841970012523E-16</v>
      </c>
      <c r="AW50" s="33">
        <f ca="1">_xll.DBRW($C$1,$C$2,$C$3,$C$4,$C$6,$C$5,$C$7,AW$1,AW$2,A50)</f>
        <v>8.8817841970012523E-16</v>
      </c>
      <c r="AX50" s="33">
        <f ca="1">_xll.DBRW($C$1,$C$2,$C$3,$C$4,$C$6,$C$5,$C$7,AX$1,AX$2,A50)</f>
        <v>8.8817841970012523E-16</v>
      </c>
      <c r="AY50" s="33">
        <f ca="1">_xll.DBRW($C$1,$C$2,$C$3,$C$4,$C$6,$C$5,$C$7,AY$1,AY$2,A50)</f>
        <v>8.8817841970012523E-16</v>
      </c>
    </row>
    <row r="51" spans="1:51" ht="15.5" hidden="1" outlineLevel="1" collapsed="1">
      <c r="A51" s="1" t="s">
        <v>142</v>
      </c>
      <c r="C51" s="104"/>
      <c r="E51" s="15" t="s">
        <v>24</v>
      </c>
      <c r="F51" s="34">
        <f t="shared" ref="F51:M51" ca="1" si="27">SUM(F49:F50)</f>
        <v>-152.48325210925006</v>
      </c>
      <c r="G51" s="34">
        <f t="shared" ca="1" si="27"/>
        <v>-143.70025840635836</v>
      </c>
      <c r="H51" s="34">
        <f t="shared" ca="1" si="27"/>
        <v>-172.85798764396719</v>
      </c>
      <c r="I51" s="34">
        <f t="shared" ca="1" si="27"/>
        <v>-105.1667979711949</v>
      </c>
      <c r="J51" s="34">
        <f t="shared" ca="1" si="27"/>
        <v>-150.17142102650411</v>
      </c>
      <c r="K51" s="34">
        <f t="shared" ca="1" si="27"/>
        <v>-178.57940114652186</v>
      </c>
      <c r="L51" s="34">
        <f t="shared" ca="1" si="27"/>
        <v>-157.02183579143039</v>
      </c>
      <c r="M51" s="34">
        <f t="shared" ca="1" si="27"/>
        <v>-4.7419349141282989</v>
      </c>
      <c r="N51" s="34">
        <f t="shared" ref="N51:X51" ca="1" si="28">SUM(N49:N50)</f>
        <v>-24.910828839371796</v>
      </c>
      <c r="O51" s="34">
        <f t="shared" ca="1" si="28"/>
        <v>-39.476246950356398</v>
      </c>
      <c r="P51" s="34">
        <f t="shared" ca="1" si="28"/>
        <v>-51.703568750226609</v>
      </c>
      <c r="Q51" s="34">
        <f t="shared" ca="1" si="28"/>
        <v>-64.736082423147792</v>
      </c>
      <c r="R51" s="34">
        <f t="shared" ca="1" si="28"/>
        <v>-82.102432313285149</v>
      </c>
      <c r="S51" s="34">
        <f t="shared" ca="1" si="28"/>
        <v>-47.412161125032583</v>
      </c>
      <c r="T51" s="34">
        <f t="shared" ca="1" si="28"/>
        <v>-109.68667393366134</v>
      </c>
      <c r="U51" s="34">
        <f t="shared" ca="1" si="28"/>
        <v>-124.69363243835144</v>
      </c>
      <c r="V51" s="34">
        <f t="shared" ca="1" si="28"/>
        <v>-71.638575387564529</v>
      </c>
      <c r="W51" s="34">
        <f t="shared" ca="1" si="28"/>
        <v>-142.30901859423031</v>
      </c>
      <c r="X51" s="34">
        <f t="shared" ca="1" si="28"/>
        <v>-179.79511622218629</v>
      </c>
      <c r="Y51" s="34">
        <f ca="1">SUM(Y49:Y50)</f>
        <v>-179.79511622218629</v>
      </c>
      <c r="Z51" s="34">
        <f ca="1">SUM(Z49:Z50)</f>
        <v>-12.550067836791658</v>
      </c>
      <c r="AA51" s="34">
        <f t="shared" ref="AA51:AK51" ca="1" si="29">SUM(AA49:AA50)</f>
        <v>-27.564250536279019</v>
      </c>
      <c r="AB51" s="34">
        <f t="shared" ca="1" si="29"/>
        <v>-41.912959815821416</v>
      </c>
      <c r="AC51" s="34">
        <f t="shared" ca="1" si="29"/>
        <v>-54.86035851598416</v>
      </c>
      <c r="AD51" s="34">
        <f t="shared" ca="1" si="29"/>
        <v>-68.527755806627425</v>
      </c>
      <c r="AE51" s="34">
        <f t="shared" ca="1" si="29"/>
        <v>-82.393405454349207</v>
      </c>
      <c r="AF51" s="34">
        <f t="shared" ca="1" si="29"/>
        <v>-94.898556404881347</v>
      </c>
      <c r="AG51" s="34">
        <f t="shared" ca="1" si="29"/>
        <v>-106.95933139292688</v>
      </c>
      <c r="AH51" s="34">
        <f t="shared" ca="1" si="29"/>
        <v>-120.09721311555651</v>
      </c>
      <c r="AI51" s="34">
        <f t="shared" ca="1" si="29"/>
        <v>-133.5652140080829</v>
      </c>
      <c r="AJ51" s="34">
        <f t="shared" ca="1" si="29"/>
        <v>-146.37715120374162</v>
      </c>
      <c r="AK51" s="34">
        <f t="shared" ca="1" si="29"/>
        <v>-159.57347838086849</v>
      </c>
      <c r="AL51" s="34">
        <f ca="1">SUM(AL49:AL50)</f>
        <v>-159.57347838086849</v>
      </c>
      <c r="AM51" s="34">
        <f ca="1">SUM(AM49:AM50)</f>
        <v>-8.2832880907341995</v>
      </c>
      <c r="AN51" s="34">
        <f t="shared" ref="AN51:AX51" ca="1" si="30">SUM(AN49:AN50)</f>
        <v>-31.532224588655104</v>
      </c>
      <c r="AO51" s="34">
        <f t="shared" ca="1" si="30"/>
        <v>-6.2172489379008766E-15</v>
      </c>
      <c r="AP51" s="34">
        <f t="shared" ca="1" si="30"/>
        <v>-6.2172489379008766E-15</v>
      </c>
      <c r="AQ51" s="34">
        <f t="shared" ca="1" si="30"/>
        <v>-6.2172489379008766E-15</v>
      </c>
      <c r="AR51" s="34">
        <f t="shared" ca="1" si="30"/>
        <v>-6.2172489379008766E-15</v>
      </c>
      <c r="AS51" s="34">
        <f t="shared" ca="1" si="30"/>
        <v>-6.2172489379008766E-15</v>
      </c>
      <c r="AT51" s="34">
        <f t="shared" ca="1" si="30"/>
        <v>-6.2172489379008766E-15</v>
      </c>
      <c r="AU51" s="34">
        <f t="shared" ca="1" si="30"/>
        <v>-6.2172489379008766E-15</v>
      </c>
      <c r="AV51" s="34">
        <f t="shared" ca="1" si="30"/>
        <v>-6.2172489379008766E-15</v>
      </c>
      <c r="AW51" s="34">
        <f t="shared" ca="1" si="30"/>
        <v>-6.2172489379008766E-15</v>
      </c>
      <c r="AX51" s="34">
        <f t="shared" ca="1" si="30"/>
        <v>-6.2172489379008766E-15</v>
      </c>
      <c r="AY51" s="34">
        <f ca="1">SUM(AY49:AY50)</f>
        <v>-6.2172489379008766E-15</v>
      </c>
    </row>
    <row r="52" spans="1:51" ht="15.75" hidden="1" customHeight="1" outlineLevel="2">
      <c r="A52" s="1" t="s">
        <v>159</v>
      </c>
      <c r="C52" s="104"/>
      <c r="E52" s="9" t="str">
        <f ca="1">_xll.DBRW(Server&amp;"}ElementAttributes_Indicator",A52,"code_English")</f>
        <v>PL1115_MF_12 - Subcontracting cleaning (MF)</v>
      </c>
      <c r="F52" s="33">
        <f ca="1">_xll.DBRW($C$1,$C$2,$C$3,$C$4,$C$6,$C$5,$C$7,F$1,F$2,A52)</f>
        <v>-44.560616334100423</v>
      </c>
      <c r="G52" s="33">
        <f ca="1">_xll.DBRW($C$1,$C$2,$C$3,$C$4,$C$6,$C$5,$C$7,G$1,G$2,A52)</f>
        <v>-37.861310729036269</v>
      </c>
      <c r="H52" s="33">
        <f ca="1">_xll.DBRW($C$1,$C$2,$C$3,$C$4,$C$6,$C$5,$C$7,H$1,H$2,A52)</f>
        <v>-33.828067658743215</v>
      </c>
      <c r="I52" s="33">
        <f ca="1">_xll.DBRW($C$1,$C$2,$C$3,$C$4,$C$6,$C$5,$C$7,I$1,I$2,A52)</f>
        <v>-27.830909999398244</v>
      </c>
      <c r="J52" s="33">
        <f ca="1">_xll.DBRW($C$1,$C$2,$C$3,$C$4,$C$6,$C$5,$C$7,J$1,J$2,A52)</f>
        <v>-46.002726022006826</v>
      </c>
      <c r="K52" s="33">
        <f ca="1">_xll.DBRW($C$1,$C$2,$C$3,$C$4,$C$6,$C$5,$C$7,K$1,K$2,A52)</f>
        <v>-42.906493771376404</v>
      </c>
      <c r="L52" s="33">
        <f ca="1">_xll.DBRW($C$1,$C$2,$C$3,$C$4,$C$6,$C$5,$C$7,L$1,L$2,A52)</f>
        <v>-44.737090120714555</v>
      </c>
      <c r="M52" s="33">
        <f ca="1">_xll.DBRW($C$1,$C$2,$C$3,$C$4,$C$6,$C$5,$C$7,M$1,M$2,A52)</f>
        <v>-1.4157083894462523</v>
      </c>
      <c r="N52" s="33">
        <f ca="1">_xll.DBRW($C$1,$C$2,$C$3,$C$4,$C$6,$C$5,$C$7,N$1,N$2,A52)</f>
        <v>-7.3786885059757967</v>
      </c>
      <c r="O52" s="33">
        <f ca="1">_xll.DBRW($C$1,$C$2,$C$3,$C$4,$C$6,$C$5,$C$7,O$1,O$2,A52)</f>
        <v>-11.007211192949619</v>
      </c>
      <c r="P52" s="33">
        <f ca="1">_xll.DBRW($C$1,$C$2,$C$3,$C$4,$C$6,$C$5,$C$7,P$1,P$2,A52)</f>
        <v>-14.722649121908354</v>
      </c>
      <c r="Q52" s="33">
        <f ca="1">_xll.DBRW($C$1,$C$2,$C$3,$C$4,$C$6,$C$5,$C$7,Q$1,Q$2,A52)</f>
        <v>-19.206895244606322</v>
      </c>
      <c r="R52" s="33">
        <f ca="1">_xll.DBRW($C$1,$C$2,$C$3,$C$4,$C$6,$C$5,$C$7,R$1,R$2,A52)</f>
        <v>-23.498528003327607</v>
      </c>
      <c r="S52" s="33">
        <f ca="1">_xll.DBRW($C$1,$C$2,$C$3,$C$4,$C$6,$C$5,$C$7,S$1,S$2,A52)</f>
        <v>-14.252799741622594</v>
      </c>
      <c r="T52" s="33">
        <f ca="1">_xll.DBRW($C$1,$C$2,$C$3,$C$4,$C$6,$C$5,$C$7,T$1,T$2,A52)</f>
        <v>-30.676738012041326</v>
      </c>
      <c r="U52" s="33">
        <f ca="1">_xll.DBRW($C$1,$C$2,$C$3,$C$4,$C$6,$C$5,$C$7,U$1,U$2,A52)</f>
        <v>-34.555460220082942</v>
      </c>
      <c r="V52" s="33">
        <f ca="1">_xll.DBRW($C$1,$C$2,$C$3,$C$4,$C$6,$C$5,$C$7,V$1,V$2,A52)</f>
        <v>-19.851752603682822</v>
      </c>
      <c r="W52" s="33">
        <f ca="1">_xll.DBRW($C$1,$C$2,$C$3,$C$4,$C$6,$C$5,$C$7,W$1,W$2,A52)</f>
        <v>-37.27641668978152</v>
      </c>
      <c r="X52" s="33">
        <f ca="1">_xll.DBRW($C$1,$C$2,$C$3,$C$4,$C$6,$C$5,$C$7,X$1,X$2,A52)</f>
        <v>-44.115964815803636</v>
      </c>
      <c r="Y52" s="33">
        <f ca="1">_xll.DBRW($C$1,$C$2,$C$3,$C$4,$C$6,$C$5,$C$7,Y$1,Y$2,A52)</f>
        <v>-44.115964815803636</v>
      </c>
      <c r="Z52" s="33">
        <f ca="1">_xll.DBRW($C$1,$C$2,$C$3,$C$4,$C$6,$C$5,$C$7,Z$1,Z$2,A52)</f>
        <v>-3.1318563659418155</v>
      </c>
      <c r="AA52" s="33">
        <f ca="1">_xll.DBRW($C$1,$C$2,$C$3,$C$4,$C$6,$C$5,$C$7,AA$1,AA$2,A52)</f>
        <v>-6.8235212517372332</v>
      </c>
      <c r="AB52" s="33">
        <f ca="1">_xll.DBRW($C$1,$C$2,$C$3,$C$4,$C$6,$C$5,$C$7,AB$1,AB$2,A52)</f>
        <v>-10.360643761886735</v>
      </c>
      <c r="AC52" s="33">
        <f ca="1">_xll.DBRW($C$1,$C$2,$C$3,$C$4,$C$6,$C$5,$C$7,AC$1,AC$2,A52)</f>
        <v>-13.705196179786505</v>
      </c>
      <c r="AD52" s="33">
        <f ca="1">_xll.DBRW($C$1,$C$2,$C$3,$C$4,$C$6,$C$5,$C$7,AD$1,AD$2,A52)</f>
        <v>-17.085479141495068</v>
      </c>
      <c r="AE52" s="33">
        <f ca="1">_xll.DBRW($C$1,$C$2,$C$3,$C$4,$C$6,$C$5,$C$7,AE$1,AE$2,A52)</f>
        <v>-20.468870743206637</v>
      </c>
      <c r="AF52" s="33">
        <f ca="1">_xll.DBRW($C$1,$C$2,$C$3,$C$4,$C$6,$C$5,$C$7,AF$1,AF$2,A52)</f>
        <v>-23.858588392050187</v>
      </c>
      <c r="AG52" s="33">
        <f ca="1">_xll.DBRW($C$1,$C$2,$C$3,$C$4,$C$6,$C$5,$C$7,AG$1,AG$2,A52)</f>
        <v>-27.007992657768202</v>
      </c>
      <c r="AH52" s="33">
        <f ca="1">_xll.DBRW($C$1,$C$2,$C$3,$C$4,$C$6,$C$5,$C$7,AH$1,AH$2,A52)</f>
        <v>-30.244372173907337</v>
      </c>
      <c r="AI52" s="33">
        <f ca="1">_xll.DBRW($C$1,$C$2,$C$3,$C$4,$C$6,$C$5,$C$7,AI$1,AI$2,A52)</f>
        <v>-33.421544246660474</v>
      </c>
      <c r="AJ52" s="33">
        <f ca="1">_xll.DBRW($C$1,$C$2,$C$3,$C$4,$C$6,$C$5,$C$7,AJ$1,AJ$2,A52)</f>
        <v>-36.618817998210382</v>
      </c>
      <c r="AK52" s="33">
        <f ca="1">_xll.DBRW($C$1,$C$2,$C$3,$C$4,$C$6,$C$5,$C$7,AK$1,AK$2,A52)</f>
        <v>-39.757385203998226</v>
      </c>
      <c r="AL52" s="33">
        <f ca="1">_xll.DBRW($C$1,$C$2,$C$3,$C$4,$C$6,$C$5,$C$7,AL$1,AL$2,A52)</f>
        <v>-39.757385203998226</v>
      </c>
      <c r="AM52" s="33">
        <f ca="1">_xll.DBRW($C$1,$C$2,$C$3,$C$4,$C$6,$C$5,$C$7,AM$1,AM$2,A52)</f>
        <v>-1.2779277974561392</v>
      </c>
      <c r="AN52" s="33">
        <f ca="1">_xll.DBRW($C$1,$C$2,$C$3,$C$4,$C$6,$C$5,$C$7,AN$1,AN$2,A52)</f>
        <v>-7.3260308821359361</v>
      </c>
      <c r="AO52" s="33">
        <f ca="1">_xll.DBRW($C$1,$C$2,$C$3,$C$4,$C$6,$C$5,$C$7,AO$1,AO$2,A52)</f>
        <v>-8.8817841970012523E-16</v>
      </c>
      <c r="AP52" s="33">
        <f ca="1">_xll.DBRW($C$1,$C$2,$C$3,$C$4,$C$6,$C$5,$C$7,AP$1,AP$2,A52)</f>
        <v>-8.8817841970012523E-16</v>
      </c>
      <c r="AQ52" s="33">
        <f ca="1">_xll.DBRW($C$1,$C$2,$C$3,$C$4,$C$6,$C$5,$C$7,AQ$1,AQ$2,A52)</f>
        <v>-8.8817841970012523E-16</v>
      </c>
      <c r="AR52" s="33">
        <f ca="1">_xll.DBRW($C$1,$C$2,$C$3,$C$4,$C$6,$C$5,$C$7,AR$1,AR$2,A52)</f>
        <v>-8.8817841970012523E-16</v>
      </c>
      <c r="AS52" s="33">
        <f ca="1">_xll.DBRW($C$1,$C$2,$C$3,$C$4,$C$6,$C$5,$C$7,AS$1,AS$2,A52)</f>
        <v>-8.8817841970012523E-16</v>
      </c>
      <c r="AT52" s="33">
        <f ca="1">_xll.DBRW($C$1,$C$2,$C$3,$C$4,$C$6,$C$5,$C$7,AT$1,AT$2,A52)</f>
        <v>-8.8817841970012523E-16</v>
      </c>
      <c r="AU52" s="33">
        <f ca="1">_xll.DBRW($C$1,$C$2,$C$3,$C$4,$C$6,$C$5,$C$7,AU$1,AU$2,A52)</f>
        <v>-8.8817841970012523E-16</v>
      </c>
      <c r="AV52" s="33">
        <f ca="1">_xll.DBRW($C$1,$C$2,$C$3,$C$4,$C$6,$C$5,$C$7,AV$1,AV$2,A52)</f>
        <v>-8.8817841970012523E-16</v>
      </c>
      <c r="AW52" s="33">
        <f ca="1">_xll.DBRW($C$1,$C$2,$C$3,$C$4,$C$6,$C$5,$C$7,AW$1,AW$2,A52)</f>
        <v>-8.8817841970012523E-16</v>
      </c>
      <c r="AX52" s="33">
        <f ca="1">_xll.DBRW($C$1,$C$2,$C$3,$C$4,$C$6,$C$5,$C$7,AX$1,AX$2,A52)</f>
        <v>-8.8817841970012523E-16</v>
      </c>
      <c r="AY52" s="33">
        <f ca="1">_xll.DBRW($C$1,$C$2,$C$3,$C$4,$C$6,$C$5,$C$7,AY$1,AY$2,A52)</f>
        <v>-8.8817841970012523E-16</v>
      </c>
    </row>
    <row r="53" spans="1:51" ht="15.5" hidden="1" outlineLevel="1" collapsed="1">
      <c r="A53" s="1" t="s">
        <v>142</v>
      </c>
      <c r="C53" s="104"/>
      <c r="E53" s="15" t="s">
        <v>25</v>
      </c>
      <c r="F53" s="34">
        <f t="shared" ref="F53:L53" ca="1" si="31">SUM(F52)</f>
        <v>-44.560616334100423</v>
      </c>
      <c r="G53" s="34">
        <f t="shared" ca="1" si="31"/>
        <v>-37.861310729036269</v>
      </c>
      <c r="H53" s="34">
        <f t="shared" ca="1" si="31"/>
        <v>-33.828067658743215</v>
      </c>
      <c r="I53" s="34">
        <f t="shared" ca="1" si="31"/>
        <v>-27.830909999398244</v>
      </c>
      <c r="J53" s="34">
        <f t="shared" ca="1" si="31"/>
        <v>-46.002726022006826</v>
      </c>
      <c r="K53" s="34">
        <f t="shared" ca="1" si="31"/>
        <v>-42.906493771376404</v>
      </c>
      <c r="L53" s="34">
        <f t="shared" ca="1" si="31"/>
        <v>-44.737090120714555</v>
      </c>
      <c r="M53" s="34">
        <f t="shared" ref="M53:X53" ca="1" si="32">SUM(M52)</f>
        <v>-1.4157083894462523</v>
      </c>
      <c r="N53" s="34">
        <f t="shared" ca="1" si="32"/>
        <v>-7.3786885059757967</v>
      </c>
      <c r="O53" s="34">
        <f t="shared" ca="1" si="32"/>
        <v>-11.007211192949619</v>
      </c>
      <c r="P53" s="34">
        <f t="shared" ca="1" si="32"/>
        <v>-14.722649121908354</v>
      </c>
      <c r="Q53" s="34">
        <f t="shared" ca="1" si="32"/>
        <v>-19.206895244606322</v>
      </c>
      <c r="R53" s="34">
        <f t="shared" ca="1" si="32"/>
        <v>-23.498528003327607</v>
      </c>
      <c r="S53" s="34">
        <f t="shared" ca="1" si="32"/>
        <v>-14.252799741622594</v>
      </c>
      <c r="T53" s="34">
        <f t="shared" ca="1" si="32"/>
        <v>-30.676738012041326</v>
      </c>
      <c r="U53" s="34">
        <f t="shared" ca="1" si="32"/>
        <v>-34.555460220082942</v>
      </c>
      <c r="V53" s="34">
        <f t="shared" ca="1" si="32"/>
        <v>-19.851752603682822</v>
      </c>
      <c r="W53" s="34">
        <f t="shared" ca="1" si="32"/>
        <v>-37.27641668978152</v>
      </c>
      <c r="X53" s="34">
        <f t="shared" ca="1" si="32"/>
        <v>-44.115964815803636</v>
      </c>
      <c r="Y53" s="34">
        <f ca="1">SUM(Y52)</f>
        <v>-44.115964815803636</v>
      </c>
      <c r="Z53" s="34">
        <f t="shared" ref="Z53:AK53" ca="1" si="33">SUM(Z52)</f>
        <v>-3.1318563659418155</v>
      </c>
      <c r="AA53" s="34">
        <f t="shared" ca="1" si="33"/>
        <v>-6.8235212517372332</v>
      </c>
      <c r="AB53" s="34">
        <f t="shared" ca="1" si="33"/>
        <v>-10.360643761886735</v>
      </c>
      <c r="AC53" s="34">
        <f t="shared" ca="1" si="33"/>
        <v>-13.705196179786505</v>
      </c>
      <c r="AD53" s="34">
        <f t="shared" ca="1" si="33"/>
        <v>-17.085479141495068</v>
      </c>
      <c r="AE53" s="34">
        <f t="shared" ca="1" si="33"/>
        <v>-20.468870743206637</v>
      </c>
      <c r="AF53" s="34">
        <f t="shared" ca="1" si="33"/>
        <v>-23.858588392050187</v>
      </c>
      <c r="AG53" s="34">
        <f t="shared" ca="1" si="33"/>
        <v>-27.007992657768202</v>
      </c>
      <c r="AH53" s="34">
        <f t="shared" ca="1" si="33"/>
        <v>-30.244372173907337</v>
      </c>
      <c r="AI53" s="34">
        <f t="shared" ca="1" si="33"/>
        <v>-33.421544246660474</v>
      </c>
      <c r="AJ53" s="34">
        <f t="shared" ca="1" si="33"/>
        <v>-36.618817998210382</v>
      </c>
      <c r="AK53" s="34">
        <f t="shared" ca="1" si="33"/>
        <v>-39.757385203998226</v>
      </c>
      <c r="AL53" s="34">
        <f ca="1">SUM(AL52)</f>
        <v>-39.757385203998226</v>
      </c>
      <c r="AM53" s="34">
        <f t="shared" ref="AM53:AX53" ca="1" si="34">SUM(AM52)</f>
        <v>-1.2779277974561392</v>
      </c>
      <c r="AN53" s="34">
        <f t="shared" ca="1" si="34"/>
        <v>-7.3260308821359361</v>
      </c>
      <c r="AO53" s="34">
        <f t="shared" ca="1" si="34"/>
        <v>-8.8817841970012523E-16</v>
      </c>
      <c r="AP53" s="34">
        <f t="shared" ca="1" si="34"/>
        <v>-8.8817841970012523E-16</v>
      </c>
      <c r="AQ53" s="34">
        <f t="shared" ca="1" si="34"/>
        <v>-8.8817841970012523E-16</v>
      </c>
      <c r="AR53" s="34">
        <f t="shared" ca="1" si="34"/>
        <v>-8.8817841970012523E-16</v>
      </c>
      <c r="AS53" s="34">
        <f t="shared" ca="1" si="34"/>
        <v>-8.8817841970012523E-16</v>
      </c>
      <c r="AT53" s="34">
        <f t="shared" ca="1" si="34"/>
        <v>-8.8817841970012523E-16</v>
      </c>
      <c r="AU53" s="34">
        <f t="shared" ca="1" si="34"/>
        <v>-8.8817841970012523E-16</v>
      </c>
      <c r="AV53" s="34">
        <f t="shared" ca="1" si="34"/>
        <v>-8.8817841970012523E-16</v>
      </c>
      <c r="AW53" s="34">
        <f t="shared" ca="1" si="34"/>
        <v>-8.8817841970012523E-16</v>
      </c>
      <c r="AX53" s="34">
        <f t="shared" ca="1" si="34"/>
        <v>-8.8817841970012523E-16</v>
      </c>
      <c r="AY53" s="34">
        <f ca="1">SUM(AY52)</f>
        <v>-8.8817841970012523E-16</v>
      </c>
    </row>
    <row r="54" spans="1:51" ht="15.75" hidden="1" customHeight="1" outlineLevel="2">
      <c r="A54" s="1" t="s">
        <v>160</v>
      </c>
      <c r="C54" s="104"/>
      <c r="E54" s="9" t="str">
        <f ca="1">_xll.DBRW(Server&amp;"}ElementAttributes_Indicator",A54,"code_English")</f>
        <v>PL1115_MF_30 - Spare parts for maintenance of rolling stock</v>
      </c>
      <c r="F54" s="33">
        <f ca="1">_xll.DBRW($C$1,$C$2,$C$3,$C$4,$C$6,$C$5,$C$7,F$1,F$2,A54)</f>
        <v>-131.75685026258492</v>
      </c>
      <c r="G54" s="33">
        <f ca="1">_xll.DBRW($C$1,$C$2,$C$3,$C$4,$C$6,$C$5,$C$7,G$1,G$2,A54)</f>
        <v>-128.60386325898924</v>
      </c>
      <c r="H54" s="33">
        <f ca="1">_xll.DBRW($C$1,$C$2,$C$3,$C$4,$C$6,$C$5,$C$7,H$1,H$2,A54)</f>
        <v>-137.21417474639088</v>
      </c>
      <c r="I54" s="33">
        <f ca="1">_xll.DBRW($C$1,$C$2,$C$3,$C$4,$C$6,$C$5,$C$7,I$1,I$2,A54)</f>
        <v>-130.30751923696687</v>
      </c>
      <c r="J54" s="33">
        <f ca="1">_xll.DBRW($C$1,$C$2,$C$3,$C$4,$C$6,$C$5,$C$7,J$1,J$2,A54)</f>
        <v>-131.37859266828039</v>
      </c>
      <c r="K54" s="33">
        <f ca="1">_xll.DBRW($C$1,$C$2,$C$3,$C$4,$C$6,$C$5,$C$7,K$1,K$2,A54)</f>
        <v>-124.26913983533677</v>
      </c>
      <c r="L54" s="33">
        <f ca="1">_xll.DBRW($C$1,$C$2,$C$3,$C$4,$C$6,$C$5,$C$7,L$1,L$2,A54)</f>
        <v>-110.57890269928581</v>
      </c>
      <c r="M54" s="33">
        <f ca="1">_xll.DBRW($C$1,$C$2,$C$3,$C$4,$C$6,$C$5,$C$7,M$1,M$2,A54)</f>
        <v>-6.7097950140489449</v>
      </c>
      <c r="N54" s="33">
        <f ca="1">_xll.DBRW($C$1,$C$2,$C$3,$C$4,$C$6,$C$5,$C$7,N$1,N$2,A54)</f>
        <v>-20.41229316668807</v>
      </c>
      <c r="O54" s="33">
        <f ca="1">_xll.DBRW($C$1,$C$2,$C$3,$C$4,$C$6,$C$5,$C$7,O$1,O$2,A54)</f>
        <v>-31.51387957793202</v>
      </c>
      <c r="P54" s="33">
        <f ca="1">_xll.DBRW($C$1,$C$2,$C$3,$C$4,$C$6,$C$5,$C$7,P$1,P$2,A54)</f>
        <v>-42.280481026129621</v>
      </c>
      <c r="Q54" s="33">
        <f ca="1">_xll.DBRW($C$1,$C$2,$C$3,$C$4,$C$6,$C$5,$C$7,Q$1,Q$2,A54)</f>
        <v>-51.426439501139058</v>
      </c>
      <c r="R54" s="33">
        <f ca="1">_xll.DBRW($C$1,$C$2,$C$3,$C$4,$C$6,$C$5,$C$7,R$1,R$2,A54)</f>
        <v>-64.804105416238613</v>
      </c>
      <c r="S54" s="33">
        <f ca="1">_xll.DBRW($C$1,$C$2,$C$3,$C$4,$C$6,$C$5,$C$7,S$1,S$2,A54)</f>
        <v>-38.55971789647154</v>
      </c>
      <c r="T54" s="33">
        <f ca="1">_xll.DBRW($C$1,$C$2,$C$3,$C$4,$C$6,$C$5,$C$7,T$1,T$2,A54)</f>
        <v>-84.14315389664408</v>
      </c>
      <c r="U54" s="33">
        <f ca="1">_xll.DBRW($C$1,$C$2,$C$3,$C$4,$C$6,$C$5,$C$7,U$1,U$2,A54)</f>
        <v>-95.892099120353151</v>
      </c>
      <c r="V54" s="33">
        <f ca="1">_xll.DBRW($C$1,$C$2,$C$3,$C$4,$C$6,$C$5,$C$7,V$1,V$2,A54)</f>
        <v>-66.148048853762589</v>
      </c>
      <c r="W54" s="33">
        <f ca="1">_xll.DBRW($C$1,$C$2,$C$3,$C$4,$C$6,$C$5,$C$7,W$1,W$2,A54)</f>
        <v>-110.96517905760747</v>
      </c>
      <c r="X54" s="33">
        <f ca="1">_xll.DBRW($C$1,$C$2,$C$3,$C$4,$C$6,$C$5,$C$7,X$1,X$2,A54)</f>
        <v>-134.76606592393949</v>
      </c>
      <c r="Y54" s="33">
        <f ca="1">_xll.DBRW($C$1,$C$2,$C$3,$C$4,$C$6,$C$5,$C$7,Y$1,Y$2,A54)</f>
        <v>-134.76606592393949</v>
      </c>
      <c r="Z54" s="33">
        <f ca="1">_xll.DBRW($C$1,$C$2,$C$3,$C$4,$C$6,$C$5,$C$7,Z$1,Z$2,A54)</f>
        <v>-9.5743428100681189</v>
      </c>
      <c r="AA54" s="33">
        <f ca="1">_xll.DBRW($C$1,$C$2,$C$3,$C$4,$C$6,$C$5,$C$7,AA$1,AA$2,A54)</f>
        <v>-20.703615753354015</v>
      </c>
      <c r="AB54" s="33">
        <f ca="1">_xll.DBRW($C$1,$C$2,$C$3,$C$4,$C$6,$C$5,$C$7,AB$1,AB$2,A54)</f>
        <v>-31.912613664493698</v>
      </c>
      <c r="AC54" s="33">
        <f ca="1">_xll.DBRW($C$1,$C$2,$C$3,$C$4,$C$6,$C$5,$C$7,AC$1,AC$2,A54)</f>
        <v>-42.143456101518161</v>
      </c>
      <c r="AD54" s="33">
        <f ca="1">_xll.DBRW($C$1,$C$2,$C$3,$C$4,$C$6,$C$5,$C$7,AD$1,AD$2,A54)</f>
        <v>-52.760512842600377</v>
      </c>
      <c r="AE54" s="33">
        <f ca="1">_xll.DBRW($C$1,$C$2,$C$3,$C$4,$C$6,$C$5,$C$7,AE$1,AE$2,A54)</f>
        <v>-63.384594187866846</v>
      </c>
      <c r="AF54" s="33">
        <f ca="1">_xll.DBRW($C$1,$C$2,$C$3,$C$4,$C$6,$C$5,$C$7,AF$1,AF$2,A54)</f>
        <v>-73.528160744412872</v>
      </c>
      <c r="AG54" s="33">
        <f ca="1">_xll.DBRW($C$1,$C$2,$C$3,$C$4,$C$6,$C$5,$C$7,AG$1,AG$2,A54)</f>
        <v>-83.394396561001486</v>
      </c>
      <c r="AH54" s="33">
        <f ca="1">_xll.DBRW($C$1,$C$2,$C$3,$C$4,$C$6,$C$5,$C$7,AH$1,AH$2,A54)</f>
        <v>-94.158455069458768</v>
      </c>
      <c r="AI54" s="33">
        <f ca="1">_xll.DBRW($C$1,$C$2,$C$3,$C$4,$C$6,$C$5,$C$7,AI$1,AI$2,A54)</f>
        <v>-104.50130937107471</v>
      </c>
      <c r="AJ54" s="33">
        <f ca="1">_xll.DBRW($C$1,$C$2,$C$3,$C$4,$C$6,$C$5,$C$7,AJ$1,AJ$2,A54)</f>
        <v>-114.82902449599786</v>
      </c>
      <c r="AK54" s="33">
        <f ca="1">_xll.DBRW($C$1,$C$2,$C$3,$C$4,$C$6,$C$5,$C$7,AK$1,AK$2,A54)</f>
        <v>-124.84656670446871</v>
      </c>
      <c r="AL54" s="33">
        <f ca="1">_xll.DBRW($C$1,$C$2,$C$3,$C$4,$C$6,$C$5,$C$7,AL$1,AL$2,A54)</f>
        <v>-124.84656670446871</v>
      </c>
      <c r="AM54" s="33">
        <f ca="1">_xll.DBRW($C$1,$C$2,$C$3,$C$4,$C$6,$C$5,$C$7,AM$1,AM$2,A54)</f>
        <v>-8.4772346079720649</v>
      </c>
      <c r="AN54" s="33">
        <f ca="1">_xll.DBRW($C$1,$C$2,$C$3,$C$4,$C$6,$C$5,$C$7,AN$1,AN$2,A54)</f>
        <v>-23.498485249307791</v>
      </c>
      <c r="AO54" s="33">
        <f ca="1">_xll.DBRW($C$1,$C$2,$C$3,$C$4,$C$6,$C$5,$C$7,AO$1,AO$2,A54)</f>
        <v>0</v>
      </c>
      <c r="AP54" s="33">
        <f ca="1">_xll.DBRW($C$1,$C$2,$C$3,$C$4,$C$6,$C$5,$C$7,AP$1,AP$2,A54)</f>
        <v>0</v>
      </c>
      <c r="AQ54" s="33">
        <f ca="1">_xll.DBRW($C$1,$C$2,$C$3,$C$4,$C$6,$C$5,$C$7,AQ$1,AQ$2,A54)</f>
        <v>0</v>
      </c>
      <c r="AR54" s="33">
        <f ca="1">_xll.DBRW($C$1,$C$2,$C$3,$C$4,$C$6,$C$5,$C$7,AR$1,AR$2,A54)</f>
        <v>0</v>
      </c>
      <c r="AS54" s="33">
        <f ca="1">_xll.DBRW($C$1,$C$2,$C$3,$C$4,$C$6,$C$5,$C$7,AS$1,AS$2,A54)</f>
        <v>0</v>
      </c>
      <c r="AT54" s="33">
        <f ca="1">_xll.DBRW($C$1,$C$2,$C$3,$C$4,$C$6,$C$5,$C$7,AT$1,AT$2,A54)</f>
        <v>0</v>
      </c>
      <c r="AU54" s="33">
        <f ca="1">_xll.DBRW($C$1,$C$2,$C$3,$C$4,$C$6,$C$5,$C$7,AU$1,AU$2,A54)</f>
        <v>0</v>
      </c>
      <c r="AV54" s="33">
        <f ca="1">_xll.DBRW($C$1,$C$2,$C$3,$C$4,$C$6,$C$5,$C$7,AV$1,AV$2,A54)</f>
        <v>0</v>
      </c>
      <c r="AW54" s="33">
        <f ca="1">_xll.DBRW($C$1,$C$2,$C$3,$C$4,$C$6,$C$5,$C$7,AW$1,AW$2,A54)</f>
        <v>0</v>
      </c>
      <c r="AX54" s="33">
        <f ca="1">_xll.DBRW($C$1,$C$2,$C$3,$C$4,$C$6,$C$5,$C$7,AX$1,AX$2,A54)</f>
        <v>0</v>
      </c>
      <c r="AY54" s="33">
        <f ca="1">_xll.DBRW($C$1,$C$2,$C$3,$C$4,$C$6,$C$5,$C$7,AY$1,AY$2,A54)</f>
        <v>0</v>
      </c>
    </row>
    <row r="55" spans="1:51" ht="15.5" hidden="1" outlineLevel="1" collapsed="1">
      <c r="A55" s="1" t="s">
        <v>142</v>
      </c>
      <c r="C55" s="104"/>
      <c r="E55" s="15" t="s">
        <v>26</v>
      </c>
      <c r="F55" s="34">
        <f t="shared" ref="F55:L55" ca="1" si="35">SUM(F54)</f>
        <v>-131.75685026258492</v>
      </c>
      <c r="G55" s="34">
        <f t="shared" ca="1" si="35"/>
        <v>-128.60386325898924</v>
      </c>
      <c r="H55" s="34">
        <f t="shared" ca="1" si="35"/>
        <v>-137.21417474639088</v>
      </c>
      <c r="I55" s="34">
        <f t="shared" ca="1" si="35"/>
        <v>-130.30751923696687</v>
      </c>
      <c r="J55" s="34">
        <f t="shared" ca="1" si="35"/>
        <v>-131.37859266828039</v>
      </c>
      <c r="K55" s="34">
        <f t="shared" ca="1" si="35"/>
        <v>-124.26913983533677</v>
      </c>
      <c r="L55" s="34">
        <f t="shared" ca="1" si="35"/>
        <v>-110.57890269928581</v>
      </c>
      <c r="M55" s="34">
        <f t="shared" ref="M55:X55" ca="1" si="36">SUM(M54)</f>
        <v>-6.7097950140489449</v>
      </c>
      <c r="N55" s="34">
        <f t="shared" ca="1" si="36"/>
        <v>-20.41229316668807</v>
      </c>
      <c r="O55" s="34">
        <f t="shared" ca="1" si="36"/>
        <v>-31.51387957793202</v>
      </c>
      <c r="P55" s="34">
        <f t="shared" ca="1" si="36"/>
        <v>-42.280481026129621</v>
      </c>
      <c r="Q55" s="34">
        <f t="shared" ca="1" si="36"/>
        <v>-51.426439501139058</v>
      </c>
      <c r="R55" s="34">
        <f t="shared" ca="1" si="36"/>
        <v>-64.804105416238613</v>
      </c>
      <c r="S55" s="34">
        <f t="shared" ca="1" si="36"/>
        <v>-38.55971789647154</v>
      </c>
      <c r="T55" s="34">
        <f t="shared" ca="1" si="36"/>
        <v>-84.14315389664408</v>
      </c>
      <c r="U55" s="34">
        <f t="shared" ca="1" si="36"/>
        <v>-95.892099120353151</v>
      </c>
      <c r="V55" s="34">
        <f t="shared" ca="1" si="36"/>
        <v>-66.148048853762589</v>
      </c>
      <c r="W55" s="34">
        <f t="shared" ca="1" si="36"/>
        <v>-110.96517905760747</v>
      </c>
      <c r="X55" s="34">
        <f t="shared" ca="1" si="36"/>
        <v>-134.76606592393949</v>
      </c>
      <c r="Y55" s="34">
        <f ca="1">SUM(Y54)</f>
        <v>-134.76606592393949</v>
      </c>
      <c r="Z55" s="34">
        <f t="shared" ref="Z55:AK55" ca="1" si="37">SUM(Z54)</f>
        <v>-9.5743428100681189</v>
      </c>
      <c r="AA55" s="34">
        <f t="shared" ca="1" si="37"/>
        <v>-20.703615753354015</v>
      </c>
      <c r="AB55" s="34">
        <f t="shared" ca="1" si="37"/>
        <v>-31.912613664493698</v>
      </c>
      <c r="AC55" s="34">
        <f t="shared" ca="1" si="37"/>
        <v>-42.143456101518161</v>
      </c>
      <c r="AD55" s="34">
        <f t="shared" ca="1" si="37"/>
        <v>-52.760512842600377</v>
      </c>
      <c r="AE55" s="34">
        <f t="shared" ca="1" si="37"/>
        <v>-63.384594187866846</v>
      </c>
      <c r="AF55" s="34">
        <f t="shared" ca="1" si="37"/>
        <v>-73.528160744412872</v>
      </c>
      <c r="AG55" s="34">
        <f t="shared" ca="1" si="37"/>
        <v>-83.394396561001486</v>
      </c>
      <c r="AH55" s="34">
        <f t="shared" ca="1" si="37"/>
        <v>-94.158455069458768</v>
      </c>
      <c r="AI55" s="34">
        <f t="shared" ca="1" si="37"/>
        <v>-104.50130937107471</v>
      </c>
      <c r="AJ55" s="34">
        <f t="shared" ca="1" si="37"/>
        <v>-114.82902449599786</v>
      </c>
      <c r="AK55" s="34">
        <f t="shared" ca="1" si="37"/>
        <v>-124.84656670446871</v>
      </c>
      <c r="AL55" s="34">
        <f ca="1">SUM(AL54)</f>
        <v>-124.84656670446871</v>
      </c>
      <c r="AM55" s="34">
        <f t="shared" ref="AM55:AX55" ca="1" si="38">SUM(AM54)</f>
        <v>-8.4772346079720649</v>
      </c>
      <c r="AN55" s="34">
        <f t="shared" ca="1" si="38"/>
        <v>-23.498485249307791</v>
      </c>
      <c r="AO55" s="34">
        <f t="shared" ca="1" si="38"/>
        <v>0</v>
      </c>
      <c r="AP55" s="34">
        <f t="shared" ca="1" si="38"/>
        <v>0</v>
      </c>
      <c r="AQ55" s="34">
        <f t="shared" ca="1" si="38"/>
        <v>0</v>
      </c>
      <c r="AR55" s="34">
        <f t="shared" ca="1" si="38"/>
        <v>0</v>
      </c>
      <c r="AS55" s="34">
        <f t="shared" ca="1" si="38"/>
        <v>0</v>
      </c>
      <c r="AT55" s="34">
        <f t="shared" ca="1" si="38"/>
        <v>0</v>
      </c>
      <c r="AU55" s="34">
        <f t="shared" ca="1" si="38"/>
        <v>0</v>
      </c>
      <c r="AV55" s="34">
        <f t="shared" ca="1" si="38"/>
        <v>0</v>
      </c>
      <c r="AW55" s="34">
        <f t="shared" ca="1" si="38"/>
        <v>0</v>
      </c>
      <c r="AX55" s="34">
        <f t="shared" ca="1" si="38"/>
        <v>0</v>
      </c>
      <c r="AY55" s="34">
        <f ca="1">SUM(AY54)</f>
        <v>0</v>
      </c>
    </row>
    <row r="56" spans="1:51" ht="15.75" hidden="1" customHeight="1" outlineLevel="2">
      <c r="A56" s="1" t="s">
        <v>161</v>
      </c>
      <c r="C56" s="104"/>
      <c r="E56" s="9" t="str">
        <f ca="1">_xll.DBRW(Server&amp;"}ElementAttributes_Indicator",A56,"code_English")</f>
        <v>PL1115_MF_31 - Tyres</v>
      </c>
      <c r="F56" s="33">
        <f ca="1">_xll.DBRW($C$1,$C$2,$C$3,$C$4,$C$6,$C$5,$C$7,F$1,F$2,A56)</f>
        <v>-27.640351638127214</v>
      </c>
      <c r="G56" s="33">
        <f ca="1">_xll.DBRW($C$1,$C$2,$C$3,$C$4,$C$6,$C$5,$C$7,G$1,G$2,A56)</f>
        <v>-26.962773194811344</v>
      </c>
      <c r="H56" s="33">
        <f ca="1">_xll.DBRW($C$1,$C$2,$C$3,$C$4,$C$6,$C$5,$C$7,H$1,H$2,A56)</f>
        <v>-26.552880190938193</v>
      </c>
      <c r="I56" s="33">
        <f ca="1">_xll.DBRW($C$1,$C$2,$C$3,$C$4,$C$6,$C$5,$C$7,I$1,I$2,A56)</f>
        <v>-26.060667401297572</v>
      </c>
      <c r="J56" s="33">
        <f ca="1">_xll.DBRW($C$1,$C$2,$C$3,$C$4,$C$6,$C$5,$C$7,J$1,J$2,A56)</f>
        <v>-23.35053971444394</v>
      </c>
      <c r="K56" s="33">
        <f ca="1">_xll.DBRW($C$1,$C$2,$C$3,$C$4,$C$6,$C$5,$C$7,K$1,K$2,A56)</f>
        <v>-24.720839545058887</v>
      </c>
      <c r="L56" s="33">
        <f ca="1">_xll.DBRW($C$1,$C$2,$C$3,$C$4,$C$6,$C$5,$C$7,L$1,L$2,A56)</f>
        <v>-23.007532100894345</v>
      </c>
      <c r="M56" s="33">
        <f ca="1">_xll.DBRW($C$1,$C$2,$C$3,$C$4,$C$6,$C$5,$C$7,M$1,M$2,A56)</f>
        <v>-0.95865542537858939</v>
      </c>
      <c r="N56" s="33">
        <f ca="1">_xll.DBRW($C$1,$C$2,$C$3,$C$4,$C$6,$C$5,$C$7,N$1,N$2,A56)</f>
        <v>-4.1293210710031856</v>
      </c>
      <c r="O56" s="33">
        <f ca="1">_xll.DBRW($C$1,$C$2,$C$3,$C$4,$C$6,$C$5,$C$7,O$1,O$2,A56)</f>
        <v>-6.5136790510170632</v>
      </c>
      <c r="P56" s="33">
        <f ca="1">_xll.DBRW($C$1,$C$2,$C$3,$C$4,$C$6,$C$5,$C$7,P$1,P$2,A56)</f>
        <v>-8.1739861279787593</v>
      </c>
      <c r="Q56" s="33">
        <f ca="1">_xll.DBRW($C$1,$C$2,$C$3,$C$4,$C$6,$C$5,$C$7,Q$1,Q$2,A56)</f>
        <v>-10.595175443236837</v>
      </c>
      <c r="R56" s="33">
        <f ca="1">_xll.DBRW($C$1,$C$2,$C$3,$C$4,$C$6,$C$5,$C$7,R$1,R$2,A56)</f>
        <v>-12.942194924364379</v>
      </c>
      <c r="S56" s="33">
        <f ca="1">_xll.DBRW($C$1,$C$2,$C$3,$C$4,$C$6,$C$5,$C$7,S$1,S$2,A56)</f>
        <v>-8.6823586194594036</v>
      </c>
      <c r="T56" s="33">
        <f ca="1">_xll.DBRW($C$1,$C$2,$C$3,$C$4,$C$6,$C$5,$C$7,T$1,T$2,A56)</f>
        <v>-16.172104491022267</v>
      </c>
      <c r="U56" s="33">
        <f ca="1">_xll.DBRW($C$1,$C$2,$C$3,$C$4,$C$6,$C$5,$C$7,U$1,U$2,A56)</f>
        <v>-18.733058952361702</v>
      </c>
      <c r="V56" s="33">
        <f ca="1">_xll.DBRW($C$1,$C$2,$C$3,$C$4,$C$6,$C$5,$C$7,V$1,V$2,A56)</f>
        <v>-13.338751864973887</v>
      </c>
      <c r="W56" s="33">
        <f ca="1">_xll.DBRW($C$1,$C$2,$C$3,$C$4,$C$6,$C$5,$C$7,W$1,W$2,A56)</f>
        <v>-22.152188868750791</v>
      </c>
      <c r="X56" s="33">
        <f ca="1">_xll.DBRW($C$1,$C$2,$C$3,$C$4,$C$6,$C$5,$C$7,X$1,X$2,A56)</f>
        <v>-26.998298980834342</v>
      </c>
      <c r="Y56" s="33">
        <f ca="1">_xll.DBRW($C$1,$C$2,$C$3,$C$4,$C$6,$C$5,$C$7,Y$1,Y$2,A56)</f>
        <v>-26.998298980834342</v>
      </c>
      <c r="Z56" s="33">
        <f ca="1">_xll.DBRW($C$1,$C$2,$C$3,$C$4,$C$6,$C$5,$C$7,Z$1,Z$2,A56)</f>
        <v>-2.0693650706383862</v>
      </c>
      <c r="AA56" s="33">
        <f ca="1">_xll.DBRW($C$1,$C$2,$C$3,$C$4,$C$6,$C$5,$C$7,AA$1,AA$2,A56)</f>
        <v>-4.264520975394591</v>
      </c>
      <c r="AB56" s="33">
        <f ca="1">_xll.DBRW($C$1,$C$2,$C$3,$C$4,$C$6,$C$5,$C$7,AB$1,AB$2,A56)</f>
        <v>-6.6894502215255942</v>
      </c>
      <c r="AC56" s="33">
        <f ca="1">_xll.DBRW($C$1,$C$2,$C$3,$C$4,$C$6,$C$5,$C$7,AC$1,AC$2,A56)</f>
        <v>-8.7374198326374959</v>
      </c>
      <c r="AD56" s="33">
        <f ca="1">_xll.DBRW($C$1,$C$2,$C$3,$C$4,$C$6,$C$5,$C$7,AD$1,AD$2,A56)</f>
        <v>-10.944633631735389</v>
      </c>
      <c r="AE56" s="33">
        <f ca="1">_xll.DBRW($C$1,$C$2,$C$3,$C$4,$C$6,$C$5,$C$7,AE$1,AE$2,A56)</f>
        <v>-13.144745670589536</v>
      </c>
      <c r="AF56" s="33">
        <f ca="1">_xll.DBRW($C$1,$C$2,$C$3,$C$4,$C$6,$C$5,$C$7,AF$1,AF$2,A56)</f>
        <v>-15.025871354328093</v>
      </c>
      <c r="AG56" s="33">
        <f ca="1">_xll.DBRW($C$1,$C$2,$C$3,$C$4,$C$6,$C$5,$C$7,AG$1,AG$2,A56)</f>
        <v>-16.791462871137462</v>
      </c>
      <c r="AH56" s="33">
        <f ca="1">_xll.DBRW($C$1,$C$2,$C$3,$C$4,$C$6,$C$5,$C$7,AH$1,AH$2,A56)</f>
        <v>-19.016544937992265</v>
      </c>
      <c r="AI56" s="33">
        <f ca="1">_xll.DBRW($C$1,$C$2,$C$3,$C$4,$C$6,$C$5,$C$7,AI$1,AI$2,A56)</f>
        <v>-21.218146970239989</v>
      </c>
      <c r="AJ56" s="33">
        <f ca="1">_xll.DBRW($C$1,$C$2,$C$3,$C$4,$C$6,$C$5,$C$7,AJ$1,AJ$2,A56)</f>
        <v>-23.350266224489506</v>
      </c>
      <c r="AK56" s="33">
        <f ca="1">_xll.DBRW($C$1,$C$2,$C$3,$C$4,$C$6,$C$5,$C$7,AK$1,AK$2,A56)</f>
        <v>-25.368369104082703</v>
      </c>
      <c r="AL56" s="33">
        <f ca="1">_xll.DBRW($C$1,$C$2,$C$3,$C$4,$C$6,$C$5,$C$7,AL$1,AL$2,A56)</f>
        <v>-25.368369104082703</v>
      </c>
      <c r="AM56" s="33">
        <f ca="1">_xll.DBRW($C$1,$C$2,$C$3,$C$4,$C$6,$C$5,$C$7,AM$1,AM$2,A56)</f>
        <v>-1.5111570974243431</v>
      </c>
      <c r="AN56" s="33">
        <f ca="1">_xll.DBRW($C$1,$C$2,$C$3,$C$4,$C$6,$C$5,$C$7,AN$1,AN$2,A56)</f>
        <v>-4.6458322137605919</v>
      </c>
      <c r="AO56" s="33">
        <f ca="1">_xll.DBRW($C$1,$C$2,$C$3,$C$4,$C$6,$C$5,$C$7,AO$1,AO$2,A56)</f>
        <v>-8.8817841970012523E-16</v>
      </c>
      <c r="AP56" s="33">
        <f ca="1">_xll.DBRW($C$1,$C$2,$C$3,$C$4,$C$6,$C$5,$C$7,AP$1,AP$2,A56)</f>
        <v>-8.8817841970012523E-16</v>
      </c>
      <c r="AQ56" s="33">
        <f ca="1">_xll.DBRW($C$1,$C$2,$C$3,$C$4,$C$6,$C$5,$C$7,AQ$1,AQ$2,A56)</f>
        <v>-8.8817841970012523E-16</v>
      </c>
      <c r="AR56" s="33">
        <f ca="1">_xll.DBRW($C$1,$C$2,$C$3,$C$4,$C$6,$C$5,$C$7,AR$1,AR$2,A56)</f>
        <v>-8.8817841970012523E-16</v>
      </c>
      <c r="AS56" s="33">
        <f ca="1">_xll.DBRW($C$1,$C$2,$C$3,$C$4,$C$6,$C$5,$C$7,AS$1,AS$2,A56)</f>
        <v>-8.8817841970012523E-16</v>
      </c>
      <c r="AT56" s="33">
        <f ca="1">_xll.DBRW($C$1,$C$2,$C$3,$C$4,$C$6,$C$5,$C$7,AT$1,AT$2,A56)</f>
        <v>-8.8817841970012523E-16</v>
      </c>
      <c r="AU56" s="33">
        <f ca="1">_xll.DBRW($C$1,$C$2,$C$3,$C$4,$C$6,$C$5,$C$7,AU$1,AU$2,A56)</f>
        <v>-8.8817841970012523E-16</v>
      </c>
      <c r="AV56" s="33">
        <f ca="1">_xll.DBRW($C$1,$C$2,$C$3,$C$4,$C$6,$C$5,$C$7,AV$1,AV$2,A56)</f>
        <v>-8.8817841970012523E-16</v>
      </c>
      <c r="AW56" s="33">
        <f ca="1">_xll.DBRW($C$1,$C$2,$C$3,$C$4,$C$6,$C$5,$C$7,AW$1,AW$2,A56)</f>
        <v>-8.8817841970012523E-16</v>
      </c>
      <c r="AX56" s="33">
        <f ca="1">_xll.DBRW($C$1,$C$2,$C$3,$C$4,$C$6,$C$5,$C$7,AX$1,AX$2,A56)</f>
        <v>-8.8817841970012523E-16</v>
      </c>
      <c r="AY56" s="33">
        <f ca="1">_xll.DBRW($C$1,$C$2,$C$3,$C$4,$C$6,$C$5,$C$7,AY$1,AY$2,A56)</f>
        <v>-8.8817841970012523E-16</v>
      </c>
    </row>
    <row r="57" spans="1:51" ht="15.5" hidden="1" outlineLevel="1" collapsed="1">
      <c r="A57" s="1" t="s">
        <v>161</v>
      </c>
      <c r="C57" s="104"/>
      <c r="E57" s="15" t="s">
        <v>27</v>
      </c>
      <c r="F57" s="34">
        <f t="shared" ref="F57:L57" ca="1" si="39">SUM(F56)</f>
        <v>-27.640351638127214</v>
      </c>
      <c r="G57" s="34">
        <f t="shared" ca="1" si="39"/>
        <v>-26.962773194811344</v>
      </c>
      <c r="H57" s="34">
        <f t="shared" ca="1" si="39"/>
        <v>-26.552880190938193</v>
      </c>
      <c r="I57" s="34">
        <f t="shared" ca="1" si="39"/>
        <v>-26.060667401297572</v>
      </c>
      <c r="J57" s="34">
        <f t="shared" ca="1" si="39"/>
        <v>-23.35053971444394</v>
      </c>
      <c r="K57" s="34">
        <f t="shared" ca="1" si="39"/>
        <v>-24.720839545058887</v>
      </c>
      <c r="L57" s="34">
        <f t="shared" ca="1" si="39"/>
        <v>-23.007532100894345</v>
      </c>
      <c r="M57" s="34">
        <f t="shared" ref="M57:X57" ca="1" si="40">SUM(M56)</f>
        <v>-0.95865542537858939</v>
      </c>
      <c r="N57" s="34">
        <f t="shared" ca="1" si="40"/>
        <v>-4.1293210710031856</v>
      </c>
      <c r="O57" s="34">
        <f t="shared" ca="1" si="40"/>
        <v>-6.5136790510170632</v>
      </c>
      <c r="P57" s="34">
        <f t="shared" ca="1" si="40"/>
        <v>-8.1739861279787593</v>
      </c>
      <c r="Q57" s="34">
        <f t="shared" ca="1" si="40"/>
        <v>-10.595175443236837</v>
      </c>
      <c r="R57" s="34">
        <f t="shared" ca="1" si="40"/>
        <v>-12.942194924364379</v>
      </c>
      <c r="S57" s="34">
        <f t="shared" ca="1" si="40"/>
        <v>-8.6823586194594036</v>
      </c>
      <c r="T57" s="34">
        <f t="shared" ca="1" si="40"/>
        <v>-16.172104491022267</v>
      </c>
      <c r="U57" s="34">
        <f t="shared" ca="1" si="40"/>
        <v>-18.733058952361702</v>
      </c>
      <c r="V57" s="34">
        <f t="shared" ca="1" si="40"/>
        <v>-13.338751864973887</v>
      </c>
      <c r="W57" s="34">
        <f t="shared" ca="1" si="40"/>
        <v>-22.152188868750791</v>
      </c>
      <c r="X57" s="34">
        <f t="shared" ca="1" si="40"/>
        <v>-26.998298980834342</v>
      </c>
      <c r="Y57" s="34">
        <f ca="1">SUM(Y56)</f>
        <v>-26.998298980834342</v>
      </c>
      <c r="Z57" s="34">
        <f t="shared" ref="Z57:AK57" ca="1" si="41">SUM(Z56)</f>
        <v>-2.0693650706383862</v>
      </c>
      <c r="AA57" s="34">
        <f t="shared" ca="1" si="41"/>
        <v>-4.264520975394591</v>
      </c>
      <c r="AB57" s="34">
        <f t="shared" ca="1" si="41"/>
        <v>-6.6894502215255942</v>
      </c>
      <c r="AC57" s="34">
        <f t="shared" ca="1" si="41"/>
        <v>-8.7374198326374959</v>
      </c>
      <c r="AD57" s="34">
        <f t="shared" ca="1" si="41"/>
        <v>-10.944633631735389</v>
      </c>
      <c r="AE57" s="34">
        <f t="shared" ca="1" si="41"/>
        <v>-13.144745670589536</v>
      </c>
      <c r="AF57" s="34">
        <f t="shared" ca="1" si="41"/>
        <v>-15.025871354328093</v>
      </c>
      <c r="AG57" s="34">
        <f t="shared" ca="1" si="41"/>
        <v>-16.791462871137462</v>
      </c>
      <c r="AH57" s="34">
        <f t="shared" ca="1" si="41"/>
        <v>-19.016544937992265</v>
      </c>
      <c r="AI57" s="34">
        <f t="shared" ca="1" si="41"/>
        <v>-21.218146970239989</v>
      </c>
      <c r="AJ57" s="34">
        <f t="shared" ca="1" si="41"/>
        <v>-23.350266224489506</v>
      </c>
      <c r="AK57" s="34">
        <f t="shared" ca="1" si="41"/>
        <v>-25.368369104082703</v>
      </c>
      <c r="AL57" s="34">
        <f ca="1">SUM(AL56)</f>
        <v>-25.368369104082703</v>
      </c>
      <c r="AM57" s="34">
        <f t="shared" ref="AM57:AX57" ca="1" si="42">SUM(AM56)</f>
        <v>-1.5111570974243431</v>
      </c>
      <c r="AN57" s="34">
        <f t="shared" ca="1" si="42"/>
        <v>-4.6458322137605919</v>
      </c>
      <c r="AO57" s="34">
        <f t="shared" ca="1" si="42"/>
        <v>-8.8817841970012523E-16</v>
      </c>
      <c r="AP57" s="34">
        <f t="shared" ca="1" si="42"/>
        <v>-8.8817841970012523E-16</v>
      </c>
      <c r="AQ57" s="34">
        <f t="shared" ca="1" si="42"/>
        <v>-8.8817841970012523E-16</v>
      </c>
      <c r="AR57" s="34">
        <f t="shared" ca="1" si="42"/>
        <v>-8.8817841970012523E-16</v>
      </c>
      <c r="AS57" s="34">
        <f t="shared" ca="1" si="42"/>
        <v>-8.8817841970012523E-16</v>
      </c>
      <c r="AT57" s="34">
        <f t="shared" ca="1" si="42"/>
        <v>-8.8817841970012523E-16</v>
      </c>
      <c r="AU57" s="34">
        <f t="shared" ca="1" si="42"/>
        <v>-8.8817841970012523E-16</v>
      </c>
      <c r="AV57" s="34">
        <f t="shared" ca="1" si="42"/>
        <v>-8.8817841970012523E-16</v>
      </c>
      <c r="AW57" s="34">
        <f t="shared" ca="1" si="42"/>
        <v>-8.8817841970012523E-16</v>
      </c>
      <c r="AX57" s="34">
        <f t="shared" ca="1" si="42"/>
        <v>-8.8817841970012523E-16</v>
      </c>
      <c r="AY57" s="34">
        <f ca="1">SUM(AY56)</f>
        <v>-8.8817841970012523E-16</v>
      </c>
    </row>
    <row r="58" spans="1:51" ht="15.75" hidden="1" customHeight="1" outlineLevel="2">
      <c r="A58" s="1" t="s">
        <v>162</v>
      </c>
      <c r="C58" s="104"/>
      <c r="E58" s="9" t="str">
        <f ca="1">_xll.DBRW(Server&amp;"}ElementAttributes_Indicator",A58,"code_English")</f>
        <v>PL1115_MF_32 - Lubricants</v>
      </c>
      <c r="F58" s="33">
        <f ca="1">_xll.DBRW($C$1,$C$2,$C$3,$C$4,$C$6,$C$5,$C$7,F$1,F$2,A58)</f>
        <v>-12.088022571302067</v>
      </c>
      <c r="G58" s="33">
        <f ca="1">_xll.DBRW($C$1,$C$2,$C$3,$C$4,$C$6,$C$5,$C$7,G$1,G$2,A58)</f>
        <v>-11.528720250304421</v>
      </c>
      <c r="H58" s="33">
        <f ca="1">_xll.DBRW($C$1,$C$2,$C$3,$C$4,$C$6,$C$5,$C$7,H$1,H$2,A58)</f>
        <v>-11.766880998772425</v>
      </c>
      <c r="I58" s="33">
        <f ca="1">_xll.DBRW($C$1,$C$2,$C$3,$C$4,$C$6,$C$5,$C$7,I$1,I$2,A58)</f>
        <v>-10.889567066486778</v>
      </c>
      <c r="J58" s="33">
        <f ca="1">_xll.DBRW($C$1,$C$2,$C$3,$C$4,$C$6,$C$5,$C$7,J$1,J$2,A58)</f>
        <v>-10.38708750907502</v>
      </c>
      <c r="K58" s="33">
        <f ca="1">_xll.DBRW($C$1,$C$2,$C$3,$C$4,$C$6,$C$5,$C$7,K$1,K$2,A58)</f>
        <v>-10.329631110248162</v>
      </c>
      <c r="L58" s="33">
        <f ca="1">_xll.DBRW($C$1,$C$2,$C$3,$C$4,$C$6,$C$5,$C$7,L$1,L$2,A58)</f>
        <v>-9.6441196266643043</v>
      </c>
      <c r="M58" s="33">
        <f ca="1">_xll.DBRW($C$1,$C$2,$C$3,$C$4,$C$6,$C$5,$C$7,M$1,M$2,A58)</f>
        <v>-0.89329179256435187</v>
      </c>
      <c r="N58" s="33">
        <f ca="1">_xll.DBRW($C$1,$C$2,$C$3,$C$4,$C$6,$C$5,$C$7,N$1,N$2,A58)</f>
        <v>-1.9512824038644778</v>
      </c>
      <c r="O58" s="33">
        <f ca="1">_xll.DBRW($C$1,$C$2,$C$3,$C$4,$C$6,$C$5,$C$7,O$1,O$2,A58)</f>
        <v>-3.1349575228347222</v>
      </c>
      <c r="P58" s="33">
        <f ca="1">_xll.DBRW($C$1,$C$2,$C$3,$C$4,$C$6,$C$5,$C$7,P$1,P$2,A58)</f>
        <v>-4.4142552339042567</v>
      </c>
      <c r="Q58" s="33">
        <f ca="1">_xll.DBRW($C$1,$C$2,$C$3,$C$4,$C$6,$C$5,$C$7,Q$1,Q$2,A58)</f>
        <v>-5.7358206393432578</v>
      </c>
      <c r="R58" s="33">
        <f ca="1">_xll.DBRW($C$1,$C$2,$C$3,$C$4,$C$6,$C$5,$C$7,R$1,R$2,A58)</f>
        <v>-6.9446971925321437</v>
      </c>
      <c r="S58" s="33">
        <f ca="1">_xll.DBRW($C$1,$C$2,$C$3,$C$4,$C$6,$C$5,$C$7,S$1,S$2,A58)</f>
        <v>-6.0763987691923198</v>
      </c>
      <c r="T58" s="33">
        <f ca="1">_xll.DBRW($C$1,$C$2,$C$3,$C$4,$C$6,$C$5,$C$7,T$1,T$2,A58)</f>
        <v>-8.9889330755391992</v>
      </c>
      <c r="U58" s="33">
        <f ca="1">_xll.DBRW($C$1,$C$2,$C$3,$C$4,$C$6,$C$5,$C$7,U$1,U$2,A58)</f>
        <v>-10.400571311314774</v>
      </c>
      <c r="V58" s="33">
        <f ca="1">_xll.DBRW($C$1,$C$2,$C$3,$C$4,$C$6,$C$5,$C$7,V$1,V$2,A58)</f>
        <v>-9.0004725898583278</v>
      </c>
      <c r="W58" s="33">
        <f ca="1">_xll.DBRW($C$1,$C$2,$C$3,$C$4,$C$6,$C$5,$C$7,W$1,W$2,A58)</f>
        <v>-13.29288316009275</v>
      </c>
      <c r="X58" s="33">
        <f ca="1">_xll.DBRW($C$1,$C$2,$C$3,$C$4,$C$6,$C$5,$C$7,X$1,X$2,A58)</f>
        <v>-15.628248457675138</v>
      </c>
      <c r="Y58" s="33">
        <f ca="1">_xll.DBRW($C$1,$C$2,$C$3,$C$4,$C$6,$C$5,$C$7,Y$1,Y$2,A58)</f>
        <v>-15.628248457675138</v>
      </c>
      <c r="Z58" s="33">
        <f ca="1">_xll.DBRW($C$1,$C$2,$C$3,$C$4,$C$6,$C$5,$C$7,Z$1,Z$2,A58)</f>
        <v>-1.234646921488914</v>
      </c>
      <c r="AA58" s="33">
        <f ca="1">_xll.DBRW($C$1,$C$2,$C$3,$C$4,$C$6,$C$5,$C$7,AA$1,AA$2,A58)</f>
        <v>-2.4034520032805071</v>
      </c>
      <c r="AB58" s="33">
        <f ca="1">_xll.DBRW($C$1,$C$2,$C$3,$C$4,$C$6,$C$5,$C$7,AB$1,AB$2,A58)</f>
        <v>-3.6994550039995491</v>
      </c>
      <c r="AC58" s="33">
        <f ca="1">_xll.DBRW($C$1,$C$2,$C$3,$C$4,$C$6,$C$5,$C$7,AC$1,AC$2,A58)</f>
        <v>-4.8624617477453214</v>
      </c>
      <c r="AD58" s="33">
        <f ca="1">_xll.DBRW($C$1,$C$2,$C$3,$C$4,$C$6,$C$5,$C$7,AD$1,AD$2,A58)</f>
        <v>-6.0966235695802489</v>
      </c>
      <c r="AE58" s="33">
        <f ca="1">_xll.DBRW($C$1,$C$2,$C$3,$C$4,$C$6,$C$5,$C$7,AE$1,AE$2,A58)</f>
        <v>-7.365620787138722</v>
      </c>
      <c r="AF58" s="33">
        <f ca="1">_xll.DBRW($C$1,$C$2,$C$3,$C$4,$C$6,$C$5,$C$7,AF$1,AF$2,A58)</f>
        <v>-8.5052478847396831</v>
      </c>
      <c r="AG58" s="33">
        <f ca="1">_xll.DBRW($C$1,$C$2,$C$3,$C$4,$C$6,$C$5,$C$7,AG$1,AG$2,A58)</f>
        <v>-9.5294219935193816</v>
      </c>
      <c r="AH58" s="33">
        <f ca="1">_xll.DBRW($C$1,$C$2,$C$3,$C$4,$C$6,$C$5,$C$7,AH$1,AH$2,A58)</f>
        <v>-10.690926646208617</v>
      </c>
      <c r="AI58" s="33">
        <f ca="1">_xll.DBRW($C$1,$C$2,$C$3,$C$4,$C$6,$C$5,$C$7,AI$1,AI$2,A58)</f>
        <v>-11.823636841794723</v>
      </c>
      <c r="AJ58" s="33">
        <f ca="1">_xll.DBRW($C$1,$C$2,$C$3,$C$4,$C$6,$C$5,$C$7,AJ$1,AJ$2,A58)</f>
        <v>-12.959248540226495</v>
      </c>
      <c r="AK58" s="33">
        <f ca="1">_xll.DBRW($C$1,$C$2,$C$3,$C$4,$C$6,$C$5,$C$7,AK$1,AK$2,A58)</f>
        <v>-14.061062374796077</v>
      </c>
      <c r="AL58" s="33">
        <f ca="1">_xll.DBRW($C$1,$C$2,$C$3,$C$4,$C$6,$C$5,$C$7,AL$1,AL$2,A58)</f>
        <v>-14.061062374796077</v>
      </c>
      <c r="AM58" s="33">
        <f ca="1">_xll.DBRW($C$1,$C$2,$C$3,$C$4,$C$6,$C$5,$C$7,AM$1,AM$2,A58)</f>
        <v>-1.3298974901713854</v>
      </c>
      <c r="AN58" s="33">
        <f ca="1">_xll.DBRW($C$1,$C$2,$C$3,$C$4,$C$6,$C$5,$C$7,AN$1,AN$2,A58)</f>
        <v>-2.6559085629620576</v>
      </c>
      <c r="AO58" s="33">
        <f ca="1">_xll.DBRW($C$1,$C$2,$C$3,$C$4,$C$6,$C$5,$C$7,AO$1,AO$2,A58)</f>
        <v>4.4408920985006262E-16</v>
      </c>
      <c r="AP58" s="33">
        <f ca="1">_xll.DBRW($C$1,$C$2,$C$3,$C$4,$C$6,$C$5,$C$7,AP$1,AP$2,A58)</f>
        <v>4.4408920985006262E-16</v>
      </c>
      <c r="AQ58" s="33">
        <f ca="1">_xll.DBRW($C$1,$C$2,$C$3,$C$4,$C$6,$C$5,$C$7,AQ$1,AQ$2,A58)</f>
        <v>4.4408920985006262E-16</v>
      </c>
      <c r="AR58" s="33">
        <f ca="1">_xll.DBRW($C$1,$C$2,$C$3,$C$4,$C$6,$C$5,$C$7,AR$1,AR$2,A58)</f>
        <v>4.4408920985006262E-16</v>
      </c>
      <c r="AS58" s="33">
        <f ca="1">_xll.DBRW($C$1,$C$2,$C$3,$C$4,$C$6,$C$5,$C$7,AS$1,AS$2,A58)</f>
        <v>4.4408920985006262E-16</v>
      </c>
      <c r="AT58" s="33">
        <f ca="1">_xll.DBRW($C$1,$C$2,$C$3,$C$4,$C$6,$C$5,$C$7,AT$1,AT$2,A58)</f>
        <v>4.4408920985006262E-16</v>
      </c>
      <c r="AU58" s="33">
        <f ca="1">_xll.DBRW($C$1,$C$2,$C$3,$C$4,$C$6,$C$5,$C$7,AU$1,AU$2,A58)</f>
        <v>4.4408920985006262E-16</v>
      </c>
      <c r="AV58" s="33">
        <f ca="1">_xll.DBRW($C$1,$C$2,$C$3,$C$4,$C$6,$C$5,$C$7,AV$1,AV$2,A58)</f>
        <v>4.4408920985006262E-16</v>
      </c>
      <c r="AW58" s="33">
        <f ca="1">_xll.DBRW($C$1,$C$2,$C$3,$C$4,$C$6,$C$5,$C$7,AW$1,AW$2,A58)</f>
        <v>4.4408920985006262E-16</v>
      </c>
      <c r="AX58" s="33">
        <f ca="1">_xll.DBRW($C$1,$C$2,$C$3,$C$4,$C$6,$C$5,$C$7,AX$1,AX$2,A58)</f>
        <v>4.4408920985006262E-16</v>
      </c>
      <c r="AY58" s="33">
        <f ca="1">_xll.DBRW($C$1,$C$2,$C$3,$C$4,$C$6,$C$5,$C$7,AY$1,AY$2,A58)</f>
        <v>4.4408920985006262E-16</v>
      </c>
    </row>
    <row r="59" spans="1:51" ht="15.5" hidden="1" outlineLevel="1" collapsed="1">
      <c r="A59" s="1" t="s">
        <v>162</v>
      </c>
      <c r="C59" s="104"/>
      <c r="E59" s="15" t="s">
        <v>28</v>
      </c>
      <c r="F59" s="34">
        <f t="shared" ref="F59:L59" ca="1" si="43">SUM(F58)</f>
        <v>-12.088022571302067</v>
      </c>
      <c r="G59" s="34">
        <f t="shared" ca="1" si="43"/>
        <v>-11.528720250304421</v>
      </c>
      <c r="H59" s="34">
        <f t="shared" ca="1" si="43"/>
        <v>-11.766880998772425</v>
      </c>
      <c r="I59" s="34">
        <f t="shared" ca="1" si="43"/>
        <v>-10.889567066486778</v>
      </c>
      <c r="J59" s="34">
        <f t="shared" ca="1" si="43"/>
        <v>-10.38708750907502</v>
      </c>
      <c r="K59" s="34">
        <f t="shared" ca="1" si="43"/>
        <v>-10.329631110248162</v>
      </c>
      <c r="L59" s="34">
        <f t="shared" ca="1" si="43"/>
        <v>-9.6441196266643043</v>
      </c>
      <c r="M59" s="34">
        <f t="shared" ref="M59:X59" ca="1" si="44">SUM(M58)</f>
        <v>-0.89329179256435187</v>
      </c>
      <c r="N59" s="34">
        <f t="shared" ca="1" si="44"/>
        <v>-1.9512824038644778</v>
      </c>
      <c r="O59" s="34">
        <f t="shared" ca="1" si="44"/>
        <v>-3.1349575228347222</v>
      </c>
      <c r="P59" s="34">
        <f t="shared" ca="1" si="44"/>
        <v>-4.4142552339042567</v>
      </c>
      <c r="Q59" s="34">
        <f t="shared" ca="1" si="44"/>
        <v>-5.7358206393432578</v>
      </c>
      <c r="R59" s="34">
        <f t="shared" ca="1" si="44"/>
        <v>-6.9446971925321437</v>
      </c>
      <c r="S59" s="34">
        <f t="shared" ca="1" si="44"/>
        <v>-6.0763987691923198</v>
      </c>
      <c r="T59" s="34">
        <f t="shared" ca="1" si="44"/>
        <v>-8.9889330755391992</v>
      </c>
      <c r="U59" s="34">
        <f t="shared" ca="1" si="44"/>
        <v>-10.400571311314774</v>
      </c>
      <c r="V59" s="34">
        <f t="shared" ca="1" si="44"/>
        <v>-9.0004725898583278</v>
      </c>
      <c r="W59" s="34">
        <f t="shared" ca="1" si="44"/>
        <v>-13.29288316009275</v>
      </c>
      <c r="X59" s="34">
        <f t="shared" ca="1" si="44"/>
        <v>-15.628248457675138</v>
      </c>
      <c r="Y59" s="34">
        <f ca="1">SUM(Y58)</f>
        <v>-15.628248457675138</v>
      </c>
      <c r="Z59" s="34">
        <f t="shared" ref="Z59:AK59" ca="1" si="45">SUM(Z58)</f>
        <v>-1.234646921488914</v>
      </c>
      <c r="AA59" s="34">
        <f t="shared" ca="1" si="45"/>
        <v>-2.4034520032805071</v>
      </c>
      <c r="AB59" s="34">
        <f t="shared" ca="1" si="45"/>
        <v>-3.6994550039995491</v>
      </c>
      <c r="AC59" s="34">
        <f t="shared" ca="1" si="45"/>
        <v>-4.8624617477453214</v>
      </c>
      <c r="AD59" s="34">
        <f t="shared" ca="1" si="45"/>
        <v>-6.0966235695802489</v>
      </c>
      <c r="AE59" s="34">
        <f t="shared" ca="1" si="45"/>
        <v>-7.365620787138722</v>
      </c>
      <c r="AF59" s="34">
        <f t="shared" ca="1" si="45"/>
        <v>-8.5052478847396831</v>
      </c>
      <c r="AG59" s="34">
        <f t="shared" ca="1" si="45"/>
        <v>-9.5294219935193816</v>
      </c>
      <c r="AH59" s="34">
        <f t="shared" ca="1" si="45"/>
        <v>-10.690926646208617</v>
      </c>
      <c r="AI59" s="34">
        <f t="shared" ca="1" si="45"/>
        <v>-11.823636841794723</v>
      </c>
      <c r="AJ59" s="34">
        <f t="shared" ca="1" si="45"/>
        <v>-12.959248540226495</v>
      </c>
      <c r="AK59" s="34">
        <f t="shared" ca="1" si="45"/>
        <v>-14.061062374796077</v>
      </c>
      <c r="AL59" s="34">
        <f ca="1">SUM(AL58)</f>
        <v>-14.061062374796077</v>
      </c>
      <c r="AM59" s="34">
        <f t="shared" ref="AM59:AX59" ca="1" si="46">SUM(AM58)</f>
        <v>-1.3298974901713854</v>
      </c>
      <c r="AN59" s="34">
        <f t="shared" ca="1" si="46"/>
        <v>-2.6559085629620576</v>
      </c>
      <c r="AO59" s="34">
        <f t="shared" ca="1" si="46"/>
        <v>4.4408920985006262E-16</v>
      </c>
      <c r="AP59" s="34">
        <f t="shared" ca="1" si="46"/>
        <v>4.4408920985006262E-16</v>
      </c>
      <c r="AQ59" s="34">
        <f t="shared" ca="1" si="46"/>
        <v>4.4408920985006262E-16</v>
      </c>
      <c r="AR59" s="34">
        <f t="shared" ca="1" si="46"/>
        <v>4.4408920985006262E-16</v>
      </c>
      <c r="AS59" s="34">
        <f t="shared" ca="1" si="46"/>
        <v>4.4408920985006262E-16</v>
      </c>
      <c r="AT59" s="34">
        <f t="shared" ca="1" si="46"/>
        <v>4.4408920985006262E-16</v>
      </c>
      <c r="AU59" s="34">
        <f t="shared" ca="1" si="46"/>
        <v>4.4408920985006262E-16</v>
      </c>
      <c r="AV59" s="34">
        <f t="shared" ca="1" si="46"/>
        <v>4.4408920985006262E-16</v>
      </c>
      <c r="AW59" s="34">
        <f t="shared" ca="1" si="46"/>
        <v>4.4408920985006262E-16</v>
      </c>
      <c r="AX59" s="34">
        <f t="shared" ca="1" si="46"/>
        <v>4.4408920985006262E-16</v>
      </c>
      <c r="AY59" s="34">
        <f ca="1">SUM(AY58)</f>
        <v>4.4408920985006262E-16</v>
      </c>
    </row>
    <row r="60" spans="1:51" ht="15.75" hidden="1" customHeight="1" outlineLevel="2">
      <c r="A60" s="1" t="s">
        <v>163</v>
      </c>
      <c r="C60" s="104"/>
      <c r="E60" s="9" t="str">
        <f ca="1">_xll.DBRW(Server&amp;"}ElementAttributes_Indicator",A60,"code_English")</f>
        <v>PL1115_MF_99 - Others (MF)</v>
      </c>
      <c r="F60" s="33">
        <f ca="1">_xll.DBRW($C$1,$C$2,$C$3,$C$4,$C$6,$C$5,$C$7,F$1,F$2,A60)</f>
        <v>-77.641783000102166</v>
      </c>
      <c r="G60" s="33">
        <f ca="1">_xll.DBRW($C$1,$C$2,$C$3,$C$4,$C$6,$C$5,$C$7,G$1,G$2,A60)</f>
        <v>-85.880692068193667</v>
      </c>
      <c r="H60" s="33">
        <f ca="1">_xll.DBRW($C$1,$C$2,$C$3,$C$4,$C$6,$C$5,$C$7,H$1,H$2,A60)</f>
        <v>-76.674430087622966</v>
      </c>
      <c r="I60" s="33">
        <f ca="1">_xll.DBRW($C$1,$C$2,$C$3,$C$4,$C$6,$C$5,$C$7,I$1,I$2,A60)</f>
        <v>-85.870622655565242</v>
      </c>
      <c r="J60" s="33">
        <f ca="1">_xll.DBRW($C$1,$C$2,$C$3,$C$4,$C$6,$C$5,$C$7,J$1,J$2,A60)</f>
        <v>-81.909380314266159</v>
      </c>
      <c r="K60" s="33">
        <f ca="1">_xll.DBRW($C$1,$C$2,$C$3,$C$4,$C$6,$C$5,$C$7,K$1,K$2,A60)</f>
        <v>-78.862239361313812</v>
      </c>
      <c r="L60" s="33">
        <f ca="1">_xll.DBRW($C$1,$C$2,$C$3,$C$4,$C$6,$C$5,$C$7,L$1,L$2,A60)</f>
        <v>-90.250334018758124</v>
      </c>
      <c r="M60" s="33">
        <f ca="1">_xll.DBRW($C$1,$C$2,$C$3,$C$4,$C$6,$C$5,$C$7,M$1,M$2,A60)</f>
        <v>-4.9717218350061509</v>
      </c>
      <c r="N60" s="33">
        <f ca="1">_xll.DBRW($C$1,$C$2,$C$3,$C$4,$C$6,$C$5,$C$7,N$1,N$2,A60)</f>
        <v>-11.319075080189762</v>
      </c>
      <c r="O60" s="33">
        <f ca="1">_xll.DBRW($C$1,$C$2,$C$3,$C$4,$C$6,$C$5,$C$7,O$1,O$2,A60)</f>
        <v>-19.505761410697268</v>
      </c>
      <c r="P60" s="33">
        <f ca="1">_xll.DBRW($C$1,$C$2,$C$3,$C$4,$C$6,$C$5,$C$7,P$1,P$2,A60)</f>
        <v>-27.179900310819807</v>
      </c>
      <c r="Q60" s="33">
        <f ca="1">_xll.DBRW($C$1,$C$2,$C$3,$C$4,$C$6,$C$5,$C$7,Q$1,Q$2,A60)</f>
        <v>-35.900290944321227</v>
      </c>
      <c r="R60" s="33">
        <f ca="1">_xll.DBRW($C$1,$C$2,$C$3,$C$4,$C$6,$C$5,$C$7,R$1,R$2,A60)</f>
        <v>-42.987156442745537</v>
      </c>
      <c r="S60" s="33">
        <f ca="1">_xll.DBRW($C$1,$C$2,$C$3,$C$4,$C$6,$C$5,$C$7,S$1,S$2,A60)</f>
        <v>-38.96279425080246</v>
      </c>
      <c r="T60" s="33">
        <f ca="1">_xll.DBRW($C$1,$C$2,$C$3,$C$4,$C$6,$C$5,$C$7,T$1,T$2,A60)</f>
        <v>-58.832027945079432</v>
      </c>
      <c r="U60" s="33">
        <f ca="1">_xll.DBRW($C$1,$C$2,$C$3,$C$4,$C$6,$C$5,$C$7,U$1,U$2,A60)</f>
        <v>-66.893665647602631</v>
      </c>
      <c r="V60" s="33">
        <f ca="1">_xll.DBRW($C$1,$C$2,$C$3,$C$4,$C$6,$C$5,$C$7,V$1,V$2,A60)</f>
        <v>-57.140666515238124</v>
      </c>
      <c r="W60" s="33">
        <f ca="1">_xll.DBRW($C$1,$C$2,$C$3,$C$4,$C$6,$C$5,$C$7,W$1,W$2,A60)</f>
        <v>-78.065990816169744</v>
      </c>
      <c r="X60" s="33">
        <f ca="1">_xll.DBRW($C$1,$C$2,$C$3,$C$4,$C$6,$C$5,$C$7,X$1,X$2,A60)</f>
        <v>-91.013714784141996</v>
      </c>
      <c r="Y60" s="33">
        <f ca="1">_xll.DBRW($C$1,$C$2,$C$3,$C$4,$C$6,$C$5,$C$7,Y$1,Y$2,A60)</f>
        <v>-91.013714784141996</v>
      </c>
      <c r="Z60" s="33">
        <f ca="1">_xll.DBRW($C$1,$C$2,$C$3,$C$4,$C$6,$C$5,$C$7,Z$1,Z$2,A60)</f>
        <v>-7.477210314530482</v>
      </c>
      <c r="AA60" s="33">
        <f ca="1">_xll.DBRW($C$1,$C$2,$C$3,$C$4,$C$6,$C$5,$C$7,AA$1,AA$2,A60)</f>
        <v>-16.476306723298805</v>
      </c>
      <c r="AB60" s="33">
        <f ca="1">_xll.DBRW($C$1,$C$2,$C$3,$C$4,$C$6,$C$5,$C$7,AB$1,AB$2,A60)</f>
        <v>-25.248058123926807</v>
      </c>
      <c r="AC60" s="33">
        <f ca="1">_xll.DBRW($C$1,$C$2,$C$3,$C$4,$C$6,$C$5,$C$7,AC$1,AC$2,A60)</f>
        <v>-33.556636878438972</v>
      </c>
      <c r="AD60" s="33">
        <f ca="1">_xll.DBRW($C$1,$C$2,$C$3,$C$4,$C$6,$C$5,$C$7,AD$1,AD$2,A60)</f>
        <v>-41.892189117401728</v>
      </c>
      <c r="AE60" s="33">
        <f ca="1">_xll.DBRW($C$1,$C$2,$C$3,$C$4,$C$6,$C$5,$C$7,AE$1,AE$2,A60)</f>
        <v>-50.28626733720494</v>
      </c>
      <c r="AF60" s="33">
        <f ca="1">_xll.DBRW($C$1,$C$2,$C$3,$C$4,$C$6,$C$5,$C$7,AF$1,AF$2,A60)</f>
        <v>-58.362529665062894</v>
      </c>
      <c r="AG60" s="33">
        <f ca="1">_xll.DBRW($C$1,$C$2,$C$3,$C$4,$C$6,$C$5,$C$7,AG$1,AG$2,A60)</f>
        <v>-66.566600995951205</v>
      </c>
      <c r="AH60" s="33">
        <f ca="1">_xll.DBRW($C$1,$C$2,$C$3,$C$4,$C$6,$C$5,$C$7,AH$1,AH$2,A60)</f>
        <v>-74.775405251396649</v>
      </c>
      <c r="AI60" s="33">
        <f ca="1">_xll.DBRW($C$1,$C$2,$C$3,$C$4,$C$6,$C$5,$C$7,AI$1,AI$2,A60)</f>
        <v>-83.11004215635559</v>
      </c>
      <c r="AJ60" s="33">
        <f ca="1">_xll.DBRW($C$1,$C$2,$C$3,$C$4,$C$6,$C$5,$C$7,AJ$1,AJ$2,A60)</f>
        <v>-91.269115610678639</v>
      </c>
      <c r="AK60" s="33">
        <f ca="1">_xll.DBRW($C$1,$C$2,$C$3,$C$4,$C$6,$C$5,$C$7,AK$1,AK$2,A60)</f>
        <v>-99.250297142426376</v>
      </c>
      <c r="AL60" s="33">
        <f ca="1">_xll.DBRW($C$1,$C$2,$C$3,$C$4,$C$6,$C$5,$C$7,AL$1,AL$2,A60)</f>
        <v>-99.250297142426376</v>
      </c>
      <c r="AM60" s="33">
        <f ca="1">_xll.DBRW($C$1,$C$2,$C$3,$C$4,$C$6,$C$5,$C$7,AM$1,AM$2,A60)</f>
        <v>-7.8302682579805198</v>
      </c>
      <c r="AN60" s="33">
        <f ca="1">_xll.DBRW($C$1,$C$2,$C$3,$C$4,$C$6,$C$5,$C$7,AN$1,AN$2,A60)</f>
        <v>-15.654050048013552</v>
      </c>
      <c r="AO60" s="33">
        <f ca="1">_xll.DBRW($C$1,$C$2,$C$3,$C$4,$C$6,$C$5,$C$7,AO$1,AO$2,A60)</f>
        <v>-3.5527136788005009E-15</v>
      </c>
      <c r="AP60" s="33">
        <f ca="1">_xll.DBRW($C$1,$C$2,$C$3,$C$4,$C$6,$C$5,$C$7,AP$1,AP$2,A60)</f>
        <v>-3.5527136788005009E-15</v>
      </c>
      <c r="AQ60" s="33">
        <f ca="1">_xll.DBRW($C$1,$C$2,$C$3,$C$4,$C$6,$C$5,$C$7,AQ$1,AQ$2,A60)</f>
        <v>-3.5527136788005009E-15</v>
      </c>
      <c r="AR60" s="33">
        <f ca="1">_xll.DBRW($C$1,$C$2,$C$3,$C$4,$C$6,$C$5,$C$7,AR$1,AR$2,A60)</f>
        <v>-3.5527136788005009E-15</v>
      </c>
      <c r="AS60" s="33">
        <f ca="1">_xll.DBRW($C$1,$C$2,$C$3,$C$4,$C$6,$C$5,$C$7,AS$1,AS$2,A60)</f>
        <v>-3.5527136788005009E-15</v>
      </c>
      <c r="AT60" s="33">
        <f ca="1">_xll.DBRW($C$1,$C$2,$C$3,$C$4,$C$6,$C$5,$C$7,AT$1,AT$2,A60)</f>
        <v>-3.5527136788005009E-15</v>
      </c>
      <c r="AU60" s="33">
        <f ca="1">_xll.DBRW($C$1,$C$2,$C$3,$C$4,$C$6,$C$5,$C$7,AU$1,AU$2,A60)</f>
        <v>-3.5527136788005009E-15</v>
      </c>
      <c r="AV60" s="33">
        <f ca="1">_xll.DBRW($C$1,$C$2,$C$3,$C$4,$C$6,$C$5,$C$7,AV$1,AV$2,A60)</f>
        <v>-3.5527136788005009E-15</v>
      </c>
      <c r="AW60" s="33">
        <f ca="1">_xll.DBRW($C$1,$C$2,$C$3,$C$4,$C$6,$C$5,$C$7,AW$1,AW$2,A60)</f>
        <v>-3.5527136788005009E-15</v>
      </c>
      <c r="AX60" s="33">
        <f ca="1">_xll.DBRW($C$1,$C$2,$C$3,$C$4,$C$6,$C$5,$C$7,AX$1,AX$2,A60)</f>
        <v>-3.5527136788005009E-15</v>
      </c>
      <c r="AY60" s="33">
        <f ca="1">_xll.DBRW($C$1,$C$2,$C$3,$C$4,$C$6,$C$5,$C$7,AY$1,AY$2,A60)</f>
        <v>-3.5527136788005009E-15</v>
      </c>
    </row>
    <row r="61" spans="1:51" ht="15.75" hidden="1" customHeight="1" outlineLevel="2">
      <c r="A61" s="1" t="s">
        <v>164</v>
      </c>
      <c r="C61" s="104"/>
      <c r="E61" s="9" t="str">
        <f ca="1">_xll.DBRW(Server&amp;"}ElementAttributes_Indicator",A61,"code_English")</f>
        <v>PL1115_ST_10 - Subcontracting transport (ST)</v>
      </c>
      <c r="F61" s="33">
        <f ca="1">_xll.DBRW($C$1,$C$2,$C$3,$C$4,$C$6,$C$5,$C$7,F$1,F$2,A61)</f>
        <v>-435.02817037940275</v>
      </c>
      <c r="G61" s="33">
        <f ca="1">_xll.DBRW($C$1,$C$2,$C$3,$C$4,$C$6,$C$5,$C$7,G$1,G$2,A61)</f>
        <v>-371.68579705348156</v>
      </c>
      <c r="H61" s="33">
        <f ca="1">_xll.DBRW($C$1,$C$2,$C$3,$C$4,$C$6,$C$5,$C$7,H$1,H$2,A61)</f>
        <v>-385.06858218315148</v>
      </c>
      <c r="I61" s="33">
        <f ca="1">_xll.DBRW($C$1,$C$2,$C$3,$C$4,$C$6,$C$5,$C$7,I$1,I$2,A61)</f>
        <v>-353.45850492312564</v>
      </c>
      <c r="J61" s="33">
        <f ca="1">_xll.DBRW($C$1,$C$2,$C$3,$C$4,$C$6,$C$5,$C$7,J$1,J$2,A61)</f>
        <v>-407.30613225328784</v>
      </c>
      <c r="K61" s="33">
        <f ca="1">_xll.DBRW($C$1,$C$2,$C$3,$C$4,$C$6,$C$5,$C$7,K$1,K$2,A61)</f>
        <v>-473.57462356808747</v>
      </c>
      <c r="L61" s="33">
        <f ca="1">_xll.DBRW($C$1,$C$2,$C$3,$C$4,$C$6,$C$5,$C$7,L$1,L$2,A61)</f>
        <v>-461.70706856450164</v>
      </c>
      <c r="M61" s="33">
        <f ca="1">_xll.DBRW($C$1,$C$2,$C$3,$C$4,$C$6,$C$5,$C$7,M$1,M$2,A61)</f>
        <v>-15.105442556633907</v>
      </c>
      <c r="N61" s="33">
        <f ca="1">_xll.DBRW($C$1,$C$2,$C$3,$C$4,$C$6,$C$5,$C$7,N$1,N$2,A61)</f>
        <v>-82.570852182624122</v>
      </c>
      <c r="O61" s="33">
        <f ca="1">_xll.DBRW($C$1,$C$2,$C$3,$C$4,$C$6,$C$5,$C$7,O$1,O$2,A61)</f>
        <v>-132.79007971629878</v>
      </c>
      <c r="P61" s="33">
        <f ca="1">_xll.DBRW($C$1,$C$2,$C$3,$C$4,$C$6,$C$5,$C$7,P$1,P$2,A61)</f>
        <v>-173.64331343951352</v>
      </c>
      <c r="Q61" s="33">
        <f ca="1">_xll.DBRW($C$1,$C$2,$C$3,$C$4,$C$6,$C$5,$C$7,Q$1,Q$2,A61)</f>
        <v>-223.38092043476328</v>
      </c>
      <c r="R61" s="33">
        <f ca="1">_xll.DBRW($C$1,$C$2,$C$3,$C$4,$C$6,$C$5,$C$7,R$1,R$2,A61)</f>
        <v>-273.20581217125812</v>
      </c>
      <c r="S61" s="33">
        <f ca="1">_xll.DBRW($C$1,$C$2,$C$3,$C$4,$C$6,$C$5,$C$7,S$1,S$2,A61)</f>
        <v>-149.91051675868999</v>
      </c>
      <c r="T61" s="33">
        <f ca="1">_xll.DBRW($C$1,$C$2,$C$3,$C$4,$C$6,$C$5,$C$7,T$1,T$2,A61)</f>
        <v>-353.18787604776429</v>
      </c>
      <c r="U61" s="33">
        <f ca="1">_xll.DBRW($C$1,$C$2,$C$3,$C$4,$C$6,$C$5,$C$7,U$1,U$2,A61)</f>
        <v>-409.40636266776346</v>
      </c>
      <c r="V61" s="33">
        <f ca="1">_xll.DBRW($C$1,$C$2,$C$3,$C$4,$C$6,$C$5,$C$7,V$1,V$2,A61)</f>
        <v>-211.64522630581038</v>
      </c>
      <c r="W61" s="33">
        <f ca="1">_xll.DBRW($C$1,$C$2,$C$3,$C$4,$C$6,$C$5,$C$7,W$1,W$2,A61)</f>
        <v>-415.32974998828115</v>
      </c>
      <c r="X61" s="33">
        <f ca="1">_xll.DBRW($C$1,$C$2,$C$3,$C$4,$C$6,$C$5,$C$7,X$1,X$2,A61)</f>
        <v>-556.07528196646331</v>
      </c>
      <c r="Y61" s="33">
        <f ca="1">_xll.DBRW($C$1,$C$2,$C$3,$C$4,$C$6,$C$5,$C$7,Y$1,Y$2,A61)</f>
        <v>-556.07528196646331</v>
      </c>
      <c r="Z61" s="33">
        <f ca="1">_xll.DBRW($C$1,$C$2,$C$3,$C$4,$C$6,$C$5,$C$7,Z$1,Z$2,A61)</f>
        <v>-39.066799224352586</v>
      </c>
      <c r="AA61" s="33">
        <f ca="1">_xll.DBRW($C$1,$C$2,$C$3,$C$4,$C$6,$C$5,$C$7,AA$1,AA$2,A61)</f>
        <v>-89.059823557534514</v>
      </c>
      <c r="AB61" s="33">
        <f ca="1">_xll.DBRW($C$1,$C$2,$C$3,$C$4,$C$6,$C$5,$C$7,AB$1,AB$2,A61)</f>
        <v>-138.68157012476723</v>
      </c>
      <c r="AC61" s="33">
        <f ca="1">_xll.DBRW($C$1,$C$2,$C$3,$C$4,$C$6,$C$5,$C$7,AC$1,AC$2,A61)</f>
        <v>-180.78236350367263</v>
      </c>
      <c r="AD61" s="33">
        <f ca="1">_xll.DBRW($C$1,$C$2,$C$3,$C$4,$C$6,$C$5,$C$7,AD$1,AD$2,A61)</f>
        <v>-227.17069352531163</v>
      </c>
      <c r="AE61" s="33">
        <f ca="1">_xll.DBRW($C$1,$C$2,$C$3,$C$4,$C$6,$C$5,$C$7,AE$1,AE$2,A61)</f>
        <v>-275.13268776362503</v>
      </c>
      <c r="AF61" s="33">
        <f ca="1">_xll.DBRW($C$1,$C$2,$C$3,$C$4,$C$6,$C$5,$C$7,AF$1,AF$2,A61)</f>
        <v>-315.59494744907289</v>
      </c>
      <c r="AG61" s="33">
        <f ca="1">_xll.DBRW($C$1,$C$2,$C$3,$C$4,$C$6,$C$5,$C$7,AG$1,AG$2,A61)</f>
        <v>-355.71256936013185</v>
      </c>
      <c r="AH61" s="33">
        <f ca="1">_xll.DBRW($C$1,$C$2,$C$3,$C$4,$C$6,$C$5,$C$7,AH$1,AH$2,A61)</f>
        <v>-403.66572913484742</v>
      </c>
      <c r="AI61" s="33">
        <f ca="1">_xll.DBRW($C$1,$C$2,$C$3,$C$4,$C$6,$C$5,$C$7,AI$1,AI$2,A61)</f>
        <v>-447.60443802744931</v>
      </c>
      <c r="AJ61" s="33">
        <f ca="1">_xll.DBRW($C$1,$C$2,$C$3,$C$4,$C$6,$C$5,$C$7,AJ$1,AJ$2,A61)</f>
        <v>-493.91276413852506</v>
      </c>
      <c r="AK61" s="33">
        <f ca="1">_xll.DBRW($C$1,$C$2,$C$3,$C$4,$C$6,$C$5,$C$7,AK$1,AK$2,A61)</f>
        <v>-538.15449156207001</v>
      </c>
      <c r="AL61" s="33">
        <f ca="1">_xll.DBRW($C$1,$C$2,$C$3,$C$4,$C$6,$C$5,$C$7,AL$1,AL$2,A61)</f>
        <v>-538.15449156207001</v>
      </c>
      <c r="AM61" s="33">
        <f ca="1">_xll.DBRW($C$1,$C$2,$C$3,$C$4,$C$6,$C$5,$C$7,AM$1,AM$2,A61)</f>
        <v>-17.669751691287669</v>
      </c>
      <c r="AN61" s="33">
        <f ca="1">_xll.DBRW($C$1,$C$2,$C$3,$C$4,$C$6,$C$5,$C$7,AN$1,AN$2,A61)</f>
        <v>-95.042907092501125</v>
      </c>
      <c r="AO61" s="33">
        <f ca="1">_xll.DBRW($C$1,$C$2,$C$3,$C$4,$C$6,$C$5,$C$7,AO$1,AO$2,A61)</f>
        <v>-1.4210854715202004E-14</v>
      </c>
      <c r="AP61" s="33">
        <f ca="1">_xll.DBRW($C$1,$C$2,$C$3,$C$4,$C$6,$C$5,$C$7,AP$1,AP$2,A61)</f>
        <v>-1.4210854715202004E-14</v>
      </c>
      <c r="AQ61" s="33">
        <f ca="1">_xll.DBRW($C$1,$C$2,$C$3,$C$4,$C$6,$C$5,$C$7,AQ$1,AQ$2,A61)</f>
        <v>-1.4210854715202004E-14</v>
      </c>
      <c r="AR61" s="33">
        <f ca="1">_xll.DBRW($C$1,$C$2,$C$3,$C$4,$C$6,$C$5,$C$7,AR$1,AR$2,A61)</f>
        <v>-1.4210854715202004E-14</v>
      </c>
      <c r="AS61" s="33">
        <f ca="1">_xll.DBRW($C$1,$C$2,$C$3,$C$4,$C$6,$C$5,$C$7,AS$1,AS$2,A61)</f>
        <v>-1.4210854715202004E-14</v>
      </c>
      <c r="AT61" s="33">
        <f ca="1">_xll.DBRW($C$1,$C$2,$C$3,$C$4,$C$6,$C$5,$C$7,AT$1,AT$2,A61)</f>
        <v>-1.4210854715202004E-14</v>
      </c>
      <c r="AU61" s="33">
        <f ca="1">_xll.DBRW($C$1,$C$2,$C$3,$C$4,$C$6,$C$5,$C$7,AU$1,AU$2,A61)</f>
        <v>-1.4210854715202004E-14</v>
      </c>
      <c r="AV61" s="33">
        <f ca="1">_xll.DBRW($C$1,$C$2,$C$3,$C$4,$C$6,$C$5,$C$7,AV$1,AV$2,A61)</f>
        <v>-1.4210854715202004E-14</v>
      </c>
      <c r="AW61" s="33">
        <f ca="1">_xll.DBRW($C$1,$C$2,$C$3,$C$4,$C$6,$C$5,$C$7,AW$1,AW$2,A61)</f>
        <v>-1.4210854715202004E-14</v>
      </c>
      <c r="AX61" s="33">
        <f ca="1">_xll.DBRW($C$1,$C$2,$C$3,$C$4,$C$6,$C$5,$C$7,AX$1,AX$2,A61)</f>
        <v>-1.4210854715202004E-14</v>
      </c>
      <c r="AY61" s="33">
        <f ca="1">_xll.DBRW($C$1,$C$2,$C$3,$C$4,$C$6,$C$5,$C$7,AY$1,AY$2,A61)</f>
        <v>-1.4210854715202004E-14</v>
      </c>
    </row>
    <row r="62" spans="1:51" ht="15.75" hidden="1" customHeight="1" outlineLevel="2">
      <c r="A62" s="1" t="s">
        <v>165</v>
      </c>
      <c r="C62" s="104"/>
      <c r="E62" s="9" t="str">
        <f ca="1">_xll.DBRW(Server&amp;"}ElementAttributes_Indicator",A62,"code_English")</f>
        <v>PL1116_MF - COS - Lease expenses (MF)</v>
      </c>
      <c r="F62" s="33">
        <f ca="1">_xll.DBRW($C$1,$C$2,$C$3,$C$4,$C$6,$C$5,$C$7,F$1,F$2,A62)</f>
        <v>-16.008815819209154</v>
      </c>
      <c r="G62" s="33">
        <f ca="1">_xll.DBRW($C$1,$C$2,$C$3,$C$4,$C$6,$C$5,$C$7,G$1,G$2,A62)</f>
        <v>-8.4546791383453535</v>
      </c>
      <c r="H62" s="33">
        <f ca="1">_xll.DBRW($C$1,$C$2,$C$3,$C$4,$C$6,$C$5,$C$7,H$1,H$2,A62)</f>
        <v>-4.9790029300306955</v>
      </c>
      <c r="I62" s="33">
        <f ca="1">_xll.DBRW($C$1,$C$2,$C$3,$C$4,$C$6,$C$5,$C$7,I$1,I$2,A62)</f>
        <v>-0.38979341504490395</v>
      </c>
      <c r="J62" s="33">
        <f ca="1">_xll.DBRW($C$1,$C$2,$C$3,$C$4,$C$6,$C$5,$C$7,J$1,J$2,A62)</f>
        <v>-3.5760404499759284</v>
      </c>
      <c r="K62" s="33">
        <f ca="1">_xll.DBRW($C$1,$C$2,$C$3,$C$4,$C$6,$C$5,$C$7,K$1,K$2,A62)</f>
        <v>-4.0917584014448689</v>
      </c>
      <c r="L62" s="33">
        <f ca="1">_xll.DBRW($C$1,$C$2,$C$3,$C$4,$C$6,$C$5,$C$7,L$1,L$2,A62)</f>
        <v>-4.6556749333333327</v>
      </c>
      <c r="M62" s="33">
        <f ca="1">_xll.DBRW($C$1,$C$2,$C$3,$C$4,$C$6,$C$5,$C$7,M$1,M$2,A62)</f>
        <v>-2.6273058266529616E-2</v>
      </c>
      <c r="N62" s="33">
        <f ca="1">_xll.DBRW($C$1,$C$2,$C$3,$C$4,$C$6,$C$5,$C$7,N$1,N$2,A62)</f>
        <v>-0.79176851491815059</v>
      </c>
      <c r="O62" s="33">
        <f ca="1">_xll.DBRW($C$1,$C$2,$C$3,$C$4,$C$6,$C$5,$C$7,O$1,O$2,A62)</f>
        <v>-1.199002805421076</v>
      </c>
      <c r="P62" s="33">
        <f ca="1">_xll.DBRW($C$1,$C$2,$C$3,$C$4,$C$6,$C$5,$C$7,P$1,P$2,A62)</f>
        <v>-1.5826406757157325</v>
      </c>
      <c r="Q62" s="33">
        <f ca="1">_xll.DBRW($C$1,$C$2,$C$3,$C$4,$C$6,$C$5,$C$7,Q$1,Q$2,A62)</f>
        <v>-1.9658939675338081</v>
      </c>
      <c r="R62" s="33">
        <f ca="1">_xll.DBRW($C$1,$C$2,$C$3,$C$4,$C$6,$C$5,$C$7,R$1,R$2,A62)</f>
        <v>-2.3591703267733637</v>
      </c>
      <c r="S62" s="33">
        <f ca="1">_xll.DBRW($C$1,$C$2,$C$3,$C$4,$C$6,$C$5,$C$7,S$1,S$2,A62)</f>
        <v>-0.15953727956711927</v>
      </c>
      <c r="T62" s="33">
        <f ca="1">_xll.DBRW($C$1,$C$2,$C$3,$C$4,$C$6,$C$5,$C$7,T$1,T$2,A62)</f>
        <v>-3.1775756174075678</v>
      </c>
      <c r="U62" s="33">
        <f ca="1">_xll.DBRW($C$1,$C$2,$C$3,$C$4,$C$6,$C$5,$C$7,U$1,U$2,A62)</f>
        <v>-3.6009368330663509</v>
      </c>
      <c r="V62" s="33">
        <f ca="1">_xll.DBRW($C$1,$C$2,$C$3,$C$4,$C$6,$C$5,$C$7,V$1,V$2,A62)</f>
        <v>-0.23511202244458285</v>
      </c>
      <c r="W62" s="33">
        <f ca="1">_xll.DBRW($C$1,$C$2,$C$3,$C$4,$C$6,$C$5,$C$7,W$1,W$2,A62)</f>
        <v>-4.3721217093210933</v>
      </c>
      <c r="X62" s="33">
        <f ca="1">_xll.DBRW($C$1,$C$2,$C$3,$C$4,$C$6,$C$5,$C$7,X$1,X$2,A62)</f>
        <v>-4.7542982376738987</v>
      </c>
      <c r="Y62" s="33">
        <f ca="1">_xll.DBRW($C$1,$C$2,$C$3,$C$4,$C$6,$C$5,$C$7,Y$1,Y$2,A62)</f>
        <v>-4.7542982376738987</v>
      </c>
      <c r="Z62" s="33">
        <f ca="1">_xll.DBRW($C$1,$C$2,$C$3,$C$4,$C$6,$C$5,$C$7,Z$1,Z$2,A62)</f>
        <v>-0.40169469393223906</v>
      </c>
      <c r="AA62" s="33">
        <f ca="1">_xll.DBRW($C$1,$C$2,$C$3,$C$4,$C$6,$C$5,$C$7,AA$1,AA$2,A62)</f>
        <v>-0.79144981900541778</v>
      </c>
      <c r="AB62" s="33">
        <f ca="1">_xll.DBRW($C$1,$C$2,$C$3,$C$4,$C$6,$C$5,$C$7,AB$1,AB$2,A62)</f>
        <v>-1.1812049440785963</v>
      </c>
      <c r="AC62" s="33">
        <f ca="1">_xll.DBRW($C$1,$C$2,$C$3,$C$4,$C$6,$C$5,$C$7,AC$1,AC$2,A62)</f>
        <v>-1.5828996380108353</v>
      </c>
      <c r="AD62" s="33">
        <f ca="1">_xll.DBRW($C$1,$C$2,$C$3,$C$4,$C$6,$C$5,$C$7,AD$1,AD$2,A62)</f>
        <v>-1.9726554342249536</v>
      </c>
      <c r="AE62" s="33">
        <f ca="1">_xll.DBRW($C$1,$C$2,$C$3,$C$4,$C$6,$C$5,$C$7,AE$1,AE$2,A62)</f>
        <v>-2.3624098881571927</v>
      </c>
      <c r="AF62" s="33">
        <f ca="1">_xll.DBRW($C$1,$C$2,$C$3,$C$4,$C$6,$C$5,$C$7,AF$1,AF$2,A62)</f>
        <v>-2.7680265955122505</v>
      </c>
      <c r="AG62" s="33">
        <f ca="1">_xll.DBRW($C$1,$C$2,$C$3,$C$4,$C$6,$C$5,$C$7,AG$1,AG$2,A62)</f>
        <v>-3.1612554118605969</v>
      </c>
      <c r="AH62" s="33">
        <f ca="1">_xll.DBRW($C$1,$C$2,$C$3,$C$4,$C$6,$C$5,$C$7,AH$1,AH$2,A62)</f>
        <v>-3.5541741610948492</v>
      </c>
      <c r="AI62" s="33">
        <f ca="1">_xll.DBRW($C$1,$C$2,$C$3,$C$4,$C$6,$C$5,$C$7,AI$1,AI$2,A62)</f>
        <v>-3.9580177140874913</v>
      </c>
      <c r="AJ62" s="33">
        <f ca="1">_xll.DBRW($C$1,$C$2,$C$3,$C$4,$C$6,$C$5,$C$7,AJ$1,AJ$2,A62)</f>
        <v>-4.3499203559391937</v>
      </c>
      <c r="AK62" s="33">
        <f ca="1">_xll.DBRW($C$1,$C$2,$C$3,$C$4,$C$6,$C$5,$C$7,AK$1,AK$2,A62)</f>
        <v>-4.7418236689318345</v>
      </c>
      <c r="AL62" s="33">
        <f ca="1">_xll.DBRW($C$1,$C$2,$C$3,$C$4,$C$6,$C$5,$C$7,AL$1,AL$2,A62)</f>
        <v>-4.7418236689318345</v>
      </c>
      <c r="AM62" s="33">
        <f ca="1">_xll.DBRW($C$1,$C$2,$C$3,$C$4,$C$6,$C$5,$C$7,AM$1,AM$2,A62)</f>
        <v>-2.3618839666313073E-2</v>
      </c>
      <c r="AN62" s="33">
        <f ca="1">_xll.DBRW($C$1,$C$2,$C$3,$C$4,$C$6,$C$5,$C$7,AN$1,AN$2,A62)</f>
        <v>-0.81119228898879259</v>
      </c>
      <c r="AO62" s="33">
        <f ca="1">_xll.DBRW($C$1,$C$2,$C$3,$C$4,$C$6,$C$5,$C$7,AO$1,AO$2,A62)</f>
        <v>0</v>
      </c>
      <c r="AP62" s="33">
        <f ca="1">_xll.DBRW($C$1,$C$2,$C$3,$C$4,$C$6,$C$5,$C$7,AP$1,AP$2,A62)</f>
        <v>0</v>
      </c>
      <c r="AQ62" s="33">
        <f ca="1">_xll.DBRW($C$1,$C$2,$C$3,$C$4,$C$6,$C$5,$C$7,AQ$1,AQ$2,A62)</f>
        <v>0</v>
      </c>
      <c r="AR62" s="33">
        <f ca="1">_xll.DBRW($C$1,$C$2,$C$3,$C$4,$C$6,$C$5,$C$7,AR$1,AR$2,A62)</f>
        <v>0</v>
      </c>
      <c r="AS62" s="33">
        <f ca="1">_xll.DBRW($C$1,$C$2,$C$3,$C$4,$C$6,$C$5,$C$7,AS$1,AS$2,A62)</f>
        <v>0</v>
      </c>
      <c r="AT62" s="33">
        <f ca="1">_xll.DBRW($C$1,$C$2,$C$3,$C$4,$C$6,$C$5,$C$7,AT$1,AT$2,A62)</f>
        <v>0</v>
      </c>
      <c r="AU62" s="33">
        <f ca="1">_xll.DBRW($C$1,$C$2,$C$3,$C$4,$C$6,$C$5,$C$7,AU$1,AU$2,A62)</f>
        <v>0</v>
      </c>
      <c r="AV62" s="33">
        <f ca="1">_xll.DBRW($C$1,$C$2,$C$3,$C$4,$C$6,$C$5,$C$7,AV$1,AV$2,A62)</f>
        <v>0</v>
      </c>
      <c r="AW62" s="33">
        <f ca="1">_xll.DBRW($C$1,$C$2,$C$3,$C$4,$C$6,$C$5,$C$7,AW$1,AW$2,A62)</f>
        <v>0</v>
      </c>
      <c r="AX62" s="33">
        <f ca="1">_xll.DBRW($C$1,$C$2,$C$3,$C$4,$C$6,$C$5,$C$7,AX$1,AX$2,A62)</f>
        <v>0</v>
      </c>
      <c r="AY62" s="33">
        <f ca="1">_xll.DBRW($C$1,$C$2,$C$3,$C$4,$C$6,$C$5,$C$7,AY$1,AY$2,A62)</f>
        <v>0</v>
      </c>
    </row>
    <row r="63" spans="1:51" ht="15.75" hidden="1" customHeight="1" outlineLevel="2">
      <c r="A63" s="1" t="s">
        <v>166</v>
      </c>
      <c r="C63" s="104"/>
      <c r="E63" s="9" t="str">
        <f ca="1">_xll.DBRW(Server&amp;"}ElementAttributes_Indicator",A63,"code_English")</f>
        <v>PL1116_ST - COS - Lease expenses (ST)</v>
      </c>
      <c r="F63" s="33">
        <f ca="1">_xll.DBRW($C$1,$C$2,$C$3,$C$4,$C$6,$C$5,$C$7,F$1,F$2,A63)</f>
        <v>0</v>
      </c>
      <c r="G63" s="33">
        <f ca="1">_xll.DBRW($C$1,$C$2,$C$3,$C$4,$C$6,$C$5,$C$7,G$1,G$2,A63)</f>
        <v>0</v>
      </c>
      <c r="H63" s="33">
        <f ca="1">_xll.DBRW($C$1,$C$2,$C$3,$C$4,$C$6,$C$5,$C$7,H$1,H$2,A63)</f>
        <v>0</v>
      </c>
      <c r="I63" s="33">
        <f ca="1">_xll.DBRW($C$1,$C$2,$C$3,$C$4,$C$6,$C$5,$C$7,I$1,I$2,A63)</f>
        <v>0</v>
      </c>
      <c r="J63" s="33">
        <f ca="1">_xll.DBRW($C$1,$C$2,$C$3,$C$4,$C$6,$C$5,$C$7,J$1,J$2,A63)</f>
        <v>0</v>
      </c>
      <c r="K63" s="33">
        <f ca="1">_xll.DBRW($C$1,$C$2,$C$3,$C$4,$C$6,$C$5,$C$7,K$1,K$2,A63)</f>
        <v>0</v>
      </c>
      <c r="L63" s="33">
        <f ca="1">_xll.DBRW($C$1,$C$2,$C$3,$C$4,$C$6,$C$5,$C$7,L$1,L$2,A63)</f>
        <v>0</v>
      </c>
      <c r="M63" s="33">
        <f ca="1">_xll.DBRW($C$1,$C$2,$C$3,$C$4,$C$6,$C$5,$C$7,M$1,M$2,A63)</f>
        <v>0</v>
      </c>
      <c r="N63" s="33">
        <f ca="1">_xll.DBRW($C$1,$C$2,$C$3,$C$4,$C$6,$C$5,$C$7,N$1,N$2,A63)</f>
        <v>0</v>
      </c>
      <c r="O63" s="33">
        <f ca="1">_xll.DBRW($C$1,$C$2,$C$3,$C$4,$C$6,$C$5,$C$7,O$1,O$2,A63)</f>
        <v>0</v>
      </c>
      <c r="P63" s="33">
        <f ca="1">_xll.DBRW($C$1,$C$2,$C$3,$C$4,$C$6,$C$5,$C$7,P$1,P$2,A63)</f>
        <v>0</v>
      </c>
      <c r="Q63" s="33">
        <f ca="1">_xll.DBRW($C$1,$C$2,$C$3,$C$4,$C$6,$C$5,$C$7,Q$1,Q$2,A63)</f>
        <v>0</v>
      </c>
      <c r="R63" s="33">
        <f ca="1">_xll.DBRW($C$1,$C$2,$C$3,$C$4,$C$6,$C$5,$C$7,R$1,R$2,A63)</f>
        <v>0</v>
      </c>
      <c r="S63" s="33">
        <f ca="1">_xll.DBRW($C$1,$C$2,$C$3,$C$4,$C$6,$C$5,$C$7,S$1,S$2,A63)</f>
        <v>0</v>
      </c>
      <c r="T63" s="33">
        <f ca="1">_xll.DBRW($C$1,$C$2,$C$3,$C$4,$C$6,$C$5,$C$7,T$1,T$2,A63)</f>
        <v>-1.9589999999999998E-3</v>
      </c>
      <c r="U63" s="33">
        <f ca="1">_xll.DBRW($C$1,$C$2,$C$3,$C$4,$C$6,$C$5,$C$7,U$1,U$2,A63)</f>
        <v>-1.9589999999999998E-3</v>
      </c>
      <c r="V63" s="33">
        <f ca="1">_xll.DBRW($C$1,$C$2,$C$3,$C$4,$C$6,$C$5,$C$7,V$1,V$2,A63)</f>
        <v>-1.9589999999999998E-3</v>
      </c>
      <c r="W63" s="33">
        <f ca="1">_xll.DBRW($C$1,$C$2,$C$3,$C$4,$C$6,$C$5,$C$7,W$1,W$2,A63)</f>
        <v>-1.9589999999999998E-3</v>
      </c>
      <c r="X63" s="33">
        <f ca="1">_xll.DBRW($C$1,$C$2,$C$3,$C$4,$C$6,$C$5,$C$7,X$1,X$2,A63)</f>
        <v>-1.9589999999999998E-3</v>
      </c>
      <c r="Y63" s="33">
        <f ca="1">_xll.DBRW($C$1,$C$2,$C$3,$C$4,$C$6,$C$5,$C$7,Y$1,Y$2,A63)</f>
        <v>-1.9589999999999998E-3</v>
      </c>
      <c r="Z63" s="33">
        <f ca="1">_xll.DBRW($C$1,$C$2,$C$3,$C$4,$C$6,$C$5,$C$7,Z$1,Z$2,A63)</f>
        <v>0</v>
      </c>
      <c r="AA63" s="33">
        <f ca="1">_xll.DBRW($C$1,$C$2,$C$3,$C$4,$C$6,$C$5,$C$7,AA$1,AA$2,A63)</f>
        <v>0</v>
      </c>
      <c r="AB63" s="33">
        <f ca="1">_xll.DBRW($C$1,$C$2,$C$3,$C$4,$C$6,$C$5,$C$7,AB$1,AB$2,A63)</f>
        <v>0</v>
      </c>
      <c r="AC63" s="33">
        <f ca="1">_xll.DBRW($C$1,$C$2,$C$3,$C$4,$C$6,$C$5,$C$7,AC$1,AC$2,A63)</f>
        <v>0</v>
      </c>
      <c r="AD63" s="33">
        <f ca="1">_xll.DBRW($C$1,$C$2,$C$3,$C$4,$C$6,$C$5,$C$7,AD$1,AD$2,A63)</f>
        <v>0</v>
      </c>
      <c r="AE63" s="33">
        <f ca="1">_xll.DBRW($C$1,$C$2,$C$3,$C$4,$C$6,$C$5,$C$7,AE$1,AE$2,A63)</f>
        <v>0</v>
      </c>
      <c r="AF63" s="33">
        <f ca="1">_xll.DBRW($C$1,$C$2,$C$3,$C$4,$C$6,$C$5,$C$7,AF$1,AF$2,A63)</f>
        <v>0</v>
      </c>
      <c r="AG63" s="33">
        <f ca="1">_xll.DBRW($C$1,$C$2,$C$3,$C$4,$C$6,$C$5,$C$7,AG$1,AG$2,A63)</f>
        <v>0</v>
      </c>
      <c r="AH63" s="33">
        <f ca="1">_xll.DBRW($C$1,$C$2,$C$3,$C$4,$C$6,$C$5,$C$7,AH$1,AH$2,A63)</f>
        <v>0</v>
      </c>
      <c r="AI63" s="33">
        <f ca="1">_xll.DBRW($C$1,$C$2,$C$3,$C$4,$C$6,$C$5,$C$7,AI$1,AI$2,A63)</f>
        <v>0</v>
      </c>
      <c r="AJ63" s="33">
        <f ca="1">_xll.DBRW($C$1,$C$2,$C$3,$C$4,$C$6,$C$5,$C$7,AJ$1,AJ$2,A63)</f>
        <v>0</v>
      </c>
      <c r="AK63" s="33">
        <f ca="1">_xll.DBRW($C$1,$C$2,$C$3,$C$4,$C$6,$C$5,$C$7,AK$1,AK$2,A63)</f>
        <v>0</v>
      </c>
      <c r="AL63" s="33">
        <f ca="1">_xll.DBRW($C$1,$C$2,$C$3,$C$4,$C$6,$C$5,$C$7,AL$1,AL$2,A63)</f>
        <v>0</v>
      </c>
      <c r="AM63" s="33">
        <f ca="1">_xll.DBRW($C$1,$C$2,$C$3,$C$4,$C$6,$C$5,$C$7,AM$1,AM$2,A63)</f>
        <v>0</v>
      </c>
      <c r="AN63" s="33">
        <f ca="1">_xll.DBRW($C$1,$C$2,$C$3,$C$4,$C$6,$C$5,$C$7,AN$1,AN$2,A63)</f>
        <v>0</v>
      </c>
      <c r="AO63" s="33">
        <f ca="1">_xll.DBRW($C$1,$C$2,$C$3,$C$4,$C$6,$C$5,$C$7,AO$1,AO$2,A63)</f>
        <v>0</v>
      </c>
      <c r="AP63" s="33">
        <f ca="1">_xll.DBRW($C$1,$C$2,$C$3,$C$4,$C$6,$C$5,$C$7,AP$1,AP$2,A63)</f>
        <v>0</v>
      </c>
      <c r="AQ63" s="33">
        <f ca="1">_xll.DBRW($C$1,$C$2,$C$3,$C$4,$C$6,$C$5,$C$7,AQ$1,AQ$2,A63)</f>
        <v>0</v>
      </c>
      <c r="AR63" s="33">
        <f ca="1">_xll.DBRW($C$1,$C$2,$C$3,$C$4,$C$6,$C$5,$C$7,AR$1,AR$2,A63)</f>
        <v>0</v>
      </c>
      <c r="AS63" s="33">
        <f ca="1">_xll.DBRW($C$1,$C$2,$C$3,$C$4,$C$6,$C$5,$C$7,AS$1,AS$2,A63)</f>
        <v>0</v>
      </c>
      <c r="AT63" s="33">
        <f ca="1">_xll.DBRW($C$1,$C$2,$C$3,$C$4,$C$6,$C$5,$C$7,AT$1,AT$2,A63)</f>
        <v>0</v>
      </c>
      <c r="AU63" s="33">
        <f ca="1">_xll.DBRW($C$1,$C$2,$C$3,$C$4,$C$6,$C$5,$C$7,AU$1,AU$2,A63)</f>
        <v>0</v>
      </c>
      <c r="AV63" s="33">
        <f ca="1">_xll.DBRW($C$1,$C$2,$C$3,$C$4,$C$6,$C$5,$C$7,AV$1,AV$2,A63)</f>
        <v>0</v>
      </c>
      <c r="AW63" s="33">
        <f ca="1">_xll.DBRW($C$1,$C$2,$C$3,$C$4,$C$6,$C$5,$C$7,AW$1,AW$2,A63)</f>
        <v>0</v>
      </c>
      <c r="AX63" s="33">
        <f ca="1">_xll.DBRW($C$1,$C$2,$C$3,$C$4,$C$6,$C$5,$C$7,AX$1,AX$2,A63)</f>
        <v>0</v>
      </c>
      <c r="AY63" s="33">
        <f ca="1">_xll.DBRW($C$1,$C$2,$C$3,$C$4,$C$6,$C$5,$C$7,AY$1,AY$2,A63)</f>
        <v>0</v>
      </c>
    </row>
    <row r="64" spans="1:51" ht="15.75" hidden="1" customHeight="1" outlineLevel="2">
      <c r="A64" s="1" t="s">
        <v>167</v>
      </c>
      <c r="C64" s="104"/>
      <c r="E64" s="9" t="str">
        <f ca="1">_xll.DBRW(Server&amp;"}ElementAttributes_Indicator",A64,"code_English")</f>
        <v>PL1117_MF - COS - Lease expenses (IFRIC12) (MF)</v>
      </c>
      <c r="F64" s="33">
        <f ca="1">_xll.DBRW($C$1,$C$2,$C$3,$C$4,$C$6,$C$5,$C$7,F$1,F$2,A64)</f>
        <v>0</v>
      </c>
      <c r="G64" s="33">
        <f ca="1">_xll.DBRW($C$1,$C$2,$C$3,$C$4,$C$6,$C$5,$C$7,G$1,G$2,A64)</f>
        <v>0</v>
      </c>
      <c r="H64" s="33">
        <f ca="1">_xll.DBRW($C$1,$C$2,$C$3,$C$4,$C$6,$C$5,$C$7,H$1,H$2,A64)</f>
        <v>0</v>
      </c>
      <c r="I64" s="33">
        <f ca="1">_xll.DBRW($C$1,$C$2,$C$3,$C$4,$C$6,$C$5,$C$7,I$1,I$2,A64)</f>
        <v>0</v>
      </c>
      <c r="J64" s="33">
        <f ca="1">_xll.DBRW($C$1,$C$2,$C$3,$C$4,$C$6,$C$5,$C$7,J$1,J$2,A64)</f>
        <v>0</v>
      </c>
      <c r="K64" s="33">
        <f ca="1">_xll.DBRW($C$1,$C$2,$C$3,$C$4,$C$6,$C$5,$C$7,K$1,K$2,A64)</f>
        <v>0</v>
      </c>
      <c r="L64" s="33">
        <f ca="1">_xll.DBRW($C$1,$C$2,$C$3,$C$4,$C$6,$C$5,$C$7,L$1,L$2,A64)</f>
        <v>0</v>
      </c>
      <c r="M64" s="33">
        <f ca="1">_xll.DBRW($C$1,$C$2,$C$3,$C$4,$C$6,$C$5,$C$7,M$1,M$2,A64)</f>
        <v>0</v>
      </c>
      <c r="N64" s="33">
        <f ca="1">_xll.DBRW($C$1,$C$2,$C$3,$C$4,$C$6,$C$5,$C$7,N$1,N$2,A64)</f>
        <v>0</v>
      </c>
      <c r="O64" s="33">
        <f ca="1">_xll.DBRW($C$1,$C$2,$C$3,$C$4,$C$6,$C$5,$C$7,O$1,O$2,A64)</f>
        <v>0</v>
      </c>
      <c r="P64" s="33">
        <f ca="1">_xll.DBRW($C$1,$C$2,$C$3,$C$4,$C$6,$C$5,$C$7,P$1,P$2,A64)</f>
        <v>0</v>
      </c>
      <c r="Q64" s="33">
        <f ca="1">_xll.DBRW($C$1,$C$2,$C$3,$C$4,$C$6,$C$5,$C$7,Q$1,Q$2,A64)</f>
        <v>0</v>
      </c>
      <c r="R64" s="33">
        <f ca="1">_xll.DBRW($C$1,$C$2,$C$3,$C$4,$C$6,$C$5,$C$7,R$1,R$2,A64)</f>
        <v>0</v>
      </c>
      <c r="S64" s="33">
        <f ca="1">_xll.DBRW($C$1,$C$2,$C$3,$C$4,$C$6,$C$5,$C$7,S$1,S$2,A64)</f>
        <v>0</v>
      </c>
      <c r="T64" s="33">
        <f ca="1">_xll.DBRW($C$1,$C$2,$C$3,$C$4,$C$6,$C$5,$C$7,T$1,T$2,A64)</f>
        <v>0</v>
      </c>
      <c r="U64" s="33">
        <f ca="1">_xll.DBRW($C$1,$C$2,$C$3,$C$4,$C$6,$C$5,$C$7,U$1,U$2,A64)</f>
        <v>0</v>
      </c>
      <c r="V64" s="33">
        <f ca="1">_xll.DBRW($C$1,$C$2,$C$3,$C$4,$C$6,$C$5,$C$7,V$1,V$2,A64)</f>
        <v>0</v>
      </c>
      <c r="W64" s="33">
        <f ca="1">_xll.DBRW($C$1,$C$2,$C$3,$C$4,$C$6,$C$5,$C$7,W$1,W$2,A64)</f>
        <v>0</v>
      </c>
      <c r="X64" s="33">
        <f ca="1">_xll.DBRW($C$1,$C$2,$C$3,$C$4,$C$6,$C$5,$C$7,X$1,X$2,A64)</f>
        <v>0</v>
      </c>
      <c r="Y64" s="33">
        <f ca="1">_xll.DBRW($C$1,$C$2,$C$3,$C$4,$C$6,$C$5,$C$7,Y$1,Y$2,A64)</f>
        <v>0</v>
      </c>
      <c r="Z64" s="33">
        <f ca="1">_xll.DBRW($C$1,$C$2,$C$3,$C$4,$C$6,$C$5,$C$7,Z$1,Z$2,A64)</f>
        <v>0</v>
      </c>
      <c r="AA64" s="33">
        <f ca="1">_xll.DBRW($C$1,$C$2,$C$3,$C$4,$C$6,$C$5,$C$7,AA$1,AA$2,A64)</f>
        <v>0</v>
      </c>
      <c r="AB64" s="33">
        <f ca="1">_xll.DBRW($C$1,$C$2,$C$3,$C$4,$C$6,$C$5,$C$7,AB$1,AB$2,A64)</f>
        <v>0</v>
      </c>
      <c r="AC64" s="33">
        <f ca="1">_xll.DBRW($C$1,$C$2,$C$3,$C$4,$C$6,$C$5,$C$7,AC$1,AC$2,A64)</f>
        <v>0</v>
      </c>
      <c r="AD64" s="33">
        <f ca="1">_xll.DBRW($C$1,$C$2,$C$3,$C$4,$C$6,$C$5,$C$7,AD$1,AD$2,A64)</f>
        <v>0</v>
      </c>
      <c r="AE64" s="33">
        <f ca="1">_xll.DBRW($C$1,$C$2,$C$3,$C$4,$C$6,$C$5,$C$7,AE$1,AE$2,A64)</f>
        <v>0</v>
      </c>
      <c r="AF64" s="33">
        <f ca="1">_xll.DBRW($C$1,$C$2,$C$3,$C$4,$C$6,$C$5,$C$7,AF$1,AF$2,A64)</f>
        <v>0</v>
      </c>
      <c r="AG64" s="33">
        <f ca="1">_xll.DBRW($C$1,$C$2,$C$3,$C$4,$C$6,$C$5,$C$7,AG$1,AG$2,A64)</f>
        <v>0</v>
      </c>
      <c r="AH64" s="33">
        <f ca="1">_xll.DBRW($C$1,$C$2,$C$3,$C$4,$C$6,$C$5,$C$7,AH$1,AH$2,A64)</f>
        <v>0</v>
      </c>
      <c r="AI64" s="33">
        <f ca="1">_xll.DBRW($C$1,$C$2,$C$3,$C$4,$C$6,$C$5,$C$7,AI$1,AI$2,A64)</f>
        <v>0</v>
      </c>
      <c r="AJ64" s="33">
        <f ca="1">_xll.DBRW($C$1,$C$2,$C$3,$C$4,$C$6,$C$5,$C$7,AJ$1,AJ$2,A64)</f>
        <v>0</v>
      </c>
      <c r="AK64" s="33">
        <f ca="1">_xll.DBRW($C$1,$C$2,$C$3,$C$4,$C$6,$C$5,$C$7,AK$1,AK$2,A64)</f>
        <v>0</v>
      </c>
      <c r="AL64" s="33">
        <f ca="1">_xll.DBRW($C$1,$C$2,$C$3,$C$4,$C$6,$C$5,$C$7,AL$1,AL$2,A64)</f>
        <v>0</v>
      </c>
      <c r="AM64" s="33">
        <f ca="1">_xll.DBRW($C$1,$C$2,$C$3,$C$4,$C$6,$C$5,$C$7,AM$1,AM$2,A64)</f>
        <v>0</v>
      </c>
      <c r="AN64" s="33">
        <f ca="1">_xll.DBRW($C$1,$C$2,$C$3,$C$4,$C$6,$C$5,$C$7,AN$1,AN$2,A64)</f>
        <v>0</v>
      </c>
      <c r="AO64" s="33">
        <f ca="1">_xll.DBRW($C$1,$C$2,$C$3,$C$4,$C$6,$C$5,$C$7,AO$1,AO$2,A64)</f>
        <v>0</v>
      </c>
      <c r="AP64" s="33">
        <f ca="1">_xll.DBRW($C$1,$C$2,$C$3,$C$4,$C$6,$C$5,$C$7,AP$1,AP$2,A64)</f>
        <v>0</v>
      </c>
      <c r="AQ64" s="33">
        <f ca="1">_xll.DBRW($C$1,$C$2,$C$3,$C$4,$C$6,$C$5,$C$7,AQ$1,AQ$2,A64)</f>
        <v>0</v>
      </c>
      <c r="AR64" s="33">
        <f ca="1">_xll.DBRW($C$1,$C$2,$C$3,$C$4,$C$6,$C$5,$C$7,AR$1,AR$2,A64)</f>
        <v>0</v>
      </c>
      <c r="AS64" s="33">
        <f ca="1">_xll.DBRW($C$1,$C$2,$C$3,$C$4,$C$6,$C$5,$C$7,AS$1,AS$2,A64)</f>
        <v>0</v>
      </c>
      <c r="AT64" s="33">
        <f ca="1">_xll.DBRW($C$1,$C$2,$C$3,$C$4,$C$6,$C$5,$C$7,AT$1,AT$2,A64)</f>
        <v>0</v>
      </c>
      <c r="AU64" s="33">
        <f ca="1">_xll.DBRW($C$1,$C$2,$C$3,$C$4,$C$6,$C$5,$C$7,AU$1,AU$2,A64)</f>
        <v>0</v>
      </c>
      <c r="AV64" s="33">
        <f ca="1">_xll.DBRW($C$1,$C$2,$C$3,$C$4,$C$6,$C$5,$C$7,AV$1,AV$2,A64)</f>
        <v>0</v>
      </c>
      <c r="AW64" s="33">
        <f ca="1">_xll.DBRW($C$1,$C$2,$C$3,$C$4,$C$6,$C$5,$C$7,AW$1,AW$2,A64)</f>
        <v>0</v>
      </c>
      <c r="AX64" s="33">
        <f ca="1">_xll.DBRW($C$1,$C$2,$C$3,$C$4,$C$6,$C$5,$C$7,AX$1,AX$2,A64)</f>
        <v>0</v>
      </c>
      <c r="AY64" s="33">
        <f ca="1">_xll.DBRW($C$1,$C$2,$C$3,$C$4,$C$6,$C$5,$C$7,AY$1,AY$2,A64)</f>
        <v>0</v>
      </c>
    </row>
    <row r="65" spans="1:51" ht="15.75" hidden="1" customHeight="1" outlineLevel="2">
      <c r="A65" s="1" t="s">
        <v>168</v>
      </c>
      <c r="C65" s="104"/>
      <c r="E65" s="9" t="str">
        <f ca="1">_xll.DBRW(Server&amp;"}ElementAttributes_Indicator",A65,"code_English")</f>
        <v>PL1117_ST - COS - Lease expenses (IFRIC12) (ST)</v>
      </c>
      <c r="F65" s="33">
        <f ca="1">_xll.DBRW($C$1,$C$2,$C$3,$C$4,$C$6,$C$5,$C$7,F$1,F$2,A65)</f>
        <v>0</v>
      </c>
      <c r="G65" s="33">
        <f ca="1">_xll.DBRW($C$1,$C$2,$C$3,$C$4,$C$6,$C$5,$C$7,G$1,G$2,A65)</f>
        <v>0</v>
      </c>
      <c r="H65" s="33">
        <f ca="1">_xll.DBRW($C$1,$C$2,$C$3,$C$4,$C$6,$C$5,$C$7,H$1,H$2,A65)</f>
        <v>0</v>
      </c>
      <c r="I65" s="33">
        <f ca="1">_xll.DBRW($C$1,$C$2,$C$3,$C$4,$C$6,$C$5,$C$7,I$1,I$2,A65)</f>
        <v>0</v>
      </c>
      <c r="J65" s="33">
        <f ca="1">_xll.DBRW($C$1,$C$2,$C$3,$C$4,$C$6,$C$5,$C$7,J$1,J$2,A65)</f>
        <v>0</v>
      </c>
      <c r="K65" s="33">
        <f ca="1">_xll.DBRW($C$1,$C$2,$C$3,$C$4,$C$6,$C$5,$C$7,K$1,K$2,A65)</f>
        <v>0</v>
      </c>
      <c r="L65" s="33">
        <f ca="1">_xll.DBRW($C$1,$C$2,$C$3,$C$4,$C$6,$C$5,$C$7,L$1,L$2,A65)</f>
        <v>0</v>
      </c>
      <c r="M65" s="33">
        <f ca="1">_xll.DBRW($C$1,$C$2,$C$3,$C$4,$C$6,$C$5,$C$7,M$1,M$2,A65)</f>
        <v>0</v>
      </c>
      <c r="N65" s="33">
        <f ca="1">_xll.DBRW($C$1,$C$2,$C$3,$C$4,$C$6,$C$5,$C$7,N$1,N$2,A65)</f>
        <v>0</v>
      </c>
      <c r="O65" s="33">
        <f ca="1">_xll.DBRW($C$1,$C$2,$C$3,$C$4,$C$6,$C$5,$C$7,O$1,O$2,A65)</f>
        <v>0</v>
      </c>
      <c r="P65" s="33">
        <f ca="1">_xll.DBRW($C$1,$C$2,$C$3,$C$4,$C$6,$C$5,$C$7,P$1,P$2,A65)</f>
        <v>0</v>
      </c>
      <c r="Q65" s="33">
        <f ca="1">_xll.DBRW($C$1,$C$2,$C$3,$C$4,$C$6,$C$5,$C$7,Q$1,Q$2,A65)</f>
        <v>0</v>
      </c>
      <c r="R65" s="33">
        <f ca="1">_xll.DBRW($C$1,$C$2,$C$3,$C$4,$C$6,$C$5,$C$7,R$1,R$2,A65)</f>
        <v>0</v>
      </c>
      <c r="S65" s="33">
        <f ca="1">_xll.DBRW($C$1,$C$2,$C$3,$C$4,$C$6,$C$5,$C$7,S$1,S$2,A65)</f>
        <v>0</v>
      </c>
      <c r="T65" s="33">
        <f ca="1">_xll.DBRW($C$1,$C$2,$C$3,$C$4,$C$6,$C$5,$C$7,T$1,T$2,A65)</f>
        <v>0</v>
      </c>
      <c r="U65" s="33">
        <f ca="1">_xll.DBRW($C$1,$C$2,$C$3,$C$4,$C$6,$C$5,$C$7,U$1,U$2,A65)</f>
        <v>0</v>
      </c>
      <c r="V65" s="33">
        <f ca="1">_xll.DBRW($C$1,$C$2,$C$3,$C$4,$C$6,$C$5,$C$7,V$1,V$2,A65)</f>
        <v>0</v>
      </c>
      <c r="W65" s="33">
        <f ca="1">_xll.DBRW($C$1,$C$2,$C$3,$C$4,$C$6,$C$5,$C$7,W$1,W$2,A65)</f>
        <v>0</v>
      </c>
      <c r="X65" s="33">
        <f ca="1">_xll.DBRW($C$1,$C$2,$C$3,$C$4,$C$6,$C$5,$C$7,X$1,X$2,A65)</f>
        <v>0</v>
      </c>
      <c r="Y65" s="33">
        <f ca="1">_xll.DBRW($C$1,$C$2,$C$3,$C$4,$C$6,$C$5,$C$7,Y$1,Y$2,A65)</f>
        <v>0</v>
      </c>
      <c r="Z65" s="33">
        <f ca="1">_xll.DBRW($C$1,$C$2,$C$3,$C$4,$C$6,$C$5,$C$7,Z$1,Z$2,A65)</f>
        <v>0</v>
      </c>
      <c r="AA65" s="33">
        <f ca="1">_xll.DBRW($C$1,$C$2,$C$3,$C$4,$C$6,$C$5,$C$7,AA$1,AA$2,A65)</f>
        <v>0</v>
      </c>
      <c r="AB65" s="33">
        <f ca="1">_xll.DBRW($C$1,$C$2,$C$3,$C$4,$C$6,$C$5,$C$7,AB$1,AB$2,A65)</f>
        <v>0</v>
      </c>
      <c r="AC65" s="33">
        <f ca="1">_xll.DBRW($C$1,$C$2,$C$3,$C$4,$C$6,$C$5,$C$7,AC$1,AC$2,A65)</f>
        <v>0</v>
      </c>
      <c r="AD65" s="33">
        <f ca="1">_xll.DBRW($C$1,$C$2,$C$3,$C$4,$C$6,$C$5,$C$7,AD$1,AD$2,A65)</f>
        <v>0</v>
      </c>
      <c r="AE65" s="33">
        <f ca="1">_xll.DBRW($C$1,$C$2,$C$3,$C$4,$C$6,$C$5,$C$7,AE$1,AE$2,A65)</f>
        <v>0</v>
      </c>
      <c r="AF65" s="33">
        <f ca="1">_xll.DBRW($C$1,$C$2,$C$3,$C$4,$C$6,$C$5,$C$7,AF$1,AF$2,A65)</f>
        <v>0</v>
      </c>
      <c r="AG65" s="33">
        <f ca="1">_xll.DBRW($C$1,$C$2,$C$3,$C$4,$C$6,$C$5,$C$7,AG$1,AG$2,A65)</f>
        <v>0</v>
      </c>
      <c r="AH65" s="33">
        <f ca="1">_xll.DBRW($C$1,$C$2,$C$3,$C$4,$C$6,$C$5,$C$7,AH$1,AH$2,A65)</f>
        <v>0</v>
      </c>
      <c r="AI65" s="33">
        <f ca="1">_xll.DBRW($C$1,$C$2,$C$3,$C$4,$C$6,$C$5,$C$7,AI$1,AI$2,A65)</f>
        <v>0</v>
      </c>
      <c r="AJ65" s="33">
        <f ca="1">_xll.DBRW($C$1,$C$2,$C$3,$C$4,$C$6,$C$5,$C$7,AJ$1,AJ$2,A65)</f>
        <v>0</v>
      </c>
      <c r="AK65" s="33">
        <f ca="1">_xll.DBRW($C$1,$C$2,$C$3,$C$4,$C$6,$C$5,$C$7,AK$1,AK$2,A65)</f>
        <v>0</v>
      </c>
      <c r="AL65" s="33">
        <f ca="1">_xll.DBRW($C$1,$C$2,$C$3,$C$4,$C$6,$C$5,$C$7,AL$1,AL$2,A65)</f>
        <v>0</v>
      </c>
      <c r="AM65" s="33">
        <f ca="1">_xll.DBRW($C$1,$C$2,$C$3,$C$4,$C$6,$C$5,$C$7,AM$1,AM$2,A65)</f>
        <v>0</v>
      </c>
      <c r="AN65" s="33">
        <f ca="1">_xll.DBRW($C$1,$C$2,$C$3,$C$4,$C$6,$C$5,$C$7,AN$1,AN$2,A65)</f>
        <v>0</v>
      </c>
      <c r="AO65" s="33">
        <f ca="1">_xll.DBRW($C$1,$C$2,$C$3,$C$4,$C$6,$C$5,$C$7,AO$1,AO$2,A65)</f>
        <v>0</v>
      </c>
      <c r="AP65" s="33">
        <f ca="1">_xll.DBRW($C$1,$C$2,$C$3,$C$4,$C$6,$C$5,$C$7,AP$1,AP$2,A65)</f>
        <v>0</v>
      </c>
      <c r="AQ65" s="33">
        <f ca="1">_xll.DBRW($C$1,$C$2,$C$3,$C$4,$C$6,$C$5,$C$7,AQ$1,AQ$2,A65)</f>
        <v>0</v>
      </c>
      <c r="AR65" s="33">
        <f ca="1">_xll.DBRW($C$1,$C$2,$C$3,$C$4,$C$6,$C$5,$C$7,AR$1,AR$2,A65)</f>
        <v>0</v>
      </c>
      <c r="AS65" s="33">
        <f ca="1">_xll.DBRW($C$1,$C$2,$C$3,$C$4,$C$6,$C$5,$C$7,AS$1,AS$2,A65)</f>
        <v>0</v>
      </c>
      <c r="AT65" s="33">
        <f ca="1">_xll.DBRW($C$1,$C$2,$C$3,$C$4,$C$6,$C$5,$C$7,AT$1,AT$2,A65)</f>
        <v>0</v>
      </c>
      <c r="AU65" s="33">
        <f ca="1">_xll.DBRW($C$1,$C$2,$C$3,$C$4,$C$6,$C$5,$C$7,AU$1,AU$2,A65)</f>
        <v>0</v>
      </c>
      <c r="AV65" s="33">
        <f ca="1">_xll.DBRW($C$1,$C$2,$C$3,$C$4,$C$6,$C$5,$C$7,AV$1,AV$2,A65)</f>
        <v>0</v>
      </c>
      <c r="AW65" s="33">
        <f ca="1">_xll.DBRW($C$1,$C$2,$C$3,$C$4,$C$6,$C$5,$C$7,AW$1,AW$2,A65)</f>
        <v>0</v>
      </c>
      <c r="AX65" s="33">
        <f ca="1">_xll.DBRW($C$1,$C$2,$C$3,$C$4,$C$6,$C$5,$C$7,AX$1,AX$2,A65)</f>
        <v>0</v>
      </c>
      <c r="AY65" s="33">
        <f ca="1">_xll.DBRW($C$1,$C$2,$C$3,$C$4,$C$6,$C$5,$C$7,AY$1,AY$2,A65)</f>
        <v>0</v>
      </c>
    </row>
    <row r="66" spans="1:51" ht="15.75" hidden="1" customHeight="1" outlineLevel="2">
      <c r="A66" s="1" t="s">
        <v>169</v>
      </c>
      <c r="C66" s="104"/>
      <c r="E66" s="9" t="str">
        <f ca="1">_xll.DBRW(Server&amp;"}ElementAttributes_Indicator",A66,"code_English")</f>
        <v>PL1118_MF - IFRS16 adjustment through P&amp;L (MF)</v>
      </c>
      <c r="F66" s="33">
        <f ca="1">_xll.DBRW($C$1,$C$2,$C$3,$C$4,$C$6,$C$5,$C$7,F$1,F$2,A66)</f>
        <v>0</v>
      </c>
      <c r="G66" s="33">
        <f ca="1">_xll.DBRW($C$1,$C$2,$C$3,$C$4,$C$6,$C$5,$C$7,G$1,G$2,A66)</f>
        <v>0</v>
      </c>
      <c r="H66" s="33">
        <f ca="1">_xll.DBRW($C$1,$C$2,$C$3,$C$4,$C$6,$C$5,$C$7,H$1,H$2,A66)</f>
        <v>0</v>
      </c>
      <c r="I66" s="33">
        <f ca="1">_xll.DBRW($C$1,$C$2,$C$3,$C$4,$C$6,$C$5,$C$7,I$1,I$2,A66)</f>
        <v>0</v>
      </c>
      <c r="J66" s="33">
        <f ca="1">_xll.DBRW($C$1,$C$2,$C$3,$C$4,$C$6,$C$5,$C$7,J$1,J$2,A66)</f>
        <v>2.1475266891626704E-4</v>
      </c>
      <c r="K66" s="33">
        <f ca="1">_xll.DBRW($C$1,$C$2,$C$3,$C$4,$C$6,$C$5,$C$7,K$1,K$2,A66)</f>
        <v>0</v>
      </c>
      <c r="L66" s="33">
        <f ca="1">_xll.DBRW($C$1,$C$2,$C$3,$C$4,$C$6,$C$5,$C$7,L$1,L$2,A66)</f>
        <v>0</v>
      </c>
      <c r="M66" s="33">
        <f ca="1">_xll.DBRW($C$1,$C$2,$C$3,$C$4,$C$6,$C$5,$C$7,M$1,M$2,A66)</f>
        <v>0</v>
      </c>
      <c r="N66" s="33">
        <f ca="1">_xll.DBRW($C$1,$C$2,$C$3,$C$4,$C$6,$C$5,$C$7,N$1,N$2,A66)</f>
        <v>0</v>
      </c>
      <c r="O66" s="33">
        <f ca="1">_xll.DBRW($C$1,$C$2,$C$3,$C$4,$C$6,$C$5,$C$7,O$1,O$2,A66)</f>
        <v>0</v>
      </c>
      <c r="P66" s="33">
        <f ca="1">_xll.DBRW($C$1,$C$2,$C$3,$C$4,$C$6,$C$5,$C$7,P$1,P$2,A66)</f>
        <v>0</v>
      </c>
      <c r="Q66" s="33">
        <f ca="1">_xll.DBRW($C$1,$C$2,$C$3,$C$4,$C$6,$C$5,$C$7,Q$1,Q$2,A66)</f>
        <v>0</v>
      </c>
      <c r="R66" s="33">
        <f ca="1">_xll.DBRW($C$1,$C$2,$C$3,$C$4,$C$6,$C$5,$C$7,R$1,R$2,A66)</f>
        <v>0</v>
      </c>
      <c r="S66" s="33">
        <f ca="1">_xll.DBRW($C$1,$C$2,$C$3,$C$4,$C$6,$C$5,$C$7,S$1,S$2,A66)</f>
        <v>0</v>
      </c>
      <c r="T66" s="33">
        <f ca="1">_xll.DBRW($C$1,$C$2,$C$3,$C$4,$C$6,$C$5,$C$7,T$1,T$2,A66)</f>
        <v>3.8730862286852542E-4</v>
      </c>
      <c r="U66" s="33">
        <f ca="1">_xll.DBRW($C$1,$C$2,$C$3,$C$4,$C$6,$C$5,$C$7,U$1,U$2,A66)</f>
        <v>3.8814486873515802E-4</v>
      </c>
      <c r="V66" s="33">
        <f ca="1">_xll.DBRW($C$1,$C$2,$C$3,$C$4,$C$6,$C$5,$C$7,V$1,V$2,A66)</f>
        <v>4.3290477357377385E-4</v>
      </c>
      <c r="W66" s="33">
        <f ca="1">_xll.DBRW($C$1,$C$2,$C$3,$C$4,$C$6,$C$5,$C$7,W$1,W$2,A66)</f>
        <v>4.3196710985079221E-4</v>
      </c>
      <c r="X66" s="33">
        <f ca="1">_xll.DBRW($C$1,$C$2,$C$3,$C$4,$C$6,$C$5,$C$7,X$1,X$2,A66)</f>
        <v>4.3035308601670381E-4</v>
      </c>
      <c r="Y66" s="33">
        <f ca="1">_xll.DBRW($C$1,$C$2,$C$3,$C$4,$C$6,$C$5,$C$7,Y$1,Y$2,A66)</f>
        <v>4.3035308601670381E-4</v>
      </c>
      <c r="Z66" s="33">
        <f ca="1">_xll.DBRW($C$1,$C$2,$C$3,$C$4,$C$6,$C$5,$C$7,Z$1,Z$2,A66)</f>
        <v>0</v>
      </c>
      <c r="AA66" s="33">
        <f ca="1">_xll.DBRW($C$1,$C$2,$C$3,$C$4,$C$6,$C$5,$C$7,AA$1,AA$2,A66)</f>
        <v>0</v>
      </c>
      <c r="AB66" s="33">
        <f ca="1">_xll.DBRW($C$1,$C$2,$C$3,$C$4,$C$6,$C$5,$C$7,AB$1,AB$2,A66)</f>
        <v>0</v>
      </c>
      <c r="AC66" s="33">
        <f ca="1">_xll.DBRW($C$1,$C$2,$C$3,$C$4,$C$6,$C$5,$C$7,AC$1,AC$2,A66)</f>
        <v>0</v>
      </c>
      <c r="AD66" s="33">
        <f ca="1">_xll.DBRW($C$1,$C$2,$C$3,$C$4,$C$6,$C$5,$C$7,AD$1,AD$2,A66)</f>
        <v>0</v>
      </c>
      <c r="AE66" s="33">
        <f ca="1">_xll.DBRW($C$1,$C$2,$C$3,$C$4,$C$6,$C$5,$C$7,AE$1,AE$2,A66)</f>
        <v>0</v>
      </c>
      <c r="AF66" s="33">
        <f ca="1">_xll.DBRW($C$1,$C$2,$C$3,$C$4,$C$6,$C$5,$C$7,AF$1,AF$2,A66)</f>
        <v>0</v>
      </c>
      <c r="AG66" s="33">
        <f ca="1">_xll.DBRW($C$1,$C$2,$C$3,$C$4,$C$6,$C$5,$C$7,AG$1,AG$2,A66)</f>
        <v>0</v>
      </c>
      <c r="AH66" s="33">
        <f ca="1">_xll.DBRW($C$1,$C$2,$C$3,$C$4,$C$6,$C$5,$C$7,AH$1,AH$2,A66)</f>
        <v>0</v>
      </c>
      <c r="AI66" s="33">
        <f ca="1">_xll.DBRW($C$1,$C$2,$C$3,$C$4,$C$6,$C$5,$C$7,AI$1,AI$2,A66)</f>
        <v>0</v>
      </c>
      <c r="AJ66" s="33">
        <f ca="1">_xll.DBRW($C$1,$C$2,$C$3,$C$4,$C$6,$C$5,$C$7,AJ$1,AJ$2,A66)</f>
        <v>0</v>
      </c>
      <c r="AK66" s="33">
        <f ca="1">_xll.DBRW($C$1,$C$2,$C$3,$C$4,$C$6,$C$5,$C$7,AK$1,AK$2,A66)</f>
        <v>0</v>
      </c>
      <c r="AL66" s="33">
        <f ca="1">_xll.DBRW($C$1,$C$2,$C$3,$C$4,$C$6,$C$5,$C$7,AL$1,AL$2,A66)</f>
        <v>0</v>
      </c>
      <c r="AM66" s="33">
        <f ca="1">_xll.DBRW($C$1,$C$2,$C$3,$C$4,$C$6,$C$5,$C$7,AM$1,AM$2,A66)</f>
        <v>0</v>
      </c>
      <c r="AN66" s="33">
        <f ca="1">_xll.DBRW($C$1,$C$2,$C$3,$C$4,$C$6,$C$5,$C$7,AN$1,AN$2,A66)</f>
        <v>0</v>
      </c>
      <c r="AO66" s="33">
        <f ca="1">_xll.DBRW($C$1,$C$2,$C$3,$C$4,$C$6,$C$5,$C$7,AO$1,AO$2,A66)</f>
        <v>0</v>
      </c>
      <c r="AP66" s="33">
        <f ca="1">_xll.DBRW($C$1,$C$2,$C$3,$C$4,$C$6,$C$5,$C$7,AP$1,AP$2,A66)</f>
        <v>0</v>
      </c>
      <c r="AQ66" s="33">
        <f ca="1">_xll.DBRW($C$1,$C$2,$C$3,$C$4,$C$6,$C$5,$C$7,AQ$1,AQ$2,A66)</f>
        <v>0</v>
      </c>
      <c r="AR66" s="33">
        <f ca="1">_xll.DBRW($C$1,$C$2,$C$3,$C$4,$C$6,$C$5,$C$7,AR$1,AR$2,A66)</f>
        <v>0</v>
      </c>
      <c r="AS66" s="33">
        <f ca="1">_xll.DBRW($C$1,$C$2,$C$3,$C$4,$C$6,$C$5,$C$7,AS$1,AS$2,A66)</f>
        <v>0</v>
      </c>
      <c r="AT66" s="33">
        <f ca="1">_xll.DBRW($C$1,$C$2,$C$3,$C$4,$C$6,$C$5,$C$7,AT$1,AT$2,A66)</f>
        <v>0</v>
      </c>
      <c r="AU66" s="33">
        <f ca="1">_xll.DBRW($C$1,$C$2,$C$3,$C$4,$C$6,$C$5,$C$7,AU$1,AU$2,A66)</f>
        <v>0</v>
      </c>
      <c r="AV66" s="33">
        <f ca="1">_xll.DBRW($C$1,$C$2,$C$3,$C$4,$C$6,$C$5,$C$7,AV$1,AV$2,A66)</f>
        <v>0</v>
      </c>
      <c r="AW66" s="33">
        <f ca="1">_xll.DBRW($C$1,$C$2,$C$3,$C$4,$C$6,$C$5,$C$7,AW$1,AW$2,A66)</f>
        <v>0</v>
      </c>
      <c r="AX66" s="33">
        <f ca="1">_xll.DBRW($C$1,$C$2,$C$3,$C$4,$C$6,$C$5,$C$7,AX$1,AX$2,A66)</f>
        <v>0</v>
      </c>
      <c r="AY66" s="33">
        <f ca="1">_xll.DBRW($C$1,$C$2,$C$3,$C$4,$C$6,$C$5,$C$7,AY$1,AY$2,A66)</f>
        <v>0</v>
      </c>
    </row>
    <row r="67" spans="1:51" ht="15.75" hidden="1" customHeight="1" outlineLevel="2">
      <c r="A67" s="1" t="s">
        <v>170</v>
      </c>
      <c r="C67" s="104"/>
      <c r="E67" s="9" t="str">
        <f ca="1">_xll.DBRW(Server&amp;"}ElementAttributes_Indicator",A67,"code_English")</f>
        <v>PL1118_ST - IFRS16 adjustment through P&amp;L (ST)</v>
      </c>
      <c r="F67" s="33">
        <f ca="1">_xll.DBRW($C$1,$C$2,$C$3,$C$4,$C$6,$C$5,$C$7,F$1,F$2,A67)</f>
        <v>0</v>
      </c>
      <c r="G67" s="33">
        <f ca="1">_xll.DBRW($C$1,$C$2,$C$3,$C$4,$C$6,$C$5,$C$7,G$1,G$2,A67)</f>
        <v>0</v>
      </c>
      <c r="H67" s="33">
        <f ca="1">_xll.DBRW($C$1,$C$2,$C$3,$C$4,$C$6,$C$5,$C$7,H$1,H$2,A67)</f>
        <v>0</v>
      </c>
      <c r="I67" s="33">
        <f ca="1">_xll.DBRW($C$1,$C$2,$C$3,$C$4,$C$6,$C$5,$C$7,I$1,I$2,A67)</f>
        <v>0</v>
      </c>
      <c r="J67" s="33">
        <f ca="1">_xll.DBRW($C$1,$C$2,$C$3,$C$4,$C$6,$C$5,$C$7,J$1,J$2,A67)</f>
        <v>0</v>
      </c>
      <c r="K67" s="33">
        <f ca="1">_xll.DBRW($C$1,$C$2,$C$3,$C$4,$C$6,$C$5,$C$7,K$1,K$2,A67)</f>
        <v>0</v>
      </c>
      <c r="L67" s="33">
        <f ca="1">_xll.DBRW($C$1,$C$2,$C$3,$C$4,$C$6,$C$5,$C$7,L$1,L$2,A67)</f>
        <v>0</v>
      </c>
      <c r="M67" s="33">
        <f ca="1">_xll.DBRW($C$1,$C$2,$C$3,$C$4,$C$6,$C$5,$C$7,M$1,M$2,A67)</f>
        <v>0</v>
      </c>
      <c r="N67" s="33">
        <f ca="1">_xll.DBRW($C$1,$C$2,$C$3,$C$4,$C$6,$C$5,$C$7,N$1,N$2,A67)</f>
        <v>0</v>
      </c>
      <c r="O67" s="33">
        <f ca="1">_xll.DBRW($C$1,$C$2,$C$3,$C$4,$C$6,$C$5,$C$7,O$1,O$2,A67)</f>
        <v>0</v>
      </c>
      <c r="P67" s="33">
        <f ca="1">_xll.DBRW($C$1,$C$2,$C$3,$C$4,$C$6,$C$5,$C$7,P$1,P$2,A67)</f>
        <v>0</v>
      </c>
      <c r="Q67" s="33">
        <f ca="1">_xll.DBRW($C$1,$C$2,$C$3,$C$4,$C$6,$C$5,$C$7,Q$1,Q$2,A67)</f>
        <v>0</v>
      </c>
      <c r="R67" s="33">
        <f ca="1">_xll.DBRW($C$1,$C$2,$C$3,$C$4,$C$6,$C$5,$C$7,R$1,R$2,A67)</f>
        <v>0</v>
      </c>
      <c r="S67" s="33">
        <f ca="1">_xll.DBRW($C$1,$C$2,$C$3,$C$4,$C$6,$C$5,$C$7,S$1,S$2,A67)</f>
        <v>0</v>
      </c>
      <c r="T67" s="33">
        <f ca="1">_xll.DBRW($C$1,$C$2,$C$3,$C$4,$C$6,$C$5,$C$7,T$1,T$2,A67)</f>
        <v>0</v>
      </c>
      <c r="U67" s="33">
        <f ca="1">_xll.DBRW($C$1,$C$2,$C$3,$C$4,$C$6,$C$5,$C$7,U$1,U$2,A67)</f>
        <v>0</v>
      </c>
      <c r="V67" s="33">
        <f ca="1">_xll.DBRW($C$1,$C$2,$C$3,$C$4,$C$6,$C$5,$C$7,V$1,V$2,A67)</f>
        <v>0</v>
      </c>
      <c r="W67" s="33">
        <f ca="1">_xll.DBRW($C$1,$C$2,$C$3,$C$4,$C$6,$C$5,$C$7,W$1,W$2,A67)</f>
        <v>0</v>
      </c>
      <c r="X67" s="33">
        <f ca="1">_xll.DBRW($C$1,$C$2,$C$3,$C$4,$C$6,$C$5,$C$7,X$1,X$2,A67)</f>
        <v>0</v>
      </c>
      <c r="Y67" s="33">
        <f ca="1">_xll.DBRW($C$1,$C$2,$C$3,$C$4,$C$6,$C$5,$C$7,Y$1,Y$2,A67)</f>
        <v>0</v>
      </c>
      <c r="Z67" s="33">
        <f ca="1">_xll.DBRW($C$1,$C$2,$C$3,$C$4,$C$6,$C$5,$C$7,Z$1,Z$2,A67)</f>
        <v>0</v>
      </c>
      <c r="AA67" s="33">
        <f ca="1">_xll.DBRW($C$1,$C$2,$C$3,$C$4,$C$6,$C$5,$C$7,AA$1,AA$2,A67)</f>
        <v>0</v>
      </c>
      <c r="AB67" s="33">
        <f ca="1">_xll.DBRW($C$1,$C$2,$C$3,$C$4,$C$6,$C$5,$C$7,AB$1,AB$2,A67)</f>
        <v>0</v>
      </c>
      <c r="AC67" s="33">
        <f ca="1">_xll.DBRW($C$1,$C$2,$C$3,$C$4,$C$6,$C$5,$C$7,AC$1,AC$2,A67)</f>
        <v>0</v>
      </c>
      <c r="AD67" s="33">
        <f ca="1">_xll.DBRW($C$1,$C$2,$C$3,$C$4,$C$6,$C$5,$C$7,AD$1,AD$2,A67)</f>
        <v>0</v>
      </c>
      <c r="AE67" s="33">
        <f ca="1">_xll.DBRW($C$1,$C$2,$C$3,$C$4,$C$6,$C$5,$C$7,AE$1,AE$2,A67)</f>
        <v>0</v>
      </c>
      <c r="AF67" s="33">
        <f ca="1">_xll.DBRW($C$1,$C$2,$C$3,$C$4,$C$6,$C$5,$C$7,AF$1,AF$2,A67)</f>
        <v>0</v>
      </c>
      <c r="AG67" s="33">
        <f ca="1">_xll.DBRW($C$1,$C$2,$C$3,$C$4,$C$6,$C$5,$C$7,AG$1,AG$2,A67)</f>
        <v>0</v>
      </c>
      <c r="AH67" s="33">
        <f ca="1">_xll.DBRW($C$1,$C$2,$C$3,$C$4,$C$6,$C$5,$C$7,AH$1,AH$2,A67)</f>
        <v>0</v>
      </c>
      <c r="AI67" s="33">
        <f ca="1">_xll.DBRW($C$1,$C$2,$C$3,$C$4,$C$6,$C$5,$C$7,AI$1,AI$2,A67)</f>
        <v>0</v>
      </c>
      <c r="AJ67" s="33">
        <f ca="1">_xll.DBRW($C$1,$C$2,$C$3,$C$4,$C$6,$C$5,$C$7,AJ$1,AJ$2,A67)</f>
        <v>0</v>
      </c>
      <c r="AK67" s="33">
        <f ca="1">_xll.DBRW($C$1,$C$2,$C$3,$C$4,$C$6,$C$5,$C$7,AK$1,AK$2,A67)</f>
        <v>0</v>
      </c>
      <c r="AL67" s="33">
        <f ca="1">_xll.DBRW($C$1,$C$2,$C$3,$C$4,$C$6,$C$5,$C$7,AL$1,AL$2,A67)</f>
        <v>0</v>
      </c>
      <c r="AM67" s="33">
        <f ca="1">_xll.DBRW($C$1,$C$2,$C$3,$C$4,$C$6,$C$5,$C$7,AM$1,AM$2,A67)</f>
        <v>0</v>
      </c>
      <c r="AN67" s="33">
        <f ca="1">_xll.DBRW($C$1,$C$2,$C$3,$C$4,$C$6,$C$5,$C$7,AN$1,AN$2,A67)</f>
        <v>0</v>
      </c>
      <c r="AO67" s="33">
        <f ca="1">_xll.DBRW($C$1,$C$2,$C$3,$C$4,$C$6,$C$5,$C$7,AO$1,AO$2,A67)</f>
        <v>0</v>
      </c>
      <c r="AP67" s="33">
        <f ca="1">_xll.DBRW($C$1,$C$2,$C$3,$C$4,$C$6,$C$5,$C$7,AP$1,AP$2,A67)</f>
        <v>0</v>
      </c>
      <c r="AQ67" s="33">
        <f ca="1">_xll.DBRW($C$1,$C$2,$C$3,$C$4,$C$6,$C$5,$C$7,AQ$1,AQ$2,A67)</f>
        <v>0</v>
      </c>
      <c r="AR67" s="33">
        <f ca="1">_xll.DBRW($C$1,$C$2,$C$3,$C$4,$C$6,$C$5,$C$7,AR$1,AR$2,A67)</f>
        <v>0</v>
      </c>
      <c r="AS67" s="33">
        <f ca="1">_xll.DBRW($C$1,$C$2,$C$3,$C$4,$C$6,$C$5,$C$7,AS$1,AS$2,A67)</f>
        <v>0</v>
      </c>
      <c r="AT67" s="33">
        <f ca="1">_xll.DBRW($C$1,$C$2,$C$3,$C$4,$C$6,$C$5,$C$7,AT$1,AT$2,A67)</f>
        <v>0</v>
      </c>
      <c r="AU67" s="33">
        <f ca="1">_xll.DBRW($C$1,$C$2,$C$3,$C$4,$C$6,$C$5,$C$7,AU$1,AU$2,A67)</f>
        <v>0</v>
      </c>
      <c r="AV67" s="33">
        <f ca="1">_xll.DBRW($C$1,$C$2,$C$3,$C$4,$C$6,$C$5,$C$7,AV$1,AV$2,A67)</f>
        <v>0</v>
      </c>
      <c r="AW67" s="33">
        <f ca="1">_xll.DBRW($C$1,$C$2,$C$3,$C$4,$C$6,$C$5,$C$7,AW$1,AW$2,A67)</f>
        <v>0</v>
      </c>
      <c r="AX67" s="33">
        <f ca="1">_xll.DBRW($C$1,$C$2,$C$3,$C$4,$C$6,$C$5,$C$7,AX$1,AX$2,A67)</f>
        <v>0</v>
      </c>
      <c r="AY67" s="33">
        <f ca="1">_xll.DBRW($C$1,$C$2,$C$3,$C$4,$C$6,$C$5,$C$7,AY$1,AY$2,A67)</f>
        <v>0</v>
      </c>
    </row>
    <row r="68" spans="1:51" ht="15.75" hidden="1" customHeight="1" outlineLevel="2">
      <c r="A68" s="1" t="s">
        <v>171</v>
      </c>
      <c r="C68" s="104"/>
      <c r="E68" s="9" t="str">
        <f ca="1">_xll.DBRW(Server&amp;"}ElementAttributes_Indicator",A68,"code_English")</f>
        <v>PL1140_MF_10 - Amortization (MF)</v>
      </c>
      <c r="F68" s="33">
        <f ca="1">_xll.DBRW($C$1,$C$2,$C$3,$C$4,$C$6,$C$5,$C$7,F$1,F$2,A68)</f>
        <v>-0.21580879001572376</v>
      </c>
      <c r="G68" s="33">
        <f ca="1">_xll.DBRW($C$1,$C$2,$C$3,$C$4,$C$6,$C$5,$C$7,G$1,G$2,A68)</f>
        <v>-0.34616774983193432</v>
      </c>
      <c r="H68" s="33">
        <f ca="1">_xll.DBRW($C$1,$C$2,$C$3,$C$4,$C$6,$C$5,$C$7,H$1,H$2,A68)</f>
        <v>-0.56920619192191868</v>
      </c>
      <c r="I68" s="33">
        <f ca="1">_xll.DBRW($C$1,$C$2,$C$3,$C$4,$C$6,$C$5,$C$7,I$1,I$2,A68)</f>
        <v>-1.0693206126212311</v>
      </c>
      <c r="J68" s="33">
        <f ca="1">_xll.DBRW($C$1,$C$2,$C$3,$C$4,$C$6,$C$5,$C$7,J$1,J$2,A68)</f>
        <v>-1.7870382000117147</v>
      </c>
      <c r="K68" s="33">
        <f ca="1">_xll.DBRW($C$1,$C$2,$C$3,$C$4,$C$6,$C$5,$C$7,K$1,K$2,A68)</f>
        <v>-1.4772858084433687</v>
      </c>
      <c r="L68" s="33">
        <f ca="1">_xll.DBRW($C$1,$C$2,$C$3,$C$4,$C$6,$C$5,$C$7,L$1,L$2,A68)</f>
        <v>-3.987496721666667</v>
      </c>
      <c r="M68" s="33">
        <f ca="1">_xll.DBRW($C$1,$C$2,$C$3,$C$4,$C$6,$C$5,$C$7,M$1,M$2,A68)</f>
        <v>-3.0829799149871551E-2</v>
      </c>
      <c r="N68" s="33">
        <f ca="1">_xll.DBRW($C$1,$C$2,$C$3,$C$4,$C$6,$C$5,$C$7,N$1,N$2,A68)</f>
        <v>-0.35876619826568401</v>
      </c>
      <c r="O68" s="33">
        <f ca="1">_xll.DBRW($C$1,$C$2,$C$3,$C$4,$C$6,$C$5,$C$7,O$1,O$2,A68)</f>
        <v>-0.39848593958474321</v>
      </c>
      <c r="P68" s="33">
        <f ca="1">_xll.DBRW($C$1,$C$2,$C$3,$C$4,$C$6,$C$5,$C$7,P$1,P$2,A68)</f>
        <v>-0.48106435493476168</v>
      </c>
      <c r="Q68" s="33">
        <f ca="1">_xll.DBRW($C$1,$C$2,$C$3,$C$4,$C$6,$C$5,$C$7,Q$1,Q$2,A68)</f>
        <v>-0.53035439173987342</v>
      </c>
      <c r="R68" s="33">
        <f ca="1">_xll.DBRW($C$1,$C$2,$C$3,$C$4,$C$6,$C$5,$C$7,R$1,R$2,A68)</f>
        <v>-0.62503218059883803</v>
      </c>
      <c r="S68" s="33">
        <f ca="1">_xll.DBRW($C$1,$C$2,$C$3,$C$4,$C$6,$C$5,$C$7,S$1,S$2,A68)</f>
        <v>-0.35270423222517033</v>
      </c>
      <c r="T68" s="33">
        <f ca="1">_xll.DBRW($C$1,$C$2,$C$3,$C$4,$C$6,$C$5,$C$7,T$1,T$2,A68)</f>
        <v>-1.6301106389248401</v>
      </c>
      <c r="U68" s="33">
        <f ca="1">_xll.DBRW($C$1,$C$2,$C$3,$C$4,$C$6,$C$5,$C$7,U$1,U$2,A68)</f>
        <v>-1.807569978484173</v>
      </c>
      <c r="V68" s="33">
        <f ca="1">_xll.DBRW($C$1,$C$2,$C$3,$C$4,$C$6,$C$5,$C$7,V$1,V$2,A68)</f>
        <v>-0.43799260158665221</v>
      </c>
      <c r="W68" s="33">
        <f ca="1">_xll.DBRW($C$1,$C$2,$C$3,$C$4,$C$6,$C$5,$C$7,W$1,W$2,A68)</f>
        <v>-2.1593855770147581</v>
      </c>
      <c r="X68" s="33">
        <f ca="1">_xll.DBRW($C$1,$C$2,$C$3,$C$4,$C$6,$C$5,$C$7,X$1,X$2,A68)</f>
        <v>-2.339758139018258</v>
      </c>
      <c r="Y68" s="33">
        <f ca="1">_xll.DBRW($C$1,$C$2,$C$3,$C$4,$C$6,$C$5,$C$7,Y$1,Y$2,A68)</f>
        <v>-2.339758139018258</v>
      </c>
      <c r="Z68" s="33">
        <f ca="1">_xll.DBRW($C$1,$C$2,$C$3,$C$4,$C$6,$C$5,$C$7,Z$1,Z$2,A68)</f>
        <v>-0.39771636245896336</v>
      </c>
      <c r="AA68" s="33">
        <f ca="1">_xll.DBRW($C$1,$C$2,$C$3,$C$4,$C$6,$C$5,$C$7,AA$1,AA$2,A68)</f>
        <v>-0.79432661960944451</v>
      </c>
      <c r="AB68" s="33">
        <f ca="1">_xll.DBRW($C$1,$C$2,$C$3,$C$4,$C$6,$C$5,$C$7,AB$1,AB$2,A68)</f>
        <v>-1.1951586211894558</v>
      </c>
      <c r="AC68" s="33">
        <f ca="1">_xll.DBRW($C$1,$C$2,$C$3,$C$4,$C$6,$C$5,$C$7,AC$1,AC$2,A68)</f>
        <v>-1.5963261603598287</v>
      </c>
      <c r="AD68" s="33">
        <f ca="1">_xll.DBRW($C$1,$C$2,$C$3,$C$4,$C$6,$C$5,$C$7,AD$1,AD$2,A68)</f>
        <v>-1.9963859830807795</v>
      </c>
      <c r="AE68" s="33">
        <f ca="1">_xll.DBRW($C$1,$C$2,$C$3,$C$4,$C$6,$C$5,$C$7,AE$1,AE$2,A68)</f>
        <v>-2.3992639552648178</v>
      </c>
      <c r="AF68" s="33">
        <f ca="1">_xll.DBRW($C$1,$C$2,$C$3,$C$4,$C$6,$C$5,$C$7,AF$1,AF$2,A68)</f>
        <v>-2.8024372281151448</v>
      </c>
      <c r="AG68" s="33">
        <f ca="1">_xll.DBRW($C$1,$C$2,$C$3,$C$4,$C$6,$C$5,$C$7,AG$1,AG$2,A68)</f>
        <v>-3.2117240886771246</v>
      </c>
      <c r="AH68" s="33">
        <f ca="1">_xll.DBRW($C$1,$C$2,$C$3,$C$4,$C$6,$C$5,$C$7,AH$1,AH$2,A68)</f>
        <v>-3.6219863692391039</v>
      </c>
      <c r="AI68" s="33">
        <f ca="1">_xll.DBRW($C$1,$C$2,$C$3,$C$4,$C$6,$C$5,$C$7,AI$1,AI$2,A68)</f>
        <v>-4.034079690757661</v>
      </c>
      <c r="AJ68" s="33">
        <f ca="1">_xll.DBRW($C$1,$C$2,$C$3,$C$4,$C$6,$C$5,$C$7,AJ$1,AJ$2,A68)</f>
        <v>-4.434101781195924</v>
      </c>
      <c r="AK68" s="33">
        <f ca="1">_xll.DBRW($C$1,$C$2,$C$3,$C$4,$C$6,$C$5,$C$7,AK$1,AK$2,A68)</f>
        <v>-4.8329790516341875</v>
      </c>
      <c r="AL68" s="33">
        <f ca="1">_xll.DBRW($C$1,$C$2,$C$3,$C$4,$C$6,$C$5,$C$7,AL$1,AL$2,A68)</f>
        <v>-4.8329790516341875</v>
      </c>
      <c r="AM68" s="33">
        <f ca="1">_xll.DBRW($C$1,$C$2,$C$3,$C$4,$C$6,$C$5,$C$7,AM$1,AM$2,A68)</f>
        <v>-1.4092203674816589E-2</v>
      </c>
      <c r="AN68" s="33">
        <f ca="1">_xll.DBRW($C$1,$C$2,$C$3,$C$4,$C$6,$C$5,$C$7,AN$1,AN$2,A68)</f>
        <v>-0.36366228289719538</v>
      </c>
      <c r="AO68" s="33">
        <f ca="1">_xll.DBRW($C$1,$C$2,$C$3,$C$4,$C$6,$C$5,$C$7,AO$1,AO$2,A68)</f>
        <v>-5.5511151231257827E-17</v>
      </c>
      <c r="AP68" s="33">
        <f ca="1">_xll.DBRW($C$1,$C$2,$C$3,$C$4,$C$6,$C$5,$C$7,AP$1,AP$2,A68)</f>
        <v>-5.5511151231257827E-17</v>
      </c>
      <c r="AQ68" s="33">
        <f ca="1">_xll.DBRW($C$1,$C$2,$C$3,$C$4,$C$6,$C$5,$C$7,AQ$1,AQ$2,A68)</f>
        <v>-5.5511151231257827E-17</v>
      </c>
      <c r="AR68" s="33">
        <f ca="1">_xll.DBRW($C$1,$C$2,$C$3,$C$4,$C$6,$C$5,$C$7,AR$1,AR$2,A68)</f>
        <v>-5.5511151231257827E-17</v>
      </c>
      <c r="AS68" s="33">
        <f ca="1">_xll.DBRW($C$1,$C$2,$C$3,$C$4,$C$6,$C$5,$C$7,AS$1,AS$2,A68)</f>
        <v>-5.5511151231257827E-17</v>
      </c>
      <c r="AT68" s="33">
        <f ca="1">_xll.DBRW($C$1,$C$2,$C$3,$C$4,$C$6,$C$5,$C$7,AT$1,AT$2,A68)</f>
        <v>-5.5511151231257827E-17</v>
      </c>
      <c r="AU68" s="33">
        <f ca="1">_xll.DBRW($C$1,$C$2,$C$3,$C$4,$C$6,$C$5,$C$7,AU$1,AU$2,A68)</f>
        <v>-5.5511151231257827E-17</v>
      </c>
      <c r="AV68" s="33">
        <f ca="1">_xll.DBRW($C$1,$C$2,$C$3,$C$4,$C$6,$C$5,$C$7,AV$1,AV$2,A68)</f>
        <v>-5.5511151231257827E-17</v>
      </c>
      <c r="AW68" s="33">
        <f ca="1">_xll.DBRW($C$1,$C$2,$C$3,$C$4,$C$6,$C$5,$C$7,AW$1,AW$2,A68)</f>
        <v>-5.5511151231257827E-17</v>
      </c>
      <c r="AX68" s="33">
        <f ca="1">_xll.DBRW($C$1,$C$2,$C$3,$C$4,$C$6,$C$5,$C$7,AX$1,AX$2,A68)</f>
        <v>-5.5511151231257827E-17</v>
      </c>
      <c r="AY68" s="33">
        <f ca="1">_xll.DBRW($C$1,$C$2,$C$3,$C$4,$C$6,$C$5,$C$7,AY$1,AY$2,A68)</f>
        <v>-5.5511151231257827E-17</v>
      </c>
    </row>
    <row r="69" spans="1:51" ht="15.75" hidden="1" customHeight="1" outlineLevel="2">
      <c r="A69" s="1" t="s">
        <v>172</v>
      </c>
      <c r="C69" s="104"/>
      <c r="E69" s="9" t="str">
        <f ca="1">_xll.DBRW(Server&amp;"}ElementAttributes_Indicator",A69,"code_English")</f>
        <v>PL1145_MF - Impairment - working capital (MF)</v>
      </c>
      <c r="F69" s="33">
        <f ca="1">_xll.DBRW($C$1,$C$2,$C$3,$C$4,$C$6,$C$5,$C$7,F$1,F$2,A69)</f>
        <v>-8.0131809999999984E-2</v>
      </c>
      <c r="G69" s="33">
        <f ca="1">_xll.DBRW($C$1,$C$2,$C$3,$C$4,$C$6,$C$5,$C$7,G$1,G$2,A69)</f>
        <v>0.15148934</v>
      </c>
      <c r="H69" s="33">
        <f ca="1">_xll.DBRW($C$1,$C$2,$C$3,$C$4,$C$6,$C$5,$C$7,H$1,H$2,A69)</f>
        <v>0.13236606999999997</v>
      </c>
      <c r="I69" s="33">
        <f ca="1">_xll.DBRW($C$1,$C$2,$C$3,$C$4,$C$6,$C$5,$C$7,I$1,I$2,A69)</f>
        <v>-5.1131180000000019E-2</v>
      </c>
      <c r="J69" s="33">
        <f ca="1">_xll.DBRW($C$1,$C$2,$C$3,$C$4,$C$6,$C$5,$C$7,J$1,J$2,A69)</f>
        <v>6.4372160000000025E-2</v>
      </c>
      <c r="K69" s="33">
        <f ca="1">_xll.DBRW($C$1,$C$2,$C$3,$C$4,$C$6,$C$5,$C$7,K$1,K$2,A69)</f>
        <v>0.18512550999999999</v>
      </c>
      <c r="L69" s="33">
        <f ca="1">_xll.DBRW($C$1,$C$2,$C$3,$C$4,$C$6,$C$5,$C$7,L$1,L$2,A69)</f>
        <v>3.9E-2</v>
      </c>
      <c r="M69" s="33">
        <f ca="1">_xll.DBRW($C$1,$C$2,$C$3,$C$4,$C$6,$C$5,$C$7,M$1,M$2,A69)</f>
        <v>0</v>
      </c>
      <c r="N69" s="33">
        <f ca="1">_xll.DBRW($C$1,$C$2,$C$3,$C$4,$C$6,$C$5,$C$7,N$1,N$2,A69)</f>
        <v>0</v>
      </c>
      <c r="O69" s="33">
        <f ca="1">_xll.DBRW($C$1,$C$2,$C$3,$C$4,$C$6,$C$5,$C$7,O$1,O$2,A69)</f>
        <v>0</v>
      </c>
      <c r="P69" s="33">
        <f ca="1">_xll.DBRW($C$1,$C$2,$C$3,$C$4,$C$6,$C$5,$C$7,P$1,P$2,A69)</f>
        <v>0</v>
      </c>
      <c r="Q69" s="33">
        <f ca="1">_xll.DBRW($C$1,$C$2,$C$3,$C$4,$C$6,$C$5,$C$7,Q$1,Q$2,A69)</f>
        <v>0</v>
      </c>
      <c r="R69" s="33">
        <f ca="1">_xll.DBRW($C$1,$C$2,$C$3,$C$4,$C$6,$C$5,$C$7,R$1,R$2,A69)</f>
        <v>0</v>
      </c>
      <c r="S69" s="33">
        <f ca="1">_xll.DBRW($C$1,$C$2,$C$3,$C$4,$C$6,$C$5,$C$7,S$1,S$2,A69)</f>
        <v>0</v>
      </c>
      <c r="T69" s="33">
        <f ca="1">_xll.DBRW($C$1,$C$2,$C$3,$C$4,$C$6,$C$5,$C$7,T$1,T$2,A69)</f>
        <v>0</v>
      </c>
      <c r="U69" s="33">
        <f ca="1">_xll.DBRW($C$1,$C$2,$C$3,$C$4,$C$6,$C$5,$C$7,U$1,U$2,A69)</f>
        <v>0</v>
      </c>
      <c r="V69" s="33">
        <f ca="1">_xll.DBRW($C$1,$C$2,$C$3,$C$4,$C$6,$C$5,$C$7,V$1,V$2,A69)</f>
        <v>0</v>
      </c>
      <c r="W69" s="33">
        <f ca="1">_xll.DBRW($C$1,$C$2,$C$3,$C$4,$C$6,$C$5,$C$7,W$1,W$2,A69)</f>
        <v>-3.3305069999999999E-2</v>
      </c>
      <c r="X69" s="33">
        <f ca="1">_xll.DBRW($C$1,$C$2,$C$3,$C$4,$C$6,$C$5,$C$7,X$1,X$2,A69)</f>
        <v>-3.7221169999999998E-2</v>
      </c>
      <c r="Y69" s="33">
        <f ca="1">_xll.DBRW($C$1,$C$2,$C$3,$C$4,$C$6,$C$5,$C$7,Y$1,Y$2,A69)</f>
        <v>-3.7221169999999998E-2</v>
      </c>
      <c r="Z69" s="33">
        <f ca="1">_xll.DBRW($C$1,$C$2,$C$3,$C$4,$C$6,$C$5,$C$7,Z$1,Z$2,A69)</f>
        <v>0</v>
      </c>
      <c r="AA69" s="33">
        <f ca="1">_xll.DBRW($C$1,$C$2,$C$3,$C$4,$C$6,$C$5,$C$7,AA$1,AA$2,A69)</f>
        <v>0</v>
      </c>
      <c r="AB69" s="33">
        <f ca="1">_xll.DBRW($C$1,$C$2,$C$3,$C$4,$C$6,$C$5,$C$7,AB$1,AB$2,A69)</f>
        <v>0</v>
      </c>
      <c r="AC69" s="33">
        <f ca="1">_xll.DBRW($C$1,$C$2,$C$3,$C$4,$C$6,$C$5,$C$7,AC$1,AC$2,A69)</f>
        <v>0</v>
      </c>
      <c r="AD69" s="33">
        <f ca="1">_xll.DBRW($C$1,$C$2,$C$3,$C$4,$C$6,$C$5,$C$7,AD$1,AD$2,A69)</f>
        <v>0</v>
      </c>
      <c r="AE69" s="33">
        <f ca="1">_xll.DBRW($C$1,$C$2,$C$3,$C$4,$C$6,$C$5,$C$7,AE$1,AE$2,A69)</f>
        <v>0</v>
      </c>
      <c r="AF69" s="33">
        <f ca="1">_xll.DBRW($C$1,$C$2,$C$3,$C$4,$C$6,$C$5,$C$7,AF$1,AF$2,A69)</f>
        <v>0</v>
      </c>
      <c r="AG69" s="33">
        <f ca="1">_xll.DBRW($C$1,$C$2,$C$3,$C$4,$C$6,$C$5,$C$7,AG$1,AG$2,A69)</f>
        <v>0</v>
      </c>
      <c r="AH69" s="33">
        <f ca="1">_xll.DBRW($C$1,$C$2,$C$3,$C$4,$C$6,$C$5,$C$7,AH$1,AH$2,A69)</f>
        <v>0</v>
      </c>
      <c r="AI69" s="33">
        <f ca="1">_xll.DBRW($C$1,$C$2,$C$3,$C$4,$C$6,$C$5,$C$7,AI$1,AI$2,A69)</f>
        <v>0</v>
      </c>
      <c r="AJ69" s="33">
        <f ca="1">_xll.DBRW($C$1,$C$2,$C$3,$C$4,$C$6,$C$5,$C$7,AJ$1,AJ$2,A69)</f>
        <v>0</v>
      </c>
      <c r="AK69" s="33">
        <f ca="1">_xll.DBRW($C$1,$C$2,$C$3,$C$4,$C$6,$C$5,$C$7,AK$1,AK$2,A69)</f>
        <v>0.04</v>
      </c>
      <c r="AL69" s="33">
        <f ca="1">_xll.DBRW($C$1,$C$2,$C$3,$C$4,$C$6,$C$5,$C$7,AL$1,AL$2,A69)</f>
        <v>0.04</v>
      </c>
      <c r="AM69" s="33">
        <f ca="1">_xll.DBRW($C$1,$C$2,$C$3,$C$4,$C$6,$C$5,$C$7,AM$1,AM$2,A69)</f>
        <v>0</v>
      </c>
      <c r="AN69" s="33">
        <f ca="1">_xll.DBRW($C$1,$C$2,$C$3,$C$4,$C$6,$C$5,$C$7,AN$1,AN$2,A69)</f>
        <v>0.130774</v>
      </c>
      <c r="AO69" s="33">
        <f ca="1">_xll.DBRW($C$1,$C$2,$C$3,$C$4,$C$6,$C$5,$C$7,AO$1,AO$2,A69)</f>
        <v>0</v>
      </c>
      <c r="AP69" s="33">
        <f ca="1">_xll.DBRW($C$1,$C$2,$C$3,$C$4,$C$6,$C$5,$C$7,AP$1,AP$2,A69)</f>
        <v>0</v>
      </c>
      <c r="AQ69" s="33">
        <f ca="1">_xll.DBRW($C$1,$C$2,$C$3,$C$4,$C$6,$C$5,$C$7,AQ$1,AQ$2,A69)</f>
        <v>0</v>
      </c>
      <c r="AR69" s="33">
        <f ca="1">_xll.DBRW($C$1,$C$2,$C$3,$C$4,$C$6,$C$5,$C$7,AR$1,AR$2,A69)</f>
        <v>0</v>
      </c>
      <c r="AS69" s="33">
        <f ca="1">_xll.DBRW($C$1,$C$2,$C$3,$C$4,$C$6,$C$5,$C$7,AS$1,AS$2,A69)</f>
        <v>0</v>
      </c>
      <c r="AT69" s="33">
        <f ca="1">_xll.DBRW($C$1,$C$2,$C$3,$C$4,$C$6,$C$5,$C$7,AT$1,AT$2,A69)</f>
        <v>0</v>
      </c>
      <c r="AU69" s="33">
        <f ca="1">_xll.DBRW($C$1,$C$2,$C$3,$C$4,$C$6,$C$5,$C$7,AU$1,AU$2,A69)</f>
        <v>0</v>
      </c>
      <c r="AV69" s="33">
        <f ca="1">_xll.DBRW($C$1,$C$2,$C$3,$C$4,$C$6,$C$5,$C$7,AV$1,AV$2,A69)</f>
        <v>0</v>
      </c>
      <c r="AW69" s="33">
        <f ca="1">_xll.DBRW($C$1,$C$2,$C$3,$C$4,$C$6,$C$5,$C$7,AW$1,AW$2,A69)</f>
        <v>0</v>
      </c>
      <c r="AX69" s="33">
        <f ca="1">_xll.DBRW($C$1,$C$2,$C$3,$C$4,$C$6,$C$5,$C$7,AX$1,AX$2,A69)</f>
        <v>0</v>
      </c>
      <c r="AY69" s="33">
        <f ca="1">_xll.DBRW($C$1,$C$2,$C$3,$C$4,$C$6,$C$5,$C$7,AY$1,AY$2,A69)</f>
        <v>0</v>
      </c>
    </row>
    <row r="70" spans="1:51" ht="15.75" hidden="1" customHeight="1" outlineLevel="2">
      <c r="A70" s="1" t="s">
        <v>173</v>
      </c>
      <c r="C70" s="104"/>
      <c r="E70" s="9" t="str">
        <f ca="1">_xll.DBRW(Server&amp;"}ElementAttributes_Indicator",A70,"code_English")</f>
        <v>PL1150_MF_10 - Impairment (other than working capital) and provisions - related to staff costs (MF)</v>
      </c>
      <c r="F70" s="33">
        <f ca="1">_xll.DBRW($C$1,$C$2,$C$3,$C$4,$C$6,$C$5,$C$7,F$1,F$2,A70)</f>
        <v>-0.23369847306840469</v>
      </c>
      <c r="G70" s="33">
        <f ca="1">_xll.DBRW($C$1,$C$2,$C$3,$C$4,$C$6,$C$5,$C$7,G$1,G$2,A70)</f>
        <v>-0.85556171456274088</v>
      </c>
      <c r="H70" s="33">
        <f ca="1">_xll.DBRW($C$1,$C$2,$C$3,$C$4,$C$6,$C$5,$C$7,H$1,H$2,A70)</f>
        <v>-0.61865501313259497</v>
      </c>
      <c r="I70" s="33">
        <f ca="1">_xll.DBRW($C$1,$C$2,$C$3,$C$4,$C$6,$C$5,$C$7,I$1,I$2,A70)</f>
        <v>-1.3241624161973224</v>
      </c>
      <c r="J70" s="33">
        <f ca="1">_xll.DBRW($C$1,$C$2,$C$3,$C$4,$C$6,$C$5,$C$7,J$1,J$2,A70)</f>
        <v>-1.092135546895993</v>
      </c>
      <c r="K70" s="33">
        <f ca="1">_xll.DBRW($C$1,$C$2,$C$3,$C$4,$C$6,$C$5,$C$7,K$1,K$2,A70)</f>
        <v>-0.67584379543704576</v>
      </c>
      <c r="L70" s="33">
        <f ca="1">_xll.DBRW($C$1,$C$2,$C$3,$C$4,$C$6,$C$5,$C$7,L$1,L$2,A70)</f>
        <v>-6.2702666666666657E-2</v>
      </c>
      <c r="M70" s="33">
        <f ca="1">_xll.DBRW($C$1,$C$2,$C$3,$C$4,$C$6,$C$5,$C$7,M$1,M$2,A70)</f>
        <v>-2.9985401114369394E-2</v>
      </c>
      <c r="N70" s="33">
        <f ca="1">_xll.DBRW($C$1,$C$2,$C$3,$C$4,$C$6,$C$5,$C$7,N$1,N$2,A70)</f>
        <v>0.11885482919376772</v>
      </c>
      <c r="O70" s="33">
        <f ca="1">_xll.DBRW($C$1,$C$2,$C$3,$C$4,$C$6,$C$5,$C$7,O$1,O$2,A70)</f>
        <v>0.21960572330356343</v>
      </c>
      <c r="P70" s="33">
        <f ca="1">_xll.DBRW($C$1,$C$2,$C$3,$C$4,$C$6,$C$5,$C$7,P$1,P$2,A70)</f>
        <v>0.19677358005298473</v>
      </c>
      <c r="Q70" s="33">
        <f ca="1">_xll.DBRW($C$1,$C$2,$C$3,$C$4,$C$6,$C$5,$C$7,Q$1,Q$2,A70)</f>
        <v>0.18880955760052248</v>
      </c>
      <c r="R70" s="33">
        <f ca="1">_xll.DBRW($C$1,$C$2,$C$3,$C$4,$C$6,$C$5,$C$7,R$1,R$2,A70)</f>
        <v>0.16782209043343513</v>
      </c>
      <c r="S70" s="33">
        <f ca="1">_xll.DBRW($C$1,$C$2,$C$3,$C$4,$C$6,$C$5,$C$7,S$1,S$2,A70)</f>
        <v>0.22173414448402226</v>
      </c>
      <c r="T70" s="33">
        <f ca="1">_xll.DBRW($C$1,$C$2,$C$3,$C$4,$C$6,$C$5,$C$7,T$1,T$2,A70)</f>
        <v>0.20864133866457352</v>
      </c>
      <c r="U70" s="33">
        <f ca="1">_xll.DBRW($C$1,$C$2,$C$3,$C$4,$C$6,$C$5,$C$7,U$1,U$2,A70)</f>
        <v>0.16696895659257771</v>
      </c>
      <c r="V70" s="33">
        <f ca="1">_xll.DBRW($C$1,$C$2,$C$3,$C$4,$C$6,$C$5,$C$7,V$1,V$2,A70)</f>
        <v>0.15807790766902685</v>
      </c>
      <c r="W70" s="33">
        <f ca="1">_xll.DBRW($C$1,$C$2,$C$3,$C$4,$C$6,$C$5,$C$7,W$1,W$2,A70)</f>
        <v>0.18699488630466299</v>
      </c>
      <c r="X70" s="33">
        <f ca="1">_xll.DBRW($C$1,$C$2,$C$3,$C$4,$C$6,$C$5,$C$7,X$1,X$2,A70)</f>
        <v>0.16427930537655605</v>
      </c>
      <c r="Y70" s="33">
        <f ca="1">_xll.DBRW($C$1,$C$2,$C$3,$C$4,$C$6,$C$5,$C$7,Y$1,Y$2,A70)</f>
        <v>0.16427930537655605</v>
      </c>
      <c r="Z70" s="33">
        <f ca="1">_xll.DBRW($C$1,$C$2,$C$3,$C$4,$C$6,$C$5,$C$7,Z$1,Z$2,A70)</f>
        <v>-1.2956951879194633E-2</v>
      </c>
      <c r="AA70" s="33">
        <f ca="1">_xll.DBRW($C$1,$C$2,$C$3,$C$4,$C$6,$C$5,$C$7,AA$1,AA$2,A70)</f>
        <v>-2.5183031275167786E-2</v>
      </c>
      <c r="AB70" s="33">
        <f ca="1">_xll.DBRW($C$1,$C$2,$C$3,$C$4,$C$6,$C$5,$C$7,AB$1,AB$2,A70)</f>
        <v>-6.9503741543624153E-2</v>
      </c>
      <c r="AC70" s="33">
        <f ca="1">_xll.DBRW($C$1,$C$2,$C$3,$C$4,$C$6,$C$5,$C$7,AC$1,AC$2,A70)</f>
        <v>-8.1730492080536912E-2</v>
      </c>
      <c r="AD70" s="33">
        <f ca="1">_xll.DBRW($C$1,$C$2,$C$3,$C$4,$C$6,$C$5,$C$7,AD$1,AD$2,A70)</f>
        <v>-9.505120234899328E-2</v>
      </c>
      <c r="AE70" s="33">
        <f ca="1">_xll.DBRW($C$1,$C$2,$C$3,$C$4,$C$6,$C$5,$C$7,AE$1,AE$2,A70)</f>
        <v>-0.10754439583892617</v>
      </c>
      <c r="AF70" s="33">
        <f ca="1">_xll.DBRW($C$1,$C$2,$C$3,$C$4,$C$6,$C$5,$C$7,AF$1,AF$2,A70)</f>
        <v>-0.11891629402684563</v>
      </c>
      <c r="AG70" s="33">
        <f ca="1">_xll.DBRW($C$1,$C$2,$C$3,$C$4,$C$6,$C$5,$C$7,AG$1,AG$2,A70)</f>
        <v>-0.13175445395973154</v>
      </c>
      <c r="AH70" s="33">
        <f ca="1">_xll.DBRW($C$1,$C$2,$C$3,$C$4,$C$6,$C$5,$C$7,AH$1,AH$2,A70)</f>
        <v>-0.14390335214765101</v>
      </c>
      <c r="AI70" s="33">
        <f ca="1">_xll.DBRW($C$1,$C$2,$C$3,$C$4,$C$6,$C$5,$C$7,AI$1,AI$2,A70)</f>
        <v>-0.1563958744966443</v>
      </c>
      <c r="AJ70" s="33">
        <f ca="1">_xll.DBRW($C$1,$C$2,$C$3,$C$4,$C$6,$C$5,$C$7,AJ$1,AJ$2,A70)</f>
        <v>-0.16888906798657718</v>
      </c>
      <c r="AK70" s="33">
        <f ca="1">_xll.DBRW($C$1,$C$2,$C$3,$C$4,$C$6,$C$5,$C$7,AK$1,AK$2,A70)</f>
        <v>-0.18026096617449663</v>
      </c>
      <c r="AL70" s="33">
        <f ca="1">_xll.DBRW($C$1,$C$2,$C$3,$C$4,$C$6,$C$5,$C$7,AL$1,AL$2,A70)</f>
        <v>-0.18026096617449663</v>
      </c>
      <c r="AM70" s="33">
        <f ca="1">_xll.DBRW($C$1,$C$2,$C$3,$C$4,$C$6,$C$5,$C$7,AM$1,AM$2,A70)</f>
        <v>7.3564003870994515E-2</v>
      </c>
      <c r="AN70" s="33">
        <f ca="1">_xll.DBRW($C$1,$C$2,$C$3,$C$4,$C$6,$C$5,$C$7,AN$1,AN$2,A70)</f>
        <v>3.894091070398039E-2</v>
      </c>
      <c r="AO70" s="33">
        <f ca="1">_xll.DBRW($C$1,$C$2,$C$3,$C$4,$C$6,$C$5,$C$7,AO$1,AO$2,A70)</f>
        <v>1.3877787807814457E-17</v>
      </c>
      <c r="AP70" s="33">
        <f ca="1">_xll.DBRW($C$1,$C$2,$C$3,$C$4,$C$6,$C$5,$C$7,AP$1,AP$2,A70)</f>
        <v>1.3877787807814457E-17</v>
      </c>
      <c r="AQ70" s="33">
        <f ca="1">_xll.DBRW($C$1,$C$2,$C$3,$C$4,$C$6,$C$5,$C$7,AQ$1,AQ$2,A70)</f>
        <v>1.3877787807814457E-17</v>
      </c>
      <c r="AR70" s="33">
        <f ca="1">_xll.DBRW($C$1,$C$2,$C$3,$C$4,$C$6,$C$5,$C$7,AR$1,AR$2,A70)</f>
        <v>1.3877787807814457E-17</v>
      </c>
      <c r="AS70" s="33">
        <f ca="1">_xll.DBRW($C$1,$C$2,$C$3,$C$4,$C$6,$C$5,$C$7,AS$1,AS$2,A70)</f>
        <v>1.3877787807814457E-17</v>
      </c>
      <c r="AT70" s="33">
        <f ca="1">_xll.DBRW($C$1,$C$2,$C$3,$C$4,$C$6,$C$5,$C$7,AT$1,AT$2,A70)</f>
        <v>1.3877787807814457E-17</v>
      </c>
      <c r="AU70" s="33">
        <f ca="1">_xll.DBRW($C$1,$C$2,$C$3,$C$4,$C$6,$C$5,$C$7,AU$1,AU$2,A70)</f>
        <v>1.3877787807814457E-17</v>
      </c>
      <c r="AV70" s="33">
        <f ca="1">_xll.DBRW($C$1,$C$2,$C$3,$C$4,$C$6,$C$5,$C$7,AV$1,AV$2,A70)</f>
        <v>1.3877787807814457E-17</v>
      </c>
      <c r="AW70" s="33">
        <f ca="1">_xll.DBRW($C$1,$C$2,$C$3,$C$4,$C$6,$C$5,$C$7,AW$1,AW$2,A70)</f>
        <v>1.3877787807814457E-17</v>
      </c>
      <c r="AX70" s="33">
        <f ca="1">_xll.DBRW($C$1,$C$2,$C$3,$C$4,$C$6,$C$5,$C$7,AX$1,AX$2,A70)</f>
        <v>1.3877787807814457E-17</v>
      </c>
      <c r="AY70" s="33">
        <f ca="1">_xll.DBRW($C$1,$C$2,$C$3,$C$4,$C$6,$C$5,$C$7,AY$1,AY$2,A70)</f>
        <v>1.3877787807814457E-17</v>
      </c>
    </row>
    <row r="71" spans="1:51" ht="15.75" hidden="1" customHeight="1" outlineLevel="2">
      <c r="A71" s="1" t="s">
        <v>174</v>
      </c>
      <c r="C71" s="104"/>
      <c r="E71" s="9" t="str">
        <f ca="1">_xll.DBRW(Server&amp;"}ElementAttributes_Indicator",A71,"code_English")</f>
        <v>PL1150_MF_11 - Impairment (other than working capital) and provisions - related to staff costs - Reversal (MF)</v>
      </c>
      <c r="F71" s="33">
        <f ca="1">_xll.DBRW($C$1,$C$2,$C$3,$C$4,$C$6,$C$5,$C$7,F$1,F$2,A71)</f>
        <v>0.19568198000000003</v>
      </c>
      <c r="G71" s="33">
        <f ca="1">_xll.DBRW($C$1,$C$2,$C$3,$C$4,$C$6,$C$5,$C$7,G$1,G$2,A71)</f>
        <v>0.24444660999999998</v>
      </c>
      <c r="H71" s="33">
        <f ca="1">_xll.DBRW($C$1,$C$2,$C$3,$C$4,$C$6,$C$5,$C$7,H$1,H$2,A71)</f>
        <v>0.10014245999999999</v>
      </c>
      <c r="I71" s="33">
        <f ca="1">_xll.DBRW($C$1,$C$2,$C$3,$C$4,$C$6,$C$5,$C$7,I$1,I$2,A71)</f>
        <v>0.32914017000000007</v>
      </c>
      <c r="J71" s="33">
        <f ca="1">_xll.DBRW($C$1,$C$2,$C$3,$C$4,$C$6,$C$5,$C$7,J$1,J$2,A71)</f>
        <v>0.38376806999999991</v>
      </c>
      <c r="K71" s="33">
        <f ca="1">_xll.DBRW($C$1,$C$2,$C$3,$C$4,$C$6,$C$5,$C$7,K$1,K$2,A71)</f>
        <v>0.27653965000000003</v>
      </c>
      <c r="L71" s="33">
        <f ca="1">_xll.DBRW($C$1,$C$2,$C$3,$C$4,$C$6,$C$5,$C$7,L$1,L$2,A71)</f>
        <v>5.0562199999999995E-2</v>
      </c>
      <c r="M71" s="33">
        <f ca="1">_xll.DBRW($C$1,$C$2,$C$3,$C$4,$C$6,$C$5,$C$7,M$1,M$2,A71)</f>
        <v>8.3434000000000004E-4</v>
      </c>
      <c r="N71" s="33">
        <f ca="1">_xll.DBRW($C$1,$C$2,$C$3,$C$4,$C$6,$C$5,$C$7,N$1,N$2,A71)</f>
        <v>2.2419599999999999E-3</v>
      </c>
      <c r="O71" s="33">
        <f ca="1">_xll.DBRW($C$1,$C$2,$C$3,$C$4,$C$6,$C$5,$C$7,O$1,O$2,A71)</f>
        <v>3.3084639999999998E-2</v>
      </c>
      <c r="P71" s="33">
        <f ca="1">_xll.DBRW($C$1,$C$2,$C$3,$C$4,$C$6,$C$5,$C$7,P$1,P$2,A71)</f>
        <v>3.3927320000000004E-2</v>
      </c>
      <c r="Q71" s="33">
        <f ca="1">_xll.DBRW($C$1,$C$2,$C$3,$C$4,$C$6,$C$5,$C$7,Q$1,Q$2,A71)</f>
        <v>3.4770000000000002E-2</v>
      </c>
      <c r="R71" s="33">
        <f ca="1">_xll.DBRW($C$1,$C$2,$C$3,$C$4,$C$6,$C$5,$C$7,R$1,R$2,A71)</f>
        <v>3.5612680000000001E-2</v>
      </c>
      <c r="S71" s="33">
        <f ca="1">_xll.DBRW($C$1,$C$2,$C$3,$C$4,$C$6,$C$5,$C$7,S$1,S$2,A71)</f>
        <v>3.9466479999999998E-2</v>
      </c>
      <c r="T71" s="33">
        <f ca="1">_xll.DBRW($C$1,$C$2,$C$3,$C$4,$C$6,$C$5,$C$7,T$1,T$2,A71)</f>
        <v>2.4689539999999996E-2</v>
      </c>
      <c r="U71" s="33">
        <f ca="1">_xll.DBRW($C$1,$C$2,$C$3,$C$4,$C$6,$C$5,$C$7,U$1,U$2,A71)</f>
        <v>2.6534819999999997E-2</v>
      </c>
      <c r="V71" s="33">
        <f ca="1">_xll.DBRW($C$1,$C$2,$C$3,$C$4,$C$6,$C$5,$C$7,V$1,V$2,A71)</f>
        <v>2.5692139999999995E-2</v>
      </c>
      <c r="W71" s="33">
        <f ca="1">_xll.DBRW($C$1,$C$2,$C$3,$C$4,$C$6,$C$5,$C$7,W$1,W$2,A71)</f>
        <v>2.4849459999999997E-2</v>
      </c>
      <c r="X71" s="33">
        <f ca="1">_xll.DBRW($C$1,$C$2,$C$3,$C$4,$C$6,$C$5,$C$7,X$1,X$2,A71)</f>
        <v>4.5164099999999992E-2</v>
      </c>
      <c r="Y71" s="33">
        <f ca="1">_xll.DBRW($C$1,$C$2,$C$3,$C$4,$C$6,$C$5,$C$7,Y$1,Y$2,A71)</f>
        <v>4.5164099999999992E-2</v>
      </c>
      <c r="Z71" s="33">
        <f ca="1">_xll.DBRW($C$1,$C$2,$C$3,$C$4,$C$6,$C$5,$C$7,Z$1,Z$2,A71)</f>
        <v>-7.7700000000000002E-4</v>
      </c>
      <c r="AA71" s="33">
        <f ca="1">_xll.DBRW($C$1,$C$2,$C$3,$C$4,$C$6,$C$5,$C$7,AA$1,AA$2,A71)</f>
        <v>1.2888700000000001E-3</v>
      </c>
      <c r="AB71" s="33">
        <f ca="1">_xll.DBRW($C$1,$C$2,$C$3,$C$4,$C$6,$C$5,$C$7,AB$1,AB$2,A71)</f>
        <v>5.118700000000001E-4</v>
      </c>
      <c r="AC71" s="33">
        <f ca="1">_xll.DBRW($C$1,$C$2,$C$3,$C$4,$C$6,$C$5,$C$7,AC$1,AC$2,A71)</f>
        <v>-2.6512999999999992E-4</v>
      </c>
      <c r="AD71" s="33">
        <f ca="1">_xll.DBRW($C$1,$C$2,$C$3,$C$4,$C$6,$C$5,$C$7,AD$1,AD$2,A71)</f>
        <v>-1.0421300000000001E-3</v>
      </c>
      <c r="AE71" s="33">
        <f ca="1">_xll.DBRW($C$1,$C$2,$C$3,$C$4,$C$6,$C$5,$C$7,AE$1,AE$2,A71)</f>
        <v>-1.81913E-3</v>
      </c>
      <c r="AF71" s="33">
        <f ca="1">_xll.DBRW($C$1,$C$2,$C$3,$C$4,$C$6,$C$5,$C$7,AF$1,AF$2,A71)</f>
        <v>1.2686999999999952E-4</v>
      </c>
      <c r="AG71" s="33">
        <f ca="1">_xll.DBRW($C$1,$C$2,$C$3,$C$4,$C$6,$C$5,$C$7,AG$1,AG$2,A71)</f>
        <v>-6.5013000000000061E-4</v>
      </c>
      <c r="AH71" s="33">
        <f ca="1">_xll.DBRW($C$1,$C$2,$C$3,$C$4,$C$6,$C$5,$C$7,AH$1,AH$2,A71)</f>
        <v>-1.4271300000000006E-3</v>
      </c>
      <c r="AI71" s="33">
        <f ca="1">_xll.DBRW($C$1,$C$2,$C$3,$C$4,$C$6,$C$5,$C$7,AI$1,AI$2,A71)</f>
        <v>-2.2041300000000008E-3</v>
      </c>
      <c r="AJ71" s="33">
        <f ca="1">_xll.DBRW($C$1,$C$2,$C$3,$C$4,$C$6,$C$5,$C$7,AJ$1,AJ$2,A71)</f>
        <v>-2.9811300000000007E-3</v>
      </c>
      <c r="AK71" s="33">
        <f ca="1">_xll.DBRW($C$1,$C$2,$C$3,$C$4,$C$6,$C$5,$C$7,AK$1,AK$2,A71)</f>
        <v>-4.5351300000000009E-3</v>
      </c>
      <c r="AL71" s="33">
        <f ca="1">_xll.DBRW($C$1,$C$2,$C$3,$C$4,$C$6,$C$5,$C$7,AL$1,AL$2,A71)</f>
        <v>-4.5351300000000009E-3</v>
      </c>
      <c r="AM71" s="33">
        <f ca="1">_xll.DBRW($C$1,$C$2,$C$3,$C$4,$C$6,$C$5,$C$7,AM$1,AM$2,A71)</f>
        <v>0</v>
      </c>
      <c r="AN71" s="33">
        <f ca="1">_xll.DBRW($C$1,$C$2,$C$3,$C$4,$C$6,$C$5,$C$7,AN$1,AN$2,A71)</f>
        <v>0.11984714</v>
      </c>
      <c r="AO71" s="33">
        <f ca="1">_xll.DBRW($C$1,$C$2,$C$3,$C$4,$C$6,$C$5,$C$7,AO$1,AO$2,A71)</f>
        <v>0</v>
      </c>
      <c r="AP71" s="33">
        <f ca="1">_xll.DBRW($C$1,$C$2,$C$3,$C$4,$C$6,$C$5,$C$7,AP$1,AP$2,A71)</f>
        <v>0</v>
      </c>
      <c r="AQ71" s="33">
        <f ca="1">_xll.DBRW($C$1,$C$2,$C$3,$C$4,$C$6,$C$5,$C$7,AQ$1,AQ$2,A71)</f>
        <v>0</v>
      </c>
      <c r="AR71" s="33">
        <f ca="1">_xll.DBRW($C$1,$C$2,$C$3,$C$4,$C$6,$C$5,$C$7,AR$1,AR$2,A71)</f>
        <v>0</v>
      </c>
      <c r="AS71" s="33">
        <f ca="1">_xll.DBRW($C$1,$C$2,$C$3,$C$4,$C$6,$C$5,$C$7,AS$1,AS$2,A71)</f>
        <v>0</v>
      </c>
      <c r="AT71" s="33">
        <f ca="1">_xll.DBRW($C$1,$C$2,$C$3,$C$4,$C$6,$C$5,$C$7,AT$1,AT$2,A71)</f>
        <v>0</v>
      </c>
      <c r="AU71" s="33">
        <f ca="1">_xll.DBRW($C$1,$C$2,$C$3,$C$4,$C$6,$C$5,$C$7,AU$1,AU$2,A71)</f>
        <v>0</v>
      </c>
      <c r="AV71" s="33">
        <f ca="1">_xll.DBRW($C$1,$C$2,$C$3,$C$4,$C$6,$C$5,$C$7,AV$1,AV$2,A71)</f>
        <v>0</v>
      </c>
      <c r="AW71" s="33">
        <f ca="1">_xll.DBRW($C$1,$C$2,$C$3,$C$4,$C$6,$C$5,$C$7,AW$1,AW$2,A71)</f>
        <v>0</v>
      </c>
      <c r="AX71" s="33">
        <f ca="1">_xll.DBRW($C$1,$C$2,$C$3,$C$4,$C$6,$C$5,$C$7,AX$1,AX$2,A71)</f>
        <v>0</v>
      </c>
      <c r="AY71" s="33">
        <f ca="1">_xll.DBRW($C$1,$C$2,$C$3,$C$4,$C$6,$C$5,$C$7,AY$1,AY$2,A71)</f>
        <v>0</v>
      </c>
    </row>
    <row r="72" spans="1:51" ht="15.75" hidden="1" customHeight="1" outlineLevel="2">
      <c r="A72" s="1" t="s">
        <v>175</v>
      </c>
      <c r="C72" s="104"/>
      <c r="E72" s="9" t="str">
        <f ca="1">_xll.DBRW(Server&amp;"}ElementAttributes_Indicator",A72,"code_English")</f>
        <v>PL1150_MF_20 - Impairment (other than working capital) and provisions - related to heavy maintenance</v>
      </c>
      <c r="F72" s="33">
        <f ca="1">_xll.DBRW($C$1,$C$2,$C$3,$C$4,$C$6,$C$5,$C$7,F$1,F$2,A72)</f>
        <v>-3.3043875000000003</v>
      </c>
      <c r="G72" s="33">
        <f ca="1">_xll.DBRW($C$1,$C$2,$C$3,$C$4,$C$6,$C$5,$C$7,G$1,G$2,A72)</f>
        <v>-6.35623717</v>
      </c>
      <c r="H72" s="33">
        <f ca="1">_xll.DBRW($C$1,$C$2,$C$3,$C$4,$C$6,$C$5,$C$7,H$1,H$2,A72)</f>
        <v>-6.409782439999999</v>
      </c>
      <c r="I72" s="33">
        <f ca="1">_xll.DBRW($C$1,$C$2,$C$3,$C$4,$C$6,$C$5,$C$7,I$1,I$2,A72)</f>
        <v>-1.1102230246251565E-16</v>
      </c>
      <c r="J72" s="33">
        <f ca="1">_xll.DBRW($C$1,$C$2,$C$3,$C$4,$C$6,$C$5,$C$7,J$1,J$2,A72)</f>
        <v>-0.58391182578595746</v>
      </c>
      <c r="K72" s="33">
        <f ca="1">_xll.DBRW($C$1,$C$2,$C$3,$C$4,$C$6,$C$5,$C$7,K$1,K$2,A72)</f>
        <v>-12.287789214557247</v>
      </c>
      <c r="L72" s="33">
        <f ca="1">_xll.DBRW($C$1,$C$2,$C$3,$C$4,$C$6,$C$5,$C$7,L$1,L$2,A72)</f>
        <v>-11.111418529999998</v>
      </c>
      <c r="M72" s="33">
        <f ca="1">_xll.DBRW($C$1,$C$2,$C$3,$C$4,$C$6,$C$5,$C$7,M$1,M$2,A72)</f>
        <v>0</v>
      </c>
      <c r="N72" s="33">
        <f ca="1">_xll.DBRW($C$1,$C$2,$C$3,$C$4,$C$6,$C$5,$C$7,N$1,N$2,A72)</f>
        <v>-3.2962154901474561</v>
      </c>
      <c r="O72" s="33">
        <f ca="1">_xll.DBRW($C$1,$C$2,$C$3,$C$4,$C$6,$C$5,$C$7,O$1,O$2,A72)</f>
        <v>-4.4519956108557324</v>
      </c>
      <c r="P72" s="33">
        <f ca="1">_xll.DBRW($C$1,$C$2,$C$3,$C$4,$C$6,$C$5,$C$7,P$1,P$2,A72)</f>
        <v>-5.4286530984372217</v>
      </c>
      <c r="Q72" s="33">
        <f ca="1">_xll.DBRW($C$1,$C$2,$C$3,$C$4,$C$6,$C$5,$C$7,Q$1,Q$2,A72)</f>
        <v>-7.0307040284633411</v>
      </c>
      <c r="R72" s="33">
        <f ca="1">_xll.DBRW($C$1,$C$2,$C$3,$C$4,$C$6,$C$5,$C$7,R$1,R$2,A72)</f>
        <v>-6.2851634299701988</v>
      </c>
      <c r="S72" s="33">
        <f ca="1">_xll.DBRW($C$1,$C$2,$C$3,$C$4,$C$6,$C$5,$C$7,S$1,S$2,A72)</f>
        <v>4.4408920985006262E-16</v>
      </c>
      <c r="T72" s="33">
        <f ca="1">_xll.DBRW($C$1,$C$2,$C$3,$C$4,$C$6,$C$5,$C$7,T$1,T$2,A72)</f>
        <v>-7.7387401138985084</v>
      </c>
      <c r="U72" s="33">
        <f ca="1">_xll.DBRW($C$1,$C$2,$C$3,$C$4,$C$6,$C$5,$C$7,U$1,U$2,A72)</f>
        <v>-8.2395320643941208</v>
      </c>
      <c r="V72" s="33">
        <f ca="1">_xll.DBRW($C$1,$C$2,$C$3,$C$4,$C$6,$C$5,$C$7,V$1,V$2,A72)</f>
        <v>-1.3322676295501878E-15</v>
      </c>
      <c r="W72" s="33">
        <f ca="1">_xll.DBRW($C$1,$C$2,$C$3,$C$4,$C$6,$C$5,$C$7,W$1,W$2,A72)</f>
        <v>-13.285006330000002</v>
      </c>
      <c r="X72" s="33">
        <f ca="1">_xll.DBRW($C$1,$C$2,$C$3,$C$4,$C$6,$C$5,$C$7,X$1,X$2,A72)</f>
        <v>-18.515326331281898</v>
      </c>
      <c r="Y72" s="33">
        <f ca="1">_xll.DBRW($C$1,$C$2,$C$3,$C$4,$C$6,$C$5,$C$7,Y$1,Y$2,A72)</f>
        <v>-18.515326331281898</v>
      </c>
      <c r="Z72" s="33">
        <f ca="1">_xll.DBRW($C$1,$C$2,$C$3,$C$4,$C$6,$C$5,$C$7,Z$1,Z$2,A72)</f>
        <v>-1.31321058</v>
      </c>
      <c r="AA72" s="33">
        <f ca="1">_xll.DBRW($C$1,$C$2,$C$3,$C$4,$C$6,$C$5,$C$7,AA$1,AA$2,A72)</f>
        <v>-2.62642116</v>
      </c>
      <c r="AB72" s="33">
        <f ca="1">_xll.DBRW($C$1,$C$2,$C$3,$C$4,$C$6,$C$5,$C$7,AB$1,AB$2,A72)</f>
        <v>-3.8996317400000002</v>
      </c>
      <c r="AC72" s="33">
        <f ca="1">_xll.DBRW($C$1,$C$2,$C$3,$C$4,$C$6,$C$5,$C$7,AC$1,AC$2,A72)</f>
        <v>-5.21284232</v>
      </c>
      <c r="AD72" s="33">
        <f ca="1">_xll.DBRW($C$1,$C$2,$C$3,$C$4,$C$6,$C$5,$C$7,AD$1,AD$2,A72)</f>
        <v>-6.5260529000000007</v>
      </c>
      <c r="AE72" s="33">
        <f ca="1">_xll.DBRW($C$1,$C$2,$C$3,$C$4,$C$6,$C$5,$C$7,AE$1,AE$2,A72)</f>
        <v>-7.7992634800000005</v>
      </c>
      <c r="AF72" s="33">
        <f ca="1">_xll.DBRW($C$1,$C$2,$C$3,$C$4,$C$6,$C$5,$C$7,AF$1,AF$2,A72)</f>
        <v>-9.1124740600000003</v>
      </c>
      <c r="AG72" s="33">
        <f ca="1">_xll.DBRW($C$1,$C$2,$C$3,$C$4,$C$6,$C$5,$C$7,AG$1,AG$2,A72)</f>
        <v>-10.42568464</v>
      </c>
      <c r="AH72" s="33">
        <f ca="1">_xll.DBRW($C$1,$C$2,$C$3,$C$4,$C$6,$C$5,$C$7,AH$1,AH$2,A72)</f>
        <v>-11.506904280000001</v>
      </c>
      <c r="AI72" s="33">
        <f ca="1">_xll.DBRW($C$1,$C$2,$C$3,$C$4,$C$6,$C$5,$C$7,AI$1,AI$2,A72)</f>
        <v>-12.39669086</v>
      </c>
      <c r="AJ72" s="33">
        <f ca="1">_xll.DBRW($C$1,$C$2,$C$3,$C$4,$C$6,$C$5,$C$7,AJ$1,AJ$2,A72)</f>
        <v>-13.409901440000001</v>
      </c>
      <c r="AK72" s="33">
        <f ca="1">_xll.DBRW($C$1,$C$2,$C$3,$C$4,$C$6,$C$5,$C$7,AK$1,AK$2,A72)</f>
        <v>-13.8497474</v>
      </c>
      <c r="AL72" s="33">
        <f ca="1">_xll.DBRW($C$1,$C$2,$C$3,$C$4,$C$6,$C$5,$C$7,AL$1,AL$2,A72)</f>
        <v>-13.8497474</v>
      </c>
      <c r="AM72" s="33">
        <f ca="1">_xll.DBRW($C$1,$C$2,$C$3,$C$4,$C$6,$C$5,$C$7,AM$1,AM$2,A72)</f>
        <v>0</v>
      </c>
      <c r="AN72" s="33">
        <f ca="1">_xll.DBRW($C$1,$C$2,$C$3,$C$4,$C$6,$C$5,$C$7,AN$1,AN$2,A72)</f>
        <v>-3.4385329890663705</v>
      </c>
      <c r="AO72" s="33">
        <f ca="1">_xll.DBRW($C$1,$C$2,$C$3,$C$4,$C$6,$C$5,$C$7,AO$1,AO$2,A72)</f>
        <v>0</v>
      </c>
      <c r="AP72" s="33">
        <f ca="1">_xll.DBRW($C$1,$C$2,$C$3,$C$4,$C$6,$C$5,$C$7,AP$1,AP$2,A72)</f>
        <v>0</v>
      </c>
      <c r="AQ72" s="33">
        <f ca="1">_xll.DBRW($C$1,$C$2,$C$3,$C$4,$C$6,$C$5,$C$7,AQ$1,AQ$2,A72)</f>
        <v>0</v>
      </c>
      <c r="AR72" s="33">
        <f ca="1">_xll.DBRW($C$1,$C$2,$C$3,$C$4,$C$6,$C$5,$C$7,AR$1,AR$2,A72)</f>
        <v>0</v>
      </c>
      <c r="AS72" s="33">
        <f ca="1">_xll.DBRW($C$1,$C$2,$C$3,$C$4,$C$6,$C$5,$C$7,AS$1,AS$2,A72)</f>
        <v>0</v>
      </c>
      <c r="AT72" s="33">
        <f ca="1">_xll.DBRW($C$1,$C$2,$C$3,$C$4,$C$6,$C$5,$C$7,AT$1,AT$2,A72)</f>
        <v>0</v>
      </c>
      <c r="AU72" s="33">
        <f ca="1">_xll.DBRW($C$1,$C$2,$C$3,$C$4,$C$6,$C$5,$C$7,AU$1,AU$2,A72)</f>
        <v>0</v>
      </c>
      <c r="AV72" s="33">
        <f ca="1">_xll.DBRW($C$1,$C$2,$C$3,$C$4,$C$6,$C$5,$C$7,AV$1,AV$2,A72)</f>
        <v>0</v>
      </c>
      <c r="AW72" s="33">
        <f ca="1">_xll.DBRW($C$1,$C$2,$C$3,$C$4,$C$6,$C$5,$C$7,AW$1,AW$2,A72)</f>
        <v>0</v>
      </c>
      <c r="AX72" s="33">
        <f ca="1">_xll.DBRW($C$1,$C$2,$C$3,$C$4,$C$6,$C$5,$C$7,AX$1,AX$2,A72)</f>
        <v>0</v>
      </c>
      <c r="AY72" s="33">
        <f ca="1">_xll.DBRW($C$1,$C$2,$C$3,$C$4,$C$6,$C$5,$C$7,AY$1,AY$2,A72)</f>
        <v>0</v>
      </c>
    </row>
    <row r="73" spans="1:51" ht="15.75" hidden="1" customHeight="1" outlineLevel="2">
      <c r="A73" s="1" t="s">
        <v>176</v>
      </c>
      <c r="C73" s="104"/>
      <c r="E73" s="9" t="str">
        <f ca="1">_xll.DBRW(Server&amp;"}ElementAttributes_Indicator",A73,"code_English")</f>
        <v>PL1150_MF_21 - Impairment (other than working capital) and provisions - related to heavy maintenance - Reversal</v>
      </c>
      <c r="F73" s="33">
        <f ca="1">_xll.DBRW($C$1,$C$2,$C$3,$C$4,$C$6,$C$5,$C$7,F$1,F$2,A73)</f>
        <v>0.57858277000000002</v>
      </c>
      <c r="G73" s="33">
        <f ca="1">_xll.DBRW($C$1,$C$2,$C$3,$C$4,$C$6,$C$5,$C$7,G$1,G$2,A73)</f>
        <v>1.29498746</v>
      </c>
      <c r="H73" s="33">
        <f ca="1">_xll.DBRW($C$1,$C$2,$C$3,$C$4,$C$6,$C$5,$C$7,H$1,H$2,A73)</f>
        <v>2.04382552</v>
      </c>
      <c r="I73" s="33">
        <f ca="1">_xll.DBRW($C$1,$C$2,$C$3,$C$4,$C$6,$C$5,$C$7,I$1,I$2,A73)</f>
        <v>0</v>
      </c>
      <c r="J73" s="33">
        <f ca="1">_xll.DBRW($C$1,$C$2,$C$3,$C$4,$C$6,$C$5,$C$7,J$1,J$2,A73)</f>
        <v>-4.7964390000000003</v>
      </c>
      <c r="K73" s="33">
        <f ca="1">_xll.DBRW($C$1,$C$2,$C$3,$C$4,$C$6,$C$5,$C$7,K$1,K$2,A73)</f>
        <v>0.99744999999999995</v>
      </c>
      <c r="L73" s="33">
        <f ca="1">_xll.DBRW($C$1,$C$2,$C$3,$C$4,$C$6,$C$5,$C$7,L$1,L$2,A73)</f>
        <v>0</v>
      </c>
      <c r="M73" s="33">
        <f ca="1">_xll.DBRW($C$1,$C$2,$C$3,$C$4,$C$6,$C$5,$C$7,M$1,M$2,A73)</f>
        <v>0</v>
      </c>
      <c r="N73" s="33">
        <f ca="1">_xll.DBRW($C$1,$C$2,$C$3,$C$4,$C$6,$C$5,$C$7,N$1,N$2,A73)</f>
        <v>0</v>
      </c>
      <c r="O73" s="33">
        <f ca="1">_xll.DBRW($C$1,$C$2,$C$3,$C$4,$C$6,$C$5,$C$7,O$1,O$2,A73)</f>
        <v>0</v>
      </c>
      <c r="P73" s="33">
        <f ca="1">_xll.DBRW($C$1,$C$2,$C$3,$C$4,$C$6,$C$5,$C$7,P$1,P$2,A73)</f>
        <v>0</v>
      </c>
      <c r="Q73" s="33">
        <f ca="1">_xll.DBRW($C$1,$C$2,$C$3,$C$4,$C$6,$C$5,$C$7,Q$1,Q$2,A73)</f>
        <v>0</v>
      </c>
      <c r="R73" s="33">
        <f ca="1">_xll.DBRW($C$1,$C$2,$C$3,$C$4,$C$6,$C$5,$C$7,R$1,R$2,A73)</f>
        <v>0</v>
      </c>
      <c r="S73" s="33">
        <f ca="1">_xll.DBRW($C$1,$C$2,$C$3,$C$4,$C$6,$C$5,$C$7,S$1,S$2,A73)</f>
        <v>0</v>
      </c>
      <c r="T73" s="33">
        <f ca="1">_xll.DBRW($C$1,$C$2,$C$3,$C$4,$C$6,$C$5,$C$7,T$1,T$2,A73)</f>
        <v>0</v>
      </c>
      <c r="U73" s="33">
        <f ca="1">_xll.DBRW($C$1,$C$2,$C$3,$C$4,$C$6,$C$5,$C$7,U$1,U$2,A73)</f>
        <v>0</v>
      </c>
      <c r="V73" s="33">
        <f ca="1">_xll.DBRW($C$1,$C$2,$C$3,$C$4,$C$6,$C$5,$C$7,V$1,V$2,A73)</f>
        <v>0</v>
      </c>
      <c r="W73" s="33">
        <f ca="1">_xll.DBRW($C$1,$C$2,$C$3,$C$4,$C$6,$C$5,$C$7,W$1,W$2,A73)</f>
        <v>0</v>
      </c>
      <c r="X73" s="33">
        <f ca="1">_xll.DBRW($C$1,$C$2,$C$3,$C$4,$C$6,$C$5,$C$7,X$1,X$2,A73)</f>
        <v>6.1856309999999999</v>
      </c>
      <c r="Y73" s="33">
        <f ca="1">_xll.DBRW($C$1,$C$2,$C$3,$C$4,$C$6,$C$5,$C$7,Y$1,Y$2,A73)</f>
        <v>6.1856309999999999</v>
      </c>
      <c r="Z73" s="33">
        <f ca="1">_xll.DBRW($C$1,$C$2,$C$3,$C$4,$C$6,$C$5,$C$7,Z$1,Z$2,A73)</f>
        <v>0</v>
      </c>
      <c r="AA73" s="33">
        <f ca="1">_xll.DBRW($C$1,$C$2,$C$3,$C$4,$C$6,$C$5,$C$7,AA$1,AA$2,A73)</f>
        <v>0</v>
      </c>
      <c r="AB73" s="33">
        <f ca="1">_xll.DBRW($C$1,$C$2,$C$3,$C$4,$C$6,$C$5,$C$7,AB$1,AB$2,A73)</f>
        <v>0</v>
      </c>
      <c r="AC73" s="33">
        <f ca="1">_xll.DBRW($C$1,$C$2,$C$3,$C$4,$C$6,$C$5,$C$7,AC$1,AC$2,A73)</f>
        <v>0</v>
      </c>
      <c r="AD73" s="33">
        <f ca="1">_xll.DBRW($C$1,$C$2,$C$3,$C$4,$C$6,$C$5,$C$7,AD$1,AD$2,A73)</f>
        <v>0</v>
      </c>
      <c r="AE73" s="33">
        <f ca="1">_xll.DBRW($C$1,$C$2,$C$3,$C$4,$C$6,$C$5,$C$7,AE$1,AE$2,A73)</f>
        <v>0</v>
      </c>
      <c r="AF73" s="33">
        <f ca="1">_xll.DBRW($C$1,$C$2,$C$3,$C$4,$C$6,$C$5,$C$7,AF$1,AF$2,A73)</f>
        <v>0</v>
      </c>
      <c r="AG73" s="33">
        <f ca="1">_xll.DBRW($C$1,$C$2,$C$3,$C$4,$C$6,$C$5,$C$7,AG$1,AG$2,A73)</f>
        <v>0</v>
      </c>
      <c r="AH73" s="33">
        <f ca="1">_xll.DBRW($C$1,$C$2,$C$3,$C$4,$C$6,$C$5,$C$7,AH$1,AH$2,A73)</f>
        <v>0</v>
      </c>
      <c r="AI73" s="33">
        <f ca="1">_xll.DBRW($C$1,$C$2,$C$3,$C$4,$C$6,$C$5,$C$7,AI$1,AI$2,A73)</f>
        <v>0</v>
      </c>
      <c r="AJ73" s="33">
        <f ca="1">_xll.DBRW($C$1,$C$2,$C$3,$C$4,$C$6,$C$5,$C$7,AJ$1,AJ$2,A73)</f>
        <v>0</v>
      </c>
      <c r="AK73" s="33">
        <f ca="1">_xll.DBRW($C$1,$C$2,$C$3,$C$4,$C$6,$C$5,$C$7,AK$1,AK$2,A73)</f>
        <v>0</v>
      </c>
      <c r="AL73" s="33">
        <f ca="1">_xll.DBRW($C$1,$C$2,$C$3,$C$4,$C$6,$C$5,$C$7,AL$1,AL$2,A73)</f>
        <v>0</v>
      </c>
      <c r="AM73" s="33">
        <f ca="1">_xll.DBRW($C$1,$C$2,$C$3,$C$4,$C$6,$C$5,$C$7,AM$1,AM$2,A73)</f>
        <v>0</v>
      </c>
      <c r="AN73" s="33">
        <f ca="1">_xll.DBRW($C$1,$C$2,$C$3,$C$4,$C$6,$C$5,$C$7,AN$1,AN$2,A73)</f>
        <v>0</v>
      </c>
      <c r="AO73" s="33">
        <f ca="1">_xll.DBRW($C$1,$C$2,$C$3,$C$4,$C$6,$C$5,$C$7,AO$1,AO$2,A73)</f>
        <v>0</v>
      </c>
      <c r="AP73" s="33">
        <f ca="1">_xll.DBRW($C$1,$C$2,$C$3,$C$4,$C$6,$C$5,$C$7,AP$1,AP$2,A73)</f>
        <v>0</v>
      </c>
      <c r="AQ73" s="33">
        <f ca="1">_xll.DBRW($C$1,$C$2,$C$3,$C$4,$C$6,$C$5,$C$7,AQ$1,AQ$2,A73)</f>
        <v>0</v>
      </c>
      <c r="AR73" s="33">
        <f ca="1">_xll.DBRW($C$1,$C$2,$C$3,$C$4,$C$6,$C$5,$C$7,AR$1,AR$2,A73)</f>
        <v>0</v>
      </c>
      <c r="AS73" s="33">
        <f ca="1">_xll.DBRW($C$1,$C$2,$C$3,$C$4,$C$6,$C$5,$C$7,AS$1,AS$2,A73)</f>
        <v>0</v>
      </c>
      <c r="AT73" s="33">
        <f ca="1">_xll.DBRW($C$1,$C$2,$C$3,$C$4,$C$6,$C$5,$C$7,AT$1,AT$2,A73)</f>
        <v>0</v>
      </c>
      <c r="AU73" s="33">
        <f ca="1">_xll.DBRW($C$1,$C$2,$C$3,$C$4,$C$6,$C$5,$C$7,AU$1,AU$2,A73)</f>
        <v>0</v>
      </c>
      <c r="AV73" s="33">
        <f ca="1">_xll.DBRW($C$1,$C$2,$C$3,$C$4,$C$6,$C$5,$C$7,AV$1,AV$2,A73)</f>
        <v>0</v>
      </c>
      <c r="AW73" s="33">
        <f ca="1">_xll.DBRW($C$1,$C$2,$C$3,$C$4,$C$6,$C$5,$C$7,AW$1,AW$2,A73)</f>
        <v>0</v>
      </c>
      <c r="AX73" s="33">
        <f ca="1">_xll.DBRW($C$1,$C$2,$C$3,$C$4,$C$6,$C$5,$C$7,AX$1,AX$2,A73)</f>
        <v>0</v>
      </c>
      <c r="AY73" s="33">
        <f ca="1">_xll.DBRW($C$1,$C$2,$C$3,$C$4,$C$6,$C$5,$C$7,AY$1,AY$2,A73)</f>
        <v>0</v>
      </c>
    </row>
    <row r="74" spans="1:51" ht="15.75" hidden="1" customHeight="1" outlineLevel="2">
      <c r="A74" s="1" t="s">
        <v>177</v>
      </c>
      <c r="C74" s="104"/>
      <c r="E74" s="9" t="str">
        <f ca="1">_xll.DBRW(Server&amp;"}ElementAttributes_Indicator",A74,"code_English")</f>
        <v>PL1150_MF_90 - Impairment (other than working capital) and provisions - others (MF)</v>
      </c>
      <c r="F74" s="33">
        <f ca="1">_xll.DBRW($C$1,$C$2,$C$3,$C$4,$C$6,$C$5,$C$7,F$1,F$2,A74)</f>
        <v>0</v>
      </c>
      <c r="G74" s="33">
        <f ca="1">_xll.DBRW($C$1,$C$2,$C$3,$C$4,$C$6,$C$5,$C$7,G$1,G$2,A74)</f>
        <v>0</v>
      </c>
      <c r="H74" s="33">
        <f ca="1">_xll.DBRW($C$1,$C$2,$C$3,$C$4,$C$6,$C$5,$C$7,H$1,H$2,A74)</f>
        <v>0</v>
      </c>
      <c r="I74" s="33">
        <f ca="1">_xll.DBRW($C$1,$C$2,$C$3,$C$4,$C$6,$C$5,$C$7,I$1,I$2,A74)</f>
        <v>0</v>
      </c>
      <c r="J74" s="33">
        <f ca="1">_xll.DBRW($C$1,$C$2,$C$3,$C$4,$C$6,$C$5,$C$7,J$1,J$2,A74)</f>
        <v>0</v>
      </c>
      <c r="K74" s="33">
        <f ca="1">_xll.DBRW($C$1,$C$2,$C$3,$C$4,$C$6,$C$5,$C$7,K$1,K$2,A74)</f>
        <v>0</v>
      </c>
      <c r="L74" s="33">
        <f ca="1">_xll.DBRW($C$1,$C$2,$C$3,$C$4,$C$6,$C$5,$C$7,L$1,L$2,A74)</f>
        <v>0</v>
      </c>
      <c r="M74" s="33">
        <f ca="1">_xll.DBRW($C$1,$C$2,$C$3,$C$4,$C$6,$C$5,$C$7,M$1,M$2,A74)</f>
        <v>0</v>
      </c>
      <c r="N74" s="33">
        <f ca="1">_xll.DBRW($C$1,$C$2,$C$3,$C$4,$C$6,$C$5,$C$7,N$1,N$2,A74)</f>
        <v>0</v>
      </c>
      <c r="O74" s="33">
        <f ca="1">_xll.DBRW($C$1,$C$2,$C$3,$C$4,$C$6,$C$5,$C$7,O$1,O$2,A74)</f>
        <v>0</v>
      </c>
      <c r="P74" s="33">
        <f ca="1">_xll.DBRW($C$1,$C$2,$C$3,$C$4,$C$6,$C$5,$C$7,P$1,P$2,A74)</f>
        <v>0</v>
      </c>
      <c r="Q74" s="33">
        <f ca="1">_xll.DBRW($C$1,$C$2,$C$3,$C$4,$C$6,$C$5,$C$7,Q$1,Q$2,A74)</f>
        <v>0</v>
      </c>
      <c r="R74" s="33">
        <f ca="1">_xll.DBRW($C$1,$C$2,$C$3,$C$4,$C$6,$C$5,$C$7,R$1,R$2,A74)</f>
        <v>0</v>
      </c>
      <c r="S74" s="33">
        <f ca="1">_xll.DBRW($C$1,$C$2,$C$3,$C$4,$C$6,$C$5,$C$7,S$1,S$2,A74)</f>
        <v>0</v>
      </c>
      <c r="T74" s="33">
        <f ca="1">_xll.DBRW($C$1,$C$2,$C$3,$C$4,$C$6,$C$5,$C$7,T$1,T$2,A74)</f>
        <v>0</v>
      </c>
      <c r="U74" s="33">
        <f ca="1">_xll.DBRW($C$1,$C$2,$C$3,$C$4,$C$6,$C$5,$C$7,U$1,U$2,A74)</f>
        <v>0</v>
      </c>
      <c r="V74" s="33">
        <f ca="1">_xll.DBRW($C$1,$C$2,$C$3,$C$4,$C$6,$C$5,$C$7,V$1,V$2,A74)</f>
        <v>0</v>
      </c>
      <c r="W74" s="33">
        <f ca="1">_xll.DBRW($C$1,$C$2,$C$3,$C$4,$C$6,$C$5,$C$7,W$1,W$2,A74)</f>
        <v>0</v>
      </c>
      <c r="X74" s="33">
        <f ca="1">_xll.DBRW($C$1,$C$2,$C$3,$C$4,$C$6,$C$5,$C$7,X$1,X$2,A74)</f>
        <v>0</v>
      </c>
      <c r="Y74" s="33">
        <f ca="1">_xll.DBRW($C$1,$C$2,$C$3,$C$4,$C$6,$C$5,$C$7,Y$1,Y$2,A74)</f>
        <v>0</v>
      </c>
      <c r="Z74" s="33">
        <f ca="1">_xll.DBRW($C$1,$C$2,$C$3,$C$4,$C$6,$C$5,$C$7,Z$1,Z$2,A74)</f>
        <v>0</v>
      </c>
      <c r="AA74" s="33">
        <f ca="1">_xll.DBRW($C$1,$C$2,$C$3,$C$4,$C$6,$C$5,$C$7,AA$1,AA$2,A74)</f>
        <v>0</v>
      </c>
      <c r="AB74" s="33">
        <f ca="1">_xll.DBRW($C$1,$C$2,$C$3,$C$4,$C$6,$C$5,$C$7,AB$1,AB$2,A74)</f>
        <v>0</v>
      </c>
      <c r="AC74" s="33">
        <f ca="1">_xll.DBRW($C$1,$C$2,$C$3,$C$4,$C$6,$C$5,$C$7,AC$1,AC$2,A74)</f>
        <v>0</v>
      </c>
      <c r="AD74" s="33">
        <f ca="1">_xll.DBRW($C$1,$C$2,$C$3,$C$4,$C$6,$C$5,$C$7,AD$1,AD$2,A74)</f>
        <v>0</v>
      </c>
      <c r="AE74" s="33">
        <f ca="1">_xll.DBRW($C$1,$C$2,$C$3,$C$4,$C$6,$C$5,$C$7,AE$1,AE$2,A74)</f>
        <v>0</v>
      </c>
      <c r="AF74" s="33">
        <f ca="1">_xll.DBRW($C$1,$C$2,$C$3,$C$4,$C$6,$C$5,$C$7,AF$1,AF$2,A74)</f>
        <v>0</v>
      </c>
      <c r="AG74" s="33">
        <f ca="1">_xll.DBRW($C$1,$C$2,$C$3,$C$4,$C$6,$C$5,$C$7,AG$1,AG$2,A74)</f>
        <v>0</v>
      </c>
      <c r="AH74" s="33">
        <f ca="1">_xll.DBRW($C$1,$C$2,$C$3,$C$4,$C$6,$C$5,$C$7,AH$1,AH$2,A74)</f>
        <v>0</v>
      </c>
      <c r="AI74" s="33">
        <f ca="1">_xll.DBRW($C$1,$C$2,$C$3,$C$4,$C$6,$C$5,$C$7,AI$1,AI$2,A74)</f>
        <v>0</v>
      </c>
      <c r="AJ74" s="33">
        <f ca="1">_xll.DBRW($C$1,$C$2,$C$3,$C$4,$C$6,$C$5,$C$7,AJ$1,AJ$2,A74)</f>
        <v>0</v>
      </c>
      <c r="AK74" s="33">
        <f ca="1">_xll.DBRW($C$1,$C$2,$C$3,$C$4,$C$6,$C$5,$C$7,AK$1,AK$2,A74)</f>
        <v>0</v>
      </c>
      <c r="AL74" s="33">
        <f ca="1">_xll.DBRW($C$1,$C$2,$C$3,$C$4,$C$6,$C$5,$C$7,AL$1,AL$2,A74)</f>
        <v>0</v>
      </c>
      <c r="AM74" s="33">
        <f ca="1">_xll.DBRW($C$1,$C$2,$C$3,$C$4,$C$6,$C$5,$C$7,AM$1,AM$2,A74)</f>
        <v>0</v>
      </c>
      <c r="AN74" s="33">
        <f ca="1">_xll.DBRW($C$1,$C$2,$C$3,$C$4,$C$6,$C$5,$C$7,AN$1,AN$2,A74)</f>
        <v>0</v>
      </c>
      <c r="AO74" s="33">
        <f ca="1">_xll.DBRW($C$1,$C$2,$C$3,$C$4,$C$6,$C$5,$C$7,AO$1,AO$2,A74)</f>
        <v>0</v>
      </c>
      <c r="AP74" s="33">
        <f ca="1">_xll.DBRW($C$1,$C$2,$C$3,$C$4,$C$6,$C$5,$C$7,AP$1,AP$2,A74)</f>
        <v>0</v>
      </c>
      <c r="AQ74" s="33">
        <f ca="1">_xll.DBRW($C$1,$C$2,$C$3,$C$4,$C$6,$C$5,$C$7,AQ$1,AQ$2,A74)</f>
        <v>0</v>
      </c>
      <c r="AR74" s="33">
        <f ca="1">_xll.DBRW($C$1,$C$2,$C$3,$C$4,$C$6,$C$5,$C$7,AR$1,AR$2,A74)</f>
        <v>0</v>
      </c>
      <c r="AS74" s="33">
        <f ca="1">_xll.DBRW($C$1,$C$2,$C$3,$C$4,$C$6,$C$5,$C$7,AS$1,AS$2,A74)</f>
        <v>0</v>
      </c>
      <c r="AT74" s="33">
        <f ca="1">_xll.DBRW($C$1,$C$2,$C$3,$C$4,$C$6,$C$5,$C$7,AT$1,AT$2,A74)</f>
        <v>0</v>
      </c>
      <c r="AU74" s="33">
        <f ca="1">_xll.DBRW($C$1,$C$2,$C$3,$C$4,$C$6,$C$5,$C$7,AU$1,AU$2,A74)</f>
        <v>0</v>
      </c>
      <c r="AV74" s="33">
        <f ca="1">_xll.DBRW($C$1,$C$2,$C$3,$C$4,$C$6,$C$5,$C$7,AV$1,AV$2,A74)</f>
        <v>0</v>
      </c>
      <c r="AW74" s="33">
        <f ca="1">_xll.DBRW($C$1,$C$2,$C$3,$C$4,$C$6,$C$5,$C$7,AW$1,AW$2,A74)</f>
        <v>0</v>
      </c>
      <c r="AX74" s="33">
        <f ca="1">_xll.DBRW($C$1,$C$2,$C$3,$C$4,$C$6,$C$5,$C$7,AX$1,AX$2,A74)</f>
        <v>0</v>
      </c>
      <c r="AY74" s="33">
        <f ca="1">_xll.DBRW($C$1,$C$2,$C$3,$C$4,$C$6,$C$5,$C$7,AY$1,AY$2,A74)</f>
        <v>0</v>
      </c>
    </row>
    <row r="75" spans="1:51" ht="15.75" hidden="1" customHeight="1" outlineLevel="2">
      <c r="A75" s="1" t="s">
        <v>178</v>
      </c>
      <c r="C75" s="104"/>
      <c r="E75" s="9" t="str">
        <f ca="1">_xll.DBRW(Server&amp;"}ElementAttributes_Indicator",A75,"code_English")</f>
        <v>PL1151_MF_10 - Impact of change in revaluation rate on provisions for losses on LT contracts - related to staff costs (MF)</v>
      </c>
      <c r="F75" s="33">
        <f ca="1">_xll.DBRW($C$1,$C$2,$C$3,$C$4,$C$6,$C$5,$C$7,F$1,F$2,A75)</f>
        <v>0</v>
      </c>
      <c r="G75" s="33">
        <f ca="1">_xll.DBRW($C$1,$C$2,$C$3,$C$4,$C$6,$C$5,$C$7,G$1,G$2,A75)</f>
        <v>0</v>
      </c>
      <c r="H75" s="33">
        <f ca="1">_xll.DBRW($C$1,$C$2,$C$3,$C$4,$C$6,$C$5,$C$7,H$1,H$2,A75)</f>
        <v>0</v>
      </c>
      <c r="I75" s="33">
        <f ca="1">_xll.DBRW($C$1,$C$2,$C$3,$C$4,$C$6,$C$5,$C$7,I$1,I$2,A75)</f>
        <v>0</v>
      </c>
      <c r="J75" s="33">
        <f ca="1">_xll.DBRW($C$1,$C$2,$C$3,$C$4,$C$6,$C$5,$C$7,J$1,J$2,A75)</f>
        <v>0</v>
      </c>
      <c r="K75" s="33">
        <f ca="1">_xll.DBRW($C$1,$C$2,$C$3,$C$4,$C$6,$C$5,$C$7,K$1,K$2,A75)</f>
        <v>0</v>
      </c>
      <c r="L75" s="33">
        <f ca="1">_xll.DBRW($C$1,$C$2,$C$3,$C$4,$C$6,$C$5,$C$7,L$1,L$2,A75)</f>
        <v>0</v>
      </c>
      <c r="M75" s="33">
        <f ca="1">_xll.DBRW($C$1,$C$2,$C$3,$C$4,$C$6,$C$5,$C$7,M$1,M$2,A75)</f>
        <v>0</v>
      </c>
      <c r="N75" s="33">
        <f ca="1">_xll.DBRW($C$1,$C$2,$C$3,$C$4,$C$6,$C$5,$C$7,N$1,N$2,A75)</f>
        <v>0</v>
      </c>
      <c r="O75" s="33">
        <f ca="1">_xll.DBRW($C$1,$C$2,$C$3,$C$4,$C$6,$C$5,$C$7,O$1,O$2,A75)</f>
        <v>0</v>
      </c>
      <c r="P75" s="33">
        <f ca="1">_xll.DBRW($C$1,$C$2,$C$3,$C$4,$C$6,$C$5,$C$7,P$1,P$2,A75)</f>
        <v>0</v>
      </c>
      <c r="Q75" s="33">
        <f ca="1">_xll.DBRW($C$1,$C$2,$C$3,$C$4,$C$6,$C$5,$C$7,Q$1,Q$2,A75)</f>
        <v>0</v>
      </c>
      <c r="R75" s="33">
        <f ca="1">_xll.DBRW($C$1,$C$2,$C$3,$C$4,$C$6,$C$5,$C$7,R$1,R$2,A75)</f>
        <v>0</v>
      </c>
      <c r="S75" s="33">
        <f ca="1">_xll.DBRW($C$1,$C$2,$C$3,$C$4,$C$6,$C$5,$C$7,S$1,S$2,A75)</f>
        <v>0</v>
      </c>
      <c r="T75" s="33">
        <f ca="1">_xll.DBRW($C$1,$C$2,$C$3,$C$4,$C$6,$C$5,$C$7,T$1,T$2,A75)</f>
        <v>0</v>
      </c>
      <c r="U75" s="33">
        <f ca="1">_xll.DBRW($C$1,$C$2,$C$3,$C$4,$C$6,$C$5,$C$7,U$1,U$2,A75)</f>
        <v>0</v>
      </c>
      <c r="V75" s="33">
        <f ca="1">_xll.DBRW($C$1,$C$2,$C$3,$C$4,$C$6,$C$5,$C$7,V$1,V$2,A75)</f>
        <v>0</v>
      </c>
      <c r="W75" s="33">
        <f ca="1">_xll.DBRW($C$1,$C$2,$C$3,$C$4,$C$6,$C$5,$C$7,W$1,W$2,A75)</f>
        <v>0</v>
      </c>
      <c r="X75" s="33">
        <f ca="1">_xll.DBRW($C$1,$C$2,$C$3,$C$4,$C$6,$C$5,$C$7,X$1,X$2,A75)</f>
        <v>0</v>
      </c>
      <c r="Y75" s="33">
        <f ca="1">_xll.DBRW($C$1,$C$2,$C$3,$C$4,$C$6,$C$5,$C$7,Y$1,Y$2,A75)</f>
        <v>0</v>
      </c>
      <c r="Z75" s="33">
        <f ca="1">_xll.DBRW($C$1,$C$2,$C$3,$C$4,$C$6,$C$5,$C$7,Z$1,Z$2,A75)</f>
        <v>0</v>
      </c>
      <c r="AA75" s="33">
        <f ca="1">_xll.DBRW($C$1,$C$2,$C$3,$C$4,$C$6,$C$5,$C$7,AA$1,AA$2,A75)</f>
        <v>0</v>
      </c>
      <c r="AB75" s="33">
        <f ca="1">_xll.DBRW($C$1,$C$2,$C$3,$C$4,$C$6,$C$5,$C$7,AB$1,AB$2,A75)</f>
        <v>0</v>
      </c>
      <c r="AC75" s="33">
        <f ca="1">_xll.DBRW($C$1,$C$2,$C$3,$C$4,$C$6,$C$5,$C$7,AC$1,AC$2,A75)</f>
        <v>0</v>
      </c>
      <c r="AD75" s="33">
        <f ca="1">_xll.DBRW($C$1,$C$2,$C$3,$C$4,$C$6,$C$5,$C$7,AD$1,AD$2,A75)</f>
        <v>0</v>
      </c>
      <c r="AE75" s="33">
        <f ca="1">_xll.DBRW($C$1,$C$2,$C$3,$C$4,$C$6,$C$5,$C$7,AE$1,AE$2,A75)</f>
        <v>0</v>
      </c>
      <c r="AF75" s="33">
        <f ca="1">_xll.DBRW($C$1,$C$2,$C$3,$C$4,$C$6,$C$5,$C$7,AF$1,AF$2,A75)</f>
        <v>0</v>
      </c>
      <c r="AG75" s="33">
        <f ca="1">_xll.DBRW($C$1,$C$2,$C$3,$C$4,$C$6,$C$5,$C$7,AG$1,AG$2,A75)</f>
        <v>0</v>
      </c>
      <c r="AH75" s="33">
        <f ca="1">_xll.DBRW($C$1,$C$2,$C$3,$C$4,$C$6,$C$5,$C$7,AH$1,AH$2,A75)</f>
        <v>0</v>
      </c>
      <c r="AI75" s="33">
        <f ca="1">_xll.DBRW($C$1,$C$2,$C$3,$C$4,$C$6,$C$5,$C$7,AI$1,AI$2,A75)</f>
        <v>0</v>
      </c>
      <c r="AJ75" s="33">
        <f ca="1">_xll.DBRW($C$1,$C$2,$C$3,$C$4,$C$6,$C$5,$C$7,AJ$1,AJ$2,A75)</f>
        <v>0</v>
      </c>
      <c r="AK75" s="33">
        <f ca="1">_xll.DBRW($C$1,$C$2,$C$3,$C$4,$C$6,$C$5,$C$7,AK$1,AK$2,A75)</f>
        <v>0</v>
      </c>
      <c r="AL75" s="33">
        <f ca="1">_xll.DBRW($C$1,$C$2,$C$3,$C$4,$C$6,$C$5,$C$7,AL$1,AL$2,A75)</f>
        <v>0</v>
      </c>
      <c r="AM75" s="33">
        <f ca="1">_xll.DBRW($C$1,$C$2,$C$3,$C$4,$C$6,$C$5,$C$7,AM$1,AM$2,A75)</f>
        <v>0</v>
      </c>
      <c r="AN75" s="33">
        <f ca="1">_xll.DBRW($C$1,$C$2,$C$3,$C$4,$C$6,$C$5,$C$7,AN$1,AN$2,A75)</f>
        <v>0</v>
      </c>
      <c r="AO75" s="33">
        <f ca="1">_xll.DBRW($C$1,$C$2,$C$3,$C$4,$C$6,$C$5,$C$7,AO$1,AO$2,A75)</f>
        <v>0</v>
      </c>
      <c r="AP75" s="33">
        <f ca="1">_xll.DBRW($C$1,$C$2,$C$3,$C$4,$C$6,$C$5,$C$7,AP$1,AP$2,A75)</f>
        <v>0</v>
      </c>
      <c r="AQ75" s="33">
        <f ca="1">_xll.DBRW($C$1,$C$2,$C$3,$C$4,$C$6,$C$5,$C$7,AQ$1,AQ$2,A75)</f>
        <v>0</v>
      </c>
      <c r="AR75" s="33">
        <f ca="1">_xll.DBRW($C$1,$C$2,$C$3,$C$4,$C$6,$C$5,$C$7,AR$1,AR$2,A75)</f>
        <v>0</v>
      </c>
      <c r="AS75" s="33">
        <f ca="1">_xll.DBRW($C$1,$C$2,$C$3,$C$4,$C$6,$C$5,$C$7,AS$1,AS$2,A75)</f>
        <v>0</v>
      </c>
      <c r="AT75" s="33">
        <f ca="1">_xll.DBRW($C$1,$C$2,$C$3,$C$4,$C$6,$C$5,$C$7,AT$1,AT$2,A75)</f>
        <v>0</v>
      </c>
      <c r="AU75" s="33">
        <f ca="1">_xll.DBRW($C$1,$C$2,$C$3,$C$4,$C$6,$C$5,$C$7,AU$1,AU$2,A75)</f>
        <v>0</v>
      </c>
      <c r="AV75" s="33">
        <f ca="1">_xll.DBRW($C$1,$C$2,$C$3,$C$4,$C$6,$C$5,$C$7,AV$1,AV$2,A75)</f>
        <v>0</v>
      </c>
      <c r="AW75" s="33">
        <f ca="1">_xll.DBRW($C$1,$C$2,$C$3,$C$4,$C$6,$C$5,$C$7,AW$1,AW$2,A75)</f>
        <v>0</v>
      </c>
      <c r="AX75" s="33">
        <f ca="1">_xll.DBRW($C$1,$C$2,$C$3,$C$4,$C$6,$C$5,$C$7,AX$1,AX$2,A75)</f>
        <v>0</v>
      </c>
      <c r="AY75" s="33">
        <f ca="1">_xll.DBRW($C$1,$C$2,$C$3,$C$4,$C$6,$C$5,$C$7,AY$1,AY$2,A75)</f>
        <v>0</v>
      </c>
    </row>
    <row r="76" spans="1:51" ht="15.75" hidden="1" customHeight="1" outlineLevel="2">
      <c r="A76" s="1" t="s">
        <v>179</v>
      </c>
      <c r="C76" s="104"/>
      <c r="E76" s="9" t="str">
        <f ca="1">_xll.DBRW(Server&amp;"}ElementAttributes_Indicator",A76,"code_English")</f>
        <v>PL1151_MF_11 - Impact of change in revaluation rate on provisions for losses on LT contracts - related to staff costs - Reversal (MF)</v>
      </c>
      <c r="F76" s="33">
        <f ca="1">_xll.DBRW($C$1,$C$2,$C$3,$C$4,$C$6,$C$5,$C$7,F$1,F$2,A76)</f>
        <v>0</v>
      </c>
      <c r="G76" s="33">
        <f ca="1">_xll.DBRW($C$1,$C$2,$C$3,$C$4,$C$6,$C$5,$C$7,G$1,G$2,A76)</f>
        <v>0</v>
      </c>
      <c r="H76" s="33">
        <f ca="1">_xll.DBRW($C$1,$C$2,$C$3,$C$4,$C$6,$C$5,$C$7,H$1,H$2,A76)</f>
        <v>0</v>
      </c>
      <c r="I76" s="33">
        <f ca="1">_xll.DBRW($C$1,$C$2,$C$3,$C$4,$C$6,$C$5,$C$7,I$1,I$2,A76)</f>
        <v>0</v>
      </c>
      <c r="J76" s="33">
        <f ca="1">_xll.DBRW($C$1,$C$2,$C$3,$C$4,$C$6,$C$5,$C$7,J$1,J$2,A76)</f>
        <v>0</v>
      </c>
      <c r="K76" s="33">
        <f ca="1">_xll.DBRW($C$1,$C$2,$C$3,$C$4,$C$6,$C$5,$C$7,K$1,K$2,A76)</f>
        <v>0</v>
      </c>
      <c r="L76" s="33">
        <f ca="1">_xll.DBRW($C$1,$C$2,$C$3,$C$4,$C$6,$C$5,$C$7,L$1,L$2,A76)</f>
        <v>0</v>
      </c>
      <c r="M76" s="33">
        <f ca="1">_xll.DBRW($C$1,$C$2,$C$3,$C$4,$C$6,$C$5,$C$7,M$1,M$2,A76)</f>
        <v>0</v>
      </c>
      <c r="N76" s="33">
        <f ca="1">_xll.DBRW($C$1,$C$2,$C$3,$C$4,$C$6,$C$5,$C$7,N$1,N$2,A76)</f>
        <v>0</v>
      </c>
      <c r="O76" s="33">
        <f ca="1">_xll.DBRW($C$1,$C$2,$C$3,$C$4,$C$6,$C$5,$C$7,O$1,O$2,A76)</f>
        <v>0</v>
      </c>
      <c r="P76" s="33">
        <f ca="1">_xll.DBRW($C$1,$C$2,$C$3,$C$4,$C$6,$C$5,$C$7,P$1,P$2,A76)</f>
        <v>0</v>
      </c>
      <c r="Q76" s="33">
        <f ca="1">_xll.DBRW($C$1,$C$2,$C$3,$C$4,$C$6,$C$5,$C$7,Q$1,Q$2,A76)</f>
        <v>0</v>
      </c>
      <c r="R76" s="33">
        <f ca="1">_xll.DBRW($C$1,$C$2,$C$3,$C$4,$C$6,$C$5,$C$7,R$1,R$2,A76)</f>
        <v>0</v>
      </c>
      <c r="S76" s="33">
        <f ca="1">_xll.DBRW($C$1,$C$2,$C$3,$C$4,$C$6,$C$5,$C$7,S$1,S$2,A76)</f>
        <v>0</v>
      </c>
      <c r="T76" s="33">
        <f ca="1">_xll.DBRW($C$1,$C$2,$C$3,$C$4,$C$6,$C$5,$C$7,T$1,T$2,A76)</f>
        <v>0</v>
      </c>
      <c r="U76" s="33">
        <f ca="1">_xll.DBRW($C$1,$C$2,$C$3,$C$4,$C$6,$C$5,$C$7,U$1,U$2,A76)</f>
        <v>0</v>
      </c>
      <c r="V76" s="33">
        <f ca="1">_xll.DBRW($C$1,$C$2,$C$3,$C$4,$C$6,$C$5,$C$7,V$1,V$2,A76)</f>
        <v>0</v>
      </c>
      <c r="W76" s="33">
        <f ca="1">_xll.DBRW($C$1,$C$2,$C$3,$C$4,$C$6,$C$5,$C$7,W$1,W$2,A76)</f>
        <v>0</v>
      </c>
      <c r="X76" s="33">
        <f ca="1">_xll.DBRW($C$1,$C$2,$C$3,$C$4,$C$6,$C$5,$C$7,X$1,X$2,A76)</f>
        <v>0</v>
      </c>
      <c r="Y76" s="33">
        <f ca="1">_xll.DBRW($C$1,$C$2,$C$3,$C$4,$C$6,$C$5,$C$7,Y$1,Y$2,A76)</f>
        <v>0</v>
      </c>
      <c r="Z76" s="33">
        <f ca="1">_xll.DBRW($C$1,$C$2,$C$3,$C$4,$C$6,$C$5,$C$7,Z$1,Z$2,A76)</f>
        <v>0</v>
      </c>
      <c r="AA76" s="33">
        <f ca="1">_xll.DBRW($C$1,$C$2,$C$3,$C$4,$C$6,$C$5,$C$7,AA$1,AA$2,A76)</f>
        <v>0</v>
      </c>
      <c r="AB76" s="33">
        <f ca="1">_xll.DBRW($C$1,$C$2,$C$3,$C$4,$C$6,$C$5,$C$7,AB$1,AB$2,A76)</f>
        <v>0</v>
      </c>
      <c r="AC76" s="33">
        <f ca="1">_xll.DBRW($C$1,$C$2,$C$3,$C$4,$C$6,$C$5,$C$7,AC$1,AC$2,A76)</f>
        <v>0</v>
      </c>
      <c r="AD76" s="33">
        <f ca="1">_xll.DBRW($C$1,$C$2,$C$3,$C$4,$C$6,$C$5,$C$7,AD$1,AD$2,A76)</f>
        <v>0</v>
      </c>
      <c r="AE76" s="33">
        <f ca="1">_xll.DBRW($C$1,$C$2,$C$3,$C$4,$C$6,$C$5,$C$7,AE$1,AE$2,A76)</f>
        <v>0</v>
      </c>
      <c r="AF76" s="33">
        <f ca="1">_xll.DBRW($C$1,$C$2,$C$3,$C$4,$C$6,$C$5,$C$7,AF$1,AF$2,A76)</f>
        <v>0</v>
      </c>
      <c r="AG76" s="33">
        <f ca="1">_xll.DBRW($C$1,$C$2,$C$3,$C$4,$C$6,$C$5,$C$7,AG$1,AG$2,A76)</f>
        <v>0</v>
      </c>
      <c r="AH76" s="33">
        <f ca="1">_xll.DBRW($C$1,$C$2,$C$3,$C$4,$C$6,$C$5,$C$7,AH$1,AH$2,A76)</f>
        <v>0</v>
      </c>
      <c r="AI76" s="33">
        <f ca="1">_xll.DBRW($C$1,$C$2,$C$3,$C$4,$C$6,$C$5,$C$7,AI$1,AI$2,A76)</f>
        <v>0</v>
      </c>
      <c r="AJ76" s="33">
        <f ca="1">_xll.DBRW($C$1,$C$2,$C$3,$C$4,$C$6,$C$5,$C$7,AJ$1,AJ$2,A76)</f>
        <v>0</v>
      </c>
      <c r="AK76" s="33">
        <f ca="1">_xll.DBRW($C$1,$C$2,$C$3,$C$4,$C$6,$C$5,$C$7,AK$1,AK$2,A76)</f>
        <v>0</v>
      </c>
      <c r="AL76" s="33">
        <f ca="1">_xll.DBRW($C$1,$C$2,$C$3,$C$4,$C$6,$C$5,$C$7,AL$1,AL$2,A76)</f>
        <v>0</v>
      </c>
      <c r="AM76" s="33">
        <f ca="1">_xll.DBRW($C$1,$C$2,$C$3,$C$4,$C$6,$C$5,$C$7,AM$1,AM$2,A76)</f>
        <v>0</v>
      </c>
      <c r="AN76" s="33">
        <f ca="1">_xll.DBRW($C$1,$C$2,$C$3,$C$4,$C$6,$C$5,$C$7,AN$1,AN$2,A76)</f>
        <v>0</v>
      </c>
      <c r="AO76" s="33">
        <f ca="1">_xll.DBRW($C$1,$C$2,$C$3,$C$4,$C$6,$C$5,$C$7,AO$1,AO$2,A76)</f>
        <v>0</v>
      </c>
      <c r="AP76" s="33">
        <f ca="1">_xll.DBRW($C$1,$C$2,$C$3,$C$4,$C$6,$C$5,$C$7,AP$1,AP$2,A76)</f>
        <v>0</v>
      </c>
      <c r="AQ76" s="33">
        <f ca="1">_xll.DBRW($C$1,$C$2,$C$3,$C$4,$C$6,$C$5,$C$7,AQ$1,AQ$2,A76)</f>
        <v>0</v>
      </c>
      <c r="AR76" s="33">
        <f ca="1">_xll.DBRW($C$1,$C$2,$C$3,$C$4,$C$6,$C$5,$C$7,AR$1,AR$2,A76)</f>
        <v>0</v>
      </c>
      <c r="AS76" s="33">
        <f ca="1">_xll.DBRW($C$1,$C$2,$C$3,$C$4,$C$6,$C$5,$C$7,AS$1,AS$2,A76)</f>
        <v>0</v>
      </c>
      <c r="AT76" s="33">
        <f ca="1">_xll.DBRW($C$1,$C$2,$C$3,$C$4,$C$6,$C$5,$C$7,AT$1,AT$2,A76)</f>
        <v>0</v>
      </c>
      <c r="AU76" s="33">
        <f ca="1">_xll.DBRW($C$1,$C$2,$C$3,$C$4,$C$6,$C$5,$C$7,AU$1,AU$2,A76)</f>
        <v>0</v>
      </c>
      <c r="AV76" s="33">
        <f ca="1">_xll.DBRW($C$1,$C$2,$C$3,$C$4,$C$6,$C$5,$C$7,AV$1,AV$2,A76)</f>
        <v>0</v>
      </c>
      <c r="AW76" s="33">
        <f ca="1">_xll.DBRW($C$1,$C$2,$C$3,$C$4,$C$6,$C$5,$C$7,AW$1,AW$2,A76)</f>
        <v>0</v>
      </c>
      <c r="AX76" s="33">
        <f ca="1">_xll.DBRW($C$1,$C$2,$C$3,$C$4,$C$6,$C$5,$C$7,AX$1,AX$2,A76)</f>
        <v>0</v>
      </c>
      <c r="AY76" s="33">
        <f ca="1">_xll.DBRW($C$1,$C$2,$C$3,$C$4,$C$6,$C$5,$C$7,AY$1,AY$2,A76)</f>
        <v>0</v>
      </c>
    </row>
    <row r="77" spans="1:51" ht="15.75" hidden="1" customHeight="1" outlineLevel="2">
      <c r="A77" s="1" t="s">
        <v>180</v>
      </c>
      <c r="C77" s="104"/>
      <c r="E77" s="9" t="str">
        <f ca="1">_xll.DBRW(Server&amp;"}ElementAttributes_Indicator",A77,"code_English")</f>
        <v>PL1151_MF_20 - Impact of change in revaluation rate on provisions for losses on LT contracts - related to heavy maintenance</v>
      </c>
      <c r="F77" s="33">
        <f ca="1">_xll.DBRW($C$1,$C$2,$C$3,$C$4,$C$6,$C$5,$C$7,F$1,F$2,A77)</f>
        <v>0</v>
      </c>
      <c r="G77" s="33">
        <f ca="1">_xll.DBRW($C$1,$C$2,$C$3,$C$4,$C$6,$C$5,$C$7,G$1,G$2,A77)</f>
        <v>0</v>
      </c>
      <c r="H77" s="33">
        <f ca="1">_xll.DBRW($C$1,$C$2,$C$3,$C$4,$C$6,$C$5,$C$7,H$1,H$2,A77)</f>
        <v>0</v>
      </c>
      <c r="I77" s="33">
        <f ca="1">_xll.DBRW($C$1,$C$2,$C$3,$C$4,$C$6,$C$5,$C$7,I$1,I$2,A77)</f>
        <v>0</v>
      </c>
      <c r="J77" s="33">
        <f ca="1">_xll.DBRW($C$1,$C$2,$C$3,$C$4,$C$6,$C$5,$C$7,J$1,J$2,A77)</f>
        <v>0</v>
      </c>
      <c r="K77" s="33">
        <f ca="1">_xll.DBRW($C$1,$C$2,$C$3,$C$4,$C$6,$C$5,$C$7,K$1,K$2,A77)</f>
        <v>0</v>
      </c>
      <c r="L77" s="33">
        <f ca="1">_xll.DBRW($C$1,$C$2,$C$3,$C$4,$C$6,$C$5,$C$7,L$1,L$2,A77)</f>
        <v>0</v>
      </c>
      <c r="M77" s="33">
        <f ca="1">_xll.DBRW($C$1,$C$2,$C$3,$C$4,$C$6,$C$5,$C$7,M$1,M$2,A77)</f>
        <v>0</v>
      </c>
      <c r="N77" s="33">
        <f ca="1">_xll.DBRW($C$1,$C$2,$C$3,$C$4,$C$6,$C$5,$C$7,N$1,N$2,A77)</f>
        <v>0</v>
      </c>
      <c r="O77" s="33">
        <f ca="1">_xll.DBRW($C$1,$C$2,$C$3,$C$4,$C$6,$C$5,$C$7,O$1,O$2,A77)</f>
        <v>0</v>
      </c>
      <c r="P77" s="33">
        <f ca="1">_xll.DBRW($C$1,$C$2,$C$3,$C$4,$C$6,$C$5,$C$7,P$1,P$2,A77)</f>
        <v>0</v>
      </c>
      <c r="Q77" s="33">
        <f ca="1">_xll.DBRW($C$1,$C$2,$C$3,$C$4,$C$6,$C$5,$C$7,Q$1,Q$2,A77)</f>
        <v>0</v>
      </c>
      <c r="R77" s="33">
        <f ca="1">_xll.DBRW($C$1,$C$2,$C$3,$C$4,$C$6,$C$5,$C$7,R$1,R$2,A77)</f>
        <v>0</v>
      </c>
      <c r="S77" s="33">
        <f ca="1">_xll.DBRW($C$1,$C$2,$C$3,$C$4,$C$6,$C$5,$C$7,S$1,S$2,A77)</f>
        <v>0</v>
      </c>
      <c r="T77" s="33">
        <f ca="1">_xll.DBRW($C$1,$C$2,$C$3,$C$4,$C$6,$C$5,$C$7,T$1,T$2,A77)</f>
        <v>0</v>
      </c>
      <c r="U77" s="33">
        <f ca="1">_xll.DBRW($C$1,$C$2,$C$3,$C$4,$C$6,$C$5,$C$7,U$1,U$2,A77)</f>
        <v>0</v>
      </c>
      <c r="V77" s="33">
        <f ca="1">_xll.DBRW($C$1,$C$2,$C$3,$C$4,$C$6,$C$5,$C$7,V$1,V$2,A77)</f>
        <v>0</v>
      </c>
      <c r="W77" s="33">
        <f ca="1">_xll.DBRW($C$1,$C$2,$C$3,$C$4,$C$6,$C$5,$C$7,W$1,W$2,A77)</f>
        <v>0</v>
      </c>
      <c r="X77" s="33">
        <f ca="1">_xll.DBRW($C$1,$C$2,$C$3,$C$4,$C$6,$C$5,$C$7,X$1,X$2,A77)</f>
        <v>0</v>
      </c>
      <c r="Y77" s="33">
        <f ca="1">_xll.DBRW($C$1,$C$2,$C$3,$C$4,$C$6,$C$5,$C$7,Y$1,Y$2,A77)</f>
        <v>0</v>
      </c>
      <c r="Z77" s="33">
        <f ca="1">_xll.DBRW($C$1,$C$2,$C$3,$C$4,$C$6,$C$5,$C$7,Z$1,Z$2,A77)</f>
        <v>0</v>
      </c>
      <c r="AA77" s="33">
        <f ca="1">_xll.DBRW($C$1,$C$2,$C$3,$C$4,$C$6,$C$5,$C$7,AA$1,AA$2,A77)</f>
        <v>0</v>
      </c>
      <c r="AB77" s="33">
        <f ca="1">_xll.DBRW($C$1,$C$2,$C$3,$C$4,$C$6,$C$5,$C$7,AB$1,AB$2,A77)</f>
        <v>0</v>
      </c>
      <c r="AC77" s="33">
        <f ca="1">_xll.DBRW($C$1,$C$2,$C$3,$C$4,$C$6,$C$5,$C$7,AC$1,AC$2,A77)</f>
        <v>0</v>
      </c>
      <c r="AD77" s="33">
        <f ca="1">_xll.DBRW($C$1,$C$2,$C$3,$C$4,$C$6,$C$5,$C$7,AD$1,AD$2,A77)</f>
        <v>0</v>
      </c>
      <c r="AE77" s="33">
        <f ca="1">_xll.DBRW($C$1,$C$2,$C$3,$C$4,$C$6,$C$5,$C$7,AE$1,AE$2,A77)</f>
        <v>0</v>
      </c>
      <c r="AF77" s="33">
        <f ca="1">_xll.DBRW($C$1,$C$2,$C$3,$C$4,$C$6,$C$5,$C$7,AF$1,AF$2,A77)</f>
        <v>0</v>
      </c>
      <c r="AG77" s="33">
        <f ca="1">_xll.DBRW($C$1,$C$2,$C$3,$C$4,$C$6,$C$5,$C$7,AG$1,AG$2,A77)</f>
        <v>0</v>
      </c>
      <c r="AH77" s="33">
        <f ca="1">_xll.DBRW($C$1,$C$2,$C$3,$C$4,$C$6,$C$5,$C$7,AH$1,AH$2,A77)</f>
        <v>0</v>
      </c>
      <c r="AI77" s="33">
        <f ca="1">_xll.DBRW($C$1,$C$2,$C$3,$C$4,$C$6,$C$5,$C$7,AI$1,AI$2,A77)</f>
        <v>0</v>
      </c>
      <c r="AJ77" s="33">
        <f ca="1">_xll.DBRW($C$1,$C$2,$C$3,$C$4,$C$6,$C$5,$C$7,AJ$1,AJ$2,A77)</f>
        <v>0</v>
      </c>
      <c r="AK77" s="33">
        <f ca="1">_xll.DBRW($C$1,$C$2,$C$3,$C$4,$C$6,$C$5,$C$7,AK$1,AK$2,A77)</f>
        <v>0</v>
      </c>
      <c r="AL77" s="33">
        <f ca="1">_xll.DBRW($C$1,$C$2,$C$3,$C$4,$C$6,$C$5,$C$7,AL$1,AL$2,A77)</f>
        <v>0</v>
      </c>
      <c r="AM77" s="33">
        <f ca="1">_xll.DBRW($C$1,$C$2,$C$3,$C$4,$C$6,$C$5,$C$7,AM$1,AM$2,A77)</f>
        <v>0</v>
      </c>
      <c r="AN77" s="33">
        <f ca="1">_xll.DBRW($C$1,$C$2,$C$3,$C$4,$C$6,$C$5,$C$7,AN$1,AN$2,A77)</f>
        <v>0</v>
      </c>
      <c r="AO77" s="33">
        <f ca="1">_xll.DBRW($C$1,$C$2,$C$3,$C$4,$C$6,$C$5,$C$7,AO$1,AO$2,A77)</f>
        <v>0</v>
      </c>
      <c r="AP77" s="33">
        <f ca="1">_xll.DBRW($C$1,$C$2,$C$3,$C$4,$C$6,$C$5,$C$7,AP$1,AP$2,A77)</f>
        <v>0</v>
      </c>
      <c r="AQ77" s="33">
        <f ca="1">_xll.DBRW($C$1,$C$2,$C$3,$C$4,$C$6,$C$5,$C$7,AQ$1,AQ$2,A77)</f>
        <v>0</v>
      </c>
      <c r="AR77" s="33">
        <f ca="1">_xll.DBRW($C$1,$C$2,$C$3,$C$4,$C$6,$C$5,$C$7,AR$1,AR$2,A77)</f>
        <v>0</v>
      </c>
      <c r="AS77" s="33">
        <f ca="1">_xll.DBRW($C$1,$C$2,$C$3,$C$4,$C$6,$C$5,$C$7,AS$1,AS$2,A77)</f>
        <v>0</v>
      </c>
      <c r="AT77" s="33">
        <f ca="1">_xll.DBRW($C$1,$C$2,$C$3,$C$4,$C$6,$C$5,$C$7,AT$1,AT$2,A77)</f>
        <v>0</v>
      </c>
      <c r="AU77" s="33">
        <f ca="1">_xll.DBRW($C$1,$C$2,$C$3,$C$4,$C$6,$C$5,$C$7,AU$1,AU$2,A77)</f>
        <v>0</v>
      </c>
      <c r="AV77" s="33">
        <f ca="1">_xll.DBRW($C$1,$C$2,$C$3,$C$4,$C$6,$C$5,$C$7,AV$1,AV$2,A77)</f>
        <v>0</v>
      </c>
      <c r="AW77" s="33">
        <f ca="1">_xll.DBRW($C$1,$C$2,$C$3,$C$4,$C$6,$C$5,$C$7,AW$1,AW$2,A77)</f>
        <v>0</v>
      </c>
      <c r="AX77" s="33">
        <f ca="1">_xll.DBRW($C$1,$C$2,$C$3,$C$4,$C$6,$C$5,$C$7,AX$1,AX$2,A77)</f>
        <v>0</v>
      </c>
      <c r="AY77" s="33">
        <f ca="1">_xll.DBRW($C$1,$C$2,$C$3,$C$4,$C$6,$C$5,$C$7,AY$1,AY$2,A77)</f>
        <v>0</v>
      </c>
    </row>
    <row r="78" spans="1:51" ht="15.75" hidden="1" customHeight="1" outlineLevel="2">
      <c r="A78" s="1" t="s">
        <v>181</v>
      </c>
      <c r="C78" s="104"/>
      <c r="E78" s="9" t="str">
        <f ca="1">_xll.DBRW(Server&amp;"}ElementAttributes_Indicator",A78,"code_English")</f>
        <v>PL1151_MF_21 - Impact of change in revaluation rate on provisions for losses on LT contracts - related to heavy maintenance - Reversal</v>
      </c>
      <c r="F78" s="33">
        <f ca="1">_xll.DBRW($C$1,$C$2,$C$3,$C$4,$C$6,$C$5,$C$7,F$1,F$2,A78)</f>
        <v>0</v>
      </c>
      <c r="G78" s="33">
        <f ca="1">_xll.DBRW($C$1,$C$2,$C$3,$C$4,$C$6,$C$5,$C$7,G$1,G$2,A78)</f>
        <v>0</v>
      </c>
      <c r="H78" s="33">
        <f ca="1">_xll.DBRW($C$1,$C$2,$C$3,$C$4,$C$6,$C$5,$C$7,H$1,H$2,A78)</f>
        <v>0</v>
      </c>
      <c r="I78" s="33">
        <f ca="1">_xll.DBRW($C$1,$C$2,$C$3,$C$4,$C$6,$C$5,$C$7,I$1,I$2,A78)</f>
        <v>0</v>
      </c>
      <c r="J78" s="33">
        <f ca="1">_xll.DBRW($C$1,$C$2,$C$3,$C$4,$C$6,$C$5,$C$7,J$1,J$2,A78)</f>
        <v>0</v>
      </c>
      <c r="K78" s="33">
        <f ca="1">_xll.DBRW($C$1,$C$2,$C$3,$C$4,$C$6,$C$5,$C$7,K$1,K$2,A78)</f>
        <v>0</v>
      </c>
      <c r="L78" s="33">
        <f ca="1">_xll.DBRW($C$1,$C$2,$C$3,$C$4,$C$6,$C$5,$C$7,L$1,L$2,A78)</f>
        <v>0</v>
      </c>
      <c r="M78" s="33">
        <f ca="1">_xll.DBRW($C$1,$C$2,$C$3,$C$4,$C$6,$C$5,$C$7,M$1,M$2,A78)</f>
        <v>0</v>
      </c>
      <c r="N78" s="33">
        <f ca="1">_xll.DBRW($C$1,$C$2,$C$3,$C$4,$C$6,$C$5,$C$7,N$1,N$2,A78)</f>
        <v>0</v>
      </c>
      <c r="O78" s="33">
        <f ca="1">_xll.DBRW($C$1,$C$2,$C$3,$C$4,$C$6,$C$5,$C$7,O$1,O$2,A78)</f>
        <v>0</v>
      </c>
      <c r="P78" s="33">
        <f ca="1">_xll.DBRW($C$1,$C$2,$C$3,$C$4,$C$6,$C$5,$C$7,P$1,P$2,A78)</f>
        <v>0</v>
      </c>
      <c r="Q78" s="33">
        <f ca="1">_xll.DBRW($C$1,$C$2,$C$3,$C$4,$C$6,$C$5,$C$7,Q$1,Q$2,A78)</f>
        <v>0</v>
      </c>
      <c r="R78" s="33">
        <f ca="1">_xll.DBRW($C$1,$C$2,$C$3,$C$4,$C$6,$C$5,$C$7,R$1,R$2,A78)</f>
        <v>0</v>
      </c>
      <c r="S78" s="33">
        <f ca="1">_xll.DBRW($C$1,$C$2,$C$3,$C$4,$C$6,$C$5,$C$7,S$1,S$2,A78)</f>
        <v>0</v>
      </c>
      <c r="T78" s="33">
        <f ca="1">_xll.DBRW($C$1,$C$2,$C$3,$C$4,$C$6,$C$5,$C$7,T$1,T$2,A78)</f>
        <v>0</v>
      </c>
      <c r="U78" s="33">
        <f ca="1">_xll.DBRW($C$1,$C$2,$C$3,$C$4,$C$6,$C$5,$C$7,U$1,U$2,A78)</f>
        <v>0</v>
      </c>
      <c r="V78" s="33">
        <f ca="1">_xll.DBRW($C$1,$C$2,$C$3,$C$4,$C$6,$C$5,$C$7,V$1,V$2,A78)</f>
        <v>0</v>
      </c>
      <c r="W78" s="33">
        <f ca="1">_xll.DBRW($C$1,$C$2,$C$3,$C$4,$C$6,$C$5,$C$7,W$1,W$2,A78)</f>
        <v>0</v>
      </c>
      <c r="X78" s="33">
        <f ca="1">_xll.DBRW($C$1,$C$2,$C$3,$C$4,$C$6,$C$5,$C$7,X$1,X$2,A78)</f>
        <v>0</v>
      </c>
      <c r="Y78" s="33">
        <f ca="1">_xll.DBRW($C$1,$C$2,$C$3,$C$4,$C$6,$C$5,$C$7,Y$1,Y$2,A78)</f>
        <v>0</v>
      </c>
      <c r="Z78" s="33">
        <f ca="1">_xll.DBRW($C$1,$C$2,$C$3,$C$4,$C$6,$C$5,$C$7,Z$1,Z$2,A78)</f>
        <v>0</v>
      </c>
      <c r="AA78" s="33">
        <f ca="1">_xll.DBRW($C$1,$C$2,$C$3,$C$4,$C$6,$C$5,$C$7,AA$1,AA$2,A78)</f>
        <v>0</v>
      </c>
      <c r="AB78" s="33">
        <f ca="1">_xll.DBRW($C$1,$C$2,$C$3,$C$4,$C$6,$C$5,$C$7,AB$1,AB$2,A78)</f>
        <v>0</v>
      </c>
      <c r="AC78" s="33">
        <f ca="1">_xll.DBRW($C$1,$C$2,$C$3,$C$4,$C$6,$C$5,$C$7,AC$1,AC$2,A78)</f>
        <v>0</v>
      </c>
      <c r="AD78" s="33">
        <f ca="1">_xll.DBRW($C$1,$C$2,$C$3,$C$4,$C$6,$C$5,$C$7,AD$1,AD$2,A78)</f>
        <v>0</v>
      </c>
      <c r="AE78" s="33">
        <f ca="1">_xll.DBRW($C$1,$C$2,$C$3,$C$4,$C$6,$C$5,$C$7,AE$1,AE$2,A78)</f>
        <v>0</v>
      </c>
      <c r="AF78" s="33">
        <f ca="1">_xll.DBRW($C$1,$C$2,$C$3,$C$4,$C$6,$C$5,$C$7,AF$1,AF$2,A78)</f>
        <v>0</v>
      </c>
      <c r="AG78" s="33">
        <f ca="1">_xll.DBRW($C$1,$C$2,$C$3,$C$4,$C$6,$C$5,$C$7,AG$1,AG$2,A78)</f>
        <v>0</v>
      </c>
      <c r="AH78" s="33">
        <f ca="1">_xll.DBRW($C$1,$C$2,$C$3,$C$4,$C$6,$C$5,$C$7,AH$1,AH$2,A78)</f>
        <v>0</v>
      </c>
      <c r="AI78" s="33">
        <f ca="1">_xll.DBRW($C$1,$C$2,$C$3,$C$4,$C$6,$C$5,$C$7,AI$1,AI$2,A78)</f>
        <v>0</v>
      </c>
      <c r="AJ78" s="33">
        <f ca="1">_xll.DBRW($C$1,$C$2,$C$3,$C$4,$C$6,$C$5,$C$7,AJ$1,AJ$2,A78)</f>
        <v>0</v>
      </c>
      <c r="AK78" s="33">
        <f ca="1">_xll.DBRW($C$1,$C$2,$C$3,$C$4,$C$6,$C$5,$C$7,AK$1,AK$2,A78)</f>
        <v>0</v>
      </c>
      <c r="AL78" s="33">
        <f ca="1">_xll.DBRW($C$1,$C$2,$C$3,$C$4,$C$6,$C$5,$C$7,AL$1,AL$2,A78)</f>
        <v>0</v>
      </c>
      <c r="AM78" s="33">
        <f ca="1">_xll.DBRW($C$1,$C$2,$C$3,$C$4,$C$6,$C$5,$C$7,AM$1,AM$2,A78)</f>
        <v>0</v>
      </c>
      <c r="AN78" s="33">
        <f ca="1">_xll.DBRW($C$1,$C$2,$C$3,$C$4,$C$6,$C$5,$C$7,AN$1,AN$2,A78)</f>
        <v>0</v>
      </c>
      <c r="AO78" s="33">
        <f ca="1">_xll.DBRW($C$1,$C$2,$C$3,$C$4,$C$6,$C$5,$C$7,AO$1,AO$2,A78)</f>
        <v>0</v>
      </c>
      <c r="AP78" s="33">
        <f ca="1">_xll.DBRW($C$1,$C$2,$C$3,$C$4,$C$6,$C$5,$C$7,AP$1,AP$2,A78)</f>
        <v>0</v>
      </c>
      <c r="AQ78" s="33">
        <f ca="1">_xll.DBRW($C$1,$C$2,$C$3,$C$4,$C$6,$C$5,$C$7,AQ$1,AQ$2,A78)</f>
        <v>0</v>
      </c>
      <c r="AR78" s="33">
        <f ca="1">_xll.DBRW($C$1,$C$2,$C$3,$C$4,$C$6,$C$5,$C$7,AR$1,AR$2,A78)</f>
        <v>0</v>
      </c>
      <c r="AS78" s="33">
        <f ca="1">_xll.DBRW($C$1,$C$2,$C$3,$C$4,$C$6,$C$5,$C$7,AS$1,AS$2,A78)</f>
        <v>0</v>
      </c>
      <c r="AT78" s="33">
        <f ca="1">_xll.DBRW($C$1,$C$2,$C$3,$C$4,$C$6,$C$5,$C$7,AT$1,AT$2,A78)</f>
        <v>0</v>
      </c>
      <c r="AU78" s="33">
        <f ca="1">_xll.DBRW($C$1,$C$2,$C$3,$C$4,$C$6,$C$5,$C$7,AU$1,AU$2,A78)</f>
        <v>0</v>
      </c>
      <c r="AV78" s="33">
        <f ca="1">_xll.DBRW($C$1,$C$2,$C$3,$C$4,$C$6,$C$5,$C$7,AV$1,AV$2,A78)</f>
        <v>0</v>
      </c>
      <c r="AW78" s="33">
        <f ca="1">_xll.DBRW($C$1,$C$2,$C$3,$C$4,$C$6,$C$5,$C$7,AW$1,AW$2,A78)</f>
        <v>0</v>
      </c>
      <c r="AX78" s="33">
        <f ca="1">_xll.DBRW($C$1,$C$2,$C$3,$C$4,$C$6,$C$5,$C$7,AX$1,AX$2,A78)</f>
        <v>0</v>
      </c>
      <c r="AY78" s="33">
        <f ca="1">_xll.DBRW($C$1,$C$2,$C$3,$C$4,$C$6,$C$5,$C$7,AY$1,AY$2,A78)</f>
        <v>0</v>
      </c>
    </row>
    <row r="79" spans="1:51" ht="15.75" hidden="1" customHeight="1" outlineLevel="2">
      <c r="A79" s="1" t="s">
        <v>182</v>
      </c>
      <c r="C79" s="104"/>
      <c r="E79" s="9" t="str">
        <f ca="1">_xll.DBRW(Server&amp;"}ElementAttributes_Indicator",A79,"code_English")</f>
        <v>PL1155_MF_99 - Reinvoicing - Others (MF)</v>
      </c>
      <c r="F79" s="33">
        <f ca="1">_xll.DBRW($C$1,$C$2,$C$3,$C$4,$C$6,$C$5,$C$7,F$1,F$2,A79)</f>
        <v>5.6495227475599954</v>
      </c>
      <c r="G79" s="33">
        <f ca="1">_xll.DBRW($C$1,$C$2,$C$3,$C$4,$C$6,$C$5,$C$7,G$1,G$2,A79)</f>
        <v>13.285165982459995</v>
      </c>
      <c r="H79" s="33">
        <f ca="1">_xll.DBRW($C$1,$C$2,$C$3,$C$4,$C$6,$C$5,$C$7,H$1,H$2,A79)</f>
        <v>13.53435893168</v>
      </c>
      <c r="I79" s="33">
        <f ca="1">_xll.DBRW($C$1,$C$2,$C$3,$C$4,$C$6,$C$5,$C$7,I$1,I$2,A79)</f>
        <v>2.1327625083200026</v>
      </c>
      <c r="J79" s="33">
        <f ca="1">_xll.DBRW($C$1,$C$2,$C$3,$C$4,$C$6,$C$5,$C$7,J$1,J$2,A79)</f>
        <v>1.3721536675800001</v>
      </c>
      <c r="K79" s="33">
        <f ca="1">_xll.DBRW($C$1,$C$2,$C$3,$C$4,$C$6,$C$5,$C$7,K$1,K$2,A79)</f>
        <v>0.40991005281999882</v>
      </c>
      <c r="L79" s="33">
        <f ca="1">_xll.DBRW($C$1,$C$2,$C$3,$C$4,$C$6,$C$5,$C$7,L$1,L$2,A79)</f>
        <v>2.2495178696996518</v>
      </c>
      <c r="M79" s="33">
        <f ca="1">_xll.DBRW($C$1,$C$2,$C$3,$C$4,$C$6,$C$5,$C$7,M$1,M$2,A79)</f>
        <v>0.12187627600000005</v>
      </c>
      <c r="N79" s="33">
        <f ca="1">_xll.DBRW($C$1,$C$2,$C$3,$C$4,$C$6,$C$5,$C$7,N$1,N$2,A79)</f>
        <v>0.78659229100000017</v>
      </c>
      <c r="O79" s="33">
        <f ca="1">_xll.DBRW($C$1,$C$2,$C$3,$C$4,$C$6,$C$5,$C$7,O$1,O$2,A79)</f>
        <v>1.0125718570000002</v>
      </c>
      <c r="P79" s="33">
        <f ca="1">_xll.DBRW($C$1,$C$2,$C$3,$C$4,$C$6,$C$5,$C$7,P$1,P$2,A79)</f>
        <v>1.471192367</v>
      </c>
      <c r="Q79" s="33">
        <f ca="1">_xll.DBRW($C$1,$C$2,$C$3,$C$4,$C$6,$C$5,$C$7,Q$1,Q$2,A79)</f>
        <v>1.0354150620000002</v>
      </c>
      <c r="R79" s="33">
        <f ca="1">_xll.DBRW($C$1,$C$2,$C$3,$C$4,$C$6,$C$5,$C$7,R$1,R$2,A79)</f>
        <v>1.2798422320000005</v>
      </c>
      <c r="S79" s="33">
        <f ca="1">_xll.DBRW($C$1,$C$2,$C$3,$C$4,$C$6,$C$5,$C$7,S$1,S$2,A79)</f>
        <v>0.8106914430000004</v>
      </c>
      <c r="T79" s="33">
        <f ca="1">_xll.DBRW($C$1,$C$2,$C$3,$C$4,$C$6,$C$5,$C$7,T$1,T$2,A79)</f>
        <v>1.5355182350000001</v>
      </c>
      <c r="U79" s="33">
        <f ca="1">_xll.DBRW($C$1,$C$2,$C$3,$C$4,$C$6,$C$5,$C$7,U$1,U$2,A79)</f>
        <v>1.5709413250000002</v>
      </c>
      <c r="V79" s="33">
        <f ca="1">_xll.DBRW($C$1,$C$2,$C$3,$C$4,$C$6,$C$5,$C$7,V$1,V$2,A79)</f>
        <v>1.388537965</v>
      </c>
      <c r="W79" s="33">
        <f ca="1">_xll.DBRW($C$1,$C$2,$C$3,$C$4,$C$6,$C$5,$C$7,W$1,W$2,A79)</f>
        <v>2.3422242499999992</v>
      </c>
      <c r="X79" s="33">
        <f ca="1">_xll.DBRW($C$1,$C$2,$C$3,$C$4,$C$6,$C$5,$C$7,X$1,X$2,A79)</f>
        <v>2.9855896899999994</v>
      </c>
      <c r="Y79" s="33">
        <f ca="1">_xll.DBRW($C$1,$C$2,$C$3,$C$4,$C$6,$C$5,$C$7,Y$1,Y$2,A79)</f>
        <v>2.9855896899999994</v>
      </c>
      <c r="Z79" s="33">
        <f ca="1">_xll.DBRW($C$1,$C$2,$C$3,$C$4,$C$6,$C$5,$C$7,Z$1,Z$2,A79)</f>
        <v>0.33334208109648333</v>
      </c>
      <c r="AA79" s="33">
        <f ca="1">_xll.DBRW($C$1,$C$2,$C$3,$C$4,$C$6,$C$5,$C$7,AA$1,AA$2,A79)</f>
        <v>0.26598626729450492</v>
      </c>
      <c r="AB79" s="33">
        <f ca="1">_xll.DBRW($C$1,$C$2,$C$3,$C$4,$C$6,$C$5,$C$7,AB$1,AB$2,A79)</f>
        <v>0.40015954226791139</v>
      </c>
      <c r="AC79" s="33">
        <f ca="1">_xll.DBRW($C$1,$C$2,$C$3,$C$4,$C$6,$C$5,$C$7,AC$1,AC$2,A79)</f>
        <v>0.53346019336439476</v>
      </c>
      <c r="AD79" s="33">
        <f ca="1">_xll.DBRW($C$1,$C$2,$C$3,$C$4,$C$6,$C$5,$C$7,AD$1,AD$2,A79)</f>
        <v>0.66775498833780123</v>
      </c>
      <c r="AE79" s="33">
        <f ca="1">_xll.DBRW($C$1,$C$2,$C$3,$C$4,$C$6,$C$5,$C$7,AE$1,AE$2,A79)</f>
        <v>0.80944863943428458</v>
      </c>
      <c r="AF79" s="33">
        <f ca="1">_xll.DBRW($C$1,$C$2,$C$3,$C$4,$C$6,$C$5,$C$7,AF$1,AF$2,A79)</f>
        <v>1.2671606944076912</v>
      </c>
      <c r="AG79" s="33">
        <f ca="1">_xll.DBRW($C$1,$C$2,$C$3,$C$4,$C$6,$C$5,$C$7,AG$1,AG$2,A79)</f>
        <v>1.398956072714431</v>
      </c>
      <c r="AH79" s="33">
        <f ca="1">_xll.DBRW($C$1,$C$2,$C$3,$C$4,$C$6,$C$5,$C$7,AH$1,AH$2,A79)</f>
        <v>1.5578402691442474</v>
      </c>
      <c r="AI79" s="33">
        <f ca="1">_xll.DBRW($C$1,$C$2,$C$3,$C$4,$C$6,$C$5,$C$7,AI$1,AI$2,A79)</f>
        <v>1.719447289174064</v>
      </c>
      <c r="AJ79" s="33">
        <f ca="1">_xll.DBRW($C$1,$C$2,$C$3,$C$4,$C$6,$C$5,$C$7,AJ$1,AJ$2,A79)</f>
        <v>1.8838451152038809</v>
      </c>
      <c r="AK79" s="33">
        <f ca="1">_xll.DBRW($C$1,$C$2,$C$3,$C$4,$C$6,$C$5,$C$7,AK$1,AK$2,A79)</f>
        <v>2.0464018179090822</v>
      </c>
      <c r="AL79" s="33">
        <f ca="1">_xll.DBRW($C$1,$C$2,$C$3,$C$4,$C$6,$C$5,$C$7,AL$1,AL$2,A79)</f>
        <v>2.0464018179090822</v>
      </c>
      <c r="AM79" s="33">
        <f ca="1">_xll.DBRW($C$1,$C$2,$C$3,$C$4,$C$6,$C$5,$C$7,AM$1,AM$2,A79)</f>
        <v>-3.3298999999999843E-2</v>
      </c>
      <c r="AN79" s="33">
        <f ca="1">_xll.DBRW($C$1,$C$2,$C$3,$C$4,$C$6,$C$5,$C$7,AN$1,AN$2,A79)</f>
        <v>0.41623304999999999</v>
      </c>
      <c r="AO79" s="33">
        <f ca="1">_xll.DBRW($C$1,$C$2,$C$3,$C$4,$C$6,$C$5,$C$7,AO$1,AO$2,A79)</f>
        <v>-1.1102230246251565E-16</v>
      </c>
      <c r="AP79" s="33">
        <f ca="1">_xll.DBRW($C$1,$C$2,$C$3,$C$4,$C$6,$C$5,$C$7,AP$1,AP$2,A79)</f>
        <v>-1.1102230246251565E-16</v>
      </c>
      <c r="AQ79" s="33">
        <f ca="1">_xll.DBRW($C$1,$C$2,$C$3,$C$4,$C$6,$C$5,$C$7,AQ$1,AQ$2,A79)</f>
        <v>-1.1102230246251565E-16</v>
      </c>
      <c r="AR79" s="33">
        <f ca="1">_xll.DBRW($C$1,$C$2,$C$3,$C$4,$C$6,$C$5,$C$7,AR$1,AR$2,A79)</f>
        <v>-1.1102230246251565E-16</v>
      </c>
      <c r="AS79" s="33">
        <f ca="1">_xll.DBRW($C$1,$C$2,$C$3,$C$4,$C$6,$C$5,$C$7,AS$1,AS$2,A79)</f>
        <v>-1.1102230246251565E-16</v>
      </c>
      <c r="AT79" s="33">
        <f ca="1">_xll.DBRW($C$1,$C$2,$C$3,$C$4,$C$6,$C$5,$C$7,AT$1,AT$2,A79)</f>
        <v>-1.1102230246251565E-16</v>
      </c>
      <c r="AU79" s="33">
        <f ca="1">_xll.DBRW($C$1,$C$2,$C$3,$C$4,$C$6,$C$5,$C$7,AU$1,AU$2,A79)</f>
        <v>-1.1102230246251565E-16</v>
      </c>
      <c r="AV79" s="33">
        <f ca="1">_xll.DBRW($C$1,$C$2,$C$3,$C$4,$C$6,$C$5,$C$7,AV$1,AV$2,A79)</f>
        <v>-1.1102230246251565E-16</v>
      </c>
      <c r="AW79" s="33">
        <f ca="1">_xll.DBRW($C$1,$C$2,$C$3,$C$4,$C$6,$C$5,$C$7,AW$1,AW$2,A79)</f>
        <v>-1.1102230246251565E-16</v>
      </c>
      <c r="AX79" s="33">
        <f ca="1">_xll.DBRW($C$1,$C$2,$C$3,$C$4,$C$6,$C$5,$C$7,AX$1,AX$2,A79)</f>
        <v>-1.1102230246251565E-16</v>
      </c>
      <c r="AY79" s="33">
        <f ca="1">_xll.DBRW($C$1,$C$2,$C$3,$C$4,$C$6,$C$5,$C$7,AY$1,AY$2,A79)</f>
        <v>-1.1102230246251565E-16</v>
      </c>
    </row>
    <row r="80" spans="1:51" ht="15.75" hidden="1" customHeight="1" outlineLevel="2">
      <c r="A80" s="1" t="s">
        <v>183</v>
      </c>
      <c r="C80" s="104"/>
      <c r="E80" s="9" t="str">
        <f ca="1">_xll.DBRW(Server&amp;"}ElementAttributes_Indicator",A80,"code_English")</f>
        <v>PL1160_MF_15 - Gains/losses on disposal of tangible &amp; intangible fixed assets (MF)</v>
      </c>
      <c r="F80" s="33">
        <f ca="1">_xll.DBRW($C$1,$C$2,$C$3,$C$4,$C$6,$C$5,$C$7,F$1,F$2,A80)</f>
        <v>0</v>
      </c>
      <c r="G80" s="33">
        <f ca="1">_xll.DBRW($C$1,$C$2,$C$3,$C$4,$C$6,$C$5,$C$7,G$1,G$2,A80)</f>
        <v>0</v>
      </c>
      <c r="H80" s="33">
        <f ca="1">_xll.DBRW($C$1,$C$2,$C$3,$C$4,$C$6,$C$5,$C$7,H$1,H$2,A80)</f>
        <v>0</v>
      </c>
      <c r="I80" s="33">
        <f ca="1">_xll.DBRW($C$1,$C$2,$C$3,$C$4,$C$6,$C$5,$C$7,I$1,I$2,A80)</f>
        <v>0</v>
      </c>
      <c r="J80" s="33">
        <f ca="1">_xll.DBRW($C$1,$C$2,$C$3,$C$4,$C$6,$C$5,$C$7,J$1,J$2,A80)</f>
        <v>0</v>
      </c>
      <c r="K80" s="33">
        <f ca="1">_xll.DBRW($C$1,$C$2,$C$3,$C$4,$C$6,$C$5,$C$7,K$1,K$2,A80)</f>
        <v>0</v>
      </c>
      <c r="L80" s="33">
        <f ca="1">_xll.DBRW($C$1,$C$2,$C$3,$C$4,$C$6,$C$5,$C$7,L$1,L$2,A80)</f>
        <v>0</v>
      </c>
      <c r="M80" s="33">
        <f ca="1">_xll.DBRW($C$1,$C$2,$C$3,$C$4,$C$6,$C$5,$C$7,M$1,M$2,A80)</f>
        <v>0</v>
      </c>
      <c r="N80" s="33">
        <f ca="1">_xll.DBRW($C$1,$C$2,$C$3,$C$4,$C$6,$C$5,$C$7,N$1,N$2,A80)</f>
        <v>0</v>
      </c>
      <c r="O80" s="33">
        <f ca="1">_xll.DBRW($C$1,$C$2,$C$3,$C$4,$C$6,$C$5,$C$7,O$1,O$2,A80)</f>
        <v>0</v>
      </c>
      <c r="P80" s="33">
        <f ca="1">_xll.DBRW($C$1,$C$2,$C$3,$C$4,$C$6,$C$5,$C$7,P$1,P$2,A80)</f>
        <v>0</v>
      </c>
      <c r="Q80" s="33">
        <f ca="1">_xll.DBRW($C$1,$C$2,$C$3,$C$4,$C$6,$C$5,$C$7,Q$1,Q$2,A80)</f>
        <v>0</v>
      </c>
      <c r="R80" s="33">
        <f ca="1">_xll.DBRW($C$1,$C$2,$C$3,$C$4,$C$6,$C$5,$C$7,R$1,R$2,A80)</f>
        <v>0</v>
      </c>
      <c r="S80" s="33">
        <f ca="1">_xll.DBRW($C$1,$C$2,$C$3,$C$4,$C$6,$C$5,$C$7,S$1,S$2,A80)</f>
        <v>0</v>
      </c>
      <c r="T80" s="33">
        <f ca="1">_xll.DBRW($C$1,$C$2,$C$3,$C$4,$C$6,$C$5,$C$7,T$1,T$2,A80)</f>
        <v>-1.7242199999999998E-3</v>
      </c>
      <c r="U80" s="33">
        <f ca="1">_xll.DBRW($C$1,$C$2,$C$3,$C$4,$C$6,$C$5,$C$7,U$1,U$2,A80)</f>
        <v>-1.7242199999999998E-3</v>
      </c>
      <c r="V80" s="33">
        <f ca="1">_xll.DBRW($C$1,$C$2,$C$3,$C$4,$C$6,$C$5,$C$7,V$1,V$2,A80)</f>
        <v>0</v>
      </c>
      <c r="W80" s="33">
        <f ca="1">_xll.DBRW($C$1,$C$2,$C$3,$C$4,$C$6,$C$5,$C$7,W$1,W$2,A80)</f>
        <v>-2.4519150000000003E-2</v>
      </c>
      <c r="X80" s="33">
        <f ca="1">_xll.DBRW($C$1,$C$2,$C$3,$C$4,$C$6,$C$5,$C$7,X$1,X$2,A80)</f>
        <v>-2.4076910000000003E-2</v>
      </c>
      <c r="Y80" s="33">
        <f ca="1">_xll.DBRW($C$1,$C$2,$C$3,$C$4,$C$6,$C$5,$C$7,Y$1,Y$2,A80)</f>
        <v>-2.4076910000000003E-2</v>
      </c>
      <c r="Z80" s="33">
        <f ca="1">_xll.DBRW($C$1,$C$2,$C$3,$C$4,$C$6,$C$5,$C$7,Z$1,Z$2,A80)</f>
        <v>0</v>
      </c>
      <c r="AA80" s="33">
        <f ca="1">_xll.DBRW($C$1,$C$2,$C$3,$C$4,$C$6,$C$5,$C$7,AA$1,AA$2,A80)</f>
        <v>0</v>
      </c>
      <c r="AB80" s="33">
        <f ca="1">_xll.DBRW($C$1,$C$2,$C$3,$C$4,$C$6,$C$5,$C$7,AB$1,AB$2,A80)</f>
        <v>0</v>
      </c>
      <c r="AC80" s="33">
        <f ca="1">_xll.DBRW($C$1,$C$2,$C$3,$C$4,$C$6,$C$5,$C$7,AC$1,AC$2,A80)</f>
        <v>0</v>
      </c>
      <c r="AD80" s="33">
        <f ca="1">_xll.DBRW($C$1,$C$2,$C$3,$C$4,$C$6,$C$5,$C$7,AD$1,AD$2,A80)</f>
        <v>0</v>
      </c>
      <c r="AE80" s="33">
        <f ca="1">_xll.DBRW($C$1,$C$2,$C$3,$C$4,$C$6,$C$5,$C$7,AE$1,AE$2,A80)</f>
        <v>0</v>
      </c>
      <c r="AF80" s="33">
        <f ca="1">_xll.DBRW($C$1,$C$2,$C$3,$C$4,$C$6,$C$5,$C$7,AF$1,AF$2,A80)</f>
        <v>0</v>
      </c>
      <c r="AG80" s="33">
        <f ca="1">_xll.DBRW($C$1,$C$2,$C$3,$C$4,$C$6,$C$5,$C$7,AG$1,AG$2,A80)</f>
        <v>0</v>
      </c>
      <c r="AH80" s="33">
        <f ca="1">_xll.DBRW($C$1,$C$2,$C$3,$C$4,$C$6,$C$5,$C$7,AH$1,AH$2,A80)</f>
        <v>0</v>
      </c>
      <c r="AI80" s="33">
        <f ca="1">_xll.DBRW($C$1,$C$2,$C$3,$C$4,$C$6,$C$5,$C$7,AI$1,AI$2,A80)</f>
        <v>0</v>
      </c>
      <c r="AJ80" s="33">
        <f ca="1">_xll.DBRW($C$1,$C$2,$C$3,$C$4,$C$6,$C$5,$C$7,AJ$1,AJ$2,A80)</f>
        <v>0</v>
      </c>
      <c r="AK80" s="33">
        <f ca="1">_xll.DBRW($C$1,$C$2,$C$3,$C$4,$C$6,$C$5,$C$7,AK$1,AK$2,A80)</f>
        <v>0</v>
      </c>
      <c r="AL80" s="33">
        <f ca="1">_xll.DBRW($C$1,$C$2,$C$3,$C$4,$C$6,$C$5,$C$7,AL$1,AL$2,A80)</f>
        <v>0</v>
      </c>
      <c r="AM80" s="33">
        <f ca="1">_xll.DBRW($C$1,$C$2,$C$3,$C$4,$C$6,$C$5,$C$7,AM$1,AM$2,A80)</f>
        <v>0</v>
      </c>
      <c r="AN80" s="33">
        <f ca="1">_xll.DBRW($C$1,$C$2,$C$3,$C$4,$C$6,$C$5,$C$7,AN$1,AN$2,A80)</f>
        <v>1.0499999999999999E-4</v>
      </c>
      <c r="AO80" s="33">
        <f ca="1">_xll.DBRW($C$1,$C$2,$C$3,$C$4,$C$6,$C$5,$C$7,AO$1,AO$2,A80)</f>
        <v>0</v>
      </c>
      <c r="AP80" s="33">
        <f ca="1">_xll.DBRW($C$1,$C$2,$C$3,$C$4,$C$6,$C$5,$C$7,AP$1,AP$2,A80)</f>
        <v>0</v>
      </c>
      <c r="AQ80" s="33">
        <f ca="1">_xll.DBRW($C$1,$C$2,$C$3,$C$4,$C$6,$C$5,$C$7,AQ$1,AQ$2,A80)</f>
        <v>0</v>
      </c>
      <c r="AR80" s="33">
        <f ca="1">_xll.DBRW($C$1,$C$2,$C$3,$C$4,$C$6,$C$5,$C$7,AR$1,AR$2,A80)</f>
        <v>0</v>
      </c>
      <c r="AS80" s="33">
        <f ca="1">_xll.DBRW($C$1,$C$2,$C$3,$C$4,$C$6,$C$5,$C$7,AS$1,AS$2,A80)</f>
        <v>0</v>
      </c>
      <c r="AT80" s="33">
        <f ca="1">_xll.DBRW($C$1,$C$2,$C$3,$C$4,$C$6,$C$5,$C$7,AT$1,AT$2,A80)</f>
        <v>0</v>
      </c>
      <c r="AU80" s="33">
        <f ca="1">_xll.DBRW($C$1,$C$2,$C$3,$C$4,$C$6,$C$5,$C$7,AU$1,AU$2,A80)</f>
        <v>0</v>
      </c>
      <c r="AV80" s="33">
        <f ca="1">_xll.DBRW($C$1,$C$2,$C$3,$C$4,$C$6,$C$5,$C$7,AV$1,AV$2,A80)</f>
        <v>0</v>
      </c>
      <c r="AW80" s="33">
        <f ca="1">_xll.DBRW($C$1,$C$2,$C$3,$C$4,$C$6,$C$5,$C$7,AW$1,AW$2,A80)</f>
        <v>0</v>
      </c>
      <c r="AX80" s="33">
        <f ca="1">_xll.DBRW($C$1,$C$2,$C$3,$C$4,$C$6,$C$5,$C$7,AX$1,AX$2,A80)</f>
        <v>0</v>
      </c>
      <c r="AY80" s="33">
        <f ca="1">_xll.DBRW($C$1,$C$2,$C$3,$C$4,$C$6,$C$5,$C$7,AY$1,AY$2,A80)</f>
        <v>0</v>
      </c>
    </row>
    <row r="81" spans="1:51" ht="15.75" hidden="1" customHeight="1" outlineLevel="2">
      <c r="A81" s="1" t="s">
        <v>184</v>
      </c>
      <c r="C81" s="104"/>
      <c r="E81" s="9" t="str">
        <f ca="1">_xll.DBRW(Server&amp;"}ElementAttributes_Indicator",A81,"code_English")</f>
        <v>PL1162_MF - COS - Gains/losses on disposal of right-of-use (MF)</v>
      </c>
      <c r="F81" s="33">
        <f ca="1">_xll.DBRW($C$1,$C$2,$C$3,$C$4,$C$6,$C$5,$C$7,F$1,F$2,A81)</f>
        <v>0</v>
      </c>
      <c r="G81" s="33">
        <f ca="1">_xll.DBRW($C$1,$C$2,$C$3,$C$4,$C$6,$C$5,$C$7,G$1,G$2,A81)</f>
        <v>0</v>
      </c>
      <c r="H81" s="33">
        <f ca="1">_xll.DBRW($C$1,$C$2,$C$3,$C$4,$C$6,$C$5,$C$7,H$1,H$2,A81)</f>
        <v>0</v>
      </c>
      <c r="I81" s="33">
        <f ca="1">_xll.DBRW($C$1,$C$2,$C$3,$C$4,$C$6,$C$5,$C$7,I$1,I$2,A81)</f>
        <v>0</v>
      </c>
      <c r="J81" s="33">
        <f ca="1">_xll.DBRW($C$1,$C$2,$C$3,$C$4,$C$6,$C$5,$C$7,J$1,J$2,A81)</f>
        <v>0</v>
      </c>
      <c r="K81" s="33">
        <f ca="1">_xll.DBRW($C$1,$C$2,$C$3,$C$4,$C$6,$C$5,$C$7,K$1,K$2,A81)</f>
        <v>0</v>
      </c>
      <c r="L81" s="33">
        <f ca="1">_xll.DBRW($C$1,$C$2,$C$3,$C$4,$C$6,$C$5,$C$7,L$1,L$2,A81)</f>
        <v>0</v>
      </c>
      <c r="M81" s="33">
        <f ca="1">_xll.DBRW($C$1,$C$2,$C$3,$C$4,$C$6,$C$5,$C$7,M$1,M$2,A81)</f>
        <v>0</v>
      </c>
      <c r="N81" s="33">
        <f ca="1">_xll.DBRW($C$1,$C$2,$C$3,$C$4,$C$6,$C$5,$C$7,N$1,N$2,A81)</f>
        <v>0</v>
      </c>
      <c r="O81" s="33">
        <f ca="1">_xll.DBRW($C$1,$C$2,$C$3,$C$4,$C$6,$C$5,$C$7,O$1,O$2,A81)</f>
        <v>0</v>
      </c>
      <c r="P81" s="33">
        <f ca="1">_xll.DBRW($C$1,$C$2,$C$3,$C$4,$C$6,$C$5,$C$7,P$1,P$2,A81)</f>
        <v>0</v>
      </c>
      <c r="Q81" s="33">
        <f ca="1">_xll.DBRW($C$1,$C$2,$C$3,$C$4,$C$6,$C$5,$C$7,Q$1,Q$2,A81)</f>
        <v>0</v>
      </c>
      <c r="R81" s="33">
        <f ca="1">_xll.DBRW($C$1,$C$2,$C$3,$C$4,$C$6,$C$5,$C$7,R$1,R$2,A81)</f>
        <v>0</v>
      </c>
      <c r="S81" s="33">
        <f ca="1">_xll.DBRW($C$1,$C$2,$C$3,$C$4,$C$6,$C$5,$C$7,S$1,S$2,A81)</f>
        <v>0</v>
      </c>
      <c r="T81" s="33">
        <f ca="1">_xll.DBRW($C$1,$C$2,$C$3,$C$4,$C$6,$C$5,$C$7,T$1,T$2,A81)</f>
        <v>0</v>
      </c>
      <c r="U81" s="33">
        <f ca="1">_xll.DBRW($C$1,$C$2,$C$3,$C$4,$C$6,$C$5,$C$7,U$1,U$2,A81)</f>
        <v>0</v>
      </c>
      <c r="V81" s="33">
        <f ca="1">_xll.DBRW($C$1,$C$2,$C$3,$C$4,$C$6,$C$5,$C$7,V$1,V$2,A81)</f>
        <v>0</v>
      </c>
      <c r="W81" s="33">
        <f ca="1">_xll.DBRW($C$1,$C$2,$C$3,$C$4,$C$6,$C$5,$C$7,W$1,W$2,A81)</f>
        <v>0</v>
      </c>
      <c r="X81" s="33">
        <f ca="1">_xll.DBRW($C$1,$C$2,$C$3,$C$4,$C$6,$C$5,$C$7,X$1,X$2,A81)</f>
        <v>0</v>
      </c>
      <c r="Y81" s="33">
        <f ca="1">_xll.DBRW($C$1,$C$2,$C$3,$C$4,$C$6,$C$5,$C$7,Y$1,Y$2,A81)</f>
        <v>0</v>
      </c>
      <c r="Z81" s="33">
        <f ca="1">_xll.DBRW($C$1,$C$2,$C$3,$C$4,$C$6,$C$5,$C$7,Z$1,Z$2,A81)</f>
        <v>0</v>
      </c>
      <c r="AA81" s="33">
        <f ca="1">_xll.DBRW($C$1,$C$2,$C$3,$C$4,$C$6,$C$5,$C$7,AA$1,AA$2,A81)</f>
        <v>0</v>
      </c>
      <c r="AB81" s="33">
        <f ca="1">_xll.DBRW($C$1,$C$2,$C$3,$C$4,$C$6,$C$5,$C$7,AB$1,AB$2,A81)</f>
        <v>0</v>
      </c>
      <c r="AC81" s="33">
        <f ca="1">_xll.DBRW($C$1,$C$2,$C$3,$C$4,$C$6,$C$5,$C$7,AC$1,AC$2,A81)</f>
        <v>0</v>
      </c>
      <c r="AD81" s="33">
        <f ca="1">_xll.DBRW($C$1,$C$2,$C$3,$C$4,$C$6,$C$5,$C$7,AD$1,AD$2,A81)</f>
        <v>0</v>
      </c>
      <c r="AE81" s="33">
        <f ca="1">_xll.DBRW($C$1,$C$2,$C$3,$C$4,$C$6,$C$5,$C$7,AE$1,AE$2,A81)</f>
        <v>0</v>
      </c>
      <c r="AF81" s="33">
        <f ca="1">_xll.DBRW($C$1,$C$2,$C$3,$C$4,$C$6,$C$5,$C$7,AF$1,AF$2,A81)</f>
        <v>0</v>
      </c>
      <c r="AG81" s="33">
        <f ca="1">_xll.DBRW($C$1,$C$2,$C$3,$C$4,$C$6,$C$5,$C$7,AG$1,AG$2,A81)</f>
        <v>0</v>
      </c>
      <c r="AH81" s="33">
        <f ca="1">_xll.DBRW($C$1,$C$2,$C$3,$C$4,$C$6,$C$5,$C$7,AH$1,AH$2,A81)</f>
        <v>0</v>
      </c>
      <c r="AI81" s="33">
        <f ca="1">_xll.DBRW($C$1,$C$2,$C$3,$C$4,$C$6,$C$5,$C$7,AI$1,AI$2,A81)</f>
        <v>0</v>
      </c>
      <c r="AJ81" s="33">
        <f ca="1">_xll.DBRW($C$1,$C$2,$C$3,$C$4,$C$6,$C$5,$C$7,AJ$1,AJ$2,A81)</f>
        <v>0</v>
      </c>
      <c r="AK81" s="33">
        <f ca="1">_xll.DBRW($C$1,$C$2,$C$3,$C$4,$C$6,$C$5,$C$7,AK$1,AK$2,A81)</f>
        <v>0</v>
      </c>
      <c r="AL81" s="33">
        <f ca="1">_xll.DBRW($C$1,$C$2,$C$3,$C$4,$C$6,$C$5,$C$7,AL$1,AL$2,A81)</f>
        <v>0</v>
      </c>
      <c r="AM81" s="33">
        <f ca="1">_xll.DBRW($C$1,$C$2,$C$3,$C$4,$C$6,$C$5,$C$7,AM$1,AM$2,A81)</f>
        <v>0</v>
      </c>
      <c r="AN81" s="33">
        <f ca="1">_xll.DBRW($C$1,$C$2,$C$3,$C$4,$C$6,$C$5,$C$7,AN$1,AN$2,A81)</f>
        <v>0</v>
      </c>
      <c r="AO81" s="33">
        <f ca="1">_xll.DBRW($C$1,$C$2,$C$3,$C$4,$C$6,$C$5,$C$7,AO$1,AO$2,A81)</f>
        <v>0</v>
      </c>
      <c r="AP81" s="33">
        <f ca="1">_xll.DBRW($C$1,$C$2,$C$3,$C$4,$C$6,$C$5,$C$7,AP$1,AP$2,A81)</f>
        <v>0</v>
      </c>
      <c r="AQ81" s="33">
        <f ca="1">_xll.DBRW($C$1,$C$2,$C$3,$C$4,$C$6,$C$5,$C$7,AQ$1,AQ$2,A81)</f>
        <v>0</v>
      </c>
      <c r="AR81" s="33">
        <f ca="1">_xll.DBRW($C$1,$C$2,$C$3,$C$4,$C$6,$C$5,$C$7,AR$1,AR$2,A81)</f>
        <v>0</v>
      </c>
      <c r="AS81" s="33">
        <f ca="1">_xll.DBRW($C$1,$C$2,$C$3,$C$4,$C$6,$C$5,$C$7,AS$1,AS$2,A81)</f>
        <v>0</v>
      </c>
      <c r="AT81" s="33">
        <f ca="1">_xll.DBRW($C$1,$C$2,$C$3,$C$4,$C$6,$C$5,$C$7,AT$1,AT$2,A81)</f>
        <v>0</v>
      </c>
      <c r="AU81" s="33">
        <f ca="1">_xll.DBRW($C$1,$C$2,$C$3,$C$4,$C$6,$C$5,$C$7,AU$1,AU$2,A81)</f>
        <v>0</v>
      </c>
      <c r="AV81" s="33">
        <f ca="1">_xll.DBRW($C$1,$C$2,$C$3,$C$4,$C$6,$C$5,$C$7,AV$1,AV$2,A81)</f>
        <v>0</v>
      </c>
      <c r="AW81" s="33">
        <f ca="1">_xll.DBRW($C$1,$C$2,$C$3,$C$4,$C$6,$C$5,$C$7,AW$1,AW$2,A81)</f>
        <v>0</v>
      </c>
      <c r="AX81" s="33">
        <f ca="1">_xll.DBRW($C$1,$C$2,$C$3,$C$4,$C$6,$C$5,$C$7,AX$1,AX$2,A81)</f>
        <v>0</v>
      </c>
      <c r="AY81" s="33">
        <f ca="1">_xll.DBRW($C$1,$C$2,$C$3,$C$4,$C$6,$C$5,$C$7,AY$1,AY$2,A81)</f>
        <v>0</v>
      </c>
    </row>
    <row r="82" spans="1:51" ht="15.75" hidden="1" customHeight="1" outlineLevel="2">
      <c r="A82" s="1" t="s">
        <v>185</v>
      </c>
      <c r="C82" s="104"/>
      <c r="E82" s="9" t="str">
        <f ca="1">_xll.DBRW(Server&amp;"}ElementAttributes_Indicator",A82,"code_English")</f>
        <v>PL1162_ST - COS - Gains/losses on disposal of right-of-use (ST)</v>
      </c>
      <c r="F82" s="33">
        <f ca="1">_xll.DBRW($C$1,$C$2,$C$3,$C$4,$C$6,$C$5,$C$7,F$1,F$2,A82)</f>
        <v>0</v>
      </c>
      <c r="G82" s="33">
        <f ca="1">_xll.DBRW($C$1,$C$2,$C$3,$C$4,$C$6,$C$5,$C$7,G$1,G$2,A82)</f>
        <v>0</v>
      </c>
      <c r="H82" s="33">
        <f ca="1">_xll.DBRW($C$1,$C$2,$C$3,$C$4,$C$6,$C$5,$C$7,H$1,H$2,A82)</f>
        <v>0</v>
      </c>
      <c r="I82" s="33">
        <f ca="1">_xll.DBRW($C$1,$C$2,$C$3,$C$4,$C$6,$C$5,$C$7,I$1,I$2,A82)</f>
        <v>0</v>
      </c>
      <c r="J82" s="33">
        <f ca="1">_xll.DBRW($C$1,$C$2,$C$3,$C$4,$C$6,$C$5,$C$7,J$1,J$2,A82)</f>
        <v>0</v>
      </c>
      <c r="K82" s="33">
        <f ca="1">_xll.DBRW($C$1,$C$2,$C$3,$C$4,$C$6,$C$5,$C$7,K$1,K$2,A82)</f>
        <v>0</v>
      </c>
      <c r="L82" s="33">
        <f ca="1">_xll.DBRW($C$1,$C$2,$C$3,$C$4,$C$6,$C$5,$C$7,L$1,L$2,A82)</f>
        <v>0</v>
      </c>
      <c r="M82" s="33">
        <f ca="1">_xll.DBRW($C$1,$C$2,$C$3,$C$4,$C$6,$C$5,$C$7,M$1,M$2,A82)</f>
        <v>0</v>
      </c>
      <c r="N82" s="33">
        <f ca="1">_xll.DBRW($C$1,$C$2,$C$3,$C$4,$C$6,$C$5,$C$7,N$1,N$2,A82)</f>
        <v>0</v>
      </c>
      <c r="O82" s="33">
        <f ca="1">_xll.DBRW($C$1,$C$2,$C$3,$C$4,$C$6,$C$5,$C$7,O$1,O$2,A82)</f>
        <v>0</v>
      </c>
      <c r="P82" s="33">
        <f ca="1">_xll.DBRW($C$1,$C$2,$C$3,$C$4,$C$6,$C$5,$C$7,P$1,P$2,A82)</f>
        <v>0</v>
      </c>
      <c r="Q82" s="33">
        <f ca="1">_xll.DBRW($C$1,$C$2,$C$3,$C$4,$C$6,$C$5,$C$7,Q$1,Q$2,A82)</f>
        <v>0</v>
      </c>
      <c r="R82" s="33">
        <f ca="1">_xll.DBRW($C$1,$C$2,$C$3,$C$4,$C$6,$C$5,$C$7,R$1,R$2,A82)</f>
        <v>0</v>
      </c>
      <c r="S82" s="33">
        <f ca="1">_xll.DBRW($C$1,$C$2,$C$3,$C$4,$C$6,$C$5,$C$7,S$1,S$2,A82)</f>
        <v>0</v>
      </c>
      <c r="T82" s="33">
        <f ca="1">_xll.DBRW($C$1,$C$2,$C$3,$C$4,$C$6,$C$5,$C$7,T$1,T$2,A82)</f>
        <v>0</v>
      </c>
      <c r="U82" s="33">
        <f ca="1">_xll.DBRW($C$1,$C$2,$C$3,$C$4,$C$6,$C$5,$C$7,U$1,U$2,A82)</f>
        <v>0</v>
      </c>
      <c r="V82" s="33">
        <f ca="1">_xll.DBRW($C$1,$C$2,$C$3,$C$4,$C$6,$C$5,$C$7,V$1,V$2,A82)</f>
        <v>0</v>
      </c>
      <c r="W82" s="33">
        <f ca="1">_xll.DBRW($C$1,$C$2,$C$3,$C$4,$C$6,$C$5,$C$7,W$1,W$2,A82)</f>
        <v>0</v>
      </c>
      <c r="X82" s="33">
        <f ca="1">_xll.DBRW($C$1,$C$2,$C$3,$C$4,$C$6,$C$5,$C$7,X$1,X$2,A82)</f>
        <v>0</v>
      </c>
      <c r="Y82" s="33">
        <f ca="1">_xll.DBRW($C$1,$C$2,$C$3,$C$4,$C$6,$C$5,$C$7,Y$1,Y$2,A82)</f>
        <v>0</v>
      </c>
      <c r="Z82" s="33">
        <f ca="1">_xll.DBRW($C$1,$C$2,$C$3,$C$4,$C$6,$C$5,$C$7,Z$1,Z$2,A82)</f>
        <v>0</v>
      </c>
      <c r="AA82" s="33">
        <f ca="1">_xll.DBRW($C$1,$C$2,$C$3,$C$4,$C$6,$C$5,$C$7,AA$1,AA$2,A82)</f>
        <v>0</v>
      </c>
      <c r="AB82" s="33">
        <f ca="1">_xll.DBRW($C$1,$C$2,$C$3,$C$4,$C$6,$C$5,$C$7,AB$1,AB$2,A82)</f>
        <v>0</v>
      </c>
      <c r="AC82" s="33">
        <f ca="1">_xll.DBRW($C$1,$C$2,$C$3,$C$4,$C$6,$C$5,$C$7,AC$1,AC$2,A82)</f>
        <v>0</v>
      </c>
      <c r="AD82" s="33">
        <f ca="1">_xll.DBRW($C$1,$C$2,$C$3,$C$4,$C$6,$C$5,$C$7,AD$1,AD$2,A82)</f>
        <v>0</v>
      </c>
      <c r="AE82" s="33">
        <f ca="1">_xll.DBRW($C$1,$C$2,$C$3,$C$4,$C$6,$C$5,$C$7,AE$1,AE$2,A82)</f>
        <v>0</v>
      </c>
      <c r="AF82" s="33">
        <f ca="1">_xll.DBRW($C$1,$C$2,$C$3,$C$4,$C$6,$C$5,$C$7,AF$1,AF$2,A82)</f>
        <v>0</v>
      </c>
      <c r="AG82" s="33">
        <f ca="1">_xll.DBRW($C$1,$C$2,$C$3,$C$4,$C$6,$C$5,$C$7,AG$1,AG$2,A82)</f>
        <v>0</v>
      </c>
      <c r="AH82" s="33">
        <f ca="1">_xll.DBRW($C$1,$C$2,$C$3,$C$4,$C$6,$C$5,$C$7,AH$1,AH$2,A82)</f>
        <v>0</v>
      </c>
      <c r="AI82" s="33">
        <f ca="1">_xll.DBRW($C$1,$C$2,$C$3,$C$4,$C$6,$C$5,$C$7,AI$1,AI$2,A82)</f>
        <v>0</v>
      </c>
      <c r="AJ82" s="33">
        <f ca="1">_xll.DBRW($C$1,$C$2,$C$3,$C$4,$C$6,$C$5,$C$7,AJ$1,AJ$2,A82)</f>
        <v>0</v>
      </c>
      <c r="AK82" s="33">
        <f ca="1">_xll.DBRW($C$1,$C$2,$C$3,$C$4,$C$6,$C$5,$C$7,AK$1,AK$2,A82)</f>
        <v>0</v>
      </c>
      <c r="AL82" s="33">
        <f ca="1">_xll.DBRW($C$1,$C$2,$C$3,$C$4,$C$6,$C$5,$C$7,AL$1,AL$2,A82)</f>
        <v>0</v>
      </c>
      <c r="AM82" s="33">
        <f ca="1">_xll.DBRW($C$1,$C$2,$C$3,$C$4,$C$6,$C$5,$C$7,AM$1,AM$2,A82)</f>
        <v>0</v>
      </c>
      <c r="AN82" s="33">
        <f ca="1">_xll.DBRW($C$1,$C$2,$C$3,$C$4,$C$6,$C$5,$C$7,AN$1,AN$2,A82)</f>
        <v>0</v>
      </c>
      <c r="AO82" s="33">
        <f ca="1">_xll.DBRW($C$1,$C$2,$C$3,$C$4,$C$6,$C$5,$C$7,AO$1,AO$2,A82)</f>
        <v>0</v>
      </c>
      <c r="AP82" s="33">
        <f ca="1">_xll.DBRW($C$1,$C$2,$C$3,$C$4,$C$6,$C$5,$C$7,AP$1,AP$2,A82)</f>
        <v>0</v>
      </c>
      <c r="AQ82" s="33">
        <f ca="1">_xll.DBRW($C$1,$C$2,$C$3,$C$4,$C$6,$C$5,$C$7,AQ$1,AQ$2,A82)</f>
        <v>0</v>
      </c>
      <c r="AR82" s="33">
        <f ca="1">_xll.DBRW($C$1,$C$2,$C$3,$C$4,$C$6,$C$5,$C$7,AR$1,AR$2,A82)</f>
        <v>0</v>
      </c>
      <c r="AS82" s="33">
        <f ca="1">_xll.DBRW($C$1,$C$2,$C$3,$C$4,$C$6,$C$5,$C$7,AS$1,AS$2,A82)</f>
        <v>0</v>
      </c>
      <c r="AT82" s="33">
        <f ca="1">_xll.DBRW($C$1,$C$2,$C$3,$C$4,$C$6,$C$5,$C$7,AT$1,AT$2,A82)</f>
        <v>0</v>
      </c>
      <c r="AU82" s="33">
        <f ca="1">_xll.DBRW($C$1,$C$2,$C$3,$C$4,$C$6,$C$5,$C$7,AU$1,AU$2,A82)</f>
        <v>0</v>
      </c>
      <c r="AV82" s="33">
        <f ca="1">_xll.DBRW($C$1,$C$2,$C$3,$C$4,$C$6,$C$5,$C$7,AV$1,AV$2,A82)</f>
        <v>0</v>
      </c>
      <c r="AW82" s="33">
        <f ca="1">_xll.DBRW($C$1,$C$2,$C$3,$C$4,$C$6,$C$5,$C$7,AW$1,AW$2,A82)</f>
        <v>0</v>
      </c>
      <c r="AX82" s="33">
        <f ca="1">_xll.DBRW($C$1,$C$2,$C$3,$C$4,$C$6,$C$5,$C$7,AX$1,AX$2,A82)</f>
        <v>0</v>
      </c>
      <c r="AY82" s="33">
        <f ca="1">_xll.DBRW($C$1,$C$2,$C$3,$C$4,$C$6,$C$5,$C$7,AY$1,AY$2,A82)</f>
        <v>0</v>
      </c>
    </row>
    <row r="83" spans="1:51" ht="15.5" hidden="1" outlineLevel="1" collapsed="1">
      <c r="A83" s="1" t="s">
        <v>142</v>
      </c>
      <c r="C83" s="104"/>
      <c r="E83" s="14" t="s">
        <v>29</v>
      </c>
      <c r="F83" s="33">
        <f ca="1">SUM(F60:F82)</f>
        <v>-526.08900827423815</v>
      </c>
      <c r="G83" s="33">
        <f t="shared" ref="G83:L83" ca="1" si="47">SUM(G60:G82)</f>
        <v>-458.60304550195514</v>
      </c>
      <c r="H83" s="33">
        <f t="shared" ca="1" si="47"/>
        <v>-458.50896586417969</v>
      </c>
      <c r="I83" s="33">
        <f t="shared" ca="1" si="47"/>
        <v>-439.70163252423436</v>
      </c>
      <c r="J83" s="33">
        <f t="shared" ca="1" si="47"/>
        <v>-499.23056893997472</v>
      </c>
      <c r="K83" s="33">
        <f t="shared" ca="1" si="47"/>
        <v>-569.10051493646381</v>
      </c>
      <c r="L83" s="33">
        <f t="shared" ca="1" si="47"/>
        <v>-569.43561536522691</v>
      </c>
      <c r="M83" s="33">
        <f t="shared" ref="M83:X83" ca="1" si="48">SUM(M60:M82)</f>
        <v>-20.041542034170828</v>
      </c>
      <c r="N83" s="33">
        <f t="shared" ca="1" si="48"/>
        <v>-97.428988385951399</v>
      </c>
      <c r="O83" s="33">
        <f t="shared" ca="1" si="48"/>
        <v>-157.08006326255401</v>
      </c>
      <c r="P83" s="33">
        <f t="shared" ca="1" si="48"/>
        <v>-206.61367861236809</v>
      </c>
      <c r="Q83" s="33">
        <f t="shared" ca="1" si="48"/>
        <v>-267.54916914722105</v>
      </c>
      <c r="R83" s="33">
        <f t="shared" ca="1" si="48"/>
        <v>-323.97905754891264</v>
      </c>
      <c r="S83" s="33">
        <f t="shared" ca="1" si="48"/>
        <v>-188.31366045380074</v>
      </c>
      <c r="T83" s="33">
        <f t="shared" ca="1" si="48"/>
        <v>-422.80077716078733</v>
      </c>
      <c r="U83" s="33">
        <f t="shared" ca="1" si="48"/>
        <v>-488.18691716484943</v>
      </c>
      <c r="V83" s="33">
        <f t="shared" ca="1" si="48"/>
        <v>-267.8882155276371</v>
      </c>
      <c r="W83" s="33">
        <f t="shared" ca="1" si="48"/>
        <v>-510.71753707737219</v>
      </c>
      <c r="X83" s="33">
        <f t="shared" ca="1" si="48"/>
        <v>-663.38054209011682</v>
      </c>
      <c r="Y83" s="33">
        <f ca="1">SUM(Y60:Y82)</f>
        <v>-663.38054209011682</v>
      </c>
      <c r="Z83" s="33">
        <f t="shared" ref="Z83:AK83" ca="1" si="49">SUM(Z60:Z82)</f>
        <v>-48.337023046056991</v>
      </c>
      <c r="AA83" s="33">
        <f t="shared" ca="1" si="49"/>
        <v>-109.50623577342886</v>
      </c>
      <c r="AB83" s="33">
        <f t="shared" ca="1" si="49"/>
        <v>-169.87445588323777</v>
      </c>
      <c r="AC83" s="33">
        <f t="shared" ca="1" si="49"/>
        <v>-222.27960392919843</v>
      </c>
      <c r="AD83" s="33">
        <f t="shared" ca="1" si="49"/>
        <v>-278.98631530403031</v>
      </c>
      <c r="AE83" s="33">
        <f t="shared" ca="1" si="49"/>
        <v>-337.27980731065662</v>
      </c>
      <c r="AF83" s="33">
        <f t="shared" ca="1" si="49"/>
        <v>-387.49204372738239</v>
      </c>
      <c r="AG83" s="33">
        <f t="shared" ca="1" si="49"/>
        <v>-437.81128300786605</v>
      </c>
      <c r="AH83" s="33">
        <f t="shared" ca="1" si="49"/>
        <v>-495.71168940958148</v>
      </c>
      <c r="AI83" s="33">
        <f t="shared" ca="1" si="49"/>
        <v>-549.54242116397268</v>
      </c>
      <c r="AJ83" s="33">
        <f t="shared" ca="1" si="49"/>
        <v>-605.66382840912161</v>
      </c>
      <c r="AK83" s="33">
        <f t="shared" ca="1" si="49"/>
        <v>-658.9277331033278</v>
      </c>
      <c r="AL83" s="33">
        <f ca="1">SUM(AL60:AL82)</f>
        <v>-658.9277331033278</v>
      </c>
      <c r="AM83" s="33">
        <f t="shared" ref="AM83:AX83" ca="1" si="50">SUM(AM60:AM82)</f>
        <v>-25.497465988738323</v>
      </c>
      <c r="AN83" s="33">
        <f t="shared" ca="1" si="50"/>
        <v>-114.60444460076305</v>
      </c>
      <c r="AO83" s="33">
        <f t="shared" ca="1" si="50"/>
        <v>-1.7916224059888464E-14</v>
      </c>
      <c r="AP83" s="33">
        <f t="shared" ca="1" si="50"/>
        <v>-1.7916224059888464E-14</v>
      </c>
      <c r="AQ83" s="33">
        <f t="shared" ca="1" si="50"/>
        <v>-1.7916224059888464E-14</v>
      </c>
      <c r="AR83" s="33">
        <f t="shared" ca="1" si="50"/>
        <v>-1.7916224059888464E-14</v>
      </c>
      <c r="AS83" s="33">
        <f t="shared" ca="1" si="50"/>
        <v>-1.7916224059888464E-14</v>
      </c>
      <c r="AT83" s="33">
        <f t="shared" ca="1" si="50"/>
        <v>-1.7916224059888464E-14</v>
      </c>
      <c r="AU83" s="33">
        <f t="shared" ca="1" si="50"/>
        <v>-1.7916224059888464E-14</v>
      </c>
      <c r="AV83" s="33">
        <f t="shared" ca="1" si="50"/>
        <v>-1.7916224059888464E-14</v>
      </c>
      <c r="AW83" s="33">
        <f t="shared" ca="1" si="50"/>
        <v>-1.7916224059888464E-14</v>
      </c>
      <c r="AX83" s="33">
        <f t="shared" ca="1" si="50"/>
        <v>-1.7916224059888464E-14</v>
      </c>
      <c r="AY83" s="33">
        <f ca="1">SUM(AY60:AY82)</f>
        <v>-1.7916224059888464E-14</v>
      </c>
    </row>
    <row r="84" spans="1:51" ht="15.5" collapsed="1">
      <c r="A84" s="1" t="s">
        <v>142</v>
      </c>
      <c r="C84" s="104"/>
      <c r="E84" s="11" t="s">
        <v>30</v>
      </c>
      <c r="F84" s="35">
        <f t="shared" ref="F84:L84" ca="1" si="51">F83+F59+F57+F55+F53+F51+F48</f>
        <v>-1161.6088405797029</v>
      </c>
      <c r="G84" s="35">
        <f t="shared" ca="1" si="51"/>
        <v>-1073.8772993259454</v>
      </c>
      <c r="H84" s="35">
        <f t="shared" ca="1" si="51"/>
        <v>-1085.7685533869646</v>
      </c>
      <c r="I84" s="35">
        <f t="shared" ca="1" si="51"/>
        <v>-996.82301368890205</v>
      </c>
      <c r="J84" s="35">
        <f t="shared" ca="1" si="51"/>
        <v>-1122.0021754569102</v>
      </c>
      <c r="K84" s="35">
        <f t="shared" ca="1" si="51"/>
        <v>-1198.6365533851529</v>
      </c>
      <c r="L84" s="35">
        <f t="shared" ca="1" si="51"/>
        <v>-1154.7227174513234</v>
      </c>
      <c r="M84" s="35">
        <f t="shared" ref="M84:X84" ca="1" si="52">M83+M59+M57+M55+M53+M51+M48</f>
        <v>-46.91832774802775</v>
      </c>
      <c r="N84" s="35">
        <f t="shared" ca="1" si="52"/>
        <v>-197.03751343376811</v>
      </c>
      <c r="O84" s="35">
        <f t="shared" ca="1" si="52"/>
        <v>-311.52588059217084</v>
      </c>
      <c r="P84" s="35">
        <f t="shared" ca="1" si="52"/>
        <v>-412.19460445515944</v>
      </c>
      <c r="Q84" s="35">
        <f t="shared" ca="1" si="52"/>
        <v>-522.07959832134441</v>
      </c>
      <c r="R84" s="35">
        <f t="shared" ca="1" si="52"/>
        <v>-643.77201890189599</v>
      </c>
      <c r="S84" s="35">
        <f t="shared" ca="1" si="52"/>
        <v>-381.94613138146792</v>
      </c>
      <c r="T84" s="35">
        <f t="shared" ca="1" si="52"/>
        <v>-842.10268030843724</v>
      </c>
      <c r="U84" s="35">
        <f t="shared" ca="1" si="52"/>
        <v>-963.19158022005388</v>
      </c>
      <c r="V84" s="35">
        <f t="shared" ca="1" si="52"/>
        <v>-570.9026693522668</v>
      </c>
      <c r="W84" s="35">
        <f t="shared" ca="1" si="52"/>
        <v>-1066.800226739628</v>
      </c>
      <c r="X84" s="35">
        <f t="shared" ca="1" si="52"/>
        <v>-1328.4406210144552</v>
      </c>
      <c r="Y84" s="35">
        <f ca="1">Y83+Y59+Y57+Y55+Y53+Y51+Y48</f>
        <v>-1328.4406210144552</v>
      </c>
      <c r="Z84" s="35">
        <f t="shared" ref="Z84:AK84" ca="1" si="53">Z83+Z59+Z57+Z55+Z53+Z51+Z48</f>
        <v>-99.459221888320101</v>
      </c>
      <c r="AA84" s="35">
        <f t="shared" ca="1" si="53"/>
        <v>-217.50368651733635</v>
      </c>
      <c r="AB84" s="35">
        <f t="shared" ca="1" si="53"/>
        <v>-334.8952078240236</v>
      </c>
      <c r="AC84" s="35">
        <f t="shared" ca="1" si="53"/>
        <v>-440.12181525558918</v>
      </c>
      <c r="AD84" s="35">
        <f t="shared" ca="1" si="53"/>
        <v>-551.8509146285669</v>
      </c>
      <c r="AE84" s="35">
        <f t="shared" ca="1" si="53"/>
        <v>-665.06814296546804</v>
      </c>
      <c r="AF84" s="35">
        <f t="shared" ca="1" si="53"/>
        <v>-767.72837282840385</v>
      </c>
      <c r="AG84" s="35">
        <f t="shared" ca="1" si="53"/>
        <v>-868.45835732513808</v>
      </c>
      <c r="AH84" s="35">
        <f t="shared" ca="1" si="53"/>
        <v>-979.15924993963415</v>
      </c>
      <c r="AI84" s="35">
        <f t="shared" ca="1" si="53"/>
        <v>-1086.5083340888846</v>
      </c>
      <c r="AJ84" s="35">
        <f t="shared" ca="1" si="53"/>
        <v>-1195.756761821084</v>
      </c>
      <c r="AK84" s="35">
        <f t="shared" ca="1" si="53"/>
        <v>-1301.9468378074973</v>
      </c>
      <c r="AL84" s="35">
        <f ca="1">AL83+AL59+AL57+AL55+AL53+AL51+AL48</f>
        <v>-1301.9468378074973</v>
      </c>
      <c r="AM84" s="35">
        <f t="shared" ref="AM84:AX84" ca="1" si="54">AM83+AM59+AM57+AM55+AM53+AM51+AM48</f>
        <v>-65.893883685517977</v>
      </c>
      <c r="AN84" s="35">
        <f t="shared" ca="1" si="54"/>
        <v>-230.04326527789669</v>
      </c>
      <c r="AO84" s="35">
        <f t="shared" ca="1" si="54"/>
        <v>-1.1143863609675009E-14</v>
      </c>
      <c r="AP84" s="35">
        <f t="shared" ca="1" si="54"/>
        <v>-1.1143863609675009E-14</v>
      </c>
      <c r="AQ84" s="35">
        <f t="shared" ca="1" si="54"/>
        <v>-1.1143863609675009E-14</v>
      </c>
      <c r="AR84" s="35">
        <f t="shared" ca="1" si="54"/>
        <v>-1.1143863609675009E-14</v>
      </c>
      <c r="AS84" s="35">
        <f t="shared" ca="1" si="54"/>
        <v>-1.1143863609675009E-14</v>
      </c>
      <c r="AT84" s="35">
        <f t="shared" ca="1" si="54"/>
        <v>-1.1143863609675009E-14</v>
      </c>
      <c r="AU84" s="35">
        <f t="shared" ca="1" si="54"/>
        <v>-1.1143863609675009E-14</v>
      </c>
      <c r="AV84" s="35">
        <f t="shared" ca="1" si="54"/>
        <v>-1.1143863609675009E-14</v>
      </c>
      <c r="AW84" s="35">
        <f t="shared" ca="1" si="54"/>
        <v>-1.1143863609675009E-14</v>
      </c>
      <c r="AX84" s="35">
        <f t="shared" ca="1" si="54"/>
        <v>-1.1143863609675009E-14</v>
      </c>
      <c r="AY84" s="35">
        <f ca="1">AY83+AY59+AY57+AY55+AY53+AY51+AY48</f>
        <v>-1.1143863609675009E-14</v>
      </c>
    </row>
    <row r="85" spans="1:51" ht="15.75" hidden="1" customHeight="1" outlineLevel="1">
      <c r="A85" s="1" t="s">
        <v>186</v>
      </c>
      <c r="C85" s="104"/>
      <c r="E85" s="9" t="str">
        <f ca="1">_xll.DBRW(Server&amp;"}ElementAttributes_Indicator",A85,"code_English")</f>
        <v>PL1115_ET_83 - Electricity</v>
      </c>
      <c r="F85" s="32">
        <f ca="1">_xll.DBRW($C$1,$C$2,$C$3,$C$4,$C$6,$C$5,$C$7,F$1,F$2,A85)</f>
        <v>-35.741897727119024</v>
      </c>
      <c r="G85" s="32">
        <f ca="1">_xll.DBRW($C$1,$C$2,$C$3,$C$4,$C$6,$C$5,$C$7,G$1,G$2,A85)</f>
        <v>-34.294880990818527</v>
      </c>
      <c r="H85" s="32">
        <f ca="1">_xll.DBRW($C$1,$C$2,$C$3,$C$4,$C$6,$C$5,$C$7,H$1,H$2,A85)</f>
        <v>-37.355591679342076</v>
      </c>
      <c r="I85" s="32">
        <f ca="1">_xll.DBRW($C$1,$C$2,$C$3,$C$4,$C$6,$C$5,$C$7,I$1,I$2,A85)</f>
        <v>-20.226991008543614</v>
      </c>
      <c r="J85" s="32">
        <f ca="1">_xll.DBRW($C$1,$C$2,$C$3,$C$4,$C$6,$C$5,$C$7,J$1,J$2,A85)</f>
        <v>-39.410161477730824</v>
      </c>
      <c r="K85" s="32">
        <f ca="1">_xll.DBRW($C$1,$C$2,$C$3,$C$4,$C$6,$C$5,$C$7,K$1,K$2,A85)</f>
        <v>-38.99840721659448</v>
      </c>
      <c r="L85" s="32">
        <f ca="1">_xll.DBRW($C$1,$C$2,$C$3,$C$4,$C$6,$C$5,$C$7,L$1,L$2,A85)</f>
        <v>-56.767962372138989</v>
      </c>
      <c r="M85" s="32">
        <f ca="1">_xll.DBRW($C$1,$C$2,$C$3,$C$4,$C$6,$C$5,$C$7,M$1,M$2,A85)</f>
        <v>-2.3243353826029325</v>
      </c>
      <c r="N85" s="32">
        <f ca="1">_xll.DBRW($C$1,$C$2,$C$3,$C$4,$C$6,$C$5,$C$7,N$1,N$2,A85)</f>
        <v>-18.019177318873972</v>
      </c>
      <c r="O85" s="32">
        <f ca="1">_xll.DBRW($C$1,$C$2,$C$3,$C$4,$C$6,$C$5,$C$7,O$1,O$2,A85)</f>
        <v>-27.704618711007782</v>
      </c>
      <c r="P85" s="32">
        <f ca="1">_xll.DBRW($C$1,$C$2,$C$3,$C$4,$C$6,$C$5,$C$7,P$1,P$2,A85)</f>
        <v>-34.524597462104531</v>
      </c>
      <c r="Q85" s="32">
        <f ca="1">_xll.DBRW($C$1,$C$2,$C$3,$C$4,$C$6,$C$5,$C$7,Q$1,Q$2,A85)</f>
        <v>-40.682368844886213</v>
      </c>
      <c r="R85" s="32">
        <f ca="1">_xll.DBRW($C$1,$C$2,$C$3,$C$4,$C$6,$C$5,$C$7,R$1,R$2,A85)</f>
        <v>-46.786746362235448</v>
      </c>
      <c r="S85" s="32">
        <f ca="1">_xll.DBRW($C$1,$C$2,$C$3,$C$4,$C$6,$C$5,$C$7,S$1,S$2,A85)</f>
        <v>-15.140653467152614</v>
      </c>
      <c r="T85" s="32">
        <f ca="1">_xll.DBRW($C$1,$C$2,$C$3,$C$4,$C$6,$C$5,$C$7,T$1,T$2,A85)</f>
        <v>-67.895102867615705</v>
      </c>
      <c r="U85" s="32">
        <f ca="1">_xll.DBRW($C$1,$C$2,$C$3,$C$4,$C$6,$C$5,$C$7,U$1,U$2,A85)</f>
        <v>-79.892757292824598</v>
      </c>
      <c r="V85" s="32">
        <f ca="1">_xll.DBRW($C$1,$C$2,$C$3,$C$4,$C$6,$C$5,$C$7,V$1,V$2,A85)</f>
        <v>-22.070935634911446</v>
      </c>
      <c r="W85" s="32">
        <f ca="1">_xll.DBRW($C$1,$C$2,$C$3,$C$4,$C$6,$C$5,$C$7,W$1,W$2,A85)</f>
        <v>-85.856221155387857</v>
      </c>
      <c r="X85" s="32">
        <f ca="1">_xll.DBRW($C$1,$C$2,$C$3,$C$4,$C$6,$C$5,$C$7,X$1,X$2,A85)</f>
        <v>-102.39025884931061</v>
      </c>
      <c r="Y85" s="32">
        <f ca="1">_xll.DBRW($C$1,$C$2,$C$3,$C$4,$C$6,$C$5,$C$7,Y$1,Y$2,A85)</f>
        <v>-102.39025884931061</v>
      </c>
      <c r="Z85" s="32">
        <f ca="1">_xll.DBRW($C$1,$C$2,$C$3,$C$4,$C$6,$C$5,$C$7,Z$1,Z$2,A85)</f>
        <v>-11.115098310798325</v>
      </c>
      <c r="AA85" s="32">
        <f ca="1">_xll.DBRW($C$1,$C$2,$C$3,$C$4,$C$6,$C$5,$C$7,AA$1,AA$2,A85)</f>
        <v>-22.134106643037001</v>
      </c>
      <c r="AB85" s="32">
        <f ca="1">_xll.DBRW($C$1,$C$2,$C$3,$C$4,$C$6,$C$5,$C$7,AB$1,AB$2,A85)</f>
        <v>-34.167023975642266</v>
      </c>
      <c r="AC85" s="32">
        <f ca="1">_xll.DBRW($C$1,$C$2,$C$3,$C$4,$C$6,$C$5,$C$7,AC$1,AC$2,A85)</f>
        <v>-44.551925944717091</v>
      </c>
      <c r="AD85" s="32">
        <f ca="1">_xll.DBRW($C$1,$C$2,$C$3,$C$4,$C$6,$C$5,$C$7,AD$1,AD$2,A85)</f>
        <v>-55.00068443776027</v>
      </c>
      <c r="AE85" s="32">
        <f ca="1">_xll.DBRW($C$1,$C$2,$C$3,$C$4,$C$6,$C$5,$C$7,AE$1,AE$2,A85)</f>
        <v>-65.234139572149616</v>
      </c>
      <c r="AF85" s="32">
        <f ca="1">_xll.DBRW($C$1,$C$2,$C$3,$C$4,$C$6,$C$5,$C$7,AF$1,AF$2,A85)</f>
        <v>-75.277194757952714</v>
      </c>
      <c r="AG85" s="32">
        <f ca="1">_xll.DBRW($C$1,$C$2,$C$3,$C$4,$C$6,$C$5,$C$7,AG$1,AG$2,A85)</f>
        <v>-85.576310079809744</v>
      </c>
      <c r="AH85" s="32">
        <f ca="1">_xll.DBRW($C$1,$C$2,$C$3,$C$4,$C$6,$C$5,$C$7,AH$1,AH$2,A85)</f>
        <v>-96.057995213143272</v>
      </c>
      <c r="AI85" s="32">
        <f ca="1">_xll.DBRW($C$1,$C$2,$C$3,$C$4,$C$6,$C$5,$C$7,AI$1,AI$2,A85)</f>
        <v>-106.87901930698695</v>
      </c>
      <c r="AJ85" s="32">
        <f ca="1">_xll.DBRW($C$1,$C$2,$C$3,$C$4,$C$6,$C$5,$C$7,AJ$1,AJ$2,A85)</f>
        <v>-117.92909251974086</v>
      </c>
      <c r="AK85" s="32">
        <f ca="1">_xll.DBRW($C$1,$C$2,$C$3,$C$4,$C$6,$C$5,$C$7,AK$1,AK$2,A85)</f>
        <v>-132.08646254263925</v>
      </c>
      <c r="AL85" s="32">
        <f ca="1">_xll.DBRW($C$1,$C$2,$C$3,$C$4,$C$6,$C$5,$C$7,AL$1,AL$2,A85)</f>
        <v>-132.08646254263925</v>
      </c>
      <c r="AM85" s="32">
        <f ca="1">_xll.DBRW($C$1,$C$2,$C$3,$C$4,$C$6,$C$5,$C$7,AM$1,AM$2,A85)</f>
        <v>-2.9726695240728924</v>
      </c>
      <c r="AN85" s="32">
        <f ca="1">_xll.DBRW($C$1,$C$2,$C$3,$C$4,$C$6,$C$5,$C$7,AN$1,AN$2,A85)</f>
        <v>-16.301869076956727</v>
      </c>
      <c r="AO85" s="32">
        <f ca="1">_xll.DBRW($C$1,$C$2,$C$3,$C$4,$C$6,$C$5,$C$7,AO$1,AO$2,A85)</f>
        <v>-3.5527136788005009E-15</v>
      </c>
      <c r="AP85" s="32">
        <f ca="1">_xll.DBRW($C$1,$C$2,$C$3,$C$4,$C$6,$C$5,$C$7,AP$1,AP$2,A85)</f>
        <v>-3.5527136788005009E-15</v>
      </c>
      <c r="AQ85" s="32">
        <f ca="1">_xll.DBRW($C$1,$C$2,$C$3,$C$4,$C$6,$C$5,$C$7,AQ$1,AQ$2,A85)</f>
        <v>-3.5527136788005009E-15</v>
      </c>
      <c r="AR85" s="32">
        <f ca="1">_xll.DBRW($C$1,$C$2,$C$3,$C$4,$C$6,$C$5,$C$7,AR$1,AR$2,A85)</f>
        <v>-3.5527136788005009E-15</v>
      </c>
      <c r="AS85" s="32">
        <f ca="1">_xll.DBRW($C$1,$C$2,$C$3,$C$4,$C$6,$C$5,$C$7,AS$1,AS$2,A85)</f>
        <v>-3.5527136788005009E-15</v>
      </c>
      <c r="AT85" s="32">
        <f ca="1">_xll.DBRW($C$1,$C$2,$C$3,$C$4,$C$6,$C$5,$C$7,AT$1,AT$2,A85)</f>
        <v>-3.5527136788005009E-15</v>
      </c>
      <c r="AU85" s="32">
        <f ca="1">_xll.DBRW($C$1,$C$2,$C$3,$C$4,$C$6,$C$5,$C$7,AU$1,AU$2,A85)</f>
        <v>-3.5527136788005009E-15</v>
      </c>
      <c r="AV85" s="32">
        <f ca="1">_xll.DBRW($C$1,$C$2,$C$3,$C$4,$C$6,$C$5,$C$7,AV$1,AV$2,A85)</f>
        <v>-3.5527136788005009E-15</v>
      </c>
      <c r="AW85" s="32">
        <f ca="1">_xll.DBRW($C$1,$C$2,$C$3,$C$4,$C$6,$C$5,$C$7,AW$1,AW$2,A85)</f>
        <v>-3.5527136788005009E-15</v>
      </c>
      <c r="AX85" s="32">
        <f ca="1">_xll.DBRW($C$1,$C$2,$C$3,$C$4,$C$6,$C$5,$C$7,AX$1,AX$2,A85)</f>
        <v>-3.5527136788005009E-15</v>
      </c>
      <c r="AY85" s="32">
        <f ca="1">_xll.DBRW($C$1,$C$2,$C$3,$C$4,$C$6,$C$5,$C$7,AY$1,AY$2,A85)</f>
        <v>-3.5527136788005009E-15</v>
      </c>
    </row>
    <row r="86" spans="1:51" ht="15.75" hidden="1" customHeight="1" outlineLevel="1">
      <c r="A86" s="1" t="s">
        <v>187</v>
      </c>
      <c r="C86" s="104"/>
      <c r="E86" s="9" t="str">
        <f ca="1">_xll.DBRW(Server&amp;"}ElementAttributes_Indicator",A86,"code_English")</f>
        <v>PL1155_ET_18 - Reinvoicing - Electricity</v>
      </c>
      <c r="F86" s="32">
        <f ca="1">_xll.DBRW($C$1,$C$2,$C$3,$C$4,$C$6,$C$5,$C$7,F$1,F$2,A86)</f>
        <v>2.2471799999999997E-3</v>
      </c>
      <c r="G86" s="32">
        <f ca="1">_xll.DBRW($C$1,$C$2,$C$3,$C$4,$C$6,$C$5,$C$7,G$1,G$2,A86)</f>
        <v>0</v>
      </c>
      <c r="H86" s="32">
        <f ca="1">_xll.DBRW($C$1,$C$2,$C$3,$C$4,$C$6,$C$5,$C$7,H$1,H$2,A86)</f>
        <v>0</v>
      </c>
      <c r="I86" s="32">
        <f ca="1">_xll.DBRW($C$1,$C$2,$C$3,$C$4,$C$6,$C$5,$C$7,I$1,I$2,A86)</f>
        <v>0</v>
      </c>
      <c r="J86" s="32">
        <f ca="1">_xll.DBRW($C$1,$C$2,$C$3,$C$4,$C$6,$C$5,$C$7,J$1,J$2,A86)</f>
        <v>0</v>
      </c>
      <c r="K86" s="32">
        <f ca="1">_xll.DBRW($C$1,$C$2,$C$3,$C$4,$C$6,$C$5,$C$7,K$1,K$2,A86)</f>
        <v>0</v>
      </c>
      <c r="L86" s="32">
        <f ca="1">_xll.DBRW($C$1,$C$2,$C$3,$C$4,$C$6,$C$5,$C$7,L$1,L$2,A86)</f>
        <v>0</v>
      </c>
      <c r="M86" s="32">
        <f ca="1">_xll.DBRW($C$1,$C$2,$C$3,$C$4,$C$6,$C$5,$C$7,M$1,M$2,A86)</f>
        <v>0</v>
      </c>
      <c r="N86" s="32">
        <f ca="1">_xll.DBRW($C$1,$C$2,$C$3,$C$4,$C$6,$C$5,$C$7,N$1,N$2,A86)</f>
        <v>0</v>
      </c>
      <c r="O86" s="32">
        <f ca="1">_xll.DBRW($C$1,$C$2,$C$3,$C$4,$C$6,$C$5,$C$7,O$1,O$2,A86)</f>
        <v>0</v>
      </c>
      <c r="P86" s="32">
        <f ca="1">_xll.DBRW($C$1,$C$2,$C$3,$C$4,$C$6,$C$5,$C$7,P$1,P$2,A86)</f>
        <v>0</v>
      </c>
      <c r="Q86" s="32">
        <f ca="1">_xll.DBRW($C$1,$C$2,$C$3,$C$4,$C$6,$C$5,$C$7,Q$1,Q$2,A86)</f>
        <v>0</v>
      </c>
      <c r="R86" s="32">
        <f ca="1">_xll.DBRW($C$1,$C$2,$C$3,$C$4,$C$6,$C$5,$C$7,R$1,R$2,A86)</f>
        <v>0</v>
      </c>
      <c r="S86" s="32">
        <f ca="1">_xll.DBRW($C$1,$C$2,$C$3,$C$4,$C$6,$C$5,$C$7,S$1,S$2,A86)</f>
        <v>0</v>
      </c>
      <c r="T86" s="32">
        <f ca="1">_xll.DBRW($C$1,$C$2,$C$3,$C$4,$C$6,$C$5,$C$7,T$1,T$2,A86)</f>
        <v>0</v>
      </c>
      <c r="U86" s="32">
        <f ca="1">_xll.DBRW($C$1,$C$2,$C$3,$C$4,$C$6,$C$5,$C$7,U$1,U$2,A86)</f>
        <v>0</v>
      </c>
      <c r="V86" s="32">
        <f ca="1">_xll.DBRW($C$1,$C$2,$C$3,$C$4,$C$6,$C$5,$C$7,V$1,V$2,A86)</f>
        <v>0</v>
      </c>
      <c r="W86" s="32">
        <f ca="1">_xll.DBRW($C$1,$C$2,$C$3,$C$4,$C$6,$C$5,$C$7,W$1,W$2,A86)</f>
        <v>0</v>
      </c>
      <c r="X86" s="32">
        <f ca="1">_xll.DBRW($C$1,$C$2,$C$3,$C$4,$C$6,$C$5,$C$7,X$1,X$2,A86)</f>
        <v>3.4263899999999996E-3</v>
      </c>
      <c r="Y86" s="32">
        <f ca="1">_xll.DBRW($C$1,$C$2,$C$3,$C$4,$C$6,$C$5,$C$7,Y$1,Y$2,A86)</f>
        <v>3.4263899999999996E-3</v>
      </c>
      <c r="Z86" s="32">
        <f ca="1">_xll.DBRW($C$1,$C$2,$C$3,$C$4,$C$6,$C$5,$C$7,Z$1,Z$2,A86)</f>
        <v>0</v>
      </c>
      <c r="AA86" s="32">
        <f ca="1">_xll.DBRW($C$1,$C$2,$C$3,$C$4,$C$6,$C$5,$C$7,AA$1,AA$2,A86)</f>
        <v>0</v>
      </c>
      <c r="AB86" s="32">
        <f ca="1">_xll.DBRW($C$1,$C$2,$C$3,$C$4,$C$6,$C$5,$C$7,AB$1,AB$2,A86)</f>
        <v>0</v>
      </c>
      <c r="AC86" s="32">
        <f ca="1">_xll.DBRW($C$1,$C$2,$C$3,$C$4,$C$6,$C$5,$C$7,AC$1,AC$2,A86)</f>
        <v>0</v>
      </c>
      <c r="AD86" s="32">
        <f ca="1">_xll.DBRW($C$1,$C$2,$C$3,$C$4,$C$6,$C$5,$C$7,AD$1,AD$2,A86)</f>
        <v>0</v>
      </c>
      <c r="AE86" s="32">
        <f ca="1">_xll.DBRW($C$1,$C$2,$C$3,$C$4,$C$6,$C$5,$C$7,AE$1,AE$2,A86)</f>
        <v>0</v>
      </c>
      <c r="AF86" s="32">
        <f ca="1">_xll.DBRW($C$1,$C$2,$C$3,$C$4,$C$6,$C$5,$C$7,AF$1,AF$2,A86)</f>
        <v>0</v>
      </c>
      <c r="AG86" s="32">
        <f ca="1">_xll.DBRW($C$1,$C$2,$C$3,$C$4,$C$6,$C$5,$C$7,AG$1,AG$2,A86)</f>
        <v>0</v>
      </c>
      <c r="AH86" s="32">
        <f ca="1">_xll.DBRW($C$1,$C$2,$C$3,$C$4,$C$6,$C$5,$C$7,AH$1,AH$2,A86)</f>
        <v>0</v>
      </c>
      <c r="AI86" s="32">
        <f ca="1">_xll.DBRW($C$1,$C$2,$C$3,$C$4,$C$6,$C$5,$C$7,AI$1,AI$2,A86)</f>
        <v>0</v>
      </c>
      <c r="AJ86" s="32">
        <f ca="1">_xll.DBRW($C$1,$C$2,$C$3,$C$4,$C$6,$C$5,$C$7,AJ$1,AJ$2,A86)</f>
        <v>0</v>
      </c>
      <c r="AK86" s="32">
        <f ca="1">_xll.DBRW($C$1,$C$2,$C$3,$C$4,$C$6,$C$5,$C$7,AK$1,AK$2,A86)</f>
        <v>0</v>
      </c>
      <c r="AL86" s="32">
        <f ca="1">_xll.DBRW($C$1,$C$2,$C$3,$C$4,$C$6,$C$5,$C$7,AL$1,AL$2,A86)</f>
        <v>0</v>
      </c>
      <c r="AM86" s="32">
        <f ca="1">_xll.DBRW($C$1,$C$2,$C$3,$C$4,$C$6,$C$5,$C$7,AM$1,AM$2,A86)</f>
        <v>-3.4263899999999996E-3</v>
      </c>
      <c r="AN86" s="32">
        <f ca="1">_xll.DBRW($C$1,$C$2,$C$3,$C$4,$C$6,$C$5,$C$7,AN$1,AN$2,A86)</f>
        <v>-3.4263899999999962E-3</v>
      </c>
      <c r="AO86" s="32">
        <f ca="1">_xll.DBRW($C$1,$C$2,$C$3,$C$4,$C$6,$C$5,$C$7,AO$1,AO$2,A86)</f>
        <v>1.7347234759768071E-18</v>
      </c>
      <c r="AP86" s="32">
        <f ca="1">_xll.DBRW($C$1,$C$2,$C$3,$C$4,$C$6,$C$5,$C$7,AP$1,AP$2,A86)</f>
        <v>1.7347234759768071E-18</v>
      </c>
      <c r="AQ86" s="32">
        <f ca="1">_xll.DBRW($C$1,$C$2,$C$3,$C$4,$C$6,$C$5,$C$7,AQ$1,AQ$2,A86)</f>
        <v>1.7347234759768071E-18</v>
      </c>
      <c r="AR86" s="32">
        <f ca="1">_xll.DBRW($C$1,$C$2,$C$3,$C$4,$C$6,$C$5,$C$7,AR$1,AR$2,A86)</f>
        <v>1.7347234759768071E-18</v>
      </c>
      <c r="AS86" s="32">
        <f ca="1">_xll.DBRW($C$1,$C$2,$C$3,$C$4,$C$6,$C$5,$C$7,AS$1,AS$2,A86)</f>
        <v>1.7347234759768071E-18</v>
      </c>
      <c r="AT86" s="32">
        <f ca="1">_xll.DBRW($C$1,$C$2,$C$3,$C$4,$C$6,$C$5,$C$7,AT$1,AT$2,A86)</f>
        <v>1.7347234759768071E-18</v>
      </c>
      <c r="AU86" s="32">
        <f ca="1">_xll.DBRW($C$1,$C$2,$C$3,$C$4,$C$6,$C$5,$C$7,AU$1,AU$2,A86)</f>
        <v>1.7347234759768071E-18</v>
      </c>
      <c r="AV86" s="32">
        <f ca="1">_xll.DBRW($C$1,$C$2,$C$3,$C$4,$C$6,$C$5,$C$7,AV$1,AV$2,A86)</f>
        <v>1.7347234759768071E-18</v>
      </c>
      <c r="AW86" s="32">
        <f ca="1">_xll.DBRW($C$1,$C$2,$C$3,$C$4,$C$6,$C$5,$C$7,AW$1,AW$2,A86)</f>
        <v>1.7347234759768071E-18</v>
      </c>
      <c r="AX86" s="32">
        <f ca="1">_xll.DBRW($C$1,$C$2,$C$3,$C$4,$C$6,$C$5,$C$7,AX$1,AX$2,A86)</f>
        <v>1.7347234759768071E-18</v>
      </c>
      <c r="AY86" s="32">
        <f ca="1">_xll.DBRW($C$1,$C$2,$C$3,$C$4,$C$6,$C$5,$C$7,AY$1,AY$2,A86)</f>
        <v>1.7347234759768071E-18</v>
      </c>
    </row>
    <row r="87" spans="1:51" ht="15.5" hidden="1" outlineLevel="1" collapsed="1">
      <c r="A87" s="1" t="s">
        <v>142</v>
      </c>
      <c r="C87" s="104"/>
      <c r="E87" s="14" t="s">
        <v>31</v>
      </c>
      <c r="F87" s="33">
        <f t="shared" ref="F87:L87" ca="1" si="55">SUM(F85:F86)</f>
        <v>-35.739650547119027</v>
      </c>
      <c r="G87" s="33">
        <f t="shared" ca="1" si="55"/>
        <v>-34.294880990818527</v>
      </c>
      <c r="H87" s="33">
        <f t="shared" ca="1" si="55"/>
        <v>-37.355591679342076</v>
      </c>
      <c r="I87" s="33">
        <f t="shared" ca="1" si="55"/>
        <v>-20.226991008543614</v>
      </c>
      <c r="J87" s="33">
        <f t="shared" ca="1" si="55"/>
        <v>-39.410161477730824</v>
      </c>
      <c r="K87" s="33">
        <f t="shared" ca="1" si="55"/>
        <v>-38.99840721659448</v>
      </c>
      <c r="L87" s="33">
        <f t="shared" ca="1" si="55"/>
        <v>-56.767962372138989</v>
      </c>
      <c r="M87" s="33">
        <f t="shared" ref="M87:X87" ca="1" si="56">SUM(M85:M86)</f>
        <v>-2.3243353826029325</v>
      </c>
      <c r="N87" s="33">
        <f t="shared" ca="1" si="56"/>
        <v>-18.019177318873972</v>
      </c>
      <c r="O87" s="33">
        <f t="shared" ca="1" si="56"/>
        <v>-27.704618711007782</v>
      </c>
      <c r="P87" s="33">
        <f t="shared" ca="1" si="56"/>
        <v>-34.524597462104531</v>
      </c>
      <c r="Q87" s="33">
        <f t="shared" ca="1" si="56"/>
        <v>-40.682368844886213</v>
      </c>
      <c r="R87" s="33">
        <f t="shared" ca="1" si="56"/>
        <v>-46.786746362235448</v>
      </c>
      <c r="S87" s="33">
        <f t="shared" ca="1" si="56"/>
        <v>-15.140653467152614</v>
      </c>
      <c r="T87" s="33">
        <f t="shared" ca="1" si="56"/>
        <v>-67.895102867615705</v>
      </c>
      <c r="U87" s="33">
        <f t="shared" ca="1" si="56"/>
        <v>-79.892757292824598</v>
      </c>
      <c r="V87" s="33">
        <f t="shared" ca="1" si="56"/>
        <v>-22.070935634911446</v>
      </c>
      <c r="W87" s="33">
        <f t="shared" ca="1" si="56"/>
        <v>-85.856221155387857</v>
      </c>
      <c r="X87" s="33">
        <f t="shared" ca="1" si="56"/>
        <v>-102.38683245931061</v>
      </c>
      <c r="Y87" s="33">
        <f ca="1">SUM(Y85:Y86)</f>
        <v>-102.38683245931061</v>
      </c>
      <c r="Z87" s="33">
        <f t="shared" ref="Z87:AK87" ca="1" si="57">SUM(Z85:Z86)</f>
        <v>-11.115098310798325</v>
      </c>
      <c r="AA87" s="33">
        <f t="shared" ca="1" si="57"/>
        <v>-22.134106643037001</v>
      </c>
      <c r="AB87" s="33">
        <f t="shared" ca="1" si="57"/>
        <v>-34.167023975642266</v>
      </c>
      <c r="AC87" s="33">
        <f t="shared" ca="1" si="57"/>
        <v>-44.551925944717091</v>
      </c>
      <c r="AD87" s="33">
        <f t="shared" ca="1" si="57"/>
        <v>-55.00068443776027</v>
      </c>
      <c r="AE87" s="33">
        <f t="shared" ca="1" si="57"/>
        <v>-65.234139572149616</v>
      </c>
      <c r="AF87" s="33">
        <f t="shared" ca="1" si="57"/>
        <v>-75.277194757952714</v>
      </c>
      <c r="AG87" s="33">
        <f t="shared" ca="1" si="57"/>
        <v>-85.576310079809744</v>
      </c>
      <c r="AH87" s="33">
        <f t="shared" ca="1" si="57"/>
        <v>-96.057995213143272</v>
      </c>
      <c r="AI87" s="33">
        <f t="shared" ca="1" si="57"/>
        <v>-106.87901930698695</v>
      </c>
      <c r="AJ87" s="33">
        <f t="shared" ca="1" si="57"/>
        <v>-117.92909251974086</v>
      </c>
      <c r="AK87" s="33">
        <f t="shared" ca="1" si="57"/>
        <v>-132.08646254263925</v>
      </c>
      <c r="AL87" s="33">
        <f ca="1">SUM(AL85:AL86)</f>
        <v>-132.08646254263925</v>
      </c>
      <c r="AM87" s="33">
        <f t="shared" ref="AM87:AX87" ca="1" si="58">SUM(AM85:AM86)</f>
        <v>-2.9760959140728924</v>
      </c>
      <c r="AN87" s="33">
        <f t="shared" ca="1" si="58"/>
        <v>-16.305295466956728</v>
      </c>
      <c r="AO87" s="33">
        <f t="shared" ca="1" si="58"/>
        <v>-3.5509789553245241E-15</v>
      </c>
      <c r="AP87" s="33">
        <f t="shared" ca="1" si="58"/>
        <v>-3.5509789553245241E-15</v>
      </c>
      <c r="AQ87" s="33">
        <f t="shared" ca="1" si="58"/>
        <v>-3.5509789553245241E-15</v>
      </c>
      <c r="AR87" s="33">
        <f t="shared" ca="1" si="58"/>
        <v>-3.5509789553245241E-15</v>
      </c>
      <c r="AS87" s="33">
        <f t="shared" ca="1" si="58"/>
        <v>-3.5509789553245241E-15</v>
      </c>
      <c r="AT87" s="33">
        <f t="shared" ca="1" si="58"/>
        <v>-3.5509789553245241E-15</v>
      </c>
      <c r="AU87" s="33">
        <f t="shared" ca="1" si="58"/>
        <v>-3.5509789553245241E-15</v>
      </c>
      <c r="AV87" s="33">
        <f t="shared" ca="1" si="58"/>
        <v>-3.5509789553245241E-15</v>
      </c>
      <c r="AW87" s="33">
        <f t="shared" ca="1" si="58"/>
        <v>-3.5509789553245241E-15</v>
      </c>
      <c r="AX87" s="33">
        <f t="shared" ca="1" si="58"/>
        <v>-3.5509789553245241E-15</v>
      </c>
      <c r="AY87" s="33">
        <f ca="1">SUM(AY85:AY86)</f>
        <v>-3.5509789553245241E-15</v>
      </c>
    </row>
    <row r="88" spans="1:51" ht="15.75" hidden="1" customHeight="1" outlineLevel="2">
      <c r="A88" s="1" t="s">
        <v>188</v>
      </c>
      <c r="C88" s="104"/>
      <c r="E88" s="9" t="str">
        <f ca="1">_xll.DBRW(Server&amp;"}ElementAttributes_Indicator",A88,"code_English")</f>
        <v>PL1115_ET_80 - Fuel</v>
      </c>
      <c r="F88" s="33">
        <f ca="1">_xll.DBRW($C$1,$C$2,$C$3,$C$4,$C$6,$C$5,$C$7,F$1,F$2,A88)</f>
        <v>-372.64851414003169</v>
      </c>
      <c r="G88" s="33">
        <f ca="1">_xll.DBRW($C$1,$C$2,$C$3,$C$4,$C$6,$C$5,$C$7,G$1,G$2,A88)</f>
        <v>-386.44609689273187</v>
      </c>
      <c r="H88" s="33">
        <f ca="1">_xll.DBRW($C$1,$C$2,$C$3,$C$4,$C$6,$C$5,$C$7,H$1,H$2,A88)</f>
        <v>-430.74144364587073</v>
      </c>
      <c r="I88" s="33">
        <f ca="1">_xll.DBRW($C$1,$C$2,$C$3,$C$4,$C$6,$C$5,$C$7,I$1,I$2,A88)</f>
        <v>-363.82370733029995</v>
      </c>
      <c r="J88" s="33">
        <f ca="1">_xll.DBRW($C$1,$C$2,$C$3,$C$4,$C$6,$C$5,$C$7,J$1,J$2,A88)</f>
        <v>-329.2921263464217</v>
      </c>
      <c r="K88" s="33">
        <f ca="1">_xll.DBRW($C$1,$C$2,$C$3,$C$4,$C$6,$C$5,$C$7,K$1,K$2,A88)</f>
        <v>-416.89552254989229</v>
      </c>
      <c r="L88" s="33">
        <f ca="1">_xll.DBRW($C$1,$C$2,$C$3,$C$4,$C$6,$C$5,$C$7,L$1,L$2,A88)</f>
        <v>-396.9036373437217</v>
      </c>
      <c r="M88" s="33">
        <f ca="1">_xll.DBRW($C$1,$C$2,$C$3,$C$4,$C$6,$C$5,$C$7,M$1,M$2,A88)</f>
        <v>-21.491189902685488</v>
      </c>
      <c r="N88" s="33">
        <f ca="1">_xll.DBRW($C$1,$C$2,$C$3,$C$4,$C$6,$C$5,$C$7,N$1,N$2,A88)</f>
        <v>-79.416454167444016</v>
      </c>
      <c r="O88" s="33">
        <f ca="1">_xll.DBRW($C$1,$C$2,$C$3,$C$4,$C$6,$C$5,$C$7,O$1,O$2,A88)</f>
        <v>-133.67035724122746</v>
      </c>
      <c r="P88" s="33">
        <f ca="1">_xll.DBRW($C$1,$C$2,$C$3,$C$4,$C$6,$C$5,$C$7,P$1,P$2,A88)</f>
        <v>-174.42893268655396</v>
      </c>
      <c r="Q88" s="33">
        <f ca="1">_xll.DBRW($C$1,$C$2,$C$3,$C$4,$C$6,$C$5,$C$7,Q$1,Q$2,A88)</f>
        <v>-214.20490621291853</v>
      </c>
      <c r="R88" s="33">
        <f ca="1">_xll.DBRW($C$1,$C$2,$C$3,$C$4,$C$6,$C$5,$C$7,R$1,R$2,A88)</f>
        <v>-274.93430107003599</v>
      </c>
      <c r="S88" s="33">
        <f ca="1">_xll.DBRW($C$1,$C$2,$C$3,$C$4,$C$6,$C$5,$C$7,S$1,S$2,A88)</f>
        <v>-204.36156969275331</v>
      </c>
      <c r="T88" s="33">
        <f ca="1">_xll.DBRW($C$1,$C$2,$C$3,$C$4,$C$6,$C$5,$C$7,T$1,T$2,A88)</f>
        <v>-347.0741370846352</v>
      </c>
      <c r="U88" s="33">
        <f ca="1">_xll.DBRW($C$1,$C$2,$C$3,$C$4,$C$6,$C$5,$C$7,U$1,U$2,A88)</f>
        <v>-394.08713354903534</v>
      </c>
      <c r="V88" s="33">
        <f ca="1">_xll.DBRW($C$1,$C$2,$C$3,$C$4,$C$6,$C$5,$C$7,V$1,V$2,A88)</f>
        <v>-310.49057039526599</v>
      </c>
      <c r="W88" s="33">
        <f ca="1">_xll.DBRW($C$1,$C$2,$C$3,$C$4,$C$6,$C$5,$C$7,W$1,W$2,A88)</f>
        <v>-478.92007475206219</v>
      </c>
      <c r="X88" s="33">
        <f ca="1">_xll.DBRW($C$1,$C$2,$C$3,$C$4,$C$6,$C$5,$C$7,X$1,X$2,A88)</f>
        <v>-538.52954970653377</v>
      </c>
      <c r="Y88" s="33">
        <f ca="1">_xll.DBRW($C$1,$C$2,$C$3,$C$4,$C$6,$C$5,$C$7,Y$1,Y$2,A88)</f>
        <v>-538.52954970653377</v>
      </c>
      <c r="Z88" s="33">
        <f ca="1">_xll.DBRW($C$1,$C$2,$C$3,$C$4,$C$6,$C$5,$C$7,Z$1,Z$2,A88)</f>
        <v>-47.297580640545839</v>
      </c>
      <c r="AA88" s="33">
        <f ca="1">_xll.DBRW($C$1,$C$2,$C$3,$C$4,$C$6,$C$5,$C$7,AA$1,AA$2,A88)</f>
        <v>-89.139664929736952</v>
      </c>
      <c r="AB88" s="33">
        <f ca="1">_xll.DBRW($C$1,$C$2,$C$3,$C$4,$C$6,$C$5,$C$7,AB$1,AB$2,A88)</f>
        <v>-139.53088927437227</v>
      </c>
      <c r="AC88" s="33">
        <f ca="1">_xll.DBRW($C$1,$C$2,$C$3,$C$4,$C$6,$C$5,$C$7,AC$1,AC$2,A88)</f>
        <v>-180.14052047635641</v>
      </c>
      <c r="AD88" s="33">
        <f ca="1">_xll.DBRW($C$1,$C$2,$C$3,$C$4,$C$6,$C$5,$C$7,AD$1,AD$2,A88)</f>
        <v>-225.62025264898574</v>
      </c>
      <c r="AE88" s="33">
        <f ca="1">_xll.DBRW($C$1,$C$2,$C$3,$C$4,$C$6,$C$5,$C$7,AE$1,AE$2,A88)</f>
        <v>-273.09724965040334</v>
      </c>
      <c r="AF88" s="33">
        <f ca="1">_xll.DBRW($C$1,$C$2,$C$3,$C$4,$C$6,$C$5,$C$7,AF$1,AF$2,A88)</f>
        <v>-311.91579889256627</v>
      </c>
      <c r="AG88" s="33">
        <f ca="1">_xll.DBRW($C$1,$C$2,$C$3,$C$4,$C$6,$C$5,$C$7,AG$1,AG$2,A88)</f>
        <v>-347.44415326802243</v>
      </c>
      <c r="AH88" s="33">
        <f ca="1">_xll.DBRW($C$1,$C$2,$C$3,$C$4,$C$6,$C$5,$C$7,AH$1,AH$2,A88)</f>
        <v>-391.1158790373845</v>
      </c>
      <c r="AI88" s="33">
        <f ca="1">_xll.DBRW($C$1,$C$2,$C$3,$C$4,$C$6,$C$5,$C$7,AI$1,AI$2,A88)</f>
        <v>-432.95627112296006</v>
      </c>
      <c r="AJ88" s="33">
        <f ca="1">_xll.DBRW($C$1,$C$2,$C$3,$C$4,$C$6,$C$5,$C$7,AJ$1,AJ$2,A88)</f>
        <v>-475.85448503952273</v>
      </c>
      <c r="AK88" s="33">
        <f ca="1">_xll.DBRW($C$1,$C$2,$C$3,$C$4,$C$6,$C$5,$C$7,AK$1,AK$2,A88)</f>
        <v>-515.6597219863105</v>
      </c>
      <c r="AL88" s="33">
        <f ca="1">_xll.DBRW($C$1,$C$2,$C$3,$C$4,$C$6,$C$5,$C$7,AL$1,AL$2,A88)</f>
        <v>-515.6597219863105</v>
      </c>
      <c r="AM88" s="33">
        <f ca="1">_xll.DBRW($C$1,$C$2,$C$3,$C$4,$C$6,$C$5,$C$7,AM$1,AM$2,A88)</f>
        <v>-24.812977995252332</v>
      </c>
      <c r="AN88" s="33">
        <f ca="1">_xll.DBRW($C$1,$C$2,$C$3,$C$4,$C$6,$C$5,$C$7,AN$1,AN$2,A88)</f>
        <v>-85.81983960432045</v>
      </c>
      <c r="AO88" s="33">
        <f ca="1">_xll.DBRW($C$1,$C$2,$C$3,$C$4,$C$6,$C$5,$C$7,AO$1,AO$2,A88)</f>
        <v>-2.8421709430404007E-14</v>
      </c>
      <c r="AP88" s="33">
        <f ca="1">_xll.DBRW($C$1,$C$2,$C$3,$C$4,$C$6,$C$5,$C$7,AP$1,AP$2,A88)</f>
        <v>-2.8421709430404007E-14</v>
      </c>
      <c r="AQ88" s="33">
        <f ca="1">_xll.DBRW($C$1,$C$2,$C$3,$C$4,$C$6,$C$5,$C$7,AQ$1,AQ$2,A88)</f>
        <v>-2.8421709430404007E-14</v>
      </c>
      <c r="AR88" s="33">
        <f ca="1">_xll.DBRW($C$1,$C$2,$C$3,$C$4,$C$6,$C$5,$C$7,AR$1,AR$2,A88)</f>
        <v>-2.8421709430404007E-14</v>
      </c>
      <c r="AS88" s="33">
        <f ca="1">_xll.DBRW($C$1,$C$2,$C$3,$C$4,$C$6,$C$5,$C$7,AS$1,AS$2,A88)</f>
        <v>-2.8421709430404007E-14</v>
      </c>
      <c r="AT88" s="33">
        <f ca="1">_xll.DBRW($C$1,$C$2,$C$3,$C$4,$C$6,$C$5,$C$7,AT$1,AT$2,A88)</f>
        <v>-2.8421709430404007E-14</v>
      </c>
      <c r="AU88" s="33">
        <f ca="1">_xll.DBRW($C$1,$C$2,$C$3,$C$4,$C$6,$C$5,$C$7,AU$1,AU$2,A88)</f>
        <v>-2.8421709430404007E-14</v>
      </c>
      <c r="AV88" s="33">
        <f ca="1">_xll.DBRW($C$1,$C$2,$C$3,$C$4,$C$6,$C$5,$C$7,AV$1,AV$2,A88)</f>
        <v>-2.8421709430404007E-14</v>
      </c>
      <c r="AW88" s="33">
        <f ca="1">_xll.DBRW($C$1,$C$2,$C$3,$C$4,$C$6,$C$5,$C$7,AW$1,AW$2,A88)</f>
        <v>-2.8421709430404007E-14</v>
      </c>
      <c r="AX88" s="33">
        <f ca="1">_xll.DBRW($C$1,$C$2,$C$3,$C$4,$C$6,$C$5,$C$7,AX$1,AX$2,A88)</f>
        <v>-2.8421709430404007E-14</v>
      </c>
      <c r="AY88" s="33">
        <f ca="1">_xll.DBRW($C$1,$C$2,$C$3,$C$4,$C$6,$C$5,$C$7,AY$1,AY$2,A88)</f>
        <v>-2.8421709430404007E-14</v>
      </c>
    </row>
    <row r="89" spans="1:51" ht="15.75" hidden="1" customHeight="1" outlineLevel="2">
      <c r="A89" s="1" t="s">
        <v>189</v>
      </c>
      <c r="C89" s="104"/>
      <c r="E89" s="9" t="str">
        <f ca="1">_xll.DBRW(Server&amp;"}ElementAttributes_Indicator",A89,"code_English")</f>
        <v>PL1115_ET_801 - Fuel Hedging Result</v>
      </c>
      <c r="F89" s="33">
        <f ca="1">_xll.DBRW($C$1,$C$2,$C$3,$C$4,$C$6,$C$5,$C$7,F$1,F$2,A89)</f>
        <v>-6.8325413299999997</v>
      </c>
      <c r="G89" s="33">
        <f ca="1">_xll.DBRW($C$1,$C$2,$C$3,$C$4,$C$6,$C$5,$C$7,G$1,G$2,A89)</f>
        <v>1.2592160000000005E-2</v>
      </c>
      <c r="H89" s="33">
        <f ca="1">_xll.DBRW($C$1,$C$2,$C$3,$C$4,$C$6,$C$5,$C$7,H$1,H$2,A89)</f>
        <v>0.63447162000000001</v>
      </c>
      <c r="I89" s="33">
        <f ca="1">_xll.DBRW($C$1,$C$2,$C$3,$C$4,$C$6,$C$5,$C$7,I$1,I$2,A89)</f>
        <v>0.42101500999999997</v>
      </c>
      <c r="J89" s="33">
        <f ca="1">_xll.DBRW($C$1,$C$2,$C$3,$C$4,$C$6,$C$5,$C$7,J$1,J$2,A89)</f>
        <v>-1.50285096</v>
      </c>
      <c r="K89" s="33">
        <f ca="1">_xll.DBRW($C$1,$C$2,$C$3,$C$4,$C$6,$C$5,$C$7,K$1,K$2,A89)</f>
        <v>-3.6618799999999997E-3</v>
      </c>
      <c r="L89" s="33">
        <f ca="1">_xll.DBRW($C$1,$C$2,$C$3,$C$4,$C$6,$C$5,$C$7,L$1,L$2,A89)</f>
        <v>0</v>
      </c>
      <c r="M89" s="33">
        <f ca="1">_xll.DBRW($C$1,$C$2,$C$3,$C$4,$C$6,$C$5,$C$7,M$1,M$2,A89)</f>
        <v>0</v>
      </c>
      <c r="N89" s="33">
        <f ca="1">_xll.DBRW($C$1,$C$2,$C$3,$C$4,$C$6,$C$5,$C$7,N$1,N$2,A89)</f>
        <v>0</v>
      </c>
      <c r="O89" s="33">
        <f ca="1">_xll.DBRW($C$1,$C$2,$C$3,$C$4,$C$6,$C$5,$C$7,O$1,O$2,A89)</f>
        <v>0</v>
      </c>
      <c r="P89" s="33">
        <f ca="1">_xll.DBRW($C$1,$C$2,$C$3,$C$4,$C$6,$C$5,$C$7,P$1,P$2,A89)</f>
        <v>0</v>
      </c>
      <c r="Q89" s="33">
        <f ca="1">_xll.DBRW($C$1,$C$2,$C$3,$C$4,$C$6,$C$5,$C$7,Q$1,Q$2,A89)</f>
        <v>0</v>
      </c>
      <c r="R89" s="33">
        <f ca="1">_xll.DBRW($C$1,$C$2,$C$3,$C$4,$C$6,$C$5,$C$7,R$1,R$2,A89)</f>
        <v>0</v>
      </c>
      <c r="S89" s="33">
        <f ca="1">_xll.DBRW($C$1,$C$2,$C$3,$C$4,$C$6,$C$5,$C$7,S$1,S$2,A89)</f>
        <v>0</v>
      </c>
      <c r="T89" s="33">
        <f ca="1">_xll.DBRW($C$1,$C$2,$C$3,$C$4,$C$6,$C$5,$C$7,T$1,T$2,A89)</f>
        <v>-1.2873199999999998E-3</v>
      </c>
      <c r="U89" s="33">
        <f ca="1">_xll.DBRW($C$1,$C$2,$C$3,$C$4,$C$6,$C$5,$C$7,U$1,U$2,A89)</f>
        <v>-1.2873199999999998E-3</v>
      </c>
      <c r="V89" s="33">
        <f ca="1">_xll.DBRW($C$1,$C$2,$C$3,$C$4,$C$6,$C$5,$C$7,V$1,V$2,A89)</f>
        <v>0</v>
      </c>
      <c r="W89" s="33">
        <f ca="1">_xll.DBRW($C$1,$C$2,$C$3,$C$4,$C$6,$C$5,$C$7,W$1,W$2,A89)</f>
        <v>-1.2873199999999998E-3</v>
      </c>
      <c r="X89" s="33">
        <f ca="1">_xll.DBRW($C$1,$C$2,$C$3,$C$4,$C$6,$C$5,$C$7,X$1,X$2,A89)</f>
        <v>-1.2873199999999998E-3</v>
      </c>
      <c r="Y89" s="33">
        <f ca="1">_xll.DBRW($C$1,$C$2,$C$3,$C$4,$C$6,$C$5,$C$7,Y$1,Y$2,A89)</f>
        <v>-1.2873199999999998E-3</v>
      </c>
      <c r="Z89" s="33">
        <f ca="1">_xll.DBRW($C$1,$C$2,$C$3,$C$4,$C$6,$C$5,$C$7,Z$1,Z$2,A89)</f>
        <v>0</v>
      </c>
      <c r="AA89" s="33">
        <f ca="1">_xll.DBRW($C$1,$C$2,$C$3,$C$4,$C$6,$C$5,$C$7,AA$1,AA$2,A89)</f>
        <v>0</v>
      </c>
      <c r="AB89" s="33">
        <f ca="1">_xll.DBRW($C$1,$C$2,$C$3,$C$4,$C$6,$C$5,$C$7,AB$1,AB$2,A89)</f>
        <v>0</v>
      </c>
      <c r="AC89" s="33">
        <f ca="1">_xll.DBRW($C$1,$C$2,$C$3,$C$4,$C$6,$C$5,$C$7,AC$1,AC$2,A89)</f>
        <v>0</v>
      </c>
      <c r="AD89" s="33">
        <f ca="1">_xll.DBRW($C$1,$C$2,$C$3,$C$4,$C$6,$C$5,$C$7,AD$1,AD$2,A89)</f>
        <v>0</v>
      </c>
      <c r="AE89" s="33">
        <f ca="1">_xll.DBRW($C$1,$C$2,$C$3,$C$4,$C$6,$C$5,$C$7,AE$1,AE$2,A89)</f>
        <v>0</v>
      </c>
      <c r="AF89" s="33">
        <f ca="1">_xll.DBRW($C$1,$C$2,$C$3,$C$4,$C$6,$C$5,$C$7,AF$1,AF$2,A89)</f>
        <v>0</v>
      </c>
      <c r="AG89" s="33">
        <f ca="1">_xll.DBRW($C$1,$C$2,$C$3,$C$4,$C$6,$C$5,$C$7,AG$1,AG$2,A89)</f>
        <v>0</v>
      </c>
      <c r="AH89" s="33">
        <f ca="1">_xll.DBRW($C$1,$C$2,$C$3,$C$4,$C$6,$C$5,$C$7,AH$1,AH$2,A89)</f>
        <v>0</v>
      </c>
      <c r="AI89" s="33">
        <f ca="1">_xll.DBRW($C$1,$C$2,$C$3,$C$4,$C$6,$C$5,$C$7,AI$1,AI$2,A89)</f>
        <v>0</v>
      </c>
      <c r="AJ89" s="33">
        <f ca="1">_xll.DBRW($C$1,$C$2,$C$3,$C$4,$C$6,$C$5,$C$7,AJ$1,AJ$2,A89)</f>
        <v>0</v>
      </c>
      <c r="AK89" s="33">
        <f ca="1">_xll.DBRW($C$1,$C$2,$C$3,$C$4,$C$6,$C$5,$C$7,AK$1,AK$2,A89)</f>
        <v>0</v>
      </c>
      <c r="AL89" s="33">
        <f ca="1">_xll.DBRW($C$1,$C$2,$C$3,$C$4,$C$6,$C$5,$C$7,AL$1,AL$2,A89)</f>
        <v>0</v>
      </c>
      <c r="AM89" s="33">
        <f ca="1">_xll.DBRW($C$1,$C$2,$C$3,$C$4,$C$6,$C$5,$C$7,AM$1,AM$2,A89)</f>
        <v>3.0876470039305687E-2</v>
      </c>
      <c r="AN89" s="33">
        <f ca="1">_xll.DBRW($C$1,$C$2,$C$3,$C$4,$C$6,$C$5,$C$7,AN$1,AN$2,A89)</f>
        <v>1.1949673558875065E-2</v>
      </c>
      <c r="AO89" s="33">
        <f ca="1">_xll.DBRW($C$1,$C$2,$C$3,$C$4,$C$6,$C$5,$C$7,AO$1,AO$2,A89)</f>
        <v>5.2041704279304213E-18</v>
      </c>
      <c r="AP89" s="33">
        <f ca="1">_xll.DBRW($C$1,$C$2,$C$3,$C$4,$C$6,$C$5,$C$7,AP$1,AP$2,A89)</f>
        <v>5.2041704279304213E-18</v>
      </c>
      <c r="AQ89" s="33">
        <f ca="1">_xll.DBRW($C$1,$C$2,$C$3,$C$4,$C$6,$C$5,$C$7,AQ$1,AQ$2,A89)</f>
        <v>5.2041704279304213E-18</v>
      </c>
      <c r="AR89" s="33">
        <f ca="1">_xll.DBRW($C$1,$C$2,$C$3,$C$4,$C$6,$C$5,$C$7,AR$1,AR$2,A89)</f>
        <v>5.2041704279304213E-18</v>
      </c>
      <c r="AS89" s="33">
        <f ca="1">_xll.DBRW($C$1,$C$2,$C$3,$C$4,$C$6,$C$5,$C$7,AS$1,AS$2,A89)</f>
        <v>5.2041704279304213E-18</v>
      </c>
      <c r="AT89" s="33">
        <f ca="1">_xll.DBRW($C$1,$C$2,$C$3,$C$4,$C$6,$C$5,$C$7,AT$1,AT$2,A89)</f>
        <v>5.2041704279304213E-18</v>
      </c>
      <c r="AU89" s="33">
        <f ca="1">_xll.DBRW($C$1,$C$2,$C$3,$C$4,$C$6,$C$5,$C$7,AU$1,AU$2,A89)</f>
        <v>5.2041704279304213E-18</v>
      </c>
      <c r="AV89" s="33">
        <f ca="1">_xll.DBRW($C$1,$C$2,$C$3,$C$4,$C$6,$C$5,$C$7,AV$1,AV$2,A89)</f>
        <v>5.2041704279304213E-18</v>
      </c>
      <c r="AW89" s="33">
        <f ca="1">_xll.DBRW($C$1,$C$2,$C$3,$C$4,$C$6,$C$5,$C$7,AW$1,AW$2,A89)</f>
        <v>5.2041704279304213E-18</v>
      </c>
      <c r="AX89" s="33">
        <f ca="1">_xll.DBRW($C$1,$C$2,$C$3,$C$4,$C$6,$C$5,$C$7,AX$1,AX$2,A89)</f>
        <v>5.2041704279304213E-18</v>
      </c>
      <c r="AY89" s="33">
        <f ca="1">_xll.DBRW($C$1,$C$2,$C$3,$C$4,$C$6,$C$5,$C$7,AY$1,AY$2,A89)</f>
        <v>5.2041704279304213E-18</v>
      </c>
    </row>
    <row r="90" spans="1:51" ht="15.75" hidden="1" customHeight="1" outlineLevel="2">
      <c r="A90" s="1" t="s">
        <v>190</v>
      </c>
      <c r="C90" s="104"/>
      <c r="E90" s="9" t="str">
        <f ca="1">_xll.DBRW(Server&amp;"}ElementAttributes_Indicator",A90,"code_English")</f>
        <v>PL1115_ET_802 - Fuel Tax reimbursement</v>
      </c>
      <c r="F90" s="33">
        <f ca="1">_xll.DBRW($C$1,$C$2,$C$3,$C$4,$C$6,$C$5,$C$7,F$1,F$2,A90)</f>
        <v>27.354080028458654</v>
      </c>
      <c r="G90" s="33">
        <f ca="1">_xll.DBRW($C$1,$C$2,$C$3,$C$4,$C$6,$C$5,$C$7,G$1,G$2,A90)</f>
        <v>34.500443572064619</v>
      </c>
      <c r="H90" s="33">
        <f ca="1">_xll.DBRW($C$1,$C$2,$C$3,$C$4,$C$6,$C$5,$C$7,H$1,H$2,A90)</f>
        <v>48.938987276928657</v>
      </c>
      <c r="I90" s="33">
        <f ca="1">_xll.DBRW($C$1,$C$2,$C$3,$C$4,$C$6,$C$5,$C$7,I$1,I$2,A90)</f>
        <v>43.757019456949429</v>
      </c>
      <c r="J90" s="33">
        <f ca="1">_xll.DBRW($C$1,$C$2,$C$3,$C$4,$C$6,$C$5,$C$7,J$1,J$2,A90)</f>
        <v>40.250133539423643</v>
      </c>
      <c r="K90" s="33">
        <f ca="1">_xll.DBRW($C$1,$C$2,$C$3,$C$4,$C$6,$C$5,$C$7,K$1,K$2,A90)</f>
        <v>41.942926573896898</v>
      </c>
      <c r="L90" s="33">
        <f ca="1">_xll.DBRW($C$1,$C$2,$C$3,$C$4,$C$6,$C$5,$C$7,L$1,L$2,A90)</f>
        <v>39.760938671468161</v>
      </c>
      <c r="M90" s="33">
        <f ca="1">_xll.DBRW($C$1,$C$2,$C$3,$C$4,$C$6,$C$5,$C$7,M$1,M$2,A90)</f>
        <v>-0.61571061381601599</v>
      </c>
      <c r="N90" s="33">
        <f ca="1">_xll.DBRW($C$1,$C$2,$C$3,$C$4,$C$6,$C$5,$C$7,N$1,N$2,A90)</f>
        <v>8.3435034810077315</v>
      </c>
      <c r="O90" s="33">
        <f ca="1">_xll.DBRW($C$1,$C$2,$C$3,$C$4,$C$6,$C$5,$C$7,O$1,O$2,A90)</f>
        <v>13.085582422815442</v>
      </c>
      <c r="P90" s="33">
        <f ca="1">_xll.DBRW($C$1,$C$2,$C$3,$C$4,$C$6,$C$5,$C$7,P$1,P$2,A90)</f>
        <v>15.321894319042338</v>
      </c>
      <c r="Q90" s="33">
        <f ca="1">_xll.DBRW($C$1,$C$2,$C$3,$C$4,$C$6,$C$5,$C$7,Q$1,Q$2,A90)</f>
        <v>21.203883421455906</v>
      </c>
      <c r="R90" s="33">
        <f ca="1">_xll.DBRW($C$1,$C$2,$C$3,$C$4,$C$6,$C$5,$C$7,R$1,R$2,A90)</f>
        <v>27.591593987894925</v>
      </c>
      <c r="S90" s="33">
        <f ca="1">_xll.DBRW($C$1,$C$2,$C$3,$C$4,$C$6,$C$5,$C$7,S$1,S$2,A90)</f>
        <v>21.131222660000002</v>
      </c>
      <c r="T90" s="33">
        <f ca="1">_xll.DBRW($C$1,$C$2,$C$3,$C$4,$C$6,$C$5,$C$7,T$1,T$2,A90)</f>
        <v>28.554681430606799</v>
      </c>
      <c r="U90" s="33">
        <f ca="1">_xll.DBRW($C$1,$C$2,$C$3,$C$4,$C$6,$C$5,$C$7,U$1,U$2,A90)</f>
        <v>32.369705245089129</v>
      </c>
      <c r="V90" s="33">
        <f ca="1">_xll.DBRW($C$1,$C$2,$C$3,$C$4,$C$6,$C$5,$C$7,V$1,V$2,A90)</f>
        <v>28.265736907221765</v>
      </c>
      <c r="W90" s="33">
        <f ca="1">_xll.DBRW($C$1,$C$2,$C$3,$C$4,$C$6,$C$5,$C$7,W$1,W$2,A90)</f>
        <v>39.453059294380594</v>
      </c>
      <c r="X90" s="33">
        <f ca="1">_xll.DBRW($C$1,$C$2,$C$3,$C$4,$C$6,$C$5,$C$7,X$1,X$2,A90)</f>
        <v>43.425718688329084</v>
      </c>
      <c r="Y90" s="33">
        <f ca="1">_xll.DBRW($C$1,$C$2,$C$3,$C$4,$C$6,$C$5,$C$7,Y$1,Y$2,A90)</f>
        <v>43.425718688329084</v>
      </c>
      <c r="Z90" s="33">
        <f ca="1">_xll.DBRW($C$1,$C$2,$C$3,$C$4,$C$6,$C$5,$C$7,Z$1,Z$2,A90)</f>
        <v>3.692524113822742</v>
      </c>
      <c r="AA90" s="33">
        <f ca="1">_xll.DBRW($C$1,$C$2,$C$3,$C$4,$C$6,$C$5,$C$7,AA$1,AA$2,A90)</f>
        <v>6.5717183910838468</v>
      </c>
      <c r="AB90" s="33">
        <f ca="1">_xll.DBRW($C$1,$C$2,$C$3,$C$4,$C$6,$C$5,$C$7,AB$1,AB$2,A90)</f>
        <v>10.403055394696239</v>
      </c>
      <c r="AC90" s="33">
        <f ca="1">_xll.DBRW($C$1,$C$2,$C$3,$C$4,$C$6,$C$5,$C$7,AC$1,AC$2,A90)</f>
        <v>13.2604916114083</v>
      </c>
      <c r="AD90" s="33">
        <f ca="1">_xll.DBRW($C$1,$C$2,$C$3,$C$4,$C$6,$C$5,$C$7,AD$1,AD$2,A90)</f>
        <v>16.515607879465204</v>
      </c>
      <c r="AE90" s="33">
        <f ca="1">_xll.DBRW($C$1,$C$2,$C$3,$C$4,$C$6,$C$5,$C$7,AE$1,AE$2,A90)</f>
        <v>20.187934472300086</v>
      </c>
      <c r="AF90" s="33">
        <f ca="1">_xll.DBRW($C$1,$C$2,$C$3,$C$4,$C$6,$C$5,$C$7,AF$1,AF$2,A90)</f>
        <v>22.70221036429102</v>
      </c>
      <c r="AG90" s="33">
        <f ca="1">_xll.DBRW($C$1,$C$2,$C$3,$C$4,$C$6,$C$5,$C$7,AG$1,AG$2,A90)</f>
        <v>24.782657043254609</v>
      </c>
      <c r="AH90" s="33">
        <f ca="1">_xll.DBRW($C$1,$C$2,$C$3,$C$4,$C$6,$C$5,$C$7,AH$1,AH$2,A90)</f>
        <v>27.99283736871784</v>
      </c>
      <c r="AI90" s="33">
        <f ca="1">_xll.DBRW($C$1,$C$2,$C$3,$C$4,$C$6,$C$5,$C$7,AI$1,AI$2,A90)</f>
        <v>30.945175142535156</v>
      </c>
      <c r="AJ90" s="33">
        <f ca="1">_xll.DBRW($C$1,$C$2,$C$3,$C$4,$C$6,$C$5,$C$7,AJ$1,AJ$2,A90)</f>
        <v>34.033003853322512</v>
      </c>
      <c r="AK90" s="33">
        <f ca="1">_xll.DBRW($C$1,$C$2,$C$3,$C$4,$C$6,$C$5,$C$7,AK$1,AK$2,A90)</f>
        <v>36.912765245453286</v>
      </c>
      <c r="AL90" s="33">
        <f ca="1">_xll.DBRW($C$1,$C$2,$C$3,$C$4,$C$6,$C$5,$C$7,AL$1,AL$2,A90)</f>
        <v>36.912765245453286</v>
      </c>
      <c r="AM90" s="33">
        <f ca="1">_xll.DBRW($C$1,$C$2,$C$3,$C$4,$C$6,$C$5,$C$7,AM$1,AM$2,A90)</f>
        <v>9.3401334206310568E-2</v>
      </c>
      <c r="AN90" s="33">
        <f ca="1">_xll.DBRW($C$1,$C$2,$C$3,$C$4,$C$6,$C$5,$C$7,AN$1,AN$2,A90)</f>
        <v>7.1507921189936408</v>
      </c>
      <c r="AO90" s="33">
        <f ca="1">_xll.DBRW($C$1,$C$2,$C$3,$C$4,$C$6,$C$5,$C$7,AO$1,AO$2,A90)</f>
        <v>3.5527136788005009E-15</v>
      </c>
      <c r="AP90" s="33">
        <f ca="1">_xll.DBRW($C$1,$C$2,$C$3,$C$4,$C$6,$C$5,$C$7,AP$1,AP$2,A90)</f>
        <v>3.5527136788005009E-15</v>
      </c>
      <c r="AQ90" s="33">
        <f ca="1">_xll.DBRW($C$1,$C$2,$C$3,$C$4,$C$6,$C$5,$C$7,AQ$1,AQ$2,A90)</f>
        <v>3.5527136788005009E-15</v>
      </c>
      <c r="AR90" s="33">
        <f ca="1">_xll.DBRW($C$1,$C$2,$C$3,$C$4,$C$6,$C$5,$C$7,AR$1,AR$2,A90)</f>
        <v>3.5527136788005009E-15</v>
      </c>
      <c r="AS90" s="33">
        <f ca="1">_xll.DBRW($C$1,$C$2,$C$3,$C$4,$C$6,$C$5,$C$7,AS$1,AS$2,A90)</f>
        <v>3.5527136788005009E-15</v>
      </c>
      <c r="AT90" s="33">
        <f ca="1">_xll.DBRW($C$1,$C$2,$C$3,$C$4,$C$6,$C$5,$C$7,AT$1,AT$2,A90)</f>
        <v>3.5527136788005009E-15</v>
      </c>
      <c r="AU90" s="33">
        <f ca="1">_xll.DBRW($C$1,$C$2,$C$3,$C$4,$C$6,$C$5,$C$7,AU$1,AU$2,A90)</f>
        <v>3.5527136788005009E-15</v>
      </c>
      <c r="AV90" s="33">
        <f ca="1">_xll.DBRW($C$1,$C$2,$C$3,$C$4,$C$6,$C$5,$C$7,AV$1,AV$2,A90)</f>
        <v>3.5527136788005009E-15</v>
      </c>
      <c r="AW90" s="33">
        <f ca="1">_xll.DBRW($C$1,$C$2,$C$3,$C$4,$C$6,$C$5,$C$7,AW$1,AW$2,A90)</f>
        <v>3.5527136788005009E-15</v>
      </c>
      <c r="AX90" s="33">
        <f ca="1">_xll.DBRW($C$1,$C$2,$C$3,$C$4,$C$6,$C$5,$C$7,AX$1,AX$2,A90)</f>
        <v>3.5527136788005009E-15</v>
      </c>
      <c r="AY90" s="33">
        <f ca="1">_xll.DBRW($C$1,$C$2,$C$3,$C$4,$C$6,$C$5,$C$7,AY$1,AY$2,A90)</f>
        <v>3.5527136788005009E-15</v>
      </c>
    </row>
    <row r="91" spans="1:51" ht="15.75" hidden="1" customHeight="1" outlineLevel="2">
      <c r="A91" s="1" t="s">
        <v>191</v>
      </c>
      <c r="C91" s="104"/>
      <c r="E91" s="9" t="str">
        <f ca="1">_xll.DBRW(Server&amp;"}ElementAttributes_Indicator",A91,"code_English")</f>
        <v>PL1155_ET_15 - Reinvoicing - Fuel</v>
      </c>
      <c r="F91" s="33">
        <f ca="1">_xll.DBRW($C$1,$C$2,$C$3,$C$4,$C$6,$C$5,$C$7,F$1,F$2,A91)</f>
        <v>10.109155847239997</v>
      </c>
      <c r="G91" s="33">
        <f ca="1">_xll.DBRW($C$1,$C$2,$C$3,$C$4,$C$6,$C$5,$C$7,G$1,G$2,A91)</f>
        <v>14.597703162380004</v>
      </c>
      <c r="H91" s="33">
        <f ca="1">_xll.DBRW($C$1,$C$2,$C$3,$C$4,$C$6,$C$5,$C$7,H$1,H$2,A91)</f>
        <v>5.4609757275000002</v>
      </c>
      <c r="I91" s="33">
        <f ca="1">_xll.DBRW($C$1,$C$2,$C$3,$C$4,$C$6,$C$5,$C$7,I$1,I$2,A91)</f>
        <v>2.0414299027799996</v>
      </c>
      <c r="J91" s="33">
        <f ca="1">_xll.DBRW($C$1,$C$2,$C$3,$C$4,$C$6,$C$5,$C$7,J$1,J$2,A91)</f>
        <v>6.3316410826400009</v>
      </c>
      <c r="K91" s="33">
        <f ca="1">_xll.DBRW($C$1,$C$2,$C$3,$C$4,$C$6,$C$5,$C$7,K$1,K$2,A91)</f>
        <v>10.516979429980001</v>
      </c>
      <c r="L91" s="33">
        <f ca="1">_xll.DBRW($C$1,$C$2,$C$3,$C$4,$C$6,$C$5,$C$7,L$1,L$2,A91)</f>
        <v>2.5884740143827916</v>
      </c>
      <c r="M91" s="33">
        <f ca="1">_xll.DBRW($C$1,$C$2,$C$3,$C$4,$C$6,$C$5,$C$7,M$1,M$2,A91)</f>
        <v>5.1140184999999838E-2</v>
      </c>
      <c r="N91" s="33">
        <f ca="1">_xll.DBRW($C$1,$C$2,$C$3,$C$4,$C$6,$C$5,$C$7,N$1,N$2,A91)</f>
        <v>0.15340497499999978</v>
      </c>
      <c r="O91" s="33">
        <f ca="1">_xll.DBRW($C$1,$C$2,$C$3,$C$4,$C$6,$C$5,$C$7,O$1,O$2,A91)</f>
        <v>1.0392242250000001</v>
      </c>
      <c r="P91" s="33">
        <f ca="1">_xll.DBRW($C$1,$C$2,$C$3,$C$4,$C$6,$C$5,$C$7,P$1,P$2,A91)</f>
        <v>1.6986675900000001</v>
      </c>
      <c r="Q91" s="33">
        <f ca="1">_xll.DBRW($C$1,$C$2,$C$3,$C$4,$C$6,$C$5,$C$7,Q$1,Q$2,A91)</f>
        <v>2.7479399913</v>
      </c>
      <c r="R91" s="33">
        <f ca="1">_xll.DBRW($C$1,$C$2,$C$3,$C$4,$C$6,$C$5,$C$7,R$1,R$2,A91)</f>
        <v>3.4273963512999996</v>
      </c>
      <c r="S91" s="33">
        <f ca="1">_xll.DBRW($C$1,$C$2,$C$3,$C$4,$C$6,$C$5,$C$7,S$1,S$2,A91)</f>
        <v>3.2545639229999996</v>
      </c>
      <c r="T91" s="33">
        <f ca="1">_xll.DBRW($C$1,$C$2,$C$3,$C$4,$C$6,$C$5,$C$7,T$1,T$2,A91)</f>
        <v>5.2452222000000006</v>
      </c>
      <c r="U91" s="33">
        <f ca="1">_xll.DBRW($C$1,$C$2,$C$3,$C$4,$C$6,$C$5,$C$7,U$1,U$2,A91)</f>
        <v>5.77641107</v>
      </c>
      <c r="V91" s="33">
        <f ca="1">_xll.DBRW($C$1,$C$2,$C$3,$C$4,$C$6,$C$5,$C$7,V$1,V$2,A91)</f>
        <v>5.1235636399999995</v>
      </c>
      <c r="W91" s="33">
        <f ca="1">_xll.DBRW($C$1,$C$2,$C$3,$C$4,$C$6,$C$5,$C$7,W$1,W$2,A91)</f>
        <v>7.6481396549999996</v>
      </c>
      <c r="X91" s="33">
        <f ca="1">_xll.DBRW($C$1,$C$2,$C$3,$C$4,$C$6,$C$5,$C$7,X$1,X$2,A91)</f>
        <v>8.3300790649999996</v>
      </c>
      <c r="Y91" s="33">
        <f ca="1">_xll.DBRW($C$1,$C$2,$C$3,$C$4,$C$6,$C$5,$C$7,Y$1,Y$2,A91)</f>
        <v>8.3300790649999996</v>
      </c>
      <c r="Z91" s="33">
        <f ca="1">_xll.DBRW($C$1,$C$2,$C$3,$C$4,$C$6,$C$5,$C$7,Z$1,Z$2,A91)</f>
        <v>0.40744142221396917</v>
      </c>
      <c r="AA91" s="33">
        <f ca="1">_xll.DBRW($C$1,$C$2,$C$3,$C$4,$C$6,$C$5,$C$7,AA$1,AA$2,A91)</f>
        <v>0.81067623442793812</v>
      </c>
      <c r="AB91" s="33">
        <f ca="1">_xll.DBRW($C$1,$C$2,$C$3,$C$4,$C$6,$C$5,$C$7,AB$1,AB$2,A91)</f>
        <v>1.2579025366419072</v>
      </c>
      <c r="AC91" s="33">
        <f ca="1">_xll.DBRW($C$1,$C$2,$C$3,$C$4,$C$6,$C$5,$C$7,AC$1,AC$2,A91)</f>
        <v>1.6825634188558762</v>
      </c>
      <c r="AD91" s="33">
        <f ca="1">_xll.DBRW($C$1,$C$2,$C$3,$C$4,$C$6,$C$5,$C$7,AD$1,AD$2,A91)</f>
        <v>2.1378041310698448</v>
      </c>
      <c r="AE91" s="33">
        <f ca="1">_xll.DBRW($C$1,$C$2,$C$3,$C$4,$C$6,$C$5,$C$7,AE$1,AE$2,A91)</f>
        <v>2.5781753632838136</v>
      </c>
      <c r="AF91" s="33">
        <f ca="1">_xll.DBRW($C$1,$C$2,$C$3,$C$4,$C$6,$C$5,$C$7,AF$1,AF$2,A91)</f>
        <v>3.0276246154977828</v>
      </c>
      <c r="AG91" s="33">
        <f ca="1">_xll.DBRW($C$1,$C$2,$C$3,$C$4,$C$6,$C$5,$C$7,AG$1,AG$2,A91)</f>
        <v>3.4105225107117514</v>
      </c>
      <c r="AH91" s="33">
        <f ca="1">_xll.DBRW($C$1,$C$2,$C$3,$C$4,$C$6,$C$5,$C$7,AH$1,AH$2,A91)</f>
        <v>3.8236313914257205</v>
      </c>
      <c r="AI91" s="33">
        <f ca="1">_xll.DBRW($C$1,$C$2,$C$3,$C$4,$C$6,$C$5,$C$7,AI$1,AI$2,A91)</f>
        <v>4.2405324931396899</v>
      </c>
      <c r="AJ91" s="33">
        <f ca="1">_xll.DBRW($C$1,$C$2,$C$3,$C$4,$C$6,$C$5,$C$7,AJ$1,AJ$2,A91)</f>
        <v>4.6512481698536572</v>
      </c>
      <c r="AK91" s="33">
        <f ca="1">_xll.DBRW($C$1,$C$2,$C$3,$C$4,$C$6,$C$5,$C$7,AK$1,AK$2,A91)</f>
        <v>5.0436004815676263</v>
      </c>
      <c r="AL91" s="33">
        <f ca="1">_xll.DBRW($C$1,$C$2,$C$3,$C$4,$C$6,$C$5,$C$7,AL$1,AL$2,A91)</f>
        <v>5.0436004815676263</v>
      </c>
      <c r="AM91" s="33">
        <f ca="1">_xll.DBRW($C$1,$C$2,$C$3,$C$4,$C$6,$C$5,$C$7,AM$1,AM$2,A91)</f>
        <v>0.41438407499999996</v>
      </c>
      <c r="AN91" s="33">
        <f ca="1">_xll.DBRW($C$1,$C$2,$C$3,$C$4,$C$6,$C$5,$C$7,AN$1,AN$2,A91)</f>
        <v>1.4672951600000004</v>
      </c>
      <c r="AO91" s="33">
        <f ca="1">_xll.DBRW($C$1,$C$2,$C$3,$C$4,$C$6,$C$5,$C$7,AO$1,AO$2,A91)</f>
        <v>-2.2204460492503131E-16</v>
      </c>
      <c r="AP91" s="33">
        <f ca="1">_xll.DBRW($C$1,$C$2,$C$3,$C$4,$C$6,$C$5,$C$7,AP$1,AP$2,A91)</f>
        <v>-2.2204460492503131E-16</v>
      </c>
      <c r="AQ91" s="33">
        <f ca="1">_xll.DBRW($C$1,$C$2,$C$3,$C$4,$C$6,$C$5,$C$7,AQ$1,AQ$2,A91)</f>
        <v>-2.2204460492503131E-16</v>
      </c>
      <c r="AR91" s="33">
        <f ca="1">_xll.DBRW($C$1,$C$2,$C$3,$C$4,$C$6,$C$5,$C$7,AR$1,AR$2,A91)</f>
        <v>-2.2204460492503131E-16</v>
      </c>
      <c r="AS91" s="33">
        <f ca="1">_xll.DBRW($C$1,$C$2,$C$3,$C$4,$C$6,$C$5,$C$7,AS$1,AS$2,A91)</f>
        <v>-2.2204460492503131E-16</v>
      </c>
      <c r="AT91" s="33">
        <f ca="1">_xll.DBRW($C$1,$C$2,$C$3,$C$4,$C$6,$C$5,$C$7,AT$1,AT$2,A91)</f>
        <v>-2.2204460492503131E-16</v>
      </c>
      <c r="AU91" s="33">
        <f ca="1">_xll.DBRW($C$1,$C$2,$C$3,$C$4,$C$6,$C$5,$C$7,AU$1,AU$2,A91)</f>
        <v>-2.2204460492503131E-16</v>
      </c>
      <c r="AV91" s="33">
        <f ca="1">_xll.DBRW($C$1,$C$2,$C$3,$C$4,$C$6,$C$5,$C$7,AV$1,AV$2,A91)</f>
        <v>-2.2204460492503131E-16</v>
      </c>
      <c r="AW91" s="33">
        <f ca="1">_xll.DBRW($C$1,$C$2,$C$3,$C$4,$C$6,$C$5,$C$7,AW$1,AW$2,A91)</f>
        <v>-2.2204460492503131E-16</v>
      </c>
      <c r="AX91" s="33">
        <f ca="1">_xll.DBRW($C$1,$C$2,$C$3,$C$4,$C$6,$C$5,$C$7,AX$1,AX$2,A91)</f>
        <v>-2.2204460492503131E-16</v>
      </c>
      <c r="AY91" s="33">
        <f ca="1">_xll.DBRW($C$1,$C$2,$C$3,$C$4,$C$6,$C$5,$C$7,AY$1,AY$2,A91)</f>
        <v>-2.2204460492503131E-16</v>
      </c>
    </row>
    <row r="92" spans="1:51" ht="15.5" hidden="1" outlineLevel="1" collapsed="1">
      <c r="C92" s="104"/>
      <c r="E92" s="84" t="s">
        <v>32</v>
      </c>
      <c r="F92" s="34">
        <f t="shared" ref="F92:L92" ca="1" si="59">SUM(F88:F91)</f>
        <v>-342.01781959433305</v>
      </c>
      <c r="G92" s="34">
        <f t="shared" ca="1" si="59"/>
        <v>-337.33535799828724</v>
      </c>
      <c r="H92" s="34">
        <f t="shared" ca="1" si="59"/>
        <v>-375.7070090214421</v>
      </c>
      <c r="I92" s="34">
        <f t="shared" ca="1" si="59"/>
        <v>-317.6042429605705</v>
      </c>
      <c r="J92" s="34">
        <f t="shared" ca="1" si="59"/>
        <v>-284.21320268435807</v>
      </c>
      <c r="K92" s="34">
        <f t="shared" ca="1" si="59"/>
        <v>-364.43927842601539</v>
      </c>
      <c r="L92" s="34">
        <f t="shared" ca="1" si="59"/>
        <v>-354.55422465787075</v>
      </c>
      <c r="M92" s="34">
        <f t="shared" ref="M92:X92" ca="1" si="60">SUM(M88:M91)</f>
        <v>-22.055760331501503</v>
      </c>
      <c r="N92" s="34">
        <f t="shared" ca="1" si="60"/>
        <v>-70.919545711436285</v>
      </c>
      <c r="O92" s="34">
        <f t="shared" ca="1" si="60"/>
        <v>-119.54555059341203</v>
      </c>
      <c r="P92" s="34">
        <f t="shared" ca="1" si="60"/>
        <v>-157.40837077751161</v>
      </c>
      <c r="Q92" s="34">
        <f t="shared" ca="1" si="60"/>
        <v>-190.25308280016262</v>
      </c>
      <c r="R92" s="34">
        <f t="shared" ca="1" si="60"/>
        <v>-243.91531073084107</v>
      </c>
      <c r="S92" s="34">
        <f t="shared" ca="1" si="60"/>
        <v>-179.97578310975331</v>
      </c>
      <c r="T92" s="34">
        <f t="shared" ca="1" si="60"/>
        <v>-313.27552077402839</v>
      </c>
      <c r="U92" s="34">
        <f t="shared" ca="1" si="60"/>
        <v>-355.94230455394626</v>
      </c>
      <c r="V92" s="34">
        <f t="shared" ca="1" si="60"/>
        <v>-277.10126984804424</v>
      </c>
      <c r="W92" s="34">
        <f t="shared" ca="1" si="60"/>
        <v>-431.82016312268161</v>
      </c>
      <c r="X92" s="34">
        <f t="shared" ca="1" si="60"/>
        <v>-486.77503927320464</v>
      </c>
      <c r="Y92" s="34">
        <f ca="1">SUM(Y88:Y91)</f>
        <v>-486.77503927320464</v>
      </c>
      <c r="Z92" s="34">
        <f t="shared" ref="Z92:AK92" ca="1" si="61">SUM(Z88:Z91)</f>
        <v>-43.197615104509126</v>
      </c>
      <c r="AA92" s="34">
        <f t="shared" ca="1" si="61"/>
        <v>-81.757270304225159</v>
      </c>
      <c r="AB92" s="34">
        <f t="shared" ca="1" si="61"/>
        <v>-127.86993134303411</v>
      </c>
      <c r="AC92" s="34">
        <f t="shared" ca="1" si="61"/>
        <v>-165.19746544609225</v>
      </c>
      <c r="AD92" s="34">
        <f t="shared" ca="1" si="61"/>
        <v>-206.96684063845069</v>
      </c>
      <c r="AE92" s="34">
        <f t="shared" ca="1" si="61"/>
        <v>-250.33113981481947</v>
      </c>
      <c r="AF92" s="34">
        <f t="shared" ca="1" si="61"/>
        <v>-286.18596391277748</v>
      </c>
      <c r="AG92" s="34">
        <f t="shared" ca="1" si="61"/>
        <v>-319.25097371405604</v>
      </c>
      <c r="AH92" s="34">
        <f t="shared" ca="1" si="61"/>
        <v>-359.29941027724095</v>
      </c>
      <c r="AI92" s="34">
        <f t="shared" ca="1" si="61"/>
        <v>-397.77056348728519</v>
      </c>
      <c r="AJ92" s="34">
        <f t="shared" ca="1" si="61"/>
        <v>-437.17023301634657</v>
      </c>
      <c r="AK92" s="34">
        <f t="shared" ca="1" si="61"/>
        <v>-473.70335625928959</v>
      </c>
      <c r="AL92" s="34">
        <f ca="1">SUM(AL88:AL91)</f>
        <v>-473.70335625928959</v>
      </c>
      <c r="AM92" s="34">
        <f t="shared" ref="AM92:AX92" ca="1" si="62">SUM(AM88:AM91)</f>
        <v>-24.274316116006716</v>
      </c>
      <c r="AN92" s="34">
        <f t="shared" ca="1" si="62"/>
        <v>-77.189802651767934</v>
      </c>
      <c r="AO92" s="34">
        <f t="shared" ca="1" si="62"/>
        <v>-2.5085836186100607E-14</v>
      </c>
      <c r="AP92" s="34">
        <f t="shared" ca="1" si="62"/>
        <v>-2.5085836186100607E-14</v>
      </c>
      <c r="AQ92" s="34">
        <f t="shared" ca="1" si="62"/>
        <v>-2.5085836186100607E-14</v>
      </c>
      <c r="AR92" s="34">
        <f t="shared" ca="1" si="62"/>
        <v>-2.5085836186100607E-14</v>
      </c>
      <c r="AS92" s="34">
        <f t="shared" ca="1" si="62"/>
        <v>-2.5085836186100607E-14</v>
      </c>
      <c r="AT92" s="34">
        <f t="shared" ca="1" si="62"/>
        <v>-2.5085836186100607E-14</v>
      </c>
      <c r="AU92" s="34">
        <f t="shared" ca="1" si="62"/>
        <v>-2.5085836186100607E-14</v>
      </c>
      <c r="AV92" s="34">
        <f t="shared" ca="1" si="62"/>
        <v>-2.5085836186100607E-14</v>
      </c>
      <c r="AW92" s="34">
        <f t="shared" ca="1" si="62"/>
        <v>-2.5085836186100607E-14</v>
      </c>
      <c r="AX92" s="34">
        <f t="shared" ca="1" si="62"/>
        <v>-2.5085836186100607E-14</v>
      </c>
      <c r="AY92" s="34">
        <f ca="1">SUM(AY88:AY91)</f>
        <v>-2.5085836186100607E-14</v>
      </c>
    </row>
    <row r="93" spans="1:51" ht="15.75" hidden="1" customHeight="1" outlineLevel="2">
      <c r="A93" s="1" t="s">
        <v>192</v>
      </c>
      <c r="C93" s="104"/>
      <c r="E93" s="9" t="str">
        <f ca="1">_xll.DBRW(Server&amp;"}ElementAttributes_Indicator",A93,"code_English")</f>
        <v>PL1115_ET_81 - Bio fuel</v>
      </c>
      <c r="F93" s="33">
        <f ca="1">_xll.DBRW($C$1,$C$2,$C$3,$C$4,$C$6,$C$5,$C$7,F$1,F$2,A93)</f>
        <v>-11.981235210136846</v>
      </c>
      <c r="G93" s="33">
        <f ca="1">_xll.DBRW($C$1,$C$2,$C$3,$C$4,$C$6,$C$5,$C$7,G$1,G$2,A93)</f>
        <v>-9.869063550065766</v>
      </c>
      <c r="H93" s="33">
        <f ca="1">_xll.DBRW($C$1,$C$2,$C$3,$C$4,$C$6,$C$5,$C$7,H$1,H$2,A93)</f>
        <v>-9.7695168635180742</v>
      </c>
      <c r="I93" s="33">
        <f ca="1">_xll.DBRW($C$1,$C$2,$C$3,$C$4,$C$6,$C$5,$C$7,I$1,I$2,A93)</f>
        <v>-11.643828290845599</v>
      </c>
      <c r="J93" s="33">
        <f ca="1">_xll.DBRW($C$1,$C$2,$C$3,$C$4,$C$6,$C$5,$C$7,J$1,J$2,A93)</f>
        <v>-10.13223991949687</v>
      </c>
      <c r="K93" s="33">
        <f ca="1">_xll.DBRW($C$1,$C$2,$C$3,$C$4,$C$6,$C$5,$C$7,K$1,K$2,A93)</f>
        <v>-12.060539779832558</v>
      </c>
      <c r="L93" s="33">
        <f ca="1">_xll.DBRW($C$1,$C$2,$C$3,$C$4,$C$6,$C$5,$C$7,L$1,L$2,A93)</f>
        <v>-14.929439216431039</v>
      </c>
      <c r="M93" s="33">
        <f ca="1">_xll.DBRW($C$1,$C$2,$C$3,$C$4,$C$6,$C$5,$C$7,M$1,M$2,A93)</f>
        <v>-0.54705243999999997</v>
      </c>
      <c r="N93" s="33">
        <f ca="1">_xll.DBRW($C$1,$C$2,$C$3,$C$4,$C$6,$C$5,$C$7,N$1,N$2,A93)</f>
        <v>-2.2658490793961796</v>
      </c>
      <c r="O93" s="33">
        <f ca="1">_xll.DBRW($C$1,$C$2,$C$3,$C$4,$C$6,$C$5,$C$7,O$1,O$2,A93)</f>
        <v>-4.096438272430456</v>
      </c>
      <c r="P93" s="33">
        <f ca="1">_xll.DBRW($C$1,$C$2,$C$3,$C$4,$C$6,$C$5,$C$7,P$1,P$2,A93)</f>
        <v>-6.204126298856842</v>
      </c>
      <c r="Q93" s="33">
        <f ca="1">_xll.DBRW($C$1,$C$2,$C$3,$C$4,$C$6,$C$5,$C$7,Q$1,Q$2,A93)</f>
        <v>-21.431937500154365</v>
      </c>
      <c r="R93" s="33">
        <f ca="1">_xll.DBRW($C$1,$C$2,$C$3,$C$4,$C$6,$C$5,$C$7,R$1,R$2,A93)</f>
        <v>-25.8943269010332</v>
      </c>
      <c r="S93" s="33">
        <f ca="1">_xll.DBRW($C$1,$C$2,$C$3,$C$4,$C$6,$C$5,$C$7,S$1,S$2,A93)</f>
        <v>-4.9989761500000043</v>
      </c>
      <c r="T93" s="33">
        <f ca="1">_xll.DBRW($C$1,$C$2,$C$3,$C$4,$C$6,$C$5,$C$7,T$1,T$2,A93)</f>
        <v>-34.749615384971833</v>
      </c>
      <c r="U93" s="33">
        <f ca="1">_xll.DBRW($C$1,$C$2,$C$3,$C$4,$C$6,$C$5,$C$7,U$1,U$2,A93)</f>
        <v>-37.881029645562172</v>
      </c>
      <c r="V93" s="33">
        <f ca="1">_xll.DBRW($C$1,$C$2,$C$3,$C$4,$C$6,$C$5,$C$7,V$1,V$2,A93)</f>
        <v>-7.5721237049988837</v>
      </c>
      <c r="W93" s="33">
        <f ca="1">_xll.DBRW($C$1,$C$2,$C$3,$C$4,$C$6,$C$5,$C$7,W$1,W$2,A93)</f>
        <v>-8.6030488295258589</v>
      </c>
      <c r="X93" s="33">
        <f ca="1">_xll.DBRW($C$1,$C$2,$C$3,$C$4,$C$6,$C$5,$C$7,X$1,X$2,A93)</f>
        <v>-57.166657495988517</v>
      </c>
      <c r="Y93" s="33">
        <f ca="1">_xll.DBRW($C$1,$C$2,$C$3,$C$4,$C$6,$C$5,$C$7,Y$1,Y$2,A93)</f>
        <v>-57.166657495988517</v>
      </c>
      <c r="Z93" s="33">
        <f ca="1">_xll.DBRW($C$1,$C$2,$C$3,$C$4,$C$6,$C$5,$C$7,Z$1,Z$2,A93)</f>
        <v>-0.62269214162379993</v>
      </c>
      <c r="AA93" s="33">
        <f ca="1">_xll.DBRW($C$1,$C$2,$C$3,$C$4,$C$6,$C$5,$C$7,AA$1,AA$2,A93)</f>
        <v>-12.663516385749636</v>
      </c>
      <c r="AB93" s="33">
        <f ca="1">_xll.DBRW($C$1,$C$2,$C$3,$C$4,$C$6,$C$5,$C$7,AB$1,AB$2,A93)</f>
        <v>-19.589068272957924</v>
      </c>
      <c r="AC93" s="33">
        <f ca="1">_xll.DBRW($C$1,$C$2,$C$3,$C$4,$C$6,$C$5,$C$7,AC$1,AC$2,A93)</f>
        <v>-25.041521373496217</v>
      </c>
      <c r="AD93" s="33">
        <f ca="1">_xll.DBRW($C$1,$C$2,$C$3,$C$4,$C$6,$C$5,$C$7,AD$1,AD$2,A93)</f>
        <v>-30.987059976568663</v>
      </c>
      <c r="AE93" s="33">
        <f ca="1">_xll.DBRW($C$1,$C$2,$C$3,$C$4,$C$6,$C$5,$C$7,AE$1,AE$2,A93)</f>
        <v>-36.361217368247104</v>
      </c>
      <c r="AF93" s="33">
        <f ca="1">_xll.DBRW($C$1,$C$2,$C$3,$C$4,$C$6,$C$5,$C$7,AF$1,AF$2,A93)</f>
        <v>-41.31889686127694</v>
      </c>
      <c r="AG93" s="33">
        <f ca="1">_xll.DBRW($C$1,$C$2,$C$3,$C$4,$C$6,$C$5,$C$7,AG$1,AG$2,A93)</f>
        <v>-46.833702400413948</v>
      </c>
      <c r="AH93" s="33">
        <f ca="1">_xll.DBRW($C$1,$C$2,$C$3,$C$4,$C$6,$C$5,$C$7,AH$1,AH$2,A93)</f>
        <v>-52.742162413857855</v>
      </c>
      <c r="AI93" s="33">
        <f ca="1">_xll.DBRW($C$1,$C$2,$C$3,$C$4,$C$6,$C$5,$C$7,AI$1,AI$2,A93)</f>
        <v>-58.996330594102034</v>
      </c>
      <c r="AJ93" s="33">
        <f ca="1">_xll.DBRW($C$1,$C$2,$C$3,$C$4,$C$6,$C$5,$C$7,AJ$1,AJ$2,A93)</f>
        <v>-65.304761111359255</v>
      </c>
      <c r="AK93" s="33">
        <f ca="1">_xll.DBRW($C$1,$C$2,$C$3,$C$4,$C$6,$C$5,$C$7,AK$1,AK$2,A93)</f>
        <v>-71.364738559438024</v>
      </c>
      <c r="AL93" s="33">
        <f ca="1">_xll.DBRW($C$1,$C$2,$C$3,$C$4,$C$6,$C$5,$C$7,AL$1,AL$2,A93)</f>
        <v>-71.364738559438024</v>
      </c>
      <c r="AM93" s="33">
        <f ca="1">_xll.DBRW($C$1,$C$2,$C$3,$C$4,$C$6,$C$5,$C$7,AM$1,AM$2,A93)</f>
        <v>-1.0759846671207476</v>
      </c>
      <c r="AN93" s="33">
        <f ca="1">_xll.DBRW($C$1,$C$2,$C$3,$C$4,$C$6,$C$5,$C$7,AN$1,AN$2,A93)</f>
        <v>-10.987345452242897</v>
      </c>
      <c r="AO93" s="33">
        <f ca="1">_xll.DBRW($C$1,$C$2,$C$3,$C$4,$C$6,$C$5,$C$7,AO$1,AO$2,A93)</f>
        <v>-1.7763568394002505E-15</v>
      </c>
      <c r="AP93" s="33">
        <f ca="1">_xll.DBRW($C$1,$C$2,$C$3,$C$4,$C$6,$C$5,$C$7,AP$1,AP$2,A93)</f>
        <v>-1.7763568394002505E-15</v>
      </c>
      <c r="AQ93" s="33">
        <f ca="1">_xll.DBRW($C$1,$C$2,$C$3,$C$4,$C$6,$C$5,$C$7,AQ$1,AQ$2,A93)</f>
        <v>-1.7763568394002505E-15</v>
      </c>
      <c r="AR93" s="33">
        <f ca="1">_xll.DBRW($C$1,$C$2,$C$3,$C$4,$C$6,$C$5,$C$7,AR$1,AR$2,A93)</f>
        <v>-1.7763568394002505E-15</v>
      </c>
      <c r="AS93" s="33">
        <f ca="1">_xll.DBRW($C$1,$C$2,$C$3,$C$4,$C$6,$C$5,$C$7,AS$1,AS$2,A93)</f>
        <v>-1.7763568394002505E-15</v>
      </c>
      <c r="AT93" s="33">
        <f ca="1">_xll.DBRW($C$1,$C$2,$C$3,$C$4,$C$6,$C$5,$C$7,AT$1,AT$2,A93)</f>
        <v>-1.7763568394002505E-15</v>
      </c>
      <c r="AU93" s="33">
        <f ca="1">_xll.DBRW($C$1,$C$2,$C$3,$C$4,$C$6,$C$5,$C$7,AU$1,AU$2,A93)</f>
        <v>-1.7763568394002505E-15</v>
      </c>
      <c r="AV93" s="33">
        <f ca="1">_xll.DBRW($C$1,$C$2,$C$3,$C$4,$C$6,$C$5,$C$7,AV$1,AV$2,A93)</f>
        <v>-1.7763568394002505E-15</v>
      </c>
      <c r="AW93" s="33">
        <f ca="1">_xll.DBRW($C$1,$C$2,$C$3,$C$4,$C$6,$C$5,$C$7,AW$1,AW$2,A93)</f>
        <v>-1.7763568394002505E-15</v>
      </c>
      <c r="AX93" s="33">
        <f ca="1">_xll.DBRW($C$1,$C$2,$C$3,$C$4,$C$6,$C$5,$C$7,AX$1,AX$2,A93)</f>
        <v>-1.7763568394002505E-15</v>
      </c>
      <c r="AY93" s="33">
        <f ca="1">_xll.DBRW($C$1,$C$2,$C$3,$C$4,$C$6,$C$5,$C$7,AY$1,AY$2,A93)</f>
        <v>-1.7763568394002505E-15</v>
      </c>
    </row>
    <row r="94" spans="1:51" ht="15.75" hidden="1" customHeight="1" outlineLevel="2">
      <c r="A94" s="1" t="s">
        <v>193</v>
      </c>
      <c r="C94" s="104"/>
      <c r="E94" s="9" t="str">
        <f ca="1">_xll.DBRW(Server&amp;"}ElementAttributes_Indicator",A94,"code_English")</f>
        <v>PL1155_ET_16 - Reinvoicing - Bio fuel</v>
      </c>
      <c r="F94" s="33">
        <f ca="1">_xll.DBRW($C$1,$C$2,$C$3,$C$4,$C$6,$C$5,$C$7,F$1,F$2,A94)</f>
        <v>-1.8172199999999972E-3</v>
      </c>
      <c r="G94" s="33">
        <f ca="1">_xll.DBRW($C$1,$C$2,$C$3,$C$4,$C$6,$C$5,$C$7,G$1,G$2,A94)</f>
        <v>2.7100000000030013E-6</v>
      </c>
      <c r="H94" s="33">
        <f ca="1">_xll.DBRW($C$1,$C$2,$C$3,$C$4,$C$6,$C$5,$C$7,H$1,H$2,A94)</f>
        <v>4.9399999999999791E-5</v>
      </c>
      <c r="I94" s="33">
        <f ca="1">_xll.DBRW($C$1,$C$2,$C$3,$C$4,$C$6,$C$5,$C$7,I$1,I$2,A94)</f>
        <v>-1.9210299999999972E-3</v>
      </c>
      <c r="J94" s="33">
        <f ca="1">_xll.DBRW($C$1,$C$2,$C$3,$C$4,$C$6,$C$5,$C$7,J$1,J$2,A94)</f>
        <v>1.250000000000006E-5</v>
      </c>
      <c r="K94" s="33">
        <f ca="1">_xll.DBRW($C$1,$C$2,$C$3,$C$4,$C$6,$C$5,$C$7,K$1,K$2,A94)</f>
        <v>5.8595999999999952E-4</v>
      </c>
      <c r="L94" s="33">
        <f ca="1">_xll.DBRW($C$1,$C$2,$C$3,$C$4,$C$6,$C$5,$C$7,L$1,L$2,A94)</f>
        <v>0</v>
      </c>
      <c r="M94" s="33">
        <f ca="1">_xll.DBRW($C$1,$C$2,$C$3,$C$4,$C$6,$C$5,$C$7,M$1,M$2,A94)</f>
        <v>0</v>
      </c>
      <c r="N94" s="33">
        <f ca="1">_xll.DBRW($C$1,$C$2,$C$3,$C$4,$C$6,$C$5,$C$7,N$1,N$2,A94)</f>
        <v>0</v>
      </c>
      <c r="O94" s="33">
        <f ca="1">_xll.DBRW($C$1,$C$2,$C$3,$C$4,$C$6,$C$5,$C$7,O$1,O$2,A94)</f>
        <v>0</v>
      </c>
      <c r="P94" s="33">
        <f ca="1">_xll.DBRW($C$1,$C$2,$C$3,$C$4,$C$6,$C$5,$C$7,P$1,P$2,A94)</f>
        <v>0</v>
      </c>
      <c r="Q94" s="33">
        <f ca="1">_xll.DBRW($C$1,$C$2,$C$3,$C$4,$C$6,$C$5,$C$7,Q$1,Q$2,A94)</f>
        <v>0</v>
      </c>
      <c r="R94" s="33">
        <f ca="1">_xll.DBRW($C$1,$C$2,$C$3,$C$4,$C$6,$C$5,$C$7,R$1,R$2,A94)</f>
        <v>0</v>
      </c>
      <c r="S94" s="33">
        <f ca="1">_xll.DBRW($C$1,$C$2,$C$3,$C$4,$C$6,$C$5,$C$7,S$1,S$2,A94)</f>
        <v>0</v>
      </c>
      <c r="T94" s="33">
        <f ca="1">_xll.DBRW($C$1,$C$2,$C$3,$C$4,$C$6,$C$5,$C$7,T$1,T$2,A94)</f>
        <v>4.5345529999999995E-2</v>
      </c>
      <c r="U94" s="33">
        <f ca="1">_xll.DBRW($C$1,$C$2,$C$3,$C$4,$C$6,$C$5,$C$7,U$1,U$2,A94)</f>
        <v>5.0345529999999993E-2</v>
      </c>
      <c r="V94" s="33">
        <f ca="1">_xll.DBRW($C$1,$C$2,$C$3,$C$4,$C$6,$C$5,$C$7,V$1,V$2,A94)</f>
        <v>2.4132529999999992E-2</v>
      </c>
      <c r="W94" s="33">
        <f ca="1">_xll.DBRW($C$1,$C$2,$C$3,$C$4,$C$6,$C$5,$C$7,W$1,W$2,A94)</f>
        <v>6.0345529999999988E-2</v>
      </c>
      <c r="X94" s="33">
        <f ca="1">_xll.DBRW($C$1,$C$2,$C$3,$C$4,$C$6,$C$5,$C$7,X$1,X$2,A94)</f>
        <v>2.4132529999999992E-2</v>
      </c>
      <c r="Y94" s="33">
        <f ca="1">_xll.DBRW($C$1,$C$2,$C$3,$C$4,$C$6,$C$5,$C$7,Y$1,Y$2,A94)</f>
        <v>2.4132529999999992E-2</v>
      </c>
      <c r="Z94" s="33">
        <f ca="1">_xll.DBRW($C$1,$C$2,$C$3,$C$4,$C$6,$C$5,$C$7,Z$1,Z$2,A94)</f>
        <v>0</v>
      </c>
      <c r="AA94" s="33">
        <f ca="1">_xll.DBRW($C$1,$C$2,$C$3,$C$4,$C$6,$C$5,$C$7,AA$1,AA$2,A94)</f>
        <v>0</v>
      </c>
      <c r="AB94" s="33">
        <f ca="1">_xll.DBRW($C$1,$C$2,$C$3,$C$4,$C$6,$C$5,$C$7,AB$1,AB$2,A94)</f>
        <v>0</v>
      </c>
      <c r="AC94" s="33">
        <f ca="1">_xll.DBRW($C$1,$C$2,$C$3,$C$4,$C$6,$C$5,$C$7,AC$1,AC$2,A94)</f>
        <v>0</v>
      </c>
      <c r="AD94" s="33">
        <f ca="1">_xll.DBRW($C$1,$C$2,$C$3,$C$4,$C$6,$C$5,$C$7,AD$1,AD$2,A94)</f>
        <v>0</v>
      </c>
      <c r="AE94" s="33">
        <f ca="1">_xll.DBRW($C$1,$C$2,$C$3,$C$4,$C$6,$C$5,$C$7,AE$1,AE$2,A94)</f>
        <v>0</v>
      </c>
      <c r="AF94" s="33">
        <f ca="1">_xll.DBRW($C$1,$C$2,$C$3,$C$4,$C$6,$C$5,$C$7,AF$1,AF$2,A94)</f>
        <v>0</v>
      </c>
      <c r="AG94" s="33">
        <f ca="1">_xll.DBRW($C$1,$C$2,$C$3,$C$4,$C$6,$C$5,$C$7,AG$1,AG$2,A94)</f>
        <v>0</v>
      </c>
      <c r="AH94" s="33">
        <f ca="1">_xll.DBRW($C$1,$C$2,$C$3,$C$4,$C$6,$C$5,$C$7,AH$1,AH$2,A94)</f>
        <v>0</v>
      </c>
      <c r="AI94" s="33">
        <f ca="1">_xll.DBRW($C$1,$C$2,$C$3,$C$4,$C$6,$C$5,$C$7,AI$1,AI$2,A94)</f>
        <v>0</v>
      </c>
      <c r="AJ94" s="33">
        <f ca="1">_xll.DBRW($C$1,$C$2,$C$3,$C$4,$C$6,$C$5,$C$7,AJ$1,AJ$2,A94)</f>
        <v>0</v>
      </c>
      <c r="AK94" s="33">
        <f ca="1">_xll.DBRW($C$1,$C$2,$C$3,$C$4,$C$6,$C$5,$C$7,AK$1,AK$2,A94)</f>
        <v>0</v>
      </c>
      <c r="AL94" s="33">
        <f ca="1">_xll.DBRW($C$1,$C$2,$C$3,$C$4,$C$6,$C$5,$C$7,AL$1,AL$2,A94)</f>
        <v>0</v>
      </c>
      <c r="AM94" s="33">
        <f ca="1">_xll.DBRW($C$1,$C$2,$C$3,$C$4,$C$6,$C$5,$C$7,AM$1,AM$2,A94)</f>
        <v>0</v>
      </c>
      <c r="AN94" s="33">
        <f ca="1">_xll.DBRW($C$1,$C$2,$C$3,$C$4,$C$6,$C$5,$C$7,AN$1,AN$2,A94)</f>
        <v>0</v>
      </c>
      <c r="AO94" s="33">
        <f ca="1">_xll.DBRW($C$1,$C$2,$C$3,$C$4,$C$6,$C$5,$C$7,AO$1,AO$2,A94)</f>
        <v>0</v>
      </c>
      <c r="AP94" s="33">
        <f ca="1">_xll.DBRW($C$1,$C$2,$C$3,$C$4,$C$6,$C$5,$C$7,AP$1,AP$2,A94)</f>
        <v>0</v>
      </c>
      <c r="AQ94" s="33">
        <f ca="1">_xll.DBRW($C$1,$C$2,$C$3,$C$4,$C$6,$C$5,$C$7,AQ$1,AQ$2,A94)</f>
        <v>0</v>
      </c>
      <c r="AR94" s="33">
        <f ca="1">_xll.DBRW($C$1,$C$2,$C$3,$C$4,$C$6,$C$5,$C$7,AR$1,AR$2,A94)</f>
        <v>0</v>
      </c>
      <c r="AS94" s="33">
        <f ca="1">_xll.DBRW($C$1,$C$2,$C$3,$C$4,$C$6,$C$5,$C$7,AS$1,AS$2,A94)</f>
        <v>0</v>
      </c>
      <c r="AT94" s="33">
        <f ca="1">_xll.DBRW($C$1,$C$2,$C$3,$C$4,$C$6,$C$5,$C$7,AT$1,AT$2,A94)</f>
        <v>0</v>
      </c>
      <c r="AU94" s="33">
        <f ca="1">_xll.DBRW($C$1,$C$2,$C$3,$C$4,$C$6,$C$5,$C$7,AU$1,AU$2,A94)</f>
        <v>0</v>
      </c>
      <c r="AV94" s="33">
        <f ca="1">_xll.DBRW($C$1,$C$2,$C$3,$C$4,$C$6,$C$5,$C$7,AV$1,AV$2,A94)</f>
        <v>0</v>
      </c>
      <c r="AW94" s="33">
        <f ca="1">_xll.DBRW($C$1,$C$2,$C$3,$C$4,$C$6,$C$5,$C$7,AW$1,AW$2,A94)</f>
        <v>0</v>
      </c>
      <c r="AX94" s="33">
        <f ca="1">_xll.DBRW($C$1,$C$2,$C$3,$C$4,$C$6,$C$5,$C$7,AX$1,AX$2,A94)</f>
        <v>0</v>
      </c>
      <c r="AY94" s="33">
        <f ca="1">_xll.DBRW($C$1,$C$2,$C$3,$C$4,$C$6,$C$5,$C$7,AY$1,AY$2,A94)</f>
        <v>0</v>
      </c>
    </row>
    <row r="95" spans="1:51" ht="15.5" hidden="1" outlineLevel="1" collapsed="1">
      <c r="A95" s="1" t="s">
        <v>192</v>
      </c>
      <c r="C95" s="104"/>
      <c r="E95" s="84" t="s">
        <v>33</v>
      </c>
      <c r="F95" s="34">
        <f t="shared" ref="F95:M95" ca="1" si="63">SUM(F93:F94)</f>
        <v>-11.983052430136846</v>
      </c>
      <c r="G95" s="34">
        <f t="shared" ca="1" si="63"/>
        <v>-9.8690608400657656</v>
      </c>
      <c r="H95" s="34">
        <f t="shared" ca="1" si="63"/>
        <v>-9.7694674635180743</v>
      </c>
      <c r="I95" s="34">
        <f t="shared" ca="1" si="63"/>
        <v>-11.645749320845599</v>
      </c>
      <c r="J95" s="34">
        <f t="shared" ca="1" si="63"/>
        <v>-10.13222741949687</v>
      </c>
      <c r="K95" s="34">
        <f t="shared" ca="1" si="63"/>
        <v>-12.059953819832558</v>
      </c>
      <c r="L95" s="34">
        <f t="shared" ca="1" si="63"/>
        <v>-14.929439216431039</v>
      </c>
      <c r="M95" s="34">
        <f t="shared" ca="1" si="63"/>
        <v>-0.54705243999999997</v>
      </c>
      <c r="N95" s="34">
        <f t="shared" ref="N95:X95" ca="1" si="64">SUM(N93:N94)</f>
        <v>-2.2658490793961796</v>
      </c>
      <c r="O95" s="34">
        <f t="shared" ca="1" si="64"/>
        <v>-4.096438272430456</v>
      </c>
      <c r="P95" s="34">
        <f t="shared" ca="1" si="64"/>
        <v>-6.204126298856842</v>
      </c>
      <c r="Q95" s="34">
        <f t="shared" ca="1" si="64"/>
        <v>-21.431937500154365</v>
      </c>
      <c r="R95" s="34">
        <f t="shared" ca="1" si="64"/>
        <v>-25.8943269010332</v>
      </c>
      <c r="S95" s="34">
        <f t="shared" ca="1" si="64"/>
        <v>-4.9989761500000043</v>
      </c>
      <c r="T95" s="34">
        <f t="shared" ca="1" si="64"/>
        <v>-34.704269854971834</v>
      </c>
      <c r="U95" s="34">
        <f t="shared" ca="1" si="64"/>
        <v>-37.830684115562171</v>
      </c>
      <c r="V95" s="34">
        <f t="shared" ca="1" si="64"/>
        <v>-7.5479911749988835</v>
      </c>
      <c r="W95" s="34">
        <f t="shared" ca="1" si="64"/>
        <v>-8.5427032995258596</v>
      </c>
      <c r="X95" s="34">
        <f t="shared" ca="1" si="64"/>
        <v>-57.142524965988514</v>
      </c>
      <c r="Y95" s="34">
        <f ca="1">SUM(Y93:Y94)</f>
        <v>-57.142524965988514</v>
      </c>
      <c r="Z95" s="34">
        <f ca="1">SUM(Z93:Z94)</f>
        <v>-0.62269214162379993</v>
      </c>
      <c r="AA95" s="34">
        <f t="shared" ref="AA95:AK95" ca="1" si="65">SUM(AA93:AA94)</f>
        <v>-12.663516385749636</v>
      </c>
      <c r="AB95" s="34">
        <f t="shared" ca="1" si="65"/>
        <v>-19.589068272957924</v>
      </c>
      <c r="AC95" s="34">
        <f t="shared" ca="1" si="65"/>
        <v>-25.041521373496217</v>
      </c>
      <c r="AD95" s="34">
        <f t="shared" ca="1" si="65"/>
        <v>-30.987059976568663</v>
      </c>
      <c r="AE95" s="34">
        <f t="shared" ca="1" si="65"/>
        <v>-36.361217368247104</v>
      </c>
      <c r="AF95" s="34">
        <f t="shared" ca="1" si="65"/>
        <v>-41.31889686127694</v>
      </c>
      <c r="AG95" s="34">
        <f t="shared" ca="1" si="65"/>
        <v>-46.833702400413948</v>
      </c>
      <c r="AH95" s="34">
        <f t="shared" ca="1" si="65"/>
        <v>-52.742162413857855</v>
      </c>
      <c r="AI95" s="34">
        <f t="shared" ca="1" si="65"/>
        <v>-58.996330594102034</v>
      </c>
      <c r="AJ95" s="34">
        <f t="shared" ca="1" si="65"/>
        <v>-65.304761111359255</v>
      </c>
      <c r="AK95" s="34">
        <f t="shared" ca="1" si="65"/>
        <v>-71.364738559438024</v>
      </c>
      <c r="AL95" s="34">
        <f ca="1">SUM(AL93:AL94)</f>
        <v>-71.364738559438024</v>
      </c>
      <c r="AM95" s="34">
        <f ca="1">SUM(AM93:AM94)</f>
        <v>-1.0759846671207476</v>
      </c>
      <c r="AN95" s="34">
        <f t="shared" ref="AN95:AX95" ca="1" si="66">SUM(AN93:AN94)</f>
        <v>-10.987345452242897</v>
      </c>
      <c r="AO95" s="34">
        <f t="shared" ca="1" si="66"/>
        <v>-1.7763568394002505E-15</v>
      </c>
      <c r="AP95" s="34">
        <f t="shared" ca="1" si="66"/>
        <v>-1.7763568394002505E-15</v>
      </c>
      <c r="AQ95" s="34">
        <f t="shared" ca="1" si="66"/>
        <v>-1.7763568394002505E-15</v>
      </c>
      <c r="AR95" s="34">
        <f t="shared" ca="1" si="66"/>
        <v>-1.7763568394002505E-15</v>
      </c>
      <c r="AS95" s="34">
        <f t="shared" ca="1" si="66"/>
        <v>-1.7763568394002505E-15</v>
      </c>
      <c r="AT95" s="34">
        <f t="shared" ca="1" si="66"/>
        <v>-1.7763568394002505E-15</v>
      </c>
      <c r="AU95" s="34">
        <f t="shared" ca="1" si="66"/>
        <v>-1.7763568394002505E-15</v>
      </c>
      <c r="AV95" s="34">
        <f t="shared" ca="1" si="66"/>
        <v>-1.7763568394002505E-15</v>
      </c>
      <c r="AW95" s="34">
        <f t="shared" ca="1" si="66"/>
        <v>-1.7763568394002505E-15</v>
      </c>
      <c r="AX95" s="34">
        <f t="shared" ca="1" si="66"/>
        <v>-1.7763568394002505E-15</v>
      </c>
      <c r="AY95" s="34">
        <f ca="1">SUM(AY93:AY94)</f>
        <v>-1.7763568394002505E-15</v>
      </c>
    </row>
    <row r="96" spans="1:51" ht="15.75" hidden="1" customHeight="1" outlineLevel="2">
      <c r="A96" s="1" t="s">
        <v>194</v>
      </c>
      <c r="C96" s="104"/>
      <c r="E96" s="9" t="str">
        <f ca="1">_xll.DBRW(Server&amp;"}ElementAttributes_Indicator",A96,"code_English")</f>
        <v>PL1115_ET_82 - Gas</v>
      </c>
      <c r="F96" s="33">
        <f ca="1">_xll.DBRW($C$1,$C$2,$C$3,$C$4,$C$6,$C$5,$C$7,F$1,F$2,A96)</f>
        <v>-35.190740685189617</v>
      </c>
      <c r="G96" s="33">
        <f ca="1">_xll.DBRW($C$1,$C$2,$C$3,$C$4,$C$6,$C$5,$C$7,G$1,G$2,A96)</f>
        <v>-32.07011557530879</v>
      </c>
      <c r="H96" s="33">
        <f ca="1">_xll.DBRW($C$1,$C$2,$C$3,$C$4,$C$6,$C$5,$C$7,H$1,H$2,A96)</f>
        <v>-32.946245194647801</v>
      </c>
      <c r="I96" s="33">
        <f ca="1">_xll.DBRW($C$1,$C$2,$C$3,$C$4,$C$6,$C$5,$C$7,I$1,I$2,A96)</f>
        <v>-31.689164862098291</v>
      </c>
      <c r="J96" s="33">
        <f ca="1">_xll.DBRW($C$1,$C$2,$C$3,$C$4,$C$6,$C$5,$C$7,J$1,J$2,A96)</f>
        <v>-23.678095097584222</v>
      </c>
      <c r="K96" s="33">
        <f ca="1">_xll.DBRW($C$1,$C$2,$C$3,$C$4,$C$6,$C$5,$C$7,K$1,K$2,A96)</f>
        <v>-34.199572436540421</v>
      </c>
      <c r="L96" s="33">
        <f ca="1">_xll.DBRW($C$1,$C$2,$C$3,$C$4,$C$6,$C$5,$C$7,L$1,L$2,A96)</f>
        <v>-34.082411033759271</v>
      </c>
      <c r="M96" s="33">
        <f ca="1">_xll.DBRW($C$1,$C$2,$C$3,$C$4,$C$6,$C$5,$C$7,M$1,M$2,A96)</f>
        <v>-1.0442754960808995</v>
      </c>
      <c r="N96" s="33">
        <f ca="1">_xll.DBRW($C$1,$C$2,$C$3,$C$4,$C$6,$C$5,$C$7,N$1,N$2,A96)</f>
        <v>-9.7314761263493708</v>
      </c>
      <c r="O96" s="33">
        <f ca="1">_xll.DBRW($C$1,$C$2,$C$3,$C$4,$C$6,$C$5,$C$7,O$1,O$2,A96)</f>
        <v>-15.580461433738339</v>
      </c>
      <c r="P96" s="33">
        <f ca="1">_xll.DBRW($C$1,$C$2,$C$3,$C$4,$C$6,$C$5,$C$7,P$1,P$2,A96)</f>
        <v>-16.749942856748195</v>
      </c>
      <c r="Q96" s="33">
        <f ca="1">_xll.DBRW($C$1,$C$2,$C$3,$C$4,$C$6,$C$5,$C$7,Q$1,Q$2,A96)</f>
        <v>-26.752389414233889</v>
      </c>
      <c r="R96" s="33">
        <f ca="1">_xll.DBRW($C$1,$C$2,$C$3,$C$4,$C$6,$C$5,$C$7,R$1,R$2,A96)</f>
        <v>-31.810886165939547</v>
      </c>
      <c r="S96" s="33">
        <f ca="1">_xll.DBRW($C$1,$C$2,$C$3,$C$4,$C$6,$C$5,$C$7,S$1,S$2,A96)</f>
        <v>-28.628672893893338</v>
      </c>
      <c r="T96" s="33">
        <f ca="1">_xll.DBRW($C$1,$C$2,$C$3,$C$4,$C$6,$C$5,$C$7,T$1,T$2,A96)</f>
        <v>-42.178114963838567</v>
      </c>
      <c r="U96" s="33">
        <f ca="1">_xll.DBRW($C$1,$C$2,$C$3,$C$4,$C$6,$C$5,$C$7,U$1,U$2,A96)</f>
        <v>-50.433525424580878</v>
      </c>
      <c r="V96" s="33">
        <f ca="1">_xll.DBRW($C$1,$C$2,$C$3,$C$4,$C$6,$C$5,$C$7,V$1,V$2,A96)</f>
        <v>-44.215012697755299</v>
      </c>
      <c r="W96" s="33">
        <f ca="1">_xll.DBRW($C$1,$C$2,$C$3,$C$4,$C$6,$C$5,$C$7,W$1,W$2,A96)</f>
        <v>-54.35684533761016</v>
      </c>
      <c r="X96" s="33">
        <f ca="1">_xll.DBRW($C$1,$C$2,$C$3,$C$4,$C$6,$C$5,$C$7,X$1,X$2,A96)</f>
        <v>-71.337402932300947</v>
      </c>
      <c r="Y96" s="33">
        <f ca="1">_xll.DBRW($C$1,$C$2,$C$3,$C$4,$C$6,$C$5,$C$7,Y$1,Y$2,A96)</f>
        <v>-71.337402932300947</v>
      </c>
      <c r="Z96" s="33">
        <f ca="1">_xll.DBRW($C$1,$C$2,$C$3,$C$4,$C$6,$C$5,$C$7,Z$1,Z$2,A96)</f>
        <v>-7.2473631083003038</v>
      </c>
      <c r="AA96" s="33">
        <f ca="1">_xll.DBRW($C$1,$C$2,$C$3,$C$4,$C$6,$C$5,$C$7,AA$1,AA$2,A96)</f>
        <v>-15.993387954329167</v>
      </c>
      <c r="AB96" s="33">
        <f ca="1">_xll.DBRW($C$1,$C$2,$C$3,$C$4,$C$6,$C$5,$C$7,AB$1,AB$2,A96)</f>
        <v>-24.525655756704253</v>
      </c>
      <c r="AC96" s="33">
        <f ca="1">_xll.DBRW($C$1,$C$2,$C$3,$C$4,$C$6,$C$5,$C$7,AC$1,AC$2,A96)</f>
        <v>-32.349414133566917</v>
      </c>
      <c r="AD96" s="33">
        <f ca="1">_xll.DBRW($C$1,$C$2,$C$3,$C$4,$C$6,$C$5,$C$7,AD$1,AD$2,A96)</f>
        <v>-40.429562522825634</v>
      </c>
      <c r="AE96" s="33">
        <f ca="1">_xll.DBRW($C$1,$C$2,$C$3,$C$4,$C$6,$C$5,$C$7,AE$1,AE$2,A96)</f>
        <v>-48.686709051357575</v>
      </c>
      <c r="AF96" s="33">
        <f ca="1">_xll.DBRW($C$1,$C$2,$C$3,$C$4,$C$6,$C$5,$C$7,AF$1,AF$2,A96)</f>
        <v>-56.21878590389619</v>
      </c>
      <c r="AG96" s="33">
        <f ca="1">_xll.DBRW($C$1,$C$2,$C$3,$C$4,$C$6,$C$5,$C$7,AG$1,AG$2,A96)</f>
        <v>-63.379665580563362</v>
      </c>
      <c r="AH96" s="33">
        <f ca="1">_xll.DBRW($C$1,$C$2,$C$3,$C$4,$C$6,$C$5,$C$7,AH$1,AH$2,A96)</f>
        <v>-71.508894614869689</v>
      </c>
      <c r="AI96" s="33">
        <f ca="1">_xll.DBRW($C$1,$C$2,$C$3,$C$4,$C$6,$C$5,$C$7,AI$1,AI$2,A96)</f>
        <v>-79.6197034817489</v>
      </c>
      <c r="AJ96" s="33">
        <f ca="1">_xll.DBRW($C$1,$C$2,$C$3,$C$4,$C$6,$C$5,$C$7,AJ$1,AJ$2,A96)</f>
        <v>-87.699778196887877</v>
      </c>
      <c r="AK96" s="33">
        <f ca="1">_xll.DBRW($C$1,$C$2,$C$3,$C$4,$C$6,$C$5,$C$7,AK$1,AK$2,A96)</f>
        <v>-95.636452624231069</v>
      </c>
      <c r="AL96" s="33">
        <f ca="1">_xll.DBRW($C$1,$C$2,$C$3,$C$4,$C$6,$C$5,$C$7,AL$1,AL$2,A96)</f>
        <v>-95.636452624231069</v>
      </c>
      <c r="AM96" s="33">
        <f ca="1">_xll.DBRW($C$1,$C$2,$C$3,$C$4,$C$6,$C$5,$C$7,AM$1,AM$2,A96)</f>
        <v>-1.5426273429451942</v>
      </c>
      <c r="AN96" s="33">
        <f ca="1">_xll.DBRW($C$1,$C$2,$C$3,$C$4,$C$6,$C$5,$C$7,AN$1,AN$2,A96)</f>
        <v>-12.263439577152225</v>
      </c>
      <c r="AO96" s="33">
        <f ca="1">_xll.DBRW($C$1,$C$2,$C$3,$C$4,$C$6,$C$5,$C$7,AO$1,AO$2,A96)</f>
        <v>-1.7763568394002505E-15</v>
      </c>
      <c r="AP96" s="33">
        <f ca="1">_xll.DBRW($C$1,$C$2,$C$3,$C$4,$C$6,$C$5,$C$7,AP$1,AP$2,A96)</f>
        <v>-1.7763568394002505E-15</v>
      </c>
      <c r="AQ96" s="33">
        <f ca="1">_xll.DBRW($C$1,$C$2,$C$3,$C$4,$C$6,$C$5,$C$7,AQ$1,AQ$2,A96)</f>
        <v>-1.7763568394002505E-15</v>
      </c>
      <c r="AR96" s="33">
        <f ca="1">_xll.DBRW($C$1,$C$2,$C$3,$C$4,$C$6,$C$5,$C$7,AR$1,AR$2,A96)</f>
        <v>-1.7763568394002505E-15</v>
      </c>
      <c r="AS96" s="33">
        <f ca="1">_xll.DBRW($C$1,$C$2,$C$3,$C$4,$C$6,$C$5,$C$7,AS$1,AS$2,A96)</f>
        <v>-1.7763568394002505E-15</v>
      </c>
      <c r="AT96" s="33">
        <f ca="1">_xll.DBRW($C$1,$C$2,$C$3,$C$4,$C$6,$C$5,$C$7,AT$1,AT$2,A96)</f>
        <v>-1.7763568394002505E-15</v>
      </c>
      <c r="AU96" s="33">
        <f ca="1">_xll.DBRW($C$1,$C$2,$C$3,$C$4,$C$6,$C$5,$C$7,AU$1,AU$2,A96)</f>
        <v>-1.7763568394002505E-15</v>
      </c>
      <c r="AV96" s="33">
        <f ca="1">_xll.DBRW($C$1,$C$2,$C$3,$C$4,$C$6,$C$5,$C$7,AV$1,AV$2,A96)</f>
        <v>-1.7763568394002505E-15</v>
      </c>
      <c r="AW96" s="33">
        <f ca="1">_xll.DBRW($C$1,$C$2,$C$3,$C$4,$C$6,$C$5,$C$7,AW$1,AW$2,A96)</f>
        <v>-1.7763568394002505E-15</v>
      </c>
      <c r="AX96" s="33">
        <f ca="1">_xll.DBRW($C$1,$C$2,$C$3,$C$4,$C$6,$C$5,$C$7,AX$1,AX$2,A96)</f>
        <v>-1.7763568394002505E-15</v>
      </c>
      <c r="AY96" s="33">
        <f ca="1">_xll.DBRW($C$1,$C$2,$C$3,$C$4,$C$6,$C$5,$C$7,AY$1,AY$2,A96)</f>
        <v>-1.7763568394002505E-15</v>
      </c>
    </row>
    <row r="97" spans="1:51" ht="15.75" hidden="1" customHeight="1" outlineLevel="2">
      <c r="A97" s="1" t="s">
        <v>195</v>
      </c>
      <c r="C97" s="104"/>
      <c r="E97" s="9" t="str">
        <f ca="1">_xll.DBRW(Server&amp;"}ElementAttributes_Indicator",A97,"code_English")</f>
        <v>PL1155_ET_17 - Reinvoicing - Gas</v>
      </c>
      <c r="F97" s="33">
        <f ca="1">_xll.DBRW($C$1,$C$2,$C$3,$C$4,$C$6,$C$5,$C$7,F$1,F$2,A97)</f>
        <v>0</v>
      </c>
      <c r="G97" s="33">
        <f ca="1">_xll.DBRW($C$1,$C$2,$C$3,$C$4,$C$6,$C$5,$C$7,G$1,G$2,A97)</f>
        <v>0</v>
      </c>
      <c r="H97" s="33">
        <f ca="1">_xll.DBRW($C$1,$C$2,$C$3,$C$4,$C$6,$C$5,$C$7,H$1,H$2,A97)</f>
        <v>0</v>
      </c>
      <c r="I97" s="33">
        <f ca="1">_xll.DBRW($C$1,$C$2,$C$3,$C$4,$C$6,$C$5,$C$7,I$1,I$2,A97)</f>
        <v>0</v>
      </c>
      <c r="J97" s="33">
        <f ca="1">_xll.DBRW($C$1,$C$2,$C$3,$C$4,$C$6,$C$5,$C$7,J$1,J$2,A97)</f>
        <v>0</v>
      </c>
      <c r="K97" s="33">
        <f ca="1">_xll.DBRW($C$1,$C$2,$C$3,$C$4,$C$6,$C$5,$C$7,K$1,K$2,A97)</f>
        <v>0.15090680000000001</v>
      </c>
      <c r="L97" s="33">
        <f ca="1">_xll.DBRW($C$1,$C$2,$C$3,$C$4,$C$6,$C$5,$C$7,L$1,L$2,A97)</f>
        <v>0</v>
      </c>
      <c r="M97" s="33">
        <f ca="1">_xll.DBRW($C$1,$C$2,$C$3,$C$4,$C$6,$C$5,$C$7,M$1,M$2,A97)</f>
        <v>0</v>
      </c>
      <c r="N97" s="33">
        <f ca="1">_xll.DBRW($C$1,$C$2,$C$3,$C$4,$C$6,$C$5,$C$7,N$1,N$2,A97)</f>
        <v>0.14672476999999998</v>
      </c>
      <c r="O97" s="33">
        <f ca="1">_xll.DBRW($C$1,$C$2,$C$3,$C$4,$C$6,$C$5,$C$7,O$1,O$2,A97)</f>
        <v>0.14672476999999998</v>
      </c>
      <c r="P97" s="33">
        <f ca="1">_xll.DBRW($C$1,$C$2,$C$3,$C$4,$C$6,$C$5,$C$7,P$1,P$2,A97)</f>
        <v>0.14672476999999998</v>
      </c>
      <c r="Q97" s="33">
        <f ca="1">_xll.DBRW($C$1,$C$2,$C$3,$C$4,$C$6,$C$5,$C$7,Q$1,Q$2,A97)</f>
        <v>0.15604376999999997</v>
      </c>
      <c r="R97" s="33">
        <f ca="1">_xll.DBRW($C$1,$C$2,$C$3,$C$4,$C$6,$C$5,$C$7,R$1,R$2,A97)</f>
        <v>0.16225176999999996</v>
      </c>
      <c r="S97" s="33">
        <f ca="1">_xll.DBRW($C$1,$C$2,$C$3,$C$4,$C$6,$C$5,$C$7,S$1,S$2,A97)</f>
        <v>0.14672476999999995</v>
      </c>
      <c r="T97" s="33">
        <f ca="1">_xll.DBRW($C$1,$C$2,$C$3,$C$4,$C$6,$C$5,$C$7,T$1,T$2,A97)</f>
        <v>-0.10376980000000002</v>
      </c>
      <c r="U97" s="33">
        <f ca="1">_xll.DBRW($C$1,$C$2,$C$3,$C$4,$C$6,$C$5,$C$7,U$1,U$2,A97)</f>
        <v>-0.10045110000000002</v>
      </c>
      <c r="V97" s="33">
        <f ca="1">_xll.DBRW($C$1,$C$2,$C$3,$C$4,$C$6,$C$5,$C$7,V$1,V$2,A97)</f>
        <v>-0.11651510000000004</v>
      </c>
      <c r="W97" s="33">
        <f ca="1">_xll.DBRW($C$1,$C$2,$C$3,$C$4,$C$6,$C$5,$C$7,W$1,W$2,A97)</f>
        <v>-0.11651510000000004</v>
      </c>
      <c r="X97" s="33">
        <f ca="1">_xll.DBRW($C$1,$C$2,$C$3,$C$4,$C$6,$C$5,$C$7,X$1,X$2,A97)</f>
        <v>-5.986811000000003E-2</v>
      </c>
      <c r="Y97" s="33">
        <f ca="1">_xll.DBRW($C$1,$C$2,$C$3,$C$4,$C$6,$C$5,$C$7,Y$1,Y$2,A97)</f>
        <v>-5.986811000000003E-2</v>
      </c>
      <c r="Z97" s="33">
        <f ca="1">_xll.DBRW($C$1,$C$2,$C$3,$C$4,$C$6,$C$5,$C$7,Z$1,Z$2,A97)</f>
        <v>0</v>
      </c>
      <c r="AA97" s="33">
        <f ca="1">_xll.DBRW($C$1,$C$2,$C$3,$C$4,$C$6,$C$5,$C$7,AA$1,AA$2,A97)</f>
        <v>0</v>
      </c>
      <c r="AB97" s="33">
        <f ca="1">_xll.DBRW($C$1,$C$2,$C$3,$C$4,$C$6,$C$5,$C$7,AB$1,AB$2,A97)</f>
        <v>0</v>
      </c>
      <c r="AC97" s="33">
        <f ca="1">_xll.DBRW($C$1,$C$2,$C$3,$C$4,$C$6,$C$5,$C$7,AC$1,AC$2,A97)</f>
        <v>0</v>
      </c>
      <c r="AD97" s="33">
        <f ca="1">_xll.DBRW($C$1,$C$2,$C$3,$C$4,$C$6,$C$5,$C$7,AD$1,AD$2,A97)</f>
        <v>0</v>
      </c>
      <c r="AE97" s="33">
        <f ca="1">_xll.DBRW($C$1,$C$2,$C$3,$C$4,$C$6,$C$5,$C$7,AE$1,AE$2,A97)</f>
        <v>0</v>
      </c>
      <c r="AF97" s="33">
        <f ca="1">_xll.DBRW($C$1,$C$2,$C$3,$C$4,$C$6,$C$5,$C$7,AF$1,AF$2,A97)</f>
        <v>0</v>
      </c>
      <c r="AG97" s="33">
        <f ca="1">_xll.DBRW($C$1,$C$2,$C$3,$C$4,$C$6,$C$5,$C$7,AG$1,AG$2,A97)</f>
        <v>0</v>
      </c>
      <c r="AH97" s="33">
        <f ca="1">_xll.DBRW($C$1,$C$2,$C$3,$C$4,$C$6,$C$5,$C$7,AH$1,AH$2,A97)</f>
        <v>0</v>
      </c>
      <c r="AI97" s="33">
        <f ca="1">_xll.DBRW($C$1,$C$2,$C$3,$C$4,$C$6,$C$5,$C$7,AI$1,AI$2,A97)</f>
        <v>0</v>
      </c>
      <c r="AJ97" s="33">
        <f ca="1">_xll.DBRW($C$1,$C$2,$C$3,$C$4,$C$6,$C$5,$C$7,AJ$1,AJ$2,A97)</f>
        <v>0</v>
      </c>
      <c r="AK97" s="33">
        <f ca="1">_xll.DBRW($C$1,$C$2,$C$3,$C$4,$C$6,$C$5,$C$7,AK$1,AK$2,A97)</f>
        <v>0</v>
      </c>
      <c r="AL97" s="33">
        <f ca="1">_xll.DBRW($C$1,$C$2,$C$3,$C$4,$C$6,$C$5,$C$7,AL$1,AL$2,A97)</f>
        <v>0</v>
      </c>
      <c r="AM97" s="33">
        <f ca="1">_xll.DBRW($C$1,$C$2,$C$3,$C$4,$C$6,$C$5,$C$7,AM$1,AM$2,A97)</f>
        <v>-5.6646989999999994E-2</v>
      </c>
      <c r="AN97" s="33">
        <f ca="1">_xll.DBRW($C$1,$C$2,$C$3,$C$4,$C$6,$C$5,$C$7,AN$1,AN$2,A97)</f>
        <v>2.2622879999999998E-2</v>
      </c>
      <c r="AO97" s="33">
        <f ca="1">_xll.DBRW($C$1,$C$2,$C$3,$C$4,$C$6,$C$5,$C$7,AO$1,AO$2,A97)</f>
        <v>-1.3877787807814457E-17</v>
      </c>
      <c r="AP97" s="33">
        <f ca="1">_xll.DBRW($C$1,$C$2,$C$3,$C$4,$C$6,$C$5,$C$7,AP$1,AP$2,A97)</f>
        <v>-1.3877787807814457E-17</v>
      </c>
      <c r="AQ97" s="33">
        <f ca="1">_xll.DBRW($C$1,$C$2,$C$3,$C$4,$C$6,$C$5,$C$7,AQ$1,AQ$2,A97)</f>
        <v>-1.3877787807814457E-17</v>
      </c>
      <c r="AR97" s="33">
        <f ca="1">_xll.DBRW($C$1,$C$2,$C$3,$C$4,$C$6,$C$5,$C$7,AR$1,AR$2,A97)</f>
        <v>-1.3877787807814457E-17</v>
      </c>
      <c r="AS97" s="33">
        <f ca="1">_xll.DBRW($C$1,$C$2,$C$3,$C$4,$C$6,$C$5,$C$7,AS$1,AS$2,A97)</f>
        <v>-1.3877787807814457E-17</v>
      </c>
      <c r="AT97" s="33">
        <f ca="1">_xll.DBRW($C$1,$C$2,$C$3,$C$4,$C$6,$C$5,$C$7,AT$1,AT$2,A97)</f>
        <v>-1.3877787807814457E-17</v>
      </c>
      <c r="AU97" s="33">
        <f ca="1">_xll.DBRW($C$1,$C$2,$C$3,$C$4,$C$6,$C$5,$C$7,AU$1,AU$2,A97)</f>
        <v>-1.3877787807814457E-17</v>
      </c>
      <c r="AV97" s="33">
        <f ca="1">_xll.DBRW($C$1,$C$2,$C$3,$C$4,$C$6,$C$5,$C$7,AV$1,AV$2,A97)</f>
        <v>-1.3877787807814457E-17</v>
      </c>
      <c r="AW97" s="33">
        <f ca="1">_xll.DBRW($C$1,$C$2,$C$3,$C$4,$C$6,$C$5,$C$7,AW$1,AW$2,A97)</f>
        <v>-1.3877787807814457E-17</v>
      </c>
      <c r="AX97" s="33">
        <f ca="1">_xll.DBRW($C$1,$C$2,$C$3,$C$4,$C$6,$C$5,$C$7,AX$1,AX$2,A97)</f>
        <v>-1.3877787807814457E-17</v>
      </c>
      <c r="AY97" s="33">
        <f ca="1">_xll.DBRW($C$1,$C$2,$C$3,$C$4,$C$6,$C$5,$C$7,AY$1,AY$2,A97)</f>
        <v>-1.3877787807814457E-17</v>
      </c>
    </row>
    <row r="98" spans="1:51" ht="15.5" hidden="1" outlineLevel="1" collapsed="1">
      <c r="A98" s="1" t="s">
        <v>142</v>
      </c>
      <c r="C98" s="104"/>
      <c r="E98" s="15" t="s">
        <v>34</v>
      </c>
      <c r="F98" s="34">
        <f t="shared" ref="F98:M98" ca="1" si="67">SUM(F96:F97)</f>
        <v>-35.190740685189617</v>
      </c>
      <c r="G98" s="34">
        <f t="shared" ca="1" si="67"/>
        <v>-32.07011557530879</v>
      </c>
      <c r="H98" s="34">
        <f t="shared" ca="1" si="67"/>
        <v>-32.946245194647801</v>
      </c>
      <c r="I98" s="34">
        <f t="shared" ca="1" si="67"/>
        <v>-31.689164862098291</v>
      </c>
      <c r="J98" s="34">
        <f t="shared" ca="1" si="67"/>
        <v>-23.678095097584222</v>
      </c>
      <c r="K98" s="34">
        <f t="shared" ca="1" si="67"/>
        <v>-34.04866563654042</v>
      </c>
      <c r="L98" s="34">
        <f t="shared" ca="1" si="67"/>
        <v>-34.082411033759271</v>
      </c>
      <c r="M98" s="34">
        <f t="shared" ca="1" si="67"/>
        <v>-1.0442754960808995</v>
      </c>
      <c r="N98" s="34">
        <f t="shared" ref="N98:X98" ca="1" si="68">SUM(N96:N97)</f>
        <v>-9.5847513563493703</v>
      </c>
      <c r="O98" s="34">
        <f t="shared" ca="1" si="68"/>
        <v>-15.433736663738339</v>
      </c>
      <c r="P98" s="34">
        <f t="shared" ca="1" si="68"/>
        <v>-16.603218086748196</v>
      </c>
      <c r="Q98" s="34">
        <f t="shared" ca="1" si="68"/>
        <v>-26.596345644233889</v>
      </c>
      <c r="R98" s="34">
        <f t="shared" ca="1" si="68"/>
        <v>-31.648634395939546</v>
      </c>
      <c r="S98" s="34">
        <f t="shared" ca="1" si="68"/>
        <v>-28.481948123893339</v>
      </c>
      <c r="T98" s="34">
        <f t="shared" ca="1" si="68"/>
        <v>-42.281884763838569</v>
      </c>
      <c r="U98" s="34">
        <f t="shared" ca="1" si="68"/>
        <v>-50.533976524580879</v>
      </c>
      <c r="V98" s="34">
        <f t="shared" ca="1" si="68"/>
        <v>-44.3315277977553</v>
      </c>
      <c r="W98" s="34">
        <f t="shared" ca="1" si="68"/>
        <v>-54.473360437610161</v>
      </c>
      <c r="X98" s="34">
        <f t="shared" ca="1" si="68"/>
        <v>-71.397271042300943</v>
      </c>
      <c r="Y98" s="34">
        <f ca="1">SUM(Y96:Y97)</f>
        <v>-71.397271042300943</v>
      </c>
      <c r="Z98" s="34">
        <f ca="1">SUM(Z96:Z97)</f>
        <v>-7.2473631083003038</v>
      </c>
      <c r="AA98" s="34">
        <f t="shared" ref="AA98:AK98" ca="1" si="69">SUM(AA96:AA97)</f>
        <v>-15.993387954329167</v>
      </c>
      <c r="AB98" s="34">
        <f t="shared" ca="1" si="69"/>
        <v>-24.525655756704253</v>
      </c>
      <c r="AC98" s="34">
        <f t="shared" ca="1" si="69"/>
        <v>-32.349414133566917</v>
      </c>
      <c r="AD98" s="34">
        <f t="shared" ca="1" si="69"/>
        <v>-40.429562522825634</v>
      </c>
      <c r="AE98" s="34">
        <f t="shared" ca="1" si="69"/>
        <v>-48.686709051357575</v>
      </c>
      <c r="AF98" s="34">
        <f t="shared" ca="1" si="69"/>
        <v>-56.21878590389619</v>
      </c>
      <c r="AG98" s="34">
        <f t="shared" ca="1" si="69"/>
        <v>-63.379665580563362</v>
      </c>
      <c r="AH98" s="34">
        <f t="shared" ca="1" si="69"/>
        <v>-71.508894614869689</v>
      </c>
      <c r="AI98" s="34">
        <f t="shared" ca="1" si="69"/>
        <v>-79.6197034817489</v>
      </c>
      <c r="AJ98" s="34">
        <f t="shared" ca="1" si="69"/>
        <v>-87.699778196887877</v>
      </c>
      <c r="AK98" s="34">
        <f t="shared" ca="1" si="69"/>
        <v>-95.636452624231069</v>
      </c>
      <c r="AL98" s="34">
        <f ca="1">SUM(AL96:AL97)</f>
        <v>-95.636452624231069</v>
      </c>
      <c r="AM98" s="34">
        <f ca="1">SUM(AM96:AM97)</f>
        <v>-1.5992743329451942</v>
      </c>
      <c r="AN98" s="34">
        <f t="shared" ref="AN98:AX98" ca="1" si="70">SUM(AN96:AN97)</f>
        <v>-12.240816697152225</v>
      </c>
      <c r="AO98" s="34">
        <f t="shared" ca="1" si="70"/>
        <v>-1.7902346272080649E-15</v>
      </c>
      <c r="AP98" s="34">
        <f t="shared" ca="1" si="70"/>
        <v>-1.7902346272080649E-15</v>
      </c>
      <c r="AQ98" s="34">
        <f t="shared" ca="1" si="70"/>
        <v>-1.7902346272080649E-15</v>
      </c>
      <c r="AR98" s="34">
        <f t="shared" ca="1" si="70"/>
        <v>-1.7902346272080649E-15</v>
      </c>
      <c r="AS98" s="34">
        <f t="shared" ca="1" si="70"/>
        <v>-1.7902346272080649E-15</v>
      </c>
      <c r="AT98" s="34">
        <f t="shared" ca="1" si="70"/>
        <v>-1.7902346272080649E-15</v>
      </c>
      <c r="AU98" s="34">
        <f t="shared" ca="1" si="70"/>
        <v>-1.7902346272080649E-15</v>
      </c>
      <c r="AV98" s="34">
        <f t="shared" ca="1" si="70"/>
        <v>-1.7902346272080649E-15</v>
      </c>
      <c r="AW98" s="34">
        <f t="shared" ca="1" si="70"/>
        <v>-1.7902346272080649E-15</v>
      </c>
      <c r="AX98" s="34">
        <f t="shared" ca="1" si="70"/>
        <v>-1.7902346272080649E-15</v>
      </c>
      <c r="AY98" s="34">
        <f ca="1">SUM(AY96:AY97)</f>
        <v>-1.7902346272080649E-15</v>
      </c>
    </row>
    <row r="99" spans="1:51" ht="15.75" hidden="1" customHeight="1" outlineLevel="2">
      <c r="A99" s="1" t="s">
        <v>196</v>
      </c>
      <c r="C99" s="104"/>
      <c r="E99" s="9" t="str">
        <f ca="1">_xll.DBRW(Server&amp;"}ElementAttributes_Indicator",A99,"code_English")</f>
        <v>PL1115_ET_99 - Others (ET)</v>
      </c>
      <c r="F99" s="33">
        <f ca="1">_xll.DBRW($C$1,$C$2,$C$3,$C$4,$C$6,$C$5,$C$7,F$1,F$2,A99)</f>
        <v>-16.789671644474069</v>
      </c>
      <c r="G99" s="33">
        <f ca="1">_xll.DBRW($C$1,$C$2,$C$3,$C$4,$C$6,$C$5,$C$7,G$1,G$2,A99)</f>
        <v>-23.425709276537191</v>
      </c>
      <c r="H99" s="33">
        <f ca="1">_xll.DBRW($C$1,$C$2,$C$3,$C$4,$C$6,$C$5,$C$7,H$1,H$2,A99)</f>
        <v>-28.218816318187105</v>
      </c>
      <c r="I99" s="33">
        <f ca="1">_xll.DBRW($C$1,$C$2,$C$3,$C$4,$C$6,$C$5,$C$7,I$1,I$2,A99)</f>
        <v>-27.55841055712958</v>
      </c>
      <c r="J99" s="33">
        <f ca="1">_xll.DBRW($C$1,$C$2,$C$3,$C$4,$C$6,$C$5,$C$7,J$1,J$2,A99)</f>
        <v>-16.97668486425448</v>
      </c>
      <c r="K99" s="33">
        <f ca="1">_xll.DBRW($C$1,$C$2,$C$3,$C$4,$C$6,$C$5,$C$7,K$1,K$2,A99)</f>
        <v>-19.316181286248391</v>
      </c>
      <c r="L99" s="33">
        <f ca="1">_xll.DBRW($C$1,$C$2,$C$3,$C$4,$C$6,$C$5,$C$7,L$1,L$2,A99)</f>
        <v>-16.167276871578153</v>
      </c>
      <c r="M99" s="33">
        <f ca="1">_xll.DBRW($C$1,$C$2,$C$3,$C$4,$C$6,$C$5,$C$7,M$1,M$2,A99)</f>
        <v>-0.76939792834470355</v>
      </c>
      <c r="N99" s="33">
        <f ca="1">_xll.DBRW($C$1,$C$2,$C$3,$C$4,$C$6,$C$5,$C$7,N$1,N$2,A99)</f>
        <v>-3.2827749054425897</v>
      </c>
      <c r="O99" s="33">
        <f ca="1">_xll.DBRW($C$1,$C$2,$C$3,$C$4,$C$6,$C$5,$C$7,O$1,O$2,A99)</f>
        <v>-6.532346765058211</v>
      </c>
      <c r="P99" s="33">
        <f ca="1">_xll.DBRW($C$1,$C$2,$C$3,$C$4,$C$6,$C$5,$C$7,P$1,P$2,A99)</f>
        <v>-8.8105962945626217</v>
      </c>
      <c r="Q99" s="33">
        <f ca="1">_xll.DBRW($C$1,$C$2,$C$3,$C$4,$C$6,$C$5,$C$7,Q$1,Q$2,A99)</f>
        <v>-12.608706643715571</v>
      </c>
      <c r="R99" s="33">
        <f ca="1">_xll.DBRW($C$1,$C$2,$C$3,$C$4,$C$6,$C$5,$C$7,R$1,R$2,A99)</f>
        <v>-16.255406089089565</v>
      </c>
      <c r="S99" s="33">
        <f ca="1">_xll.DBRW($C$1,$C$2,$C$3,$C$4,$C$6,$C$5,$C$7,S$1,S$2,A99)</f>
        <v>-16.985965820714593</v>
      </c>
      <c r="T99" s="33">
        <f ca="1">_xll.DBRW($C$1,$C$2,$C$3,$C$4,$C$6,$C$5,$C$7,T$1,T$2,A99)</f>
        <v>-22.802579180311664</v>
      </c>
      <c r="U99" s="33">
        <f ca="1">_xll.DBRW($C$1,$C$2,$C$3,$C$4,$C$6,$C$5,$C$7,U$1,U$2,A99)</f>
        <v>-25.278838205610587</v>
      </c>
      <c r="V99" s="33">
        <f ca="1">_xll.DBRW($C$1,$C$2,$C$3,$C$4,$C$6,$C$5,$C$7,V$1,V$2,A99)</f>
        <v>-20.549235270652883</v>
      </c>
      <c r="W99" s="33">
        <f ca="1">_xll.DBRW($C$1,$C$2,$C$3,$C$4,$C$6,$C$5,$C$7,W$1,W$2,A99)</f>
        <v>-31.414437794653647</v>
      </c>
      <c r="X99" s="33">
        <f ca="1">_xll.DBRW($C$1,$C$2,$C$3,$C$4,$C$6,$C$5,$C$7,X$1,X$2,A99)</f>
        <v>-34.517522180681766</v>
      </c>
      <c r="Y99" s="33">
        <f ca="1">_xll.DBRW($C$1,$C$2,$C$3,$C$4,$C$6,$C$5,$C$7,Y$1,Y$2,A99)</f>
        <v>-34.517522180681766</v>
      </c>
      <c r="Z99" s="33">
        <f ca="1">_xll.DBRW($C$1,$C$2,$C$3,$C$4,$C$6,$C$5,$C$7,Z$1,Z$2,A99)</f>
        <v>-2.3739803135289308</v>
      </c>
      <c r="AA99" s="33">
        <f ca="1">_xll.DBRW($C$1,$C$2,$C$3,$C$4,$C$6,$C$5,$C$7,AA$1,AA$2,A99)</f>
        <v>-4.5251049188304702</v>
      </c>
      <c r="AB99" s="33">
        <f ca="1">_xll.DBRW($C$1,$C$2,$C$3,$C$4,$C$6,$C$5,$C$7,AB$1,AB$2,A99)</f>
        <v>-6.9933798252739763</v>
      </c>
      <c r="AC99" s="33">
        <f ca="1">_xll.DBRW($C$1,$C$2,$C$3,$C$4,$C$6,$C$5,$C$7,AC$1,AC$2,A99)</f>
        <v>-9.4378152354901808</v>
      </c>
      <c r="AD99" s="33">
        <f ca="1">_xll.DBRW($C$1,$C$2,$C$3,$C$4,$C$6,$C$5,$C$7,AD$1,AD$2,A99)</f>
        <v>-11.877605237794725</v>
      </c>
      <c r="AE99" s="33">
        <f ca="1">_xll.DBRW($C$1,$C$2,$C$3,$C$4,$C$6,$C$5,$C$7,AE$1,AE$2,A99)</f>
        <v>-14.407567356278355</v>
      </c>
      <c r="AF99" s="33">
        <f ca="1">_xll.DBRW($C$1,$C$2,$C$3,$C$4,$C$6,$C$5,$C$7,AF$1,AF$2,A99)</f>
        <v>-17.169714720870694</v>
      </c>
      <c r="AG99" s="33">
        <f ca="1">_xll.DBRW($C$1,$C$2,$C$3,$C$4,$C$6,$C$5,$C$7,AG$1,AG$2,A99)</f>
        <v>-19.802001712478585</v>
      </c>
      <c r="AH99" s="33">
        <f ca="1">_xll.DBRW($C$1,$C$2,$C$3,$C$4,$C$6,$C$5,$C$7,AH$1,AH$2,A99)</f>
        <v>-22.141685247232964</v>
      </c>
      <c r="AI99" s="33">
        <f ca="1">_xll.DBRW($C$1,$C$2,$C$3,$C$4,$C$6,$C$5,$C$7,AI$1,AI$2,A99)</f>
        <v>-24.528631951867979</v>
      </c>
      <c r="AJ99" s="33">
        <f ca="1">_xll.DBRW($C$1,$C$2,$C$3,$C$4,$C$6,$C$5,$C$7,AJ$1,AJ$2,A99)</f>
        <v>-26.903649733940483</v>
      </c>
      <c r="AK99" s="33">
        <f ca="1">_xll.DBRW($C$1,$C$2,$C$3,$C$4,$C$6,$C$5,$C$7,AK$1,AK$2,A99)</f>
        <v>-29.285154666807948</v>
      </c>
      <c r="AL99" s="33">
        <f ca="1">_xll.DBRW($C$1,$C$2,$C$3,$C$4,$C$6,$C$5,$C$7,AL$1,AL$2,A99)</f>
        <v>-29.285154666807948</v>
      </c>
      <c r="AM99" s="33">
        <f ca="1">_xll.DBRW($C$1,$C$2,$C$3,$C$4,$C$6,$C$5,$C$7,AM$1,AM$2,A99)</f>
        <v>20.545319333653676</v>
      </c>
      <c r="AN99" s="33">
        <f ca="1">_xll.DBRW($C$1,$C$2,$C$3,$C$4,$C$6,$C$5,$C$7,AN$1,AN$2,A99)</f>
        <v>-5.9286787537185219</v>
      </c>
      <c r="AO99" s="33">
        <f ca="1">_xll.DBRW($C$1,$C$2,$C$3,$C$4,$C$6,$C$5,$C$7,AO$1,AO$2,A99)</f>
        <v>0</v>
      </c>
      <c r="AP99" s="33">
        <f ca="1">_xll.DBRW($C$1,$C$2,$C$3,$C$4,$C$6,$C$5,$C$7,AP$1,AP$2,A99)</f>
        <v>0</v>
      </c>
      <c r="AQ99" s="33">
        <f ca="1">_xll.DBRW($C$1,$C$2,$C$3,$C$4,$C$6,$C$5,$C$7,AQ$1,AQ$2,A99)</f>
        <v>0</v>
      </c>
      <c r="AR99" s="33">
        <f ca="1">_xll.DBRW($C$1,$C$2,$C$3,$C$4,$C$6,$C$5,$C$7,AR$1,AR$2,A99)</f>
        <v>0</v>
      </c>
      <c r="AS99" s="33">
        <f ca="1">_xll.DBRW($C$1,$C$2,$C$3,$C$4,$C$6,$C$5,$C$7,AS$1,AS$2,A99)</f>
        <v>0</v>
      </c>
      <c r="AT99" s="33">
        <f ca="1">_xll.DBRW($C$1,$C$2,$C$3,$C$4,$C$6,$C$5,$C$7,AT$1,AT$2,A99)</f>
        <v>0</v>
      </c>
      <c r="AU99" s="33">
        <f ca="1">_xll.DBRW($C$1,$C$2,$C$3,$C$4,$C$6,$C$5,$C$7,AU$1,AU$2,A99)</f>
        <v>0</v>
      </c>
      <c r="AV99" s="33">
        <f ca="1">_xll.DBRW($C$1,$C$2,$C$3,$C$4,$C$6,$C$5,$C$7,AV$1,AV$2,A99)</f>
        <v>0</v>
      </c>
      <c r="AW99" s="33">
        <f ca="1">_xll.DBRW($C$1,$C$2,$C$3,$C$4,$C$6,$C$5,$C$7,AW$1,AW$2,A99)</f>
        <v>0</v>
      </c>
      <c r="AX99" s="33">
        <f ca="1">_xll.DBRW($C$1,$C$2,$C$3,$C$4,$C$6,$C$5,$C$7,AX$1,AX$2,A99)</f>
        <v>0</v>
      </c>
      <c r="AY99" s="33">
        <f ca="1">_xll.DBRW($C$1,$C$2,$C$3,$C$4,$C$6,$C$5,$C$7,AY$1,AY$2,A99)</f>
        <v>0</v>
      </c>
    </row>
    <row r="100" spans="1:51" ht="15.75" hidden="1" customHeight="1" outlineLevel="2">
      <c r="A100" s="1" t="s">
        <v>197</v>
      </c>
      <c r="C100" s="104"/>
      <c r="E100" s="9" t="str">
        <f ca="1">_xll.DBRW(Server&amp;"}ElementAttributes_Indicator",A100,"code_English")</f>
        <v>PL1155_ET_99 - Reinvoicing - Others (ET)</v>
      </c>
      <c r="F100" s="33">
        <f ca="1">_xll.DBRW($C$1,$C$2,$C$3,$C$4,$C$6,$C$5,$C$7,F$1,F$2,A100)</f>
        <v>6.7602499999999998E-3</v>
      </c>
      <c r="G100" s="33">
        <f ca="1">_xll.DBRW($C$1,$C$2,$C$3,$C$4,$C$6,$C$5,$C$7,G$1,G$2,A100)</f>
        <v>7.6628300000000007E-3</v>
      </c>
      <c r="H100" s="33">
        <f ca="1">_xll.DBRW($C$1,$C$2,$C$3,$C$4,$C$6,$C$5,$C$7,H$1,H$2,A100)</f>
        <v>1.5964840000000001E-2</v>
      </c>
      <c r="I100" s="33">
        <f ca="1">_xll.DBRW($C$1,$C$2,$C$3,$C$4,$C$6,$C$5,$C$7,I$1,I$2,A100)</f>
        <v>7.1681399999999999E-3</v>
      </c>
      <c r="J100" s="33">
        <f ca="1">_xll.DBRW($C$1,$C$2,$C$3,$C$4,$C$6,$C$5,$C$7,J$1,J$2,A100)</f>
        <v>3.9867800000000005E-3</v>
      </c>
      <c r="K100" s="33">
        <f ca="1">_xll.DBRW($C$1,$C$2,$C$3,$C$4,$C$6,$C$5,$C$7,K$1,K$2,A100)</f>
        <v>6.8399800000000007E-3</v>
      </c>
      <c r="L100" s="33">
        <f ca="1">_xll.DBRW($C$1,$C$2,$C$3,$C$4,$C$6,$C$5,$C$7,L$1,L$2,A100)</f>
        <v>0</v>
      </c>
      <c r="M100" s="33">
        <f ca="1">_xll.DBRW($C$1,$C$2,$C$3,$C$4,$C$6,$C$5,$C$7,M$1,M$2,A100)</f>
        <v>-2.4238200000000001E-3</v>
      </c>
      <c r="N100" s="33">
        <f ca="1">_xll.DBRW($C$1,$C$2,$C$3,$C$4,$C$6,$C$5,$C$7,N$1,N$2,A100)</f>
        <v>6.8538999999999996E-3</v>
      </c>
      <c r="O100" s="33">
        <f ca="1">_xll.DBRW($C$1,$C$2,$C$3,$C$4,$C$6,$C$5,$C$7,O$1,O$2,A100)</f>
        <v>-2.4238199999999984E-3</v>
      </c>
      <c r="P100" s="33">
        <f ca="1">_xll.DBRW($C$1,$C$2,$C$3,$C$4,$C$6,$C$5,$C$7,P$1,P$2,A100)</f>
        <v>-2.2697599999999991E-3</v>
      </c>
      <c r="Q100" s="33">
        <f ca="1">_xll.DBRW($C$1,$C$2,$C$3,$C$4,$C$6,$C$5,$C$7,Q$1,Q$2,A100)</f>
        <v>-1.9059999999999997E-3</v>
      </c>
      <c r="R100" s="33">
        <f ca="1">_xll.DBRW($C$1,$C$2,$C$3,$C$4,$C$6,$C$5,$C$7,R$1,R$2,A100)</f>
        <v>-1.0592299999999995E-3</v>
      </c>
      <c r="S100" s="33">
        <f ca="1">_xll.DBRW($C$1,$C$2,$C$3,$C$4,$C$6,$C$5,$C$7,S$1,S$2,A100)</f>
        <v>-4.0897999999999976E-4</v>
      </c>
      <c r="T100" s="33">
        <f ca="1">_xll.DBRW($C$1,$C$2,$C$3,$C$4,$C$6,$C$5,$C$7,T$1,T$2,A100)</f>
        <v>9.8400000000001091E-6</v>
      </c>
      <c r="U100" s="33">
        <f ca="1">_xll.DBRW($C$1,$C$2,$C$3,$C$4,$C$6,$C$5,$C$7,U$1,U$2,A100)</f>
        <v>9.6077000000000011E-4</v>
      </c>
      <c r="V100" s="33">
        <f ca="1">_xll.DBRW($C$1,$C$2,$C$3,$C$4,$C$6,$C$5,$C$7,V$1,V$2,A100)</f>
        <v>2.3884700000000002E-3</v>
      </c>
      <c r="W100" s="33">
        <f ca="1">_xll.DBRW($C$1,$C$2,$C$3,$C$4,$C$6,$C$5,$C$7,W$1,W$2,A100)</f>
        <v>3.2721799999999995E-3</v>
      </c>
      <c r="X100" s="33">
        <f ca="1">_xll.DBRW($C$1,$C$2,$C$3,$C$4,$C$6,$C$5,$C$7,X$1,X$2,A100)</f>
        <v>1.3721509999999999E-2</v>
      </c>
      <c r="Y100" s="33">
        <f ca="1">_xll.DBRW($C$1,$C$2,$C$3,$C$4,$C$6,$C$5,$C$7,Y$1,Y$2,A100)</f>
        <v>1.3721509999999999E-2</v>
      </c>
      <c r="Z100" s="33">
        <f ca="1">_xll.DBRW($C$1,$C$2,$C$3,$C$4,$C$6,$C$5,$C$7,Z$1,Z$2,A100)</f>
        <v>0</v>
      </c>
      <c r="AA100" s="33">
        <f ca="1">_xll.DBRW($C$1,$C$2,$C$3,$C$4,$C$6,$C$5,$C$7,AA$1,AA$2,A100)</f>
        <v>0</v>
      </c>
      <c r="AB100" s="33">
        <f ca="1">_xll.DBRW($C$1,$C$2,$C$3,$C$4,$C$6,$C$5,$C$7,AB$1,AB$2,A100)</f>
        <v>0</v>
      </c>
      <c r="AC100" s="33">
        <f ca="1">_xll.DBRW($C$1,$C$2,$C$3,$C$4,$C$6,$C$5,$C$7,AC$1,AC$2,A100)</f>
        <v>0</v>
      </c>
      <c r="AD100" s="33">
        <f ca="1">_xll.DBRW($C$1,$C$2,$C$3,$C$4,$C$6,$C$5,$C$7,AD$1,AD$2,A100)</f>
        <v>0</v>
      </c>
      <c r="AE100" s="33">
        <f ca="1">_xll.DBRW($C$1,$C$2,$C$3,$C$4,$C$6,$C$5,$C$7,AE$1,AE$2,A100)</f>
        <v>0</v>
      </c>
      <c r="AF100" s="33">
        <f ca="1">_xll.DBRW($C$1,$C$2,$C$3,$C$4,$C$6,$C$5,$C$7,AF$1,AF$2,A100)</f>
        <v>0</v>
      </c>
      <c r="AG100" s="33">
        <f ca="1">_xll.DBRW($C$1,$C$2,$C$3,$C$4,$C$6,$C$5,$C$7,AG$1,AG$2,A100)</f>
        <v>0</v>
      </c>
      <c r="AH100" s="33">
        <f ca="1">_xll.DBRW($C$1,$C$2,$C$3,$C$4,$C$6,$C$5,$C$7,AH$1,AH$2,A100)</f>
        <v>0</v>
      </c>
      <c r="AI100" s="33">
        <f ca="1">_xll.DBRW($C$1,$C$2,$C$3,$C$4,$C$6,$C$5,$C$7,AI$1,AI$2,A100)</f>
        <v>0</v>
      </c>
      <c r="AJ100" s="33">
        <f ca="1">_xll.DBRW($C$1,$C$2,$C$3,$C$4,$C$6,$C$5,$C$7,AJ$1,AJ$2,A100)</f>
        <v>0</v>
      </c>
      <c r="AK100" s="33">
        <f ca="1">_xll.DBRW($C$1,$C$2,$C$3,$C$4,$C$6,$C$5,$C$7,AK$1,AK$2,A100)</f>
        <v>0</v>
      </c>
      <c r="AL100" s="33">
        <f ca="1">_xll.DBRW($C$1,$C$2,$C$3,$C$4,$C$6,$C$5,$C$7,AL$1,AL$2,A100)</f>
        <v>0</v>
      </c>
      <c r="AM100" s="33">
        <f ca="1">_xll.DBRW($C$1,$C$2,$C$3,$C$4,$C$6,$C$5,$C$7,AM$1,AM$2,A100)</f>
        <v>4.1169299999999995E-3</v>
      </c>
      <c r="AN100" s="33">
        <f ca="1">_xll.DBRW($C$1,$C$2,$C$3,$C$4,$C$6,$C$5,$C$7,AN$1,AN$2,A100)</f>
        <v>4.8597099999999997E-3</v>
      </c>
      <c r="AO100" s="33">
        <f ca="1">_xll.DBRW($C$1,$C$2,$C$3,$C$4,$C$6,$C$5,$C$7,AO$1,AO$2,A100)</f>
        <v>0</v>
      </c>
      <c r="AP100" s="33">
        <f ca="1">_xll.DBRW($C$1,$C$2,$C$3,$C$4,$C$6,$C$5,$C$7,AP$1,AP$2,A100)</f>
        <v>0</v>
      </c>
      <c r="AQ100" s="33">
        <f ca="1">_xll.DBRW($C$1,$C$2,$C$3,$C$4,$C$6,$C$5,$C$7,AQ$1,AQ$2,A100)</f>
        <v>0</v>
      </c>
      <c r="AR100" s="33">
        <f ca="1">_xll.DBRW($C$1,$C$2,$C$3,$C$4,$C$6,$C$5,$C$7,AR$1,AR$2,A100)</f>
        <v>0</v>
      </c>
      <c r="AS100" s="33">
        <f ca="1">_xll.DBRW($C$1,$C$2,$C$3,$C$4,$C$6,$C$5,$C$7,AS$1,AS$2,A100)</f>
        <v>0</v>
      </c>
      <c r="AT100" s="33">
        <f ca="1">_xll.DBRW($C$1,$C$2,$C$3,$C$4,$C$6,$C$5,$C$7,AT$1,AT$2,A100)</f>
        <v>0</v>
      </c>
      <c r="AU100" s="33">
        <f ca="1">_xll.DBRW($C$1,$C$2,$C$3,$C$4,$C$6,$C$5,$C$7,AU$1,AU$2,A100)</f>
        <v>0</v>
      </c>
      <c r="AV100" s="33">
        <f ca="1">_xll.DBRW($C$1,$C$2,$C$3,$C$4,$C$6,$C$5,$C$7,AV$1,AV$2,A100)</f>
        <v>0</v>
      </c>
      <c r="AW100" s="33">
        <f ca="1">_xll.DBRW($C$1,$C$2,$C$3,$C$4,$C$6,$C$5,$C$7,AW$1,AW$2,A100)</f>
        <v>0</v>
      </c>
      <c r="AX100" s="33">
        <f ca="1">_xll.DBRW($C$1,$C$2,$C$3,$C$4,$C$6,$C$5,$C$7,AX$1,AX$2,A100)</f>
        <v>0</v>
      </c>
      <c r="AY100" s="33">
        <f ca="1">_xll.DBRW($C$1,$C$2,$C$3,$C$4,$C$6,$C$5,$C$7,AY$1,AY$2,A100)</f>
        <v>0</v>
      </c>
    </row>
    <row r="101" spans="1:51" ht="15.5" hidden="1" outlineLevel="1" collapsed="1">
      <c r="A101" s="1" t="s">
        <v>142</v>
      </c>
      <c r="C101" s="104"/>
      <c r="E101" s="14" t="s">
        <v>35</v>
      </c>
      <c r="F101" s="33">
        <f t="shared" ref="F101:M101" ca="1" si="71">SUM(F99:F100)</f>
        <v>-16.78291139447407</v>
      </c>
      <c r="G101" s="33">
        <f t="shared" ca="1" si="71"/>
        <v>-23.41804644653719</v>
      </c>
      <c r="H101" s="33">
        <f t="shared" ca="1" si="71"/>
        <v>-28.202851478187107</v>
      </c>
      <c r="I101" s="33">
        <f t="shared" ca="1" si="71"/>
        <v>-27.551242417129579</v>
      </c>
      <c r="J101" s="33">
        <f t="shared" ca="1" si="71"/>
        <v>-16.972698084254478</v>
      </c>
      <c r="K101" s="33">
        <f t="shared" ca="1" si="71"/>
        <v>-19.309341306248392</v>
      </c>
      <c r="L101" s="33">
        <f t="shared" ca="1" si="71"/>
        <v>-16.167276871578153</v>
      </c>
      <c r="M101" s="33">
        <f t="shared" ca="1" si="71"/>
        <v>-0.77182174834470352</v>
      </c>
      <c r="N101" s="33">
        <f t="shared" ref="N101:X101" ca="1" si="72">SUM(N99:N100)</f>
        <v>-3.2759210054425898</v>
      </c>
      <c r="O101" s="33">
        <f t="shared" ca="1" si="72"/>
        <v>-6.5347705850582107</v>
      </c>
      <c r="P101" s="33">
        <f t="shared" ca="1" si="72"/>
        <v>-8.8128660545626225</v>
      </c>
      <c r="Q101" s="33">
        <f t="shared" ca="1" si="72"/>
        <v>-12.610612643715571</v>
      </c>
      <c r="R101" s="33">
        <f t="shared" ca="1" si="72"/>
        <v>-16.256465319089564</v>
      </c>
      <c r="S101" s="33">
        <f t="shared" ca="1" si="72"/>
        <v>-16.986374800714593</v>
      </c>
      <c r="T101" s="33">
        <f t="shared" ca="1" si="72"/>
        <v>-22.802569340311663</v>
      </c>
      <c r="U101" s="33">
        <f t="shared" ca="1" si="72"/>
        <v>-25.277877435610588</v>
      </c>
      <c r="V101" s="33">
        <f t="shared" ca="1" si="72"/>
        <v>-20.546846800652883</v>
      </c>
      <c r="W101" s="33">
        <f t="shared" ca="1" si="72"/>
        <v>-31.411165614653648</v>
      </c>
      <c r="X101" s="33">
        <f t="shared" ca="1" si="72"/>
        <v>-34.503800670681763</v>
      </c>
      <c r="Y101" s="33">
        <f ca="1">SUM(Y99:Y100)</f>
        <v>-34.503800670681763</v>
      </c>
      <c r="Z101" s="33">
        <f ca="1">SUM(Z99:Z100)</f>
        <v>-2.3739803135289308</v>
      </c>
      <c r="AA101" s="33">
        <f t="shared" ref="AA101:AK101" ca="1" si="73">SUM(AA99:AA100)</f>
        <v>-4.5251049188304702</v>
      </c>
      <c r="AB101" s="33">
        <f t="shared" ca="1" si="73"/>
        <v>-6.9933798252739763</v>
      </c>
      <c r="AC101" s="33">
        <f t="shared" ca="1" si="73"/>
        <v>-9.4378152354901808</v>
      </c>
      <c r="AD101" s="33">
        <f t="shared" ca="1" si="73"/>
        <v>-11.877605237794725</v>
      </c>
      <c r="AE101" s="33">
        <f t="shared" ca="1" si="73"/>
        <v>-14.407567356278355</v>
      </c>
      <c r="AF101" s="33">
        <f t="shared" ca="1" si="73"/>
        <v>-17.169714720870694</v>
      </c>
      <c r="AG101" s="33">
        <f t="shared" ca="1" si="73"/>
        <v>-19.802001712478585</v>
      </c>
      <c r="AH101" s="33">
        <f t="shared" ca="1" si="73"/>
        <v>-22.141685247232964</v>
      </c>
      <c r="AI101" s="33">
        <f t="shared" ca="1" si="73"/>
        <v>-24.528631951867979</v>
      </c>
      <c r="AJ101" s="33">
        <f t="shared" ca="1" si="73"/>
        <v>-26.903649733940483</v>
      </c>
      <c r="AK101" s="33">
        <f t="shared" ca="1" si="73"/>
        <v>-29.285154666807948</v>
      </c>
      <c r="AL101" s="33">
        <f ca="1">SUM(AL99:AL100)</f>
        <v>-29.285154666807948</v>
      </c>
      <c r="AM101" s="33">
        <f ca="1">SUM(AM99:AM100)</f>
        <v>20.549436263653675</v>
      </c>
      <c r="AN101" s="33">
        <f t="shared" ref="AN101:AX101" ca="1" si="74">SUM(AN99:AN100)</f>
        <v>-5.9238190437185221</v>
      </c>
      <c r="AO101" s="33">
        <f t="shared" ca="1" si="74"/>
        <v>0</v>
      </c>
      <c r="AP101" s="33">
        <f t="shared" ca="1" si="74"/>
        <v>0</v>
      </c>
      <c r="AQ101" s="33">
        <f t="shared" ca="1" si="74"/>
        <v>0</v>
      </c>
      <c r="AR101" s="33">
        <f t="shared" ca="1" si="74"/>
        <v>0</v>
      </c>
      <c r="AS101" s="33">
        <f t="shared" ca="1" si="74"/>
        <v>0</v>
      </c>
      <c r="AT101" s="33">
        <f t="shared" ca="1" si="74"/>
        <v>0</v>
      </c>
      <c r="AU101" s="33">
        <f t="shared" ca="1" si="74"/>
        <v>0</v>
      </c>
      <c r="AV101" s="33">
        <f t="shared" ca="1" si="74"/>
        <v>0</v>
      </c>
      <c r="AW101" s="33">
        <f t="shared" ca="1" si="74"/>
        <v>0</v>
      </c>
      <c r="AX101" s="33">
        <f t="shared" ca="1" si="74"/>
        <v>0</v>
      </c>
      <c r="AY101" s="33">
        <f ca="1">SUM(AY99:AY100)</f>
        <v>0</v>
      </c>
    </row>
    <row r="102" spans="1:51" ht="15.5" collapsed="1">
      <c r="A102" s="1" t="s">
        <v>142</v>
      </c>
      <c r="C102" s="104"/>
      <c r="E102" s="11" t="s">
        <v>36</v>
      </c>
      <c r="F102" s="35">
        <f t="shared" ref="F102:L102" ca="1" si="75">F87+F92+F95+F98+F101</f>
        <v>-441.71417465125262</v>
      </c>
      <c r="G102" s="35">
        <f t="shared" ca="1" si="75"/>
        <v>-436.98746185101749</v>
      </c>
      <c r="H102" s="35">
        <f t="shared" ca="1" si="75"/>
        <v>-483.98116483713716</v>
      </c>
      <c r="I102" s="35">
        <f t="shared" ca="1" si="75"/>
        <v>-408.71739056918756</v>
      </c>
      <c r="J102" s="35">
        <f t="shared" ca="1" si="75"/>
        <v>-374.40638476342446</v>
      </c>
      <c r="K102" s="35">
        <f t="shared" ca="1" si="75"/>
        <v>-468.85564640523125</v>
      </c>
      <c r="L102" s="35">
        <f t="shared" ca="1" si="75"/>
        <v>-476.50131415177822</v>
      </c>
      <c r="M102" s="35">
        <f t="shared" ref="M102:X102" ca="1" si="76">M87+M92+M95+M98+M101</f>
        <v>-26.743245398530039</v>
      </c>
      <c r="N102" s="35">
        <f t="shared" ca="1" si="76"/>
        <v>-104.06524447149839</v>
      </c>
      <c r="O102" s="35">
        <f t="shared" ca="1" si="76"/>
        <v>-173.31511482564679</v>
      </c>
      <c r="P102" s="35">
        <f t="shared" ca="1" si="76"/>
        <v>-223.5531786797838</v>
      </c>
      <c r="Q102" s="35">
        <f t="shared" ca="1" si="76"/>
        <v>-291.57434743315264</v>
      </c>
      <c r="R102" s="35">
        <f t="shared" ca="1" si="76"/>
        <v>-364.50148370913882</v>
      </c>
      <c r="S102" s="35">
        <f t="shared" ca="1" si="76"/>
        <v>-245.58373565151388</v>
      </c>
      <c r="T102" s="35">
        <f t="shared" ca="1" si="76"/>
        <v>-480.95934760076614</v>
      </c>
      <c r="U102" s="35">
        <f t="shared" ca="1" si="76"/>
        <v>-549.4775999225244</v>
      </c>
      <c r="V102" s="35">
        <f t="shared" ca="1" si="76"/>
        <v>-371.59857125636273</v>
      </c>
      <c r="W102" s="35">
        <f t="shared" ca="1" si="76"/>
        <v>-612.10361362985918</v>
      </c>
      <c r="X102" s="35">
        <f t="shared" ca="1" si="76"/>
        <v>-752.20546841148655</v>
      </c>
      <c r="Y102" s="35">
        <f ca="1">Y87+Y92+Y95+Y98+Y101</f>
        <v>-752.20546841148655</v>
      </c>
      <c r="Z102" s="35">
        <f t="shared" ref="Z102:AK102" ca="1" si="77">Z87+Z92+Z95+Z98+Z101</f>
        <v>-64.556748978760481</v>
      </c>
      <c r="AA102" s="35">
        <f t="shared" ca="1" si="77"/>
        <v>-137.07338620617142</v>
      </c>
      <c r="AB102" s="35">
        <f t="shared" ca="1" si="77"/>
        <v>-213.14505917361254</v>
      </c>
      <c r="AC102" s="35">
        <f t="shared" ca="1" si="77"/>
        <v>-276.57814213336263</v>
      </c>
      <c r="AD102" s="35">
        <f t="shared" ca="1" si="77"/>
        <v>-345.26175281339999</v>
      </c>
      <c r="AE102" s="35">
        <f t="shared" ca="1" si="77"/>
        <v>-415.02077316285215</v>
      </c>
      <c r="AF102" s="35">
        <f t="shared" ca="1" si="77"/>
        <v>-476.17055615677401</v>
      </c>
      <c r="AG102" s="35">
        <f t="shared" ca="1" si="77"/>
        <v>-534.84265348732163</v>
      </c>
      <c r="AH102" s="35">
        <f t="shared" ca="1" si="77"/>
        <v>-601.75014776634475</v>
      </c>
      <c r="AI102" s="35">
        <f t="shared" ca="1" si="77"/>
        <v>-667.794248821991</v>
      </c>
      <c r="AJ102" s="35">
        <f t="shared" ca="1" si="77"/>
        <v>-735.00751457827516</v>
      </c>
      <c r="AK102" s="35">
        <f t="shared" ca="1" si="77"/>
        <v>-802.07616465240585</v>
      </c>
      <c r="AL102" s="35">
        <f ca="1">AL87+AL92+AL95+AL98+AL101</f>
        <v>-802.07616465240585</v>
      </c>
      <c r="AM102" s="35">
        <f t="shared" ref="AM102:AX102" ca="1" si="78">AM87+AM92+AM95+AM98+AM101</f>
        <v>-9.3762347664918728</v>
      </c>
      <c r="AN102" s="35">
        <f t="shared" ca="1" si="78"/>
        <v>-122.6470793118383</v>
      </c>
      <c r="AO102" s="35">
        <f t="shared" ca="1" si="78"/>
        <v>-3.2203406608033447E-14</v>
      </c>
      <c r="AP102" s="35">
        <f t="shared" ca="1" si="78"/>
        <v>-3.2203406608033447E-14</v>
      </c>
      <c r="AQ102" s="35">
        <f t="shared" ca="1" si="78"/>
        <v>-3.2203406608033447E-14</v>
      </c>
      <c r="AR102" s="35">
        <f t="shared" ca="1" si="78"/>
        <v>-3.2203406608033447E-14</v>
      </c>
      <c r="AS102" s="35">
        <f t="shared" ca="1" si="78"/>
        <v>-3.2203406608033447E-14</v>
      </c>
      <c r="AT102" s="35">
        <f t="shared" ca="1" si="78"/>
        <v>-3.2203406608033447E-14</v>
      </c>
      <c r="AU102" s="35">
        <f t="shared" ca="1" si="78"/>
        <v>-3.2203406608033447E-14</v>
      </c>
      <c r="AV102" s="35">
        <f t="shared" ca="1" si="78"/>
        <v>-3.2203406608033447E-14</v>
      </c>
      <c r="AW102" s="35">
        <f t="shared" ca="1" si="78"/>
        <v>-3.2203406608033447E-14</v>
      </c>
      <c r="AX102" s="35">
        <f t="shared" ca="1" si="78"/>
        <v>-3.2203406608033447E-14</v>
      </c>
      <c r="AY102" s="35">
        <f ca="1">AY87+AY92+AY95+AY98+AY101</f>
        <v>-3.2203406608033447E-14</v>
      </c>
    </row>
    <row r="103" spans="1:51" ht="15.75" hidden="1" customHeight="1" outlineLevel="1">
      <c r="A103" s="1" t="s">
        <v>198</v>
      </c>
      <c r="C103" s="104"/>
      <c r="E103" s="9" t="str">
        <f ca="1">_xll.DBRW(Server&amp;"}ElementAttributes_Indicator",A103,"code_English")</f>
        <v>PL1115_FL_55 - Operating lease (FL)</v>
      </c>
      <c r="F103" s="32">
        <f ca="1">_xll.DBRW($C$1,$C$2,$C$3,$C$4,$C$6,$C$5,$C$7,F$1,F$2,A103)</f>
        <v>-16.340405785420952</v>
      </c>
      <c r="G103" s="32">
        <f ca="1">_xll.DBRW($C$1,$C$2,$C$3,$C$4,$C$6,$C$5,$C$7,G$1,G$2,A103)</f>
        <v>-16.276316891771639</v>
      </c>
      <c r="H103" s="32">
        <f ca="1">_xll.DBRW($C$1,$C$2,$C$3,$C$4,$C$6,$C$5,$C$7,H$1,H$2,A103)</f>
        <v>-8.405721976677949E-2</v>
      </c>
      <c r="I103" s="32">
        <f ca="1">_xll.DBRW($C$1,$C$2,$C$3,$C$4,$C$6,$C$5,$C$7,I$1,I$2,A103)</f>
        <v>0</v>
      </c>
      <c r="J103" s="32">
        <f ca="1">_xll.DBRW($C$1,$C$2,$C$3,$C$4,$C$6,$C$5,$C$7,J$1,J$2,A103)</f>
        <v>0</v>
      </c>
      <c r="K103" s="32">
        <f ca="1">_xll.DBRW($C$1,$C$2,$C$3,$C$4,$C$6,$C$5,$C$7,K$1,K$2,A103)</f>
        <v>5.0746199646118191</v>
      </c>
      <c r="L103" s="32">
        <f ca="1">_xll.DBRW($C$1,$C$2,$C$3,$C$4,$C$6,$C$5,$C$7,L$1,L$2,A103)</f>
        <v>-0.92147757701149424</v>
      </c>
      <c r="M103" s="32">
        <f ca="1">_xll.DBRW($C$1,$C$2,$C$3,$C$4,$C$6,$C$5,$C$7,M$1,M$2,A103)</f>
        <v>0.51512529197249601</v>
      </c>
      <c r="N103" s="32">
        <f ca="1">_xll.DBRW($C$1,$C$2,$C$3,$C$4,$C$6,$C$5,$C$7,N$1,N$2,A103)</f>
        <v>1.1084650997351357</v>
      </c>
      <c r="O103" s="32">
        <f ca="1">_xll.DBRW($C$1,$C$2,$C$3,$C$4,$C$6,$C$5,$C$7,O$1,O$2,A103)</f>
        <v>1.5804871910867586</v>
      </c>
      <c r="P103" s="32">
        <f ca="1">_xll.DBRW($C$1,$C$2,$C$3,$C$4,$C$6,$C$5,$C$7,P$1,P$2,A103)</f>
        <v>2.1118817301456021</v>
      </c>
      <c r="Q103" s="32">
        <f ca="1">_xll.DBRW($C$1,$C$2,$C$3,$C$4,$C$6,$C$5,$C$7,Q$1,Q$2,A103)</f>
        <v>2.6437565088926078</v>
      </c>
      <c r="R103" s="32">
        <f ca="1">_xll.DBRW($C$1,$C$2,$C$3,$C$4,$C$6,$C$5,$C$7,R$1,R$2,A103)</f>
        <v>3.1709190052515766</v>
      </c>
      <c r="S103" s="32">
        <f ca="1">_xll.DBRW($C$1,$C$2,$C$3,$C$4,$C$6,$C$5,$C$7,S$1,S$2,A103)</f>
        <v>3.6937184298806631</v>
      </c>
      <c r="T103" s="32">
        <f ca="1">_xll.DBRW($C$1,$C$2,$C$3,$C$4,$C$6,$C$5,$C$7,T$1,T$2,A103)</f>
        <v>4.211966905177996</v>
      </c>
      <c r="U103" s="32">
        <f ca="1">_xll.DBRW($C$1,$C$2,$C$3,$C$4,$C$6,$C$5,$C$7,U$1,U$2,A103)</f>
        <v>4.7430451161707055</v>
      </c>
      <c r="V103" s="32">
        <f ca="1">_xll.DBRW($C$1,$C$2,$C$3,$C$4,$C$6,$C$5,$C$7,V$1,V$2,A103)</f>
        <v>5.2784556265006053</v>
      </c>
      <c r="W103" s="32">
        <f ca="1">_xll.DBRW($C$1,$C$2,$C$3,$C$4,$C$6,$C$5,$C$7,W$1,W$2,A103)</f>
        <v>5.813164631702719</v>
      </c>
      <c r="X103" s="32">
        <f ca="1">_xll.DBRW($C$1,$C$2,$C$3,$C$4,$C$6,$C$5,$C$7,X$1,X$2,A103)</f>
        <v>6.0633775745379923</v>
      </c>
      <c r="Y103" s="32">
        <f ca="1">_xll.DBRW($C$1,$C$2,$C$3,$C$4,$C$6,$C$5,$C$7,Y$1,Y$2,A103)</f>
        <v>6.0633775745379923</v>
      </c>
      <c r="Z103" s="32">
        <f ca="1">_xll.DBRW($C$1,$C$2,$C$3,$C$4,$C$6,$C$5,$C$7,Z$1,Z$2,A103)</f>
        <v>-4.4321052631578935E-2</v>
      </c>
      <c r="AA103" s="32">
        <f ca="1">_xll.DBRW($C$1,$C$2,$C$3,$C$4,$C$6,$C$5,$C$7,AA$1,AA$2,A103)</f>
        <v>-9.2665263157894723E-2</v>
      </c>
      <c r="AB103" s="32">
        <f ca="1">_xll.DBRW($C$1,$C$2,$C$3,$C$4,$C$6,$C$5,$C$7,AB$1,AB$2,A103)</f>
        <v>-0.14742842105263154</v>
      </c>
      <c r="AC103" s="32">
        <f ca="1">_xll.DBRW($C$1,$C$2,$C$3,$C$4,$C$6,$C$5,$C$7,AC$1,AC$2,A103)</f>
        <v>-0.19293789473684209</v>
      </c>
      <c r="AD103" s="32">
        <f ca="1">_xll.DBRW($C$1,$C$2,$C$3,$C$4,$C$6,$C$5,$C$7,AD$1,AD$2,A103)</f>
        <v>-0.23796842105263155</v>
      </c>
      <c r="AE103" s="32">
        <f ca="1">_xll.DBRW($C$1,$C$2,$C$3,$C$4,$C$6,$C$5,$C$7,AE$1,AE$2,A103)</f>
        <v>-0.28187789473684205</v>
      </c>
      <c r="AF103" s="32">
        <f ca="1">_xll.DBRW($C$1,$C$2,$C$3,$C$4,$C$6,$C$5,$C$7,AF$1,AF$2,A103)</f>
        <v>-0.32649999999999996</v>
      </c>
      <c r="AG103" s="32">
        <f ca="1">_xll.DBRW($C$1,$C$2,$C$3,$C$4,$C$6,$C$5,$C$7,AG$1,AG$2,A103)</f>
        <v>-0.37213473684210524</v>
      </c>
      <c r="AH103" s="32">
        <f ca="1">_xll.DBRW($C$1,$C$2,$C$3,$C$4,$C$6,$C$5,$C$7,AH$1,AH$2,A103)</f>
        <v>-0.41586631578947364</v>
      </c>
      <c r="AI103" s="32">
        <f ca="1">_xll.DBRW($C$1,$C$2,$C$3,$C$4,$C$6,$C$5,$C$7,AI$1,AI$2,A103)</f>
        <v>-0.46033473684210524</v>
      </c>
      <c r="AJ103" s="32">
        <f ca="1">_xll.DBRW($C$1,$C$2,$C$3,$C$4,$C$6,$C$5,$C$7,AJ$1,AJ$2,A103)</f>
        <v>-0.50472105263157885</v>
      </c>
      <c r="AK103" s="32">
        <f ca="1">_xll.DBRW($C$1,$C$2,$C$3,$C$4,$C$6,$C$5,$C$7,AK$1,AK$2,A103)</f>
        <v>-0.5493168421052631</v>
      </c>
      <c r="AL103" s="32">
        <f ca="1">_xll.DBRW($C$1,$C$2,$C$3,$C$4,$C$6,$C$5,$C$7,AL$1,AL$2,A103)</f>
        <v>-0.5493168421052631</v>
      </c>
      <c r="AM103" s="32">
        <f ca="1">_xll.DBRW($C$1,$C$2,$C$3,$C$4,$C$6,$C$5,$C$7,AM$1,AM$2,A103)</f>
        <v>0.25232858837021077</v>
      </c>
      <c r="AN103" s="32">
        <f ca="1">_xll.DBRW($C$1,$C$2,$C$3,$C$4,$C$6,$C$5,$C$7,AN$1,AN$2,A103)</f>
        <v>0.3270355949056179</v>
      </c>
      <c r="AO103" s="32">
        <f ca="1">_xll.DBRW($C$1,$C$2,$C$3,$C$4,$C$6,$C$5,$C$7,AO$1,AO$2,A103)</f>
        <v>0</v>
      </c>
      <c r="AP103" s="32">
        <f ca="1">_xll.DBRW($C$1,$C$2,$C$3,$C$4,$C$6,$C$5,$C$7,AP$1,AP$2,A103)</f>
        <v>0</v>
      </c>
      <c r="AQ103" s="32">
        <f ca="1">_xll.DBRW($C$1,$C$2,$C$3,$C$4,$C$6,$C$5,$C$7,AQ$1,AQ$2,A103)</f>
        <v>0</v>
      </c>
      <c r="AR103" s="32">
        <f ca="1">_xll.DBRW($C$1,$C$2,$C$3,$C$4,$C$6,$C$5,$C$7,AR$1,AR$2,A103)</f>
        <v>0</v>
      </c>
      <c r="AS103" s="32">
        <f ca="1">_xll.DBRW($C$1,$C$2,$C$3,$C$4,$C$6,$C$5,$C$7,AS$1,AS$2,A103)</f>
        <v>0</v>
      </c>
      <c r="AT103" s="32">
        <f ca="1">_xll.DBRW($C$1,$C$2,$C$3,$C$4,$C$6,$C$5,$C$7,AT$1,AT$2,A103)</f>
        <v>0</v>
      </c>
      <c r="AU103" s="32">
        <f ca="1">_xll.DBRW($C$1,$C$2,$C$3,$C$4,$C$6,$C$5,$C$7,AU$1,AU$2,A103)</f>
        <v>0</v>
      </c>
      <c r="AV103" s="32">
        <f ca="1">_xll.DBRW($C$1,$C$2,$C$3,$C$4,$C$6,$C$5,$C$7,AV$1,AV$2,A103)</f>
        <v>0</v>
      </c>
      <c r="AW103" s="32">
        <f ca="1">_xll.DBRW($C$1,$C$2,$C$3,$C$4,$C$6,$C$5,$C$7,AW$1,AW$2,A103)</f>
        <v>0</v>
      </c>
      <c r="AX103" s="32">
        <f ca="1">_xll.DBRW($C$1,$C$2,$C$3,$C$4,$C$6,$C$5,$C$7,AX$1,AX$2,A103)</f>
        <v>0</v>
      </c>
      <c r="AY103" s="32">
        <f ca="1">_xll.DBRW($C$1,$C$2,$C$3,$C$4,$C$6,$C$5,$C$7,AY$1,AY$2,A103)</f>
        <v>0</v>
      </c>
    </row>
    <row r="104" spans="1:51" ht="15.75" hidden="1" customHeight="1" outlineLevel="1">
      <c r="A104" s="1" t="s">
        <v>199</v>
      </c>
      <c r="C104" s="104"/>
      <c r="E104" s="9" t="str">
        <f ca="1">_xll.DBRW(Server&amp;"}ElementAttributes_Indicator",A104,"code_English")</f>
        <v>PL1115_FL_56 - Financial lease (FL)</v>
      </c>
      <c r="F104" s="32">
        <f ca="1">_xll.DBRW($C$1,$C$2,$C$3,$C$4,$C$6,$C$5,$C$7,F$1,F$2,A104)</f>
        <v>-2.7389319875117002E-2</v>
      </c>
      <c r="G104" s="32">
        <f ca="1">_xll.DBRW($C$1,$C$2,$C$3,$C$4,$C$6,$C$5,$C$7,G$1,G$2,A104)</f>
        <v>-5.5853429057830889E-2</v>
      </c>
      <c r="H104" s="32">
        <f ca="1">_xll.DBRW($C$1,$C$2,$C$3,$C$4,$C$6,$C$5,$C$7,H$1,H$2,A104)</f>
        <v>4.6837533851373792E-17</v>
      </c>
      <c r="I104" s="32">
        <f ca="1">_xll.DBRW($C$1,$C$2,$C$3,$C$4,$C$6,$C$5,$C$7,I$1,I$2,A104)</f>
        <v>0</v>
      </c>
      <c r="J104" s="32">
        <f ca="1">_xll.DBRW($C$1,$C$2,$C$3,$C$4,$C$6,$C$5,$C$7,J$1,J$2,A104)</f>
        <v>0</v>
      </c>
      <c r="K104" s="32">
        <f ca="1">_xll.DBRW($C$1,$C$2,$C$3,$C$4,$C$6,$C$5,$C$7,K$1,K$2,A104)</f>
        <v>0</v>
      </c>
      <c r="L104" s="32">
        <f ca="1">_xll.DBRW($C$1,$C$2,$C$3,$C$4,$C$6,$C$5,$C$7,L$1,L$2,A104)</f>
        <v>0</v>
      </c>
      <c r="M104" s="32">
        <f ca="1">_xll.DBRW($C$1,$C$2,$C$3,$C$4,$C$6,$C$5,$C$7,M$1,M$2,A104)</f>
        <v>0</v>
      </c>
      <c r="N104" s="32">
        <f ca="1">_xll.DBRW($C$1,$C$2,$C$3,$C$4,$C$6,$C$5,$C$7,N$1,N$2,A104)</f>
        <v>0</v>
      </c>
      <c r="O104" s="32">
        <f ca="1">_xll.DBRW($C$1,$C$2,$C$3,$C$4,$C$6,$C$5,$C$7,O$1,O$2,A104)</f>
        <v>0</v>
      </c>
      <c r="P104" s="32">
        <f ca="1">_xll.DBRW($C$1,$C$2,$C$3,$C$4,$C$6,$C$5,$C$7,P$1,P$2,A104)</f>
        <v>0</v>
      </c>
      <c r="Q104" s="32">
        <f ca="1">_xll.DBRW($C$1,$C$2,$C$3,$C$4,$C$6,$C$5,$C$7,Q$1,Q$2,A104)</f>
        <v>0</v>
      </c>
      <c r="R104" s="32">
        <f ca="1">_xll.DBRW($C$1,$C$2,$C$3,$C$4,$C$6,$C$5,$C$7,R$1,R$2,A104)</f>
        <v>0</v>
      </c>
      <c r="S104" s="32">
        <f ca="1">_xll.DBRW($C$1,$C$2,$C$3,$C$4,$C$6,$C$5,$C$7,S$1,S$2,A104)</f>
        <v>0</v>
      </c>
      <c r="T104" s="32">
        <f ca="1">_xll.DBRW($C$1,$C$2,$C$3,$C$4,$C$6,$C$5,$C$7,T$1,T$2,A104)</f>
        <v>0</v>
      </c>
      <c r="U104" s="32">
        <f ca="1">_xll.DBRW($C$1,$C$2,$C$3,$C$4,$C$6,$C$5,$C$7,U$1,U$2,A104)</f>
        <v>0</v>
      </c>
      <c r="V104" s="32">
        <f ca="1">_xll.DBRW($C$1,$C$2,$C$3,$C$4,$C$6,$C$5,$C$7,V$1,V$2,A104)</f>
        <v>0</v>
      </c>
      <c r="W104" s="32">
        <f ca="1">_xll.DBRW($C$1,$C$2,$C$3,$C$4,$C$6,$C$5,$C$7,W$1,W$2,A104)</f>
        <v>0</v>
      </c>
      <c r="X104" s="32">
        <f ca="1">_xll.DBRW($C$1,$C$2,$C$3,$C$4,$C$6,$C$5,$C$7,X$1,X$2,A104)</f>
        <v>0</v>
      </c>
      <c r="Y104" s="32">
        <f ca="1">_xll.DBRW($C$1,$C$2,$C$3,$C$4,$C$6,$C$5,$C$7,Y$1,Y$2,A104)</f>
        <v>0</v>
      </c>
      <c r="Z104" s="32">
        <f ca="1">_xll.DBRW($C$1,$C$2,$C$3,$C$4,$C$6,$C$5,$C$7,Z$1,Z$2,A104)</f>
        <v>0</v>
      </c>
      <c r="AA104" s="32">
        <f ca="1">_xll.DBRW($C$1,$C$2,$C$3,$C$4,$C$6,$C$5,$C$7,AA$1,AA$2,A104)</f>
        <v>0</v>
      </c>
      <c r="AB104" s="32">
        <f ca="1">_xll.DBRW($C$1,$C$2,$C$3,$C$4,$C$6,$C$5,$C$7,AB$1,AB$2,A104)</f>
        <v>0</v>
      </c>
      <c r="AC104" s="32">
        <f ca="1">_xll.DBRW($C$1,$C$2,$C$3,$C$4,$C$6,$C$5,$C$7,AC$1,AC$2,A104)</f>
        <v>0</v>
      </c>
      <c r="AD104" s="32">
        <f ca="1">_xll.DBRW($C$1,$C$2,$C$3,$C$4,$C$6,$C$5,$C$7,AD$1,AD$2,A104)</f>
        <v>0</v>
      </c>
      <c r="AE104" s="32">
        <f ca="1">_xll.DBRW($C$1,$C$2,$C$3,$C$4,$C$6,$C$5,$C$7,AE$1,AE$2,A104)</f>
        <v>0</v>
      </c>
      <c r="AF104" s="32">
        <f ca="1">_xll.DBRW($C$1,$C$2,$C$3,$C$4,$C$6,$C$5,$C$7,AF$1,AF$2,A104)</f>
        <v>0</v>
      </c>
      <c r="AG104" s="32">
        <f ca="1">_xll.DBRW($C$1,$C$2,$C$3,$C$4,$C$6,$C$5,$C$7,AG$1,AG$2,A104)</f>
        <v>0</v>
      </c>
      <c r="AH104" s="32">
        <f ca="1">_xll.DBRW($C$1,$C$2,$C$3,$C$4,$C$6,$C$5,$C$7,AH$1,AH$2,A104)</f>
        <v>0</v>
      </c>
      <c r="AI104" s="32">
        <f ca="1">_xll.DBRW($C$1,$C$2,$C$3,$C$4,$C$6,$C$5,$C$7,AI$1,AI$2,A104)</f>
        <v>0</v>
      </c>
      <c r="AJ104" s="32">
        <f ca="1">_xll.DBRW($C$1,$C$2,$C$3,$C$4,$C$6,$C$5,$C$7,AJ$1,AJ$2,A104)</f>
        <v>0</v>
      </c>
      <c r="AK104" s="32">
        <f ca="1">_xll.DBRW($C$1,$C$2,$C$3,$C$4,$C$6,$C$5,$C$7,AK$1,AK$2,A104)</f>
        <v>0</v>
      </c>
      <c r="AL104" s="32">
        <f ca="1">_xll.DBRW($C$1,$C$2,$C$3,$C$4,$C$6,$C$5,$C$7,AL$1,AL$2,A104)</f>
        <v>0</v>
      </c>
      <c r="AM104" s="32">
        <f ca="1">_xll.DBRW($C$1,$C$2,$C$3,$C$4,$C$6,$C$5,$C$7,AM$1,AM$2,A104)</f>
        <v>0</v>
      </c>
      <c r="AN104" s="32">
        <f ca="1">_xll.DBRW($C$1,$C$2,$C$3,$C$4,$C$6,$C$5,$C$7,AN$1,AN$2,A104)</f>
        <v>0</v>
      </c>
      <c r="AO104" s="32">
        <f ca="1">_xll.DBRW($C$1,$C$2,$C$3,$C$4,$C$6,$C$5,$C$7,AO$1,AO$2,A104)</f>
        <v>0</v>
      </c>
      <c r="AP104" s="32">
        <f ca="1">_xll.DBRW($C$1,$C$2,$C$3,$C$4,$C$6,$C$5,$C$7,AP$1,AP$2,A104)</f>
        <v>0</v>
      </c>
      <c r="AQ104" s="32">
        <f ca="1">_xll.DBRW($C$1,$C$2,$C$3,$C$4,$C$6,$C$5,$C$7,AQ$1,AQ$2,A104)</f>
        <v>0</v>
      </c>
      <c r="AR104" s="32">
        <f ca="1">_xll.DBRW($C$1,$C$2,$C$3,$C$4,$C$6,$C$5,$C$7,AR$1,AR$2,A104)</f>
        <v>0</v>
      </c>
      <c r="AS104" s="32">
        <f ca="1">_xll.DBRW($C$1,$C$2,$C$3,$C$4,$C$6,$C$5,$C$7,AS$1,AS$2,A104)</f>
        <v>0</v>
      </c>
      <c r="AT104" s="32">
        <f ca="1">_xll.DBRW($C$1,$C$2,$C$3,$C$4,$C$6,$C$5,$C$7,AT$1,AT$2,A104)</f>
        <v>0</v>
      </c>
      <c r="AU104" s="32">
        <f ca="1">_xll.DBRW($C$1,$C$2,$C$3,$C$4,$C$6,$C$5,$C$7,AU$1,AU$2,A104)</f>
        <v>0</v>
      </c>
      <c r="AV104" s="32">
        <f ca="1">_xll.DBRW($C$1,$C$2,$C$3,$C$4,$C$6,$C$5,$C$7,AV$1,AV$2,A104)</f>
        <v>0</v>
      </c>
      <c r="AW104" s="32">
        <f ca="1">_xll.DBRW($C$1,$C$2,$C$3,$C$4,$C$6,$C$5,$C$7,AW$1,AW$2,A104)</f>
        <v>0</v>
      </c>
      <c r="AX104" s="32">
        <f ca="1">_xll.DBRW($C$1,$C$2,$C$3,$C$4,$C$6,$C$5,$C$7,AX$1,AX$2,A104)</f>
        <v>0</v>
      </c>
      <c r="AY104" s="32">
        <f ca="1">_xll.DBRW($C$1,$C$2,$C$3,$C$4,$C$6,$C$5,$C$7,AY$1,AY$2,A104)</f>
        <v>0</v>
      </c>
    </row>
    <row r="105" spans="1:51" ht="15.75" hidden="1" customHeight="1" outlineLevel="1">
      <c r="A105" s="1" t="s">
        <v>200</v>
      </c>
      <c r="C105" s="104"/>
      <c r="E105" s="9" t="str">
        <f ca="1">_xll.DBRW(Server&amp;"}ElementAttributes_Indicator",A105,"code_English")</f>
        <v>PL1116_FL - COS - Lease expenses (FL)</v>
      </c>
      <c r="F105" s="32">
        <f ca="1">_xll.DBRW($C$1,$C$2,$C$3,$C$4,$C$6,$C$5,$C$7,F$1,F$2,A105)</f>
        <v>-249.30395935967942</v>
      </c>
      <c r="G105" s="32">
        <f ca="1">_xll.DBRW($C$1,$C$2,$C$3,$C$4,$C$6,$C$5,$C$7,G$1,G$2,A105)</f>
        <v>-220.64288762347343</v>
      </c>
      <c r="H105" s="32">
        <f ca="1">_xll.DBRW($C$1,$C$2,$C$3,$C$4,$C$6,$C$5,$C$7,H$1,H$2,A105)</f>
        <v>-230.22057115192752</v>
      </c>
      <c r="I105" s="32">
        <f ca="1">_xll.DBRW($C$1,$C$2,$C$3,$C$4,$C$6,$C$5,$C$7,I$1,I$2,A105)</f>
        <v>-41.871566189872993</v>
      </c>
      <c r="J105" s="32">
        <f ca="1">_xll.DBRW($C$1,$C$2,$C$3,$C$4,$C$6,$C$5,$C$7,J$1,J$2,A105)</f>
        <v>-116.77292901251261</v>
      </c>
      <c r="K105" s="32">
        <f ca="1">_xll.DBRW($C$1,$C$2,$C$3,$C$4,$C$6,$C$5,$C$7,K$1,K$2,A105)</f>
        <v>-47.090266120789174</v>
      </c>
      <c r="L105" s="32">
        <f ca="1">_xll.DBRW($C$1,$C$2,$C$3,$C$4,$C$6,$C$5,$C$7,L$1,L$2,A105)</f>
        <v>-1.5795620585335362</v>
      </c>
      <c r="M105" s="32">
        <f ca="1">_xll.DBRW($C$1,$C$2,$C$3,$C$4,$C$6,$C$5,$C$7,M$1,M$2,A105)</f>
        <v>-0.26042111790818184</v>
      </c>
      <c r="N105" s="32">
        <f ca="1">_xll.DBRW($C$1,$C$2,$C$3,$C$4,$C$6,$C$5,$C$7,N$1,N$2,A105)</f>
        <v>-4.2337704944604893</v>
      </c>
      <c r="O105" s="32">
        <f ca="1">_xll.DBRW($C$1,$C$2,$C$3,$C$4,$C$6,$C$5,$C$7,O$1,O$2,A105)</f>
        <v>-7.4130530272145112</v>
      </c>
      <c r="P105" s="32">
        <f ca="1">_xll.DBRW($C$1,$C$2,$C$3,$C$4,$C$6,$C$5,$C$7,P$1,P$2,A105)</f>
        <v>-9.2589962833675195</v>
      </c>
      <c r="Q105" s="32">
        <f ca="1">_xll.DBRW($C$1,$C$2,$C$3,$C$4,$C$6,$C$5,$C$7,Q$1,Q$2,A105)</f>
        <v>-11.701829771486327</v>
      </c>
      <c r="R105" s="32">
        <f ca="1">_xll.DBRW($C$1,$C$2,$C$3,$C$4,$C$6,$C$5,$C$7,R$1,R$2,A105)</f>
        <v>-15.946887657782096</v>
      </c>
      <c r="S105" s="32">
        <f ca="1">_xll.DBRW($C$1,$C$2,$C$3,$C$4,$C$6,$C$5,$C$7,S$1,S$2,A105)</f>
        <v>-4.9879678394552043</v>
      </c>
      <c r="T105" s="32">
        <f ca="1">_xll.DBRW($C$1,$C$2,$C$3,$C$4,$C$6,$C$5,$C$7,T$1,T$2,A105)</f>
        <v>-22.68373046171514</v>
      </c>
      <c r="U105" s="32">
        <f ca="1">_xll.DBRW($C$1,$C$2,$C$3,$C$4,$C$6,$C$5,$C$7,U$1,U$2,A105)</f>
        <v>-25.553472473302811</v>
      </c>
      <c r="V105" s="32">
        <f ca="1">_xll.DBRW($C$1,$C$2,$C$3,$C$4,$C$6,$C$5,$C$7,V$1,V$2,A105)</f>
        <v>-11.768579256551117</v>
      </c>
      <c r="W105" s="32">
        <f ca="1">_xll.DBRW($C$1,$C$2,$C$3,$C$4,$C$6,$C$5,$C$7,W$1,W$2,A105)</f>
        <v>-27.526970118227407</v>
      </c>
      <c r="X105" s="32">
        <f ca="1">_xll.DBRW($C$1,$C$2,$C$3,$C$4,$C$6,$C$5,$C$7,X$1,X$2,A105)</f>
        <v>-35.784502904944873</v>
      </c>
      <c r="Y105" s="32">
        <f ca="1">_xll.DBRW($C$1,$C$2,$C$3,$C$4,$C$6,$C$5,$C$7,Y$1,Y$2,A105)</f>
        <v>-35.784502904944873</v>
      </c>
      <c r="Z105" s="32">
        <f ca="1">_xll.DBRW($C$1,$C$2,$C$3,$C$4,$C$6,$C$5,$C$7,Z$1,Z$2,A105)</f>
        <v>-0.57545888168051884</v>
      </c>
      <c r="AA105" s="32">
        <f ca="1">_xll.DBRW($C$1,$C$2,$C$3,$C$4,$C$6,$C$5,$C$7,AA$1,AA$2,A105)</f>
        <v>-2.5925290829421428</v>
      </c>
      <c r="AB105" s="32">
        <f ca="1">_xll.DBRW($C$1,$C$2,$C$3,$C$4,$C$6,$C$5,$C$7,AB$1,AB$2,A105)</f>
        <v>-3.9368598248898721</v>
      </c>
      <c r="AC105" s="32">
        <f ca="1">_xll.DBRW($C$1,$C$2,$C$3,$C$4,$C$6,$C$5,$C$7,AC$1,AC$2,A105)</f>
        <v>-5.2988152767853407</v>
      </c>
      <c r="AD105" s="32">
        <f ca="1">_xll.DBRW($C$1,$C$2,$C$3,$C$4,$C$6,$C$5,$C$7,AD$1,AD$2,A105)</f>
        <v>-6.6845988128939418</v>
      </c>
      <c r="AE105" s="32">
        <f ca="1">_xll.DBRW($C$1,$C$2,$C$3,$C$4,$C$6,$C$5,$C$7,AE$1,AE$2,A105)</f>
        <v>-8.0656554282207811</v>
      </c>
      <c r="AF105" s="32">
        <f ca="1">_xll.DBRW($C$1,$C$2,$C$3,$C$4,$C$6,$C$5,$C$7,AF$1,AF$2,A105)</f>
        <v>-9.3552340198758017</v>
      </c>
      <c r="AG105" s="32">
        <f ca="1">_xll.DBRW($C$1,$C$2,$C$3,$C$4,$C$6,$C$5,$C$7,AG$1,AG$2,A105)</f>
        <v>-10.512383100716622</v>
      </c>
      <c r="AH105" s="32">
        <f ca="1">_xll.DBRW($C$1,$C$2,$C$3,$C$4,$C$6,$C$5,$C$7,AH$1,AH$2,A105)</f>
        <v>-11.526846461786112</v>
      </c>
      <c r="AI105" s="32">
        <f ca="1">_xll.DBRW($C$1,$C$2,$C$3,$C$4,$C$6,$C$5,$C$7,AI$1,AI$2,A105)</f>
        <v>-12.476193859595151</v>
      </c>
      <c r="AJ105" s="32">
        <f ca="1">_xll.DBRW($C$1,$C$2,$C$3,$C$4,$C$6,$C$5,$C$7,AJ$1,AJ$2,A105)</f>
        <v>-13.37451092898025</v>
      </c>
      <c r="AK105" s="32">
        <f ca="1">_xll.DBRW($C$1,$C$2,$C$3,$C$4,$C$6,$C$5,$C$7,AK$1,AK$2,A105)</f>
        <v>-14.807689548761035</v>
      </c>
      <c r="AL105" s="32">
        <f ca="1">_xll.DBRW($C$1,$C$2,$C$3,$C$4,$C$6,$C$5,$C$7,AL$1,AL$2,A105)</f>
        <v>-14.807689548761035</v>
      </c>
      <c r="AM105" s="32">
        <f ca="1">_xll.DBRW($C$1,$C$2,$C$3,$C$4,$C$6,$C$5,$C$7,AM$1,AM$2,A105)</f>
        <v>-1.2741392631696959</v>
      </c>
      <c r="AN105" s="32">
        <f ca="1">_xll.DBRW($C$1,$C$2,$C$3,$C$4,$C$6,$C$5,$C$7,AN$1,AN$2,A105)</f>
        <v>-5.1566261677935383</v>
      </c>
      <c r="AO105" s="32">
        <f ca="1">_xll.DBRW($C$1,$C$2,$C$3,$C$4,$C$6,$C$5,$C$7,AO$1,AO$2,A105)</f>
        <v>-6.2172489379008766E-15</v>
      </c>
      <c r="AP105" s="32">
        <f ca="1">_xll.DBRW($C$1,$C$2,$C$3,$C$4,$C$6,$C$5,$C$7,AP$1,AP$2,A105)</f>
        <v>-6.2172489379008766E-15</v>
      </c>
      <c r="AQ105" s="32">
        <f ca="1">_xll.DBRW($C$1,$C$2,$C$3,$C$4,$C$6,$C$5,$C$7,AQ$1,AQ$2,A105)</f>
        <v>-6.2172489379008766E-15</v>
      </c>
      <c r="AR105" s="32">
        <f ca="1">_xll.DBRW($C$1,$C$2,$C$3,$C$4,$C$6,$C$5,$C$7,AR$1,AR$2,A105)</f>
        <v>-6.2172489379008766E-15</v>
      </c>
      <c r="AS105" s="32">
        <f ca="1">_xll.DBRW($C$1,$C$2,$C$3,$C$4,$C$6,$C$5,$C$7,AS$1,AS$2,A105)</f>
        <v>-6.2172489379008766E-15</v>
      </c>
      <c r="AT105" s="32">
        <f ca="1">_xll.DBRW($C$1,$C$2,$C$3,$C$4,$C$6,$C$5,$C$7,AT$1,AT$2,A105)</f>
        <v>-6.2172489379008766E-15</v>
      </c>
      <c r="AU105" s="32">
        <f ca="1">_xll.DBRW($C$1,$C$2,$C$3,$C$4,$C$6,$C$5,$C$7,AU$1,AU$2,A105)</f>
        <v>-6.2172489379008766E-15</v>
      </c>
      <c r="AV105" s="32">
        <f ca="1">_xll.DBRW($C$1,$C$2,$C$3,$C$4,$C$6,$C$5,$C$7,AV$1,AV$2,A105)</f>
        <v>-6.2172489379008766E-15</v>
      </c>
      <c r="AW105" s="32">
        <f ca="1">_xll.DBRW($C$1,$C$2,$C$3,$C$4,$C$6,$C$5,$C$7,AW$1,AW$2,A105)</f>
        <v>-6.2172489379008766E-15</v>
      </c>
      <c r="AX105" s="32">
        <f ca="1">_xll.DBRW($C$1,$C$2,$C$3,$C$4,$C$6,$C$5,$C$7,AX$1,AX$2,A105)</f>
        <v>-6.2172489379008766E-15</v>
      </c>
      <c r="AY105" s="32">
        <f ca="1">_xll.DBRW($C$1,$C$2,$C$3,$C$4,$C$6,$C$5,$C$7,AY$1,AY$2,A105)</f>
        <v>-6.2172489379008766E-15</v>
      </c>
    </row>
    <row r="106" spans="1:51" ht="15.75" hidden="1" customHeight="1" outlineLevel="1">
      <c r="A106" s="1" t="s">
        <v>201</v>
      </c>
      <c r="C106" s="104"/>
      <c r="E106" s="9" t="str">
        <f ca="1">_xll.DBRW(Server&amp;"}ElementAttributes_Indicator",A106,"code_English")</f>
        <v>PL1117_FL - COS - Lease expenses (IFRIC12) (FL)</v>
      </c>
      <c r="F106" s="32">
        <f ca="1">_xll.DBRW($C$1,$C$2,$C$3,$C$4,$C$6,$C$5,$C$7,F$1,F$2,A106)</f>
        <v>0</v>
      </c>
      <c r="G106" s="32">
        <f ca="1">_xll.DBRW($C$1,$C$2,$C$3,$C$4,$C$6,$C$5,$C$7,G$1,G$2,A106)</f>
        <v>0</v>
      </c>
      <c r="H106" s="32">
        <f ca="1">_xll.DBRW($C$1,$C$2,$C$3,$C$4,$C$6,$C$5,$C$7,H$1,H$2,A106)</f>
        <v>0</v>
      </c>
      <c r="I106" s="32">
        <f ca="1">_xll.DBRW($C$1,$C$2,$C$3,$C$4,$C$6,$C$5,$C$7,I$1,I$2,A106)</f>
        <v>0</v>
      </c>
      <c r="J106" s="32">
        <f ca="1">_xll.DBRW($C$1,$C$2,$C$3,$C$4,$C$6,$C$5,$C$7,J$1,J$2,A106)</f>
        <v>0</v>
      </c>
      <c r="K106" s="32">
        <f ca="1">_xll.DBRW($C$1,$C$2,$C$3,$C$4,$C$6,$C$5,$C$7,K$1,K$2,A106)</f>
        <v>-42.273773810000002</v>
      </c>
      <c r="L106" s="32">
        <f ca="1">_xll.DBRW($C$1,$C$2,$C$3,$C$4,$C$6,$C$5,$C$7,L$1,L$2,A106)</f>
        <v>-50.525590750000006</v>
      </c>
      <c r="M106" s="32">
        <f ca="1">_xll.DBRW($C$1,$C$2,$C$3,$C$4,$C$6,$C$5,$C$7,M$1,M$2,A106)</f>
        <v>-0.57606620999999991</v>
      </c>
      <c r="N106" s="32">
        <f ca="1">_xll.DBRW($C$1,$C$2,$C$3,$C$4,$C$6,$C$5,$C$7,N$1,N$2,A106)</f>
        <v>-10.50045358</v>
      </c>
      <c r="O106" s="32">
        <f ca="1">_xll.DBRW($C$1,$C$2,$C$3,$C$4,$C$6,$C$5,$C$7,O$1,O$2,A106)</f>
        <v>-14.164328209999999</v>
      </c>
      <c r="P106" s="32">
        <f ca="1">_xll.DBRW($C$1,$C$2,$C$3,$C$4,$C$6,$C$5,$C$7,P$1,P$2,A106)</f>
        <v>-18.881277339999997</v>
      </c>
      <c r="Q106" s="32">
        <f ca="1">_xll.DBRW($C$1,$C$2,$C$3,$C$4,$C$6,$C$5,$C$7,Q$1,Q$2,A106)</f>
        <v>-23.618627359999998</v>
      </c>
      <c r="R106" s="32">
        <f ca="1">_xll.DBRW($C$1,$C$2,$C$3,$C$4,$C$6,$C$5,$C$7,R$1,R$2,A106)</f>
        <v>-28.33423827</v>
      </c>
      <c r="S106" s="32">
        <f ca="1">_xll.DBRW($C$1,$C$2,$C$3,$C$4,$C$6,$C$5,$C$7,S$1,S$2,A106)</f>
        <v>-4.0184122700000007</v>
      </c>
      <c r="T106" s="32">
        <f ca="1">_xll.DBRW($C$1,$C$2,$C$3,$C$4,$C$6,$C$5,$C$7,T$1,T$2,A106)</f>
        <v>-37.798974139999999</v>
      </c>
      <c r="U106" s="32">
        <f ca="1">_xll.DBRW($C$1,$C$2,$C$3,$C$4,$C$6,$C$5,$C$7,U$1,U$2,A106)</f>
        <v>-42.509268409999997</v>
      </c>
      <c r="V106" s="32">
        <f ca="1">_xll.DBRW($C$1,$C$2,$C$3,$C$4,$C$6,$C$5,$C$7,V$1,V$2,A106)</f>
        <v>-5.730552359999999</v>
      </c>
      <c r="W106" s="32">
        <f ca="1">_xll.DBRW($C$1,$C$2,$C$3,$C$4,$C$6,$C$5,$C$7,W$1,W$2,A106)</f>
        <v>-51.934758819999992</v>
      </c>
      <c r="X106" s="32">
        <f ca="1">_xll.DBRW($C$1,$C$2,$C$3,$C$4,$C$6,$C$5,$C$7,X$1,X$2,A106)</f>
        <v>-65.887507069999998</v>
      </c>
      <c r="Y106" s="32">
        <f ca="1">_xll.DBRW($C$1,$C$2,$C$3,$C$4,$C$6,$C$5,$C$7,Y$1,Y$2,A106)</f>
        <v>-65.887507069999998</v>
      </c>
      <c r="Z106" s="32">
        <f ca="1">_xll.DBRW($C$1,$C$2,$C$3,$C$4,$C$6,$C$5,$C$7,Z$1,Z$2,A106)</f>
        <v>-6.6496309499999988</v>
      </c>
      <c r="AA106" s="32">
        <f ca="1">_xll.DBRW($C$1,$C$2,$C$3,$C$4,$C$6,$C$5,$C$7,AA$1,AA$2,A106)</f>
        <v>-13.135666779999998</v>
      </c>
      <c r="AB106" s="32">
        <f ca="1">_xll.DBRW($C$1,$C$2,$C$3,$C$4,$C$6,$C$5,$C$7,AB$1,AB$2,A106)</f>
        <v>-19.684912609999998</v>
      </c>
      <c r="AC106" s="32">
        <f ca="1">_xll.DBRW($C$1,$C$2,$C$3,$C$4,$C$6,$C$5,$C$7,AC$1,AC$2,A106)</f>
        <v>-26.209625189999997</v>
      </c>
      <c r="AD106" s="32">
        <f ca="1">_xll.DBRW($C$1,$C$2,$C$3,$C$4,$C$6,$C$5,$C$7,AD$1,AD$2,A106)</f>
        <v>-32.755407769999998</v>
      </c>
      <c r="AE106" s="32">
        <f ca="1">_xll.DBRW($C$1,$C$2,$C$3,$C$4,$C$6,$C$5,$C$7,AE$1,AE$2,A106)</f>
        <v>-39.280120349999997</v>
      </c>
      <c r="AF106" s="32">
        <f ca="1">_xll.DBRW($C$1,$C$2,$C$3,$C$4,$C$6,$C$5,$C$7,AF$1,AF$2,A106)</f>
        <v>-45.822285769999993</v>
      </c>
      <c r="AG106" s="32">
        <f ca="1">_xll.DBRW($C$1,$C$2,$C$3,$C$4,$C$6,$C$5,$C$7,AG$1,AG$2,A106)</f>
        <v>-52.364451189999997</v>
      </c>
      <c r="AH106" s="32">
        <f ca="1">_xll.DBRW($C$1,$C$2,$C$3,$C$4,$C$6,$C$5,$C$7,AH$1,AH$2,A106)</f>
        <v>-58.885546609999992</v>
      </c>
      <c r="AI106" s="32">
        <f ca="1">_xll.DBRW($C$1,$C$2,$C$3,$C$4,$C$6,$C$5,$C$7,AI$1,AI$2,A106)</f>
        <v>-65.420631619999995</v>
      </c>
      <c r="AJ106" s="32">
        <f ca="1">_xll.DBRW($C$1,$C$2,$C$3,$C$4,$C$6,$C$5,$C$7,AJ$1,AJ$2,A106)</f>
        <v>-71.934646630000003</v>
      </c>
      <c r="AK106" s="32">
        <f ca="1">_xll.DBRW($C$1,$C$2,$C$3,$C$4,$C$6,$C$5,$C$7,AK$1,AK$2,A106)</f>
        <v>-78.469731639999992</v>
      </c>
      <c r="AL106" s="32">
        <f ca="1">_xll.DBRW($C$1,$C$2,$C$3,$C$4,$C$6,$C$5,$C$7,AL$1,AL$2,A106)</f>
        <v>-78.469731639999992</v>
      </c>
      <c r="AM106" s="32">
        <f ca="1">_xll.DBRW($C$1,$C$2,$C$3,$C$4,$C$6,$C$5,$C$7,AM$1,AM$2,A106)</f>
        <v>-0.29312350999999998</v>
      </c>
      <c r="AN106" s="32">
        <f ca="1">_xll.DBRW($C$1,$C$2,$C$3,$C$4,$C$6,$C$5,$C$7,AN$1,AN$2,A106)</f>
        <v>-14.073559219999998</v>
      </c>
      <c r="AO106" s="32">
        <f ca="1">_xll.DBRW($C$1,$C$2,$C$3,$C$4,$C$6,$C$5,$C$7,AO$1,AO$2,A106)</f>
        <v>1.7763568394002505E-15</v>
      </c>
      <c r="AP106" s="32">
        <f ca="1">_xll.DBRW($C$1,$C$2,$C$3,$C$4,$C$6,$C$5,$C$7,AP$1,AP$2,A106)</f>
        <v>1.7763568394002505E-15</v>
      </c>
      <c r="AQ106" s="32">
        <f ca="1">_xll.DBRW($C$1,$C$2,$C$3,$C$4,$C$6,$C$5,$C$7,AQ$1,AQ$2,A106)</f>
        <v>1.7763568394002505E-15</v>
      </c>
      <c r="AR106" s="32">
        <f ca="1">_xll.DBRW($C$1,$C$2,$C$3,$C$4,$C$6,$C$5,$C$7,AR$1,AR$2,A106)</f>
        <v>1.7763568394002505E-15</v>
      </c>
      <c r="AS106" s="32">
        <f ca="1">_xll.DBRW($C$1,$C$2,$C$3,$C$4,$C$6,$C$5,$C$7,AS$1,AS$2,A106)</f>
        <v>1.7763568394002505E-15</v>
      </c>
      <c r="AT106" s="32">
        <f ca="1">_xll.DBRW($C$1,$C$2,$C$3,$C$4,$C$6,$C$5,$C$7,AT$1,AT$2,A106)</f>
        <v>1.7763568394002505E-15</v>
      </c>
      <c r="AU106" s="32">
        <f ca="1">_xll.DBRW($C$1,$C$2,$C$3,$C$4,$C$6,$C$5,$C$7,AU$1,AU$2,A106)</f>
        <v>1.7763568394002505E-15</v>
      </c>
      <c r="AV106" s="32">
        <f ca="1">_xll.DBRW($C$1,$C$2,$C$3,$C$4,$C$6,$C$5,$C$7,AV$1,AV$2,A106)</f>
        <v>1.7763568394002505E-15</v>
      </c>
      <c r="AW106" s="32">
        <f ca="1">_xll.DBRW($C$1,$C$2,$C$3,$C$4,$C$6,$C$5,$C$7,AW$1,AW$2,A106)</f>
        <v>1.7763568394002505E-15</v>
      </c>
      <c r="AX106" s="32">
        <f ca="1">_xll.DBRW($C$1,$C$2,$C$3,$C$4,$C$6,$C$5,$C$7,AX$1,AX$2,A106)</f>
        <v>1.7763568394002505E-15</v>
      </c>
      <c r="AY106" s="32">
        <f ca="1">_xll.DBRW($C$1,$C$2,$C$3,$C$4,$C$6,$C$5,$C$7,AY$1,AY$2,A106)</f>
        <v>1.7763568394002505E-15</v>
      </c>
    </row>
    <row r="107" spans="1:51" ht="15.75" hidden="1" customHeight="1" outlineLevel="1">
      <c r="A107" s="1" t="s">
        <v>202</v>
      </c>
      <c r="C107" s="104"/>
      <c r="E107" s="9" t="str">
        <f ca="1">_xll.DBRW(Server&amp;"}ElementAttributes_Indicator",A107,"code_English")</f>
        <v>PL1118_FL - IFRS16 adjustment through P&amp;L (FL)</v>
      </c>
      <c r="F107" s="32">
        <f ca="1">_xll.DBRW($C$1,$C$2,$C$3,$C$4,$C$6,$C$5,$C$7,F$1,F$2,A107)</f>
        <v>0</v>
      </c>
      <c r="G107" s="32">
        <f ca="1">_xll.DBRW($C$1,$C$2,$C$3,$C$4,$C$6,$C$5,$C$7,G$1,G$2,A107)</f>
        <v>0</v>
      </c>
      <c r="H107" s="32">
        <f ca="1">_xll.DBRW($C$1,$C$2,$C$3,$C$4,$C$6,$C$5,$C$7,H$1,H$2,A107)</f>
        <v>0</v>
      </c>
      <c r="I107" s="32">
        <f ca="1">_xll.DBRW($C$1,$C$2,$C$3,$C$4,$C$6,$C$5,$C$7,I$1,I$2,A107)</f>
        <v>0</v>
      </c>
      <c r="J107" s="32">
        <f ca="1">_xll.DBRW($C$1,$C$2,$C$3,$C$4,$C$6,$C$5,$C$7,J$1,J$2,A107)</f>
        <v>0</v>
      </c>
      <c r="K107" s="32">
        <f ca="1">_xll.DBRW($C$1,$C$2,$C$3,$C$4,$C$6,$C$5,$C$7,K$1,K$2,A107)</f>
        <v>0</v>
      </c>
      <c r="L107" s="32">
        <f ca="1">_xll.DBRW($C$1,$C$2,$C$3,$C$4,$C$6,$C$5,$C$7,L$1,L$2,A107)</f>
        <v>0</v>
      </c>
      <c r="M107" s="32">
        <f ca="1">_xll.DBRW($C$1,$C$2,$C$3,$C$4,$C$6,$C$5,$C$7,M$1,M$2,A107)</f>
        <v>0</v>
      </c>
      <c r="N107" s="32">
        <f ca="1">_xll.DBRW($C$1,$C$2,$C$3,$C$4,$C$6,$C$5,$C$7,N$1,N$2,A107)</f>
        <v>0</v>
      </c>
      <c r="O107" s="32">
        <f ca="1">_xll.DBRW($C$1,$C$2,$C$3,$C$4,$C$6,$C$5,$C$7,O$1,O$2,A107)</f>
        <v>0</v>
      </c>
      <c r="P107" s="32">
        <f ca="1">_xll.DBRW($C$1,$C$2,$C$3,$C$4,$C$6,$C$5,$C$7,P$1,P$2,A107)</f>
        <v>0</v>
      </c>
      <c r="Q107" s="32">
        <f ca="1">_xll.DBRW($C$1,$C$2,$C$3,$C$4,$C$6,$C$5,$C$7,Q$1,Q$2,A107)</f>
        <v>0</v>
      </c>
      <c r="R107" s="32">
        <f ca="1">_xll.DBRW($C$1,$C$2,$C$3,$C$4,$C$6,$C$5,$C$7,R$1,R$2,A107)</f>
        <v>0</v>
      </c>
      <c r="S107" s="32">
        <f ca="1">_xll.DBRW($C$1,$C$2,$C$3,$C$4,$C$6,$C$5,$C$7,S$1,S$2,A107)</f>
        <v>0</v>
      </c>
      <c r="T107" s="32">
        <f ca="1">_xll.DBRW($C$1,$C$2,$C$3,$C$4,$C$6,$C$5,$C$7,T$1,T$2,A107)</f>
        <v>0</v>
      </c>
      <c r="U107" s="32">
        <f ca="1">_xll.DBRW($C$1,$C$2,$C$3,$C$4,$C$6,$C$5,$C$7,U$1,U$2,A107)</f>
        <v>0</v>
      </c>
      <c r="V107" s="32">
        <f ca="1">_xll.DBRW($C$1,$C$2,$C$3,$C$4,$C$6,$C$5,$C$7,V$1,V$2,A107)</f>
        <v>0</v>
      </c>
      <c r="W107" s="32">
        <f ca="1">_xll.DBRW($C$1,$C$2,$C$3,$C$4,$C$6,$C$5,$C$7,W$1,W$2,A107)</f>
        <v>0</v>
      </c>
      <c r="X107" s="32">
        <f ca="1">_xll.DBRW($C$1,$C$2,$C$3,$C$4,$C$6,$C$5,$C$7,X$1,X$2,A107)</f>
        <v>0</v>
      </c>
      <c r="Y107" s="32">
        <f ca="1">_xll.DBRW($C$1,$C$2,$C$3,$C$4,$C$6,$C$5,$C$7,Y$1,Y$2,A107)</f>
        <v>0</v>
      </c>
      <c r="Z107" s="32">
        <f ca="1">_xll.DBRW($C$1,$C$2,$C$3,$C$4,$C$6,$C$5,$C$7,Z$1,Z$2,A107)</f>
        <v>0</v>
      </c>
      <c r="AA107" s="32">
        <f ca="1">_xll.DBRW($C$1,$C$2,$C$3,$C$4,$C$6,$C$5,$C$7,AA$1,AA$2,$A107)</f>
        <v>0</v>
      </c>
      <c r="AB107" s="32">
        <f ca="1">_xll.DBRW($C$1,$C$2,$C$3,$C$4,$C$6,$C$5,$C$7,AB$1,AB$2,$A107)</f>
        <v>0</v>
      </c>
      <c r="AC107" s="32">
        <f ca="1">_xll.DBRW($C$1,$C$2,$C$3,$C$4,$C$6,$C$5,$C$7,AC$1,AC$2,$A107)</f>
        <v>0</v>
      </c>
      <c r="AD107" s="32">
        <f ca="1">_xll.DBRW($C$1,$C$2,$C$3,$C$4,$C$6,$C$5,$C$7,AD$1,AD$2,$A107)</f>
        <v>0</v>
      </c>
      <c r="AE107" s="32">
        <f ca="1">_xll.DBRW($C$1,$C$2,$C$3,$C$4,$C$6,$C$5,$C$7,AE$1,AE$2,$A107)</f>
        <v>0</v>
      </c>
      <c r="AF107" s="32">
        <f ca="1">_xll.DBRW($C$1,$C$2,$C$3,$C$4,$C$6,$C$5,$C$7,AF$1,AF$2,$A107)</f>
        <v>0</v>
      </c>
      <c r="AG107" s="32">
        <f ca="1">_xll.DBRW($C$1,$C$2,$C$3,$C$4,$C$6,$C$5,$C$7,AG$1,AG$2,$A107)</f>
        <v>0</v>
      </c>
      <c r="AH107" s="32">
        <f ca="1">_xll.DBRW($C$1,$C$2,$C$3,$C$4,$C$6,$C$5,$C$7,AH$1,AH$2,$A107)</f>
        <v>0</v>
      </c>
      <c r="AI107" s="32">
        <f ca="1">_xll.DBRW($C$1,$C$2,$C$3,$C$4,$C$6,$C$5,$C$7,AI$1,AI$2,$A107)</f>
        <v>0</v>
      </c>
      <c r="AJ107" s="32">
        <f ca="1">_xll.DBRW($C$1,$C$2,$C$3,$C$4,$C$6,$C$5,$C$7,AJ$1,AJ$2,$A107)</f>
        <v>0</v>
      </c>
      <c r="AK107" s="32">
        <f ca="1">_xll.DBRW($C$1,$C$2,$C$3,$C$4,$C$6,$C$5,$C$7,AK$1,AK$2,$A107)</f>
        <v>0</v>
      </c>
      <c r="AL107" s="32">
        <f ca="1">_xll.DBRW($C$1,$C$2,$C$3,$C$4,$C$6,$C$5,$C$7,AL$1,AL$2,$A107)</f>
        <v>0</v>
      </c>
      <c r="AM107" s="32">
        <f ca="1">_xll.DBRW($C$1,$C$2,$C$3,$C$4,$C$6,$C$5,$C$7,AM$1,AM$2,$A107)</f>
        <v>0</v>
      </c>
      <c r="AN107" s="32">
        <f ca="1">_xll.DBRW($C$1,$C$2,$C$3,$C$4,$C$6,$C$5,$C$7,AN$1,AN$2,$A107)</f>
        <v>0</v>
      </c>
      <c r="AO107" s="32">
        <f ca="1">_xll.DBRW($C$1,$C$2,$C$3,$C$4,$C$6,$C$5,$C$7,AO$1,AO$2,$A107)</f>
        <v>0</v>
      </c>
      <c r="AP107" s="32">
        <f ca="1">_xll.DBRW($C$1,$C$2,$C$3,$C$4,$C$6,$C$5,$C$7,AP$1,AP$2,$A107)</f>
        <v>0</v>
      </c>
      <c r="AQ107" s="32">
        <f ca="1">_xll.DBRW($C$1,$C$2,$C$3,$C$4,$C$6,$C$5,$C$7,AQ$1,AQ$2,$A107)</f>
        <v>0</v>
      </c>
      <c r="AR107" s="32">
        <f ca="1">_xll.DBRW($C$1,$C$2,$C$3,$C$4,$C$6,$C$5,$C$7,AR$1,AR$2,$A107)</f>
        <v>0</v>
      </c>
      <c r="AS107" s="32">
        <f ca="1">_xll.DBRW($C$1,$C$2,$C$3,$C$4,$C$6,$C$5,$C$7,AS$1,AS$2,$A107)</f>
        <v>0</v>
      </c>
      <c r="AT107" s="32">
        <f ca="1">_xll.DBRW($C$1,$C$2,$C$3,$C$4,$C$6,$C$5,$C$7,AT$1,AT$2,$A107)</f>
        <v>0</v>
      </c>
      <c r="AU107" s="32">
        <f ca="1">_xll.DBRW($C$1,$C$2,$C$3,$C$4,$C$6,$C$5,$C$7,AU$1,AU$2,$A107)</f>
        <v>0</v>
      </c>
      <c r="AV107" s="32">
        <f ca="1">_xll.DBRW($C$1,$C$2,$C$3,$C$4,$C$6,$C$5,$C$7,AV$1,AV$2,$A107)</f>
        <v>0</v>
      </c>
      <c r="AW107" s="32">
        <f ca="1">_xll.DBRW($C$1,$C$2,$C$3,$C$4,$C$6,$C$5,$C$7,AW$1,AW$2,$A107)</f>
        <v>0</v>
      </c>
      <c r="AX107" s="32">
        <f ca="1">_xll.DBRW($C$1,$C$2,$C$3,$C$4,$C$6,$C$5,$C$7,AX$1,AX$2,$A107)</f>
        <v>0</v>
      </c>
      <c r="AY107" s="32">
        <f ca="1">_xll.DBRW($C$1,$C$2,$C$3,$C$4,$C$6,$C$5,$C$7,AY$1,AY$2,$A107)</f>
        <v>0</v>
      </c>
    </row>
    <row r="108" spans="1:51" ht="15.75" hidden="1" customHeight="1" outlineLevel="1">
      <c r="A108" s="1" t="s">
        <v>203</v>
      </c>
      <c r="C108" s="104"/>
      <c r="E108" s="9" t="str">
        <f ca="1">_xll.DBRW(Server&amp;"}ElementAttributes_Indicator",A108,"code_English")</f>
        <v>PL1140_FL_05 - Amortization (FL)</v>
      </c>
      <c r="F108" s="32">
        <f ca="1">_xll.DBRW($C$1,$C$2,$C$3,$C$4,$C$6,$C$5,$C$7,F$1,F$2,$A108)</f>
        <v>-202.52804677694155</v>
      </c>
      <c r="G108" s="32">
        <f ca="1">_xll.DBRW($C$1,$C$2,$C$3,$C$4,$C$6,$C$5,$C$7,G$1,G$2,$A108)</f>
        <v>-195.71292785171417</v>
      </c>
      <c r="H108" s="32">
        <f ca="1">_xll.DBRW($C$1,$C$2,$C$3,$C$4,$C$6,$C$5,$C$7,H$1,H$2,$A108)</f>
        <v>-189.78379629435861</v>
      </c>
      <c r="I108" s="32">
        <f ca="1">_xll.DBRW($C$1,$C$2,$C$3,$C$4,$C$6,$C$5,$C$7,I$1,I$2,$A108)</f>
        <v>-273.43840834047751</v>
      </c>
      <c r="J108" s="32">
        <f ca="1">_xll.DBRW($C$1,$C$2,$C$3,$C$4,$C$6,$C$5,$C$7,J$1,J$2,$A108)</f>
        <v>-278.98515734588693</v>
      </c>
      <c r="K108" s="32">
        <f ca="1">_xll.DBRW($C$1,$C$2,$C$3,$C$4,$C$6,$C$5,$C$7,K$1,K$2,$A108)</f>
        <v>-333.33176685149084</v>
      </c>
      <c r="L108" s="32">
        <f ca="1">_xll.DBRW($C$1,$C$2,$C$3,$C$4,$C$6,$C$5,$C$7,L$1,L$2,$A108)</f>
        <v>-310.37695685336496</v>
      </c>
      <c r="M108" s="32">
        <f ca="1">_xll.DBRW($C$1,$C$2,$C$3,$C$4,$C$6,$C$5,$C$7,M$1,M$2,$A108)</f>
        <v>-18.031485419942292</v>
      </c>
      <c r="N108" s="32">
        <f ca="1">_xll.DBRW($C$1,$C$2,$C$3,$C$4,$C$6,$C$5,$C$7,N$1,N$2,$A108)</f>
        <v>-54.590151837218329</v>
      </c>
      <c r="O108" s="32">
        <f ca="1">_xll.DBRW($C$1,$C$2,$C$3,$C$4,$C$6,$C$5,$C$7,O$1,O$2,$A108)</f>
        <v>-83.735905788040014</v>
      </c>
      <c r="P108" s="32">
        <f ca="1">_xll.DBRW($C$1,$C$2,$C$3,$C$4,$C$6,$C$5,$C$7,P$1,P$2,$A108)</f>
        <v>-111.69096175690834</v>
      </c>
      <c r="Q108" s="32">
        <f ca="1">_xll.DBRW($C$1,$C$2,$C$3,$C$4,$C$6,$C$5,$C$7,Q$1,Q$2,$A108)</f>
        <v>-136.86718200812959</v>
      </c>
      <c r="R108" s="32">
        <f ca="1">_xll.DBRW($C$1,$C$2,$C$3,$C$4,$C$6,$C$5,$C$7,R$1,R$2,$A108)</f>
        <v>-167.46441460576034</v>
      </c>
      <c r="S108" s="32">
        <f ca="1">_xll.DBRW($C$1,$C$2,$C$3,$C$4,$C$6,$C$5,$C$7,S$1,S$2,$A108)</f>
        <v>-115.75532371151215</v>
      </c>
      <c r="T108" s="32">
        <f ca="1">_xll.DBRW($C$1,$C$2,$C$3,$C$4,$C$6,$C$5,$C$7,T$1,T$2,$A108)</f>
        <v>-186.2518486436972</v>
      </c>
      <c r="U108" s="32">
        <f ca="1">_xll.DBRW($C$1,$C$2,$C$3,$C$4,$C$6,$C$5,$C$7,U$1,U$2,$A108)</f>
        <v>-211.89276258597468</v>
      </c>
      <c r="V108" s="32">
        <f ca="1">_xll.DBRW($C$1,$C$2,$C$3,$C$4,$C$6,$C$5,$C$7,V$1,V$2,$A108)</f>
        <v>-147.30442960062351</v>
      </c>
      <c r="W108" s="32">
        <f ca="1">_xll.DBRW($C$1,$C$2,$C$3,$C$4,$C$6,$C$5,$C$7,W$1,W$2,$A108)</f>
        <v>-239.77525725274853</v>
      </c>
      <c r="X108" s="32">
        <f ca="1">_xll.DBRW($C$1,$C$2,$C$3,$C$4,$C$6,$C$5,$C$7,X$1,X$2,$A108)</f>
        <v>-292.46581616474157</v>
      </c>
      <c r="Y108" s="32">
        <f ca="1">_xll.DBRW($C$1,$C$2,$C$3,$C$4,$C$6,$C$5,$C$7,Y$1,Y$2,$A108)</f>
        <v>-292.46581616474157</v>
      </c>
      <c r="Z108" s="32">
        <f ca="1">_xll.DBRW($C$1,$C$2,$C$3,$C$4,$C$6,$C$5,$C$7,Z$1,Z$2,$A108)</f>
        <v>-16.157970239816795</v>
      </c>
      <c r="AA108" s="32">
        <f ca="1">_xll.DBRW($C$1,$C$2,$C$3,$C$4,$C$6,$C$5,$C$7,AA$1,AA$2,$A108)</f>
        <v>-44.227847225614596</v>
      </c>
      <c r="AB108" s="32">
        <f ca="1">_xll.DBRW($C$1,$C$2,$C$3,$C$4,$C$6,$C$5,$C$7,AB$1,AB$2,$A108)</f>
        <v>-69.036739011496536</v>
      </c>
      <c r="AC108" s="32">
        <f ca="1">_xll.DBRW($C$1,$C$2,$C$3,$C$4,$C$6,$C$5,$C$7,AC$1,AC$2,$A108)</f>
        <v>-93.655268570716743</v>
      </c>
      <c r="AD108" s="32">
        <f ca="1">_xll.DBRW($C$1,$C$2,$C$3,$C$4,$C$6,$C$5,$C$7,AD$1,AD$2,$A108)</f>
        <v>-118.40719774597692</v>
      </c>
      <c r="AE108" s="32">
        <f ca="1">_xll.DBRW($C$1,$C$2,$C$3,$C$4,$C$6,$C$5,$C$7,AE$1,AE$2,$A108)</f>
        <v>-143.03737820219396</v>
      </c>
      <c r="AF108" s="32">
        <f ca="1">_xll.DBRW($C$1,$C$2,$C$3,$C$4,$C$6,$C$5,$C$7,AF$1,AF$2,$A108)</f>
        <v>-155.00089183438385</v>
      </c>
      <c r="AG108" s="32">
        <f ca="1">_xll.DBRW($C$1,$C$2,$C$3,$C$4,$C$6,$C$5,$C$7,AG$1,AG$2,$A108)</f>
        <v>-174.27207829151413</v>
      </c>
      <c r="AH108" s="32">
        <f ca="1">_xll.DBRW($C$1,$C$2,$C$3,$C$4,$C$6,$C$5,$C$7,AH$1,AH$2,$A108)</f>
        <v>-198.64069467380082</v>
      </c>
      <c r="AI108" s="32">
        <f ca="1">_xll.DBRW($C$1,$C$2,$C$3,$C$4,$C$6,$C$5,$C$7,AI$1,AI$2,$A108)</f>
        <v>-223.13323655908397</v>
      </c>
      <c r="AJ108" s="32">
        <f ca="1">_xll.DBRW($C$1,$C$2,$C$3,$C$4,$C$6,$C$5,$C$7,AJ$1,AJ$2,$A108)</f>
        <v>-247.52338308838122</v>
      </c>
      <c r="AK108" s="32">
        <f ca="1">_xll.DBRW($C$1,$C$2,$C$3,$C$4,$C$6,$C$5,$C$7,AK$1,AK$2,$A108)</f>
        <v>-271.89848827677542</v>
      </c>
      <c r="AL108" s="32">
        <f ca="1">_xll.DBRW($C$1,$C$2,$C$3,$C$4,$C$6,$C$5,$C$7,AL$1,AL$2,$A108)</f>
        <v>-271.89848827677542</v>
      </c>
      <c r="AM108" s="32">
        <f ca="1">_xll.DBRW($C$1,$C$2,$C$3,$C$4,$C$6,$C$5,$C$7,AM$1,AM$2,$A108)</f>
        <v>-19.299712008785846</v>
      </c>
      <c r="AN108" s="32">
        <f ca="1">_xll.DBRW($C$1,$C$2,$C$3,$C$4,$C$6,$C$5,$C$7,AN$1,AN$2,$A108)</f>
        <v>-52.374494348405939</v>
      </c>
      <c r="AO108" s="32">
        <f ca="1">_xll.DBRW($C$1,$C$2,$C$3,$C$4,$C$6,$C$5,$C$7,AO$1,AO$2,$A108)</f>
        <v>7.1054273576010019E-15</v>
      </c>
      <c r="AP108" s="32">
        <f ca="1">_xll.DBRW($C$1,$C$2,$C$3,$C$4,$C$6,$C$5,$C$7,AP$1,AP$2,$A108)</f>
        <v>7.1054273576010019E-15</v>
      </c>
      <c r="AQ108" s="32">
        <f ca="1">_xll.DBRW($C$1,$C$2,$C$3,$C$4,$C$6,$C$5,$C$7,AQ$1,AQ$2,$A108)</f>
        <v>7.1054273576010019E-15</v>
      </c>
      <c r="AR108" s="32">
        <f ca="1">_xll.DBRW($C$1,$C$2,$C$3,$C$4,$C$6,$C$5,$C$7,AR$1,AR$2,$A108)</f>
        <v>7.1054273576010019E-15</v>
      </c>
      <c r="AS108" s="32">
        <f ca="1">_xll.DBRW($C$1,$C$2,$C$3,$C$4,$C$6,$C$5,$C$7,AS$1,AS$2,$A108)</f>
        <v>7.1054273576010019E-15</v>
      </c>
      <c r="AT108" s="32">
        <f ca="1">_xll.DBRW($C$1,$C$2,$C$3,$C$4,$C$6,$C$5,$C$7,AT$1,AT$2,$A108)</f>
        <v>7.1054273576010019E-15</v>
      </c>
      <c r="AU108" s="32">
        <f ca="1">_xll.DBRW($C$1,$C$2,$C$3,$C$4,$C$6,$C$5,$C$7,AU$1,AU$2,$A108)</f>
        <v>7.1054273576010019E-15</v>
      </c>
      <c r="AV108" s="32">
        <f ca="1">_xll.DBRW($C$1,$C$2,$C$3,$C$4,$C$6,$C$5,$C$7,AV$1,AV$2,$A108)</f>
        <v>7.1054273576010019E-15</v>
      </c>
      <c r="AW108" s="32">
        <f ca="1">_xll.DBRW($C$1,$C$2,$C$3,$C$4,$C$6,$C$5,$C$7,AW$1,AW$2,$A108)</f>
        <v>7.1054273576010019E-15</v>
      </c>
      <c r="AX108" s="32">
        <f ca="1">_xll.DBRW($C$1,$C$2,$C$3,$C$4,$C$6,$C$5,$C$7,AX$1,AX$2,$A108)</f>
        <v>7.1054273576010019E-15</v>
      </c>
      <c r="AY108" s="32">
        <f ca="1">_xll.DBRW($C$1,$C$2,$C$3,$C$4,$C$6,$C$5,$C$7,AY$1,AY$2,$A108)</f>
        <v>7.1054273576010019E-15</v>
      </c>
    </row>
    <row r="109" spans="1:51" ht="15.75" hidden="1" customHeight="1" outlineLevel="1">
      <c r="A109" s="1" t="s">
        <v>204</v>
      </c>
      <c r="C109" s="104"/>
      <c r="E109" s="9" t="str">
        <f ca="1">_xll.DBRW(Server&amp;"}ElementAttributes_Indicator",A109,"code_English")</f>
        <v>PL1150_FL_10 - Impairment (other than working capital) and provisions - others (FL)</v>
      </c>
      <c r="F109" s="32">
        <f ca="1">_xll.DBRW($C$1,$C$2,$C$3,$C$4,$C$6,$C$5,$C$7,F$1,F$2,$A109)</f>
        <v>4.2218818749999993</v>
      </c>
      <c r="G109" s="32">
        <f ca="1">_xll.DBRW($C$1,$C$2,$C$3,$C$4,$C$6,$C$5,$C$7,G$1,G$2,$A109)</f>
        <v>1.1276351099999999</v>
      </c>
      <c r="H109" s="32">
        <f ca="1">_xll.DBRW($C$1,$C$2,$C$3,$C$4,$C$6,$C$5,$C$7,H$1,H$2,$A109)</f>
        <v>-39.421070017754275</v>
      </c>
      <c r="I109" s="32">
        <f ca="1">_xll.DBRW($C$1,$C$2,$C$3,$C$4,$C$6,$C$5,$C$7,I$1,I$2,$A109)</f>
        <v>0.11108686500000026</v>
      </c>
      <c r="J109" s="32">
        <f ca="1">_xll.DBRW($C$1,$C$2,$C$3,$C$4,$C$6,$C$5,$C$7,J$1,J$2,$A109)</f>
        <v>-1.7495474550000005</v>
      </c>
      <c r="K109" s="32">
        <f ca="1">_xll.DBRW($C$1,$C$2,$C$3,$C$4,$C$6,$C$5,$C$7,K$1,K$2,$A109)</f>
        <v>-0.87380313000000009</v>
      </c>
      <c r="L109" s="32">
        <f ca="1">_xll.DBRW($C$1,$C$2,$C$3,$C$4,$C$6,$C$5,$C$7,L$1,L$2,$A109)</f>
        <v>-2.3483965000000162E-2</v>
      </c>
      <c r="M109" s="32">
        <f ca="1">_xll.DBRW($C$1,$C$2,$C$3,$C$4,$C$6,$C$5,$C$7,M$1,M$2,$A109)</f>
        <v>-1.6738450000001182E-3</v>
      </c>
      <c r="N109" s="32">
        <f ca="1">_xll.DBRW($C$1,$C$2,$C$3,$C$4,$C$6,$C$5,$C$7,N$1,N$2,$A109)</f>
        <v>-3.1662500000000648E-3</v>
      </c>
      <c r="O109" s="32">
        <f ca="1">_xll.DBRW($C$1,$C$2,$C$3,$C$4,$C$6,$C$5,$C$7,O$1,O$2,$A109)</f>
        <v>-4.8907350000000627E-3</v>
      </c>
      <c r="P109" s="32">
        <f ca="1">_xll.DBRW($C$1,$C$2,$C$3,$C$4,$C$6,$C$5,$C$7,P$1,P$2,$A109)</f>
        <v>-6.5378550000001201E-3</v>
      </c>
      <c r="Q109" s="32">
        <f ca="1">_xll.DBRW($C$1,$C$2,$C$3,$C$4,$C$6,$C$5,$C$7,Q$1,Q$2,$A109)</f>
        <v>-8.262345000000032E-3</v>
      </c>
      <c r="R109" s="32">
        <f ca="1">_xll.DBRW($C$1,$C$2,$C$3,$C$4,$C$6,$C$5,$C$7,R$1,R$2,$A109)</f>
        <v>-9.9094700000005587E-3</v>
      </c>
      <c r="S109" s="32">
        <f ca="1">_xll.DBRW($C$1,$C$2,$C$3,$C$4,$C$6,$C$5,$C$7,S$1,S$2,$A109)</f>
        <v>-1.1633545000000606E-2</v>
      </c>
      <c r="T109" s="32">
        <f ca="1">_xll.DBRW($C$1,$C$2,$C$3,$C$4,$C$6,$C$5,$C$7,T$1,T$2,$A109)</f>
        <v>-1.335802999999039E-2</v>
      </c>
      <c r="U109" s="32">
        <f ca="1">_xll.DBRW($C$1,$C$2,$C$3,$C$4,$C$6,$C$5,$C$7,U$1,U$2,$A109)</f>
        <v>-1.5005154999991471E-2</v>
      </c>
      <c r="V109" s="32">
        <f ca="1">_xll.DBRW($C$1,$C$2,$C$3,$C$4,$C$6,$C$5,$C$7,V$1,V$2,$A109)</f>
        <v>0.60148639000000947</v>
      </c>
      <c r="W109" s="32">
        <f ca="1">_xll.DBRW($C$1,$C$2,$C$3,$C$4,$C$6,$C$5,$C$7,W$1,W$2,$A109)</f>
        <v>0.59998431500000848</v>
      </c>
      <c r="X109" s="32">
        <f ca="1">_xll.DBRW($C$1,$C$2,$C$3,$C$4,$C$6,$C$5,$C$7,X$1,X$2,$A109)</f>
        <v>0.59782877500000897</v>
      </c>
      <c r="Y109" s="32">
        <f ca="1">_xll.DBRW($C$1,$C$2,$C$3,$C$4,$C$6,$C$5,$C$7,Y$1,Y$2,$A109)</f>
        <v>0.59782877500000897</v>
      </c>
      <c r="Z109" s="32">
        <f ca="1">_xll.DBRW($C$1,$C$2,$C$3,$C$4,$C$6,$C$5,$C$7,Z$1,Z$2,$A109)</f>
        <v>1.990658999999706E-2</v>
      </c>
      <c r="AA109" s="32">
        <f ca="1">_xll.DBRW($C$1,$C$2,$C$3,$C$4,$C$6,$C$5,$C$7,AA$1,AA$2,$A109)</f>
        <v>3.585588499999709E-2</v>
      </c>
      <c r="AB109" s="32">
        <f ca="1">_xll.DBRW($C$1,$C$2,$C$3,$C$4,$C$6,$C$5,$C$7,AB$1,AB$2,$A109)</f>
        <v>5.5762729999997207E-2</v>
      </c>
      <c r="AC109" s="32">
        <f ca="1">_xll.DBRW($C$1,$C$2,$C$3,$C$4,$C$6,$C$5,$C$7,AC$1,AC$2,$A109)</f>
        <v>7.4350789999997224E-2</v>
      </c>
      <c r="AD109" s="32">
        <f ca="1">_xll.DBRW($C$1,$C$2,$C$3,$C$4,$C$6,$C$5,$C$7,AD$1,AD$2,$A109)</f>
        <v>9.4257499999997385E-2</v>
      </c>
      <c r="AE109" s="32">
        <f ca="1">_xll.DBRW($C$1,$C$2,$C$3,$C$4,$C$6,$C$5,$C$7,AE$1,AE$2,$A109)</f>
        <v>0.11234170499999729</v>
      </c>
      <c r="AF109" s="32">
        <f ca="1">_xll.DBRW($C$1,$C$2,$C$3,$C$4,$C$6,$C$5,$C$7,AF$1,AF$2,$A109)</f>
        <v>0.12805893999999407</v>
      </c>
      <c r="AG109" s="32">
        <f ca="1">_xll.DBRW($C$1,$C$2,$C$3,$C$4,$C$6,$C$5,$C$7,AG$1,AG$2,$A109)</f>
        <v>0.14377627499999412</v>
      </c>
      <c r="AH109" s="32">
        <f ca="1">_xll.DBRW($C$1,$C$2,$C$3,$C$4,$C$6,$C$5,$C$7,AH$1,AH$2,$A109)</f>
        <v>0.15830943999999414</v>
      </c>
      <c r="AI109" s="32">
        <f ca="1">_xll.DBRW($C$1,$C$2,$C$3,$C$4,$C$6,$C$5,$C$7,AI$1,AI$2,$A109)</f>
        <v>0.17402662499999411</v>
      </c>
      <c r="AJ109" s="32">
        <f ca="1">_xll.DBRW($C$1,$C$2,$C$3,$C$4,$C$6,$C$5,$C$7,AJ$1,AJ$2,$A109)</f>
        <v>0.18856000999999414</v>
      </c>
      <c r="AK109" s="32">
        <f ca="1">_xll.DBRW($C$1,$C$2,$C$3,$C$4,$C$6,$C$5,$C$7,AK$1,AK$2,$A109)</f>
        <v>0.1943317199999941</v>
      </c>
      <c r="AL109" s="32">
        <f ca="1">_xll.DBRW($C$1,$C$2,$C$3,$C$4,$C$6,$C$5,$C$7,AL$1,AL$2,$A109)</f>
        <v>0.1943317199999941</v>
      </c>
      <c r="AM109" s="32">
        <f ca="1">_xll.DBRW($C$1,$C$2,$C$3,$C$4,$C$6,$C$5,$C$7,AM$1,AM$2,$A109)</f>
        <v>-1.7244900000000086E-3</v>
      </c>
      <c r="AN109" s="32">
        <f ca="1">_xll.DBRW($C$1,$C$2,$C$3,$C$4,$C$6,$C$5,$C$7,AN$1,AN$2,$A109)</f>
        <v>-3.2168949999998864E-3</v>
      </c>
      <c r="AO109" s="32">
        <f ca="1">_xll.DBRW($C$1,$C$2,$C$3,$C$4,$C$6,$C$5,$C$7,AO$1,AO$2,$A109)</f>
        <v>1.1102230246251565E-16</v>
      </c>
      <c r="AP109" s="32">
        <f ca="1">_xll.DBRW($C$1,$C$2,$C$3,$C$4,$C$6,$C$5,$C$7,AP$1,AP$2,$A109)</f>
        <v>1.1102230246251565E-16</v>
      </c>
      <c r="AQ109" s="32">
        <f ca="1">_xll.DBRW($C$1,$C$2,$C$3,$C$4,$C$6,$C$5,$C$7,AQ$1,AQ$2,$A109)</f>
        <v>1.1102230246251565E-16</v>
      </c>
      <c r="AR109" s="32">
        <f ca="1">_xll.DBRW($C$1,$C$2,$C$3,$C$4,$C$6,$C$5,$C$7,AR$1,AR$2,$A109)</f>
        <v>1.1102230246251565E-16</v>
      </c>
      <c r="AS109" s="32">
        <f ca="1">_xll.DBRW($C$1,$C$2,$C$3,$C$4,$C$6,$C$5,$C$7,AS$1,AS$2,$A109)</f>
        <v>1.1102230246251565E-16</v>
      </c>
      <c r="AT109" s="32">
        <f ca="1">_xll.DBRW($C$1,$C$2,$C$3,$C$4,$C$6,$C$5,$C$7,AT$1,AT$2,$A109)</f>
        <v>1.1102230246251565E-16</v>
      </c>
      <c r="AU109" s="32">
        <f ca="1">_xll.DBRW($C$1,$C$2,$C$3,$C$4,$C$6,$C$5,$C$7,AU$1,AU$2,$A109)</f>
        <v>1.1102230246251565E-16</v>
      </c>
      <c r="AV109" s="32">
        <f ca="1">_xll.DBRW($C$1,$C$2,$C$3,$C$4,$C$6,$C$5,$C$7,AV$1,AV$2,$A109)</f>
        <v>1.1102230246251565E-16</v>
      </c>
      <c r="AW109" s="32">
        <f ca="1">_xll.DBRW($C$1,$C$2,$C$3,$C$4,$C$6,$C$5,$C$7,AW$1,AW$2,$A109)</f>
        <v>1.1102230246251565E-16</v>
      </c>
      <c r="AX109" s="32">
        <f ca="1">_xll.DBRW($C$1,$C$2,$C$3,$C$4,$C$6,$C$5,$C$7,AX$1,AX$2,$A109)</f>
        <v>1.1102230246251565E-16</v>
      </c>
      <c r="AY109" s="32">
        <f ca="1">_xll.DBRW($C$1,$C$2,$C$3,$C$4,$C$6,$C$5,$C$7,AY$1,AY$2,$A109)</f>
        <v>1.1102230246251565E-16</v>
      </c>
    </row>
    <row r="110" spans="1:51" ht="15.75" hidden="1" customHeight="1" outlineLevel="1">
      <c r="A110" s="1" t="s">
        <v>205</v>
      </c>
      <c r="C110" s="104"/>
      <c r="E110" s="9" t="str">
        <f ca="1">_xll.DBRW(Server&amp;"}ElementAttributes_Indicator",A110,"code_English")</f>
        <v>PL1151_FL_10 - Impact of change in revaluation rate on provisions for losses on LT contracts - others (FL)</v>
      </c>
      <c r="F110" s="32">
        <f ca="1">_xll.DBRW($C$1,$C$2,$C$3,$C$4,$C$6,$C$5,$C$7,F$1,F$2,$A110)</f>
        <v>0</v>
      </c>
      <c r="G110" s="32">
        <f ca="1">_xll.DBRW($C$1,$C$2,$C$3,$C$4,$C$6,$C$5,$C$7,G$1,G$2,$A110)</f>
        <v>0</v>
      </c>
      <c r="H110" s="32">
        <f ca="1">_xll.DBRW($C$1,$C$2,$C$3,$C$4,$C$6,$C$5,$C$7,H$1,H$2,$A110)</f>
        <v>0</v>
      </c>
      <c r="I110" s="32">
        <f ca="1">_xll.DBRW($C$1,$C$2,$C$3,$C$4,$C$6,$C$5,$C$7,I$1,I$2,$A110)</f>
        <v>0</v>
      </c>
      <c r="J110" s="32">
        <f ca="1">_xll.DBRW($C$1,$C$2,$C$3,$C$4,$C$6,$C$5,$C$7,J$1,J$2,$A110)</f>
        <v>0</v>
      </c>
      <c r="K110" s="32">
        <f ca="1">_xll.DBRW($C$1,$C$2,$C$3,$C$4,$C$6,$C$5,$C$7,K$1,K$2,$A110)</f>
        <v>0</v>
      </c>
      <c r="L110" s="32">
        <f ca="1">_xll.DBRW($C$1,$C$2,$C$3,$C$4,$C$6,$C$5,$C$7,L$1,L$2,$A110)</f>
        <v>0</v>
      </c>
      <c r="M110" s="32">
        <f ca="1">_xll.DBRW($C$1,$C$2,$C$3,$C$4,$C$6,$C$5,$C$7,M$1,M$2,$A110)</f>
        <v>0</v>
      </c>
      <c r="N110" s="32">
        <f ca="1">_xll.DBRW($C$1,$C$2,$C$3,$C$4,$C$6,$C$5,$C$7,N$1,N$2,$A110)</f>
        <v>0</v>
      </c>
      <c r="O110" s="32">
        <f ca="1">_xll.DBRW($C$1,$C$2,$C$3,$C$4,$C$6,$C$5,$C$7,O$1,O$2,$A110)</f>
        <v>0</v>
      </c>
      <c r="P110" s="32">
        <f ca="1">_xll.DBRW($C$1,$C$2,$C$3,$C$4,$C$6,$C$5,$C$7,P$1,P$2,$A110)</f>
        <v>0</v>
      </c>
      <c r="Q110" s="32">
        <f ca="1">_xll.DBRW($C$1,$C$2,$C$3,$C$4,$C$6,$C$5,$C$7,Q$1,Q$2,$A110)</f>
        <v>0</v>
      </c>
      <c r="R110" s="32">
        <f ca="1">_xll.DBRW($C$1,$C$2,$C$3,$C$4,$C$6,$C$5,$C$7,R$1,R$2,$A110)</f>
        <v>0</v>
      </c>
      <c r="S110" s="32">
        <f ca="1">_xll.DBRW($C$1,$C$2,$C$3,$C$4,$C$6,$C$5,$C$7,S$1,S$2,$A110)</f>
        <v>0</v>
      </c>
      <c r="T110" s="32">
        <f ca="1">_xll.DBRW($C$1,$C$2,$C$3,$C$4,$C$6,$C$5,$C$7,T$1,T$2,$A110)</f>
        <v>0</v>
      </c>
      <c r="U110" s="32">
        <f ca="1">_xll.DBRW($C$1,$C$2,$C$3,$C$4,$C$6,$C$5,$C$7,U$1,U$2,$A110)</f>
        <v>0</v>
      </c>
      <c r="V110" s="32">
        <f ca="1">_xll.DBRW($C$1,$C$2,$C$3,$C$4,$C$6,$C$5,$C$7,V$1,V$2,$A110)</f>
        <v>0</v>
      </c>
      <c r="W110" s="32">
        <f ca="1">_xll.DBRW($C$1,$C$2,$C$3,$C$4,$C$6,$C$5,$C$7,W$1,W$2,$A110)</f>
        <v>0</v>
      </c>
      <c r="X110" s="32">
        <f ca="1">_xll.DBRW($C$1,$C$2,$C$3,$C$4,$C$6,$C$5,$C$7,X$1,X$2,$A110)</f>
        <v>0</v>
      </c>
      <c r="Y110" s="32">
        <f ca="1">_xll.DBRW($C$1,$C$2,$C$3,$C$4,$C$6,$C$5,$C$7,Y$1,Y$2,$A110)</f>
        <v>0</v>
      </c>
      <c r="Z110" s="32">
        <f ca="1">_xll.DBRW($C$1,$C$2,$C$3,$C$4,$C$6,$C$5,$C$7,Z$1,Z$2,$A110)</f>
        <v>0</v>
      </c>
      <c r="AA110" s="32">
        <f ca="1">_xll.DBRW($C$1,$C$2,$C$3,$C$4,$C$6,$C$5,$C$7,AA$1,AA$2,$A110)</f>
        <v>0</v>
      </c>
      <c r="AB110" s="32">
        <f ca="1">_xll.DBRW($C$1,$C$2,$C$3,$C$4,$C$6,$C$5,$C$7,AB$1,AB$2,$A110)</f>
        <v>0</v>
      </c>
      <c r="AC110" s="32">
        <f ca="1">_xll.DBRW($C$1,$C$2,$C$3,$C$4,$C$6,$C$5,$C$7,AC$1,AC$2,$A110)</f>
        <v>0</v>
      </c>
      <c r="AD110" s="32">
        <f ca="1">_xll.DBRW($C$1,$C$2,$C$3,$C$4,$C$6,$C$5,$C$7,AD$1,AD$2,$A110)</f>
        <v>0</v>
      </c>
      <c r="AE110" s="32">
        <f ca="1">_xll.DBRW($C$1,$C$2,$C$3,$C$4,$C$6,$C$5,$C$7,AE$1,AE$2,$A110)</f>
        <v>0</v>
      </c>
      <c r="AF110" s="32">
        <f ca="1">_xll.DBRW($C$1,$C$2,$C$3,$C$4,$C$6,$C$5,$C$7,AF$1,AF$2,$A110)</f>
        <v>0</v>
      </c>
      <c r="AG110" s="32">
        <f ca="1">_xll.DBRW($C$1,$C$2,$C$3,$C$4,$C$6,$C$5,$C$7,AG$1,AG$2,$A110)</f>
        <v>0</v>
      </c>
      <c r="AH110" s="32">
        <f ca="1">_xll.DBRW($C$1,$C$2,$C$3,$C$4,$C$6,$C$5,$C$7,AH$1,AH$2,$A110)</f>
        <v>0</v>
      </c>
      <c r="AI110" s="32">
        <f ca="1">_xll.DBRW($C$1,$C$2,$C$3,$C$4,$C$6,$C$5,$C$7,AI$1,AI$2,$A110)</f>
        <v>0</v>
      </c>
      <c r="AJ110" s="32">
        <f ca="1">_xll.DBRW($C$1,$C$2,$C$3,$C$4,$C$6,$C$5,$C$7,AJ$1,AJ$2,$A110)</f>
        <v>0</v>
      </c>
      <c r="AK110" s="32">
        <f ca="1">_xll.DBRW($C$1,$C$2,$C$3,$C$4,$C$6,$C$5,$C$7,AK$1,AK$2,$A110)</f>
        <v>0</v>
      </c>
      <c r="AL110" s="32">
        <f ca="1">_xll.DBRW($C$1,$C$2,$C$3,$C$4,$C$6,$C$5,$C$7,AL$1,AL$2,$A110)</f>
        <v>0</v>
      </c>
      <c r="AM110" s="32">
        <f ca="1">_xll.DBRW($C$1,$C$2,$C$3,$C$4,$C$6,$C$5,$C$7,AM$1,AM$2,$A110)</f>
        <v>0</v>
      </c>
      <c r="AN110" s="32">
        <f ca="1">_xll.DBRW($C$1,$C$2,$C$3,$C$4,$C$6,$C$5,$C$7,AN$1,AN$2,$A110)</f>
        <v>0</v>
      </c>
      <c r="AO110" s="32">
        <f ca="1">_xll.DBRW($C$1,$C$2,$C$3,$C$4,$C$6,$C$5,$C$7,AO$1,AO$2,$A110)</f>
        <v>0</v>
      </c>
      <c r="AP110" s="32">
        <f ca="1">_xll.DBRW($C$1,$C$2,$C$3,$C$4,$C$6,$C$5,$C$7,AP$1,AP$2,$A110)</f>
        <v>0</v>
      </c>
      <c r="AQ110" s="32">
        <f ca="1">_xll.DBRW($C$1,$C$2,$C$3,$C$4,$C$6,$C$5,$C$7,AQ$1,AQ$2,$A110)</f>
        <v>0</v>
      </c>
      <c r="AR110" s="32">
        <f ca="1">_xll.DBRW($C$1,$C$2,$C$3,$C$4,$C$6,$C$5,$C$7,AR$1,AR$2,$A110)</f>
        <v>0</v>
      </c>
      <c r="AS110" s="32">
        <f ca="1">_xll.DBRW($C$1,$C$2,$C$3,$C$4,$C$6,$C$5,$C$7,AS$1,AS$2,$A110)</f>
        <v>0</v>
      </c>
      <c r="AT110" s="32">
        <f ca="1">_xll.DBRW($C$1,$C$2,$C$3,$C$4,$C$6,$C$5,$C$7,AT$1,AT$2,$A110)</f>
        <v>0</v>
      </c>
      <c r="AU110" s="32">
        <f ca="1">_xll.DBRW($C$1,$C$2,$C$3,$C$4,$C$6,$C$5,$C$7,AU$1,AU$2,$A110)</f>
        <v>0</v>
      </c>
      <c r="AV110" s="32">
        <f ca="1">_xll.DBRW($C$1,$C$2,$C$3,$C$4,$C$6,$C$5,$C$7,AV$1,AV$2,$A110)</f>
        <v>0</v>
      </c>
      <c r="AW110" s="32">
        <f ca="1">_xll.DBRW($C$1,$C$2,$C$3,$C$4,$C$6,$C$5,$C$7,AW$1,AW$2,$A110)</f>
        <v>0</v>
      </c>
      <c r="AX110" s="32">
        <f ca="1">_xll.DBRW($C$1,$C$2,$C$3,$C$4,$C$6,$C$5,$C$7,AX$1,AX$2,$A110)</f>
        <v>0</v>
      </c>
      <c r="AY110" s="32">
        <f ca="1">_xll.DBRW($C$1,$C$2,$C$3,$C$4,$C$6,$C$5,$C$7,AY$1,AY$2,$A110)</f>
        <v>0</v>
      </c>
    </row>
    <row r="111" spans="1:51" ht="15.75" hidden="1" customHeight="1" outlineLevel="1">
      <c r="A111" s="1" t="s">
        <v>206</v>
      </c>
      <c r="C111" s="104"/>
      <c r="E111" s="9" t="str">
        <f ca="1">_xll.DBRW(Server&amp;"}ElementAttributes_Indicator",A111,"code_English")</f>
        <v>PL1160_FL_10 - Gains/losses on disposal of tangible &amp; intangible fixed assets (FL)</v>
      </c>
      <c r="F111" s="32">
        <f ca="1">_xll.DBRW($C$1,$C$2,$C$3,$C$4,$C$6,$C$5,$C$7,F$1,F$2,$A111)</f>
        <v>-14.629828327530548</v>
      </c>
      <c r="G111" s="32">
        <f ca="1">_xll.DBRW($C$1,$C$2,$C$3,$C$4,$C$6,$C$5,$C$7,G$1,G$2,$A111)</f>
        <v>-1.1675424976965361</v>
      </c>
      <c r="H111" s="32">
        <f ca="1">_xll.DBRW($C$1,$C$2,$C$3,$C$4,$C$6,$C$5,$C$7,H$1,H$2,$A111)</f>
        <v>-0.88925351135255859</v>
      </c>
      <c r="I111" s="32">
        <f ca="1">_xll.DBRW($C$1,$C$2,$C$3,$C$4,$C$6,$C$5,$C$7,I$1,I$2,$A111)</f>
        <v>-0.31538174487791193</v>
      </c>
      <c r="J111" s="32">
        <f ca="1">_xll.DBRW($C$1,$C$2,$C$3,$C$4,$C$6,$C$5,$C$7,J$1,J$2,$A111)</f>
        <v>-12.251009431935049</v>
      </c>
      <c r="K111" s="32">
        <f ca="1">_xll.DBRW($C$1,$C$2,$C$3,$C$4,$C$6,$C$5,$C$7,K$1,K$2,$A111)</f>
        <v>-22.941671887663155</v>
      </c>
      <c r="L111" s="32">
        <f ca="1">_xll.DBRW($C$1,$C$2,$C$3,$C$4,$C$6,$C$5,$C$7,L$1,L$2,$A111)</f>
        <v>-20.274870909999997</v>
      </c>
      <c r="M111" s="32">
        <f ca="1">_xll.DBRW($C$1,$C$2,$C$3,$C$4,$C$6,$C$5,$C$7,M$1,M$2,$A111)</f>
        <v>-0.46422891699945956</v>
      </c>
      <c r="N111" s="32">
        <f ca="1">_xll.DBRW($C$1,$C$2,$C$3,$C$4,$C$6,$C$5,$C$7,N$1,N$2,$A111)</f>
        <v>0.40968023424951505</v>
      </c>
      <c r="O111" s="32">
        <f ca="1">_xll.DBRW($C$1,$C$2,$C$3,$C$4,$C$6,$C$5,$C$7,O$1,O$2,$A111)</f>
        <v>0.86308363277615552</v>
      </c>
      <c r="P111" s="32">
        <f ca="1">_xll.DBRW($C$1,$C$2,$C$3,$C$4,$C$6,$C$5,$C$7,P$1,P$2,$A111)</f>
        <v>1.7495079458062346</v>
      </c>
      <c r="Q111" s="32">
        <f ca="1">_xll.DBRW($C$1,$C$2,$C$3,$C$4,$C$6,$C$5,$C$7,Q$1,Q$2,$A111)</f>
        <v>1.1417207830459992</v>
      </c>
      <c r="R111" s="32">
        <f ca="1">_xll.DBRW($C$1,$C$2,$C$3,$C$4,$C$6,$C$5,$C$7,R$1,R$2,$A111)</f>
        <v>-0.65078081670073573</v>
      </c>
      <c r="S111" s="32">
        <f ca="1">_xll.DBRW($C$1,$C$2,$C$3,$C$4,$C$6,$C$5,$C$7,S$1,S$2,$A111)</f>
        <v>-0.73565251875400672</v>
      </c>
      <c r="T111" s="32">
        <f ca="1">_xll.DBRW($C$1,$C$2,$C$3,$C$4,$C$6,$C$5,$C$7,T$1,T$2,$A111)</f>
        <v>-33.636713189585265</v>
      </c>
      <c r="U111" s="32">
        <f ca="1">_xll.DBRW($C$1,$C$2,$C$3,$C$4,$C$6,$C$5,$C$7,U$1,U$2,$A111)</f>
        <v>-33.484008444116043</v>
      </c>
      <c r="V111" s="32">
        <f ca="1">_xll.DBRW($C$1,$C$2,$C$3,$C$4,$C$6,$C$5,$C$7,V$1,V$2,$A111)</f>
        <v>-40.457351373918016</v>
      </c>
      <c r="W111" s="32">
        <f ca="1">_xll.DBRW($C$1,$C$2,$C$3,$C$4,$C$6,$C$5,$C$7,W$1,W$2,$A111)</f>
        <v>-33.452215196983254</v>
      </c>
      <c r="X111" s="32">
        <f ca="1">_xll.DBRW($C$1,$C$2,$C$3,$C$4,$C$6,$C$5,$C$7,X$1,X$2,$A111)</f>
        <v>-40.966355530034278</v>
      </c>
      <c r="Y111" s="32">
        <f ca="1">_xll.DBRW($C$1,$C$2,$C$3,$C$4,$C$6,$C$5,$C$7,Y$1,Y$2,$A111)</f>
        <v>-40.966355530034278</v>
      </c>
      <c r="Z111" s="32">
        <f ca="1">_xll.DBRW($C$1,$C$2,$C$3,$C$4,$C$6,$C$5,$C$7,Z$1,Z$2,$A111)</f>
        <v>-5.5591044124999991</v>
      </c>
      <c r="AA111" s="32">
        <f ca="1">_xll.DBRW($C$1,$C$2,$C$3,$C$4,$C$6,$C$5,$C$7,AA$1,AA$2,$A111)</f>
        <v>-5.4848276349999994</v>
      </c>
      <c r="AB111" s="32">
        <f ca="1">_xll.DBRW($C$1,$C$2,$C$3,$C$4,$C$6,$C$5,$C$7,AB$1,AB$2,$A111)</f>
        <v>-5.4028508574999989</v>
      </c>
      <c r="AC111" s="32">
        <f ca="1">_xll.DBRW($C$1,$C$2,$C$3,$C$4,$C$6,$C$5,$C$7,AC$1,AC$2,$A111)</f>
        <v>-5.3220740799999993</v>
      </c>
      <c r="AD111" s="32">
        <f ca="1">_xll.DBRW($C$1,$C$2,$C$3,$C$4,$C$6,$C$5,$C$7,AD$1,AD$2,$A111)</f>
        <v>-5.2472973024999989</v>
      </c>
      <c r="AE111" s="32">
        <f ca="1">_xll.DBRW($C$1,$C$2,$C$3,$C$4,$C$6,$C$5,$C$7,AE$1,AE$2,$A111)</f>
        <v>-5.1433205249999991</v>
      </c>
      <c r="AF111" s="32">
        <f ca="1">_xll.DBRW($C$1,$C$2,$C$3,$C$4,$C$6,$C$5,$C$7,AF$1,AF$2,$A111)</f>
        <v>-20.648637527499993</v>
      </c>
      <c r="AG111" s="32">
        <f ca="1">_xll.DBRW($C$1,$C$2,$C$3,$C$4,$C$6,$C$5,$C$7,AG$1,AG$2,$A111)</f>
        <v>-20.717300209999994</v>
      </c>
      <c r="AH111" s="32">
        <f ca="1">_xll.DBRW($C$1,$C$2,$C$3,$C$4,$C$6,$C$5,$C$7,AH$1,AH$2,$A111)</f>
        <v>-20.475947692499993</v>
      </c>
      <c r="AI111" s="32">
        <f ca="1">_xll.DBRW($C$1,$C$2,$C$3,$C$4,$C$6,$C$5,$C$7,AI$1,AI$2,$A111)</f>
        <v>-20.339170914999993</v>
      </c>
      <c r="AJ111" s="32">
        <f ca="1">_xll.DBRW($C$1,$C$2,$C$3,$C$4,$C$6,$C$5,$C$7,AJ$1,AJ$2,$A111)</f>
        <v>-20.105394137499996</v>
      </c>
      <c r="AK111" s="32">
        <f ca="1">_xll.DBRW($C$1,$C$2,$C$3,$C$4,$C$6,$C$5,$C$7,AK$1,AK$2,$A111)</f>
        <v>-20.516098359999994</v>
      </c>
      <c r="AL111" s="32">
        <f ca="1">_xll.DBRW($C$1,$C$2,$C$3,$C$4,$C$6,$C$5,$C$7,AL$1,AL$2,$A111)</f>
        <v>-20.516098359999994</v>
      </c>
      <c r="AM111" s="32">
        <f ca="1">_xll.DBRW($C$1,$C$2,$C$3,$C$4,$C$6,$C$5,$C$7,AM$1,AM$2,$A111)</f>
        <v>-0.17915607869235842</v>
      </c>
      <c r="AN111" s="32">
        <f ca="1">_xll.DBRW($C$1,$C$2,$C$3,$C$4,$C$6,$C$5,$C$7,AN$1,AN$2,$A111)</f>
        <v>0.47603911636488683</v>
      </c>
      <c r="AO111" s="32">
        <f ca="1">_xll.DBRW($C$1,$C$2,$C$3,$C$4,$C$6,$C$5,$C$7,AO$1,AO$2,$A111)</f>
        <v>1.1102230246251565E-16</v>
      </c>
      <c r="AP111" s="32">
        <f ca="1">_xll.DBRW($C$1,$C$2,$C$3,$C$4,$C$6,$C$5,$C$7,AP$1,AP$2,$A111)</f>
        <v>1.1102230246251565E-16</v>
      </c>
      <c r="AQ111" s="32">
        <f ca="1">_xll.DBRW($C$1,$C$2,$C$3,$C$4,$C$6,$C$5,$C$7,AQ$1,AQ$2,$A111)</f>
        <v>1.1102230246251565E-16</v>
      </c>
      <c r="AR111" s="32">
        <f ca="1">_xll.DBRW($C$1,$C$2,$C$3,$C$4,$C$6,$C$5,$C$7,AR$1,AR$2,$A111)</f>
        <v>1.1102230246251565E-16</v>
      </c>
      <c r="AS111" s="32">
        <f ca="1">_xll.DBRW($C$1,$C$2,$C$3,$C$4,$C$6,$C$5,$C$7,AS$1,AS$2,$A111)</f>
        <v>1.1102230246251565E-16</v>
      </c>
      <c r="AT111" s="32">
        <f ca="1">_xll.DBRW($C$1,$C$2,$C$3,$C$4,$C$6,$C$5,$C$7,AT$1,AT$2,$A111)</f>
        <v>1.1102230246251565E-16</v>
      </c>
      <c r="AU111" s="32">
        <f ca="1">_xll.DBRW($C$1,$C$2,$C$3,$C$4,$C$6,$C$5,$C$7,AU$1,AU$2,$A111)</f>
        <v>1.1102230246251565E-16</v>
      </c>
      <c r="AV111" s="32">
        <f ca="1">_xll.DBRW($C$1,$C$2,$C$3,$C$4,$C$6,$C$5,$C$7,AV$1,AV$2,$A111)</f>
        <v>1.1102230246251565E-16</v>
      </c>
      <c r="AW111" s="32">
        <f ca="1">_xll.DBRW($C$1,$C$2,$C$3,$C$4,$C$6,$C$5,$C$7,AW$1,AW$2,$A111)</f>
        <v>1.1102230246251565E-16</v>
      </c>
      <c r="AX111" s="32">
        <f ca="1">_xll.DBRW($C$1,$C$2,$C$3,$C$4,$C$6,$C$5,$C$7,AX$1,AX$2,$A111)</f>
        <v>1.1102230246251565E-16</v>
      </c>
      <c r="AY111" s="32">
        <f ca="1">_xll.DBRW($C$1,$C$2,$C$3,$C$4,$C$6,$C$5,$C$7,AY$1,AY$2,$A111)</f>
        <v>1.1102230246251565E-16</v>
      </c>
    </row>
    <row r="112" spans="1:51" ht="15.75" hidden="1" customHeight="1" outlineLevel="1">
      <c r="A112" s="1" t="s">
        <v>207</v>
      </c>
      <c r="C112" s="104"/>
      <c r="E112" s="9" t="str">
        <f ca="1">_xll.DBRW(Server&amp;"}ElementAttributes_Indicator",A112,"code_English")</f>
        <v>PL1162_FL - COS - Gains/losses on disposal of right-of-use (FL)</v>
      </c>
      <c r="F112" s="32">
        <f ca="1">_xll.DBRW($C$1,$C$2,$C$3,$C$4,$C$6,$C$5,$C$7,F$1,F$2,$A112)</f>
        <v>0</v>
      </c>
      <c r="G112" s="32">
        <f ca="1">_xll.DBRW($C$1,$C$2,$C$3,$C$4,$C$6,$C$5,$C$7,G$1,G$2,$A112)</f>
        <v>0</v>
      </c>
      <c r="H112" s="32">
        <f ca="1">_xll.DBRW($C$1,$C$2,$C$3,$C$4,$C$6,$C$5,$C$7,H$1,H$2,$A112)</f>
        <v>0</v>
      </c>
      <c r="I112" s="32">
        <f ca="1">_xll.DBRW($C$1,$C$2,$C$3,$C$4,$C$6,$C$5,$C$7,I$1,I$2,$A112)</f>
        <v>0.22744121999999994</v>
      </c>
      <c r="J112" s="32">
        <f ca="1">_xll.DBRW($C$1,$C$2,$C$3,$C$4,$C$6,$C$5,$C$7,J$1,J$2,$A112)</f>
        <v>-6.0560099999999988E-3</v>
      </c>
      <c r="K112" s="32">
        <f ca="1">_xll.DBRW($C$1,$C$2,$C$3,$C$4,$C$6,$C$5,$C$7,K$1,K$2,$A112)</f>
        <v>3.9048279999999998E-2</v>
      </c>
      <c r="L112" s="32">
        <f ca="1">_xll.DBRW($C$1,$C$2,$C$3,$C$4,$C$6,$C$5,$C$7,L$1,L$2,$A112)</f>
        <v>0</v>
      </c>
      <c r="M112" s="32">
        <f ca="1">_xll.DBRW($C$1,$C$2,$C$3,$C$4,$C$6,$C$5,$C$7,M$1,M$2,$A112)</f>
        <v>0</v>
      </c>
      <c r="N112" s="32">
        <f ca="1">_xll.DBRW($C$1,$C$2,$C$3,$C$4,$C$6,$C$5,$C$7,N$1,N$2,$A112)</f>
        <v>0</v>
      </c>
      <c r="O112" s="32">
        <f ca="1">_xll.DBRW($C$1,$C$2,$C$3,$C$4,$C$6,$C$5,$C$7,O$1,O$2,$A112)</f>
        <v>0</v>
      </c>
      <c r="P112" s="32">
        <f ca="1">_xll.DBRW($C$1,$C$2,$C$3,$C$4,$C$6,$C$5,$C$7,P$1,P$2,$A112)</f>
        <v>0</v>
      </c>
      <c r="Q112" s="32">
        <f ca="1">_xll.DBRW($C$1,$C$2,$C$3,$C$4,$C$6,$C$5,$C$7,Q$1,Q$2,$A112)</f>
        <v>0</v>
      </c>
      <c r="R112" s="32">
        <f ca="1">_xll.DBRW($C$1,$C$2,$C$3,$C$4,$C$6,$C$5,$C$7,R$1,R$2,$A112)</f>
        <v>0</v>
      </c>
      <c r="S112" s="32">
        <f ca="1">_xll.DBRW($C$1,$C$2,$C$3,$C$4,$C$6,$C$5,$C$7,S$1,S$2,$A112)</f>
        <v>0</v>
      </c>
      <c r="T112" s="32">
        <f ca="1">_xll.DBRW($C$1,$C$2,$C$3,$C$4,$C$6,$C$5,$C$7,T$1,T$2,$A112)</f>
        <v>0</v>
      </c>
      <c r="U112" s="32">
        <f ca="1">_xll.DBRW($C$1,$C$2,$C$3,$C$4,$C$6,$C$5,$C$7,U$1,U$2,$A112)</f>
        <v>0</v>
      </c>
      <c r="V112" s="32">
        <f ca="1">_xll.DBRW($C$1,$C$2,$C$3,$C$4,$C$6,$C$5,$C$7,V$1,V$2,$A112)</f>
        <v>0</v>
      </c>
      <c r="W112" s="32">
        <f ca="1">_xll.DBRW($C$1,$C$2,$C$3,$C$4,$C$6,$C$5,$C$7,W$1,W$2,$A112)</f>
        <v>0</v>
      </c>
      <c r="X112" s="32">
        <f ca="1">_xll.DBRW($C$1,$C$2,$C$3,$C$4,$C$6,$C$5,$C$7,X$1,X$2,$A112)</f>
        <v>0</v>
      </c>
      <c r="Y112" s="32">
        <f ca="1">_xll.DBRW($C$1,$C$2,$C$3,$C$4,$C$6,$C$5,$C$7,Y$1,Y$2,$A112)</f>
        <v>0</v>
      </c>
      <c r="Z112" s="32">
        <f ca="1">_xll.DBRW($C$1,$C$2,$C$3,$C$4,$C$6,$C$5,$C$7,Z$1,Z$2,$A112)</f>
        <v>0</v>
      </c>
      <c r="AA112" s="32">
        <f ca="1">_xll.DBRW($C$1,$C$2,$C$3,$C$4,$C$6,$C$5,$C$7,AA$1,AA$2,$A112)</f>
        <v>0</v>
      </c>
      <c r="AB112" s="32">
        <f ca="1">_xll.DBRW($C$1,$C$2,$C$3,$C$4,$C$6,$C$5,$C$7,AB$1,AB$2,$A112)</f>
        <v>0</v>
      </c>
      <c r="AC112" s="32">
        <f ca="1">_xll.DBRW($C$1,$C$2,$C$3,$C$4,$C$6,$C$5,$C$7,AC$1,AC$2,$A112)</f>
        <v>0</v>
      </c>
      <c r="AD112" s="32">
        <f ca="1">_xll.DBRW($C$1,$C$2,$C$3,$C$4,$C$6,$C$5,$C$7,AD$1,AD$2,$A112)</f>
        <v>0</v>
      </c>
      <c r="AE112" s="32">
        <f ca="1">_xll.DBRW($C$1,$C$2,$C$3,$C$4,$C$6,$C$5,$C$7,AE$1,AE$2,$A112)</f>
        <v>0</v>
      </c>
      <c r="AF112" s="32">
        <f ca="1">_xll.DBRW($C$1,$C$2,$C$3,$C$4,$C$6,$C$5,$C$7,AF$1,AF$2,$A112)</f>
        <v>0</v>
      </c>
      <c r="AG112" s="32">
        <f ca="1">_xll.DBRW($C$1,$C$2,$C$3,$C$4,$C$6,$C$5,$C$7,AG$1,AG$2,$A112)</f>
        <v>0</v>
      </c>
      <c r="AH112" s="32">
        <f ca="1">_xll.DBRW($C$1,$C$2,$C$3,$C$4,$C$6,$C$5,$C$7,AH$1,AH$2,$A112)</f>
        <v>0</v>
      </c>
      <c r="AI112" s="32">
        <f ca="1">_xll.DBRW($C$1,$C$2,$C$3,$C$4,$C$6,$C$5,$C$7,AI$1,AI$2,$A112)</f>
        <v>0</v>
      </c>
      <c r="AJ112" s="32">
        <f ca="1">_xll.DBRW($C$1,$C$2,$C$3,$C$4,$C$6,$C$5,$C$7,AJ$1,AJ$2,$A112)</f>
        <v>0</v>
      </c>
      <c r="AK112" s="32">
        <f ca="1">_xll.DBRW($C$1,$C$2,$C$3,$C$4,$C$6,$C$5,$C$7,AK$1,AK$2,$A112)</f>
        <v>0</v>
      </c>
      <c r="AL112" s="32">
        <f ca="1">_xll.DBRW($C$1,$C$2,$C$3,$C$4,$C$6,$C$5,$C$7,AL$1,AL$2,$A112)</f>
        <v>0</v>
      </c>
      <c r="AM112" s="32">
        <f ca="1">_xll.DBRW($C$1,$C$2,$C$3,$C$4,$C$6,$C$5,$C$7,AM$1,AM$2,$A112)</f>
        <v>0</v>
      </c>
      <c r="AN112" s="32">
        <f ca="1">_xll.DBRW($C$1,$C$2,$C$3,$C$4,$C$6,$C$5,$C$7,AN$1,AN$2,$A112)</f>
        <v>6.4589999999999995E-3</v>
      </c>
      <c r="AO112" s="32">
        <f ca="1">_xll.DBRW($C$1,$C$2,$C$3,$C$4,$C$6,$C$5,$C$7,AO$1,AO$2,$A112)</f>
        <v>0</v>
      </c>
      <c r="AP112" s="32">
        <f ca="1">_xll.DBRW($C$1,$C$2,$C$3,$C$4,$C$6,$C$5,$C$7,AP$1,AP$2,$A112)</f>
        <v>0</v>
      </c>
      <c r="AQ112" s="32">
        <f ca="1">_xll.DBRW($C$1,$C$2,$C$3,$C$4,$C$6,$C$5,$C$7,AQ$1,AQ$2,$A112)</f>
        <v>0</v>
      </c>
      <c r="AR112" s="32">
        <f ca="1">_xll.DBRW($C$1,$C$2,$C$3,$C$4,$C$6,$C$5,$C$7,AR$1,AR$2,$A112)</f>
        <v>0</v>
      </c>
      <c r="AS112" s="32">
        <f ca="1">_xll.DBRW($C$1,$C$2,$C$3,$C$4,$C$6,$C$5,$C$7,AS$1,AS$2,$A112)</f>
        <v>0</v>
      </c>
      <c r="AT112" s="32">
        <f ca="1">_xll.DBRW($C$1,$C$2,$C$3,$C$4,$C$6,$C$5,$C$7,AT$1,AT$2,$A112)</f>
        <v>0</v>
      </c>
      <c r="AU112" s="32">
        <f ca="1">_xll.DBRW($C$1,$C$2,$C$3,$C$4,$C$6,$C$5,$C$7,AU$1,AU$2,$A112)</f>
        <v>0</v>
      </c>
      <c r="AV112" s="32">
        <f ca="1">_xll.DBRW($C$1,$C$2,$C$3,$C$4,$C$6,$C$5,$C$7,AV$1,AV$2,$A112)</f>
        <v>0</v>
      </c>
      <c r="AW112" s="32">
        <f ca="1">_xll.DBRW($C$1,$C$2,$C$3,$C$4,$C$6,$C$5,$C$7,AW$1,AW$2,$A112)</f>
        <v>0</v>
      </c>
      <c r="AX112" s="32">
        <f ca="1">_xll.DBRW($C$1,$C$2,$C$3,$C$4,$C$6,$C$5,$C$7,AX$1,AX$2,$A112)</f>
        <v>0</v>
      </c>
      <c r="AY112" s="32">
        <f ca="1">_xll.DBRW($C$1,$C$2,$C$3,$C$4,$C$6,$C$5,$C$7,AY$1,AY$2,$A112)</f>
        <v>0</v>
      </c>
    </row>
    <row r="113" spans="1:51" ht="15.5" hidden="1" outlineLevel="1" collapsed="1">
      <c r="A113" s="1" t="s">
        <v>142</v>
      </c>
      <c r="C113" s="104"/>
      <c r="E113" s="14" t="s">
        <v>37</v>
      </c>
      <c r="F113" s="33">
        <f t="shared" ref="F113:L113" ca="1" si="79">SUM(F103:F112)</f>
        <v>-478.6077476944476</v>
      </c>
      <c r="G113" s="33">
        <f t="shared" ca="1" si="79"/>
        <v>-432.7278931837136</v>
      </c>
      <c r="H113" s="33">
        <f t="shared" ca="1" si="79"/>
        <v>-460.39874819515973</v>
      </c>
      <c r="I113" s="33">
        <f t="shared" ca="1" si="79"/>
        <v>-315.28682819022839</v>
      </c>
      <c r="J113" s="33">
        <f t="shared" ca="1" si="79"/>
        <v>-409.76469925533462</v>
      </c>
      <c r="K113" s="33">
        <f t="shared" ca="1" si="79"/>
        <v>-441.39761355533142</v>
      </c>
      <c r="L113" s="33">
        <f t="shared" ca="1" si="79"/>
        <v>-383.70194211391004</v>
      </c>
      <c r="M113" s="33">
        <f t="shared" ref="M113:X113" ca="1" si="80">SUM(M103:M112)</f>
        <v>-18.818750217877437</v>
      </c>
      <c r="N113" s="33">
        <f t="shared" ca="1" si="80"/>
        <v>-67.809396827694172</v>
      </c>
      <c r="O113" s="33">
        <f t="shared" ca="1" si="80"/>
        <v>-102.87460693639161</v>
      </c>
      <c r="P113" s="33">
        <f t="shared" ca="1" si="80"/>
        <v>-135.97638355932401</v>
      </c>
      <c r="Q113" s="33">
        <f t="shared" ca="1" si="80"/>
        <v>-168.41042419267731</v>
      </c>
      <c r="R113" s="33">
        <f t="shared" ca="1" si="80"/>
        <v>-209.2353118149916</v>
      </c>
      <c r="S113" s="33">
        <f t="shared" ca="1" si="80"/>
        <v>-121.8152714548407</v>
      </c>
      <c r="T113" s="33">
        <f t="shared" ca="1" si="80"/>
        <v>-276.17265755981958</v>
      </c>
      <c r="U113" s="33">
        <f t="shared" ca="1" si="80"/>
        <v>-308.71147195222284</v>
      </c>
      <c r="V113" s="33">
        <f t="shared" ca="1" si="80"/>
        <v>-199.38097057459203</v>
      </c>
      <c r="W113" s="33">
        <f t="shared" ca="1" si="80"/>
        <v>-346.27605244125647</v>
      </c>
      <c r="X113" s="33">
        <f t="shared" ca="1" si="80"/>
        <v>-428.44297532018271</v>
      </c>
      <c r="Y113" s="33">
        <f ca="1">SUM(Y103:Y112)</f>
        <v>-428.44297532018271</v>
      </c>
      <c r="Z113" s="33">
        <f t="shared" ref="Z113:AK113" ca="1" si="81">SUM(Z103:Z112)</f>
        <v>-28.966578946628893</v>
      </c>
      <c r="AA113" s="33">
        <f t="shared" ca="1" si="81"/>
        <v>-65.497680101714636</v>
      </c>
      <c r="AB113" s="33">
        <f t="shared" ca="1" si="81"/>
        <v>-98.153027994939038</v>
      </c>
      <c r="AC113" s="33">
        <f t="shared" ca="1" si="81"/>
        <v>-130.60437022223894</v>
      </c>
      <c r="AD113" s="33">
        <f t="shared" ca="1" si="81"/>
        <v>-163.23821255242348</v>
      </c>
      <c r="AE113" s="33">
        <f t="shared" ca="1" si="81"/>
        <v>-195.69601069515159</v>
      </c>
      <c r="AF113" s="33">
        <f t="shared" ca="1" si="81"/>
        <v>-231.02549021175966</v>
      </c>
      <c r="AG113" s="33">
        <f t="shared" ca="1" si="81"/>
        <v>-258.09457125407289</v>
      </c>
      <c r="AH113" s="33">
        <f t="shared" ca="1" si="81"/>
        <v>-289.78659231387638</v>
      </c>
      <c r="AI113" s="33">
        <f t="shared" ca="1" si="81"/>
        <v>-321.65554106552122</v>
      </c>
      <c r="AJ113" s="33">
        <f t="shared" ca="1" si="81"/>
        <v>-353.25409582749307</v>
      </c>
      <c r="AK113" s="33">
        <f t="shared" ca="1" si="81"/>
        <v>-386.04699294764174</v>
      </c>
      <c r="AL113" s="33">
        <f ca="1">SUM(AL103:AL112)</f>
        <v>-386.04699294764174</v>
      </c>
      <c r="AM113" s="33">
        <f t="shared" ref="AM113:AX113" ca="1" si="82">SUM(AM103:AM112)</f>
        <v>-20.795526762277689</v>
      </c>
      <c r="AN113" s="33">
        <f t="shared" ca="1" si="82"/>
        <v>-70.798362919928962</v>
      </c>
      <c r="AO113" s="33">
        <f t="shared" ca="1" si="82"/>
        <v>2.886579864025407E-15</v>
      </c>
      <c r="AP113" s="33">
        <f t="shared" ca="1" si="82"/>
        <v>2.886579864025407E-15</v>
      </c>
      <c r="AQ113" s="33">
        <f t="shared" ca="1" si="82"/>
        <v>2.886579864025407E-15</v>
      </c>
      <c r="AR113" s="33">
        <f t="shared" ca="1" si="82"/>
        <v>2.886579864025407E-15</v>
      </c>
      <c r="AS113" s="33">
        <f t="shared" ca="1" si="82"/>
        <v>2.886579864025407E-15</v>
      </c>
      <c r="AT113" s="33">
        <f t="shared" ca="1" si="82"/>
        <v>2.886579864025407E-15</v>
      </c>
      <c r="AU113" s="33">
        <f t="shared" ca="1" si="82"/>
        <v>2.886579864025407E-15</v>
      </c>
      <c r="AV113" s="33">
        <f t="shared" ca="1" si="82"/>
        <v>2.886579864025407E-15</v>
      </c>
      <c r="AW113" s="33">
        <f t="shared" ca="1" si="82"/>
        <v>2.886579864025407E-15</v>
      </c>
      <c r="AX113" s="33">
        <f t="shared" ca="1" si="82"/>
        <v>2.886579864025407E-15</v>
      </c>
      <c r="AY113" s="33">
        <f ca="1">SUM(AY103:AY112)</f>
        <v>2.886579864025407E-15</v>
      </c>
    </row>
    <row r="114" spans="1:51" ht="15.75" hidden="1" customHeight="1" outlineLevel="2">
      <c r="A114" s="1" t="s">
        <v>208</v>
      </c>
      <c r="C114" s="104"/>
      <c r="E114" s="9" t="str">
        <f ca="1">_xll.DBRW(Server&amp;"}ElementAttributes_Indicator",A114,"code_English")</f>
        <v>PL1115_FL_65 - Fleet vehicle taxes (FL)</v>
      </c>
      <c r="F114" s="33">
        <f ca="1">_xll.DBRW($C$1,$C$2,$C$3,$C$4,$C$6,$C$5,$C$7,F$1,F$2,$A114)</f>
        <v>-12.7520404111054</v>
      </c>
      <c r="G114" s="33">
        <f ca="1">_xll.DBRW($C$1,$C$2,$C$3,$C$4,$C$6,$C$5,$C$7,G$1,G$2,$A114)</f>
        <v>-12.470814847531125</v>
      </c>
      <c r="H114" s="33">
        <f ca="1">_xll.DBRW($C$1,$C$2,$C$3,$C$4,$C$6,$C$5,$C$7,H$1,H$2,$A114)</f>
        <v>-11.297812002786122</v>
      </c>
      <c r="I114" s="33">
        <f ca="1">_xll.DBRW($C$1,$C$2,$C$3,$C$4,$C$6,$C$5,$C$7,I$1,I$2,$A114)</f>
        <v>-12.703459751223839</v>
      </c>
      <c r="J114" s="33">
        <f ca="1">_xll.DBRW($C$1,$C$2,$C$3,$C$4,$C$6,$C$5,$C$7,J$1,J$2,$A114)</f>
        <v>-11.519422269314145</v>
      </c>
      <c r="K114" s="33">
        <f ca="1">_xll.DBRW($C$1,$C$2,$C$3,$C$4,$C$6,$C$5,$C$7,K$1,K$2,$A114)</f>
        <v>-12.667828536995671</v>
      </c>
      <c r="L114" s="33">
        <f ca="1">_xll.DBRW($C$1,$C$2,$C$3,$C$4,$C$6,$C$5,$C$7,L$1,L$2,$A114)</f>
        <v>-10.607681881549158</v>
      </c>
      <c r="M114" s="33">
        <f ca="1">_xll.DBRW($C$1,$C$2,$C$3,$C$4,$C$6,$C$5,$C$7,M$1,M$2,$A114)</f>
        <v>-0.58478413270047191</v>
      </c>
      <c r="N114" s="33">
        <f ca="1">_xll.DBRW($C$1,$C$2,$C$3,$C$4,$C$6,$C$5,$C$7,N$1,N$2,$A114)</f>
        <v>-1.4700959923863901</v>
      </c>
      <c r="O114" s="33">
        <f ca="1">_xll.DBRW($C$1,$C$2,$C$3,$C$4,$C$6,$C$5,$C$7,O$1,O$2,$A114)</f>
        <v>-2.3941372121881024</v>
      </c>
      <c r="P114" s="33">
        <f ca="1">_xll.DBRW($C$1,$C$2,$C$3,$C$4,$C$6,$C$5,$C$7,P$1,P$2,$A114)</f>
        <v>-3.1696860037416346</v>
      </c>
      <c r="Q114" s="33">
        <f ca="1">_xll.DBRW($C$1,$C$2,$C$3,$C$4,$C$6,$C$5,$C$7,Q$1,Q$2,$A114)</f>
        <v>-4.5170724013834107</v>
      </c>
      <c r="R114" s="33">
        <f ca="1">_xll.DBRW($C$1,$C$2,$C$3,$C$4,$C$6,$C$5,$C$7,R$1,R$2,$A114)</f>
        <v>-5.4281057447820471</v>
      </c>
      <c r="S114" s="33">
        <f ca="1">_xll.DBRW($C$1,$C$2,$C$3,$C$4,$C$6,$C$5,$C$7,S$1,S$2,$A114)</f>
        <v>-4.7348914305918282</v>
      </c>
      <c r="T114" s="33">
        <f ca="1">_xll.DBRW($C$1,$C$2,$C$3,$C$4,$C$6,$C$5,$C$7,T$1,T$2,$A114)</f>
        <v>-7.5710254875146399</v>
      </c>
      <c r="U114" s="33">
        <f ca="1">_xll.DBRW($C$1,$C$2,$C$3,$C$4,$C$6,$C$5,$C$7,U$1,U$2,$A114)</f>
        <v>-8.7709649280024955</v>
      </c>
      <c r="V114" s="33">
        <f ca="1">_xll.DBRW($C$1,$C$2,$C$3,$C$4,$C$6,$C$5,$C$7,V$1,V$2,$A114)</f>
        <v>-8.5439124409532887</v>
      </c>
      <c r="W114" s="33">
        <f ca="1">_xll.DBRW($C$1,$C$2,$C$3,$C$4,$C$6,$C$5,$C$7,W$1,W$2,$A114)</f>
        <v>-8.106928362827091</v>
      </c>
      <c r="X114" s="33">
        <f ca="1">_xll.DBRW($C$1,$C$2,$C$3,$C$4,$C$6,$C$5,$C$7,X$1,X$2,$A114)</f>
        <v>-10.703729120838549</v>
      </c>
      <c r="Y114" s="33">
        <f ca="1">_xll.DBRW($C$1,$C$2,$C$3,$C$4,$C$6,$C$5,$C$7,Y$1,Y$2,$A114)</f>
        <v>-10.703729120838549</v>
      </c>
      <c r="Z114" s="33">
        <f ca="1">_xll.DBRW($C$1,$C$2,$C$3,$C$4,$C$6,$C$5,$C$7,Z$1,Z$2,$A114)</f>
        <v>-0.99274968541257436</v>
      </c>
      <c r="AA114" s="33">
        <f ca="1">_xll.DBRW($C$1,$C$2,$C$3,$C$4,$C$6,$C$5,$C$7,AA$1,AA$2,$A114)</f>
        <v>-2.3674133793461767</v>
      </c>
      <c r="AB114" s="33">
        <f ca="1">_xll.DBRW($C$1,$C$2,$C$3,$C$4,$C$6,$C$5,$C$7,AB$1,AB$2,$A114)</f>
        <v>-3.6358188050954325</v>
      </c>
      <c r="AC114" s="33">
        <f ca="1">_xll.DBRW($C$1,$C$2,$C$3,$C$4,$C$6,$C$5,$C$7,AC$1,AC$2,$A114)</f>
        <v>-4.813382793799482</v>
      </c>
      <c r="AD114" s="33">
        <f ca="1">_xll.DBRW($C$1,$C$2,$C$3,$C$4,$C$6,$C$5,$C$7,AD$1,AD$2,$A114)</f>
        <v>-6.0450256043564918</v>
      </c>
      <c r="AE114" s="33">
        <f ca="1">_xll.DBRW($C$1,$C$2,$C$3,$C$4,$C$6,$C$5,$C$7,AE$1,AE$2,$A114)</f>
        <v>-7.2215427253507167</v>
      </c>
      <c r="AF114" s="33">
        <f ca="1">_xll.DBRW($C$1,$C$2,$C$3,$C$4,$C$6,$C$5,$C$7,AF$1,AF$2,$A114)</f>
        <v>-8.4373488512010208</v>
      </c>
      <c r="AG114" s="33">
        <f ca="1">_xll.DBRW($C$1,$C$2,$C$3,$C$4,$C$6,$C$5,$C$7,AG$1,AG$2,$A114)</f>
        <v>-9.6423607340946571</v>
      </c>
      <c r="AH114" s="33">
        <f ca="1">_xll.DBRW($C$1,$C$2,$C$3,$C$4,$C$6,$C$5,$C$7,AH$1,AH$2,$A114)</f>
        <v>-10.838737559055442</v>
      </c>
      <c r="AI114" s="33">
        <f ca="1">_xll.DBRW($C$1,$C$2,$C$3,$C$4,$C$6,$C$5,$C$7,AI$1,AI$2,$A114)</f>
        <v>-12.000861475163333</v>
      </c>
      <c r="AJ114" s="33">
        <f ca="1">_xll.DBRW($C$1,$C$2,$C$3,$C$4,$C$6,$C$5,$C$7,AJ$1,AJ$2,$A114)</f>
        <v>-13.147911479375576</v>
      </c>
      <c r="AK114" s="33">
        <f ca="1">_xll.DBRW($C$1,$C$2,$C$3,$C$4,$C$6,$C$5,$C$7,AK$1,AK$2,$A114)</f>
        <v>-14.264199459236352</v>
      </c>
      <c r="AL114" s="33">
        <f ca="1">_xll.DBRW($C$1,$C$2,$C$3,$C$4,$C$6,$C$5,$C$7,AL$1,AL$2,$A114)</f>
        <v>-14.264199459236352</v>
      </c>
      <c r="AM114" s="33">
        <f ca="1">_xll.DBRW($C$1,$C$2,$C$3,$C$4,$C$6,$C$5,$C$7,AM$1,AM$2,$A114)</f>
        <v>-0.35651713928065448</v>
      </c>
      <c r="AN114" s="33">
        <f ca="1">_xll.DBRW($C$1,$C$2,$C$3,$C$4,$C$6,$C$5,$C$7,AN$1,AN$2,$A114)</f>
        <v>-2.0168419401435522</v>
      </c>
      <c r="AO114" s="33">
        <f ca="1">_xll.DBRW($C$1,$C$2,$C$3,$C$4,$C$6,$C$5,$C$7,AO$1,AO$2,$A114)</f>
        <v>0</v>
      </c>
      <c r="AP114" s="33">
        <f ca="1">_xll.DBRW($C$1,$C$2,$C$3,$C$4,$C$6,$C$5,$C$7,AP$1,AP$2,$A114)</f>
        <v>0</v>
      </c>
      <c r="AQ114" s="33">
        <f ca="1">_xll.DBRW($C$1,$C$2,$C$3,$C$4,$C$6,$C$5,$C$7,AQ$1,AQ$2,$A114)</f>
        <v>0</v>
      </c>
      <c r="AR114" s="33">
        <f ca="1">_xll.DBRW($C$1,$C$2,$C$3,$C$4,$C$6,$C$5,$C$7,AR$1,AR$2,$A114)</f>
        <v>0</v>
      </c>
      <c r="AS114" s="33">
        <f ca="1">_xll.DBRW($C$1,$C$2,$C$3,$C$4,$C$6,$C$5,$C$7,AS$1,AS$2,$A114)</f>
        <v>0</v>
      </c>
      <c r="AT114" s="33">
        <f ca="1">_xll.DBRW($C$1,$C$2,$C$3,$C$4,$C$6,$C$5,$C$7,AT$1,AT$2,$A114)</f>
        <v>0</v>
      </c>
      <c r="AU114" s="33">
        <f ca="1">_xll.DBRW($C$1,$C$2,$C$3,$C$4,$C$6,$C$5,$C$7,AU$1,AU$2,$A114)</f>
        <v>0</v>
      </c>
      <c r="AV114" s="33">
        <f ca="1">_xll.DBRW($C$1,$C$2,$C$3,$C$4,$C$6,$C$5,$C$7,AV$1,AV$2,$A114)</f>
        <v>0</v>
      </c>
      <c r="AW114" s="33">
        <f ca="1">_xll.DBRW($C$1,$C$2,$C$3,$C$4,$C$6,$C$5,$C$7,AW$1,AW$2,$A114)</f>
        <v>0</v>
      </c>
      <c r="AX114" s="33">
        <f ca="1">_xll.DBRW($C$1,$C$2,$C$3,$C$4,$C$6,$C$5,$C$7,AX$1,AX$2,$A114)</f>
        <v>0</v>
      </c>
      <c r="AY114" s="33">
        <f ca="1">_xll.DBRW($C$1,$C$2,$C$3,$C$4,$C$6,$C$5,$C$7,AY$1,AY$2,$A114)</f>
        <v>0</v>
      </c>
    </row>
    <row r="115" spans="1:51" ht="15.75" hidden="1" customHeight="1" outlineLevel="2">
      <c r="A115" s="1" t="s">
        <v>209</v>
      </c>
      <c r="C115" s="104"/>
      <c r="E115" s="9" t="str">
        <f ca="1">_xll.DBRW(Server&amp;"}ElementAttributes_Indicator",A115,"code_English")</f>
        <v>PL1115_FL_70 - Others (FL)</v>
      </c>
      <c r="F115" s="33">
        <f ca="1">_xll.DBRW($C$1,$C$2,$C$3,$C$4,$C$6,$C$5,$C$7,F$1,F$2,$A115)</f>
        <v>-3.5050250743611131</v>
      </c>
      <c r="G115" s="33">
        <f ca="1">_xll.DBRW($C$1,$C$2,$C$3,$C$4,$C$6,$C$5,$C$7,G$1,G$2,$A115)</f>
        <v>-4.3208446863902452</v>
      </c>
      <c r="H115" s="33">
        <f ca="1">_xll.DBRW($C$1,$C$2,$C$3,$C$4,$C$6,$C$5,$C$7,H$1,H$2,$A115)</f>
        <v>-4.6755445100370752</v>
      </c>
      <c r="I115" s="33">
        <f ca="1">_xll.DBRW($C$1,$C$2,$C$3,$C$4,$C$6,$C$5,$C$7,I$1,I$2,$A115)</f>
        <v>-4.1715430387575827</v>
      </c>
      <c r="J115" s="33">
        <f ca="1">_xll.DBRW($C$1,$C$2,$C$3,$C$4,$C$6,$C$5,$C$7,J$1,J$2,$A115)</f>
        <v>-1.8685623972886771</v>
      </c>
      <c r="K115" s="33">
        <f ca="1">_xll.DBRW($C$1,$C$2,$C$3,$C$4,$C$6,$C$5,$C$7,K$1,K$2,$A115)</f>
        <v>-4.3128263875175454</v>
      </c>
      <c r="L115" s="33">
        <f ca="1">_xll.DBRW($C$1,$C$2,$C$3,$C$4,$C$6,$C$5,$C$7,L$1,L$2,$A115)</f>
        <v>-3.3404903340229883</v>
      </c>
      <c r="M115" s="33">
        <f ca="1">_xll.DBRW($C$1,$C$2,$C$3,$C$4,$C$6,$C$5,$C$7,M$1,M$2,$A115)</f>
        <v>3.7315221148491451E-3</v>
      </c>
      <c r="N115" s="33">
        <f ca="1">_xll.DBRW($C$1,$C$2,$C$3,$C$4,$C$6,$C$5,$C$7,N$1,N$2,$A115)</f>
        <v>-0.9545227186307883</v>
      </c>
      <c r="O115" s="33">
        <f ca="1">_xll.DBRW($C$1,$C$2,$C$3,$C$4,$C$6,$C$5,$C$7,O$1,O$2,$A115)</f>
        <v>-1.3304511993769395</v>
      </c>
      <c r="P115" s="33">
        <f ca="1">_xll.DBRW($C$1,$C$2,$C$3,$C$4,$C$6,$C$5,$C$7,P$1,P$2,$A115)</f>
        <v>-1.7083023491645946</v>
      </c>
      <c r="Q115" s="33">
        <f ca="1">_xll.DBRW($C$1,$C$2,$C$3,$C$4,$C$6,$C$5,$C$7,Q$1,Q$2,$A115)</f>
        <v>-1.7578499357376502</v>
      </c>
      <c r="R115" s="33">
        <f ca="1">_xll.DBRW($C$1,$C$2,$C$3,$C$4,$C$6,$C$5,$C$7,R$1,R$2,$A115)</f>
        <v>-2.3483941937468278</v>
      </c>
      <c r="S115" s="33">
        <f ca="1">_xll.DBRW($C$1,$C$2,$C$3,$C$4,$C$6,$C$5,$C$7,S$1,S$2,$A115)</f>
        <v>-2.0711806435627245</v>
      </c>
      <c r="T115" s="33">
        <f ca="1">_xll.DBRW($C$1,$C$2,$C$3,$C$4,$C$6,$C$5,$C$7,T$1,T$2,$A115)</f>
        <v>-4.4345243736106958</v>
      </c>
      <c r="U115" s="33">
        <f ca="1">_xll.DBRW($C$1,$C$2,$C$3,$C$4,$C$6,$C$5,$C$7,U$1,U$2,$A115)</f>
        <v>-5.5881481946971157</v>
      </c>
      <c r="V115" s="33">
        <f ca="1">_xll.DBRW($C$1,$C$2,$C$3,$C$4,$C$6,$C$5,$C$7,V$1,V$2,$A115)</f>
        <v>-3.8405014366833443</v>
      </c>
      <c r="W115" s="33">
        <f ca="1">_xll.DBRW($C$1,$C$2,$C$3,$C$4,$C$6,$C$5,$C$7,W$1,W$2,$A115)</f>
        <v>-8.5406880858257708</v>
      </c>
      <c r="X115" s="33">
        <f ca="1">_xll.DBRW($C$1,$C$2,$C$3,$C$4,$C$6,$C$5,$C$7,X$1,X$2,$A115)</f>
        <v>-9.6545932422124032</v>
      </c>
      <c r="Y115" s="33">
        <f ca="1">_xll.DBRW($C$1,$C$2,$C$3,$C$4,$C$6,$C$5,$C$7,Y$1,Y$2,$A115)</f>
        <v>-9.6545932422124032</v>
      </c>
      <c r="Z115" s="33">
        <f ca="1">_xll.DBRW($C$1,$C$2,$C$3,$C$4,$C$6,$C$5,$C$7,Z$1,Z$2,$A115)</f>
        <v>-0.76767134008171911</v>
      </c>
      <c r="AA115" s="33">
        <f ca="1">_xll.DBRW($C$1,$C$2,$C$3,$C$4,$C$6,$C$5,$C$7,AA$1,AA$2,$A115)</f>
        <v>-1.5782454880051904</v>
      </c>
      <c r="AB115" s="33">
        <f ca="1">_xll.DBRW($C$1,$C$2,$C$3,$C$4,$C$6,$C$5,$C$7,AB$1,AB$2,$A115)</f>
        <v>-2.3781874782635257</v>
      </c>
      <c r="AC115" s="33">
        <f ca="1">_xll.DBRW($C$1,$C$2,$C$3,$C$4,$C$6,$C$5,$C$7,AC$1,AC$2,$A115)</f>
        <v>-3.1489936134606422</v>
      </c>
      <c r="AD115" s="33">
        <f ca="1">_xll.DBRW($C$1,$C$2,$C$3,$C$4,$C$6,$C$5,$C$7,AD$1,AD$2,$A115)</f>
        <v>-3.9198550980042794</v>
      </c>
      <c r="AE115" s="33">
        <f ca="1">_xll.DBRW($C$1,$C$2,$C$3,$C$4,$C$6,$C$5,$C$7,AE$1,AE$2,$A115)</f>
        <v>-4.7022816673336143</v>
      </c>
      <c r="AF115" s="33">
        <f ca="1">_xll.DBRW($C$1,$C$2,$C$3,$C$4,$C$6,$C$5,$C$7,AF$1,AF$2,$A115)</f>
        <v>-5.4918806776092666</v>
      </c>
      <c r="AG115" s="33">
        <f ca="1">_xll.DBRW($C$1,$C$2,$C$3,$C$4,$C$6,$C$5,$C$7,AG$1,AG$2,$A115)</f>
        <v>-6.285600890186898</v>
      </c>
      <c r="AH115" s="33">
        <f ca="1">_xll.DBRW($C$1,$C$2,$C$3,$C$4,$C$6,$C$5,$C$7,AH$1,AH$2,$A115)</f>
        <v>-7.0480142688836036</v>
      </c>
      <c r="AI115" s="33">
        <f ca="1">_xll.DBRW($C$1,$C$2,$C$3,$C$4,$C$6,$C$5,$C$7,AI$1,AI$2,$A115)</f>
        <v>-7.8160427846343534</v>
      </c>
      <c r="AJ115" s="33">
        <f ca="1">_xll.DBRW($C$1,$C$2,$C$3,$C$4,$C$6,$C$5,$C$7,AJ$1,AJ$2,$A115)</f>
        <v>-8.581602347264969</v>
      </c>
      <c r="AK115" s="33">
        <f ca="1">_xll.DBRW($C$1,$C$2,$C$3,$C$4,$C$6,$C$5,$C$7,AK$1,AK$2,$A115)</f>
        <v>-9.5129489270143068</v>
      </c>
      <c r="AL115" s="33">
        <f ca="1">_xll.DBRW($C$1,$C$2,$C$3,$C$4,$C$6,$C$5,$C$7,AL$1,AL$2,$A115)</f>
        <v>-9.5129489270143068</v>
      </c>
      <c r="AM115" s="33">
        <f ca="1">_xll.DBRW($C$1,$C$2,$C$3,$C$4,$C$6,$C$5,$C$7,AM$1,AM$2,$A115)</f>
        <v>2.8133311046101381</v>
      </c>
      <c r="AN115" s="33">
        <f ca="1">_xll.DBRW($C$1,$C$2,$C$3,$C$4,$C$6,$C$5,$C$7,AN$1,AN$2,$A115)</f>
        <v>-0.5754465626228713</v>
      </c>
      <c r="AO115" s="33">
        <f ca="1">_xll.DBRW($C$1,$C$2,$C$3,$C$4,$C$6,$C$5,$C$7,AO$1,AO$2,$A115)</f>
        <v>2.2204460492503131E-16</v>
      </c>
      <c r="AP115" s="33">
        <f ca="1">_xll.DBRW($C$1,$C$2,$C$3,$C$4,$C$6,$C$5,$C$7,AP$1,AP$2,$A115)</f>
        <v>2.2204460492503131E-16</v>
      </c>
      <c r="AQ115" s="33">
        <f ca="1">_xll.DBRW($C$1,$C$2,$C$3,$C$4,$C$6,$C$5,$C$7,AQ$1,AQ$2,$A115)</f>
        <v>2.2204460492503131E-16</v>
      </c>
      <c r="AR115" s="33">
        <f ca="1">_xll.DBRW($C$1,$C$2,$C$3,$C$4,$C$6,$C$5,$C$7,AR$1,AR$2,$A115)</f>
        <v>2.2204460492503131E-16</v>
      </c>
      <c r="AS115" s="33">
        <f ca="1">_xll.DBRW($C$1,$C$2,$C$3,$C$4,$C$6,$C$5,$C$7,AS$1,AS$2,$A115)</f>
        <v>2.2204460492503131E-16</v>
      </c>
      <c r="AT115" s="33">
        <f ca="1">_xll.DBRW($C$1,$C$2,$C$3,$C$4,$C$6,$C$5,$C$7,AT$1,AT$2,$A115)</f>
        <v>2.2204460492503131E-16</v>
      </c>
      <c r="AU115" s="33">
        <f ca="1">_xll.DBRW($C$1,$C$2,$C$3,$C$4,$C$6,$C$5,$C$7,AU$1,AU$2,$A115)</f>
        <v>2.2204460492503131E-16</v>
      </c>
      <c r="AV115" s="33">
        <f ca="1">_xll.DBRW($C$1,$C$2,$C$3,$C$4,$C$6,$C$5,$C$7,AV$1,AV$2,$A115)</f>
        <v>2.2204460492503131E-16</v>
      </c>
      <c r="AW115" s="33">
        <f ca="1">_xll.DBRW($C$1,$C$2,$C$3,$C$4,$C$6,$C$5,$C$7,AW$1,AW$2,$A115)</f>
        <v>2.2204460492503131E-16</v>
      </c>
      <c r="AX115" s="33">
        <f ca="1">_xll.DBRW($C$1,$C$2,$C$3,$C$4,$C$6,$C$5,$C$7,AX$1,AX$2,$A115)</f>
        <v>2.2204460492503131E-16</v>
      </c>
      <c r="AY115" s="33">
        <f ca="1">_xll.DBRW($C$1,$C$2,$C$3,$C$4,$C$6,$C$5,$C$7,AY$1,AY$2,$A115)</f>
        <v>2.2204460492503131E-16</v>
      </c>
    </row>
    <row r="116" spans="1:51" ht="15.75" hidden="1" customHeight="1" outlineLevel="2">
      <c r="A116" s="1" t="s">
        <v>210</v>
      </c>
      <c r="C116" s="104"/>
      <c r="E116" s="9" t="str">
        <f ca="1">_xll.DBRW(Server&amp;"}ElementAttributes_Indicator",A116,"code_English")</f>
        <v>PL1155_FL_99 - Reinvoicing - Others (FL)</v>
      </c>
      <c r="F116" s="33">
        <f ca="1">_xll.DBRW($C$1,$C$2,$C$3,$C$4,$C$6,$C$5,$C$7,F$1,F$2,$A116)</f>
        <v>1.2637902319999847E-2</v>
      </c>
      <c r="G116" s="33">
        <f ca="1">_xll.DBRW($C$1,$C$2,$C$3,$C$4,$C$6,$C$5,$C$7,G$1,G$2,$A116)</f>
        <v>-1.7952342800001096E-3</v>
      </c>
      <c r="H116" s="33">
        <f ca="1">_xll.DBRW($C$1,$C$2,$C$3,$C$4,$C$6,$C$5,$C$7,H$1,H$2,$A116)</f>
        <v>9.6800259999999597E-3</v>
      </c>
      <c r="I116" s="33">
        <f ca="1">_xll.DBRW($C$1,$C$2,$C$3,$C$4,$C$6,$C$5,$C$7,I$1,I$2,$A116)</f>
        <v>1.2691234100000039E-2</v>
      </c>
      <c r="J116" s="33">
        <f ca="1">_xll.DBRW($C$1,$C$2,$C$3,$C$4,$C$6,$C$5,$C$7,J$1,J$2,$A116)</f>
        <v>9.6735240000000083E-2</v>
      </c>
      <c r="K116" s="33">
        <f ca="1">_xll.DBRW($C$1,$C$2,$C$3,$C$4,$C$6,$C$5,$C$7,K$1,K$2,$A116)</f>
        <v>2.5184864600000041</v>
      </c>
      <c r="L116" s="33">
        <f ca="1">_xll.DBRW($C$1,$C$2,$C$3,$C$4,$C$6,$C$5,$C$7,L$1,L$2,$A116)</f>
        <v>9.3935276224144104E-16</v>
      </c>
      <c r="M116" s="33">
        <f ca="1">_xll.DBRW($C$1,$C$2,$C$3,$C$4,$C$6,$C$5,$C$7,M$1,M$2,$A116)</f>
        <v>-2.9490299091605721E-17</v>
      </c>
      <c r="N116" s="33">
        <f ca="1">_xll.DBRW($C$1,$C$2,$C$3,$C$4,$C$6,$C$5,$C$7,N$1,N$2,$A116)</f>
        <v>9.9145499999999092E-3</v>
      </c>
      <c r="O116" s="33">
        <f ca="1">_xll.DBRW($C$1,$C$2,$C$3,$C$4,$C$6,$C$5,$C$7,O$1,O$2,$A116)</f>
        <v>0.18841755999999993</v>
      </c>
      <c r="P116" s="33">
        <f ca="1">_xll.DBRW($C$1,$C$2,$C$3,$C$4,$C$6,$C$5,$C$7,P$1,P$2,$A116)</f>
        <v>0.19052824999999993</v>
      </c>
      <c r="Q116" s="33">
        <f ca="1">_xll.DBRW($C$1,$C$2,$C$3,$C$4,$C$6,$C$5,$C$7,Q$1,Q$2,$A116)</f>
        <v>0.19372141999999989</v>
      </c>
      <c r="R116" s="33">
        <f ca="1">_xll.DBRW($C$1,$C$2,$C$3,$C$4,$C$6,$C$5,$C$7,R$1,R$2,$A116)</f>
        <v>0.19599337999999988</v>
      </c>
      <c r="S116" s="33">
        <f ca="1">_xll.DBRW($C$1,$C$2,$C$3,$C$4,$C$6,$C$5,$C$7,S$1,S$2,$A116)</f>
        <v>0.17642699999999992</v>
      </c>
      <c r="T116" s="33">
        <f ca="1">_xll.DBRW($C$1,$C$2,$C$3,$C$4,$C$6,$C$5,$C$7,T$1,T$2,$A116)</f>
        <v>0.19996672999999959</v>
      </c>
      <c r="U116" s="33">
        <f ca="1">_xll.DBRW($C$1,$C$2,$C$3,$C$4,$C$6,$C$5,$C$7,U$1,U$2,$A116)</f>
        <v>0.20284594999999955</v>
      </c>
      <c r="V116" s="33">
        <f ca="1">_xll.DBRW($C$1,$C$2,$C$3,$C$4,$C$6,$C$5,$C$7,V$1,V$2,$A116)</f>
        <v>0.17660675000000078</v>
      </c>
      <c r="W116" s="33">
        <f ca="1">_xll.DBRW($C$1,$C$2,$C$3,$C$4,$C$6,$C$5,$C$7,W$1,W$2,$A116)</f>
        <v>0.1893241100000011</v>
      </c>
      <c r="X116" s="33">
        <f ca="1">_xll.DBRW($C$1,$C$2,$C$3,$C$4,$C$6,$C$5,$C$7,X$1,X$2,$A116)</f>
        <v>0.25820769000000099</v>
      </c>
      <c r="Y116" s="33">
        <f ca="1">_xll.DBRW($C$1,$C$2,$C$3,$C$4,$C$6,$C$5,$C$7,Y$1,Y$2,$A116)</f>
        <v>0.25820769000000099</v>
      </c>
      <c r="Z116" s="33">
        <f ca="1">_xll.DBRW($C$1,$C$2,$C$3,$C$4,$C$6,$C$5,$C$7,Z$1,Z$2,$A116)</f>
        <v>0</v>
      </c>
      <c r="AA116" s="33">
        <f ca="1">_xll.DBRW($C$1,$C$2,$C$3,$C$4,$C$6,$C$5,$C$7,AA$1,AA$2,$A116)</f>
        <v>0</v>
      </c>
      <c r="AB116" s="33">
        <f ca="1">_xll.DBRW($C$1,$C$2,$C$3,$C$4,$C$6,$C$5,$C$7,AB$1,AB$2,$A116)</f>
        <v>0</v>
      </c>
      <c r="AC116" s="33">
        <f ca="1">_xll.DBRW($C$1,$C$2,$C$3,$C$4,$C$6,$C$5,$C$7,AC$1,AC$2,$A116)</f>
        <v>0</v>
      </c>
      <c r="AD116" s="33">
        <f ca="1">_xll.DBRW($C$1,$C$2,$C$3,$C$4,$C$6,$C$5,$C$7,AD$1,AD$2,$A116)</f>
        <v>0</v>
      </c>
      <c r="AE116" s="33">
        <f ca="1">_xll.DBRW($C$1,$C$2,$C$3,$C$4,$C$6,$C$5,$C$7,AE$1,AE$2,$A116)</f>
        <v>0</v>
      </c>
      <c r="AF116" s="33">
        <f ca="1">_xll.DBRW($C$1,$C$2,$C$3,$C$4,$C$6,$C$5,$C$7,AF$1,AF$2,$A116)</f>
        <v>0</v>
      </c>
      <c r="AG116" s="33">
        <f ca="1">_xll.DBRW($C$1,$C$2,$C$3,$C$4,$C$6,$C$5,$C$7,AG$1,AG$2,$A116)</f>
        <v>0</v>
      </c>
      <c r="AH116" s="33">
        <f ca="1">_xll.DBRW($C$1,$C$2,$C$3,$C$4,$C$6,$C$5,$C$7,AH$1,AH$2,$A116)</f>
        <v>0</v>
      </c>
      <c r="AI116" s="33">
        <f ca="1">_xll.DBRW($C$1,$C$2,$C$3,$C$4,$C$6,$C$5,$C$7,AI$1,AI$2,$A116)</f>
        <v>0</v>
      </c>
      <c r="AJ116" s="33">
        <f ca="1">_xll.DBRW($C$1,$C$2,$C$3,$C$4,$C$6,$C$5,$C$7,AJ$1,AJ$2,$A116)</f>
        <v>0</v>
      </c>
      <c r="AK116" s="33">
        <f ca="1">_xll.DBRW($C$1,$C$2,$C$3,$C$4,$C$6,$C$5,$C$7,AK$1,AK$2,$A116)</f>
        <v>0</v>
      </c>
      <c r="AL116" s="33">
        <f ca="1">_xll.DBRW($C$1,$C$2,$C$3,$C$4,$C$6,$C$5,$C$7,AL$1,AL$2,$A116)</f>
        <v>0</v>
      </c>
      <c r="AM116" s="33">
        <f ca="1">_xll.DBRW($C$1,$C$2,$C$3,$C$4,$C$6,$C$5,$C$7,AM$1,AM$2,$A116)</f>
        <v>0</v>
      </c>
      <c r="AN116" s="33">
        <f ca="1">_xll.DBRW($C$1,$C$2,$C$3,$C$4,$C$6,$C$5,$C$7,AN$1,AN$2,$A116)</f>
        <v>0.25844121000000003</v>
      </c>
      <c r="AO116" s="33">
        <f ca="1">_xll.DBRW($C$1,$C$2,$C$3,$C$4,$C$6,$C$5,$C$7,AO$1,AO$2,$A116)</f>
        <v>0</v>
      </c>
      <c r="AP116" s="33">
        <f ca="1">_xll.DBRW($C$1,$C$2,$C$3,$C$4,$C$6,$C$5,$C$7,AP$1,AP$2,$A116)</f>
        <v>0</v>
      </c>
      <c r="AQ116" s="33">
        <f ca="1">_xll.DBRW($C$1,$C$2,$C$3,$C$4,$C$6,$C$5,$C$7,AQ$1,AQ$2,$A116)</f>
        <v>0</v>
      </c>
      <c r="AR116" s="33">
        <f ca="1">_xll.DBRW($C$1,$C$2,$C$3,$C$4,$C$6,$C$5,$C$7,AR$1,AR$2,$A116)</f>
        <v>0</v>
      </c>
      <c r="AS116" s="33">
        <f ca="1">_xll.DBRW($C$1,$C$2,$C$3,$C$4,$C$6,$C$5,$C$7,AS$1,AS$2,$A116)</f>
        <v>0</v>
      </c>
      <c r="AT116" s="33">
        <f ca="1">_xll.DBRW($C$1,$C$2,$C$3,$C$4,$C$6,$C$5,$C$7,AT$1,AT$2,$A116)</f>
        <v>0</v>
      </c>
      <c r="AU116" s="33">
        <f ca="1">_xll.DBRW($C$1,$C$2,$C$3,$C$4,$C$6,$C$5,$C$7,AU$1,AU$2,$A116)</f>
        <v>0</v>
      </c>
      <c r="AV116" s="33">
        <f ca="1">_xll.DBRW($C$1,$C$2,$C$3,$C$4,$C$6,$C$5,$C$7,AV$1,AV$2,$A116)</f>
        <v>0</v>
      </c>
      <c r="AW116" s="33">
        <f ca="1">_xll.DBRW($C$1,$C$2,$C$3,$C$4,$C$6,$C$5,$C$7,AW$1,AW$2,$A116)</f>
        <v>0</v>
      </c>
      <c r="AX116" s="33">
        <f ca="1">_xll.DBRW($C$1,$C$2,$C$3,$C$4,$C$6,$C$5,$C$7,AX$1,AX$2,$A116)</f>
        <v>0</v>
      </c>
      <c r="AY116" s="33">
        <f ca="1">_xll.DBRW($C$1,$C$2,$C$3,$C$4,$C$6,$C$5,$C$7,AY$1,AY$2,$A116)</f>
        <v>0</v>
      </c>
    </row>
    <row r="117" spans="1:51" ht="15.5" hidden="1" outlineLevel="1" collapsed="1">
      <c r="A117" s="1" t="s">
        <v>142</v>
      </c>
      <c r="C117" s="104"/>
      <c r="E117" s="15" t="s">
        <v>35</v>
      </c>
      <c r="F117" s="34">
        <f t="shared" ref="F117:L117" ca="1" si="83">SUM(F114:F116)</f>
        <v>-16.244427583146511</v>
      </c>
      <c r="G117" s="34">
        <f t="shared" ca="1" si="83"/>
        <v>-16.793454768201368</v>
      </c>
      <c r="H117" s="34">
        <f t="shared" ca="1" si="83"/>
        <v>-15.963676486823198</v>
      </c>
      <c r="I117" s="34">
        <f t="shared" ca="1" si="83"/>
        <v>-16.862311555881423</v>
      </c>
      <c r="J117" s="34">
        <f t="shared" ca="1" si="83"/>
        <v>-13.291249426602823</v>
      </c>
      <c r="K117" s="34">
        <f t="shared" ca="1" si="83"/>
        <v>-14.462168464513214</v>
      </c>
      <c r="L117" s="34">
        <f t="shared" ca="1" si="83"/>
        <v>-13.948172215572145</v>
      </c>
      <c r="M117" s="34">
        <f t="shared" ref="M117:X117" ca="1" si="84">SUM(M114:M116)</f>
        <v>-0.58105261058562274</v>
      </c>
      <c r="N117" s="34">
        <f t="shared" ca="1" si="84"/>
        <v>-2.4147041610171782</v>
      </c>
      <c r="O117" s="34">
        <f t="shared" ca="1" si="84"/>
        <v>-3.5361708515650419</v>
      </c>
      <c r="P117" s="34">
        <f t="shared" ca="1" si="84"/>
        <v>-4.6874601029062291</v>
      </c>
      <c r="Q117" s="34">
        <f t="shared" ca="1" si="84"/>
        <v>-6.0812009171210608</v>
      </c>
      <c r="R117" s="34">
        <f t="shared" ca="1" si="84"/>
        <v>-7.5805065585288753</v>
      </c>
      <c r="S117" s="34">
        <f t="shared" ca="1" si="84"/>
        <v>-6.6296450741545527</v>
      </c>
      <c r="T117" s="34">
        <f t="shared" ca="1" si="84"/>
        <v>-11.805583131125335</v>
      </c>
      <c r="U117" s="34">
        <f t="shared" ca="1" si="84"/>
        <v>-14.156267172699611</v>
      </c>
      <c r="V117" s="34">
        <f t="shared" ca="1" si="84"/>
        <v>-12.207807127636631</v>
      </c>
      <c r="W117" s="34">
        <f t="shared" ca="1" si="84"/>
        <v>-16.458292338652861</v>
      </c>
      <c r="X117" s="34">
        <f t="shared" ca="1" si="84"/>
        <v>-20.10011467305095</v>
      </c>
      <c r="Y117" s="34">
        <f ca="1">SUM(Y114:Y116)</f>
        <v>-20.10011467305095</v>
      </c>
      <c r="Z117" s="34">
        <f t="shared" ref="Z117:AK117" ca="1" si="85">SUM(Z114:Z116)</f>
        <v>-1.7604210254942934</v>
      </c>
      <c r="AA117" s="34">
        <f t="shared" ca="1" si="85"/>
        <v>-3.9456588673513671</v>
      </c>
      <c r="AB117" s="34">
        <f t="shared" ca="1" si="85"/>
        <v>-6.0140062833589578</v>
      </c>
      <c r="AC117" s="34">
        <f t="shared" ca="1" si="85"/>
        <v>-7.9623764072601242</v>
      </c>
      <c r="AD117" s="34">
        <f t="shared" ca="1" si="85"/>
        <v>-9.9648807023607713</v>
      </c>
      <c r="AE117" s="34">
        <f t="shared" ca="1" si="85"/>
        <v>-11.923824392684331</v>
      </c>
      <c r="AF117" s="34">
        <f t="shared" ca="1" si="85"/>
        <v>-13.929229528810287</v>
      </c>
      <c r="AG117" s="34">
        <f t="shared" ca="1" si="85"/>
        <v>-15.927961624281554</v>
      </c>
      <c r="AH117" s="34">
        <f t="shared" ca="1" si="85"/>
        <v>-17.886751827939044</v>
      </c>
      <c r="AI117" s="34">
        <f t="shared" ca="1" si="85"/>
        <v>-19.816904259797688</v>
      </c>
      <c r="AJ117" s="34">
        <f t="shared" ca="1" si="85"/>
        <v>-21.729513826640545</v>
      </c>
      <c r="AK117" s="34">
        <f t="shared" ca="1" si="85"/>
        <v>-23.777148386250659</v>
      </c>
      <c r="AL117" s="34">
        <f ca="1">SUM(AL114:AL116)</f>
        <v>-23.777148386250659</v>
      </c>
      <c r="AM117" s="34">
        <f t="shared" ref="AM117:AX117" ca="1" si="86">SUM(AM114:AM116)</f>
        <v>2.4568139653294838</v>
      </c>
      <c r="AN117" s="34">
        <f t="shared" ca="1" si="86"/>
        <v>-2.3338472927664236</v>
      </c>
      <c r="AO117" s="34">
        <f t="shared" ca="1" si="86"/>
        <v>2.2204460492503131E-16</v>
      </c>
      <c r="AP117" s="34">
        <f t="shared" ca="1" si="86"/>
        <v>2.2204460492503131E-16</v>
      </c>
      <c r="AQ117" s="34">
        <f t="shared" ca="1" si="86"/>
        <v>2.2204460492503131E-16</v>
      </c>
      <c r="AR117" s="34">
        <f t="shared" ca="1" si="86"/>
        <v>2.2204460492503131E-16</v>
      </c>
      <c r="AS117" s="34">
        <f t="shared" ca="1" si="86"/>
        <v>2.2204460492503131E-16</v>
      </c>
      <c r="AT117" s="34">
        <f t="shared" ca="1" si="86"/>
        <v>2.2204460492503131E-16</v>
      </c>
      <c r="AU117" s="34">
        <f t="shared" ca="1" si="86"/>
        <v>2.2204460492503131E-16</v>
      </c>
      <c r="AV117" s="34">
        <f t="shared" ca="1" si="86"/>
        <v>2.2204460492503131E-16</v>
      </c>
      <c r="AW117" s="34">
        <f t="shared" ca="1" si="86"/>
        <v>2.2204460492503131E-16</v>
      </c>
      <c r="AX117" s="34">
        <f t="shared" ca="1" si="86"/>
        <v>2.2204460492503131E-16</v>
      </c>
      <c r="AY117" s="34">
        <f ca="1">SUM(AY114:AY116)</f>
        <v>2.2204460492503131E-16</v>
      </c>
    </row>
    <row r="118" spans="1:51" ht="15.5" collapsed="1">
      <c r="A118" s="1" t="s">
        <v>142</v>
      </c>
      <c r="C118" s="104"/>
      <c r="E118" s="11" t="s">
        <v>38</v>
      </c>
      <c r="F118" s="35">
        <f t="shared" ref="F118:L118" ca="1" si="87">F117+F113</f>
        <v>-494.85217527759409</v>
      </c>
      <c r="G118" s="35">
        <f t="shared" ca="1" si="87"/>
        <v>-449.52134795191495</v>
      </c>
      <c r="H118" s="35">
        <f t="shared" ca="1" si="87"/>
        <v>-476.36242468198293</v>
      </c>
      <c r="I118" s="35">
        <f t="shared" ca="1" si="87"/>
        <v>-332.14913974610982</v>
      </c>
      <c r="J118" s="35">
        <f t="shared" ca="1" si="87"/>
        <v>-423.05594868193742</v>
      </c>
      <c r="K118" s="35">
        <f t="shared" ca="1" si="87"/>
        <v>-455.85978201984466</v>
      </c>
      <c r="L118" s="35">
        <f t="shared" ca="1" si="87"/>
        <v>-397.65011432948216</v>
      </c>
      <c r="M118" s="35">
        <f t="shared" ref="M118:X118" ca="1" si="88">M117+M113</f>
        <v>-19.399802828463059</v>
      </c>
      <c r="N118" s="35">
        <f t="shared" ca="1" si="88"/>
        <v>-70.224100988711356</v>
      </c>
      <c r="O118" s="35">
        <f t="shared" ca="1" si="88"/>
        <v>-106.41077778795666</v>
      </c>
      <c r="P118" s="35">
        <f t="shared" ca="1" si="88"/>
        <v>-140.66384366223025</v>
      </c>
      <c r="Q118" s="35">
        <f t="shared" ca="1" si="88"/>
        <v>-174.49162510979838</v>
      </c>
      <c r="R118" s="35">
        <f t="shared" ca="1" si="88"/>
        <v>-216.81581837352047</v>
      </c>
      <c r="S118" s="35">
        <f t="shared" ca="1" si="88"/>
        <v>-128.44491652899524</v>
      </c>
      <c r="T118" s="35">
        <f t="shared" ca="1" si="88"/>
        <v>-287.97824069094492</v>
      </c>
      <c r="U118" s="35">
        <f t="shared" ca="1" si="88"/>
        <v>-322.86773912492242</v>
      </c>
      <c r="V118" s="35">
        <f t="shared" ca="1" si="88"/>
        <v>-211.58877770222867</v>
      </c>
      <c r="W118" s="35">
        <f t="shared" ca="1" si="88"/>
        <v>-362.73434477990935</v>
      </c>
      <c r="X118" s="35">
        <f t="shared" ca="1" si="88"/>
        <v>-448.54308999323365</v>
      </c>
      <c r="Y118" s="35">
        <f ca="1">Y117+Y113</f>
        <v>-448.54308999323365</v>
      </c>
      <c r="Z118" s="35">
        <f t="shared" ref="Z118:AK118" ca="1" si="89">Z117+Z113</f>
        <v>-30.726999972123185</v>
      </c>
      <c r="AA118" s="35">
        <f t="shared" ca="1" si="89"/>
        <v>-69.443338969066005</v>
      </c>
      <c r="AB118" s="35">
        <f t="shared" ca="1" si="89"/>
        <v>-104.16703427829799</v>
      </c>
      <c r="AC118" s="35">
        <f t="shared" ca="1" si="89"/>
        <v>-138.56674662949908</v>
      </c>
      <c r="AD118" s="35">
        <f t="shared" ca="1" si="89"/>
        <v>-173.20309325478425</v>
      </c>
      <c r="AE118" s="35">
        <f t="shared" ca="1" si="89"/>
        <v>-207.61983508783592</v>
      </c>
      <c r="AF118" s="35">
        <f t="shared" ca="1" si="89"/>
        <v>-244.95471974056994</v>
      </c>
      <c r="AG118" s="35">
        <f t="shared" ca="1" si="89"/>
        <v>-274.02253287835447</v>
      </c>
      <c r="AH118" s="35">
        <f t="shared" ca="1" si="89"/>
        <v>-307.67334414181545</v>
      </c>
      <c r="AI118" s="35">
        <f t="shared" ca="1" si="89"/>
        <v>-341.47244532531892</v>
      </c>
      <c r="AJ118" s="35">
        <f t="shared" ca="1" si="89"/>
        <v>-374.9836096541336</v>
      </c>
      <c r="AK118" s="35">
        <f t="shared" ca="1" si="89"/>
        <v>-409.82414133389238</v>
      </c>
      <c r="AL118" s="35">
        <f ca="1">AL117+AL113</f>
        <v>-409.82414133389238</v>
      </c>
      <c r="AM118" s="35">
        <f t="shared" ref="AM118:AX118" ca="1" si="90">AM117+AM113</f>
        <v>-18.338712796948204</v>
      </c>
      <c r="AN118" s="35">
        <f t="shared" ca="1" si="90"/>
        <v>-73.132210212695384</v>
      </c>
      <c r="AO118" s="35">
        <f t="shared" ca="1" si="90"/>
        <v>3.1086244689504383E-15</v>
      </c>
      <c r="AP118" s="35">
        <f t="shared" ca="1" si="90"/>
        <v>3.1086244689504383E-15</v>
      </c>
      <c r="AQ118" s="35">
        <f t="shared" ca="1" si="90"/>
        <v>3.1086244689504383E-15</v>
      </c>
      <c r="AR118" s="35">
        <f t="shared" ca="1" si="90"/>
        <v>3.1086244689504383E-15</v>
      </c>
      <c r="AS118" s="35">
        <f t="shared" ca="1" si="90"/>
        <v>3.1086244689504383E-15</v>
      </c>
      <c r="AT118" s="35">
        <f t="shared" ca="1" si="90"/>
        <v>3.1086244689504383E-15</v>
      </c>
      <c r="AU118" s="35">
        <f t="shared" ca="1" si="90"/>
        <v>3.1086244689504383E-15</v>
      </c>
      <c r="AV118" s="35">
        <f t="shared" ca="1" si="90"/>
        <v>3.1086244689504383E-15</v>
      </c>
      <c r="AW118" s="35">
        <f t="shared" ca="1" si="90"/>
        <v>3.1086244689504383E-15</v>
      </c>
      <c r="AX118" s="35">
        <f t="shared" ca="1" si="90"/>
        <v>3.1086244689504383E-15</v>
      </c>
      <c r="AY118" s="35">
        <f ca="1">AY117+AY113</f>
        <v>3.1086244689504383E-15</v>
      </c>
    </row>
    <row r="119" spans="1:51" ht="15.75" hidden="1" customHeight="1" outlineLevel="1">
      <c r="A119" s="1" t="s">
        <v>211</v>
      </c>
      <c r="C119" s="104"/>
      <c r="E119" s="9" t="str">
        <f ca="1">_xll.DBRW(Server&amp;"}ElementAttributes_Indicator",A119,"code_English")</f>
        <v>PL1110_CD_10 - Staff Costs (CD)</v>
      </c>
      <c r="F119" s="32">
        <f ca="1">_xll.DBRW($C$1,$C$2,$C$3,$C$4,$C$6,$C$5,$C$7,F$1,F$2,$A119)</f>
        <v>0</v>
      </c>
      <c r="G119" s="32">
        <f ca="1">_xll.DBRW($C$1,$C$2,$C$3,$C$4,$C$6,$C$5,$C$7,G$1,G$2,$A119)</f>
        <v>0</v>
      </c>
      <c r="H119" s="32">
        <f ca="1">_xll.DBRW($C$1,$C$2,$C$3,$C$4,$C$6,$C$5,$C$7,H$1,H$2,$A119)</f>
        <v>0</v>
      </c>
      <c r="I119" s="32">
        <f ca="1">_xll.DBRW($C$1,$C$2,$C$3,$C$4,$C$6,$C$5,$C$7,I$1,I$2,$A119)</f>
        <v>0</v>
      </c>
      <c r="J119" s="32">
        <f ca="1">_xll.DBRW($C$1,$C$2,$C$3,$C$4,$C$6,$C$5,$C$7,J$1,J$2,$A119)</f>
        <v>-1.899166E-2</v>
      </c>
      <c r="K119" s="32">
        <f ca="1">_xll.DBRW($C$1,$C$2,$C$3,$C$4,$C$6,$C$5,$C$7,K$1,K$2,$A119)</f>
        <v>-1.9105490000000003E-2</v>
      </c>
      <c r="L119" s="32">
        <f ca="1">_xll.DBRW($C$1,$C$2,$C$3,$C$4,$C$6,$C$5,$C$7,L$1,L$2,$A119)</f>
        <v>-1.260636E-2</v>
      </c>
      <c r="M119" s="32">
        <f ca="1">_xll.DBRW($C$1,$C$2,$C$3,$C$4,$C$6,$C$5,$C$7,M$1,M$2,$A119)</f>
        <v>-5.7881728166192447E-3</v>
      </c>
      <c r="N119" s="32">
        <f ca="1">_xll.DBRW($C$1,$C$2,$C$3,$C$4,$C$6,$C$5,$C$7,N$1,N$2,$A119)</f>
        <v>-1.3965328282537593E-2</v>
      </c>
      <c r="O119" s="32">
        <f ca="1">_xll.DBRW($C$1,$C$2,$C$3,$C$4,$C$6,$C$5,$C$7,O$1,O$2,$A119)</f>
        <v>-2.376711921627641E-2</v>
      </c>
      <c r="P119" s="32">
        <f ca="1">_xll.DBRW($C$1,$C$2,$C$3,$C$4,$C$6,$C$5,$C$7,P$1,P$2,$A119)</f>
        <v>-3.1675137244883869E-2</v>
      </c>
      <c r="Q119" s="32">
        <f ca="1">_xll.DBRW($C$1,$C$2,$C$3,$C$4,$C$6,$C$5,$C$7,Q$1,Q$2,$A119)</f>
        <v>-1.0345139999999996E-2</v>
      </c>
      <c r="R119" s="32">
        <f ca="1">_xll.DBRW($C$1,$C$2,$C$3,$C$4,$C$6,$C$5,$C$7,R$1,R$2,$A119)</f>
        <v>-4.9094863678648556E-2</v>
      </c>
      <c r="S119" s="32">
        <f ca="1">_xll.DBRW($C$1,$C$2,$C$3,$C$4,$C$6,$C$5,$C$7,S$1,S$2,$A119)</f>
        <v>1.0408340855860843E-17</v>
      </c>
      <c r="T119" s="32">
        <f ca="1">_xll.DBRW($C$1,$C$2,$C$3,$C$4,$C$6,$C$5,$C$7,T$1,T$2,$A119)</f>
        <v>-6.5184219722744088E-2</v>
      </c>
      <c r="U119" s="32">
        <f ca="1">_xll.DBRW($C$1,$C$2,$C$3,$C$4,$C$6,$C$5,$C$7,U$1,U$2,$A119)</f>
        <v>-7.2381295683092289E-2</v>
      </c>
      <c r="V119" s="32">
        <f ca="1">_xll.DBRW($C$1,$C$2,$C$3,$C$4,$C$6,$C$5,$C$7,V$1,V$2,$A119)</f>
        <v>-6.4487223468607399E-2</v>
      </c>
      <c r="W119" s="32">
        <f ca="1">_xll.DBRW($C$1,$C$2,$C$3,$C$4,$C$6,$C$5,$C$7,W$1,W$2,$A119)</f>
        <v>-9.8948935592177378E-2</v>
      </c>
      <c r="X119" s="32">
        <f ca="1">_xll.DBRW($C$1,$C$2,$C$3,$C$4,$C$6,$C$5,$C$7,X$1,X$2,$A119)</f>
        <v>-0.11446901850929173</v>
      </c>
      <c r="Y119" s="32">
        <f ca="1">_xll.DBRW($C$1,$C$2,$C$3,$C$4,$C$6,$C$5,$C$7,Y$1,Y$2,$A119)</f>
        <v>-0.11446901850929173</v>
      </c>
      <c r="Z119" s="32">
        <f ca="1">_xll.DBRW($C$1,$C$2,$C$3,$C$4,$C$6,$C$5,$C$7,Z$1,Z$2,$A119)</f>
        <v>-4.4899999999999996E-4</v>
      </c>
      <c r="AA119" s="32">
        <f ca="1">_xll.DBRW($C$1,$C$2,$C$3,$C$4,$C$6,$C$5,$C$7,AA$1,AA$2,$A119)</f>
        <v>-1.5279999999999998E-3</v>
      </c>
      <c r="AB119" s="32">
        <f ca="1">_xll.DBRW($C$1,$C$2,$C$3,$C$4,$C$6,$C$5,$C$7,AB$1,AB$2,$A119)</f>
        <v>-2.6069999999999999E-3</v>
      </c>
      <c r="AC119" s="32">
        <f ca="1">_xll.DBRW($C$1,$C$2,$C$3,$C$4,$C$6,$C$5,$C$7,AC$1,AC$2,$A119)</f>
        <v>-3.686E-3</v>
      </c>
      <c r="AD119" s="32">
        <f ca="1">_xll.DBRW($C$1,$C$2,$C$3,$C$4,$C$6,$C$5,$C$7,AD$1,AD$2,$A119)</f>
        <v>-4.7650000000000001E-3</v>
      </c>
      <c r="AE119" s="32">
        <f ca="1">_xll.DBRW($C$1,$C$2,$C$3,$C$4,$C$6,$C$5,$C$7,AE$1,AE$2,$A119)</f>
        <v>-5.8440000000000002E-3</v>
      </c>
      <c r="AF119" s="32">
        <f ca="1">_xll.DBRW($C$1,$C$2,$C$3,$C$4,$C$6,$C$5,$C$7,AF$1,AF$2,$A119)</f>
        <v>-6.9230000000000003E-3</v>
      </c>
      <c r="AG119" s="32">
        <f ca="1">_xll.DBRW($C$1,$C$2,$C$3,$C$4,$C$6,$C$5,$C$7,AG$1,AG$2,$A119)</f>
        <v>-8.0020000000000004E-3</v>
      </c>
      <c r="AH119" s="32">
        <f ca="1">_xll.DBRW($C$1,$C$2,$C$3,$C$4,$C$6,$C$5,$C$7,AH$1,AH$2,$A119)</f>
        <v>-9.0810000000000005E-3</v>
      </c>
      <c r="AI119" s="32">
        <f ca="1">_xll.DBRW($C$1,$C$2,$C$3,$C$4,$C$6,$C$5,$C$7,AI$1,AI$2,$A119)</f>
        <v>-1.0159999999999999E-2</v>
      </c>
      <c r="AJ119" s="32">
        <f ca="1">_xll.DBRW($C$1,$C$2,$C$3,$C$4,$C$6,$C$5,$C$7,AJ$1,AJ$2,$A119)</f>
        <v>-1.1238999999999999E-2</v>
      </c>
      <c r="AK119" s="32">
        <f ca="1">_xll.DBRW($C$1,$C$2,$C$3,$C$4,$C$6,$C$5,$C$7,AK$1,AK$2,$A119)</f>
        <v>-1.2317930000000001E-2</v>
      </c>
      <c r="AL119" s="32">
        <f ca="1">_xll.DBRW($C$1,$C$2,$C$3,$C$4,$C$6,$C$5,$C$7,AL$1,AL$2,$A119)</f>
        <v>-1.2317930000000001E-2</v>
      </c>
      <c r="AM119" s="32">
        <f ca="1">_xll.DBRW($C$1,$C$2,$C$3,$C$4,$C$6,$C$5,$C$7,AM$1,AM$2,$A119)</f>
        <v>-0.17434870369907277</v>
      </c>
      <c r="AN119" s="32">
        <f ca="1">_xll.DBRW($C$1,$C$2,$C$3,$C$4,$C$6,$C$5,$C$7,AN$1,AN$2,$A119)</f>
        <v>-0.33376955783094642</v>
      </c>
      <c r="AO119" s="32">
        <f ca="1">_xll.DBRW($C$1,$C$2,$C$3,$C$4,$C$6,$C$5,$C$7,AO$1,AO$2,$A119)</f>
        <v>-1.1102230246251565E-16</v>
      </c>
      <c r="AP119" s="32">
        <f ca="1">_xll.DBRW($C$1,$C$2,$C$3,$C$4,$C$6,$C$5,$C$7,AP$1,AP$2,$A119)</f>
        <v>-1.1102230246251565E-16</v>
      </c>
      <c r="AQ119" s="32">
        <f ca="1">_xll.DBRW($C$1,$C$2,$C$3,$C$4,$C$6,$C$5,$C$7,AQ$1,AQ$2,$A119)</f>
        <v>-1.1102230246251565E-16</v>
      </c>
      <c r="AR119" s="32">
        <f ca="1">_xll.DBRW($C$1,$C$2,$C$3,$C$4,$C$6,$C$5,$C$7,AR$1,AR$2,$A119)</f>
        <v>-1.1102230246251565E-16</v>
      </c>
      <c r="AS119" s="32">
        <f ca="1">_xll.DBRW($C$1,$C$2,$C$3,$C$4,$C$6,$C$5,$C$7,AS$1,AS$2,$A119)</f>
        <v>-1.1102230246251565E-16</v>
      </c>
      <c r="AT119" s="32">
        <f ca="1">_xll.DBRW($C$1,$C$2,$C$3,$C$4,$C$6,$C$5,$C$7,AT$1,AT$2,$A119)</f>
        <v>-1.1102230246251565E-16</v>
      </c>
      <c r="AU119" s="32">
        <f ca="1">_xll.DBRW($C$1,$C$2,$C$3,$C$4,$C$6,$C$5,$C$7,AU$1,AU$2,$A119)</f>
        <v>-1.1102230246251565E-16</v>
      </c>
      <c r="AV119" s="32">
        <f ca="1">_xll.DBRW($C$1,$C$2,$C$3,$C$4,$C$6,$C$5,$C$7,AV$1,AV$2,$A119)</f>
        <v>-1.1102230246251565E-16</v>
      </c>
      <c r="AW119" s="32">
        <f ca="1">_xll.DBRW($C$1,$C$2,$C$3,$C$4,$C$6,$C$5,$C$7,AW$1,AW$2,$A119)</f>
        <v>-1.1102230246251565E-16</v>
      </c>
      <c r="AX119" s="32">
        <f ca="1">_xll.DBRW($C$1,$C$2,$C$3,$C$4,$C$6,$C$5,$C$7,AX$1,AX$2,$A119)</f>
        <v>-1.1102230246251565E-16</v>
      </c>
      <c r="AY119" s="32">
        <f ca="1">_xll.DBRW($C$1,$C$2,$C$3,$C$4,$C$6,$C$5,$C$7,AY$1,AY$2,$A119)</f>
        <v>-1.1102230246251565E-16</v>
      </c>
    </row>
    <row r="120" spans="1:51" ht="15.75" hidden="1" customHeight="1" outlineLevel="1">
      <c r="A120" s="1" t="s">
        <v>212</v>
      </c>
      <c r="C120" s="104"/>
      <c r="E120" s="9" t="str">
        <f ca="1">_xll.DBRW(Server&amp;"}ElementAttributes_Indicator",A120,"code_English")</f>
        <v>PL1110_CD_20 - Worker compensations</v>
      </c>
      <c r="F120" s="32">
        <f ca="1">_xll.DBRW($C$1,$C$2,$C$3,$C$4,$C$6,$C$5,$C$7,F$1,F$2,$A120)</f>
        <v>-20.296322164769748</v>
      </c>
      <c r="G120" s="32">
        <f ca="1">_xll.DBRW($C$1,$C$2,$C$3,$C$4,$C$6,$C$5,$C$7,G$1,G$2,$A120)</f>
        <v>-37.674129323477118</v>
      </c>
      <c r="H120" s="32">
        <f ca="1">_xll.DBRW($C$1,$C$2,$C$3,$C$4,$C$6,$C$5,$C$7,H$1,H$2,$A120)</f>
        <v>-26.556763791587958</v>
      </c>
      <c r="I120" s="32">
        <f ca="1">_xll.DBRW($C$1,$C$2,$C$3,$C$4,$C$6,$C$5,$C$7,I$1,I$2,$A120)</f>
        <v>-28.469137275281231</v>
      </c>
      <c r="J120" s="32">
        <f ca="1">_xll.DBRW($C$1,$C$2,$C$3,$C$4,$C$6,$C$5,$C$7,J$1,J$2,$A120)</f>
        <v>-24.289752203986851</v>
      </c>
      <c r="K120" s="32">
        <f ca="1">_xll.DBRW($C$1,$C$2,$C$3,$C$4,$C$6,$C$5,$C$7,K$1,K$2,$A120)</f>
        <v>-33.076916396164222</v>
      </c>
      <c r="L120" s="32">
        <f ca="1">_xll.DBRW($C$1,$C$2,$C$3,$C$4,$C$6,$C$5,$C$7,L$1,L$2,$A120)</f>
        <v>-29.322147955333335</v>
      </c>
      <c r="M120" s="32">
        <f ca="1">_xll.DBRW($C$1,$C$2,$C$3,$C$4,$C$6,$C$5,$C$7,M$1,M$2,$A120)</f>
        <v>-0.38648493164526754</v>
      </c>
      <c r="N120" s="32">
        <f ca="1">_xll.DBRW($C$1,$C$2,$C$3,$C$4,$C$6,$C$5,$C$7,N$1,N$2,$A120)</f>
        <v>-2.8938796086604848</v>
      </c>
      <c r="O120" s="32">
        <f ca="1">_xll.DBRW($C$1,$C$2,$C$3,$C$4,$C$6,$C$5,$C$7,O$1,O$2,$A120)</f>
        <v>-5.9448441554243727</v>
      </c>
      <c r="P120" s="32">
        <f ca="1">_xll.DBRW($C$1,$C$2,$C$3,$C$4,$C$6,$C$5,$C$7,P$1,P$2,$A120)</f>
        <v>-6.7726479696120165</v>
      </c>
      <c r="Q120" s="32">
        <f ca="1">_xll.DBRW($C$1,$C$2,$C$3,$C$4,$C$6,$C$5,$C$7,Q$1,Q$2,$A120)</f>
        <v>-9.1232601712572503</v>
      </c>
      <c r="R120" s="32">
        <f ca="1">_xll.DBRW($C$1,$C$2,$C$3,$C$4,$C$6,$C$5,$C$7,R$1,R$2,$A120)</f>
        <v>-16.440886993305359</v>
      </c>
      <c r="S120" s="32">
        <f ca="1">_xll.DBRW($C$1,$C$2,$C$3,$C$4,$C$6,$C$5,$C$7,S$1,S$2,$A120)</f>
        <v>-1.7644279690288753</v>
      </c>
      <c r="T120" s="32">
        <f ca="1">_xll.DBRW($C$1,$C$2,$C$3,$C$4,$C$6,$C$5,$C$7,T$1,T$2,$A120)</f>
        <v>-19.268823573060281</v>
      </c>
      <c r="U120" s="32">
        <f ca="1">_xll.DBRW($C$1,$C$2,$C$3,$C$4,$C$6,$C$5,$C$7,U$1,U$2,$A120)</f>
        <v>-22.348316613113173</v>
      </c>
      <c r="V120" s="32">
        <f ca="1">_xll.DBRW($C$1,$C$2,$C$3,$C$4,$C$6,$C$5,$C$7,V$1,V$2,$A120)</f>
        <v>-2.9913246295110225</v>
      </c>
      <c r="W120" s="32">
        <f ca="1">_xll.DBRW($C$1,$C$2,$C$3,$C$4,$C$6,$C$5,$C$7,W$1,W$2,$A120)</f>
        <v>-26.191885659762907</v>
      </c>
      <c r="X120" s="32">
        <f ca="1">_xll.DBRW($C$1,$C$2,$C$3,$C$4,$C$6,$C$5,$C$7,X$1,X$2,$A120)</f>
        <v>-31.156618055491226</v>
      </c>
      <c r="Y120" s="32">
        <f ca="1">_xll.DBRW($C$1,$C$2,$C$3,$C$4,$C$6,$C$5,$C$7,Y$1,Y$2,$A120)</f>
        <v>-31.156618055491226</v>
      </c>
      <c r="Z120" s="32">
        <f ca="1">_xll.DBRW($C$1,$C$2,$C$3,$C$4,$C$6,$C$5,$C$7,Z$1,Z$2,$A120)</f>
        <v>-2.7809883754734361</v>
      </c>
      <c r="AA120" s="32">
        <f ca="1">_xll.DBRW($C$1,$C$2,$C$3,$C$4,$C$6,$C$5,$C$7,AA$1,AA$2,$A120)</f>
        <v>-5.5598687455607649</v>
      </c>
      <c r="AB120" s="32">
        <f ca="1">_xll.DBRW($C$1,$C$2,$C$3,$C$4,$C$6,$C$5,$C$7,AB$1,AB$2,$A120)</f>
        <v>-8.3783111730646063</v>
      </c>
      <c r="AC120" s="32">
        <f ca="1">_xll.DBRW($C$1,$C$2,$C$3,$C$4,$C$6,$C$5,$C$7,AC$1,AC$2,$A120)</f>
        <v>-11.184805122835773</v>
      </c>
      <c r="AD120" s="32">
        <f ca="1">_xll.DBRW($C$1,$C$2,$C$3,$C$4,$C$6,$C$5,$C$7,AD$1,AD$2,$A120)</f>
        <v>-14.008836440123716</v>
      </c>
      <c r="AE120" s="32">
        <f ca="1">_xll.DBRW($C$1,$C$2,$C$3,$C$4,$C$6,$C$5,$C$7,AE$1,AE$2,$A120)</f>
        <v>-16.808005909074957</v>
      </c>
      <c r="AF120" s="32">
        <f ca="1">_xll.DBRW($C$1,$C$2,$C$3,$C$4,$C$6,$C$5,$C$7,AF$1,AF$2,$A120)</f>
        <v>-19.607120606251314</v>
      </c>
      <c r="AG120" s="32">
        <f ca="1">_xll.DBRW($C$1,$C$2,$C$3,$C$4,$C$6,$C$5,$C$7,AG$1,AG$2,$A120)</f>
        <v>-22.376279667925932</v>
      </c>
      <c r="AH120" s="32">
        <f ca="1">_xll.DBRW($C$1,$C$2,$C$3,$C$4,$C$6,$C$5,$C$7,AH$1,AH$2,$A120)</f>
        <v>-25.119207542614216</v>
      </c>
      <c r="AI120" s="32">
        <f ca="1">_xll.DBRW($C$1,$C$2,$C$3,$C$4,$C$6,$C$5,$C$7,AI$1,AI$2,$A120)</f>
        <v>-27.849848618559875</v>
      </c>
      <c r="AJ120" s="32">
        <f ca="1">_xll.DBRW($C$1,$C$2,$C$3,$C$4,$C$6,$C$5,$C$7,AJ$1,AJ$2,$A120)</f>
        <v>-30.574585406573139</v>
      </c>
      <c r="AK120" s="32">
        <f ca="1">_xll.DBRW($C$1,$C$2,$C$3,$C$4,$C$6,$C$5,$C$7,AK$1,AK$2,$A120)</f>
        <v>-36.296899637612192</v>
      </c>
      <c r="AL120" s="32">
        <f ca="1">_xll.DBRW($C$1,$C$2,$C$3,$C$4,$C$6,$C$5,$C$7,AL$1,AL$2,$A120)</f>
        <v>-36.296899637612192</v>
      </c>
      <c r="AM120" s="32">
        <f ca="1">_xll.DBRW($C$1,$C$2,$C$3,$C$4,$C$6,$C$5,$C$7,AM$1,AM$2,$A120)</f>
        <v>-1.4044246406937833</v>
      </c>
      <c r="AN120" s="32">
        <f ca="1">_xll.DBRW($C$1,$C$2,$C$3,$C$4,$C$6,$C$5,$C$7,AN$1,AN$2,$A120)</f>
        <v>-3.9984121204530831</v>
      </c>
      <c r="AO120" s="32">
        <f ca="1">_xll.DBRW($C$1,$C$2,$C$3,$C$4,$C$6,$C$5,$C$7,AO$1,AO$2,$A120)</f>
        <v>4.4408920985006262E-16</v>
      </c>
      <c r="AP120" s="32">
        <f ca="1">_xll.DBRW($C$1,$C$2,$C$3,$C$4,$C$6,$C$5,$C$7,AP$1,AP$2,$A120)</f>
        <v>4.4408920985006262E-16</v>
      </c>
      <c r="AQ120" s="32">
        <f ca="1">_xll.DBRW($C$1,$C$2,$C$3,$C$4,$C$6,$C$5,$C$7,AQ$1,AQ$2,$A120)</f>
        <v>4.4408920985006262E-16</v>
      </c>
      <c r="AR120" s="32">
        <f ca="1">_xll.DBRW($C$1,$C$2,$C$3,$C$4,$C$6,$C$5,$C$7,AR$1,AR$2,$A120)</f>
        <v>4.4408920985006262E-16</v>
      </c>
      <c r="AS120" s="32">
        <f ca="1">_xll.DBRW($C$1,$C$2,$C$3,$C$4,$C$6,$C$5,$C$7,AS$1,AS$2,$A120)</f>
        <v>4.4408920985006262E-16</v>
      </c>
      <c r="AT120" s="32">
        <f ca="1">_xll.DBRW($C$1,$C$2,$C$3,$C$4,$C$6,$C$5,$C$7,AT$1,AT$2,$A120)</f>
        <v>4.4408920985006262E-16</v>
      </c>
      <c r="AU120" s="32">
        <f ca="1">_xll.DBRW($C$1,$C$2,$C$3,$C$4,$C$6,$C$5,$C$7,AU$1,AU$2,$A120)</f>
        <v>4.4408920985006262E-16</v>
      </c>
      <c r="AV120" s="32">
        <f ca="1">_xll.DBRW($C$1,$C$2,$C$3,$C$4,$C$6,$C$5,$C$7,AV$1,AV$2,$A120)</f>
        <v>4.4408920985006262E-16</v>
      </c>
      <c r="AW120" s="32">
        <f ca="1">_xll.DBRW($C$1,$C$2,$C$3,$C$4,$C$6,$C$5,$C$7,AW$1,AW$2,$A120)</f>
        <v>4.4408920985006262E-16</v>
      </c>
      <c r="AX120" s="32">
        <f ca="1">_xll.DBRW($C$1,$C$2,$C$3,$C$4,$C$6,$C$5,$C$7,AX$1,AX$2,$A120)</f>
        <v>4.4408920985006262E-16</v>
      </c>
      <c r="AY120" s="32">
        <f ca="1">_xll.DBRW($C$1,$C$2,$C$3,$C$4,$C$6,$C$5,$C$7,AY$1,AY$2,$A120)</f>
        <v>4.4408920985006262E-16</v>
      </c>
    </row>
    <row r="121" spans="1:51" ht="15.75" hidden="1" customHeight="1" outlineLevel="1">
      <c r="A121" s="1" t="s">
        <v>213</v>
      </c>
      <c r="C121" s="104"/>
      <c r="E121" s="9" t="str">
        <f ca="1">_xll.DBRW(Server&amp;"}ElementAttributes_Indicator",A121,"code_English")</f>
        <v>PL1110_CD_30 - Worker compensations - fixed insurance</v>
      </c>
      <c r="F121" s="32">
        <f ca="1">_xll.DBRW($C$1,$C$2,$C$3,$C$4,$C$6,$C$5,$C$7,F$1,F$2,$A121)</f>
        <v>-3.8265073669276681</v>
      </c>
      <c r="G121" s="32">
        <f ca="1">_xll.DBRW($C$1,$C$2,$C$3,$C$4,$C$6,$C$5,$C$7,G$1,G$2,$A121)</f>
        <v>-3.9661210016094288</v>
      </c>
      <c r="H121" s="32">
        <f ca="1">_xll.DBRW($C$1,$C$2,$C$3,$C$4,$C$6,$C$5,$C$7,H$1,H$2,$A121)</f>
        <v>-3.8045710084114646</v>
      </c>
      <c r="I121" s="32">
        <f ca="1">_xll.DBRW($C$1,$C$2,$C$3,$C$4,$C$6,$C$5,$C$7,I$1,I$2,$A121)</f>
        <v>-4.3500413883178801</v>
      </c>
      <c r="J121" s="32">
        <f ca="1">_xll.DBRW($C$1,$C$2,$C$3,$C$4,$C$6,$C$5,$C$7,J$1,J$2,$A121)</f>
        <v>-3.6236849183107882</v>
      </c>
      <c r="K121" s="32">
        <f ca="1">_xll.DBRW($C$1,$C$2,$C$3,$C$4,$C$6,$C$5,$C$7,K$1,K$2,$A121)</f>
        <v>-3.1429321366453946</v>
      </c>
      <c r="L121" s="32">
        <f ca="1">_xll.DBRW($C$1,$C$2,$C$3,$C$4,$C$6,$C$5,$C$7,L$1,L$2,$A121)</f>
        <v>-2.8535421119999995</v>
      </c>
      <c r="M121" s="32">
        <f ca="1">_xll.DBRW($C$1,$C$2,$C$3,$C$4,$C$6,$C$5,$C$7,M$1,M$2,$A121)</f>
        <v>0</v>
      </c>
      <c r="N121" s="32">
        <f ca="1">_xll.DBRW($C$1,$C$2,$C$3,$C$4,$C$6,$C$5,$C$7,N$1,N$2,$A121)</f>
        <v>-0.48639172931812447</v>
      </c>
      <c r="O121" s="32">
        <f ca="1">_xll.DBRW($C$1,$C$2,$C$3,$C$4,$C$6,$C$5,$C$7,O$1,O$2,$A121)</f>
        <v>-0.7703060109633304</v>
      </c>
      <c r="P121" s="32">
        <f ca="1">_xll.DBRW($C$1,$C$2,$C$3,$C$4,$C$6,$C$5,$C$7,P$1,P$2,$A121)</f>
        <v>-1.0376481373038065</v>
      </c>
      <c r="Q121" s="32">
        <f ca="1">_xll.DBRW($C$1,$C$2,$C$3,$C$4,$C$6,$C$5,$C$7,Q$1,Q$2,$A121)</f>
        <v>-1.2908492697395277</v>
      </c>
      <c r="R121" s="32">
        <f ca="1">_xll.DBRW($C$1,$C$2,$C$3,$C$4,$C$6,$C$5,$C$7,R$1,R$2,$A121)</f>
        <v>-1.5559791597038388</v>
      </c>
      <c r="S121" s="32">
        <f ca="1">_xll.DBRW($C$1,$C$2,$C$3,$C$4,$C$6,$C$5,$C$7,S$1,S$2,$A121)</f>
        <v>3.3306690738754696E-16</v>
      </c>
      <c r="T121" s="32">
        <f ca="1">_xll.DBRW($C$1,$C$2,$C$3,$C$4,$C$6,$C$5,$C$7,T$1,T$2,$A121)</f>
        <v>-2.1574847414567131</v>
      </c>
      <c r="U121" s="32">
        <f ca="1">_xll.DBRW($C$1,$C$2,$C$3,$C$4,$C$6,$C$5,$C$7,U$1,U$2,$A121)</f>
        <v>-2.3484731979048017</v>
      </c>
      <c r="V121" s="32">
        <f ca="1">_xll.DBRW($C$1,$C$2,$C$3,$C$4,$C$6,$C$5,$C$7,V$1,V$2,$A121)</f>
        <v>3.3306690738754696E-16</v>
      </c>
      <c r="W121" s="32">
        <f ca="1">_xll.DBRW($C$1,$C$2,$C$3,$C$4,$C$6,$C$5,$C$7,W$1,W$2,$A121)</f>
        <v>-2.5363860671184497</v>
      </c>
      <c r="X121" s="32">
        <f ca="1">_xll.DBRW($C$1,$C$2,$C$3,$C$4,$C$6,$C$5,$C$7,X$1,X$2,$A121)</f>
        <v>-2.357831450463832</v>
      </c>
      <c r="Y121" s="32">
        <f ca="1">_xll.DBRW($C$1,$C$2,$C$3,$C$4,$C$6,$C$5,$C$7,Y$1,Y$2,$A121)</f>
        <v>-2.357831450463832</v>
      </c>
      <c r="Z121" s="32">
        <f ca="1">_xll.DBRW($C$1,$C$2,$C$3,$C$4,$C$6,$C$5,$C$7,Z$1,Z$2,$A121)</f>
        <v>-0.33246240999999999</v>
      </c>
      <c r="AA121" s="32">
        <f ca="1">_xll.DBRW($C$1,$C$2,$C$3,$C$4,$C$6,$C$5,$C$7,AA$1,AA$2,$A121)</f>
        <v>-0.65615895000000002</v>
      </c>
      <c r="AB121" s="32">
        <f ca="1">_xll.DBRW($C$1,$C$2,$C$3,$C$4,$C$6,$C$5,$C$7,AB$1,AB$2,$A121)</f>
        <v>-1.0232446900000001</v>
      </c>
      <c r="AC121" s="32">
        <f ca="1">_xll.DBRW($C$1,$C$2,$C$3,$C$4,$C$6,$C$5,$C$7,AC$1,AC$2,$A121)</f>
        <v>-1.38009012</v>
      </c>
      <c r="AD121" s="32">
        <f ca="1">_xll.DBRW($C$1,$C$2,$C$3,$C$4,$C$6,$C$5,$C$7,AD$1,AD$2,$A121)</f>
        <v>-1.7190420199999998</v>
      </c>
      <c r="AE121" s="32">
        <f ca="1">_xll.DBRW($C$1,$C$2,$C$3,$C$4,$C$6,$C$5,$C$7,AE$1,AE$2,$A121)</f>
        <v>-2.0857123099999999</v>
      </c>
      <c r="AF121" s="32">
        <f ca="1">_xll.DBRW($C$1,$C$2,$C$3,$C$4,$C$6,$C$5,$C$7,AF$1,AF$2,$A121)</f>
        <v>-2.4293334799999999</v>
      </c>
      <c r="AG121" s="32">
        <f ca="1">_xll.DBRW($C$1,$C$2,$C$3,$C$4,$C$6,$C$5,$C$7,AG$1,AG$2,$A121)</f>
        <v>-2.7553977999999999</v>
      </c>
      <c r="AH121" s="32">
        <f ca="1">_xll.DBRW($C$1,$C$2,$C$3,$C$4,$C$6,$C$5,$C$7,AH$1,AH$2,$A121)</f>
        <v>-3.11114465</v>
      </c>
      <c r="AI121" s="32">
        <f ca="1">_xll.DBRW($C$1,$C$2,$C$3,$C$4,$C$6,$C$5,$C$7,AI$1,AI$2,$A121)</f>
        <v>-3.42835132</v>
      </c>
      <c r="AJ121" s="32">
        <f ca="1">_xll.DBRW($C$1,$C$2,$C$3,$C$4,$C$6,$C$5,$C$7,AJ$1,AJ$2,$A121)</f>
        <v>-3.7594508599999998</v>
      </c>
      <c r="AK121" s="32">
        <f ca="1">_xll.DBRW($C$1,$C$2,$C$3,$C$4,$C$6,$C$5,$C$7,AK$1,AK$2,$A121)</f>
        <v>-4.1198234300000003</v>
      </c>
      <c r="AL121" s="32">
        <f ca="1">_xll.DBRW($C$1,$C$2,$C$3,$C$4,$C$6,$C$5,$C$7,AL$1,AL$2,$A121)</f>
        <v>-4.1198234300000003</v>
      </c>
      <c r="AM121" s="32">
        <f ca="1">_xll.DBRW($C$1,$C$2,$C$3,$C$4,$C$6,$C$5,$C$7,AM$1,AM$2,$A121)</f>
        <v>-0.27518852261119875</v>
      </c>
      <c r="AN121" s="32">
        <f ca="1">_xll.DBRW($C$1,$C$2,$C$3,$C$4,$C$6,$C$5,$C$7,AN$1,AN$2,$A121)</f>
        <v>-0.5551575723441986</v>
      </c>
      <c r="AO121" s="32">
        <f ca="1">_xll.DBRW($C$1,$C$2,$C$3,$C$4,$C$6,$C$5,$C$7,AO$1,AO$2,$A121)</f>
        <v>1.1102230246251565E-16</v>
      </c>
      <c r="AP121" s="32">
        <f ca="1">_xll.DBRW($C$1,$C$2,$C$3,$C$4,$C$6,$C$5,$C$7,AP$1,AP$2,$A121)</f>
        <v>1.1102230246251565E-16</v>
      </c>
      <c r="AQ121" s="32">
        <f ca="1">_xll.DBRW($C$1,$C$2,$C$3,$C$4,$C$6,$C$5,$C$7,AQ$1,AQ$2,$A121)</f>
        <v>1.1102230246251565E-16</v>
      </c>
      <c r="AR121" s="32">
        <f ca="1">_xll.DBRW($C$1,$C$2,$C$3,$C$4,$C$6,$C$5,$C$7,AR$1,AR$2,$A121)</f>
        <v>1.1102230246251565E-16</v>
      </c>
      <c r="AS121" s="32">
        <f ca="1">_xll.DBRW($C$1,$C$2,$C$3,$C$4,$C$6,$C$5,$C$7,AS$1,AS$2,$A121)</f>
        <v>1.1102230246251565E-16</v>
      </c>
      <c r="AT121" s="32">
        <f ca="1">_xll.DBRW($C$1,$C$2,$C$3,$C$4,$C$6,$C$5,$C$7,AT$1,AT$2,$A121)</f>
        <v>1.1102230246251565E-16</v>
      </c>
      <c r="AU121" s="32">
        <f ca="1">_xll.DBRW($C$1,$C$2,$C$3,$C$4,$C$6,$C$5,$C$7,AU$1,AU$2,$A121)</f>
        <v>1.1102230246251565E-16</v>
      </c>
      <c r="AV121" s="32">
        <f ca="1">_xll.DBRW($C$1,$C$2,$C$3,$C$4,$C$6,$C$5,$C$7,AV$1,AV$2,$A121)</f>
        <v>1.1102230246251565E-16</v>
      </c>
      <c r="AW121" s="32">
        <f ca="1">_xll.DBRW($C$1,$C$2,$C$3,$C$4,$C$6,$C$5,$C$7,AW$1,AW$2,$A121)</f>
        <v>1.1102230246251565E-16</v>
      </c>
      <c r="AX121" s="32">
        <f ca="1">_xll.DBRW($C$1,$C$2,$C$3,$C$4,$C$6,$C$5,$C$7,AX$1,AX$2,$A121)</f>
        <v>1.1102230246251565E-16</v>
      </c>
      <c r="AY121" s="32">
        <f ca="1">_xll.DBRW($C$1,$C$2,$C$3,$C$4,$C$6,$C$5,$C$7,AY$1,AY$2,$A121)</f>
        <v>1.1102230246251565E-16</v>
      </c>
    </row>
    <row r="122" spans="1:51" ht="15.75" hidden="1" customHeight="1" outlineLevel="1">
      <c r="A122" s="1" t="s">
        <v>214</v>
      </c>
      <c r="C122" s="104"/>
      <c r="E122" s="9" t="str">
        <f ca="1">_xll.DBRW(Server&amp;"}ElementAttributes_Indicator",A122,"code_English")</f>
        <v>PL1115_CD_20 - Interim staff (CD)</v>
      </c>
      <c r="F122" s="32">
        <f ca="1">_xll.DBRW($C$1,$C$2,$C$3,$C$4,$C$6,$C$5,$C$7,F$1,F$2,$A122)</f>
        <v>0</v>
      </c>
      <c r="G122" s="32">
        <f ca="1">_xll.DBRW($C$1,$C$2,$C$3,$C$4,$C$6,$C$5,$C$7,G$1,G$2,$A122)</f>
        <v>0</v>
      </c>
      <c r="H122" s="32">
        <f ca="1">_xll.DBRW($C$1,$C$2,$C$3,$C$4,$C$6,$C$5,$C$7,H$1,H$2,$A122)</f>
        <v>0</v>
      </c>
      <c r="I122" s="32">
        <f ca="1">_xll.DBRW($C$1,$C$2,$C$3,$C$4,$C$6,$C$5,$C$7,I$1,I$2,$A122)</f>
        <v>0</v>
      </c>
      <c r="J122" s="32">
        <f ca="1">_xll.DBRW($C$1,$C$2,$C$3,$C$4,$C$6,$C$5,$C$7,J$1,J$2,$A122)</f>
        <v>0</v>
      </c>
      <c r="K122" s="32">
        <f ca="1">_xll.DBRW($C$1,$C$2,$C$3,$C$4,$C$6,$C$5,$C$7,K$1,K$2,$A122)</f>
        <v>0</v>
      </c>
      <c r="L122" s="32">
        <f ca="1">_xll.DBRW($C$1,$C$2,$C$3,$C$4,$C$6,$C$5,$C$7,L$1,L$2,$A122)</f>
        <v>0</v>
      </c>
      <c r="M122" s="32">
        <f ca="1">_xll.DBRW($C$1,$C$2,$C$3,$C$4,$C$6,$C$5,$C$7,M$1,M$2,$A122)</f>
        <v>0</v>
      </c>
      <c r="N122" s="32">
        <f ca="1">_xll.DBRW($C$1,$C$2,$C$3,$C$4,$C$6,$C$5,$C$7,N$1,N$2,$A122)</f>
        <v>0</v>
      </c>
      <c r="O122" s="32">
        <f ca="1">_xll.DBRW($C$1,$C$2,$C$3,$C$4,$C$6,$C$5,$C$7,O$1,O$2,$A122)</f>
        <v>0</v>
      </c>
      <c r="P122" s="32">
        <f ca="1">_xll.DBRW($C$1,$C$2,$C$3,$C$4,$C$6,$C$5,$C$7,P$1,P$2,$A122)</f>
        <v>0</v>
      </c>
      <c r="Q122" s="32">
        <f ca="1">_xll.DBRW($C$1,$C$2,$C$3,$C$4,$C$6,$C$5,$C$7,Q$1,Q$2,$A122)</f>
        <v>0</v>
      </c>
      <c r="R122" s="32">
        <f ca="1">_xll.DBRW($C$1,$C$2,$C$3,$C$4,$C$6,$C$5,$C$7,R$1,R$2,$A122)</f>
        <v>0</v>
      </c>
      <c r="S122" s="32">
        <f ca="1">_xll.DBRW($C$1,$C$2,$C$3,$C$4,$C$6,$C$5,$C$7,S$1,S$2,$A122)</f>
        <v>0</v>
      </c>
      <c r="T122" s="32">
        <f ca="1">_xll.DBRW($C$1,$C$2,$C$3,$C$4,$C$6,$C$5,$C$7,T$1,T$2,$A122)</f>
        <v>0</v>
      </c>
      <c r="U122" s="32">
        <f ca="1">_xll.DBRW($C$1,$C$2,$C$3,$C$4,$C$6,$C$5,$C$7,U$1,U$2,$A122)</f>
        <v>-1.229985417405299E-2</v>
      </c>
      <c r="V122" s="32">
        <f ca="1">_xll.DBRW($C$1,$C$2,$C$3,$C$4,$C$6,$C$5,$C$7,V$1,V$2,$A122)</f>
        <v>-2.453118819957394E-2</v>
      </c>
      <c r="W122" s="32">
        <f ca="1">_xll.DBRW($C$1,$C$2,$C$3,$C$4,$C$6,$C$5,$C$7,W$1,W$2,$A122)</f>
        <v>-3.6718432536104142E-2</v>
      </c>
      <c r="X122" s="32">
        <f ca="1">_xll.DBRW($C$1,$C$2,$C$3,$C$4,$C$6,$C$5,$C$7,X$1,X$2,$A122)</f>
        <v>-2.0816681711721685E-17</v>
      </c>
      <c r="Y122" s="32">
        <f ca="1">_xll.DBRW($C$1,$C$2,$C$3,$C$4,$C$6,$C$5,$C$7,Y$1,Y$2,$A122)</f>
        <v>-2.0816681711721685E-17</v>
      </c>
      <c r="Z122" s="32">
        <f ca="1">_xll.DBRW($C$1,$C$2,$C$3,$C$4,$C$6,$C$5,$C$7,Z$1,Z$2,$A122)</f>
        <v>0</v>
      </c>
      <c r="AA122" s="32">
        <f ca="1">_xll.DBRW($C$1,$C$2,$C$3,$C$4,$C$6,$C$5,$C$7,AA$1,AA$2,$A122)</f>
        <v>0</v>
      </c>
      <c r="AB122" s="32">
        <f ca="1">_xll.DBRW($C$1,$C$2,$C$3,$C$4,$C$6,$C$5,$C$7,AB$1,AB$2,$A122)</f>
        <v>0</v>
      </c>
      <c r="AC122" s="32">
        <f ca="1">_xll.DBRW($C$1,$C$2,$C$3,$C$4,$C$6,$C$5,$C$7,AC$1,AC$2,$A122)</f>
        <v>0</v>
      </c>
      <c r="AD122" s="32">
        <f ca="1">_xll.DBRW($C$1,$C$2,$C$3,$C$4,$C$6,$C$5,$C$7,AD$1,AD$2,$A122)</f>
        <v>0</v>
      </c>
      <c r="AE122" s="32">
        <f ca="1">_xll.DBRW($C$1,$C$2,$C$3,$C$4,$C$6,$C$5,$C$7,AE$1,AE$2,$A122)</f>
        <v>0</v>
      </c>
      <c r="AF122" s="32">
        <f ca="1">_xll.DBRW($C$1,$C$2,$C$3,$C$4,$C$6,$C$5,$C$7,AF$1,AF$2,$A122)</f>
        <v>0</v>
      </c>
      <c r="AG122" s="32">
        <f ca="1">_xll.DBRW($C$1,$C$2,$C$3,$C$4,$C$6,$C$5,$C$7,AG$1,AG$2,$A122)</f>
        <v>0</v>
      </c>
      <c r="AH122" s="32">
        <f ca="1">_xll.DBRW($C$1,$C$2,$C$3,$C$4,$C$6,$C$5,$C$7,AH$1,AH$2,$A122)</f>
        <v>0</v>
      </c>
      <c r="AI122" s="32">
        <f ca="1">_xll.DBRW($C$1,$C$2,$C$3,$C$4,$C$6,$C$5,$C$7,AI$1,AI$2,$A122)</f>
        <v>0</v>
      </c>
      <c r="AJ122" s="32">
        <f ca="1">_xll.DBRW($C$1,$C$2,$C$3,$C$4,$C$6,$C$5,$C$7,AJ$1,AJ$2,$A122)</f>
        <v>0</v>
      </c>
      <c r="AK122" s="32">
        <f ca="1">_xll.DBRW($C$1,$C$2,$C$3,$C$4,$C$6,$C$5,$C$7,AK$1,AK$2,$A122)</f>
        <v>0</v>
      </c>
      <c r="AL122" s="32">
        <f ca="1">_xll.DBRW($C$1,$C$2,$C$3,$C$4,$C$6,$C$5,$C$7,AL$1,AL$2,$A122)</f>
        <v>0</v>
      </c>
      <c r="AM122" s="32">
        <f ca="1">_xll.DBRW($C$1,$C$2,$C$3,$C$4,$C$6,$C$5,$C$7,AM$1,AM$2,$A122)</f>
        <v>0</v>
      </c>
      <c r="AN122" s="32">
        <f ca="1">_xll.DBRW($C$1,$C$2,$C$3,$C$4,$C$6,$C$5,$C$7,AN$1,AN$2,$A122)</f>
        <v>0</v>
      </c>
      <c r="AO122" s="32">
        <f ca="1">_xll.DBRW($C$1,$C$2,$C$3,$C$4,$C$6,$C$5,$C$7,AO$1,AO$2,$A122)</f>
        <v>0</v>
      </c>
      <c r="AP122" s="32">
        <f ca="1">_xll.DBRW($C$1,$C$2,$C$3,$C$4,$C$6,$C$5,$C$7,AP$1,AP$2,$A122)</f>
        <v>0</v>
      </c>
      <c r="AQ122" s="32">
        <f ca="1">_xll.DBRW($C$1,$C$2,$C$3,$C$4,$C$6,$C$5,$C$7,AQ$1,AQ$2,$A122)</f>
        <v>0</v>
      </c>
      <c r="AR122" s="32">
        <f ca="1">_xll.DBRW($C$1,$C$2,$C$3,$C$4,$C$6,$C$5,$C$7,AR$1,AR$2,$A122)</f>
        <v>0</v>
      </c>
      <c r="AS122" s="32">
        <f ca="1">_xll.DBRW($C$1,$C$2,$C$3,$C$4,$C$6,$C$5,$C$7,AS$1,AS$2,$A122)</f>
        <v>0</v>
      </c>
      <c r="AT122" s="32">
        <f ca="1">_xll.DBRW($C$1,$C$2,$C$3,$C$4,$C$6,$C$5,$C$7,AT$1,AT$2,$A122)</f>
        <v>0</v>
      </c>
      <c r="AU122" s="32">
        <f ca="1">_xll.DBRW($C$1,$C$2,$C$3,$C$4,$C$6,$C$5,$C$7,AU$1,AU$2,$A122)</f>
        <v>0</v>
      </c>
      <c r="AV122" s="32">
        <f ca="1">_xll.DBRW($C$1,$C$2,$C$3,$C$4,$C$6,$C$5,$C$7,AV$1,AV$2,$A122)</f>
        <v>0</v>
      </c>
      <c r="AW122" s="32">
        <f ca="1">_xll.DBRW($C$1,$C$2,$C$3,$C$4,$C$6,$C$5,$C$7,AW$1,AW$2,$A122)</f>
        <v>0</v>
      </c>
      <c r="AX122" s="32">
        <f ca="1">_xll.DBRW($C$1,$C$2,$C$3,$C$4,$C$6,$C$5,$C$7,AX$1,AX$2,$A122)</f>
        <v>0</v>
      </c>
      <c r="AY122" s="32">
        <f ca="1">_xll.DBRW($C$1,$C$2,$C$3,$C$4,$C$6,$C$5,$C$7,AY$1,AY$2,$A122)</f>
        <v>0</v>
      </c>
    </row>
    <row r="123" spans="1:51" ht="15.75" hidden="1" customHeight="1" outlineLevel="1">
      <c r="A123" s="1" t="s">
        <v>215</v>
      </c>
      <c r="C123" s="104"/>
      <c r="E123" s="9" t="str">
        <f ca="1">_xll.DBRW(Server&amp;"}ElementAttributes_Indicator",A123,"code_English")</f>
        <v>PL1115_CD_40 - Repairs</v>
      </c>
      <c r="F123" s="32">
        <f ca="1">_xll.DBRW($C$1,$C$2,$C$3,$C$4,$C$6,$C$5,$C$7,F$1,F$2,$A123)</f>
        <v>-27.694519300489979</v>
      </c>
      <c r="G123" s="32">
        <f ca="1">_xll.DBRW($C$1,$C$2,$C$3,$C$4,$C$6,$C$5,$C$7,G$1,G$2,$A123)</f>
        <v>-26.738858544892231</v>
      </c>
      <c r="H123" s="32">
        <f ca="1">_xll.DBRW($C$1,$C$2,$C$3,$C$4,$C$6,$C$5,$C$7,H$1,H$2,$A123)</f>
        <v>-19.224825193058852</v>
      </c>
      <c r="I123" s="32">
        <f ca="1">_xll.DBRW($C$1,$C$2,$C$3,$C$4,$C$6,$C$5,$C$7,I$1,I$2,$A123)</f>
        <v>-20.00607871186245</v>
      </c>
      <c r="J123" s="32">
        <f ca="1">_xll.DBRW($C$1,$C$2,$C$3,$C$4,$C$6,$C$5,$C$7,J$1,J$2,$A123)</f>
        <v>-20.807038149274636</v>
      </c>
      <c r="K123" s="32">
        <f ca="1">_xll.DBRW($C$1,$C$2,$C$3,$C$4,$C$6,$C$5,$C$7,K$1,K$2,$A123)</f>
        <v>-21.236950822958104</v>
      </c>
      <c r="L123" s="32">
        <f ca="1">_xll.DBRW($C$1,$C$2,$C$3,$C$4,$C$6,$C$5,$C$7,L$1,L$2,$A123)</f>
        <v>-15.392116346959348</v>
      </c>
      <c r="M123" s="32">
        <f ca="1">_xll.DBRW($C$1,$C$2,$C$3,$C$4,$C$6,$C$5,$C$7,M$1,M$2,$A123)</f>
        <v>-0.4357927247740262</v>
      </c>
      <c r="N123" s="32">
        <f ca="1">_xll.DBRW($C$1,$C$2,$C$3,$C$4,$C$6,$C$5,$C$7,N$1,N$2,$A123)</f>
        <v>-3.3723465952566638</v>
      </c>
      <c r="O123" s="32">
        <f ca="1">_xll.DBRW($C$1,$C$2,$C$3,$C$4,$C$6,$C$5,$C$7,O$1,O$2,$A123)</f>
        <v>-6.3915531875144893</v>
      </c>
      <c r="P123" s="32">
        <f ca="1">_xll.DBRW($C$1,$C$2,$C$3,$C$4,$C$6,$C$5,$C$7,P$1,P$2,$A123)</f>
        <v>-8.686946898717812</v>
      </c>
      <c r="Q123" s="32">
        <f ca="1">_xll.DBRW($C$1,$C$2,$C$3,$C$4,$C$6,$C$5,$C$7,Q$1,Q$2,$A123)</f>
        <v>-10.696124338275943</v>
      </c>
      <c r="R123" s="32">
        <f ca="1">_xll.DBRW($C$1,$C$2,$C$3,$C$4,$C$6,$C$5,$C$7,R$1,R$2,$A123)</f>
        <v>-12.210575075755006</v>
      </c>
      <c r="S123" s="32">
        <f ca="1">_xll.DBRW($C$1,$C$2,$C$3,$C$4,$C$6,$C$5,$C$7,S$1,S$2,$A123)</f>
        <v>-2.2325674705254279</v>
      </c>
      <c r="T123" s="32">
        <f ca="1">_xll.DBRW($C$1,$C$2,$C$3,$C$4,$C$6,$C$5,$C$7,T$1,T$2,$A123)</f>
        <v>-15.87982019384544</v>
      </c>
      <c r="U123" s="32">
        <f ca="1">_xll.DBRW($C$1,$C$2,$C$3,$C$4,$C$6,$C$5,$C$7,U$1,U$2,$A123)</f>
        <v>-17.463281945038538</v>
      </c>
      <c r="V123" s="32">
        <f ca="1">_xll.DBRW($C$1,$C$2,$C$3,$C$4,$C$6,$C$5,$C$7,V$1,V$2,$A123)</f>
        <v>-3.4845642842710376</v>
      </c>
      <c r="W123" s="32">
        <f ca="1">_xll.DBRW($C$1,$C$2,$C$3,$C$4,$C$6,$C$5,$C$7,W$1,W$2,$A123)</f>
        <v>-16.833384229679673</v>
      </c>
      <c r="X123" s="32">
        <f ca="1">_xll.DBRW($C$1,$C$2,$C$3,$C$4,$C$6,$C$5,$C$7,X$1,X$2,$A123)</f>
        <v>-24.351090885637166</v>
      </c>
      <c r="Y123" s="32">
        <f ca="1">_xll.DBRW($C$1,$C$2,$C$3,$C$4,$C$6,$C$5,$C$7,Y$1,Y$2,$A123)</f>
        <v>-24.351090885637166</v>
      </c>
      <c r="Z123" s="32">
        <f ca="1">_xll.DBRW($C$1,$C$2,$C$3,$C$4,$C$6,$C$5,$C$7,Z$1,Z$2,$A123)</f>
        <v>-1.1010457158288549</v>
      </c>
      <c r="AA123" s="32">
        <f ca="1">_xll.DBRW($C$1,$C$2,$C$3,$C$4,$C$6,$C$5,$C$7,AA$1,AA$2,$A123)</f>
        <v>-3.3094674662865335</v>
      </c>
      <c r="AB123" s="32">
        <f ca="1">_xll.DBRW($C$1,$C$2,$C$3,$C$4,$C$6,$C$5,$C$7,AB$1,AB$2,$A123)</f>
        <v>-4.9060131961316635</v>
      </c>
      <c r="AC123" s="32">
        <f ca="1">_xll.DBRW($C$1,$C$2,$C$3,$C$4,$C$6,$C$5,$C$7,AC$1,AC$2,$A123)</f>
        <v>-6.4627617184262043</v>
      </c>
      <c r="AD123" s="32">
        <f ca="1">_xll.DBRW($C$1,$C$2,$C$3,$C$4,$C$6,$C$5,$C$7,AD$1,AD$2,$A123)</f>
        <v>-8.0332317757364322</v>
      </c>
      <c r="AE123" s="32">
        <f ca="1">_xll.DBRW($C$1,$C$2,$C$3,$C$4,$C$6,$C$5,$C$7,AE$1,AE$2,$A123)</f>
        <v>-9.5840229045809728</v>
      </c>
      <c r="AF123" s="32">
        <f ca="1">_xll.DBRW($C$1,$C$2,$C$3,$C$4,$C$6,$C$5,$C$7,AF$1,AF$2,$A123)</f>
        <v>-11.110495920955907</v>
      </c>
      <c r="AG123" s="32">
        <f ca="1">_xll.DBRW($C$1,$C$2,$C$3,$C$4,$C$6,$C$5,$C$7,AG$1,AG$2,$A123)</f>
        <v>-12.62111364385045</v>
      </c>
      <c r="AH123" s="32">
        <f ca="1">_xll.DBRW($C$1,$C$2,$C$3,$C$4,$C$6,$C$5,$C$7,AH$1,AH$2,$A123)</f>
        <v>-14.141446290979305</v>
      </c>
      <c r="AI123" s="32">
        <f ca="1">_xll.DBRW($C$1,$C$2,$C$3,$C$4,$C$6,$C$5,$C$7,AI$1,AI$2,$A123)</f>
        <v>-15.666496829403258</v>
      </c>
      <c r="AJ123" s="32">
        <f ca="1">_xll.DBRW($C$1,$C$2,$C$3,$C$4,$C$6,$C$5,$C$7,AJ$1,AJ$2,$A123)</f>
        <v>-17.191591500219367</v>
      </c>
      <c r="AK123" s="32">
        <f ca="1">_xll.DBRW($C$1,$C$2,$C$3,$C$4,$C$6,$C$5,$C$7,AK$1,AK$2,$A123)</f>
        <v>-18.726758255318813</v>
      </c>
      <c r="AL123" s="32">
        <f ca="1">_xll.DBRW($C$1,$C$2,$C$3,$C$4,$C$6,$C$5,$C$7,AL$1,AL$2,$A123)</f>
        <v>-18.726758255318813</v>
      </c>
      <c r="AM123" s="32">
        <f ca="1">_xll.DBRW($C$1,$C$2,$C$3,$C$4,$C$6,$C$5,$C$7,AM$1,AM$2,$A123)</f>
        <v>-1.1084387395022173</v>
      </c>
      <c r="AN123" s="32">
        <f ca="1">_xll.DBRW($C$1,$C$2,$C$3,$C$4,$C$6,$C$5,$C$7,AN$1,AN$2,$A123)</f>
        <v>-5.0114442683382077</v>
      </c>
      <c r="AO123" s="32">
        <f ca="1">_xll.DBRW($C$1,$C$2,$C$3,$C$4,$C$6,$C$5,$C$7,AO$1,AO$2,$A123)</f>
        <v>-8.8817841970012523E-16</v>
      </c>
      <c r="AP123" s="32">
        <f ca="1">_xll.DBRW($C$1,$C$2,$C$3,$C$4,$C$6,$C$5,$C$7,AP$1,AP$2,$A123)</f>
        <v>-8.8817841970012523E-16</v>
      </c>
      <c r="AQ123" s="32">
        <f ca="1">_xll.DBRW($C$1,$C$2,$C$3,$C$4,$C$6,$C$5,$C$7,AQ$1,AQ$2,$A123)</f>
        <v>-8.8817841970012523E-16</v>
      </c>
      <c r="AR123" s="32">
        <f ca="1">_xll.DBRW($C$1,$C$2,$C$3,$C$4,$C$6,$C$5,$C$7,AR$1,AR$2,$A123)</f>
        <v>-8.8817841970012523E-16</v>
      </c>
      <c r="AS123" s="32">
        <f ca="1">_xll.DBRW($C$1,$C$2,$C$3,$C$4,$C$6,$C$5,$C$7,AS$1,AS$2,$A123)</f>
        <v>-8.8817841970012523E-16</v>
      </c>
      <c r="AT123" s="32">
        <f ca="1">_xll.DBRW($C$1,$C$2,$C$3,$C$4,$C$6,$C$5,$C$7,AT$1,AT$2,$A123)</f>
        <v>-8.8817841970012523E-16</v>
      </c>
      <c r="AU123" s="32">
        <f ca="1">_xll.DBRW($C$1,$C$2,$C$3,$C$4,$C$6,$C$5,$C$7,AU$1,AU$2,$A123)</f>
        <v>-8.8817841970012523E-16</v>
      </c>
      <c r="AV123" s="32">
        <f ca="1">_xll.DBRW($C$1,$C$2,$C$3,$C$4,$C$6,$C$5,$C$7,AV$1,AV$2,$A123)</f>
        <v>-8.8817841970012523E-16</v>
      </c>
      <c r="AW123" s="32">
        <f ca="1">_xll.DBRW($C$1,$C$2,$C$3,$C$4,$C$6,$C$5,$C$7,AW$1,AW$2,$A123)</f>
        <v>-8.8817841970012523E-16</v>
      </c>
      <c r="AX123" s="32">
        <f ca="1">_xll.DBRW($C$1,$C$2,$C$3,$C$4,$C$6,$C$5,$C$7,AX$1,AX$2,$A123)</f>
        <v>-8.8817841970012523E-16</v>
      </c>
      <c r="AY123" s="32">
        <f ca="1">_xll.DBRW($C$1,$C$2,$C$3,$C$4,$C$6,$C$5,$C$7,AY$1,AY$2,$A123)</f>
        <v>-8.8817841970012523E-16</v>
      </c>
    </row>
    <row r="124" spans="1:51" ht="15.75" hidden="1" customHeight="1" outlineLevel="1">
      <c r="A124" s="1" t="s">
        <v>216</v>
      </c>
      <c r="C124" s="104"/>
      <c r="E124" s="9" t="str">
        <f ca="1">_xll.DBRW(Server&amp;"}ElementAttributes_Indicator",A124,"code_English")</f>
        <v>PL1115_CD_45 - Autoliability</v>
      </c>
      <c r="F124" s="32">
        <f ca="1">_xll.DBRW($C$1,$C$2,$C$3,$C$4,$C$6,$C$5,$C$7,F$1,F$2,$A124)</f>
        <v>-35.959290009608807</v>
      </c>
      <c r="G124" s="32">
        <f ca="1">_xll.DBRW($C$1,$C$2,$C$3,$C$4,$C$6,$C$5,$C$7,G$1,G$2,$A124)</f>
        <v>-34.194159624020472</v>
      </c>
      <c r="H124" s="32">
        <f ca="1">_xll.DBRW($C$1,$C$2,$C$3,$C$4,$C$6,$C$5,$C$7,H$1,H$2,$A124)</f>
        <v>-45.13451150692439</v>
      </c>
      <c r="I124" s="32">
        <f ca="1">_xll.DBRW($C$1,$C$2,$C$3,$C$4,$C$6,$C$5,$C$7,I$1,I$2,$A124)</f>
        <v>-71.575867385440432</v>
      </c>
      <c r="J124" s="32">
        <f ca="1">_xll.DBRW($C$1,$C$2,$C$3,$C$4,$C$6,$C$5,$C$7,J$1,J$2,$A124)</f>
        <v>-51.992423586538607</v>
      </c>
      <c r="K124" s="32">
        <f ca="1">_xll.DBRW($C$1,$C$2,$C$3,$C$4,$C$6,$C$5,$C$7,K$1,K$2,$A124)</f>
        <v>-47.138576276361086</v>
      </c>
      <c r="L124" s="32">
        <f ca="1">_xll.DBRW($C$1,$C$2,$C$3,$C$4,$C$6,$C$5,$C$7,L$1,L$2,$A124)</f>
        <v>-52.031454791944171</v>
      </c>
      <c r="M124" s="32">
        <f ca="1">_xll.DBRW($C$1,$C$2,$C$3,$C$4,$C$6,$C$5,$C$7,M$1,M$2,$A124)</f>
        <v>3.7852679258703903</v>
      </c>
      <c r="N124" s="32">
        <f ca="1">_xll.DBRW($C$1,$C$2,$C$3,$C$4,$C$6,$C$5,$C$7,N$1,N$2,$A124)</f>
        <v>-4.6509993747912199</v>
      </c>
      <c r="O124" s="32">
        <f ca="1">_xll.DBRW($C$1,$C$2,$C$3,$C$4,$C$6,$C$5,$C$7,O$1,O$2,$A124)</f>
        <v>-8.1328013860427539</v>
      </c>
      <c r="P124" s="32">
        <f ca="1">_xll.DBRW($C$1,$C$2,$C$3,$C$4,$C$6,$C$5,$C$7,P$1,P$2,$A124)</f>
        <v>-10.500581739820134</v>
      </c>
      <c r="Q124" s="32">
        <f ca="1">_xll.DBRW($C$1,$C$2,$C$3,$C$4,$C$6,$C$5,$C$7,Q$1,Q$2,$A124)</f>
        <v>-18.048688493386834</v>
      </c>
      <c r="R124" s="32">
        <f ca="1">_xll.DBRW($C$1,$C$2,$C$3,$C$4,$C$6,$C$5,$C$7,R$1,R$2,$A124)</f>
        <v>-24.104983761474692</v>
      </c>
      <c r="S124" s="32">
        <f ca="1">_xll.DBRW($C$1,$C$2,$C$3,$C$4,$C$6,$C$5,$C$7,S$1,S$2,$A124)</f>
        <v>-0.52866300940152389</v>
      </c>
      <c r="T124" s="32">
        <f ca="1">_xll.DBRW($C$1,$C$2,$C$3,$C$4,$C$6,$C$5,$C$7,T$1,T$2,$A124)</f>
        <v>-41.321142348961729</v>
      </c>
      <c r="U124" s="32">
        <f ca="1">_xll.DBRW($C$1,$C$2,$C$3,$C$4,$C$6,$C$5,$C$7,U$1,U$2,$A124)</f>
        <v>-49.04777221545622</v>
      </c>
      <c r="V124" s="32">
        <f ca="1">_xll.DBRW($C$1,$C$2,$C$3,$C$4,$C$6,$C$5,$C$7,V$1,V$2,$A124)</f>
        <v>-2.8777466192267811</v>
      </c>
      <c r="W124" s="32">
        <f ca="1">_xll.DBRW($C$1,$C$2,$C$3,$C$4,$C$6,$C$5,$C$7,W$1,W$2,$A124)</f>
        <v>-62.493982059533259</v>
      </c>
      <c r="X124" s="32">
        <f ca="1">_xll.DBRW($C$1,$C$2,$C$3,$C$4,$C$6,$C$5,$C$7,X$1,X$2,$A124)</f>
        <v>-66.73348149084255</v>
      </c>
      <c r="Y124" s="32">
        <f ca="1">_xll.DBRW($C$1,$C$2,$C$3,$C$4,$C$6,$C$5,$C$7,Y$1,Y$2,$A124)</f>
        <v>-66.73348149084255</v>
      </c>
      <c r="Z124" s="32">
        <f ca="1">_xll.DBRW($C$1,$C$2,$C$3,$C$4,$C$6,$C$5,$C$7,Z$1,Z$2,$A124)</f>
        <v>-5.0813037854629126</v>
      </c>
      <c r="AA124" s="32">
        <f ca="1">_xll.DBRW($C$1,$C$2,$C$3,$C$4,$C$6,$C$5,$C$7,AA$1,AA$2,$A124)</f>
        <v>-10.168118053577283</v>
      </c>
      <c r="AB124" s="32">
        <f ca="1">_xll.DBRW($C$1,$C$2,$C$3,$C$4,$C$6,$C$5,$C$7,AB$1,AB$2,$A124)</f>
        <v>-15.397414778024466</v>
      </c>
      <c r="AC124" s="32">
        <f ca="1">_xll.DBRW($C$1,$C$2,$C$3,$C$4,$C$6,$C$5,$C$7,AC$1,AC$2,$A124)</f>
        <v>-20.547048048849749</v>
      </c>
      <c r="AD124" s="32">
        <f ca="1">_xll.DBRW($C$1,$C$2,$C$3,$C$4,$C$6,$C$5,$C$7,AD$1,AD$2,$A124)</f>
        <v>-25.737120327286096</v>
      </c>
      <c r="AE124" s="32">
        <f ca="1">_xll.DBRW($C$1,$C$2,$C$3,$C$4,$C$6,$C$5,$C$7,AE$1,AE$2,$A124)</f>
        <v>-30.943483595955065</v>
      </c>
      <c r="AF124" s="32">
        <f ca="1">_xll.DBRW($C$1,$C$2,$C$3,$C$4,$C$6,$C$5,$C$7,AF$1,AF$2,$A124)</f>
        <v>-36.154672600416049</v>
      </c>
      <c r="AG124" s="32">
        <f ca="1">_xll.DBRW($C$1,$C$2,$C$3,$C$4,$C$6,$C$5,$C$7,AG$1,AG$2,$A124)</f>
        <v>-41.179145637760612</v>
      </c>
      <c r="AH124" s="32">
        <f ca="1">_xll.DBRW($C$1,$C$2,$C$3,$C$4,$C$6,$C$5,$C$7,AH$1,AH$2,$A124)</f>
        <v>-46.183769007760972</v>
      </c>
      <c r="AI124" s="32">
        <f ca="1">_xll.DBRW($C$1,$C$2,$C$3,$C$4,$C$6,$C$5,$C$7,AI$1,AI$2,$A124)</f>
        <v>-51.118476874997086</v>
      </c>
      <c r="AJ124" s="32">
        <f ca="1">_xll.DBRW($C$1,$C$2,$C$3,$C$4,$C$6,$C$5,$C$7,AJ$1,AJ$2,$A124)</f>
        <v>-56.026484111077544</v>
      </c>
      <c r="AK124" s="32">
        <f ca="1">_xll.DBRW($C$1,$C$2,$C$3,$C$4,$C$6,$C$5,$C$7,AK$1,AK$2,$A124)</f>
        <v>-60.908407150020032</v>
      </c>
      <c r="AL124" s="32">
        <f ca="1">_xll.DBRW($C$1,$C$2,$C$3,$C$4,$C$6,$C$5,$C$7,AL$1,AL$2,$A124)</f>
        <v>-60.908407150020032</v>
      </c>
      <c r="AM124" s="32">
        <f ca="1">_xll.DBRW($C$1,$C$2,$C$3,$C$4,$C$6,$C$5,$C$7,AM$1,AM$2,$A124)</f>
        <v>-0.97748221407398661</v>
      </c>
      <c r="AN124" s="32">
        <f ca="1">_xll.DBRW($C$1,$C$2,$C$3,$C$4,$C$6,$C$5,$C$7,AN$1,AN$2,$A124)</f>
        <v>-11.207915870253723</v>
      </c>
      <c r="AO124" s="32">
        <f ca="1">_xll.DBRW($C$1,$C$2,$C$3,$C$4,$C$6,$C$5,$C$7,AO$1,AO$2,$A124)</f>
        <v>0</v>
      </c>
      <c r="AP124" s="32">
        <f ca="1">_xll.DBRW($C$1,$C$2,$C$3,$C$4,$C$6,$C$5,$C$7,AP$1,AP$2,$A124)</f>
        <v>0</v>
      </c>
      <c r="AQ124" s="32">
        <f ca="1">_xll.DBRW($C$1,$C$2,$C$3,$C$4,$C$6,$C$5,$C$7,AQ$1,AQ$2,$A124)</f>
        <v>0</v>
      </c>
      <c r="AR124" s="32">
        <f ca="1">_xll.DBRW($C$1,$C$2,$C$3,$C$4,$C$6,$C$5,$C$7,AR$1,AR$2,$A124)</f>
        <v>0</v>
      </c>
      <c r="AS124" s="32">
        <f ca="1">_xll.DBRW($C$1,$C$2,$C$3,$C$4,$C$6,$C$5,$C$7,AS$1,AS$2,$A124)</f>
        <v>0</v>
      </c>
      <c r="AT124" s="32">
        <f ca="1">_xll.DBRW($C$1,$C$2,$C$3,$C$4,$C$6,$C$5,$C$7,AT$1,AT$2,$A124)</f>
        <v>0</v>
      </c>
      <c r="AU124" s="32">
        <f ca="1">_xll.DBRW($C$1,$C$2,$C$3,$C$4,$C$6,$C$5,$C$7,AU$1,AU$2,$A124)</f>
        <v>0</v>
      </c>
      <c r="AV124" s="32">
        <f ca="1">_xll.DBRW($C$1,$C$2,$C$3,$C$4,$C$6,$C$5,$C$7,AV$1,AV$2,$A124)</f>
        <v>0</v>
      </c>
      <c r="AW124" s="32">
        <f ca="1">_xll.DBRW($C$1,$C$2,$C$3,$C$4,$C$6,$C$5,$C$7,AW$1,AW$2,$A124)</f>
        <v>0</v>
      </c>
      <c r="AX124" s="32">
        <f ca="1">_xll.DBRW($C$1,$C$2,$C$3,$C$4,$C$6,$C$5,$C$7,AX$1,AX$2,$A124)</f>
        <v>0</v>
      </c>
      <c r="AY124" s="32">
        <f ca="1">_xll.DBRW($C$1,$C$2,$C$3,$C$4,$C$6,$C$5,$C$7,AY$1,AY$2,$A124)</f>
        <v>0</v>
      </c>
    </row>
    <row r="125" spans="1:51" ht="15.75" hidden="1" customHeight="1" outlineLevel="1">
      <c r="A125" s="1" t="s">
        <v>217</v>
      </c>
      <c r="C125" s="104"/>
      <c r="E125" s="9" t="str">
        <f ca="1">_xll.DBRW(Server&amp;"}ElementAttributes_Indicator",A125,"code_English")</f>
        <v>PL1115_CD_50 - Insurance premiums paid</v>
      </c>
      <c r="F125" s="32">
        <f ca="1">_xll.DBRW($C$1,$C$2,$C$3,$C$4,$C$6,$C$5,$C$7,F$1,F$2,$A125)</f>
        <v>-58.502112080894562</v>
      </c>
      <c r="G125" s="32">
        <f ca="1">_xll.DBRW($C$1,$C$2,$C$3,$C$4,$C$6,$C$5,$C$7,G$1,G$2,$A125)</f>
        <v>-53.539588971484179</v>
      </c>
      <c r="H125" s="32">
        <f ca="1">_xll.DBRW($C$1,$C$2,$C$3,$C$4,$C$6,$C$5,$C$7,H$1,H$2,$A125)</f>
        <v>-55.316040308882663</v>
      </c>
      <c r="I125" s="32">
        <f ca="1">_xll.DBRW($C$1,$C$2,$C$3,$C$4,$C$6,$C$5,$C$7,I$1,I$2,$A125)</f>
        <v>-33.526232862677261</v>
      </c>
      <c r="J125" s="32">
        <f ca="1">_xll.DBRW($C$1,$C$2,$C$3,$C$4,$C$6,$C$5,$C$7,J$1,J$2,$A125)</f>
        <v>-32.880070193182419</v>
      </c>
      <c r="K125" s="32">
        <f ca="1">_xll.DBRW($C$1,$C$2,$C$3,$C$4,$C$6,$C$5,$C$7,K$1,K$2,$A125)</f>
        <v>-35.321678338941176</v>
      </c>
      <c r="L125" s="32">
        <f ca="1">_xll.DBRW($C$1,$C$2,$C$3,$C$4,$C$6,$C$5,$C$7,L$1,L$2,$A125)</f>
        <v>-39.586115301407077</v>
      </c>
      <c r="M125" s="32">
        <f ca="1">_xll.DBRW($C$1,$C$2,$C$3,$C$4,$C$6,$C$5,$C$7,M$1,M$2,$A125)</f>
        <v>-1.0231557828719045</v>
      </c>
      <c r="N125" s="32">
        <f ca="1">_xll.DBRW($C$1,$C$2,$C$3,$C$4,$C$6,$C$5,$C$7,N$1,N$2,$A125)</f>
        <v>-5.6463101018995099</v>
      </c>
      <c r="O125" s="32">
        <f ca="1">_xll.DBRW($C$1,$C$2,$C$3,$C$4,$C$6,$C$5,$C$7,O$1,O$2,$A125)</f>
        <v>-9.3912800679861377</v>
      </c>
      <c r="P125" s="32">
        <f ca="1">_xll.DBRW($C$1,$C$2,$C$3,$C$4,$C$6,$C$5,$C$7,P$1,P$2,$A125)</f>
        <v>-12.230043672315929</v>
      </c>
      <c r="Q125" s="32">
        <f ca="1">_xll.DBRW($C$1,$C$2,$C$3,$C$4,$C$6,$C$5,$C$7,Q$1,Q$2,$A125)</f>
        <v>-15.47314305860835</v>
      </c>
      <c r="R125" s="32">
        <f ca="1">_xll.DBRW($C$1,$C$2,$C$3,$C$4,$C$6,$C$5,$C$7,R$1,R$2,$A125)</f>
        <v>-19.346902985029899</v>
      </c>
      <c r="S125" s="32">
        <f ca="1">_xll.DBRW($C$1,$C$2,$C$3,$C$4,$C$6,$C$5,$C$7,S$1,S$2,$A125)</f>
        <v>-8.3322685287442297</v>
      </c>
      <c r="T125" s="32">
        <f ca="1">_xll.DBRW($C$1,$C$2,$C$3,$C$4,$C$6,$C$5,$C$7,T$1,T$2,$A125)</f>
        <v>-25.827819826105827</v>
      </c>
      <c r="U125" s="32">
        <f ca="1">_xll.DBRW($C$1,$C$2,$C$3,$C$4,$C$6,$C$5,$C$7,U$1,U$2,$A125)</f>
        <v>-29.163441074342693</v>
      </c>
      <c r="V125" s="32">
        <f ca="1">_xll.DBRW($C$1,$C$2,$C$3,$C$4,$C$6,$C$5,$C$7,V$1,V$2,$A125)</f>
        <v>-13.173788715341946</v>
      </c>
      <c r="W125" s="32">
        <f ca="1">_xll.DBRW($C$1,$C$2,$C$3,$C$4,$C$6,$C$5,$C$7,W$1,W$2,$A125)</f>
        <v>-35.756415962143741</v>
      </c>
      <c r="X125" s="32">
        <f ca="1">_xll.DBRW($C$1,$C$2,$C$3,$C$4,$C$6,$C$5,$C$7,X$1,X$2,$A125)</f>
        <v>-36.687442886577543</v>
      </c>
      <c r="Y125" s="32">
        <f ca="1">_xll.DBRW($C$1,$C$2,$C$3,$C$4,$C$6,$C$5,$C$7,Y$1,Y$2,$A125)</f>
        <v>-36.687442886577543</v>
      </c>
      <c r="Z125" s="32">
        <f ca="1">_xll.DBRW($C$1,$C$2,$C$3,$C$4,$C$6,$C$5,$C$7,Z$1,Z$2,$A125)</f>
        <v>-3.5373722507514715</v>
      </c>
      <c r="AA125" s="32">
        <f ca="1">_xll.DBRW($C$1,$C$2,$C$3,$C$4,$C$6,$C$5,$C$7,AA$1,AA$2,$A125)</f>
        <v>-7.179404571941399</v>
      </c>
      <c r="AB125" s="32">
        <f ca="1">_xll.DBRW($C$1,$C$2,$C$3,$C$4,$C$6,$C$5,$C$7,AB$1,AB$2,$A125)</f>
        <v>-10.879836352641775</v>
      </c>
      <c r="AC125" s="32">
        <f ca="1">_xll.DBRW($C$1,$C$2,$C$3,$C$4,$C$6,$C$5,$C$7,AC$1,AC$2,$A125)</f>
        <v>-14.522846769138877</v>
      </c>
      <c r="AD125" s="32">
        <f ca="1">_xll.DBRW($C$1,$C$2,$C$3,$C$4,$C$6,$C$5,$C$7,AD$1,AD$2,$A125)</f>
        <v>-18.185420529464864</v>
      </c>
      <c r="AE125" s="32">
        <f ca="1">_xll.DBRW($C$1,$C$2,$C$3,$C$4,$C$6,$C$5,$C$7,AE$1,AE$2,$A125)</f>
        <v>-21.83010799958145</v>
      </c>
      <c r="AF125" s="32">
        <f ca="1">_xll.DBRW($C$1,$C$2,$C$3,$C$4,$C$6,$C$5,$C$7,AF$1,AF$2,$A125)</f>
        <v>-25.571691214386703</v>
      </c>
      <c r="AG125" s="32">
        <f ca="1">_xll.DBRW($C$1,$C$2,$C$3,$C$4,$C$6,$C$5,$C$7,AG$1,AG$2,$A125)</f>
        <v>-29.285043898380078</v>
      </c>
      <c r="AH125" s="32">
        <f ca="1">_xll.DBRW($C$1,$C$2,$C$3,$C$4,$C$6,$C$5,$C$7,AH$1,AH$2,$A125)</f>
        <v>-32.984066953815983</v>
      </c>
      <c r="AI125" s="32">
        <f ca="1">_xll.DBRW($C$1,$C$2,$C$3,$C$4,$C$6,$C$5,$C$7,AI$1,AI$2,$A125)</f>
        <v>-36.694239712209637</v>
      </c>
      <c r="AJ125" s="32">
        <f ca="1">_xll.DBRW($C$1,$C$2,$C$3,$C$4,$C$6,$C$5,$C$7,AJ$1,AJ$2,$A125)</f>
        <v>-40.302862962193096</v>
      </c>
      <c r="AK125" s="32">
        <f ca="1">_xll.DBRW($C$1,$C$2,$C$3,$C$4,$C$6,$C$5,$C$7,AK$1,AK$2,$A125)</f>
        <v>-44.553341983098889</v>
      </c>
      <c r="AL125" s="32">
        <f ca="1">_xll.DBRW($C$1,$C$2,$C$3,$C$4,$C$6,$C$5,$C$7,AL$1,AL$2,$A125)</f>
        <v>-44.553341983098889</v>
      </c>
      <c r="AM125" s="32">
        <f ca="1">_xll.DBRW($C$1,$C$2,$C$3,$C$4,$C$6,$C$5,$C$7,AM$1,AM$2,$A125)</f>
        <v>-2.7903390130402141</v>
      </c>
      <c r="AN125" s="32">
        <f ca="1">_xll.DBRW($C$1,$C$2,$C$3,$C$4,$C$6,$C$5,$C$7,AN$1,AN$2,$A125)</f>
        <v>-7.2916215918865657</v>
      </c>
      <c r="AO125" s="32">
        <f ca="1">_xll.DBRW($C$1,$C$2,$C$3,$C$4,$C$6,$C$5,$C$7,AO$1,AO$2,$A125)</f>
        <v>4.4408920985006262E-15</v>
      </c>
      <c r="AP125" s="32">
        <f ca="1">_xll.DBRW($C$1,$C$2,$C$3,$C$4,$C$6,$C$5,$C$7,AP$1,AP$2,$A125)</f>
        <v>4.4408920985006262E-15</v>
      </c>
      <c r="AQ125" s="32">
        <f ca="1">_xll.DBRW($C$1,$C$2,$C$3,$C$4,$C$6,$C$5,$C$7,AQ$1,AQ$2,$A125)</f>
        <v>4.4408920985006262E-15</v>
      </c>
      <c r="AR125" s="32">
        <f ca="1">_xll.DBRW($C$1,$C$2,$C$3,$C$4,$C$6,$C$5,$C$7,AR$1,AR$2,$A125)</f>
        <v>4.4408920985006262E-15</v>
      </c>
      <c r="AS125" s="32">
        <f ca="1">_xll.DBRW($C$1,$C$2,$C$3,$C$4,$C$6,$C$5,$C$7,AS$1,AS$2,$A125)</f>
        <v>4.4408920985006262E-15</v>
      </c>
      <c r="AT125" s="32">
        <f ca="1">_xll.DBRW($C$1,$C$2,$C$3,$C$4,$C$6,$C$5,$C$7,AT$1,AT$2,$A125)</f>
        <v>4.4408920985006262E-15</v>
      </c>
      <c r="AU125" s="32">
        <f ca="1">_xll.DBRW($C$1,$C$2,$C$3,$C$4,$C$6,$C$5,$C$7,AU$1,AU$2,$A125)</f>
        <v>4.4408920985006262E-15</v>
      </c>
      <c r="AV125" s="32">
        <f ca="1">_xll.DBRW($C$1,$C$2,$C$3,$C$4,$C$6,$C$5,$C$7,AV$1,AV$2,$A125)</f>
        <v>4.4408920985006262E-15</v>
      </c>
      <c r="AW125" s="32">
        <f ca="1">_xll.DBRW($C$1,$C$2,$C$3,$C$4,$C$6,$C$5,$C$7,AW$1,AW$2,$A125)</f>
        <v>4.4408920985006262E-15</v>
      </c>
      <c r="AX125" s="32">
        <f ca="1">_xll.DBRW($C$1,$C$2,$C$3,$C$4,$C$6,$C$5,$C$7,AX$1,AX$2,$A125)</f>
        <v>4.4408920985006262E-15</v>
      </c>
      <c r="AY125" s="32">
        <f ca="1">_xll.DBRW($C$1,$C$2,$C$3,$C$4,$C$6,$C$5,$C$7,AY$1,AY$2,$A125)</f>
        <v>4.4408920985006262E-15</v>
      </c>
    </row>
    <row r="126" spans="1:51" ht="15.75" hidden="1" customHeight="1" outlineLevel="1">
      <c r="A126" s="1" t="s">
        <v>218</v>
      </c>
      <c r="C126" s="104"/>
      <c r="E126" s="9" t="str">
        <f ca="1">_xll.DBRW(Server&amp;"}ElementAttributes_Indicator",A126,"code_English")</f>
        <v>PL1115_CD_51 - Insurance compensation received</v>
      </c>
      <c r="F126" s="32">
        <f ca="1">_xll.DBRW($C$1,$C$2,$C$3,$C$4,$C$6,$C$5,$C$7,F$1,F$2,$A126)</f>
        <v>41.922385589352764</v>
      </c>
      <c r="G126" s="32">
        <f ca="1">_xll.DBRW($C$1,$C$2,$C$3,$C$4,$C$6,$C$5,$C$7,G$1,G$2,$A126)</f>
        <v>20.872790343655755</v>
      </c>
      <c r="H126" s="32">
        <f ca="1">_xll.DBRW($C$1,$C$2,$C$3,$C$4,$C$6,$C$5,$C$7,H$1,H$2,$A126)</f>
        <v>24.122408351466383</v>
      </c>
      <c r="I126" s="32">
        <f ca="1">_xll.DBRW($C$1,$C$2,$C$3,$C$4,$C$6,$C$5,$C$7,I$1,I$2,$A126)</f>
        <v>10.162246560360485</v>
      </c>
      <c r="J126" s="32">
        <f ca="1">_xll.DBRW($C$1,$C$2,$C$3,$C$4,$C$6,$C$5,$C$7,J$1,J$2,$A126)</f>
        <v>17.047683094339821</v>
      </c>
      <c r="K126" s="32">
        <f ca="1">_xll.DBRW($C$1,$C$2,$C$3,$C$4,$C$6,$C$5,$C$7,K$1,K$2,$A126)</f>
        <v>21.53544900911643</v>
      </c>
      <c r="L126" s="32">
        <f ca="1">_xll.DBRW($C$1,$C$2,$C$3,$C$4,$C$6,$C$5,$C$7,L$1,L$2,$A126)</f>
        <v>5.8681492450015664</v>
      </c>
      <c r="M126" s="32">
        <f ca="1">_xll.DBRW($C$1,$C$2,$C$3,$C$4,$C$6,$C$5,$C$7,M$1,M$2,$A126)</f>
        <v>0.52838400201610558</v>
      </c>
      <c r="N126" s="32">
        <f ca="1">_xll.DBRW($C$1,$C$2,$C$3,$C$4,$C$6,$C$5,$C$7,N$1,N$2,$A126)</f>
        <v>2.0266214123668522</v>
      </c>
      <c r="O126" s="32">
        <f ca="1">_xll.DBRW($C$1,$C$2,$C$3,$C$4,$C$6,$C$5,$C$7,O$1,O$2,$A126)</f>
        <v>3.9685553065317545</v>
      </c>
      <c r="P126" s="32">
        <f ca="1">_xll.DBRW($C$1,$C$2,$C$3,$C$4,$C$6,$C$5,$C$7,P$1,P$2,$A126)</f>
        <v>5.1511773523025344</v>
      </c>
      <c r="Q126" s="32">
        <f ca="1">_xll.DBRW($C$1,$C$2,$C$3,$C$4,$C$6,$C$5,$C$7,Q$1,Q$2,$A126)</f>
        <v>6.5678324182532313</v>
      </c>
      <c r="R126" s="32">
        <f ca="1">_xll.DBRW($C$1,$C$2,$C$3,$C$4,$C$6,$C$5,$C$7,R$1,R$2,$A126)</f>
        <v>8.3169096431396987</v>
      </c>
      <c r="S126" s="32">
        <f ca="1">_xll.DBRW($C$1,$C$2,$C$3,$C$4,$C$6,$C$5,$C$7,S$1,S$2,$A126)</f>
        <v>4.6160776486105508</v>
      </c>
      <c r="T126" s="32">
        <f ca="1">_xll.DBRW($C$1,$C$2,$C$3,$C$4,$C$6,$C$5,$C$7,T$1,T$2,$A126)</f>
        <v>10.602902977160845</v>
      </c>
      <c r="U126" s="32">
        <f ca="1">_xll.DBRW($C$1,$C$2,$C$3,$C$4,$C$6,$C$5,$C$7,U$1,U$2,$A126)</f>
        <v>12.787875840560698</v>
      </c>
      <c r="V126" s="32">
        <f ca="1">_xll.DBRW($C$1,$C$2,$C$3,$C$4,$C$6,$C$5,$C$7,V$1,V$2,$A126)</f>
        <v>6.9954803988680823</v>
      </c>
      <c r="W126" s="32">
        <f ca="1">_xll.DBRW($C$1,$C$2,$C$3,$C$4,$C$6,$C$5,$C$7,W$1,W$2,$A126)</f>
        <v>16.513275738959361</v>
      </c>
      <c r="X126" s="32">
        <f ca="1">_xll.DBRW($C$1,$C$2,$C$3,$C$4,$C$6,$C$5,$C$7,X$1,X$2,$A126)</f>
        <v>22.71893196439715</v>
      </c>
      <c r="Y126" s="32">
        <f ca="1">_xll.DBRW($C$1,$C$2,$C$3,$C$4,$C$6,$C$5,$C$7,Y$1,Y$2,$A126)</f>
        <v>22.71893196439715</v>
      </c>
      <c r="Z126" s="32">
        <f ca="1">_xll.DBRW($C$1,$C$2,$C$3,$C$4,$C$6,$C$5,$C$7,Z$1,Z$2,$A126)</f>
        <v>0.47462870752170278</v>
      </c>
      <c r="AA126" s="32">
        <f ca="1">_xll.DBRW($C$1,$C$2,$C$3,$C$4,$C$6,$C$5,$C$7,AA$1,AA$2,$A126)</f>
        <v>0.94517857136744543</v>
      </c>
      <c r="AB126" s="32">
        <f ca="1">_xll.DBRW($C$1,$C$2,$C$3,$C$4,$C$6,$C$5,$C$7,AB$1,AB$2,$A126)</f>
        <v>1.4337696481591082</v>
      </c>
      <c r="AC126" s="32">
        <f ca="1">_xll.DBRW($C$1,$C$2,$C$3,$C$4,$C$6,$C$5,$C$7,AC$1,AC$2,$A126)</f>
        <v>1.906098385206811</v>
      </c>
      <c r="AD126" s="32">
        <f ca="1">_xll.DBRW($C$1,$C$2,$C$3,$C$4,$C$6,$C$5,$C$7,AD$1,AD$2,$A126)</f>
        <v>2.3931321258895135</v>
      </c>
      <c r="AE126" s="32">
        <f ca="1">_xll.DBRW($C$1,$C$2,$C$3,$C$4,$C$6,$C$5,$C$7,AE$1,AE$2,$A126)</f>
        <v>2.8724628099564247</v>
      </c>
      <c r="AF126" s="32">
        <f ca="1">_xll.DBRW($C$1,$C$2,$C$3,$C$4,$C$6,$C$5,$C$7,AF$1,AF$2,$A126)</f>
        <v>3.3488430753393352</v>
      </c>
      <c r="AG126" s="32">
        <f ca="1">_xll.DBRW($C$1,$C$2,$C$3,$C$4,$C$6,$C$5,$C$7,AG$1,AG$2,$A126)</f>
        <v>3.8092008451993467</v>
      </c>
      <c r="AH126" s="32">
        <f ca="1">_xll.DBRW($C$1,$C$2,$C$3,$C$4,$C$6,$C$5,$C$7,AH$1,AH$2,$A126)</f>
        <v>4.2751346564361574</v>
      </c>
      <c r="AI126" s="32">
        <f ca="1">_xll.DBRW($C$1,$C$2,$C$3,$C$4,$C$6,$C$5,$C$7,AI$1,AI$2,$A126)</f>
        <v>5.2398943263030677</v>
      </c>
      <c r="AJ126" s="32">
        <f ca="1">_xll.DBRW($C$1,$C$2,$C$3,$C$4,$C$6,$C$5,$C$7,AJ$1,AJ$2,$A126)</f>
        <v>5.7080354117999796</v>
      </c>
      <c r="AK126" s="32">
        <f ca="1">_xll.DBRW($C$1,$C$2,$C$3,$C$4,$C$6,$C$5,$C$7,AK$1,AK$2,$A126)</f>
        <v>6.1934709320668899</v>
      </c>
      <c r="AL126" s="32">
        <f ca="1">_xll.DBRW($C$1,$C$2,$C$3,$C$4,$C$6,$C$5,$C$7,AL$1,AL$2,$A126)</f>
        <v>6.1934709320668899</v>
      </c>
      <c r="AM126" s="32">
        <f ca="1">_xll.DBRW($C$1,$C$2,$C$3,$C$4,$C$6,$C$5,$C$7,AM$1,AM$2,$A126)</f>
        <v>1.1224060265399389</v>
      </c>
      <c r="AN126" s="32">
        <f ca="1">_xll.DBRW($C$1,$C$2,$C$3,$C$4,$C$6,$C$5,$C$7,AN$1,AN$2,$A126)</f>
        <v>2.9216468833986582</v>
      </c>
      <c r="AO126" s="32">
        <f ca="1">_xll.DBRW($C$1,$C$2,$C$3,$C$4,$C$6,$C$5,$C$7,AO$1,AO$2,$A126)</f>
        <v>-4.4408920985006262E-16</v>
      </c>
      <c r="AP126" s="32">
        <f ca="1">_xll.DBRW($C$1,$C$2,$C$3,$C$4,$C$6,$C$5,$C$7,AP$1,AP$2,$A126)</f>
        <v>-4.4408920985006262E-16</v>
      </c>
      <c r="AQ126" s="32">
        <f ca="1">_xll.DBRW($C$1,$C$2,$C$3,$C$4,$C$6,$C$5,$C$7,AQ$1,AQ$2,$A126)</f>
        <v>-4.4408920985006262E-16</v>
      </c>
      <c r="AR126" s="32">
        <f ca="1">_xll.DBRW($C$1,$C$2,$C$3,$C$4,$C$6,$C$5,$C$7,AR$1,AR$2,$A126)</f>
        <v>-4.4408920985006262E-16</v>
      </c>
      <c r="AS126" s="32">
        <f ca="1">_xll.DBRW($C$1,$C$2,$C$3,$C$4,$C$6,$C$5,$C$7,AS$1,AS$2,$A126)</f>
        <v>-4.4408920985006262E-16</v>
      </c>
      <c r="AT126" s="32">
        <f ca="1">_xll.DBRW($C$1,$C$2,$C$3,$C$4,$C$6,$C$5,$C$7,AT$1,AT$2,$A126)</f>
        <v>-4.4408920985006262E-16</v>
      </c>
      <c r="AU126" s="32">
        <f ca="1">_xll.DBRW($C$1,$C$2,$C$3,$C$4,$C$6,$C$5,$C$7,AU$1,AU$2,$A126)</f>
        <v>-4.4408920985006262E-16</v>
      </c>
      <c r="AV126" s="32">
        <f ca="1">_xll.DBRW($C$1,$C$2,$C$3,$C$4,$C$6,$C$5,$C$7,AV$1,AV$2,$A126)</f>
        <v>-4.4408920985006262E-16</v>
      </c>
      <c r="AW126" s="32">
        <f ca="1">_xll.DBRW($C$1,$C$2,$C$3,$C$4,$C$6,$C$5,$C$7,AW$1,AW$2,$A126)</f>
        <v>-4.4408920985006262E-16</v>
      </c>
      <c r="AX126" s="32">
        <f ca="1">_xll.DBRW($C$1,$C$2,$C$3,$C$4,$C$6,$C$5,$C$7,AX$1,AX$2,$A126)</f>
        <v>-4.4408920985006262E-16</v>
      </c>
      <c r="AY126" s="32">
        <f ca="1">_xll.DBRW($C$1,$C$2,$C$3,$C$4,$C$6,$C$5,$C$7,AY$1,AY$2,$A126)</f>
        <v>-4.4408920985006262E-16</v>
      </c>
    </row>
    <row r="127" spans="1:51" ht="15.75" hidden="1" customHeight="1" outlineLevel="1">
      <c r="A127" s="1" t="s">
        <v>219</v>
      </c>
      <c r="C127" s="104"/>
      <c r="E127" s="9" t="str">
        <f ca="1">_xll.DBRW(Server&amp;"}ElementAttributes_Indicator",A127,"code_English")</f>
        <v>PL1115_CD_99 - Others (CD)</v>
      </c>
      <c r="F127" s="32">
        <f ca="1">_xll.DBRW($C$1,$C$2,$C$3,$C$4,$C$6,$C$5,$C$7,F$1,F$2,$A127)</f>
        <v>-3.1978380573988545</v>
      </c>
      <c r="G127" s="32">
        <f ca="1">_xll.DBRW($C$1,$C$2,$C$3,$C$4,$C$6,$C$5,$C$7,G$1,G$2,$A127)</f>
        <v>-3.4079938566640231</v>
      </c>
      <c r="H127" s="32">
        <f ca="1">_xll.DBRW($C$1,$C$2,$C$3,$C$4,$C$6,$C$5,$C$7,H$1,H$2,$A127)</f>
        <v>-3.2327529481673571</v>
      </c>
      <c r="I127" s="32">
        <f ca="1">_xll.DBRW($C$1,$C$2,$C$3,$C$4,$C$6,$C$5,$C$7,I$1,I$2,$A127)</f>
        <v>-2.2088045181287521</v>
      </c>
      <c r="J127" s="32">
        <f ca="1">_xll.DBRW($C$1,$C$2,$C$3,$C$4,$C$6,$C$5,$C$7,J$1,J$2,$A127)</f>
        <v>-1.0974695642665939</v>
      </c>
      <c r="K127" s="32">
        <f ca="1">_xll.DBRW($C$1,$C$2,$C$3,$C$4,$C$6,$C$5,$C$7,K$1,K$2,$A127)</f>
        <v>-1.3905042968864305</v>
      </c>
      <c r="L127" s="32">
        <f ca="1">_xll.DBRW($C$1,$C$2,$C$3,$C$4,$C$6,$C$5,$C$7,L$1,L$2,$A127)</f>
        <v>-6.8290991812996662</v>
      </c>
      <c r="M127" s="32">
        <f ca="1">_xll.DBRW($C$1,$C$2,$C$3,$C$4,$C$6,$C$5,$C$7,M$1,M$2,$A127)</f>
        <v>-5.9862141245801526E-2</v>
      </c>
      <c r="N127" s="32">
        <f ca="1">_xll.DBRW($C$1,$C$2,$C$3,$C$4,$C$6,$C$5,$C$7,N$1,N$2,$A127)</f>
        <v>-0.53841436438167167</v>
      </c>
      <c r="O127" s="32">
        <f ca="1">_xll.DBRW($C$1,$C$2,$C$3,$C$4,$C$6,$C$5,$C$7,O$1,O$2,$A127)</f>
        <v>-0.79870717750776143</v>
      </c>
      <c r="P127" s="32">
        <f ca="1">_xll.DBRW($C$1,$C$2,$C$3,$C$4,$C$6,$C$5,$C$7,P$1,P$2,$A127)</f>
        <v>-0.98749934054828348</v>
      </c>
      <c r="Q127" s="32">
        <f ca="1">_xll.DBRW($C$1,$C$2,$C$3,$C$4,$C$6,$C$5,$C$7,Q$1,Q$2,$A127)</f>
        <v>-1.3222628222915047</v>
      </c>
      <c r="R127" s="32">
        <f ca="1">_xll.DBRW($C$1,$C$2,$C$3,$C$4,$C$6,$C$5,$C$7,R$1,R$2,$A127)</f>
        <v>-1.7742347279176847</v>
      </c>
      <c r="S127" s="32">
        <f ca="1">_xll.DBRW($C$1,$C$2,$C$3,$C$4,$C$6,$C$5,$C$7,S$1,S$2,$A127)</f>
        <v>-0.67707004051990594</v>
      </c>
      <c r="T127" s="32">
        <f ca="1">_xll.DBRW($C$1,$C$2,$C$3,$C$4,$C$6,$C$5,$C$7,T$1,T$2,$A127)</f>
        <v>-2.5957732323753815</v>
      </c>
      <c r="U127" s="32">
        <f ca="1">_xll.DBRW($C$1,$C$2,$C$3,$C$4,$C$6,$C$5,$C$7,U$1,U$2,$A127)</f>
        <v>-2.6458249716843563</v>
      </c>
      <c r="V127" s="32">
        <f ca="1">_xll.DBRW($C$1,$C$2,$C$3,$C$4,$C$6,$C$5,$C$7,V$1,V$2,$A127)</f>
        <v>-0.83285592734060532</v>
      </c>
      <c r="W127" s="32">
        <f ca="1">_xll.DBRW($C$1,$C$2,$C$3,$C$4,$C$6,$C$5,$C$7,W$1,W$2,$A127)</f>
        <v>-3.3518964085184528</v>
      </c>
      <c r="X127" s="32">
        <f ca="1">_xll.DBRW($C$1,$C$2,$C$3,$C$4,$C$6,$C$5,$C$7,X$1,X$2,$A127)</f>
        <v>-3.9359866620912776</v>
      </c>
      <c r="Y127" s="32">
        <f ca="1">_xll.DBRW($C$1,$C$2,$C$3,$C$4,$C$6,$C$5,$C$7,Y$1,Y$2,$A127)</f>
        <v>-3.9359866620912776</v>
      </c>
      <c r="Z127" s="32">
        <f ca="1">_xll.DBRW($C$1,$C$2,$C$3,$C$4,$C$6,$C$5,$C$7,Z$1,Z$2,$A127)</f>
        <v>-0.34585531068421682</v>
      </c>
      <c r="AA127" s="32">
        <f ca="1">_xll.DBRW($C$1,$C$2,$C$3,$C$4,$C$6,$C$5,$C$7,AA$1,AA$2,$A127)</f>
        <v>-0.68912781243297294</v>
      </c>
      <c r="AB127" s="32">
        <f ca="1">_xll.DBRW($C$1,$C$2,$C$3,$C$4,$C$6,$C$5,$C$7,AB$1,AB$2,$A127)</f>
        <v>-1.0397140915244294</v>
      </c>
      <c r="AC127" s="32">
        <f ca="1">_xll.DBRW($C$1,$C$2,$C$3,$C$4,$C$6,$C$5,$C$7,AC$1,AC$2,$A127)</f>
        <v>-1.391953411588946</v>
      </c>
      <c r="AD127" s="32">
        <f ca="1">_xll.DBRW($C$1,$C$2,$C$3,$C$4,$C$6,$C$5,$C$7,AD$1,AD$2,$A127)</f>
        <v>-1.7468440966034027</v>
      </c>
      <c r="AE127" s="32">
        <f ca="1">_xll.DBRW($C$1,$C$2,$C$3,$C$4,$C$6,$C$5,$C$7,AE$1,AE$2,$A127)</f>
        <v>-2.1082890268188588</v>
      </c>
      <c r="AF127" s="32">
        <f ca="1">_xll.DBRW($C$1,$C$2,$C$3,$C$4,$C$6,$C$5,$C$7,AF$1,AF$2,$A127)</f>
        <v>-2.460896496744315</v>
      </c>
      <c r="AG127" s="32">
        <f ca="1">_xll.DBRW($C$1,$C$2,$C$3,$C$4,$C$6,$C$5,$C$7,AG$1,AG$2,$A127)</f>
        <v>-2.810261852587832</v>
      </c>
      <c r="AH127" s="32">
        <f ca="1">_xll.DBRW($C$1,$C$2,$C$3,$C$4,$C$6,$C$5,$C$7,AH$1,AH$2,$A127)</f>
        <v>-3.1786217606132885</v>
      </c>
      <c r="AI127" s="32">
        <f ca="1">_xll.DBRW($C$1,$C$2,$C$3,$C$4,$C$6,$C$5,$C$7,AI$1,AI$2,$A127)</f>
        <v>-3.5412733048187448</v>
      </c>
      <c r="AJ127" s="32">
        <f ca="1">_xll.DBRW($C$1,$C$2,$C$3,$C$4,$C$6,$C$5,$C$7,AJ$1,AJ$2,$A127)</f>
        <v>-3.9076678208102011</v>
      </c>
      <c r="AK127" s="32">
        <f ca="1">_xll.DBRW($C$1,$C$2,$C$3,$C$4,$C$6,$C$5,$C$7,AK$1,AK$2,$A127)</f>
        <v>-4.2639627833977176</v>
      </c>
      <c r="AL127" s="32">
        <f ca="1">_xll.DBRW($C$1,$C$2,$C$3,$C$4,$C$6,$C$5,$C$7,AL$1,AL$2,$A127)</f>
        <v>-4.2639627833977176</v>
      </c>
      <c r="AM127" s="32">
        <f ca="1">_xll.DBRW($C$1,$C$2,$C$3,$C$4,$C$6,$C$5,$C$7,AM$1,AM$2,$A127)</f>
        <v>-0.10553505860949206</v>
      </c>
      <c r="AN127" s="32">
        <f ca="1">_xll.DBRW($C$1,$C$2,$C$3,$C$4,$C$6,$C$5,$C$7,AN$1,AN$2,$A127)</f>
        <v>-0.35021935240368246</v>
      </c>
      <c r="AO127" s="32">
        <f ca="1">_xll.DBRW($C$1,$C$2,$C$3,$C$4,$C$6,$C$5,$C$7,AO$1,AO$2,$A127)</f>
        <v>-1.1102230246251565E-16</v>
      </c>
      <c r="AP127" s="32">
        <f ca="1">_xll.DBRW($C$1,$C$2,$C$3,$C$4,$C$6,$C$5,$C$7,AP$1,AP$2,$A127)</f>
        <v>-1.1102230246251565E-16</v>
      </c>
      <c r="AQ127" s="32">
        <f ca="1">_xll.DBRW($C$1,$C$2,$C$3,$C$4,$C$6,$C$5,$C$7,AQ$1,AQ$2,$A127)</f>
        <v>-1.1102230246251565E-16</v>
      </c>
      <c r="AR127" s="32">
        <f ca="1">_xll.DBRW($C$1,$C$2,$C$3,$C$4,$C$6,$C$5,$C$7,AR$1,AR$2,$A127)</f>
        <v>-1.1102230246251565E-16</v>
      </c>
      <c r="AS127" s="32">
        <f ca="1">_xll.DBRW($C$1,$C$2,$C$3,$C$4,$C$6,$C$5,$C$7,AS$1,AS$2,$A127)</f>
        <v>-1.1102230246251565E-16</v>
      </c>
      <c r="AT127" s="32">
        <f ca="1">_xll.DBRW($C$1,$C$2,$C$3,$C$4,$C$6,$C$5,$C$7,AT$1,AT$2,$A127)</f>
        <v>-1.1102230246251565E-16</v>
      </c>
      <c r="AU127" s="32">
        <f ca="1">_xll.DBRW($C$1,$C$2,$C$3,$C$4,$C$6,$C$5,$C$7,AU$1,AU$2,$A127)</f>
        <v>-1.1102230246251565E-16</v>
      </c>
      <c r="AV127" s="32">
        <f ca="1">_xll.DBRW($C$1,$C$2,$C$3,$C$4,$C$6,$C$5,$C$7,AV$1,AV$2,$A127)</f>
        <v>-1.1102230246251565E-16</v>
      </c>
      <c r="AW127" s="32">
        <f ca="1">_xll.DBRW($C$1,$C$2,$C$3,$C$4,$C$6,$C$5,$C$7,AW$1,AW$2,$A127)</f>
        <v>-1.1102230246251565E-16</v>
      </c>
      <c r="AX127" s="32">
        <f ca="1">_xll.DBRW($C$1,$C$2,$C$3,$C$4,$C$6,$C$5,$C$7,AX$1,AX$2,$A127)</f>
        <v>-1.1102230246251565E-16</v>
      </c>
      <c r="AY127" s="32">
        <f ca="1">_xll.DBRW($C$1,$C$2,$C$3,$C$4,$C$6,$C$5,$C$7,AY$1,AY$2,$A127)</f>
        <v>-1.1102230246251565E-16</v>
      </c>
    </row>
    <row r="128" spans="1:51" ht="15.75" hidden="1" customHeight="1" outlineLevel="1">
      <c r="A128" s="1" t="s">
        <v>220</v>
      </c>
      <c r="C128" s="104"/>
      <c r="E128" s="9" t="str">
        <f ca="1">_xll.DBRW(Server&amp;"}ElementAttributes_Indicator",A128,"code_English")</f>
        <v>PL1140_CD_10 - Amortization (CD)</v>
      </c>
      <c r="F128" s="32">
        <f ca="1">_xll.DBRW($C$1,$C$2,$C$3,$C$4,$C$6,$C$5,$C$7,F$1,F$2,$A128)</f>
        <v>0</v>
      </c>
      <c r="G128" s="32">
        <f ca="1">_xll.DBRW($C$1,$C$2,$C$3,$C$4,$C$6,$C$5,$C$7,G$1,G$2,$A128)</f>
        <v>0</v>
      </c>
      <c r="H128" s="32">
        <f ca="1">_xll.DBRW($C$1,$C$2,$C$3,$C$4,$C$6,$C$5,$C$7,H$1,H$2,$A128)</f>
        <v>0</v>
      </c>
      <c r="I128" s="32">
        <f ca="1">_xll.DBRW($C$1,$C$2,$C$3,$C$4,$C$6,$C$5,$C$7,I$1,I$2,$A128)</f>
        <v>0</v>
      </c>
      <c r="J128" s="32">
        <f ca="1">_xll.DBRW($C$1,$C$2,$C$3,$C$4,$C$6,$C$5,$C$7,J$1,J$2,$A128)</f>
        <v>0</v>
      </c>
      <c r="K128" s="32">
        <f ca="1">_xll.DBRW($C$1,$C$2,$C$3,$C$4,$C$6,$C$5,$C$7,K$1,K$2,$A128)</f>
        <v>0</v>
      </c>
      <c r="L128" s="32">
        <f ca="1">_xll.DBRW($C$1,$C$2,$C$3,$C$4,$C$6,$C$5,$C$7,L$1,L$2,$A128)</f>
        <v>0</v>
      </c>
      <c r="M128" s="32">
        <f ca="1">_xll.DBRW($C$1,$C$2,$C$3,$C$4,$C$6,$C$5,$C$7,M$1,M$2,$A128)</f>
        <v>-8.324692864831424E-4</v>
      </c>
      <c r="N128" s="32">
        <f ca="1">_xll.DBRW($C$1,$C$2,$C$3,$C$4,$C$6,$C$5,$C$7,N$1,N$2,$A128)</f>
        <v>-1.6621134031110205E-3</v>
      </c>
      <c r="O128" s="32">
        <f ca="1">_xll.DBRW($C$1,$C$2,$C$3,$C$4,$C$6,$C$5,$C$7,O$1,O$2,$A128)</f>
        <v>-2.4932401994903482E-3</v>
      </c>
      <c r="P128" s="32">
        <f ca="1">_xll.DBRW($C$1,$C$2,$C$3,$C$4,$C$6,$C$5,$C$7,P$1,P$2,$A128)</f>
        <v>-3.3242006761042752E-3</v>
      </c>
      <c r="Q128" s="32">
        <f ca="1">_xll.DBRW($C$1,$C$2,$C$3,$C$4,$C$6,$C$5,$C$7,Q$1,Q$2,$A128)</f>
        <v>6.5052130349130266E-19</v>
      </c>
      <c r="R128" s="32">
        <f ca="1">_xll.DBRW($C$1,$C$2,$C$3,$C$4,$C$6,$C$5,$C$7,R$1,R$2,$A128)</f>
        <v>-4.952398835551498E-3</v>
      </c>
      <c r="S128" s="32">
        <f ca="1">_xll.DBRW($C$1,$C$2,$C$3,$C$4,$C$6,$C$5,$C$7,S$1,S$2,$A128)</f>
        <v>4.3368086899420177E-19</v>
      </c>
      <c r="T128" s="32">
        <f ca="1">_xll.DBRW($C$1,$C$2,$C$3,$C$4,$C$6,$C$5,$C$7,T$1,T$2,$A128)</f>
        <v>-6.5932466576870269E-3</v>
      </c>
      <c r="U128" s="32">
        <f ca="1">_xll.DBRW($C$1,$C$2,$C$3,$C$4,$C$6,$C$5,$C$7,U$1,U$2,$A128)</f>
        <v>-7.3870678386253937E-3</v>
      </c>
      <c r="V128" s="32">
        <f ca="1">_xll.DBRW($C$1,$C$2,$C$3,$C$4,$C$6,$C$5,$C$7,V$1,V$2,$A128)</f>
        <v>-8.1849909595141726E-3</v>
      </c>
      <c r="W128" s="32">
        <f ca="1">_xll.DBRW($C$1,$C$2,$C$3,$C$4,$C$6,$C$5,$C$7,W$1,W$2,$A128)</f>
        <v>-8.9846068199878962E-3</v>
      </c>
      <c r="X128" s="32">
        <f ca="1">_xll.DBRW($C$1,$C$2,$C$3,$C$4,$C$6,$C$5,$C$7,X$1,X$2,$A128)</f>
        <v>-9.7837347841752582E-3</v>
      </c>
      <c r="Y128" s="32">
        <f ca="1">_xll.DBRW($C$1,$C$2,$C$3,$C$4,$C$6,$C$5,$C$7,Y$1,Y$2,$A128)</f>
        <v>-9.7837347841752582E-3</v>
      </c>
      <c r="Z128" s="32">
        <f ca="1">_xll.DBRW($C$1,$C$2,$C$3,$C$4,$C$6,$C$5,$C$7,Z$1,Z$2,$A128)</f>
        <v>0</v>
      </c>
      <c r="AA128" s="32">
        <f ca="1">_xll.DBRW($C$1,$C$2,$C$3,$C$4,$C$6,$C$5,$C$7,AA$1,AA$2,$A128)</f>
        <v>0</v>
      </c>
      <c r="AB128" s="32">
        <f ca="1">_xll.DBRW($C$1,$C$2,$C$3,$C$4,$C$6,$C$5,$C$7,AB$1,AB$2,$A128)</f>
        <v>0</v>
      </c>
      <c r="AC128" s="32">
        <f ca="1">_xll.DBRW($C$1,$C$2,$C$3,$C$4,$C$6,$C$5,$C$7,AC$1,AC$2,$A128)</f>
        <v>0</v>
      </c>
      <c r="AD128" s="32">
        <f ca="1">_xll.DBRW($C$1,$C$2,$C$3,$C$4,$C$6,$C$5,$C$7,AD$1,AD$2,$A128)</f>
        <v>0</v>
      </c>
      <c r="AE128" s="32">
        <f ca="1">_xll.DBRW($C$1,$C$2,$C$3,$C$4,$C$6,$C$5,$C$7,AE$1,AE$2,$A128)</f>
        <v>0</v>
      </c>
      <c r="AF128" s="32">
        <f ca="1">_xll.DBRW($C$1,$C$2,$C$3,$C$4,$C$6,$C$5,$C$7,AF$1,AF$2,$A128)</f>
        <v>0</v>
      </c>
      <c r="AG128" s="32">
        <f ca="1">_xll.DBRW($C$1,$C$2,$C$3,$C$4,$C$6,$C$5,$C$7,AG$1,AG$2,$A128)</f>
        <v>0</v>
      </c>
      <c r="AH128" s="32">
        <f ca="1">_xll.DBRW($C$1,$C$2,$C$3,$C$4,$C$6,$C$5,$C$7,AH$1,AH$2,$A128)</f>
        <v>0</v>
      </c>
      <c r="AI128" s="32">
        <f ca="1">_xll.DBRW($C$1,$C$2,$C$3,$C$4,$C$6,$C$5,$C$7,AI$1,AI$2,$A128)</f>
        <v>0</v>
      </c>
      <c r="AJ128" s="32">
        <f ca="1">_xll.DBRW($C$1,$C$2,$C$3,$C$4,$C$6,$C$5,$C$7,AJ$1,AJ$2,$A128)</f>
        <v>0</v>
      </c>
      <c r="AK128" s="32">
        <f ca="1">_xll.DBRW($C$1,$C$2,$C$3,$C$4,$C$6,$C$5,$C$7,AK$1,AK$2,$A128)</f>
        <v>0</v>
      </c>
      <c r="AL128" s="32">
        <f ca="1">_xll.DBRW($C$1,$C$2,$C$3,$C$4,$C$6,$C$5,$C$7,AL$1,AL$2,$A128)</f>
        <v>0</v>
      </c>
      <c r="AM128" s="32">
        <f ca="1">_xll.DBRW($C$1,$C$2,$C$3,$C$4,$C$6,$C$5,$C$7,AM$1,AM$2,$A128)</f>
        <v>-7.8803053154542313E-4</v>
      </c>
      <c r="AN128" s="32">
        <f ca="1">_xll.DBRW($C$1,$C$2,$C$3,$C$4,$C$6,$C$5,$C$7,AN$1,AN$2,$A128)</f>
        <v>-1.573050200017121E-3</v>
      </c>
      <c r="AO128" s="32">
        <f ca="1">_xll.DBRW($C$1,$C$2,$C$3,$C$4,$C$6,$C$5,$C$7,AO$1,AO$2,$A128)</f>
        <v>-2.1684043449710089E-19</v>
      </c>
      <c r="AP128" s="32">
        <f ca="1">_xll.DBRW($C$1,$C$2,$C$3,$C$4,$C$6,$C$5,$C$7,AP$1,AP$2,$A128)</f>
        <v>-2.1684043449710089E-19</v>
      </c>
      <c r="AQ128" s="32">
        <f ca="1">_xll.DBRW($C$1,$C$2,$C$3,$C$4,$C$6,$C$5,$C$7,AQ$1,AQ$2,$A128)</f>
        <v>-2.1684043449710089E-19</v>
      </c>
      <c r="AR128" s="32">
        <f ca="1">_xll.DBRW($C$1,$C$2,$C$3,$C$4,$C$6,$C$5,$C$7,AR$1,AR$2,$A128)</f>
        <v>-2.1684043449710089E-19</v>
      </c>
      <c r="AS128" s="32">
        <f ca="1">_xll.DBRW($C$1,$C$2,$C$3,$C$4,$C$6,$C$5,$C$7,AS$1,AS$2,$A128)</f>
        <v>-2.1684043449710089E-19</v>
      </c>
      <c r="AT128" s="32">
        <f ca="1">_xll.DBRW($C$1,$C$2,$C$3,$C$4,$C$6,$C$5,$C$7,AT$1,AT$2,$A128)</f>
        <v>-2.1684043449710089E-19</v>
      </c>
      <c r="AU128" s="32">
        <f ca="1">_xll.DBRW($C$1,$C$2,$C$3,$C$4,$C$6,$C$5,$C$7,AU$1,AU$2,$A128)</f>
        <v>-2.1684043449710089E-19</v>
      </c>
      <c r="AV128" s="32">
        <f ca="1">_xll.DBRW($C$1,$C$2,$C$3,$C$4,$C$6,$C$5,$C$7,AV$1,AV$2,$A128)</f>
        <v>-2.1684043449710089E-19</v>
      </c>
      <c r="AW128" s="32">
        <f ca="1">_xll.DBRW($C$1,$C$2,$C$3,$C$4,$C$6,$C$5,$C$7,AW$1,AW$2,$A128)</f>
        <v>-2.1684043449710089E-19</v>
      </c>
      <c r="AX128" s="32">
        <f ca="1">_xll.DBRW($C$1,$C$2,$C$3,$C$4,$C$6,$C$5,$C$7,AX$1,AX$2,$A128)</f>
        <v>-2.1684043449710089E-19</v>
      </c>
      <c r="AY128" s="32">
        <f ca="1">_xll.DBRW($C$1,$C$2,$C$3,$C$4,$C$6,$C$5,$C$7,AY$1,AY$2,$A128)</f>
        <v>-2.1684043449710089E-19</v>
      </c>
    </row>
    <row r="129" spans="1:51" ht="15.75" hidden="1" customHeight="1" outlineLevel="1">
      <c r="A129" s="1" t="s">
        <v>221</v>
      </c>
      <c r="C129" s="104"/>
      <c r="E129" s="9" t="str">
        <f ca="1">_xll.DBRW(Server&amp;"}ElementAttributes_Indicator",A129,"code_English")</f>
        <v>PL1150_CD_15 - Impairment (other than working capital) and provisions - related to worker compensations</v>
      </c>
      <c r="F129" s="32">
        <f ca="1">_xll.DBRW($C$1,$C$2,$C$3,$C$4,$C$6,$C$5,$C$7,F$1,F$2,$A129)</f>
        <v>-1.2637278596827324</v>
      </c>
      <c r="G129" s="32">
        <f ca="1">_xll.DBRW($C$1,$C$2,$C$3,$C$4,$C$6,$C$5,$C$7,G$1,G$2,$A129)</f>
        <v>-6.1301128814092118</v>
      </c>
      <c r="H129" s="32">
        <f ca="1">_xll.DBRW($C$1,$C$2,$C$3,$C$4,$C$6,$C$5,$C$7,H$1,H$2,$A129)</f>
        <v>-7.0280693419951135</v>
      </c>
      <c r="I129" s="32">
        <f ca="1">_xll.DBRW($C$1,$C$2,$C$3,$C$4,$C$6,$C$5,$C$7,I$1,I$2,$A129)</f>
        <v>-2.0446577330259972</v>
      </c>
      <c r="J129" s="32">
        <f ca="1">_xll.DBRW($C$1,$C$2,$C$3,$C$4,$C$6,$C$5,$C$7,J$1,J$2,$A129)</f>
        <v>-4.3458760172932882</v>
      </c>
      <c r="K129" s="32">
        <f ca="1">_xll.DBRW($C$1,$C$2,$C$3,$C$4,$C$6,$C$5,$C$7,K$1,K$2,$A129)</f>
        <v>0.18725779871299575</v>
      </c>
      <c r="L129" s="32">
        <f ca="1">_xll.DBRW($C$1,$C$2,$C$3,$C$4,$C$6,$C$5,$C$7,L$1,L$2,$A129)</f>
        <v>1.230739072275862</v>
      </c>
      <c r="M129" s="32">
        <f ca="1">_xll.DBRW($C$1,$C$2,$C$3,$C$4,$C$6,$C$5,$C$7,M$1,M$2,$A129)</f>
        <v>-0.1689819438257168</v>
      </c>
      <c r="N129" s="32">
        <f ca="1">_xll.DBRW($C$1,$C$2,$C$3,$C$4,$C$6,$C$5,$C$7,N$1,N$2,$A129)</f>
        <v>-1.6501534446209813</v>
      </c>
      <c r="O129" s="32">
        <f ca="1">_xll.DBRW($C$1,$C$2,$C$3,$C$4,$C$6,$C$5,$C$7,O$1,O$2,$A129)</f>
        <v>-1.3873551160435813</v>
      </c>
      <c r="P129" s="32">
        <f ca="1">_xll.DBRW($C$1,$C$2,$C$3,$C$4,$C$6,$C$5,$C$7,P$1,P$2,$A129)</f>
        <v>-3.2345308246044882</v>
      </c>
      <c r="Q129" s="32">
        <f ca="1">_xll.DBRW($C$1,$C$2,$C$3,$C$4,$C$6,$C$5,$C$7,Q$1,Q$2,$A129)</f>
        <v>-3.7174883890977215</v>
      </c>
      <c r="R129" s="32">
        <f ca="1">_xll.DBRW($C$1,$C$2,$C$3,$C$4,$C$6,$C$5,$C$7,R$1,R$2,$A129)</f>
        <v>5.4427980812221852</v>
      </c>
      <c r="S129" s="32">
        <f ca="1">_xll.DBRW($C$1,$C$2,$C$3,$C$4,$C$6,$C$5,$C$7,S$1,S$2,$A129)</f>
        <v>-1.2147723771035688</v>
      </c>
      <c r="T129" s="32">
        <f ca="1">_xll.DBRW($C$1,$C$2,$C$3,$C$4,$C$6,$C$5,$C$7,T$1,T$2,$A129)</f>
        <v>4.1557736606151616</v>
      </c>
      <c r="U129" s="32">
        <f ca="1">_xll.DBRW($C$1,$C$2,$C$3,$C$4,$C$6,$C$5,$C$7,U$1,U$2,$A129)</f>
        <v>4.2100389283802766</v>
      </c>
      <c r="V129" s="32">
        <f ca="1">_xll.DBRW($C$1,$C$2,$C$3,$C$4,$C$6,$C$5,$C$7,V$1,V$2,$A129)</f>
        <v>-1.7114582572122208</v>
      </c>
      <c r="W129" s="32">
        <f ca="1">_xll.DBRW($C$1,$C$2,$C$3,$C$4,$C$6,$C$5,$C$7,W$1,W$2,$A129)</f>
        <v>2.2993195161921394</v>
      </c>
      <c r="X129" s="32">
        <f ca="1">_xll.DBRW($C$1,$C$2,$C$3,$C$4,$C$6,$C$5,$C$7,X$1,X$2,$A129)</f>
        <v>1.2360415747181541</v>
      </c>
      <c r="Y129" s="32">
        <f ca="1">_xll.DBRW($C$1,$C$2,$C$3,$C$4,$C$6,$C$5,$C$7,Y$1,Y$2,$A129)</f>
        <v>1.2360415747181541</v>
      </c>
      <c r="Z129" s="32">
        <f ca="1">_xll.DBRW($C$1,$C$2,$C$3,$C$4,$C$6,$C$5,$C$7,Z$1,Z$2,$A129)</f>
        <v>-0.30400357368421049</v>
      </c>
      <c r="AA129" s="32">
        <f ca="1">_xll.DBRW($C$1,$C$2,$C$3,$C$4,$C$6,$C$5,$C$7,AA$1,AA$2,$A129)</f>
        <v>-0.59487458578947372</v>
      </c>
      <c r="AB129" s="32">
        <f ca="1">_xll.DBRW($C$1,$C$2,$C$3,$C$4,$C$6,$C$5,$C$7,AB$1,AB$2,$A129)</f>
        <v>-0.90673437526315792</v>
      </c>
      <c r="AC129" s="32">
        <f ca="1">_xll.DBRW($C$1,$C$2,$C$3,$C$4,$C$6,$C$5,$C$7,AC$1,AC$2,$A129)</f>
        <v>-1.2054554884210527</v>
      </c>
      <c r="AD129" s="32">
        <f ca="1">_xll.DBRW($C$1,$C$2,$C$3,$C$4,$C$6,$C$5,$C$7,AD$1,AD$2,$A129)</f>
        <v>-1.3499493789473682</v>
      </c>
      <c r="AE129" s="32">
        <f ca="1">_xll.DBRW($C$1,$C$2,$C$3,$C$4,$C$6,$C$5,$C$7,AE$1,AE$2,$A129)</f>
        <v>-1.49469728</v>
      </c>
      <c r="AF129" s="32">
        <f ca="1">_xll.DBRW($C$1,$C$2,$C$3,$C$4,$C$6,$C$5,$C$7,AF$1,AF$2,$A129)</f>
        <v>-1.6411310405263158</v>
      </c>
      <c r="AG129" s="32">
        <f ca="1">_xll.DBRW($C$1,$C$2,$C$3,$C$4,$C$6,$C$5,$C$7,AG$1,AG$2,$A129)</f>
        <v>-1.7795664015789474</v>
      </c>
      <c r="AH129" s="32">
        <f ca="1">_xll.DBRW($C$1,$C$2,$C$3,$C$4,$C$6,$C$5,$C$7,AH$1,AH$2,$A129)</f>
        <v>-1.9464163710526314</v>
      </c>
      <c r="AI129" s="32">
        <f ca="1">_xll.DBRW($C$1,$C$2,$C$3,$C$4,$C$6,$C$5,$C$7,AI$1,AI$2,$A129)</f>
        <v>-2.0901772173684212</v>
      </c>
      <c r="AJ129" s="32">
        <f ca="1">_xll.DBRW($C$1,$C$2,$C$3,$C$4,$C$6,$C$5,$C$7,AJ$1,AJ$2,$A129)</f>
        <v>-2.2341998310526314</v>
      </c>
      <c r="AK129" s="32">
        <f ca="1">_xll.DBRW($C$1,$C$2,$C$3,$C$4,$C$6,$C$5,$C$7,AK$1,AK$2,$A129)</f>
        <v>0.59602747263157863</v>
      </c>
      <c r="AL129" s="32">
        <f ca="1">_xll.DBRW($C$1,$C$2,$C$3,$C$4,$C$6,$C$5,$C$7,AL$1,AL$2,$A129)</f>
        <v>0.59602747263157863</v>
      </c>
      <c r="AM129" s="32">
        <f ca="1">_xll.DBRW($C$1,$C$2,$C$3,$C$4,$C$6,$C$5,$C$7,AM$1,AM$2,$A129)</f>
        <v>-1.2056517634312962</v>
      </c>
      <c r="AN129" s="32">
        <f ca="1">_xll.DBRW($C$1,$C$2,$C$3,$C$4,$C$6,$C$5,$C$7,AN$1,AN$2,$A129)</f>
        <v>-1.3044102802581843</v>
      </c>
      <c r="AO129" s="32">
        <f ca="1">_xll.DBRW($C$1,$C$2,$C$3,$C$4,$C$6,$C$5,$C$7,AO$1,AO$2,$A129)</f>
        <v>6.6613381477509392E-16</v>
      </c>
      <c r="AP129" s="32">
        <f ca="1">_xll.DBRW($C$1,$C$2,$C$3,$C$4,$C$6,$C$5,$C$7,AP$1,AP$2,$A129)</f>
        <v>6.6613381477509392E-16</v>
      </c>
      <c r="AQ129" s="32">
        <f ca="1">_xll.DBRW($C$1,$C$2,$C$3,$C$4,$C$6,$C$5,$C$7,AQ$1,AQ$2,$A129)</f>
        <v>6.6613381477509392E-16</v>
      </c>
      <c r="AR129" s="32">
        <f ca="1">_xll.DBRW($C$1,$C$2,$C$3,$C$4,$C$6,$C$5,$C$7,AR$1,AR$2,$A129)</f>
        <v>6.6613381477509392E-16</v>
      </c>
      <c r="AS129" s="32">
        <f ca="1">_xll.DBRW($C$1,$C$2,$C$3,$C$4,$C$6,$C$5,$C$7,AS$1,AS$2,$A129)</f>
        <v>6.6613381477509392E-16</v>
      </c>
      <c r="AT129" s="32">
        <f ca="1">_xll.DBRW($C$1,$C$2,$C$3,$C$4,$C$6,$C$5,$C$7,AT$1,AT$2,$A129)</f>
        <v>6.6613381477509392E-16</v>
      </c>
      <c r="AU129" s="32">
        <f ca="1">_xll.DBRW($C$1,$C$2,$C$3,$C$4,$C$6,$C$5,$C$7,AU$1,AU$2,$A129)</f>
        <v>6.6613381477509392E-16</v>
      </c>
      <c r="AV129" s="32">
        <f ca="1">_xll.DBRW($C$1,$C$2,$C$3,$C$4,$C$6,$C$5,$C$7,AV$1,AV$2,$A129)</f>
        <v>6.6613381477509392E-16</v>
      </c>
      <c r="AW129" s="32">
        <f ca="1">_xll.DBRW($C$1,$C$2,$C$3,$C$4,$C$6,$C$5,$C$7,AW$1,AW$2,$A129)</f>
        <v>6.6613381477509392E-16</v>
      </c>
      <c r="AX129" s="32">
        <f ca="1">_xll.DBRW($C$1,$C$2,$C$3,$C$4,$C$6,$C$5,$C$7,AX$1,AX$2,$A129)</f>
        <v>6.6613381477509392E-16</v>
      </c>
      <c r="AY129" s="32">
        <f ca="1">_xll.DBRW($C$1,$C$2,$C$3,$C$4,$C$6,$C$5,$C$7,AY$1,AY$2,$A129)</f>
        <v>6.6613381477509392E-16</v>
      </c>
    </row>
    <row r="130" spans="1:51" ht="15.75" hidden="1" customHeight="1" outlineLevel="1">
      <c r="A130" s="1" t="s">
        <v>222</v>
      </c>
      <c r="C130" s="104"/>
      <c r="E130" s="9" t="str">
        <f ca="1">_xll.DBRW(Server&amp;"}ElementAttributes_Indicator",A130,"code_English")</f>
        <v>PL1150_CD_25 - Impairment (other than working capital) and provisions - related to autoliability</v>
      </c>
      <c r="F130" s="32">
        <f ca="1">_xll.DBRW($C$1,$C$2,$C$3,$C$4,$C$6,$C$5,$C$7,F$1,F$2,$A130)</f>
        <v>1.2190015005518631</v>
      </c>
      <c r="G130" s="32">
        <f ca="1">_xll.DBRW($C$1,$C$2,$C$3,$C$4,$C$6,$C$5,$C$7,G$1,G$2,$A130)</f>
        <v>-23.395503954788591</v>
      </c>
      <c r="H130" s="32">
        <f ca="1">_xll.DBRW($C$1,$C$2,$C$3,$C$4,$C$6,$C$5,$C$7,H$1,H$2,$A130)</f>
        <v>-38.305436675959321</v>
      </c>
      <c r="I130" s="32">
        <f ca="1">_xll.DBRW($C$1,$C$2,$C$3,$C$4,$C$6,$C$5,$C$7,I$1,I$2,$A130)</f>
        <v>-13.39858940983498</v>
      </c>
      <c r="J130" s="32">
        <f ca="1">_xll.DBRW($C$1,$C$2,$C$3,$C$4,$C$6,$C$5,$C$7,J$1,J$2,$A130)</f>
        <v>9.1183222139943165</v>
      </c>
      <c r="K130" s="32">
        <f ca="1">_xll.DBRW($C$1,$C$2,$C$3,$C$4,$C$6,$C$5,$C$7,K$1,K$2,$A130)</f>
        <v>7.9755819115473248</v>
      </c>
      <c r="L130" s="32">
        <f ca="1">_xll.DBRW($C$1,$C$2,$C$3,$C$4,$C$6,$C$5,$C$7,L$1,L$2,$A130)</f>
        <v>13.844876616000001</v>
      </c>
      <c r="M130" s="32">
        <f ca="1">_xll.DBRW($C$1,$C$2,$C$3,$C$4,$C$6,$C$5,$C$7,M$1,M$2,$A130)</f>
        <v>-0.1204572183729902</v>
      </c>
      <c r="N130" s="32">
        <f ca="1">_xll.DBRW($C$1,$C$2,$C$3,$C$4,$C$6,$C$5,$C$7,N$1,N$2,$A130)</f>
        <v>0.32713082578566854</v>
      </c>
      <c r="O130" s="32">
        <f ca="1">_xll.DBRW($C$1,$C$2,$C$3,$C$4,$C$6,$C$5,$C$7,O$1,O$2,$A130)</f>
        <v>-0.25111736053644529</v>
      </c>
      <c r="P130" s="32">
        <f ca="1">_xll.DBRW($C$1,$C$2,$C$3,$C$4,$C$6,$C$5,$C$7,P$1,P$2,$A130)</f>
        <v>0.55578468732368824</v>
      </c>
      <c r="Q130" s="32">
        <f ca="1">_xll.DBRW($C$1,$C$2,$C$3,$C$4,$C$6,$C$5,$C$7,Q$1,Q$2,$A130)</f>
        <v>1.224950508861907</v>
      </c>
      <c r="R130" s="32">
        <f ca="1">_xll.DBRW($C$1,$C$2,$C$3,$C$4,$C$6,$C$5,$C$7,R$1,R$2,$A130)</f>
        <v>5.6094871436530829</v>
      </c>
      <c r="S130" s="32">
        <f ca="1">_xll.DBRW($C$1,$C$2,$C$3,$C$4,$C$6,$C$5,$C$7,S$1,S$2,$A130)</f>
        <v>-9.9920072216264089E-16</v>
      </c>
      <c r="T130" s="32">
        <f ca="1">_xll.DBRW($C$1,$C$2,$C$3,$C$4,$C$6,$C$5,$C$7,T$1,T$2,$A130)</f>
        <v>12.841467638832166</v>
      </c>
      <c r="U130" s="32">
        <f ca="1">_xll.DBRW($C$1,$C$2,$C$3,$C$4,$C$6,$C$5,$C$7,U$1,U$2,$A130)</f>
        <v>16.023773457982848</v>
      </c>
      <c r="V130" s="32">
        <f ca="1">_xll.DBRW($C$1,$C$2,$C$3,$C$4,$C$6,$C$5,$C$7,V$1,V$2,$A130)</f>
        <v>-0.15185538437875323</v>
      </c>
      <c r="W130" s="32">
        <f ca="1">_xll.DBRW($C$1,$C$2,$C$3,$C$4,$C$6,$C$5,$C$7,W$1,W$2,$A130)</f>
        <v>23.354145098292665</v>
      </c>
      <c r="X130" s="32">
        <f ca="1">_xll.DBRW($C$1,$C$2,$C$3,$C$4,$C$6,$C$5,$C$7,X$1,X$2,$A130)</f>
        <v>21.443718929746666</v>
      </c>
      <c r="Y130" s="32">
        <f ca="1">_xll.DBRW($C$1,$C$2,$C$3,$C$4,$C$6,$C$5,$C$7,Y$1,Y$2,$A130)</f>
        <v>21.443718929746666</v>
      </c>
      <c r="Z130" s="32">
        <f ca="1">_xll.DBRW($C$1,$C$2,$C$3,$C$4,$C$6,$C$5,$C$7,Z$1,Z$2,$A130)</f>
        <v>0.69841466000000008</v>
      </c>
      <c r="AA130" s="32">
        <f ca="1">_xll.DBRW($C$1,$C$2,$C$3,$C$4,$C$6,$C$5,$C$7,AA$1,AA$2,$A130)</f>
        <v>1.3746665499999999</v>
      </c>
      <c r="AB130" s="32">
        <f ca="1">_xll.DBRW($C$1,$C$2,$C$3,$C$4,$C$6,$C$5,$C$7,AB$1,AB$2,$A130)</f>
        <v>2.1213598500000002</v>
      </c>
      <c r="AC130" s="32">
        <f ca="1">_xll.DBRW($C$1,$C$2,$C$3,$C$4,$C$6,$C$5,$C$7,AC$1,AC$2,$A130)</f>
        <v>2.8481234899999999</v>
      </c>
      <c r="AD130" s="32">
        <f ca="1">_xll.DBRW($C$1,$C$2,$C$3,$C$4,$C$6,$C$5,$C$7,AD$1,AD$2,$A130)</f>
        <v>3.6070281</v>
      </c>
      <c r="AE130" s="32">
        <f ca="1">_xll.DBRW($C$1,$C$2,$C$3,$C$4,$C$6,$C$5,$C$7,AE$1,AE$2,$A130)</f>
        <v>4.3461655199999996</v>
      </c>
      <c r="AF130" s="32">
        <f ca="1">_xll.DBRW($C$1,$C$2,$C$3,$C$4,$C$6,$C$5,$C$7,AF$1,AF$2,$A130)</f>
        <v>5.1129937099999996</v>
      </c>
      <c r="AG130" s="32">
        <f ca="1">_xll.DBRW($C$1,$C$2,$C$3,$C$4,$C$6,$C$5,$C$7,AG$1,AG$2,$A130)</f>
        <v>5.92592564</v>
      </c>
      <c r="AH130" s="32">
        <f ca="1">_xll.DBRW($C$1,$C$2,$C$3,$C$4,$C$6,$C$5,$C$7,AH$1,AH$2,$A130)</f>
        <v>6.6908047599999998</v>
      </c>
      <c r="AI130" s="32">
        <f ca="1">_xll.DBRW($C$1,$C$2,$C$3,$C$4,$C$6,$C$5,$C$7,AI$1,AI$2,$A130)</f>
        <v>7.4591550299999998</v>
      </c>
      <c r="AJ130" s="32">
        <f ca="1">_xll.DBRW($C$1,$C$2,$C$3,$C$4,$C$6,$C$5,$C$7,AJ$1,AJ$2,$A130)</f>
        <v>8.2067079300000003</v>
      </c>
      <c r="AK130" s="32">
        <f ca="1">_xll.DBRW($C$1,$C$2,$C$3,$C$4,$C$6,$C$5,$C$7,AK$1,AK$2,$A130)</f>
        <v>8.9472155299999994</v>
      </c>
      <c r="AL130" s="32">
        <f ca="1">_xll.DBRW($C$1,$C$2,$C$3,$C$4,$C$6,$C$5,$C$7,AL$1,AL$2,$A130)</f>
        <v>8.9472155299999994</v>
      </c>
      <c r="AM130" s="32">
        <f ca="1">_xll.DBRW($C$1,$C$2,$C$3,$C$4,$C$6,$C$5,$C$7,AM$1,AM$2,$A130)</f>
        <v>0.49676779763037759</v>
      </c>
      <c r="AN130" s="32">
        <f ca="1">_xll.DBRW($C$1,$C$2,$C$3,$C$4,$C$6,$C$5,$C$7,AN$1,AN$2,$A130)</f>
        <v>1.0669269432428865</v>
      </c>
      <c r="AO130" s="32">
        <f ca="1">_xll.DBRW($C$1,$C$2,$C$3,$C$4,$C$6,$C$5,$C$7,AO$1,AO$2,$A130)</f>
        <v>2.2204460492503131E-16</v>
      </c>
      <c r="AP130" s="32">
        <f ca="1">_xll.DBRW($C$1,$C$2,$C$3,$C$4,$C$6,$C$5,$C$7,AP$1,AP$2,$A130)</f>
        <v>2.2204460492503131E-16</v>
      </c>
      <c r="AQ130" s="32">
        <f ca="1">_xll.DBRW($C$1,$C$2,$C$3,$C$4,$C$6,$C$5,$C$7,AQ$1,AQ$2,$A130)</f>
        <v>2.2204460492503131E-16</v>
      </c>
      <c r="AR130" s="32">
        <f ca="1">_xll.DBRW($C$1,$C$2,$C$3,$C$4,$C$6,$C$5,$C$7,AR$1,AR$2,$A130)</f>
        <v>2.2204460492503131E-16</v>
      </c>
      <c r="AS130" s="32">
        <f ca="1">_xll.DBRW($C$1,$C$2,$C$3,$C$4,$C$6,$C$5,$C$7,AS$1,AS$2,$A130)</f>
        <v>2.2204460492503131E-16</v>
      </c>
      <c r="AT130" s="32">
        <f ca="1">_xll.DBRW($C$1,$C$2,$C$3,$C$4,$C$6,$C$5,$C$7,AT$1,AT$2,$A130)</f>
        <v>2.2204460492503131E-16</v>
      </c>
      <c r="AU130" s="32">
        <f ca="1">_xll.DBRW($C$1,$C$2,$C$3,$C$4,$C$6,$C$5,$C$7,AU$1,AU$2,$A130)</f>
        <v>2.2204460492503131E-16</v>
      </c>
      <c r="AV130" s="32">
        <f ca="1">_xll.DBRW($C$1,$C$2,$C$3,$C$4,$C$6,$C$5,$C$7,AV$1,AV$2,$A130)</f>
        <v>2.2204460492503131E-16</v>
      </c>
      <c r="AW130" s="32">
        <f ca="1">_xll.DBRW($C$1,$C$2,$C$3,$C$4,$C$6,$C$5,$C$7,AW$1,AW$2,$A130)</f>
        <v>2.2204460492503131E-16</v>
      </c>
      <c r="AX130" s="32">
        <f ca="1">_xll.DBRW($C$1,$C$2,$C$3,$C$4,$C$6,$C$5,$C$7,AX$1,AX$2,$A130)</f>
        <v>2.2204460492503131E-16</v>
      </c>
      <c r="AY130" s="32">
        <f ca="1">_xll.DBRW($C$1,$C$2,$C$3,$C$4,$C$6,$C$5,$C$7,AY$1,AY$2,$A130)</f>
        <v>2.2204460492503131E-16</v>
      </c>
    </row>
    <row r="131" spans="1:51" ht="15.75" hidden="1" customHeight="1" outlineLevel="1">
      <c r="A131" s="1" t="s">
        <v>223</v>
      </c>
      <c r="C131" s="104"/>
      <c r="E131" s="9" t="str">
        <f ca="1">_xll.DBRW(Server&amp;"}ElementAttributes_Indicator",A131,"code_English")</f>
        <v>PL1150_CD_90 - Impairment (other than working capital) and provisions - others (CD)</v>
      </c>
      <c r="F131" s="32">
        <f ca="1">_xll.DBRW($C$1,$C$2,$C$3,$C$4,$C$6,$C$5,$C$7,F$1,F$2,$A131)</f>
        <v>0</v>
      </c>
      <c r="G131" s="32">
        <f ca="1">_xll.DBRW($C$1,$C$2,$C$3,$C$4,$C$6,$C$5,$C$7,G$1,G$2,$A131)</f>
        <v>0</v>
      </c>
      <c r="H131" s="32">
        <f ca="1">_xll.DBRW($C$1,$C$2,$C$3,$C$4,$C$6,$C$5,$C$7,H$1,H$2,$A131)</f>
        <v>0</v>
      </c>
      <c r="I131" s="32">
        <f ca="1">_xll.DBRW($C$1,$C$2,$C$3,$C$4,$C$6,$C$5,$C$7,I$1,I$2,$A131)</f>
        <v>0</v>
      </c>
      <c r="J131" s="32">
        <f ca="1">_xll.DBRW($C$1,$C$2,$C$3,$C$4,$C$6,$C$5,$C$7,J$1,J$2,$A131)</f>
        <v>0</v>
      </c>
      <c r="K131" s="32">
        <f ca="1">_xll.DBRW($C$1,$C$2,$C$3,$C$4,$C$6,$C$5,$C$7,K$1,K$2,$A131)</f>
        <v>-7.1339419999999987E-2</v>
      </c>
      <c r="L131" s="32">
        <f ca="1">_xll.DBRW($C$1,$C$2,$C$3,$C$4,$C$6,$C$5,$C$7,L$1,L$2,$A131)</f>
        <v>0</v>
      </c>
      <c r="M131" s="32">
        <f ca="1">_xll.DBRW($C$1,$C$2,$C$3,$C$4,$C$6,$C$5,$C$7,M$1,M$2,$A131)</f>
        <v>0</v>
      </c>
      <c r="N131" s="32">
        <f ca="1">_xll.DBRW($C$1,$C$2,$C$3,$C$4,$C$6,$C$5,$C$7,N$1,N$2,$A131)</f>
        <v>0</v>
      </c>
      <c r="O131" s="32">
        <f ca="1">_xll.DBRW($C$1,$C$2,$C$3,$C$4,$C$6,$C$5,$C$7,O$1,O$2,$A131)</f>
        <v>1.1704199999999999E-3</v>
      </c>
      <c r="P131" s="32">
        <f ca="1">_xll.DBRW($C$1,$C$2,$C$3,$C$4,$C$6,$C$5,$C$7,P$1,P$2,$A131)</f>
        <v>1.1704199999999999E-3</v>
      </c>
      <c r="Q131" s="32">
        <f ca="1">_xll.DBRW($C$1,$C$2,$C$3,$C$4,$C$6,$C$5,$C$7,Q$1,Q$2,$A131)</f>
        <v>1.1704199999999999E-3</v>
      </c>
      <c r="R131" s="32">
        <f ca="1">_xll.DBRW($C$1,$C$2,$C$3,$C$4,$C$6,$C$5,$C$7,R$1,R$2,$A131)</f>
        <v>1.1704199999999999E-3</v>
      </c>
      <c r="S131" s="32">
        <f ca="1">_xll.DBRW($C$1,$C$2,$C$3,$C$4,$C$6,$C$5,$C$7,S$1,S$2,$A131)</f>
        <v>0</v>
      </c>
      <c r="T131" s="32">
        <f ca="1">_xll.DBRW($C$1,$C$2,$C$3,$C$4,$C$6,$C$5,$C$7,T$1,T$2,$A131)</f>
        <v>1.1704199999999999E-3</v>
      </c>
      <c r="U131" s="32">
        <f ca="1">_xll.DBRW($C$1,$C$2,$C$3,$C$4,$C$6,$C$5,$C$7,U$1,U$2,$A131)</f>
        <v>1.1704199999999999E-3</v>
      </c>
      <c r="V131" s="32">
        <f ca="1">_xll.DBRW($C$1,$C$2,$C$3,$C$4,$C$6,$C$5,$C$7,V$1,V$2,$A131)</f>
        <v>0</v>
      </c>
      <c r="W131" s="32">
        <f ca="1">_xll.DBRW($C$1,$C$2,$C$3,$C$4,$C$6,$C$5,$C$7,W$1,W$2,$A131)</f>
        <v>1.4971679999999999E-2</v>
      </c>
      <c r="X131" s="32">
        <f ca="1">_xll.DBRW($C$1,$C$2,$C$3,$C$4,$C$6,$C$5,$C$7,X$1,X$2,$A131)</f>
        <v>3.8313920000000001E-2</v>
      </c>
      <c r="Y131" s="32">
        <f ca="1">_xll.DBRW($C$1,$C$2,$C$3,$C$4,$C$6,$C$5,$C$7,Y$1,Y$2,$A131)</f>
        <v>3.8313920000000001E-2</v>
      </c>
      <c r="Z131" s="32">
        <f ca="1">_xll.DBRW($C$1,$C$2,$C$3,$C$4,$C$6,$C$5,$C$7,Z$1,Z$2,$A131)</f>
        <v>0</v>
      </c>
      <c r="AA131" s="32">
        <f ca="1">_xll.DBRW($C$1,$C$2,$C$3,$C$4,$C$6,$C$5,$C$7,AA$1,AA$2,$A131)</f>
        <v>0</v>
      </c>
      <c r="AB131" s="32">
        <f ca="1">_xll.DBRW($C$1,$C$2,$C$3,$C$4,$C$6,$C$5,$C$7,AB$1,AB$2,$A131)</f>
        <v>0</v>
      </c>
      <c r="AC131" s="32">
        <f ca="1">_xll.DBRW($C$1,$C$2,$C$3,$C$4,$C$6,$C$5,$C$7,AC$1,AC$2,$A131)</f>
        <v>0</v>
      </c>
      <c r="AD131" s="32">
        <f ca="1">_xll.DBRW($C$1,$C$2,$C$3,$C$4,$C$6,$C$5,$C$7,AD$1,AD$2,$A131)</f>
        <v>0</v>
      </c>
      <c r="AE131" s="32">
        <f ca="1">_xll.DBRW($C$1,$C$2,$C$3,$C$4,$C$6,$C$5,$C$7,AE$1,AE$2,$A131)</f>
        <v>0</v>
      </c>
      <c r="AF131" s="32">
        <f ca="1">_xll.DBRW($C$1,$C$2,$C$3,$C$4,$C$6,$C$5,$C$7,AF$1,AF$2,$A131)</f>
        <v>0</v>
      </c>
      <c r="AG131" s="32">
        <f ca="1">_xll.DBRW($C$1,$C$2,$C$3,$C$4,$C$6,$C$5,$C$7,AG$1,AG$2,$A131)</f>
        <v>0</v>
      </c>
      <c r="AH131" s="32">
        <f ca="1">_xll.DBRW($C$1,$C$2,$C$3,$C$4,$C$6,$C$5,$C$7,AH$1,AH$2,$A131)</f>
        <v>0</v>
      </c>
      <c r="AI131" s="32">
        <f ca="1">_xll.DBRW($C$1,$C$2,$C$3,$C$4,$C$6,$C$5,$C$7,AI$1,AI$2,$A131)</f>
        <v>0</v>
      </c>
      <c r="AJ131" s="32">
        <f ca="1">_xll.DBRW($C$1,$C$2,$C$3,$C$4,$C$6,$C$5,$C$7,AJ$1,AJ$2,$A131)</f>
        <v>0</v>
      </c>
      <c r="AK131" s="32">
        <f ca="1">_xll.DBRW($C$1,$C$2,$C$3,$C$4,$C$6,$C$5,$C$7,AK$1,AK$2,$A131)</f>
        <v>0</v>
      </c>
      <c r="AL131" s="32">
        <f ca="1">_xll.DBRW($C$1,$C$2,$C$3,$C$4,$C$6,$C$5,$C$7,AL$1,AL$2,$A131)</f>
        <v>0</v>
      </c>
      <c r="AM131" s="32">
        <f ca="1">_xll.DBRW($C$1,$C$2,$C$3,$C$4,$C$6,$C$5,$C$7,AM$1,AM$2,$A131)</f>
        <v>0</v>
      </c>
      <c r="AN131" s="32">
        <f ca="1">_xll.DBRW($C$1,$C$2,$C$3,$C$4,$C$6,$C$5,$C$7,AN$1,AN$2,$A131)</f>
        <v>0</v>
      </c>
      <c r="AO131" s="32">
        <f ca="1">_xll.DBRW($C$1,$C$2,$C$3,$C$4,$C$6,$C$5,$C$7,AO$1,AO$2,$A131)</f>
        <v>0</v>
      </c>
      <c r="AP131" s="32">
        <f ca="1">_xll.DBRW($C$1,$C$2,$C$3,$C$4,$C$6,$C$5,$C$7,AP$1,AP$2,$A131)</f>
        <v>0</v>
      </c>
      <c r="AQ131" s="32">
        <f ca="1">_xll.DBRW($C$1,$C$2,$C$3,$C$4,$C$6,$C$5,$C$7,AQ$1,AQ$2,$A131)</f>
        <v>0</v>
      </c>
      <c r="AR131" s="32">
        <f ca="1">_xll.DBRW($C$1,$C$2,$C$3,$C$4,$C$6,$C$5,$C$7,AR$1,AR$2,$A131)</f>
        <v>0</v>
      </c>
      <c r="AS131" s="32">
        <f ca="1">_xll.DBRW($C$1,$C$2,$C$3,$C$4,$C$6,$C$5,$C$7,AS$1,AS$2,$A131)</f>
        <v>0</v>
      </c>
      <c r="AT131" s="32">
        <f ca="1">_xll.DBRW($C$1,$C$2,$C$3,$C$4,$C$6,$C$5,$C$7,AT$1,AT$2,$A131)</f>
        <v>0</v>
      </c>
      <c r="AU131" s="32">
        <f ca="1">_xll.DBRW($C$1,$C$2,$C$3,$C$4,$C$6,$C$5,$C$7,AU$1,AU$2,$A131)</f>
        <v>0</v>
      </c>
      <c r="AV131" s="32">
        <f ca="1">_xll.DBRW($C$1,$C$2,$C$3,$C$4,$C$6,$C$5,$C$7,AV$1,AV$2,$A131)</f>
        <v>0</v>
      </c>
      <c r="AW131" s="32">
        <f ca="1">_xll.DBRW($C$1,$C$2,$C$3,$C$4,$C$6,$C$5,$C$7,AW$1,AW$2,$A131)</f>
        <v>0</v>
      </c>
      <c r="AX131" s="32">
        <f ca="1">_xll.DBRW($C$1,$C$2,$C$3,$C$4,$C$6,$C$5,$C$7,AX$1,AX$2,$A131)</f>
        <v>0</v>
      </c>
      <c r="AY131" s="32">
        <f ca="1">_xll.DBRW($C$1,$C$2,$C$3,$C$4,$C$6,$C$5,$C$7,AY$1,AY$2,$A131)</f>
        <v>0</v>
      </c>
    </row>
    <row r="132" spans="1:51" ht="15.5" hidden="1" outlineLevel="1" collapsed="1">
      <c r="A132" s="1" t="s">
        <v>142</v>
      </c>
      <c r="C132" s="104"/>
      <c r="E132" s="14" t="s">
        <v>39</v>
      </c>
      <c r="F132" s="33">
        <f t="shared" ref="F132:L132" ca="1" si="91">SUM(F119:F131)</f>
        <v>-107.59892974986772</v>
      </c>
      <c r="G132" s="33">
        <f t="shared" ca="1" si="91"/>
        <v>-168.17367781468951</v>
      </c>
      <c r="H132" s="33">
        <f t="shared" ca="1" si="91"/>
        <v>-174.48056242352075</v>
      </c>
      <c r="I132" s="33">
        <f t="shared" ca="1" si="91"/>
        <v>-165.41716272420851</v>
      </c>
      <c r="J132" s="33">
        <f t="shared" ca="1" si="91"/>
        <v>-112.88930098451905</v>
      </c>
      <c r="K132" s="33">
        <f t="shared" ca="1" si="91"/>
        <v>-111.69971445857968</v>
      </c>
      <c r="L132" s="33">
        <f t="shared" ca="1" si="91"/>
        <v>-125.08331711566615</v>
      </c>
      <c r="M132" s="33">
        <f t="shared" ref="M132:X132" ca="1" si="92">SUM(M119:M131)</f>
        <v>2.112296543047687</v>
      </c>
      <c r="N132" s="33">
        <f t="shared" ca="1" si="92"/>
        <v>-16.90037042246178</v>
      </c>
      <c r="O132" s="33">
        <f t="shared" ca="1" si="92"/>
        <v>-29.124499094902884</v>
      </c>
      <c r="P132" s="33">
        <f t="shared" ca="1" si="92"/>
        <v>-37.776765461217238</v>
      </c>
      <c r="Q132" s="33">
        <f t="shared" ca="1" si="92"/>
        <v>-51.888208335541997</v>
      </c>
      <c r="R132" s="33">
        <f t="shared" ca="1" si="92"/>
        <v>-56.117244677685719</v>
      </c>
      <c r="S132" s="33">
        <f t="shared" ca="1" si="92"/>
        <v>-10.133691746712982</v>
      </c>
      <c r="T132" s="33">
        <f t="shared" ca="1" si="92"/>
        <v>-79.52132668557762</v>
      </c>
      <c r="U132" s="33">
        <f t="shared" ca="1" si="92"/>
        <v>-90.086319588311738</v>
      </c>
      <c r="V132" s="33">
        <f t="shared" ca="1" si="92"/>
        <v>-18.32531682104198</v>
      </c>
      <c r="W132" s="33">
        <f t="shared" ca="1" si="92"/>
        <v>-105.12689032826057</v>
      </c>
      <c r="X132" s="33">
        <f t="shared" ca="1" si="92"/>
        <v>-119.90969779553511</v>
      </c>
      <c r="Y132" s="33">
        <f ca="1">SUM(Y119:Y131)</f>
        <v>-119.90969779553511</v>
      </c>
      <c r="Z132" s="33">
        <f t="shared" ref="Z132:AK132" ca="1" si="93">SUM(Z119:Z131)</f>
        <v>-12.310437054363398</v>
      </c>
      <c r="AA132" s="33">
        <f t="shared" ca="1" si="93"/>
        <v>-25.838703064220979</v>
      </c>
      <c r="AB132" s="33">
        <f t="shared" ca="1" si="93"/>
        <v>-38.978746158490992</v>
      </c>
      <c r="AC132" s="33">
        <f t="shared" ca="1" si="93"/>
        <v>-51.944424804053796</v>
      </c>
      <c r="AD132" s="33">
        <f t="shared" ca="1" si="93"/>
        <v>-64.785049342272373</v>
      </c>
      <c r="AE132" s="33">
        <f t="shared" ca="1" si="93"/>
        <v>-77.641534696054862</v>
      </c>
      <c r="AF132" s="33">
        <f t="shared" ca="1" si="93"/>
        <v>-90.520427573941276</v>
      </c>
      <c r="AG132" s="33">
        <f t="shared" ca="1" si="93"/>
        <v>-103.0796844168845</v>
      </c>
      <c r="AH132" s="33">
        <f t="shared" ca="1" si="93"/>
        <v>-115.70781416040023</v>
      </c>
      <c r="AI132" s="33">
        <f t="shared" ca="1" si="93"/>
        <v>-127.69997452105397</v>
      </c>
      <c r="AJ132" s="33">
        <f t="shared" ca="1" si="93"/>
        <v>-140.09333815012599</v>
      </c>
      <c r="AK132" s="33">
        <f t="shared" ca="1" si="93"/>
        <v>-153.14479723474915</v>
      </c>
      <c r="AL132" s="33">
        <f ca="1">SUM(AL119:AL131)</f>
        <v>-153.14479723474915</v>
      </c>
      <c r="AM132" s="33">
        <f t="shared" ref="AM132:AX132" ca="1" si="94">SUM(AM119:AM131)</f>
        <v>-6.4230228620224894</v>
      </c>
      <c r="AN132" s="33">
        <f t="shared" ca="1" si="94"/>
        <v>-26.065949837327071</v>
      </c>
      <c r="AO132" s="33">
        <f t="shared" ca="1" si="94"/>
        <v>4.3296529556036134E-15</v>
      </c>
      <c r="AP132" s="33">
        <f t="shared" ca="1" si="94"/>
        <v>4.3296529556036134E-15</v>
      </c>
      <c r="AQ132" s="33">
        <f t="shared" ca="1" si="94"/>
        <v>4.3296529556036134E-15</v>
      </c>
      <c r="AR132" s="33">
        <f t="shared" ca="1" si="94"/>
        <v>4.3296529556036134E-15</v>
      </c>
      <c r="AS132" s="33">
        <f t="shared" ca="1" si="94"/>
        <v>4.3296529556036134E-15</v>
      </c>
      <c r="AT132" s="33">
        <f t="shared" ca="1" si="94"/>
        <v>4.3296529556036134E-15</v>
      </c>
      <c r="AU132" s="33">
        <f t="shared" ca="1" si="94"/>
        <v>4.3296529556036134E-15</v>
      </c>
      <c r="AV132" s="33">
        <f t="shared" ca="1" si="94"/>
        <v>4.3296529556036134E-15</v>
      </c>
      <c r="AW132" s="33">
        <f t="shared" ca="1" si="94"/>
        <v>4.3296529556036134E-15</v>
      </c>
      <c r="AX132" s="33">
        <f t="shared" ca="1" si="94"/>
        <v>4.3296529556036134E-15</v>
      </c>
      <c r="AY132" s="33">
        <f ca="1">SUM(AY119:AY131)</f>
        <v>4.3296529556036134E-15</v>
      </c>
    </row>
    <row r="133" spans="1:51" ht="15.75" hidden="1" customHeight="1" outlineLevel="2">
      <c r="A133" s="1" t="s">
        <v>224</v>
      </c>
      <c r="C133" s="104"/>
      <c r="E133" s="9" t="str">
        <f ca="1">_xll.DBRW(Server&amp;"}ElementAttributes_Indicator",A133,"code_English")</f>
        <v>PL1110_CS_10 - Staff costs (CS)</v>
      </c>
      <c r="F133" s="33">
        <f ca="1">_xll.DBRW($C$1,$C$2,$C$3,$C$4,$C$6,$C$5,$C$7,F$1,F$2,$A133)</f>
        <v>-94.865013795034869</v>
      </c>
      <c r="G133" s="33">
        <f ca="1">_xll.DBRW($C$1,$C$2,$C$3,$C$4,$C$6,$C$5,$C$7,G$1,G$2,$A133)</f>
        <v>-95.448702265490567</v>
      </c>
      <c r="H133" s="33">
        <f ca="1">_xll.DBRW($C$1,$C$2,$C$3,$C$4,$C$6,$C$5,$C$7,H$1,H$2,$A133)</f>
        <v>-82.689524529796387</v>
      </c>
      <c r="I133" s="33">
        <f ca="1">_xll.DBRW($C$1,$C$2,$C$3,$C$4,$C$6,$C$5,$C$7,I$1,I$2,$A133)</f>
        <v>-80.857706779684023</v>
      </c>
      <c r="J133" s="33">
        <f ca="1">_xll.DBRW($C$1,$C$2,$C$3,$C$4,$C$6,$C$5,$C$7,J$1,J$2,$A133)</f>
        <v>-82.384263646910085</v>
      </c>
      <c r="K133" s="33">
        <f ca="1">_xll.DBRW($C$1,$C$2,$C$3,$C$4,$C$6,$C$5,$C$7,K$1,K$2,$A133)</f>
        <v>-82.08694644325162</v>
      </c>
      <c r="L133" s="33">
        <f ca="1">_xll.DBRW($C$1,$C$2,$C$3,$C$4,$C$6,$C$5,$C$7,L$1,L$2,$A133)</f>
        <v>-84.015652351773923</v>
      </c>
      <c r="M133" s="33">
        <f ca="1">_xll.DBRW($C$1,$C$2,$C$3,$C$4,$C$6,$C$5,$C$7,M$1,M$2,$A133)</f>
        <v>-5.434745327552057</v>
      </c>
      <c r="N133" s="33">
        <f ca="1">_xll.DBRW($C$1,$C$2,$C$3,$C$4,$C$6,$C$5,$C$7,N$1,N$2,$A133)</f>
        <v>-13.887078386851119</v>
      </c>
      <c r="O133" s="33">
        <f ca="1">_xll.DBRW($C$1,$C$2,$C$3,$C$4,$C$6,$C$5,$C$7,O$1,O$2,$A133)</f>
        <v>-21.380504466836644</v>
      </c>
      <c r="P133" s="33">
        <f ca="1">_xll.DBRW($C$1,$C$2,$C$3,$C$4,$C$6,$C$5,$C$7,P$1,P$2,$A133)</f>
        <v>-28.339873449588435</v>
      </c>
      <c r="Q133" s="33">
        <f ca="1">_xll.DBRW($C$1,$C$2,$C$3,$C$4,$C$6,$C$5,$C$7,Q$1,Q$2,$A133)</f>
        <v>-35.244157067504375</v>
      </c>
      <c r="R133" s="33">
        <f ca="1">_xll.DBRW($C$1,$C$2,$C$3,$C$4,$C$6,$C$5,$C$7,R$1,R$2,$A133)</f>
        <v>-43.626884245256832</v>
      </c>
      <c r="S133" s="33">
        <f ca="1">_xll.DBRW($C$1,$C$2,$C$3,$C$4,$C$6,$C$5,$C$7,S$1,S$2,$A133)</f>
        <v>-38.73624176426658</v>
      </c>
      <c r="T133" s="33">
        <f ca="1">_xll.DBRW($C$1,$C$2,$C$3,$C$4,$C$6,$C$5,$C$7,T$1,T$2,$A133)</f>
        <v>-58.549095622151853</v>
      </c>
      <c r="U133" s="33">
        <f ca="1">_xll.DBRW($C$1,$C$2,$C$3,$C$4,$C$6,$C$5,$C$7,U$1,U$2,$A133)</f>
        <v>-65.265601090786333</v>
      </c>
      <c r="V133" s="33">
        <f ca="1">_xll.DBRW($C$1,$C$2,$C$3,$C$4,$C$6,$C$5,$C$7,V$1,V$2,$A133)</f>
        <v>-55.782649061841596</v>
      </c>
      <c r="W133" s="33">
        <f ca="1">_xll.DBRW($C$1,$C$2,$C$3,$C$4,$C$6,$C$5,$C$7,W$1,W$2,$A133)</f>
        <v>-80.611957775026838</v>
      </c>
      <c r="X133" s="33">
        <f ca="1">_xll.DBRW($C$1,$C$2,$C$3,$C$4,$C$6,$C$5,$C$7,X$1,X$2,$A133)</f>
        <v>-89.813585548833203</v>
      </c>
      <c r="Y133" s="33">
        <f ca="1">_xll.DBRW($C$1,$C$2,$C$3,$C$4,$C$6,$C$5,$C$7,Y$1,Y$2,$A133)</f>
        <v>-89.813585548833203</v>
      </c>
      <c r="Z133" s="33">
        <f ca="1">_xll.DBRW($C$1,$C$2,$C$3,$C$4,$C$6,$C$5,$C$7,Z$1,Z$2,$A133)</f>
        <v>-7.6085562350392006</v>
      </c>
      <c r="AA133" s="33">
        <f ca="1">_xll.DBRW($C$1,$C$2,$C$3,$C$4,$C$6,$C$5,$C$7,AA$1,AA$2,$A133)</f>
        <v>-15.053732487452812</v>
      </c>
      <c r="AB133" s="33">
        <f ca="1">_xll.DBRW($C$1,$C$2,$C$3,$C$4,$C$6,$C$5,$C$7,AB$1,AB$2,$A133)</f>
        <v>-22.835812275040453</v>
      </c>
      <c r="AC133" s="33">
        <f ca="1">_xll.DBRW($C$1,$C$2,$C$3,$C$4,$C$6,$C$5,$C$7,AC$1,AC$2,$A133)</f>
        <v>-30.428400642947995</v>
      </c>
      <c r="AD133" s="33">
        <f ca="1">_xll.DBRW($C$1,$C$2,$C$3,$C$4,$C$6,$C$5,$C$7,AD$1,AD$2,$A133)</f>
        <v>-38.096150889623928</v>
      </c>
      <c r="AE133" s="33">
        <f ca="1">_xll.DBRW($C$1,$C$2,$C$3,$C$4,$C$6,$C$5,$C$7,AE$1,AE$2,$A133)</f>
        <v>-45.939885693370343</v>
      </c>
      <c r="AF133" s="33">
        <f ca="1">_xll.DBRW($C$1,$C$2,$C$3,$C$4,$C$6,$C$5,$C$7,AF$1,AF$2,$A133)</f>
        <v>-53.797931098461618</v>
      </c>
      <c r="AG133" s="33">
        <f ca="1">_xll.DBRW($C$1,$C$2,$C$3,$C$4,$C$6,$C$5,$C$7,AG$1,AG$2,$A133)</f>
        <v>-61.263854584990646</v>
      </c>
      <c r="AH133" s="33">
        <f ca="1">_xll.DBRW($C$1,$C$2,$C$3,$C$4,$C$6,$C$5,$C$7,AH$1,AH$2,$A133)</f>
        <v>-68.554281636638038</v>
      </c>
      <c r="AI133" s="33">
        <f ca="1">_xll.DBRW($C$1,$C$2,$C$3,$C$4,$C$6,$C$5,$C$7,AI$1,AI$2,$A133)</f>
        <v>-76.058454089338454</v>
      </c>
      <c r="AJ133" s="33">
        <f ca="1">_xll.DBRW($C$1,$C$2,$C$3,$C$4,$C$6,$C$5,$C$7,AJ$1,AJ$2,$A133)</f>
        <v>-83.618196367072372</v>
      </c>
      <c r="AK133" s="33">
        <f ca="1">_xll.DBRW($C$1,$C$2,$C$3,$C$4,$C$6,$C$5,$C$7,AK$1,AK$2,$A133)</f>
        <v>-91.351588925563092</v>
      </c>
      <c r="AL133" s="33">
        <f ca="1">_xll.DBRW($C$1,$C$2,$C$3,$C$4,$C$6,$C$5,$C$7,AL$1,AL$2,$A133)</f>
        <v>-91.351588925563092</v>
      </c>
      <c r="AM133" s="33">
        <f ca="1">_xll.DBRW($C$1,$C$2,$C$3,$C$4,$C$6,$C$5,$C$7,AM$1,AM$2,$A133)</f>
        <v>-7.6841541688235298</v>
      </c>
      <c r="AN133" s="33">
        <f ca="1">_xll.DBRW($C$1,$C$2,$C$3,$C$4,$C$6,$C$5,$C$7,AN$1,AN$2,$A133)</f>
        <v>-16.638621216026365</v>
      </c>
      <c r="AO133" s="33">
        <f ca="1">_xll.DBRW($C$1,$C$2,$C$3,$C$4,$C$6,$C$5,$C$7,AO$1,AO$2,$A133)</f>
        <v>3.5527136788005009E-15</v>
      </c>
      <c r="AP133" s="33">
        <f ca="1">_xll.DBRW($C$1,$C$2,$C$3,$C$4,$C$6,$C$5,$C$7,AP$1,AP$2,$A133)</f>
        <v>3.5527136788005009E-15</v>
      </c>
      <c r="AQ133" s="33">
        <f ca="1">_xll.DBRW($C$1,$C$2,$C$3,$C$4,$C$6,$C$5,$C$7,AQ$1,AQ$2,$A133)</f>
        <v>3.5527136788005009E-15</v>
      </c>
      <c r="AR133" s="33">
        <f ca="1">_xll.DBRW($C$1,$C$2,$C$3,$C$4,$C$6,$C$5,$C$7,AR$1,AR$2,$A133)</f>
        <v>3.5527136788005009E-15</v>
      </c>
      <c r="AS133" s="33">
        <f ca="1">_xll.DBRW($C$1,$C$2,$C$3,$C$4,$C$6,$C$5,$C$7,AS$1,AS$2,$A133)</f>
        <v>3.5527136788005009E-15</v>
      </c>
      <c r="AT133" s="33">
        <f ca="1">_xll.DBRW($C$1,$C$2,$C$3,$C$4,$C$6,$C$5,$C$7,AT$1,AT$2,$A133)</f>
        <v>3.5527136788005009E-15</v>
      </c>
      <c r="AU133" s="33">
        <f ca="1">_xll.DBRW($C$1,$C$2,$C$3,$C$4,$C$6,$C$5,$C$7,AU$1,AU$2,$A133)</f>
        <v>3.5527136788005009E-15</v>
      </c>
      <c r="AV133" s="33">
        <f ca="1">_xll.DBRW($C$1,$C$2,$C$3,$C$4,$C$6,$C$5,$C$7,AV$1,AV$2,$A133)</f>
        <v>3.5527136788005009E-15</v>
      </c>
      <c r="AW133" s="33">
        <f ca="1">_xll.DBRW($C$1,$C$2,$C$3,$C$4,$C$6,$C$5,$C$7,AW$1,AW$2,$A133)</f>
        <v>3.5527136788005009E-15</v>
      </c>
      <c r="AX133" s="33">
        <f ca="1">_xll.DBRW($C$1,$C$2,$C$3,$C$4,$C$6,$C$5,$C$7,AX$1,AX$2,$A133)</f>
        <v>3.5527136788005009E-15</v>
      </c>
      <c r="AY133" s="33">
        <f ca="1">_xll.DBRW($C$1,$C$2,$C$3,$C$4,$C$6,$C$5,$C$7,AY$1,AY$2,$A133)</f>
        <v>3.5527136788005009E-15</v>
      </c>
    </row>
    <row r="134" spans="1:51" ht="15.75" hidden="1" customHeight="1" outlineLevel="2">
      <c r="A134" s="1" t="s">
        <v>225</v>
      </c>
      <c r="C134" s="104"/>
      <c r="E134" s="9" t="str">
        <f ca="1">_xll.DBRW(Server&amp;"}ElementAttributes_Indicator",A134,"code_English")</f>
        <v>PL1155_CS_99 - Reinvoicing - Others (CS)</v>
      </c>
      <c r="F134" s="33">
        <f ca="1">_xll.DBRW($C$1,$C$2,$C$3,$C$4,$C$6,$C$5,$C$7,F$1,F$2,$A134)</f>
        <v>2.4899922600000002</v>
      </c>
      <c r="G134" s="33">
        <f ca="1">_xll.DBRW($C$1,$C$2,$C$3,$C$4,$C$6,$C$5,$C$7,G$1,G$2,$A134)</f>
        <v>2.7156058700000001</v>
      </c>
      <c r="H134" s="33">
        <f ca="1">_xll.DBRW($C$1,$C$2,$C$3,$C$4,$C$6,$C$5,$C$7,H$1,H$2,$A134)</f>
        <v>2.51374013</v>
      </c>
      <c r="I134" s="33">
        <f ca="1">_xll.DBRW($C$1,$C$2,$C$3,$C$4,$C$6,$C$5,$C$7,I$1,I$2,$A134)</f>
        <v>0.61201391499999991</v>
      </c>
      <c r="J134" s="33">
        <f ca="1">_xll.DBRW($C$1,$C$2,$C$3,$C$4,$C$6,$C$5,$C$7,J$1,J$2,$A134)</f>
        <v>0.48280489000000026</v>
      </c>
      <c r="K134" s="33">
        <f ca="1">_xll.DBRW($C$1,$C$2,$C$3,$C$4,$C$6,$C$5,$C$7,K$1,K$2,$A134)</f>
        <v>0.45706112499999996</v>
      </c>
      <c r="L134" s="33">
        <f ca="1">_xll.DBRW($C$1,$C$2,$C$3,$C$4,$C$6,$C$5,$C$7,L$1,L$2,$A134)</f>
        <v>0.48357170395199989</v>
      </c>
      <c r="M134" s="33">
        <f ca="1">_xll.DBRW($C$1,$C$2,$C$3,$C$4,$C$6,$C$5,$C$7,M$1,M$2,$A134)</f>
        <v>-1.4990435000000026E-2</v>
      </c>
      <c r="N134" s="33">
        <f ca="1">_xll.DBRW($C$1,$C$2,$C$3,$C$4,$C$6,$C$5,$C$7,N$1,N$2,$A134)</f>
        <v>8.3369180000000001E-2</v>
      </c>
      <c r="O134" s="33">
        <f ca="1">_xll.DBRW($C$1,$C$2,$C$3,$C$4,$C$6,$C$5,$C$7,O$1,O$2,$A134)</f>
        <v>0.13816702500000003</v>
      </c>
      <c r="P134" s="33">
        <f ca="1">_xll.DBRW($C$1,$C$2,$C$3,$C$4,$C$6,$C$5,$C$7,P$1,P$2,$A134)</f>
        <v>0.10635335000000001</v>
      </c>
      <c r="Q134" s="33">
        <f ca="1">_xll.DBRW($C$1,$C$2,$C$3,$C$4,$C$6,$C$5,$C$7,Q$1,Q$2,$A134)</f>
        <v>0.19492057000000007</v>
      </c>
      <c r="R134" s="33">
        <f ca="1">_xll.DBRW($C$1,$C$2,$C$3,$C$4,$C$6,$C$5,$C$7,R$1,R$2,$A134)</f>
        <v>0.28493804000000006</v>
      </c>
      <c r="S134" s="33">
        <f ca="1">_xll.DBRW($C$1,$C$2,$C$3,$C$4,$C$6,$C$5,$C$7,S$1,S$2,$A134)</f>
        <v>0.21693239500000017</v>
      </c>
      <c r="T134" s="33">
        <f ca="1">_xll.DBRW($C$1,$C$2,$C$3,$C$4,$C$6,$C$5,$C$7,T$1,T$2,$A134)</f>
        <v>0.34966283500000017</v>
      </c>
      <c r="U134" s="33">
        <f ca="1">_xll.DBRW($C$1,$C$2,$C$3,$C$4,$C$6,$C$5,$C$7,U$1,U$2,$A134)</f>
        <v>0.40650409500000018</v>
      </c>
      <c r="V134" s="33">
        <f ca="1">_xll.DBRW($C$1,$C$2,$C$3,$C$4,$C$6,$C$5,$C$7,V$1,V$2,$A134)</f>
        <v>0.4024551600000002</v>
      </c>
      <c r="W134" s="33">
        <f ca="1">_xll.DBRW($C$1,$C$2,$C$3,$C$4,$C$6,$C$5,$C$7,W$1,W$2,$A134)</f>
        <v>0.47924958000000017</v>
      </c>
      <c r="X134" s="33">
        <f ca="1">_xll.DBRW($C$1,$C$2,$C$3,$C$4,$C$6,$C$5,$C$7,X$1,X$2,$A134)</f>
        <v>0.47011439000000022</v>
      </c>
      <c r="Y134" s="33">
        <f ca="1">_xll.DBRW($C$1,$C$2,$C$3,$C$4,$C$6,$C$5,$C$7,Y$1,Y$2,$A134)</f>
        <v>0.47011439000000022</v>
      </c>
      <c r="Z134" s="33">
        <f ca="1">_xll.DBRW($C$1,$C$2,$C$3,$C$4,$C$6,$C$5,$C$7,Z$1,Z$2,$A134)</f>
        <v>0.19303108999999999</v>
      </c>
      <c r="AA134" s="33">
        <f ca="1">_xll.DBRW($C$1,$C$2,$C$3,$C$4,$C$6,$C$5,$C$7,AA$1,AA$2,$A134)</f>
        <v>0.39706217999999999</v>
      </c>
      <c r="AB134" s="33">
        <f ca="1">_xll.DBRW($C$1,$C$2,$C$3,$C$4,$C$6,$C$5,$C$7,AB$1,AB$2,$A134)</f>
        <v>0.60009327000000001</v>
      </c>
      <c r="AC134" s="33">
        <f ca="1">_xll.DBRW($C$1,$C$2,$C$3,$C$4,$C$6,$C$5,$C$7,AC$1,AC$2,$A134)</f>
        <v>0.80412435999999998</v>
      </c>
      <c r="AD134" s="33">
        <f ca="1">_xll.DBRW($C$1,$C$2,$C$3,$C$4,$C$6,$C$5,$C$7,AD$1,AD$2,$A134)</f>
        <v>1.01115545</v>
      </c>
      <c r="AE134" s="33">
        <f ca="1">_xll.DBRW($C$1,$C$2,$C$3,$C$4,$C$6,$C$5,$C$7,AE$1,AE$2,$A134)</f>
        <v>1.1791865399999999</v>
      </c>
      <c r="AF134" s="33">
        <f ca="1">_xll.DBRW($C$1,$C$2,$C$3,$C$4,$C$6,$C$5,$C$7,AF$1,AF$2,$A134)</f>
        <v>1.4392176299999999</v>
      </c>
      <c r="AG134" s="33">
        <f ca="1">_xll.DBRW($C$1,$C$2,$C$3,$C$4,$C$6,$C$5,$C$7,AG$1,AG$2,$A134)</f>
        <v>1.6514180399999998</v>
      </c>
      <c r="AH134" s="33">
        <f ca="1">_xll.DBRW($C$1,$C$2,$C$3,$C$4,$C$6,$C$5,$C$7,AH$1,AH$2,$A134)</f>
        <v>1.8582918043999999</v>
      </c>
      <c r="AI134" s="33">
        <f ca="1">_xll.DBRW($C$1,$C$2,$C$3,$C$4,$C$6,$C$5,$C$7,AI$1,AI$2,$A134)</f>
        <v>2.0651655636999999</v>
      </c>
      <c r="AJ134" s="33">
        <f ca="1">_xll.DBRW($C$1,$C$2,$C$3,$C$4,$C$6,$C$5,$C$7,AJ$1,AJ$2,$A134)</f>
        <v>2.2720393281</v>
      </c>
      <c r="AK134" s="33">
        <f ca="1">_xll.DBRW($C$1,$C$2,$C$3,$C$4,$C$6,$C$5,$C$7,AK$1,AK$2,$A134)</f>
        <v>2.4789130925</v>
      </c>
      <c r="AL134" s="33">
        <f ca="1">_xll.DBRW($C$1,$C$2,$C$3,$C$4,$C$6,$C$5,$C$7,AL$1,AL$2,$A134)</f>
        <v>2.4789130925</v>
      </c>
      <c r="AM134" s="33">
        <f ca="1">_xll.DBRW($C$1,$C$2,$C$3,$C$4,$C$6,$C$5,$C$7,AM$1,AM$2,$A134)</f>
        <v>3.9198199999997841E-3</v>
      </c>
      <c r="AN134" s="33">
        <f ca="1">_xll.DBRW($C$1,$C$2,$C$3,$C$4,$C$6,$C$5,$C$7,AN$1,AN$2,$A134)</f>
        <v>0.23394822000000015</v>
      </c>
      <c r="AO134" s="33">
        <f ca="1">_xll.DBRW($C$1,$C$2,$C$3,$C$4,$C$6,$C$5,$C$7,AO$1,AO$2,$A134)</f>
        <v>1.1102230246251565E-16</v>
      </c>
      <c r="AP134" s="33">
        <f ca="1">_xll.DBRW($C$1,$C$2,$C$3,$C$4,$C$6,$C$5,$C$7,AP$1,AP$2,$A134)</f>
        <v>1.1102230246251565E-16</v>
      </c>
      <c r="AQ134" s="33">
        <f ca="1">_xll.DBRW($C$1,$C$2,$C$3,$C$4,$C$6,$C$5,$C$7,AQ$1,AQ$2,$A134)</f>
        <v>1.1102230246251565E-16</v>
      </c>
      <c r="AR134" s="33">
        <f ca="1">_xll.DBRW($C$1,$C$2,$C$3,$C$4,$C$6,$C$5,$C$7,AR$1,AR$2,$A134)</f>
        <v>1.1102230246251565E-16</v>
      </c>
      <c r="AS134" s="33">
        <f ca="1">_xll.DBRW($C$1,$C$2,$C$3,$C$4,$C$6,$C$5,$C$7,AS$1,AS$2,$A134)</f>
        <v>1.1102230246251565E-16</v>
      </c>
      <c r="AT134" s="33">
        <f ca="1">_xll.DBRW($C$1,$C$2,$C$3,$C$4,$C$6,$C$5,$C$7,AT$1,AT$2,$A134)</f>
        <v>1.1102230246251565E-16</v>
      </c>
      <c r="AU134" s="33">
        <f ca="1">_xll.DBRW($C$1,$C$2,$C$3,$C$4,$C$6,$C$5,$C$7,AU$1,AU$2,$A134)</f>
        <v>1.1102230246251565E-16</v>
      </c>
      <c r="AV134" s="33">
        <f ca="1">_xll.DBRW($C$1,$C$2,$C$3,$C$4,$C$6,$C$5,$C$7,AV$1,AV$2,$A134)</f>
        <v>1.1102230246251565E-16</v>
      </c>
      <c r="AW134" s="33">
        <f ca="1">_xll.DBRW($C$1,$C$2,$C$3,$C$4,$C$6,$C$5,$C$7,AW$1,AW$2,$A134)</f>
        <v>1.1102230246251565E-16</v>
      </c>
      <c r="AX134" s="33">
        <f ca="1">_xll.DBRW($C$1,$C$2,$C$3,$C$4,$C$6,$C$5,$C$7,AX$1,AX$2,$A134)</f>
        <v>1.1102230246251565E-16</v>
      </c>
      <c r="AY134" s="33">
        <f ca="1">_xll.DBRW($C$1,$C$2,$C$3,$C$4,$C$6,$C$5,$C$7,AY$1,AY$2,$A134)</f>
        <v>1.1102230246251565E-16</v>
      </c>
    </row>
    <row r="135" spans="1:51" ht="15.75" hidden="1" customHeight="1" outlineLevel="2">
      <c r="A135" s="1" t="s">
        <v>226</v>
      </c>
      <c r="C135" s="104"/>
      <c r="E135" s="9" t="str">
        <f ca="1">_xll.DBRW(Server&amp;"}ElementAttributes_Indicator",A135,"code_English")</f>
        <v>PL1115_CS_20 - Interim staff (CS)</v>
      </c>
      <c r="F135" s="33">
        <f ca="1">_xll.DBRW($C$1,$C$2,$C$3,$C$4,$C$6,$C$5,$C$7,F$1,F$2,$A135)</f>
        <v>-1.2361134452641671</v>
      </c>
      <c r="G135" s="33">
        <f ca="1">_xll.DBRW($C$1,$C$2,$C$3,$C$4,$C$6,$C$5,$C$7,G$1,G$2,$A135)</f>
        <v>-1.226349165522667</v>
      </c>
      <c r="H135" s="33">
        <f ca="1">_xll.DBRW($C$1,$C$2,$C$3,$C$4,$C$6,$C$5,$C$7,H$1,H$2,$A135)</f>
        <v>-1.5227876337685613</v>
      </c>
      <c r="I135" s="33">
        <f ca="1">_xll.DBRW($C$1,$C$2,$C$3,$C$4,$C$6,$C$5,$C$7,I$1,I$2,$A135)</f>
        <v>-1.7328836568113934</v>
      </c>
      <c r="J135" s="33">
        <f ca="1">_xll.DBRW($C$1,$C$2,$C$3,$C$4,$C$6,$C$5,$C$7,J$1,J$2,$A135)</f>
        <v>0</v>
      </c>
      <c r="K135" s="33">
        <f ca="1">_xll.DBRW($C$1,$C$2,$C$3,$C$4,$C$6,$C$5,$C$7,K$1,K$2,$A135)</f>
        <v>0</v>
      </c>
      <c r="L135" s="33">
        <f ca="1">_xll.DBRW($C$1,$C$2,$C$3,$C$4,$C$6,$C$5,$C$7,L$1,L$2,$A135)</f>
        <v>0</v>
      </c>
      <c r="M135" s="33">
        <f ca="1">_xll.DBRW($C$1,$C$2,$C$3,$C$4,$C$6,$C$5,$C$7,M$1,M$2,$A135)</f>
        <v>0</v>
      </c>
      <c r="N135" s="33">
        <f ca="1">_xll.DBRW($C$1,$C$2,$C$3,$C$4,$C$6,$C$5,$C$7,N$1,N$2,$A135)</f>
        <v>0</v>
      </c>
      <c r="O135" s="33">
        <f ca="1">_xll.DBRW($C$1,$C$2,$C$3,$C$4,$C$6,$C$5,$C$7,O$1,O$2,$A135)</f>
        <v>0</v>
      </c>
      <c r="P135" s="33">
        <f ca="1">_xll.DBRW($C$1,$C$2,$C$3,$C$4,$C$6,$C$5,$C$7,P$1,P$2,$A135)</f>
        <v>0</v>
      </c>
      <c r="Q135" s="33">
        <f ca="1">_xll.DBRW($C$1,$C$2,$C$3,$C$4,$C$6,$C$5,$C$7,Q$1,Q$2,$A135)</f>
        <v>0</v>
      </c>
      <c r="R135" s="33">
        <f ca="1">_xll.DBRW($C$1,$C$2,$C$3,$C$4,$C$6,$C$5,$C$7,R$1,R$2,$A135)</f>
        <v>0</v>
      </c>
      <c r="S135" s="33">
        <f ca="1">_xll.DBRW($C$1,$C$2,$C$3,$C$4,$C$6,$C$5,$C$7,S$1,S$2,$A135)</f>
        <v>0</v>
      </c>
      <c r="T135" s="33">
        <f ca="1">_xll.DBRW($C$1,$C$2,$C$3,$C$4,$C$6,$C$5,$C$7,T$1,T$2,$A135)</f>
        <v>-0.16239326626019224</v>
      </c>
      <c r="U135" s="33">
        <f ca="1">_xll.DBRW($C$1,$C$2,$C$3,$C$4,$C$6,$C$5,$C$7,U$1,U$2,$A135)</f>
        <v>-0.23725023522034266</v>
      </c>
      <c r="V135" s="33">
        <f ca="1">_xll.DBRW($C$1,$C$2,$C$3,$C$4,$C$6,$C$5,$C$7,V$1,V$2,$A135)</f>
        <v>-0.23691965818976626</v>
      </c>
      <c r="W135" s="33">
        <f ca="1">_xll.DBRW($C$1,$C$2,$C$3,$C$4,$C$6,$C$5,$C$7,W$1,W$2,$A135)</f>
        <v>-0.44565341714191109</v>
      </c>
      <c r="X135" s="33">
        <f ca="1">_xll.DBRW($C$1,$C$2,$C$3,$C$4,$C$6,$C$5,$C$7,X$1,X$2,$A135)</f>
        <v>-0.56585547444768314</v>
      </c>
      <c r="Y135" s="33">
        <f ca="1">_xll.DBRW($C$1,$C$2,$C$3,$C$4,$C$6,$C$5,$C$7,Y$1,Y$2,$A135)</f>
        <v>-0.56585547444768314</v>
      </c>
      <c r="Z135" s="33">
        <f ca="1">_xll.DBRW($C$1,$C$2,$C$3,$C$4,$C$6,$C$5,$C$7,Z$1,Z$2,$A135)</f>
        <v>0</v>
      </c>
      <c r="AA135" s="33">
        <f ca="1">_xll.DBRW($C$1,$C$2,$C$3,$C$4,$C$6,$C$5,$C$7,AA$1,AA$2,$A135)</f>
        <v>0</v>
      </c>
      <c r="AB135" s="33">
        <f ca="1">_xll.DBRW($C$1,$C$2,$C$3,$C$4,$C$6,$C$5,$C$7,AB$1,AB$2,$A135)</f>
        <v>0</v>
      </c>
      <c r="AC135" s="33">
        <f ca="1">_xll.DBRW($C$1,$C$2,$C$3,$C$4,$C$6,$C$5,$C$7,AC$1,AC$2,$A135)</f>
        <v>0</v>
      </c>
      <c r="AD135" s="33">
        <f ca="1">_xll.DBRW($C$1,$C$2,$C$3,$C$4,$C$6,$C$5,$C$7,AD$1,AD$2,$A135)</f>
        <v>0</v>
      </c>
      <c r="AE135" s="33">
        <f ca="1">_xll.DBRW($C$1,$C$2,$C$3,$C$4,$C$6,$C$5,$C$7,AE$1,AE$2,$A135)</f>
        <v>0</v>
      </c>
      <c r="AF135" s="33">
        <f ca="1">_xll.DBRW($C$1,$C$2,$C$3,$C$4,$C$6,$C$5,$C$7,AF$1,AF$2,$A135)</f>
        <v>0</v>
      </c>
      <c r="AG135" s="33">
        <f ca="1">_xll.DBRW($C$1,$C$2,$C$3,$C$4,$C$6,$C$5,$C$7,AG$1,AG$2,$A135)</f>
        <v>0</v>
      </c>
      <c r="AH135" s="33">
        <f ca="1">_xll.DBRW($C$1,$C$2,$C$3,$C$4,$C$6,$C$5,$C$7,AH$1,AH$2,$A135)</f>
        <v>0</v>
      </c>
      <c r="AI135" s="33">
        <f ca="1">_xll.DBRW($C$1,$C$2,$C$3,$C$4,$C$6,$C$5,$C$7,AI$1,AI$2,$A135)</f>
        <v>0</v>
      </c>
      <c r="AJ135" s="33">
        <f ca="1">_xll.DBRW($C$1,$C$2,$C$3,$C$4,$C$6,$C$5,$C$7,AJ$1,AJ$2,$A135)</f>
        <v>0</v>
      </c>
      <c r="AK135" s="33">
        <f ca="1">_xll.DBRW($C$1,$C$2,$C$3,$C$4,$C$6,$C$5,$C$7,AK$1,AK$2,$A135)</f>
        <v>0</v>
      </c>
      <c r="AL135" s="33">
        <f ca="1">_xll.DBRW($C$1,$C$2,$C$3,$C$4,$C$6,$C$5,$C$7,AL$1,AL$2,$A135)</f>
        <v>0</v>
      </c>
      <c r="AM135" s="33">
        <f ca="1">_xll.DBRW($C$1,$C$2,$C$3,$C$4,$C$6,$C$5,$C$7,AM$1,AM$2,$A135)</f>
        <v>-3.3355318849335035E-2</v>
      </c>
      <c r="AN135" s="33">
        <f ca="1">_xll.DBRW($C$1,$C$2,$C$3,$C$4,$C$6,$C$5,$C$7,AN$1,AN$2,$A135)</f>
        <v>-0.16796777318529063</v>
      </c>
      <c r="AO135" s="33">
        <f ca="1">_xll.DBRW($C$1,$C$2,$C$3,$C$4,$C$6,$C$5,$C$7,AO$1,AO$2,$A135)</f>
        <v>8.3266726846886741E-17</v>
      </c>
      <c r="AP135" s="33">
        <f ca="1">_xll.DBRW($C$1,$C$2,$C$3,$C$4,$C$6,$C$5,$C$7,AP$1,AP$2,$A135)</f>
        <v>8.3266726846886741E-17</v>
      </c>
      <c r="AQ135" s="33">
        <f ca="1">_xll.DBRW($C$1,$C$2,$C$3,$C$4,$C$6,$C$5,$C$7,AQ$1,AQ$2,$A135)</f>
        <v>8.3266726846886741E-17</v>
      </c>
      <c r="AR135" s="33">
        <f ca="1">_xll.DBRW($C$1,$C$2,$C$3,$C$4,$C$6,$C$5,$C$7,AR$1,AR$2,$A135)</f>
        <v>8.3266726846886741E-17</v>
      </c>
      <c r="AS135" s="33">
        <f ca="1">_xll.DBRW($C$1,$C$2,$C$3,$C$4,$C$6,$C$5,$C$7,AS$1,AS$2,$A135)</f>
        <v>8.3266726846886741E-17</v>
      </c>
      <c r="AT135" s="33">
        <f ca="1">_xll.DBRW($C$1,$C$2,$C$3,$C$4,$C$6,$C$5,$C$7,AT$1,AT$2,$A135)</f>
        <v>8.3266726846886741E-17</v>
      </c>
      <c r="AU135" s="33">
        <f ca="1">_xll.DBRW($C$1,$C$2,$C$3,$C$4,$C$6,$C$5,$C$7,AU$1,AU$2,$A135)</f>
        <v>8.3266726846886741E-17</v>
      </c>
      <c r="AV135" s="33">
        <f ca="1">_xll.DBRW($C$1,$C$2,$C$3,$C$4,$C$6,$C$5,$C$7,AV$1,AV$2,$A135)</f>
        <v>8.3266726846886741E-17</v>
      </c>
      <c r="AW135" s="33">
        <f ca="1">_xll.DBRW($C$1,$C$2,$C$3,$C$4,$C$6,$C$5,$C$7,AW$1,AW$2,$A135)</f>
        <v>8.3266726846886741E-17</v>
      </c>
      <c r="AX135" s="33">
        <f ca="1">_xll.DBRW($C$1,$C$2,$C$3,$C$4,$C$6,$C$5,$C$7,AX$1,AX$2,$A135)</f>
        <v>8.3266726846886741E-17</v>
      </c>
      <c r="AY135" s="33">
        <f ca="1">_xll.DBRW($C$1,$C$2,$C$3,$C$4,$C$6,$C$5,$C$7,AY$1,AY$2,$A135)</f>
        <v>8.3266726846886741E-17</v>
      </c>
    </row>
    <row r="136" spans="1:51" ht="15.75" hidden="1" customHeight="1" outlineLevel="2">
      <c r="A136" s="1" t="s">
        <v>227</v>
      </c>
      <c r="C136" s="104"/>
      <c r="E136" s="9" t="str">
        <f ca="1">_xll.DBRW(Server&amp;"}ElementAttributes_Indicator",A136,"code_English")</f>
        <v>PL1115_CS_99 - Others (CS)</v>
      </c>
      <c r="F136" s="33">
        <f ca="1">_xll.DBRW($C$1,$C$2,$C$3,$C$4,$C$6,$C$5,$C$7,F$1,F$2,$A136)</f>
        <v>-61.551196246196419</v>
      </c>
      <c r="G136" s="33">
        <f ca="1">_xll.DBRW($C$1,$C$2,$C$3,$C$4,$C$6,$C$5,$C$7,G$1,G$2,$A136)</f>
        <v>-53.719271639163331</v>
      </c>
      <c r="H136" s="33">
        <f ca="1">_xll.DBRW($C$1,$C$2,$C$3,$C$4,$C$6,$C$5,$C$7,H$1,H$2,$A136)</f>
        <v>-57.662361538167687</v>
      </c>
      <c r="I136" s="33">
        <f ca="1">_xll.DBRW($C$1,$C$2,$C$3,$C$4,$C$6,$C$5,$C$7,I$1,I$2,$A136)</f>
        <v>-49.489354015906557</v>
      </c>
      <c r="J136" s="33">
        <f ca="1">_xll.DBRW($C$1,$C$2,$C$3,$C$4,$C$6,$C$5,$C$7,J$1,J$2,$A136)</f>
        <v>-48.102344955594837</v>
      </c>
      <c r="K136" s="33">
        <f ca="1">_xll.DBRW($C$1,$C$2,$C$3,$C$4,$C$6,$C$5,$C$7,K$1,K$2,$A136)</f>
        <v>-60.180595883682372</v>
      </c>
      <c r="L136" s="33">
        <f ca="1">_xll.DBRW($C$1,$C$2,$C$3,$C$4,$C$6,$C$5,$C$7,L$1,L$2,$A136)</f>
        <v>-64.465747684516657</v>
      </c>
      <c r="M136" s="33">
        <f ca="1">_xll.DBRW($C$1,$C$2,$C$3,$C$4,$C$6,$C$5,$C$7,M$1,M$2,$A136)</f>
        <v>-1.6201703673126391</v>
      </c>
      <c r="N136" s="33">
        <f ca="1">_xll.DBRW($C$1,$C$2,$C$3,$C$4,$C$6,$C$5,$C$7,N$1,N$2,$A136)</f>
        <v>-9.2380826223580534</v>
      </c>
      <c r="O136" s="33">
        <f ca="1">_xll.DBRW($C$1,$C$2,$C$3,$C$4,$C$6,$C$5,$C$7,O$1,O$2,$A136)</f>
        <v>-13.939691129044579</v>
      </c>
      <c r="P136" s="33">
        <f ca="1">_xll.DBRW($C$1,$C$2,$C$3,$C$4,$C$6,$C$5,$C$7,P$1,P$2,$A136)</f>
        <v>-18.616932787574228</v>
      </c>
      <c r="Q136" s="33">
        <f ca="1">_xll.DBRW($C$1,$C$2,$C$3,$C$4,$C$6,$C$5,$C$7,Q$1,Q$2,$A136)</f>
        <v>-24.580166326542916</v>
      </c>
      <c r="R136" s="33">
        <f ca="1">_xll.DBRW($C$1,$C$2,$C$3,$C$4,$C$6,$C$5,$C$7,R$1,R$2,$A136)</f>
        <v>-31.242367978542582</v>
      </c>
      <c r="S136" s="33">
        <f ca="1">_xll.DBRW($C$1,$C$2,$C$3,$C$4,$C$6,$C$5,$C$7,S$1,S$2,$A136)</f>
        <v>-19.101197570369951</v>
      </c>
      <c r="T136" s="33">
        <f ca="1">_xll.DBRW($C$1,$C$2,$C$3,$C$4,$C$6,$C$5,$C$7,T$1,T$2,$A136)</f>
        <v>-35.704491733910544</v>
      </c>
      <c r="U136" s="33">
        <f ca="1">_xll.DBRW($C$1,$C$2,$C$3,$C$4,$C$6,$C$5,$C$7,U$1,U$2,$A136)</f>
        <v>-40.885120186905041</v>
      </c>
      <c r="V136" s="33">
        <f ca="1">_xll.DBRW($C$1,$C$2,$C$3,$C$4,$C$6,$C$5,$C$7,V$1,V$2,$A136)</f>
        <v>-29.367592450237488</v>
      </c>
      <c r="W136" s="33">
        <f ca="1">_xll.DBRW($C$1,$C$2,$C$3,$C$4,$C$6,$C$5,$C$7,W$1,W$2,$A136)</f>
        <v>-52.10591474666947</v>
      </c>
      <c r="X136" s="33">
        <f ca="1">_xll.DBRW($C$1,$C$2,$C$3,$C$4,$C$6,$C$5,$C$7,X$1,X$2,$A136)</f>
        <v>-57.818106470390198</v>
      </c>
      <c r="Y136" s="33">
        <f ca="1">_xll.DBRW($C$1,$C$2,$C$3,$C$4,$C$6,$C$5,$C$7,Y$1,Y$2,$A136)</f>
        <v>-57.818106470390198</v>
      </c>
      <c r="Z136" s="33">
        <f ca="1">_xll.DBRW($C$1,$C$2,$C$3,$C$4,$C$6,$C$5,$C$7,Z$1,Z$2,$A136)</f>
        <v>-4.9534361369634565</v>
      </c>
      <c r="AA136" s="33">
        <f ca="1">_xll.DBRW($C$1,$C$2,$C$3,$C$4,$C$6,$C$5,$C$7,AA$1,AA$2,$A136)</f>
        <v>-9.7145330610316272</v>
      </c>
      <c r="AB136" s="33">
        <f ca="1">_xll.DBRW($C$1,$C$2,$C$3,$C$4,$C$6,$C$5,$C$7,AB$1,AB$2,$A136)</f>
        <v>-14.821024179660373</v>
      </c>
      <c r="AC136" s="33">
        <f ca="1">_xll.DBRW($C$1,$C$2,$C$3,$C$4,$C$6,$C$5,$C$7,AC$1,AC$2,$A136)</f>
        <v>-20.038359415309877</v>
      </c>
      <c r="AD136" s="33">
        <f ca="1">_xll.DBRW($C$1,$C$2,$C$3,$C$4,$C$6,$C$5,$C$7,AD$1,AD$2,$A136)</f>
        <v>-24.869903204195275</v>
      </c>
      <c r="AE136" s="33">
        <f ca="1">_xll.DBRW($C$1,$C$2,$C$3,$C$4,$C$6,$C$5,$C$7,AE$1,AE$2,$A136)</f>
        <v>-30.050554306725822</v>
      </c>
      <c r="AF136" s="33">
        <f ca="1">_xll.DBRW($C$1,$C$2,$C$3,$C$4,$C$6,$C$5,$C$7,AF$1,AF$2,$A136)</f>
        <v>-35.101325759246691</v>
      </c>
      <c r="AG136" s="33">
        <f ca="1">_xll.DBRW($C$1,$C$2,$C$3,$C$4,$C$6,$C$5,$C$7,AG$1,AG$2,$A136)</f>
        <v>-39.700772652923177</v>
      </c>
      <c r="AH136" s="33">
        <f ca="1">_xll.DBRW($C$1,$C$2,$C$3,$C$4,$C$6,$C$5,$C$7,AH$1,AH$2,$A136)</f>
        <v>-44.60876990564212</v>
      </c>
      <c r="AI136" s="33">
        <f ca="1">_xll.DBRW($C$1,$C$2,$C$3,$C$4,$C$6,$C$5,$C$7,AI$1,AI$2,$A136)</f>
        <v>-49.059031077478807</v>
      </c>
      <c r="AJ136" s="33">
        <f ca="1">_xll.DBRW($C$1,$C$2,$C$3,$C$4,$C$6,$C$5,$C$7,AJ$1,AJ$2,$A136)</f>
        <v>-53.540963846423907</v>
      </c>
      <c r="AK136" s="33">
        <f ca="1">_xll.DBRW($C$1,$C$2,$C$3,$C$4,$C$6,$C$5,$C$7,AK$1,AK$2,$A136)</f>
        <v>-58.593627407917374</v>
      </c>
      <c r="AL136" s="33">
        <f ca="1">_xll.DBRW($C$1,$C$2,$C$3,$C$4,$C$6,$C$5,$C$7,AL$1,AL$2,$A136)</f>
        <v>-58.593627407917374</v>
      </c>
      <c r="AM136" s="33">
        <f ca="1">_xll.DBRW($C$1,$C$2,$C$3,$C$4,$C$6,$C$5,$C$7,AM$1,AM$2,$A136)</f>
        <v>-1.5706619799160815</v>
      </c>
      <c r="AN136" s="33">
        <f ca="1">_xll.DBRW($C$1,$C$2,$C$3,$C$4,$C$6,$C$5,$C$7,AN$1,AN$2,$A136)</f>
        <v>-9.140036895043254</v>
      </c>
      <c r="AO136" s="33">
        <f ca="1">_xll.DBRW($C$1,$C$2,$C$3,$C$4,$C$6,$C$5,$C$7,AO$1,AO$2,$A136)</f>
        <v>0</v>
      </c>
      <c r="AP136" s="33">
        <f ca="1">_xll.DBRW($C$1,$C$2,$C$3,$C$4,$C$6,$C$5,$C$7,AP$1,AP$2,$A136)</f>
        <v>0</v>
      </c>
      <c r="AQ136" s="33">
        <f ca="1">_xll.DBRW($C$1,$C$2,$C$3,$C$4,$C$6,$C$5,$C$7,AQ$1,AQ$2,$A136)</f>
        <v>0</v>
      </c>
      <c r="AR136" s="33">
        <f ca="1">_xll.DBRW($C$1,$C$2,$C$3,$C$4,$C$6,$C$5,$C$7,AR$1,AR$2,$A136)</f>
        <v>0</v>
      </c>
      <c r="AS136" s="33">
        <f ca="1">_xll.DBRW($C$1,$C$2,$C$3,$C$4,$C$6,$C$5,$C$7,AS$1,AS$2,$A136)</f>
        <v>0</v>
      </c>
      <c r="AT136" s="33">
        <f ca="1">_xll.DBRW($C$1,$C$2,$C$3,$C$4,$C$6,$C$5,$C$7,AT$1,AT$2,$A136)</f>
        <v>0</v>
      </c>
      <c r="AU136" s="33">
        <f ca="1">_xll.DBRW($C$1,$C$2,$C$3,$C$4,$C$6,$C$5,$C$7,AU$1,AU$2,$A136)</f>
        <v>0</v>
      </c>
      <c r="AV136" s="33">
        <f ca="1">_xll.DBRW($C$1,$C$2,$C$3,$C$4,$C$6,$C$5,$C$7,AV$1,AV$2,$A136)</f>
        <v>0</v>
      </c>
      <c r="AW136" s="33">
        <f ca="1">_xll.DBRW($C$1,$C$2,$C$3,$C$4,$C$6,$C$5,$C$7,AW$1,AW$2,$A136)</f>
        <v>0</v>
      </c>
      <c r="AX136" s="33">
        <f ca="1">_xll.DBRW($C$1,$C$2,$C$3,$C$4,$C$6,$C$5,$C$7,AX$1,AX$2,$A136)</f>
        <v>0</v>
      </c>
      <c r="AY136" s="33">
        <f ca="1">_xll.DBRW($C$1,$C$2,$C$3,$C$4,$C$6,$C$5,$C$7,AY$1,AY$2,$A136)</f>
        <v>0</v>
      </c>
    </row>
    <row r="137" spans="1:51" ht="15.75" hidden="1" customHeight="1" outlineLevel="2">
      <c r="A137" s="1" t="s">
        <v>228</v>
      </c>
      <c r="C137" s="104"/>
      <c r="E137" s="9" t="str">
        <f ca="1">_xll.DBRW(Server&amp;"}ElementAttributes_Indicator",A137,"code_English")</f>
        <v>PL1140_CS_05 - Amortization (CS)</v>
      </c>
      <c r="F137" s="33">
        <f ca="1">_xll.DBRW($C$1,$C$2,$C$3,$C$4,$C$6,$C$5,$C$7,F$1,F$2,$A137)</f>
        <v>-0.52926002122963234</v>
      </c>
      <c r="G137" s="33">
        <f ca="1">_xll.DBRW($C$1,$C$2,$C$3,$C$4,$C$6,$C$5,$C$7,G$1,G$2,$A137)</f>
        <v>-0.46125109601672876</v>
      </c>
      <c r="H137" s="33">
        <f ca="1">_xll.DBRW($C$1,$C$2,$C$3,$C$4,$C$6,$C$5,$C$7,H$1,H$2,$A137)</f>
        <v>-0.33822721266961236</v>
      </c>
      <c r="I137" s="33">
        <f ca="1">_xll.DBRW($C$1,$C$2,$C$3,$C$4,$C$6,$C$5,$C$7,I$1,I$2,$A137)</f>
        <v>-0.13389564784459074</v>
      </c>
      <c r="J137" s="33">
        <f ca="1">_xll.DBRW($C$1,$C$2,$C$3,$C$4,$C$6,$C$5,$C$7,J$1,J$2,$A137)</f>
        <v>-1.1708304039270945</v>
      </c>
      <c r="K137" s="33">
        <f ca="1">_xll.DBRW($C$1,$C$2,$C$3,$C$4,$C$6,$C$5,$C$7,K$1,K$2,$A137)</f>
        <v>-1.0998321703478557</v>
      </c>
      <c r="L137" s="33">
        <f ca="1">_xll.DBRW($C$1,$C$2,$C$3,$C$4,$C$6,$C$5,$C$7,L$1,L$2,$A137)</f>
        <v>-1.4155397299999999</v>
      </c>
      <c r="M137" s="33">
        <f ca="1">_xll.DBRW($C$1,$C$2,$C$3,$C$4,$C$6,$C$5,$C$7,M$1,M$2,$A137)</f>
        <v>-1.6559041863625952E-2</v>
      </c>
      <c r="N137" s="33">
        <f ca="1">_xll.DBRW($C$1,$C$2,$C$3,$C$4,$C$6,$C$5,$C$7,N$1,N$2,$A137)</f>
        <v>-0.16707339910167712</v>
      </c>
      <c r="O137" s="33">
        <f ca="1">_xll.DBRW($C$1,$C$2,$C$3,$C$4,$C$6,$C$5,$C$7,O$1,O$2,$A137)</f>
        <v>-0.24757842517179407</v>
      </c>
      <c r="P137" s="33">
        <f ca="1">_xll.DBRW($C$1,$C$2,$C$3,$C$4,$C$6,$C$5,$C$7,P$1,P$2,$A137)</f>
        <v>-0.3286588931422082</v>
      </c>
      <c r="Q137" s="33">
        <f ca="1">_xll.DBRW($C$1,$C$2,$C$3,$C$4,$C$6,$C$5,$C$7,Q$1,Q$2,$A137)</f>
        <v>-0.40883808666529053</v>
      </c>
      <c r="R137" s="33">
        <f ca="1">_xll.DBRW($C$1,$C$2,$C$3,$C$4,$C$6,$C$5,$C$7,R$1,R$2,$A137)</f>
        <v>-0.48621264963047589</v>
      </c>
      <c r="S137" s="33">
        <f ca="1">_xll.DBRW($C$1,$C$2,$C$3,$C$4,$C$6,$C$5,$C$7,S$1,S$2,$A137)</f>
        <v>-9.7723709214467824E-2</v>
      </c>
      <c r="T137" s="33">
        <f ca="1">_xll.DBRW($C$1,$C$2,$C$3,$C$4,$C$6,$C$5,$C$7,T$1,T$2,$A137)</f>
        <v>-0.89155088585556619</v>
      </c>
      <c r="U137" s="33">
        <f ca="1">_xll.DBRW($C$1,$C$2,$C$3,$C$4,$C$6,$C$5,$C$7,U$1,U$2,$A137)</f>
        <v>-0.9993615674365055</v>
      </c>
      <c r="V137" s="33">
        <f ca="1">_xll.DBRW($C$1,$C$2,$C$3,$C$4,$C$6,$C$5,$C$7,V$1,V$2,$A137)</f>
        <v>-8.0880856343501395E-2</v>
      </c>
      <c r="W137" s="33">
        <f ca="1">_xll.DBRW($C$1,$C$2,$C$3,$C$4,$C$6,$C$5,$C$7,W$1,W$2,$A137)</f>
        <v>-1.2187595310170432</v>
      </c>
      <c r="X137" s="33">
        <f ca="1">_xll.DBRW($C$1,$C$2,$C$3,$C$4,$C$6,$C$5,$C$7,X$1,X$2,$A137)</f>
        <v>-0.29946750644438347</v>
      </c>
      <c r="Y137" s="33">
        <f ca="1">_xll.DBRW($C$1,$C$2,$C$3,$C$4,$C$6,$C$5,$C$7,Y$1,Y$2,$A137)</f>
        <v>-0.29946750644438347</v>
      </c>
      <c r="Z137" s="33">
        <f ca="1">_xll.DBRW($C$1,$C$2,$C$3,$C$4,$C$6,$C$5,$C$7,Z$1,Z$2,$A137)</f>
        <v>-0.11552335091614781</v>
      </c>
      <c r="AA137" s="33">
        <f ca="1">_xll.DBRW($C$1,$C$2,$C$3,$C$4,$C$6,$C$5,$C$7,AA$1,AA$2,$A137)</f>
        <v>-0.23338814183229561</v>
      </c>
      <c r="AB137" s="33">
        <f ca="1">_xll.DBRW($C$1,$C$2,$C$3,$C$4,$C$6,$C$5,$C$7,AB$1,AB$2,$A137)</f>
        <v>-0.35359471274844345</v>
      </c>
      <c r="AC137" s="33">
        <f ca="1">_xll.DBRW($C$1,$C$2,$C$3,$C$4,$C$6,$C$5,$C$7,AC$1,AC$2,$A137)</f>
        <v>-0.47353960366459125</v>
      </c>
      <c r="AD137" s="33">
        <f ca="1">_xll.DBRW($C$1,$C$2,$C$3,$C$4,$C$6,$C$5,$C$7,AD$1,AD$2,$A137)</f>
        <v>-0.59640636699037763</v>
      </c>
      <c r="AE137" s="33">
        <f ca="1">_xll.DBRW($C$1,$C$2,$C$3,$C$4,$C$6,$C$5,$C$7,AE$1,AE$2,$A137)</f>
        <v>-0.72145999790652549</v>
      </c>
      <c r="AF137" s="33">
        <f ca="1">_xll.DBRW($C$1,$C$2,$C$3,$C$4,$C$6,$C$5,$C$7,AF$1,AF$2,$A137)</f>
        <v>-0.85079686508773344</v>
      </c>
      <c r="AG137" s="33">
        <f ca="1">_xll.DBRW($C$1,$C$2,$C$3,$C$4,$C$6,$C$5,$C$7,AG$1,AG$2,$A137)</f>
        <v>-0.98002109166653184</v>
      </c>
      <c r="AH137" s="33">
        <f ca="1">_xll.DBRW($C$1,$C$2,$C$3,$C$4,$C$6,$C$5,$C$7,AH$1,AH$2,$A137)</f>
        <v>-1.1189766982453302</v>
      </c>
      <c r="AI137" s="33">
        <f ca="1">_xll.DBRW($C$1,$C$2,$C$3,$C$4,$C$6,$C$5,$C$7,AI$1,AI$2,$A137)</f>
        <v>-1.2593128446963693</v>
      </c>
      <c r="AJ137" s="33">
        <f ca="1">_xll.DBRW($C$1,$C$2,$C$3,$C$4,$C$6,$C$5,$C$7,AJ$1,AJ$2,$A137)</f>
        <v>-1.4004276035570469</v>
      </c>
      <c r="AK137" s="33">
        <f ca="1">_xll.DBRW($C$1,$C$2,$C$3,$C$4,$C$6,$C$5,$C$7,AK$1,AK$2,$A137)</f>
        <v>-1.5541532927791701</v>
      </c>
      <c r="AL137" s="33">
        <f ca="1">_xll.DBRW($C$1,$C$2,$C$3,$C$4,$C$6,$C$5,$C$7,AL$1,AL$2,$A137)</f>
        <v>-1.5541532927791701</v>
      </c>
      <c r="AM137" s="33">
        <f ca="1">_xll.DBRW($C$1,$C$2,$C$3,$C$4,$C$6,$C$5,$C$7,AM$1,AM$2,$A137)</f>
        <v>-2.1823957653572847E-3</v>
      </c>
      <c r="AN137" s="33">
        <f ca="1">_xll.DBRW($C$1,$C$2,$C$3,$C$4,$C$6,$C$5,$C$7,AN$1,AN$2,$A137)</f>
        <v>-0.21586446059888631</v>
      </c>
      <c r="AO137" s="33">
        <f ca="1">_xll.DBRW($C$1,$C$2,$C$3,$C$4,$C$6,$C$5,$C$7,AO$1,AO$2,$A137)</f>
        <v>2.7755575615628914E-17</v>
      </c>
      <c r="AP137" s="33">
        <f ca="1">_xll.DBRW($C$1,$C$2,$C$3,$C$4,$C$6,$C$5,$C$7,AP$1,AP$2,$A137)</f>
        <v>2.7755575615628914E-17</v>
      </c>
      <c r="AQ137" s="33">
        <f ca="1">_xll.DBRW($C$1,$C$2,$C$3,$C$4,$C$6,$C$5,$C$7,AQ$1,AQ$2,$A137)</f>
        <v>2.7755575615628914E-17</v>
      </c>
      <c r="AR137" s="33">
        <f ca="1">_xll.DBRW($C$1,$C$2,$C$3,$C$4,$C$6,$C$5,$C$7,AR$1,AR$2,$A137)</f>
        <v>2.7755575615628914E-17</v>
      </c>
      <c r="AS137" s="33">
        <f ca="1">_xll.DBRW($C$1,$C$2,$C$3,$C$4,$C$6,$C$5,$C$7,AS$1,AS$2,$A137)</f>
        <v>2.7755575615628914E-17</v>
      </c>
      <c r="AT137" s="33">
        <f ca="1">_xll.DBRW($C$1,$C$2,$C$3,$C$4,$C$6,$C$5,$C$7,AT$1,AT$2,$A137)</f>
        <v>2.7755575615628914E-17</v>
      </c>
      <c r="AU137" s="33">
        <f ca="1">_xll.DBRW($C$1,$C$2,$C$3,$C$4,$C$6,$C$5,$C$7,AU$1,AU$2,$A137)</f>
        <v>2.7755575615628914E-17</v>
      </c>
      <c r="AV137" s="33">
        <f ca="1">_xll.DBRW($C$1,$C$2,$C$3,$C$4,$C$6,$C$5,$C$7,AV$1,AV$2,$A137)</f>
        <v>2.7755575615628914E-17</v>
      </c>
      <c r="AW137" s="33">
        <f ca="1">_xll.DBRW($C$1,$C$2,$C$3,$C$4,$C$6,$C$5,$C$7,AW$1,AW$2,$A137)</f>
        <v>2.7755575615628914E-17</v>
      </c>
      <c r="AX137" s="33">
        <f ca="1">_xll.DBRW($C$1,$C$2,$C$3,$C$4,$C$6,$C$5,$C$7,AX$1,AX$2,$A137)</f>
        <v>2.7755575615628914E-17</v>
      </c>
      <c r="AY137" s="33">
        <f ca="1">_xll.DBRW($C$1,$C$2,$C$3,$C$4,$C$6,$C$5,$C$7,AY$1,AY$2,$A137)</f>
        <v>2.7755575615628914E-17</v>
      </c>
    </row>
    <row r="138" spans="1:51" ht="15.75" hidden="1" customHeight="1" outlineLevel="2">
      <c r="A138" s="1" t="s">
        <v>229</v>
      </c>
      <c r="C138" s="104"/>
      <c r="E138" s="9" t="str">
        <f ca="1">_xll.DBRW(Server&amp;"}ElementAttributes_Indicator",A138,"code_English")</f>
        <v>PL1150_CS_10 - Impairment (other than working capital) and provisions - related to staff costs (CS)</v>
      </c>
      <c r="F138" s="33">
        <f ca="1">_xll.DBRW($C$1,$C$2,$C$3,$C$4,$C$6,$C$5,$C$7,F$1,F$2,$A138)</f>
        <v>-0.46758531649789153</v>
      </c>
      <c r="G138" s="33">
        <f ca="1">_xll.DBRW($C$1,$C$2,$C$3,$C$4,$C$6,$C$5,$C$7,G$1,G$2,$A138)</f>
        <v>-9.388956577271737E-2</v>
      </c>
      <c r="H138" s="33">
        <f ca="1">_xll.DBRW($C$1,$C$2,$C$3,$C$4,$C$6,$C$5,$C$7,H$1,H$2,$A138)</f>
        <v>-2.9337545936735536E-2</v>
      </c>
      <c r="I138" s="33">
        <f ca="1">_xll.DBRW($C$1,$C$2,$C$3,$C$4,$C$6,$C$5,$C$7,I$1,I$2,$A138)</f>
        <v>0.27410374965228895</v>
      </c>
      <c r="J138" s="33">
        <f ca="1">_xll.DBRW($C$1,$C$2,$C$3,$C$4,$C$6,$C$5,$C$7,J$1,J$2,$A138)</f>
        <v>-0.11455466113722557</v>
      </c>
      <c r="K138" s="33">
        <f ca="1">_xll.DBRW($C$1,$C$2,$C$3,$C$4,$C$6,$C$5,$C$7,K$1,K$2,$A138)</f>
        <v>-0.32014457274355979</v>
      </c>
      <c r="L138" s="33">
        <f ca="1">_xll.DBRW($C$1,$C$2,$C$3,$C$4,$C$6,$C$5,$C$7,L$1,L$2,$A138)</f>
        <v>-9.4604293333333311E-2</v>
      </c>
      <c r="M138" s="33">
        <f ca="1">_xll.DBRW($C$1,$C$2,$C$3,$C$4,$C$6,$C$5,$C$7,M$1,M$2,$A138)</f>
        <v>-4.0961877483167248E-3</v>
      </c>
      <c r="N138" s="33">
        <f ca="1">_xll.DBRW($C$1,$C$2,$C$3,$C$4,$C$6,$C$5,$C$7,N$1,N$2,$A138)</f>
        <v>-1.0530300917961671E-2</v>
      </c>
      <c r="O138" s="33">
        <f ca="1">_xll.DBRW($C$1,$C$2,$C$3,$C$4,$C$6,$C$5,$C$7,O$1,O$2,$A138)</f>
        <v>-1.8510336478794277E-2</v>
      </c>
      <c r="P138" s="33">
        <f ca="1">_xll.DBRW($C$1,$C$2,$C$3,$C$4,$C$6,$C$5,$C$7,P$1,P$2,$A138)</f>
        <v>-2.53642418570941E-2</v>
      </c>
      <c r="Q138" s="33">
        <f ca="1">_xll.DBRW($C$1,$C$2,$C$3,$C$4,$C$6,$C$5,$C$7,Q$1,Q$2,$A138)</f>
        <v>-3.2230737457000322E-2</v>
      </c>
      <c r="R138" s="33">
        <f ca="1">_xll.DBRW($C$1,$C$2,$C$3,$C$4,$C$6,$C$5,$C$7,R$1,R$2,$A138)</f>
        <v>-4.0267995884763035E-2</v>
      </c>
      <c r="S138" s="33">
        <f ca="1">_xll.DBRW($C$1,$C$2,$C$3,$C$4,$C$6,$C$5,$C$7,S$1,S$2,$A138)</f>
        <v>-1.5297930046177001E-2</v>
      </c>
      <c r="T138" s="33">
        <f ca="1">_xll.DBRW($C$1,$C$2,$C$3,$C$4,$C$6,$C$5,$C$7,T$1,T$2,$A138)</f>
        <v>-2.319840681656668E-2</v>
      </c>
      <c r="U138" s="33">
        <f ca="1">_xll.DBRW($C$1,$C$2,$C$3,$C$4,$C$6,$C$5,$C$7,U$1,U$2,$A138)</f>
        <v>-1.5270601559801662E-2</v>
      </c>
      <c r="V138" s="33">
        <f ca="1">_xll.DBRW($C$1,$C$2,$C$3,$C$4,$C$6,$C$5,$C$7,V$1,V$2,$A138)</f>
        <v>-2.1501079373997149E-2</v>
      </c>
      <c r="W138" s="33">
        <f ca="1">_xll.DBRW($C$1,$C$2,$C$3,$C$4,$C$6,$C$5,$C$7,W$1,W$2,$A138)</f>
        <v>-3.1641313389469544E-2</v>
      </c>
      <c r="X138" s="33">
        <f ca="1">_xll.DBRW($C$1,$C$2,$C$3,$C$4,$C$6,$C$5,$C$7,X$1,X$2,$A138)</f>
        <v>-0.1220432277782881</v>
      </c>
      <c r="Y138" s="33">
        <f ca="1">_xll.DBRW($C$1,$C$2,$C$3,$C$4,$C$6,$C$5,$C$7,Y$1,Y$2,$A138)</f>
        <v>-0.1220432277782881</v>
      </c>
      <c r="Z138" s="33">
        <f ca="1">_xll.DBRW($C$1,$C$2,$C$3,$C$4,$C$6,$C$5,$C$7,Z$1,Z$2,$A138)</f>
        <v>-8.7075906040268453E-3</v>
      </c>
      <c r="AA138" s="33">
        <f ca="1">_xll.DBRW($C$1,$C$2,$C$3,$C$4,$C$6,$C$5,$C$7,AA$1,AA$2,$A138)</f>
        <v>-1.6856120805369128E-2</v>
      </c>
      <c r="AB138" s="33">
        <f ca="1">_xll.DBRW($C$1,$C$2,$C$3,$C$4,$C$6,$C$5,$C$7,AB$1,AB$2,$A138)</f>
        <v>-2.5307335570469797E-2</v>
      </c>
      <c r="AC138" s="33">
        <f ca="1">_xll.DBRW($C$1,$C$2,$C$3,$C$4,$C$6,$C$5,$C$7,AC$1,AC$2,$A138)</f>
        <v>-3.4144456375838919E-2</v>
      </c>
      <c r="AD138" s="33">
        <f ca="1">_xll.DBRW($C$1,$C$2,$C$3,$C$4,$C$6,$C$5,$C$7,AD$1,AD$2,$A138)</f>
        <v>-4.2545335570469793E-2</v>
      </c>
      <c r="AE138" s="33">
        <f ca="1">_xll.DBRW($C$1,$C$2,$C$3,$C$4,$C$6,$C$5,$C$7,AE$1,AE$2,$A138)</f>
        <v>-5.1020711409395965E-2</v>
      </c>
      <c r="AF138" s="33">
        <f ca="1">_xll.DBRW($C$1,$C$2,$C$3,$C$4,$C$6,$C$5,$C$7,AF$1,AF$2,$A138)</f>
        <v>-5.9369912751677842E-2</v>
      </c>
      <c r="AG138" s="33">
        <f ca="1">_xll.DBRW($C$1,$C$2,$C$3,$C$4,$C$6,$C$5,$C$7,AG$1,AG$2,$A138)</f>
        <v>-6.7794953020134219E-2</v>
      </c>
      <c r="AH138" s="33">
        <f ca="1">_xll.DBRW($C$1,$C$2,$C$3,$C$4,$C$6,$C$5,$C$7,AH$1,AH$2,$A138)</f>
        <v>-7.617704026845637E-2</v>
      </c>
      <c r="AI138" s="33">
        <f ca="1">_xll.DBRW($C$1,$C$2,$C$3,$C$4,$C$6,$C$5,$C$7,AI$1,AI$2,$A138)</f>
        <v>-8.4608120805369114E-2</v>
      </c>
      <c r="AJ138" s="33">
        <f ca="1">_xll.DBRW($C$1,$C$2,$C$3,$C$4,$C$6,$C$5,$C$7,AJ$1,AJ$2,$A138)</f>
        <v>-9.3022422818791944E-2</v>
      </c>
      <c r="AK138" s="33">
        <f ca="1">_xll.DBRW($C$1,$C$2,$C$3,$C$4,$C$6,$C$5,$C$7,AK$1,AK$2,$A138)</f>
        <v>-0.13863336912751678</v>
      </c>
      <c r="AL138" s="33">
        <f ca="1">_xll.DBRW($C$1,$C$2,$C$3,$C$4,$C$6,$C$5,$C$7,AL$1,AL$2,$A138)</f>
        <v>-0.13863336912751678</v>
      </c>
      <c r="AM138" s="33">
        <f ca="1">_xll.DBRW($C$1,$C$2,$C$3,$C$4,$C$6,$C$5,$C$7,AM$1,AM$2,$A138)</f>
        <v>-2.2366690293323347E-4</v>
      </c>
      <c r="AN138" s="33">
        <f ca="1">_xll.DBRW($C$1,$C$2,$C$3,$C$4,$C$6,$C$5,$C$7,AN$1,AN$2,$A138)</f>
        <v>-7.3075700916957814E-3</v>
      </c>
      <c r="AO138" s="33">
        <f ca="1">_xll.DBRW($C$1,$C$2,$C$3,$C$4,$C$6,$C$5,$C$7,AO$1,AO$2,$A138)</f>
        <v>-8.6736173798840355E-19</v>
      </c>
      <c r="AP138" s="33">
        <f ca="1">_xll.DBRW($C$1,$C$2,$C$3,$C$4,$C$6,$C$5,$C$7,AP$1,AP$2,$A138)</f>
        <v>-8.6736173798840355E-19</v>
      </c>
      <c r="AQ138" s="33">
        <f ca="1">_xll.DBRW($C$1,$C$2,$C$3,$C$4,$C$6,$C$5,$C$7,AQ$1,AQ$2,$A138)</f>
        <v>-8.6736173798840355E-19</v>
      </c>
      <c r="AR138" s="33">
        <f ca="1">_xll.DBRW($C$1,$C$2,$C$3,$C$4,$C$6,$C$5,$C$7,AR$1,AR$2,$A138)</f>
        <v>-8.6736173798840355E-19</v>
      </c>
      <c r="AS138" s="33">
        <f ca="1">_xll.DBRW($C$1,$C$2,$C$3,$C$4,$C$6,$C$5,$C$7,AS$1,AS$2,$A138)</f>
        <v>-8.6736173798840355E-19</v>
      </c>
      <c r="AT138" s="33">
        <f ca="1">_xll.DBRW($C$1,$C$2,$C$3,$C$4,$C$6,$C$5,$C$7,AT$1,AT$2,$A138)</f>
        <v>-8.6736173798840355E-19</v>
      </c>
      <c r="AU138" s="33">
        <f ca="1">_xll.DBRW($C$1,$C$2,$C$3,$C$4,$C$6,$C$5,$C$7,AU$1,AU$2,$A138)</f>
        <v>-8.6736173798840355E-19</v>
      </c>
      <c r="AV138" s="33">
        <f ca="1">_xll.DBRW($C$1,$C$2,$C$3,$C$4,$C$6,$C$5,$C$7,AV$1,AV$2,$A138)</f>
        <v>-8.6736173798840355E-19</v>
      </c>
      <c r="AW138" s="33">
        <f ca="1">_xll.DBRW($C$1,$C$2,$C$3,$C$4,$C$6,$C$5,$C$7,AW$1,AW$2,$A138)</f>
        <v>-8.6736173798840355E-19</v>
      </c>
      <c r="AX138" s="33">
        <f ca="1">_xll.DBRW($C$1,$C$2,$C$3,$C$4,$C$6,$C$5,$C$7,AX$1,AX$2,$A138)</f>
        <v>-8.6736173798840355E-19</v>
      </c>
      <c r="AY138" s="33">
        <f ca="1">_xll.DBRW($C$1,$C$2,$C$3,$C$4,$C$6,$C$5,$C$7,AY$1,AY$2,$A138)</f>
        <v>-8.6736173798840355E-19</v>
      </c>
    </row>
    <row r="139" spans="1:51" ht="15.75" hidden="1" customHeight="1" outlineLevel="2">
      <c r="A139" s="1" t="s">
        <v>230</v>
      </c>
      <c r="C139" s="104"/>
      <c r="E139" s="9" t="str">
        <f ca="1">_xll.DBRW(Server&amp;"}ElementAttributes_Indicator",A139,"code_English")</f>
        <v>PL1150_CS_11 - Impairment (other than working capital) and provisions - related to staff costs - Reversal (CS)</v>
      </c>
      <c r="F139" s="33">
        <f ca="1">_xll.DBRW($C$1,$C$2,$C$3,$C$4,$C$6,$C$5,$C$7,F$1,F$2,$A139)</f>
        <v>0.10392999999999999</v>
      </c>
      <c r="G139" s="33">
        <f ca="1">_xll.DBRW($C$1,$C$2,$C$3,$C$4,$C$6,$C$5,$C$7,G$1,G$2,$A139)</f>
        <v>0.20666704999999996</v>
      </c>
      <c r="H139" s="33">
        <f ca="1">_xll.DBRW($C$1,$C$2,$C$3,$C$4,$C$6,$C$5,$C$7,H$1,H$2,$A139)</f>
        <v>4.197439E-2</v>
      </c>
      <c r="I139" s="33">
        <f ca="1">_xll.DBRW($C$1,$C$2,$C$3,$C$4,$C$6,$C$5,$C$7,I$1,I$2,$A139)</f>
        <v>0.13556710999999999</v>
      </c>
      <c r="J139" s="33">
        <f ca="1">_xll.DBRW($C$1,$C$2,$C$3,$C$4,$C$6,$C$5,$C$7,J$1,J$2,$A139)</f>
        <v>3.1359369999999998E-2</v>
      </c>
      <c r="K139" s="33">
        <f ca="1">_xll.DBRW($C$1,$C$2,$C$3,$C$4,$C$6,$C$5,$C$7,K$1,K$2,$A139)</f>
        <v>0.135465</v>
      </c>
      <c r="L139" s="33">
        <f ca="1">_xll.DBRW($C$1,$C$2,$C$3,$C$4,$C$6,$C$5,$C$7,L$1,L$2,$A139)</f>
        <v>6.8631999999999999E-2</v>
      </c>
      <c r="M139" s="33">
        <f ca="1">_xll.DBRW($C$1,$C$2,$C$3,$C$4,$C$6,$C$5,$C$7,M$1,M$2,$A139)</f>
        <v>0</v>
      </c>
      <c r="N139" s="33">
        <f ca="1">_xll.DBRW($C$1,$C$2,$C$3,$C$4,$C$6,$C$5,$C$7,N$1,N$2,$A139)</f>
        <v>2.3179999999999997E-3</v>
      </c>
      <c r="O139" s="33">
        <f ca="1">_xll.DBRW($C$1,$C$2,$C$3,$C$4,$C$6,$C$5,$C$7,O$1,O$2,$A139)</f>
        <v>3.4004999999999999E-3</v>
      </c>
      <c r="P139" s="33">
        <f ca="1">_xll.DBRW($C$1,$C$2,$C$3,$C$4,$C$6,$C$5,$C$7,P$1,P$2,$A139)</f>
        <v>2.3863830000000003E-2</v>
      </c>
      <c r="Q139" s="33">
        <f ca="1">_xll.DBRW($C$1,$C$2,$C$3,$C$4,$C$6,$C$5,$C$7,Q$1,Q$2,$A139)</f>
        <v>2.9276330000000003E-2</v>
      </c>
      <c r="R139" s="33">
        <f ca="1">_xll.DBRW($C$1,$C$2,$C$3,$C$4,$C$6,$C$5,$C$7,R$1,R$2,$A139)</f>
        <v>2.5113830000000004E-2</v>
      </c>
      <c r="S139" s="33">
        <f ca="1">_xll.DBRW($C$1,$C$2,$C$3,$C$4,$C$6,$C$5,$C$7,S$1,S$2,$A139)</f>
        <v>3.5113830000000006E-2</v>
      </c>
      <c r="T139" s="33">
        <f ca="1">_xll.DBRW($C$1,$C$2,$C$3,$C$4,$C$6,$C$5,$C$7,T$1,T$2,$A139)</f>
        <v>4.3873830000000003E-2</v>
      </c>
      <c r="U139" s="33">
        <f ca="1">_xll.DBRW($C$1,$C$2,$C$3,$C$4,$C$6,$C$5,$C$7,U$1,U$2,$A139)</f>
        <v>4.5122830000000003E-2</v>
      </c>
      <c r="V139" s="33">
        <f ca="1">_xll.DBRW($C$1,$C$2,$C$3,$C$4,$C$6,$C$5,$C$7,V$1,V$2,$A139)</f>
        <v>3.3878830000000006E-2</v>
      </c>
      <c r="W139" s="33">
        <f ca="1">_xll.DBRW($C$1,$C$2,$C$3,$C$4,$C$6,$C$5,$C$7,W$1,W$2,$A139)</f>
        <v>4.7621830000000004E-2</v>
      </c>
      <c r="X139" s="33">
        <f ca="1">_xll.DBRW($C$1,$C$2,$C$3,$C$4,$C$6,$C$5,$C$7,X$1,X$2,$A139)</f>
        <v>0.23408986000000001</v>
      </c>
      <c r="Y139" s="33">
        <f ca="1">_xll.DBRW($C$1,$C$2,$C$3,$C$4,$C$6,$C$5,$C$7,Y$1,Y$2,$A139)</f>
        <v>0.23408986000000001</v>
      </c>
      <c r="Z139" s="33">
        <f ca="1">_xll.DBRW($C$1,$C$2,$C$3,$C$4,$C$6,$C$5,$C$7,Z$1,Z$2,$A139)</f>
        <v>0</v>
      </c>
      <c r="AA139" s="33">
        <f ca="1">_xll.DBRW($C$1,$C$2,$C$3,$C$4,$C$6,$C$5,$C$7,AA$1,AA$2,$A139)</f>
        <v>0</v>
      </c>
      <c r="AB139" s="33">
        <f ca="1">_xll.DBRW($C$1,$C$2,$C$3,$C$4,$C$6,$C$5,$C$7,AB$1,AB$2,$A139)</f>
        <v>0</v>
      </c>
      <c r="AC139" s="33">
        <f ca="1">_xll.DBRW($C$1,$C$2,$C$3,$C$4,$C$6,$C$5,$C$7,AC$1,AC$2,$A139)</f>
        <v>0</v>
      </c>
      <c r="AD139" s="33">
        <f ca="1">_xll.DBRW($C$1,$C$2,$C$3,$C$4,$C$6,$C$5,$C$7,AD$1,AD$2,$A139)</f>
        <v>7.1999999999999998E-3</v>
      </c>
      <c r="AE139" s="33">
        <f ca="1">_xll.DBRW($C$1,$C$2,$C$3,$C$4,$C$6,$C$5,$C$7,AE$1,AE$2,$A139)</f>
        <v>7.1999999999999998E-3</v>
      </c>
      <c r="AF139" s="33">
        <f ca="1">_xll.DBRW($C$1,$C$2,$C$3,$C$4,$C$6,$C$5,$C$7,AF$1,AF$2,$A139)</f>
        <v>7.1999999999999998E-3</v>
      </c>
      <c r="AG139" s="33">
        <f ca="1">_xll.DBRW($C$1,$C$2,$C$3,$C$4,$C$6,$C$5,$C$7,AG$1,AG$2,$A139)</f>
        <v>7.1999999999999998E-3</v>
      </c>
      <c r="AH139" s="33">
        <f ca="1">_xll.DBRW($C$1,$C$2,$C$3,$C$4,$C$6,$C$5,$C$7,AH$1,AH$2,$A139)</f>
        <v>7.1999999999999998E-3</v>
      </c>
      <c r="AI139" s="33">
        <f ca="1">_xll.DBRW($C$1,$C$2,$C$3,$C$4,$C$6,$C$5,$C$7,AI$1,AI$2,$A139)</f>
        <v>7.1999999999999998E-3</v>
      </c>
      <c r="AJ139" s="33">
        <f ca="1">_xll.DBRW($C$1,$C$2,$C$3,$C$4,$C$6,$C$5,$C$7,AJ$1,AJ$2,$A139)</f>
        <v>7.1999999999999998E-3</v>
      </c>
      <c r="AK139" s="33">
        <f ca="1">_xll.DBRW($C$1,$C$2,$C$3,$C$4,$C$6,$C$5,$C$7,AK$1,AK$2,$A139)</f>
        <v>0.12399225999999999</v>
      </c>
      <c r="AL139" s="33">
        <f ca="1">_xll.DBRW($C$1,$C$2,$C$3,$C$4,$C$6,$C$5,$C$7,AL$1,AL$2,$A139)</f>
        <v>0.12399225999999999</v>
      </c>
      <c r="AM139" s="33">
        <f ca="1">_xll.DBRW($C$1,$C$2,$C$3,$C$4,$C$6,$C$5,$C$7,AM$1,AM$2,$A139)</f>
        <v>0</v>
      </c>
      <c r="AN139" s="33">
        <f ca="1">_xll.DBRW($C$1,$C$2,$C$3,$C$4,$C$6,$C$5,$C$7,AN$1,AN$2,$A139)</f>
        <v>6.2065999999999996E-2</v>
      </c>
      <c r="AO139" s="33">
        <f ca="1">_xll.DBRW($C$1,$C$2,$C$3,$C$4,$C$6,$C$5,$C$7,AO$1,AO$2,$A139)</f>
        <v>0</v>
      </c>
      <c r="AP139" s="33">
        <f ca="1">_xll.DBRW($C$1,$C$2,$C$3,$C$4,$C$6,$C$5,$C$7,AP$1,AP$2,$A139)</f>
        <v>0</v>
      </c>
      <c r="AQ139" s="33">
        <f ca="1">_xll.DBRW($C$1,$C$2,$C$3,$C$4,$C$6,$C$5,$C$7,AQ$1,AQ$2,$A139)</f>
        <v>0</v>
      </c>
      <c r="AR139" s="33">
        <f ca="1">_xll.DBRW($C$1,$C$2,$C$3,$C$4,$C$6,$C$5,$C$7,AR$1,AR$2,$A139)</f>
        <v>0</v>
      </c>
      <c r="AS139" s="33">
        <f ca="1">_xll.DBRW($C$1,$C$2,$C$3,$C$4,$C$6,$C$5,$C$7,AS$1,AS$2,$A139)</f>
        <v>0</v>
      </c>
      <c r="AT139" s="33">
        <f ca="1">_xll.DBRW($C$1,$C$2,$C$3,$C$4,$C$6,$C$5,$C$7,AT$1,AT$2,$A139)</f>
        <v>0</v>
      </c>
      <c r="AU139" s="33">
        <f ca="1">_xll.DBRW($C$1,$C$2,$C$3,$C$4,$C$6,$C$5,$C$7,AU$1,AU$2,$A139)</f>
        <v>0</v>
      </c>
      <c r="AV139" s="33">
        <f ca="1">_xll.DBRW($C$1,$C$2,$C$3,$C$4,$C$6,$C$5,$C$7,AV$1,AV$2,$A139)</f>
        <v>0</v>
      </c>
      <c r="AW139" s="33">
        <f ca="1">_xll.DBRW($C$1,$C$2,$C$3,$C$4,$C$6,$C$5,$C$7,AW$1,AW$2,$A139)</f>
        <v>0</v>
      </c>
      <c r="AX139" s="33">
        <f ca="1">_xll.DBRW($C$1,$C$2,$C$3,$C$4,$C$6,$C$5,$C$7,AX$1,AX$2,$A139)</f>
        <v>0</v>
      </c>
      <c r="AY139" s="33">
        <f ca="1">_xll.DBRW($C$1,$C$2,$C$3,$C$4,$C$6,$C$5,$C$7,AY$1,AY$2,$A139)</f>
        <v>0</v>
      </c>
    </row>
    <row r="140" spans="1:51" ht="15.75" hidden="1" customHeight="1" outlineLevel="2">
      <c r="A140" s="1" t="s">
        <v>231</v>
      </c>
      <c r="C140" s="104"/>
      <c r="E140" s="9" t="str">
        <f ca="1">_xll.DBRW(Server&amp;"}ElementAttributes_Indicator",A140,"code_English")</f>
        <v>PL1150_CS_90 - Impairment (other than working capital) and provisions - others (CS)</v>
      </c>
      <c r="F140" s="33">
        <f ca="1">_xll.DBRW($C$1,$C$2,$C$3,$C$4,$C$6,$C$5,$C$7,F$1,F$2,$A140)</f>
        <v>0</v>
      </c>
      <c r="G140" s="33">
        <f ca="1">_xll.DBRW($C$1,$C$2,$C$3,$C$4,$C$6,$C$5,$C$7,G$1,G$2,$A140)</f>
        <v>0</v>
      </c>
      <c r="H140" s="33">
        <f ca="1">_xll.DBRW($C$1,$C$2,$C$3,$C$4,$C$6,$C$5,$C$7,H$1,H$2,$A140)</f>
        <v>-1.7616540599999999</v>
      </c>
      <c r="I140" s="33">
        <f ca="1">_xll.DBRW($C$1,$C$2,$C$3,$C$4,$C$6,$C$5,$C$7,I$1,I$2,$A140)</f>
        <v>-0.25803231999999998</v>
      </c>
      <c r="J140" s="33">
        <f ca="1">_xll.DBRW($C$1,$C$2,$C$3,$C$4,$C$6,$C$5,$C$7,J$1,J$2,$A140)</f>
        <v>-1.0160180000000008</v>
      </c>
      <c r="K140" s="33">
        <f ca="1">_xll.DBRW($C$1,$C$2,$C$3,$C$4,$C$6,$C$5,$C$7,K$1,K$2,$A140)</f>
        <v>0.47618926</v>
      </c>
      <c r="L140" s="33">
        <f ca="1">_xll.DBRW($C$1,$C$2,$C$3,$C$4,$C$6,$C$5,$C$7,L$1,L$2,$A140)</f>
        <v>0.48134697999999992</v>
      </c>
      <c r="M140" s="33">
        <f ca="1">_xll.DBRW($C$1,$C$2,$C$3,$C$4,$C$6,$C$5,$C$7,M$1,M$2,$A140)</f>
        <v>1.3259999999999999E-3</v>
      </c>
      <c r="N140" s="33">
        <f ca="1">_xll.DBRW($C$1,$C$2,$C$3,$C$4,$C$6,$C$5,$C$7,N$1,N$2,$A140)</f>
        <v>7.7806769999999997E-2</v>
      </c>
      <c r="O140" s="33">
        <f ca="1">_xll.DBRW($C$1,$C$2,$C$3,$C$4,$C$6,$C$5,$C$7,O$1,O$2,$A140)</f>
        <v>0.11868830999999999</v>
      </c>
      <c r="P140" s="33">
        <f ca="1">_xll.DBRW($C$1,$C$2,$C$3,$C$4,$C$6,$C$5,$C$7,P$1,P$2,$A140)</f>
        <v>0.15957707999999998</v>
      </c>
      <c r="Q140" s="33">
        <f ca="1">_xll.DBRW($C$1,$C$2,$C$3,$C$4,$C$6,$C$5,$C$7,Q$1,Q$2,$A140)</f>
        <v>0.20045856000000001</v>
      </c>
      <c r="R140" s="33">
        <f ca="1">_xll.DBRW($C$1,$C$2,$C$3,$C$4,$C$6,$C$5,$C$7,R$1,R$2,$A140)</f>
        <v>0.23869535</v>
      </c>
      <c r="S140" s="33">
        <f ca="1">_xll.DBRW($C$1,$C$2,$C$3,$C$4,$C$6,$C$5,$C$7,S$1,S$2,$A140)</f>
        <v>0.28090287999999997</v>
      </c>
      <c r="T140" s="33">
        <f ca="1">_xll.DBRW($C$1,$C$2,$C$3,$C$4,$C$6,$C$5,$C$7,T$1,T$2,$A140)</f>
        <v>0.32045840999999992</v>
      </c>
      <c r="U140" s="33">
        <f ca="1">_xll.DBRW($C$1,$C$2,$C$3,$C$4,$C$6,$C$5,$C$7,U$1,U$2,$A140)</f>
        <v>0.36002115999999995</v>
      </c>
      <c r="V140" s="33">
        <f ca="1">_xll.DBRW($C$1,$C$2,$C$3,$C$4,$C$6,$C$5,$C$7,V$1,V$2,$A140)</f>
        <v>0.40222868999999994</v>
      </c>
      <c r="W140" s="33">
        <f ca="1">_xll.DBRW($C$1,$C$2,$C$3,$C$4,$C$6,$C$5,$C$7,W$1,W$2,$A140)</f>
        <v>0.28313789999999994</v>
      </c>
      <c r="X140" s="33">
        <f ca="1">_xll.DBRW($C$1,$C$2,$C$3,$C$4,$C$6,$C$5,$C$7,X$1,X$2,$A140)</f>
        <v>0.55107891999999992</v>
      </c>
      <c r="Y140" s="33">
        <f ca="1">_xll.DBRW($C$1,$C$2,$C$3,$C$4,$C$6,$C$5,$C$7,Y$1,Y$2,$A140)</f>
        <v>0.55107891999999992</v>
      </c>
      <c r="Z140" s="33">
        <f ca="1">_xll.DBRW($C$1,$C$2,$C$3,$C$4,$C$6,$C$5,$C$7,Z$1,Z$2,$A140)</f>
        <v>4.399322E-2</v>
      </c>
      <c r="AA140" s="33">
        <f ca="1">_xll.DBRW($C$1,$C$2,$C$3,$C$4,$C$6,$C$5,$C$7,AA$1,AA$2,$A140)</f>
        <v>8.3728990000000003E-2</v>
      </c>
      <c r="AB140" s="33">
        <f ca="1">_xll.DBRW($C$1,$C$2,$C$3,$C$4,$C$6,$C$5,$C$7,AB$1,AB$2,$A140)</f>
        <v>0.12772220000000001</v>
      </c>
      <c r="AC140" s="33">
        <f ca="1">_xll.DBRW($C$1,$C$2,$C$3,$C$4,$C$6,$C$5,$C$7,AC$1,AC$2,$A140)</f>
        <v>0.17029623000000002</v>
      </c>
      <c r="AD140" s="33">
        <f ca="1">_xll.DBRW($C$1,$C$2,$C$3,$C$4,$C$6,$C$5,$C$7,AD$1,AD$2,$A140)</f>
        <v>0.21428945000000002</v>
      </c>
      <c r="AE140" s="33">
        <f ca="1">_xll.DBRW($C$1,$C$2,$C$3,$C$4,$C$6,$C$5,$C$7,AE$1,AE$2,$A140)</f>
        <v>0.25685586999999999</v>
      </c>
      <c r="AF140" s="33">
        <f ca="1">_xll.DBRW($C$1,$C$2,$C$3,$C$4,$C$6,$C$5,$C$7,AF$1,AF$2,$A140)</f>
        <v>0.30061188</v>
      </c>
      <c r="AG140" s="33">
        <f ca="1">_xll.DBRW($C$1,$C$2,$C$3,$C$4,$C$6,$C$5,$C$7,AG$1,AG$2,$A140)</f>
        <v>0.3726758</v>
      </c>
      <c r="AH140" s="33">
        <f ca="1">_xll.DBRW($C$1,$C$2,$C$3,$C$4,$C$6,$C$5,$C$7,AH$1,AH$2,$A140)</f>
        <v>0.41502023999999998</v>
      </c>
      <c r="AI140" s="33">
        <f ca="1">_xll.DBRW($C$1,$C$2,$C$3,$C$4,$C$6,$C$5,$C$7,AI$1,AI$2,$A140)</f>
        <v>0.43676931000000002</v>
      </c>
      <c r="AJ140" s="33">
        <f ca="1">_xll.DBRW($C$1,$C$2,$C$3,$C$4,$C$6,$C$5,$C$7,AJ$1,AJ$2,$A140)</f>
        <v>0.43676931000000002</v>
      </c>
      <c r="AK140" s="33">
        <f ca="1">_xll.DBRW($C$1,$C$2,$C$3,$C$4,$C$6,$C$5,$C$7,AK$1,AK$2,$A140)</f>
        <v>0.43676931000000002</v>
      </c>
      <c r="AL140" s="33">
        <f ca="1">_xll.DBRW($C$1,$C$2,$C$3,$C$4,$C$6,$C$5,$C$7,AL$1,AL$2,$A140)</f>
        <v>0.43676931000000002</v>
      </c>
      <c r="AM140" s="33">
        <f ca="1">_xll.DBRW($C$1,$C$2,$C$3,$C$4,$C$6,$C$5,$C$7,AM$1,AM$2,$A140)</f>
        <v>1.9954329999999999E-2</v>
      </c>
      <c r="AN140" s="33">
        <f ca="1">_xll.DBRW($C$1,$C$2,$C$3,$C$4,$C$6,$C$5,$C$7,AN$1,AN$2,$A140)</f>
        <v>7.8304149999999989E-2</v>
      </c>
      <c r="AO140" s="33">
        <f ca="1">_xll.DBRW($C$1,$C$2,$C$3,$C$4,$C$6,$C$5,$C$7,AO$1,AO$2,$A140)</f>
        <v>0</v>
      </c>
      <c r="AP140" s="33">
        <f ca="1">_xll.DBRW($C$1,$C$2,$C$3,$C$4,$C$6,$C$5,$C$7,AP$1,AP$2,$A140)</f>
        <v>0</v>
      </c>
      <c r="AQ140" s="33">
        <f ca="1">_xll.DBRW($C$1,$C$2,$C$3,$C$4,$C$6,$C$5,$C$7,AQ$1,AQ$2,$A140)</f>
        <v>0</v>
      </c>
      <c r="AR140" s="33">
        <f ca="1">_xll.DBRW($C$1,$C$2,$C$3,$C$4,$C$6,$C$5,$C$7,AR$1,AR$2,$A140)</f>
        <v>0</v>
      </c>
      <c r="AS140" s="33">
        <f ca="1">_xll.DBRW($C$1,$C$2,$C$3,$C$4,$C$6,$C$5,$C$7,AS$1,AS$2,$A140)</f>
        <v>0</v>
      </c>
      <c r="AT140" s="33">
        <f ca="1">_xll.DBRW($C$1,$C$2,$C$3,$C$4,$C$6,$C$5,$C$7,AT$1,AT$2,$A140)</f>
        <v>0</v>
      </c>
      <c r="AU140" s="33">
        <f ca="1">_xll.DBRW($C$1,$C$2,$C$3,$C$4,$C$6,$C$5,$C$7,AU$1,AU$2,$A140)</f>
        <v>0</v>
      </c>
      <c r="AV140" s="33">
        <f ca="1">_xll.DBRW($C$1,$C$2,$C$3,$C$4,$C$6,$C$5,$C$7,AV$1,AV$2,$A140)</f>
        <v>0</v>
      </c>
      <c r="AW140" s="33">
        <f ca="1">_xll.DBRW($C$1,$C$2,$C$3,$C$4,$C$6,$C$5,$C$7,AW$1,AW$2,$A140)</f>
        <v>0</v>
      </c>
      <c r="AX140" s="33">
        <f ca="1">_xll.DBRW($C$1,$C$2,$C$3,$C$4,$C$6,$C$5,$C$7,AX$1,AX$2,$A140)</f>
        <v>0</v>
      </c>
      <c r="AY140" s="33">
        <f ca="1">_xll.DBRW($C$1,$C$2,$C$3,$C$4,$C$6,$C$5,$C$7,AY$1,AY$2,$A140)</f>
        <v>0</v>
      </c>
    </row>
    <row r="141" spans="1:51" ht="15.5" hidden="1" outlineLevel="1" collapsed="1">
      <c r="A141" s="1" t="s">
        <v>232</v>
      </c>
      <c r="C141" s="104"/>
      <c r="E141" s="96" t="s">
        <v>379</v>
      </c>
      <c r="F141" s="34">
        <f t="shared" ref="F141:L141" ca="1" si="95">SUM(F133:F140)</f>
        <v>-156.05524656422301</v>
      </c>
      <c r="G141" s="34">
        <f t="shared" ca="1" si="95"/>
        <v>-148.02719081196599</v>
      </c>
      <c r="H141" s="34">
        <f t="shared" ca="1" si="95"/>
        <v>-141.44817800033897</v>
      </c>
      <c r="I141" s="34">
        <f t="shared" ca="1" si="95"/>
        <v>-131.45018764559427</v>
      </c>
      <c r="J141" s="34">
        <f t="shared" ca="1" si="95"/>
        <v>-132.27384740756924</v>
      </c>
      <c r="K141" s="34">
        <f t="shared" ca="1" si="95"/>
        <v>-142.61880368502543</v>
      </c>
      <c r="L141" s="34">
        <f t="shared" ca="1" si="95"/>
        <v>-148.95799337567192</v>
      </c>
      <c r="M141" s="34">
        <f t="shared" ref="M141:X141" ca="1" si="96">SUM(M133:M140)</f>
        <v>-7.0892353594766391</v>
      </c>
      <c r="N141" s="34">
        <f t="shared" ca="1" si="96"/>
        <v>-23.139270759228815</v>
      </c>
      <c r="O141" s="34">
        <f t="shared" ca="1" si="96"/>
        <v>-35.326028522531814</v>
      </c>
      <c r="P141" s="34">
        <f t="shared" ca="1" si="96"/>
        <v>-47.021035112161968</v>
      </c>
      <c r="Q141" s="34">
        <f t="shared" ca="1" si="96"/>
        <v>-59.840736758169577</v>
      </c>
      <c r="R141" s="34">
        <f t="shared" ca="1" si="96"/>
        <v>-74.846985649314661</v>
      </c>
      <c r="S141" s="34">
        <f t="shared" ca="1" si="96"/>
        <v>-57.417511868897172</v>
      </c>
      <c r="T141" s="34">
        <f t="shared" ca="1" si="96"/>
        <v>-94.61673483999472</v>
      </c>
      <c r="U141" s="34">
        <f t="shared" ca="1" si="96"/>
        <v>-106.59095559690803</v>
      </c>
      <c r="V141" s="34">
        <f t="shared" ca="1" si="96"/>
        <v>-84.650980425986333</v>
      </c>
      <c r="W141" s="34">
        <f t="shared" ca="1" si="96"/>
        <v>-133.60391747324471</v>
      </c>
      <c r="X141" s="34">
        <f t="shared" ca="1" si="96"/>
        <v>-147.36377505789372</v>
      </c>
      <c r="Y141" s="34">
        <f ca="1">SUM(Y133:Y140)</f>
        <v>-147.36377505789372</v>
      </c>
      <c r="Z141" s="34">
        <f t="shared" ref="Z141:AK141" ca="1" si="97">SUM(Z133:Z140)</f>
        <v>-12.449199003522832</v>
      </c>
      <c r="AA141" s="34">
        <f t="shared" ca="1" si="97"/>
        <v>-24.537718641122101</v>
      </c>
      <c r="AB141" s="34">
        <f t="shared" ca="1" si="97"/>
        <v>-37.30792303301974</v>
      </c>
      <c r="AC141" s="34">
        <f t="shared" ca="1" si="97"/>
        <v>-50.000023528298307</v>
      </c>
      <c r="AD141" s="34">
        <f t="shared" ca="1" si="97"/>
        <v>-62.372360896380059</v>
      </c>
      <c r="AE141" s="34">
        <f t="shared" ca="1" si="97"/>
        <v>-75.319678299412089</v>
      </c>
      <c r="AF141" s="34">
        <f t="shared" ca="1" si="97"/>
        <v>-88.062394125547712</v>
      </c>
      <c r="AG141" s="34">
        <f t="shared" ca="1" si="97"/>
        <v>-99.981149442600497</v>
      </c>
      <c r="AH141" s="34">
        <f t="shared" ca="1" si="97"/>
        <v>-112.07769323639396</v>
      </c>
      <c r="AI141" s="34">
        <f t="shared" ca="1" si="97"/>
        <v>-123.95227125861899</v>
      </c>
      <c r="AJ141" s="34">
        <f t="shared" ca="1" si="97"/>
        <v>-135.93660160177208</v>
      </c>
      <c r="AK141" s="34">
        <f t="shared" ca="1" si="97"/>
        <v>-148.59832833288718</v>
      </c>
      <c r="AL141" s="34">
        <f ca="1">SUM(AL133:AL140)</f>
        <v>-148.59832833288718</v>
      </c>
      <c r="AM141" s="34">
        <f t="shared" ref="AM141:AX141" ca="1" si="98">SUM(AM133:AM140)</f>
        <v>-9.2667033802572369</v>
      </c>
      <c r="AN141" s="34">
        <f t="shared" ca="1" si="98"/>
        <v>-25.795479544945493</v>
      </c>
      <c r="AO141" s="34">
        <f t="shared" ca="1" si="98"/>
        <v>3.7738909219875438E-15</v>
      </c>
      <c r="AP141" s="34">
        <f t="shared" ca="1" si="98"/>
        <v>3.7738909219875438E-15</v>
      </c>
      <c r="AQ141" s="34">
        <f t="shared" ca="1" si="98"/>
        <v>3.7738909219875438E-15</v>
      </c>
      <c r="AR141" s="34">
        <f t="shared" ca="1" si="98"/>
        <v>3.7738909219875438E-15</v>
      </c>
      <c r="AS141" s="34">
        <f t="shared" ca="1" si="98"/>
        <v>3.7738909219875438E-15</v>
      </c>
      <c r="AT141" s="34">
        <f t="shared" ca="1" si="98"/>
        <v>3.7738909219875438E-15</v>
      </c>
      <c r="AU141" s="34">
        <f t="shared" ca="1" si="98"/>
        <v>3.7738909219875438E-15</v>
      </c>
      <c r="AV141" s="34">
        <f t="shared" ca="1" si="98"/>
        <v>3.7738909219875438E-15</v>
      </c>
      <c r="AW141" s="34">
        <f t="shared" ca="1" si="98"/>
        <v>3.7738909219875438E-15</v>
      </c>
      <c r="AX141" s="34">
        <f t="shared" ca="1" si="98"/>
        <v>3.7738909219875438E-15</v>
      </c>
      <c r="AY141" s="34">
        <f ca="1">SUM(AY133:AY140)</f>
        <v>3.7738909219875438E-15</v>
      </c>
    </row>
    <row r="142" spans="1:51" ht="15.75" hidden="1" customHeight="1" outlineLevel="2">
      <c r="A142" s="1" t="s">
        <v>233</v>
      </c>
      <c r="C142" s="104"/>
      <c r="E142" s="9" t="str">
        <f ca="1">_xll.DBRW(Server&amp;"}ElementAttributes_Indicator",A142,"code_English")</f>
        <v>PL1110_DS_10 - Staff costs (DS)</v>
      </c>
      <c r="F142" s="33">
        <f ca="1">_xll.DBRW($C$1,$C$2,$C$3,$C$4,$C$6,$C$5,$C$7,F$1,F$2,$A142)</f>
        <v>-499.04772810389852</v>
      </c>
      <c r="G142" s="33">
        <f ca="1">_xll.DBRW($C$1,$C$2,$C$3,$C$4,$C$6,$C$5,$C$7,G$1,G$2,$A142)</f>
        <v>-493.15259691863008</v>
      </c>
      <c r="H142" s="33">
        <f ca="1">_xll.DBRW($C$1,$C$2,$C$3,$C$4,$C$6,$C$5,$C$7,H$1,H$2,$A142)</f>
        <v>-448.74545327020599</v>
      </c>
      <c r="I142" s="33">
        <f ca="1">_xll.DBRW($C$1,$C$2,$C$3,$C$4,$C$6,$C$5,$C$7,I$1,I$2,$A142)</f>
        <v>-442.34567958925265</v>
      </c>
      <c r="J142" s="33">
        <f ca="1">_xll.DBRW($C$1,$C$2,$C$3,$C$4,$C$6,$C$5,$C$7,J$1,J$2,$A142)</f>
        <v>-377.92493622510869</v>
      </c>
      <c r="K142" s="33">
        <f ca="1">_xll.DBRW($C$1,$C$2,$C$3,$C$4,$C$6,$C$5,$C$7,K$1,K$2,$A142)</f>
        <v>-479.12808411391131</v>
      </c>
      <c r="L142" s="33">
        <f ca="1">_xll.DBRW($C$1,$C$2,$C$3,$C$4,$C$6,$C$5,$C$7,L$1,L$2,$A142)</f>
        <v>-457.99006637034108</v>
      </c>
      <c r="M142" s="33">
        <f ca="1">_xll.DBRW($C$1,$C$2,$C$3,$C$4,$C$6,$C$5,$C$7,M$1,M$2,$A142)</f>
        <v>-26.831520797595683</v>
      </c>
      <c r="N142" s="33">
        <f ca="1">_xll.DBRW($C$1,$C$2,$C$3,$C$4,$C$6,$C$5,$C$7,N$1,N$2,$A142)</f>
        <v>-78.743697370481186</v>
      </c>
      <c r="O142" s="33">
        <f ca="1">_xll.DBRW($C$1,$C$2,$C$3,$C$4,$C$6,$C$5,$C$7,O$1,O$2,$A142)</f>
        <v>-120.33947557597409</v>
      </c>
      <c r="P142" s="33">
        <f ca="1">_xll.DBRW($C$1,$C$2,$C$3,$C$4,$C$6,$C$5,$C$7,P$1,P$2,$A142)</f>
        <v>-161.08979130464709</v>
      </c>
      <c r="Q142" s="33">
        <f ca="1">_xll.DBRW($C$1,$C$2,$C$3,$C$4,$C$6,$C$5,$C$7,Q$1,Q$2,$A142)</f>
        <v>-201.63826898449767</v>
      </c>
      <c r="R142" s="33">
        <f ca="1">_xll.DBRW($C$1,$C$2,$C$3,$C$4,$C$6,$C$5,$C$7,R$1,R$2,$A142)</f>
        <v>-245.75204575498333</v>
      </c>
      <c r="S142" s="33">
        <f ca="1">_xll.DBRW($C$1,$C$2,$C$3,$C$4,$C$6,$C$5,$C$7,S$1,S$2,$A142)</f>
        <v>-184.65877596119432</v>
      </c>
      <c r="T142" s="33">
        <f ca="1">_xll.DBRW($C$1,$C$2,$C$3,$C$4,$C$6,$C$5,$C$7,T$1,T$2,$A142)</f>
        <v>-324.37956510675616</v>
      </c>
      <c r="U142" s="33">
        <f ca="1">_xll.DBRW($C$1,$C$2,$C$3,$C$4,$C$6,$C$5,$C$7,U$1,U$2,$A142)</f>
        <v>-365.87468087553407</v>
      </c>
      <c r="V142" s="33">
        <f ca="1">_xll.DBRW($C$1,$C$2,$C$3,$C$4,$C$6,$C$5,$C$7,V$1,V$2,$A142)</f>
        <v>-265.63547580576568</v>
      </c>
      <c r="W142" s="33">
        <f ca="1">_xll.DBRW($C$1,$C$2,$C$3,$C$4,$C$6,$C$5,$C$7,W$1,W$2,$A142)</f>
        <v>-430.26460764093912</v>
      </c>
      <c r="X142" s="33">
        <f ca="1">_xll.DBRW($C$1,$C$2,$C$3,$C$4,$C$6,$C$5,$C$7,X$1,X$2,$A142)</f>
        <v>-505.32380716387183</v>
      </c>
      <c r="Y142" s="33">
        <f ca="1">_xll.DBRW($C$1,$C$2,$C$3,$C$4,$C$6,$C$5,$C$7,Y$1,Y$2,$A142)</f>
        <v>-505.32380716387183</v>
      </c>
      <c r="Z142" s="33">
        <f ca="1">_xll.DBRW($C$1,$C$2,$C$3,$C$4,$C$6,$C$5,$C$7,Z$1,Z$2,$A142)</f>
        <v>-42.201789744642952</v>
      </c>
      <c r="AA142" s="33">
        <f ca="1">_xll.DBRW($C$1,$C$2,$C$3,$C$4,$C$6,$C$5,$C$7,AA$1,AA$2,$A142)</f>
        <v>-89.764692026809925</v>
      </c>
      <c r="AB142" s="33">
        <f ca="1">_xll.DBRW($C$1,$C$2,$C$3,$C$4,$C$6,$C$5,$C$7,AB$1,AB$2,$A142)</f>
        <v>-136.38466019960347</v>
      </c>
      <c r="AC142" s="33">
        <f ca="1">_xll.DBRW($C$1,$C$2,$C$3,$C$4,$C$6,$C$5,$C$7,AC$1,AC$2,$A142)</f>
        <v>-180.99346111770225</v>
      </c>
      <c r="AD142" s="33">
        <f ca="1">_xll.DBRW($C$1,$C$2,$C$3,$C$4,$C$6,$C$5,$C$7,AD$1,AD$2,$A142)</f>
        <v>-227.08853235956758</v>
      </c>
      <c r="AE142" s="33">
        <f ca="1">_xll.DBRW($C$1,$C$2,$C$3,$C$4,$C$6,$C$5,$C$7,AE$1,AE$2,$A142)</f>
        <v>-273.03056311704609</v>
      </c>
      <c r="AF142" s="33">
        <f ca="1">_xll.DBRW($C$1,$C$2,$C$3,$C$4,$C$6,$C$5,$C$7,AF$1,AF$2,$A142)</f>
        <v>-316.64003693125557</v>
      </c>
      <c r="AG142" s="33">
        <f ca="1">_xll.DBRW($C$1,$C$2,$C$3,$C$4,$C$6,$C$5,$C$7,AG$1,AG$2,$A142)</f>
        <v>-358.28981847521118</v>
      </c>
      <c r="AH142" s="33">
        <f ca="1">_xll.DBRW($C$1,$C$2,$C$3,$C$4,$C$6,$C$5,$C$7,AH$1,AH$2,$A142)</f>
        <v>-400.6309889808096</v>
      </c>
      <c r="AI142" s="33">
        <f ca="1">_xll.DBRW($C$1,$C$2,$C$3,$C$4,$C$6,$C$5,$C$7,AI$1,AI$2,$A142)</f>
        <v>-445.01653143201452</v>
      </c>
      <c r="AJ142" s="33">
        <f ca="1">_xll.DBRW($C$1,$C$2,$C$3,$C$4,$C$6,$C$5,$C$7,AJ$1,AJ$2,$A142)</f>
        <v>-490.35282667498598</v>
      </c>
      <c r="AK142" s="33">
        <f ca="1">_xll.DBRW($C$1,$C$2,$C$3,$C$4,$C$6,$C$5,$C$7,AK$1,AK$2,$A142)</f>
        <v>-536.89730334980209</v>
      </c>
      <c r="AL142" s="33">
        <f ca="1">_xll.DBRW($C$1,$C$2,$C$3,$C$4,$C$6,$C$5,$C$7,AL$1,AL$2,$A142)</f>
        <v>-536.89730334980209</v>
      </c>
      <c r="AM142" s="33">
        <f ca="1">_xll.DBRW($C$1,$C$2,$C$3,$C$4,$C$6,$C$5,$C$7,AM$1,AM$2,$A142)</f>
        <v>-39.190230513462367</v>
      </c>
      <c r="AN142" s="33">
        <f ca="1">_xll.DBRW($C$1,$C$2,$C$3,$C$4,$C$6,$C$5,$C$7,AN$1,AN$2,$A142)</f>
        <v>-90.433232519268202</v>
      </c>
      <c r="AO142" s="33">
        <f ca="1">_xll.DBRW($C$1,$C$2,$C$3,$C$4,$C$6,$C$5,$C$7,AO$1,AO$2,$A142)</f>
        <v>4.2632564145606011E-14</v>
      </c>
      <c r="AP142" s="33">
        <f ca="1">_xll.DBRW($C$1,$C$2,$C$3,$C$4,$C$6,$C$5,$C$7,AP$1,AP$2,$A142)</f>
        <v>4.2632564145606011E-14</v>
      </c>
      <c r="AQ142" s="33">
        <f ca="1">_xll.DBRW($C$1,$C$2,$C$3,$C$4,$C$6,$C$5,$C$7,AQ$1,AQ$2,$A142)</f>
        <v>4.2632564145606011E-14</v>
      </c>
      <c r="AR142" s="33">
        <f ca="1">_xll.DBRW($C$1,$C$2,$C$3,$C$4,$C$6,$C$5,$C$7,AR$1,AR$2,$A142)</f>
        <v>4.2632564145606011E-14</v>
      </c>
      <c r="AS142" s="33">
        <f ca="1">_xll.DBRW($C$1,$C$2,$C$3,$C$4,$C$6,$C$5,$C$7,AS$1,AS$2,$A142)</f>
        <v>4.2632564145606011E-14</v>
      </c>
      <c r="AT142" s="33">
        <f ca="1">_xll.DBRW($C$1,$C$2,$C$3,$C$4,$C$6,$C$5,$C$7,AT$1,AT$2,$A142)</f>
        <v>4.2632564145606011E-14</v>
      </c>
      <c r="AU142" s="33">
        <f ca="1">_xll.DBRW($C$1,$C$2,$C$3,$C$4,$C$6,$C$5,$C$7,AU$1,AU$2,$A142)</f>
        <v>4.2632564145606011E-14</v>
      </c>
      <c r="AV142" s="33">
        <f ca="1">_xll.DBRW($C$1,$C$2,$C$3,$C$4,$C$6,$C$5,$C$7,AV$1,AV$2,$A142)</f>
        <v>4.2632564145606011E-14</v>
      </c>
      <c r="AW142" s="33">
        <f ca="1">_xll.DBRW($C$1,$C$2,$C$3,$C$4,$C$6,$C$5,$C$7,AW$1,AW$2,$A142)</f>
        <v>4.2632564145606011E-14</v>
      </c>
      <c r="AX142" s="33">
        <f ca="1">_xll.DBRW($C$1,$C$2,$C$3,$C$4,$C$6,$C$5,$C$7,AX$1,AX$2,$A142)</f>
        <v>4.2632564145606011E-14</v>
      </c>
      <c r="AY142" s="33">
        <f ca="1">_xll.DBRW($C$1,$C$2,$C$3,$C$4,$C$6,$C$5,$C$7,AY$1,AY$2,$A142)</f>
        <v>4.2632564145606011E-14</v>
      </c>
    </row>
    <row r="143" spans="1:51" ht="15.75" hidden="1" customHeight="1" outlineLevel="2">
      <c r="A143" s="1" t="s">
        <v>234</v>
      </c>
      <c r="C143" s="104"/>
      <c r="E143" s="9" t="str">
        <f ca="1">_xll.DBRW(Server&amp;"}ElementAttributes_Indicator",A143,"code_English")</f>
        <v>PL1116_DS - COS - Lease expenses (DS)</v>
      </c>
      <c r="F143" s="33">
        <f ca="1">_xll.DBRW($C$1,$C$2,$C$3,$C$4,$C$6,$C$5,$C$7,F$1,F$2,$A143)</f>
        <v>-5.0451165551388186</v>
      </c>
      <c r="G143" s="33">
        <f ca="1">_xll.DBRW($C$1,$C$2,$C$3,$C$4,$C$6,$C$5,$C$7,G$1,G$2,$A143)</f>
        <v>-9.97028839081133</v>
      </c>
      <c r="H143" s="33">
        <f ca="1">_xll.DBRW($C$1,$C$2,$C$3,$C$4,$C$6,$C$5,$C$7,H$1,H$2,$A143)</f>
        <v>-11.87422390322946</v>
      </c>
      <c r="I143" s="33">
        <f ca="1">_xll.DBRW($C$1,$C$2,$C$3,$C$4,$C$6,$C$5,$C$7,I$1,I$2,$A143)</f>
        <v>-8.3013994816667847</v>
      </c>
      <c r="J143" s="33">
        <f ca="1">_xll.DBRW($C$1,$C$2,$C$3,$C$4,$C$6,$C$5,$C$7,J$1,J$2,$A143)</f>
        <v>-8.0199730157889633</v>
      </c>
      <c r="K143" s="33">
        <f ca="1">_xll.DBRW($C$1,$C$2,$C$3,$C$4,$C$6,$C$5,$C$7,K$1,K$2,$A143)</f>
        <v>-11.579999743963178</v>
      </c>
      <c r="L143" s="33">
        <f ca="1">_xll.DBRW($C$1,$C$2,$C$3,$C$4,$C$6,$C$5,$C$7,L$1,L$2,$A143)</f>
        <v>-11.979002658964838</v>
      </c>
      <c r="M143" s="33">
        <f ca="1">_xll.DBRW($C$1,$C$2,$C$3,$C$4,$C$6,$C$5,$C$7,M$1,M$2,$A143)</f>
        <v>-0.52605550926363809</v>
      </c>
      <c r="N143" s="33">
        <f ca="1">_xll.DBRW($C$1,$C$2,$C$3,$C$4,$C$6,$C$5,$C$7,N$1,N$2,$A143)</f>
        <v>-2.0633516883883605</v>
      </c>
      <c r="O143" s="33">
        <f ca="1">_xll.DBRW($C$1,$C$2,$C$3,$C$4,$C$6,$C$5,$C$7,O$1,O$2,$A143)</f>
        <v>-3.0641682222578881</v>
      </c>
      <c r="P143" s="33">
        <f ca="1">_xll.DBRW($C$1,$C$2,$C$3,$C$4,$C$6,$C$5,$C$7,P$1,P$2,$A143)</f>
        <v>-3.8458365718317418</v>
      </c>
      <c r="Q143" s="33">
        <f ca="1">_xll.DBRW($C$1,$C$2,$C$3,$C$4,$C$6,$C$5,$C$7,Q$1,Q$2,$A143)</f>
        <v>-4.8677514156595878</v>
      </c>
      <c r="R143" s="33">
        <f ca="1">_xll.DBRW($C$1,$C$2,$C$3,$C$4,$C$6,$C$5,$C$7,R$1,R$2,$A143)</f>
        <v>-6.0470464985089665</v>
      </c>
      <c r="S143" s="33">
        <f ca="1">_xll.DBRW($C$1,$C$2,$C$3,$C$4,$C$6,$C$5,$C$7,S$1,S$2,$A143)</f>
        <v>-5.7817671622083724</v>
      </c>
      <c r="T143" s="33">
        <f ca="1">_xll.DBRW($C$1,$C$2,$C$3,$C$4,$C$6,$C$5,$C$7,T$1,T$2,$A143)</f>
        <v>-8.0688480303721555</v>
      </c>
      <c r="U143" s="33">
        <f ca="1">_xll.DBRW($C$1,$C$2,$C$3,$C$4,$C$6,$C$5,$C$7,U$1,U$2,$A143)</f>
        <v>-9.1287742109099739</v>
      </c>
      <c r="V143" s="33">
        <f ca="1">_xll.DBRW($C$1,$C$2,$C$3,$C$4,$C$6,$C$5,$C$7,V$1,V$2,$A143)</f>
        <v>-8.536074627841705</v>
      </c>
      <c r="W143" s="33">
        <f ca="1">_xll.DBRW($C$1,$C$2,$C$3,$C$4,$C$6,$C$5,$C$7,W$1,W$2,$A143)</f>
        <v>-10.854209585949704</v>
      </c>
      <c r="X143" s="33">
        <f ca="1">_xll.DBRW($C$1,$C$2,$C$3,$C$4,$C$6,$C$5,$C$7,X$1,X$2,$A143)</f>
        <v>-12.056012375233603</v>
      </c>
      <c r="Y143" s="33">
        <f ca="1">_xll.DBRW($C$1,$C$2,$C$3,$C$4,$C$6,$C$5,$C$7,Y$1,Y$2,$A143)</f>
        <v>-12.056012375233603</v>
      </c>
      <c r="Z143" s="33">
        <f ca="1">_xll.DBRW($C$1,$C$2,$C$3,$C$4,$C$6,$C$5,$C$7,Z$1,Z$2,$A143)</f>
        <v>-1.0832075714719374</v>
      </c>
      <c r="AA143" s="33">
        <f ca="1">_xll.DBRW($C$1,$C$2,$C$3,$C$4,$C$6,$C$5,$C$7,AA$1,AA$2,$A143)</f>
        <v>-2.1301426329617179</v>
      </c>
      <c r="AB143" s="33">
        <f ca="1">_xll.DBRW($C$1,$C$2,$C$3,$C$4,$C$6,$C$5,$C$7,AB$1,AB$2,$A143)</f>
        <v>-3.1324839037660084</v>
      </c>
      <c r="AC143" s="33">
        <f ca="1">_xll.DBRW($C$1,$C$2,$C$3,$C$4,$C$6,$C$5,$C$7,AC$1,AC$2,$A143)</f>
        <v>-4.2376749367508868</v>
      </c>
      <c r="AD143" s="33">
        <f ca="1">_xll.DBRW($C$1,$C$2,$C$3,$C$4,$C$6,$C$5,$C$7,AD$1,AD$2,$A143)</f>
        <v>-5.2712828072592028</v>
      </c>
      <c r="AE143" s="33">
        <f ca="1">_xll.DBRW($C$1,$C$2,$C$3,$C$4,$C$6,$C$5,$C$7,AE$1,AE$2,$A143)</f>
        <v>-6.470789479358892</v>
      </c>
      <c r="AF143" s="33">
        <f ca="1">_xll.DBRW($C$1,$C$2,$C$3,$C$4,$C$6,$C$5,$C$7,AF$1,AF$2,$A143)</f>
        <v>-7.5929721103112593</v>
      </c>
      <c r="AG143" s="33">
        <f ca="1">_xll.DBRW($C$1,$C$2,$C$3,$C$4,$C$6,$C$5,$C$7,AG$1,AG$2,$A143)</f>
        <v>-8.5932442597111525</v>
      </c>
      <c r="AH143" s="33">
        <f ca="1">_xll.DBRW($C$1,$C$2,$C$3,$C$4,$C$6,$C$5,$C$7,AH$1,AH$2,$A143)</f>
        <v>-9.592205894489636</v>
      </c>
      <c r="AI143" s="33">
        <f ca="1">_xll.DBRW($C$1,$C$2,$C$3,$C$4,$C$6,$C$5,$C$7,AI$1,AI$2,$A143)</f>
        <v>-10.663317033216668</v>
      </c>
      <c r="AJ143" s="33">
        <f ca="1">_xll.DBRW($C$1,$C$2,$C$3,$C$4,$C$6,$C$5,$C$7,AJ$1,AJ$2,$A143)</f>
        <v>-11.64655847518085</v>
      </c>
      <c r="AK143" s="33">
        <f ca="1">_xll.DBRW($C$1,$C$2,$C$3,$C$4,$C$6,$C$5,$C$7,AK$1,AK$2,$A143)</f>
        <v>-12.877616125468563</v>
      </c>
      <c r="AL143" s="33">
        <f ca="1">_xll.DBRW($C$1,$C$2,$C$3,$C$4,$C$6,$C$5,$C$7,AL$1,AL$2,$A143)</f>
        <v>-12.877616125468563</v>
      </c>
      <c r="AM143" s="33">
        <f ca="1">_xll.DBRW($C$1,$C$2,$C$3,$C$4,$C$6,$C$5,$C$7,AM$1,AM$2,$A143)</f>
        <v>-1.0251199862955229</v>
      </c>
      <c r="AN143" s="33">
        <f ca="1">_xll.DBRW($C$1,$C$2,$C$3,$C$4,$C$6,$C$5,$C$7,AN$1,AN$2,$A143)</f>
        <v>-2.1140249526087795</v>
      </c>
      <c r="AO143" s="33">
        <f ca="1">_xll.DBRW($C$1,$C$2,$C$3,$C$4,$C$6,$C$5,$C$7,AO$1,AO$2,$A143)</f>
        <v>-8.8817841970012523E-16</v>
      </c>
      <c r="AP143" s="33">
        <f ca="1">_xll.DBRW($C$1,$C$2,$C$3,$C$4,$C$6,$C$5,$C$7,AP$1,AP$2,$A143)</f>
        <v>-8.8817841970012523E-16</v>
      </c>
      <c r="AQ143" s="33">
        <f ca="1">_xll.DBRW($C$1,$C$2,$C$3,$C$4,$C$6,$C$5,$C$7,AQ$1,AQ$2,$A143)</f>
        <v>-8.8817841970012523E-16</v>
      </c>
      <c r="AR143" s="33">
        <f ca="1">_xll.DBRW($C$1,$C$2,$C$3,$C$4,$C$6,$C$5,$C$7,AR$1,AR$2,$A143)</f>
        <v>-8.8817841970012523E-16</v>
      </c>
      <c r="AS143" s="33">
        <f ca="1">_xll.DBRW($C$1,$C$2,$C$3,$C$4,$C$6,$C$5,$C$7,AS$1,AS$2,$A143)</f>
        <v>-8.8817841970012523E-16</v>
      </c>
      <c r="AT143" s="33">
        <f ca="1">_xll.DBRW($C$1,$C$2,$C$3,$C$4,$C$6,$C$5,$C$7,AT$1,AT$2,$A143)</f>
        <v>-8.8817841970012523E-16</v>
      </c>
      <c r="AU143" s="33">
        <f ca="1">_xll.DBRW($C$1,$C$2,$C$3,$C$4,$C$6,$C$5,$C$7,AU$1,AU$2,$A143)</f>
        <v>-8.8817841970012523E-16</v>
      </c>
      <c r="AV143" s="33">
        <f ca="1">_xll.DBRW($C$1,$C$2,$C$3,$C$4,$C$6,$C$5,$C$7,AV$1,AV$2,$A143)</f>
        <v>-8.8817841970012523E-16</v>
      </c>
      <c r="AW143" s="33">
        <f ca="1">_xll.DBRW($C$1,$C$2,$C$3,$C$4,$C$6,$C$5,$C$7,AW$1,AW$2,$A143)</f>
        <v>-8.8817841970012523E-16</v>
      </c>
      <c r="AX143" s="33">
        <f ca="1">_xll.DBRW($C$1,$C$2,$C$3,$C$4,$C$6,$C$5,$C$7,AX$1,AX$2,$A143)</f>
        <v>-8.8817841970012523E-16</v>
      </c>
      <c r="AY143" s="33">
        <f ca="1">_xll.DBRW($C$1,$C$2,$C$3,$C$4,$C$6,$C$5,$C$7,AY$1,AY$2,$A143)</f>
        <v>-8.8817841970012523E-16</v>
      </c>
    </row>
    <row r="144" spans="1:51" ht="15.75" hidden="1" customHeight="1" outlineLevel="2">
      <c r="A144" s="1" t="s">
        <v>235</v>
      </c>
      <c r="C144" s="104"/>
      <c r="E144" s="9" t="str">
        <f ca="1">_xll.DBRW(Server&amp;"}ElementAttributes_Indicator",A144,"code_English")</f>
        <v>PL1145_DS - Impairment - working capital (DS)</v>
      </c>
      <c r="F144" s="33">
        <f ca="1">_xll.DBRW($C$1,$C$2,$C$3,$C$4,$C$6,$C$5,$C$7,F$1,F$2,$A144)</f>
        <v>5.8120807600000006</v>
      </c>
      <c r="G144" s="33">
        <f ca="1">_xll.DBRW($C$1,$C$2,$C$3,$C$4,$C$6,$C$5,$C$7,G$1,G$2,$A144)</f>
        <v>13.192073499999999</v>
      </c>
      <c r="H144" s="33">
        <f ca="1">_xll.DBRW($C$1,$C$2,$C$3,$C$4,$C$6,$C$5,$C$7,H$1,H$2,$A144)</f>
        <v>-0.12817328000000006</v>
      </c>
      <c r="I144" s="33">
        <f ca="1">_xll.DBRW($C$1,$C$2,$C$3,$C$4,$C$6,$C$5,$C$7,I$1,I$2,$A144)</f>
        <v>-0.73213804000000027</v>
      </c>
      <c r="J144" s="33">
        <f ca="1">_xll.DBRW($C$1,$C$2,$C$3,$C$4,$C$6,$C$5,$C$7,J$1,J$2,$A144)</f>
        <v>-2.1513128799999994</v>
      </c>
      <c r="K144" s="33">
        <f ca="1">_xll.DBRW($C$1,$C$2,$C$3,$C$4,$C$6,$C$5,$C$7,K$1,K$2,$A144)</f>
        <v>1.3396711799999999</v>
      </c>
      <c r="L144" s="33">
        <f ca="1">_xll.DBRW($C$1,$C$2,$C$3,$C$4,$C$6,$C$5,$C$7,L$1,L$2,$A144)</f>
        <v>-0.16617793</v>
      </c>
      <c r="M144" s="33">
        <f ca="1">_xll.DBRW($C$1,$C$2,$C$3,$C$4,$C$6,$C$5,$C$7,M$1,M$2,$A144)</f>
        <v>6.460326999999999E-2</v>
      </c>
      <c r="N144" s="33">
        <f ca="1">_xll.DBRW($C$1,$C$2,$C$3,$C$4,$C$6,$C$5,$C$7,N$1,N$2,$A144)</f>
        <v>7.5570229999999988E-2</v>
      </c>
      <c r="O144" s="33">
        <f ca="1">_xll.DBRW($C$1,$C$2,$C$3,$C$4,$C$6,$C$5,$C$7,O$1,O$2,$A144)</f>
        <v>7.4545039999999993E-2</v>
      </c>
      <c r="P144" s="33">
        <f ca="1">_xll.DBRW($C$1,$C$2,$C$3,$C$4,$C$6,$C$5,$C$7,P$1,P$2,$A144)</f>
        <v>0.21997374</v>
      </c>
      <c r="Q144" s="33">
        <f ca="1">_xll.DBRW($C$1,$C$2,$C$3,$C$4,$C$6,$C$5,$C$7,Q$1,Q$2,$A144)</f>
        <v>0.15354194000000002</v>
      </c>
      <c r="R144" s="33">
        <f ca="1">_xll.DBRW($C$1,$C$2,$C$3,$C$4,$C$6,$C$5,$C$7,R$1,R$2,$A144)</f>
        <v>0.29538998999999999</v>
      </c>
      <c r="S144" s="33">
        <f ca="1">_xll.DBRW($C$1,$C$2,$C$3,$C$4,$C$6,$C$5,$C$7,S$1,S$2,$A144)</f>
        <v>0.29646060000000002</v>
      </c>
      <c r="T144" s="33">
        <f ca="1">_xll.DBRW($C$1,$C$2,$C$3,$C$4,$C$6,$C$5,$C$7,T$1,T$2,$A144)</f>
        <v>0.29259841000000003</v>
      </c>
      <c r="U144" s="33">
        <f ca="1">_xll.DBRW($C$1,$C$2,$C$3,$C$4,$C$6,$C$5,$C$7,U$1,U$2,$A144)</f>
        <v>-2.1487889999999954E-2</v>
      </c>
      <c r="V144" s="33">
        <f ca="1">_xll.DBRW($C$1,$C$2,$C$3,$C$4,$C$6,$C$5,$C$7,V$1,V$2,$A144)</f>
        <v>0.14403697000000004</v>
      </c>
      <c r="W144" s="33">
        <f ca="1">_xll.DBRW($C$1,$C$2,$C$3,$C$4,$C$6,$C$5,$C$7,W$1,W$2,$A144)</f>
        <v>-0.35897560999999995</v>
      </c>
      <c r="X144" s="33">
        <f ca="1">_xll.DBRW($C$1,$C$2,$C$3,$C$4,$C$6,$C$5,$C$7,X$1,X$2,$A144)</f>
        <v>-1.0553604999999999</v>
      </c>
      <c r="Y144" s="33">
        <f ca="1">_xll.DBRW($C$1,$C$2,$C$3,$C$4,$C$6,$C$5,$C$7,Y$1,Y$2,$A144)</f>
        <v>-1.0553604999999999</v>
      </c>
      <c r="Z144" s="33">
        <f ca="1">_xll.DBRW($C$1,$C$2,$C$3,$C$4,$C$6,$C$5,$C$7,Z$1,Z$2,$A144)</f>
        <v>-1.637863416666667E-2</v>
      </c>
      <c r="AA144" s="33">
        <f ca="1">_xll.DBRW($C$1,$C$2,$C$3,$C$4,$C$6,$C$5,$C$7,AA$1,AA$2,$A144)</f>
        <v>-3.0571478333333336E-2</v>
      </c>
      <c r="AB144" s="33">
        <f ca="1">_xll.DBRW($C$1,$C$2,$C$3,$C$4,$C$6,$C$5,$C$7,AB$1,AB$2,$A144)</f>
        <v>-5.0031452500000004E-2</v>
      </c>
      <c r="AC144" s="33">
        <f ca="1">_xll.DBRW($C$1,$C$2,$C$3,$C$4,$C$6,$C$5,$C$7,AC$1,AC$2,$A144)</f>
        <v>-6.4366776666666667E-2</v>
      </c>
      <c r="AD144" s="33">
        <f ca="1">_xll.DBRW($C$1,$C$2,$C$3,$C$4,$C$6,$C$5,$C$7,AD$1,AD$2,$A144)</f>
        <v>-7.8958510833333329E-2</v>
      </c>
      <c r="AE144" s="33">
        <f ca="1">_xll.DBRW($C$1,$C$2,$C$3,$C$4,$C$6,$C$5,$C$7,AE$1,AE$2,$A144)</f>
        <v>-0.10333065500000001</v>
      </c>
      <c r="AF144" s="33">
        <f ca="1">_xll.DBRW($C$1,$C$2,$C$3,$C$4,$C$6,$C$5,$C$7,AF$1,AF$2,$A144)</f>
        <v>-0.11739749916666668</v>
      </c>
      <c r="AG144" s="33">
        <f ca="1">_xll.DBRW($C$1,$C$2,$C$3,$C$4,$C$6,$C$5,$C$7,AG$1,AG$2,$A144)</f>
        <v>-0.13093992333333335</v>
      </c>
      <c r="AH144" s="33">
        <f ca="1">_xll.DBRW($C$1,$C$2,$C$3,$C$4,$C$6,$C$5,$C$7,AH$1,AH$2,$A144)</f>
        <v>-0.15022416750000001</v>
      </c>
      <c r="AI144" s="33">
        <f ca="1">_xll.DBRW($C$1,$C$2,$C$3,$C$4,$C$6,$C$5,$C$7,AI$1,AI$2,$A144)</f>
        <v>-0.16468435166666667</v>
      </c>
      <c r="AJ144" s="33">
        <f ca="1">_xll.DBRW($C$1,$C$2,$C$3,$C$4,$C$6,$C$5,$C$7,AJ$1,AJ$2,$A144)</f>
        <v>-0.17903708583333333</v>
      </c>
      <c r="AK144" s="33">
        <f ca="1">_xll.DBRW($C$1,$C$2,$C$3,$C$4,$C$6,$C$5,$C$7,AK$1,AK$2,$A144)</f>
        <v>-0.20169004000000001</v>
      </c>
      <c r="AL144" s="33">
        <f ca="1">_xll.DBRW($C$1,$C$2,$C$3,$C$4,$C$6,$C$5,$C$7,AL$1,AL$2,$A144)</f>
        <v>-0.20169004000000001</v>
      </c>
      <c r="AM144" s="33">
        <f ca="1">_xll.DBRW($C$1,$C$2,$C$3,$C$4,$C$6,$C$5,$C$7,AM$1,AM$2,$A144)</f>
        <v>-7.1628810000000001E-2</v>
      </c>
      <c r="AN144" s="33">
        <f ca="1">_xll.DBRW($C$1,$C$2,$C$3,$C$4,$C$6,$C$5,$C$7,AN$1,AN$2,$A144)</f>
        <v>-5.0545840000000009E-2</v>
      </c>
      <c r="AO144" s="33">
        <f ca="1">_xll.DBRW($C$1,$C$2,$C$3,$C$4,$C$6,$C$5,$C$7,AO$1,AO$2,$A144)</f>
        <v>-1.3877787807814457E-17</v>
      </c>
      <c r="AP144" s="33">
        <f ca="1">_xll.DBRW($C$1,$C$2,$C$3,$C$4,$C$6,$C$5,$C$7,AP$1,AP$2,$A144)</f>
        <v>-1.3877787807814457E-17</v>
      </c>
      <c r="AQ144" s="33">
        <f ca="1">_xll.DBRW($C$1,$C$2,$C$3,$C$4,$C$6,$C$5,$C$7,AQ$1,AQ$2,$A144)</f>
        <v>-1.3877787807814457E-17</v>
      </c>
      <c r="AR144" s="33">
        <f ca="1">_xll.DBRW($C$1,$C$2,$C$3,$C$4,$C$6,$C$5,$C$7,AR$1,AR$2,$A144)</f>
        <v>-1.3877787807814457E-17</v>
      </c>
      <c r="AS144" s="33">
        <f ca="1">_xll.DBRW($C$1,$C$2,$C$3,$C$4,$C$6,$C$5,$C$7,AS$1,AS$2,$A144)</f>
        <v>-1.3877787807814457E-17</v>
      </c>
      <c r="AT144" s="33">
        <f ca="1">_xll.DBRW($C$1,$C$2,$C$3,$C$4,$C$6,$C$5,$C$7,AT$1,AT$2,$A144)</f>
        <v>-1.3877787807814457E-17</v>
      </c>
      <c r="AU144" s="33">
        <f ca="1">_xll.DBRW($C$1,$C$2,$C$3,$C$4,$C$6,$C$5,$C$7,AU$1,AU$2,$A144)</f>
        <v>-1.3877787807814457E-17</v>
      </c>
      <c r="AV144" s="33">
        <f ca="1">_xll.DBRW($C$1,$C$2,$C$3,$C$4,$C$6,$C$5,$C$7,AV$1,AV$2,$A144)</f>
        <v>-1.3877787807814457E-17</v>
      </c>
      <c r="AW144" s="33">
        <f ca="1">_xll.DBRW($C$1,$C$2,$C$3,$C$4,$C$6,$C$5,$C$7,AW$1,AW$2,$A144)</f>
        <v>-1.3877787807814457E-17</v>
      </c>
      <c r="AX144" s="33">
        <f ca="1">_xll.DBRW($C$1,$C$2,$C$3,$C$4,$C$6,$C$5,$C$7,AX$1,AX$2,$A144)</f>
        <v>-1.3877787807814457E-17</v>
      </c>
      <c r="AY144" s="33">
        <f ca="1">_xll.DBRW($C$1,$C$2,$C$3,$C$4,$C$6,$C$5,$C$7,AY$1,AY$2,$A144)</f>
        <v>-1.3877787807814457E-17</v>
      </c>
    </row>
    <row r="145" spans="1:51" ht="15.75" hidden="1" customHeight="1" outlineLevel="2">
      <c r="A145" s="1" t="s">
        <v>236</v>
      </c>
      <c r="C145" s="104"/>
      <c r="E145" s="9" t="str">
        <f ca="1">_xll.DBRW(Server&amp;"}ElementAttributes_Indicator",A145,"code_English")</f>
        <v>PL1155_DS_99 - Reinvoicing - Others (DS)</v>
      </c>
      <c r="F145" s="33">
        <f ca="1">_xll.DBRW($C$1,$C$2,$C$3,$C$4,$C$6,$C$5,$C$7,F$1,F$2,$A145)</f>
        <v>12.941673524999997</v>
      </c>
      <c r="G145" s="33">
        <f ca="1">_xll.DBRW($C$1,$C$2,$C$3,$C$4,$C$6,$C$5,$C$7,G$1,G$2,$A145)</f>
        <v>6.1346573199999996</v>
      </c>
      <c r="H145" s="33">
        <f ca="1">_xll.DBRW($C$1,$C$2,$C$3,$C$4,$C$6,$C$5,$C$7,H$1,H$2,$A145)</f>
        <v>6.2791801499999993</v>
      </c>
      <c r="I145" s="33">
        <f ca="1">_xll.DBRW($C$1,$C$2,$C$3,$C$4,$C$6,$C$5,$C$7,I$1,I$2,$A145)</f>
        <v>6.1291188499999993</v>
      </c>
      <c r="J145" s="33">
        <f ca="1">_xll.DBRW($C$1,$C$2,$C$3,$C$4,$C$6,$C$5,$C$7,J$1,J$2,$A145)</f>
        <v>12.413266124999996</v>
      </c>
      <c r="K145" s="33">
        <f ca="1">_xll.DBRW($C$1,$C$2,$C$3,$C$4,$C$6,$C$5,$C$7,K$1,K$2,$A145)</f>
        <v>5.4363075550000008</v>
      </c>
      <c r="L145" s="33">
        <f ca="1">_xll.DBRW($C$1,$C$2,$C$3,$C$4,$C$6,$C$5,$C$7,L$1,L$2,$A145)</f>
        <v>7.8485786111001934</v>
      </c>
      <c r="M145" s="33">
        <f ca="1">_xll.DBRW($C$1,$C$2,$C$3,$C$4,$C$6,$C$5,$C$7,M$1,M$2,$A145)</f>
        <v>-5.3969400000000115E-3</v>
      </c>
      <c r="N145" s="33">
        <f ca="1">_xll.DBRW($C$1,$C$2,$C$3,$C$4,$C$6,$C$5,$C$7,N$1,N$2,$A145)</f>
        <v>1.5109776100000001</v>
      </c>
      <c r="O145" s="33">
        <f ca="1">_xll.DBRW($C$1,$C$2,$C$3,$C$4,$C$6,$C$5,$C$7,O$1,O$2,$A145)</f>
        <v>2.6166832400000004</v>
      </c>
      <c r="P145" s="33">
        <f ca="1">_xll.DBRW($C$1,$C$2,$C$3,$C$4,$C$6,$C$5,$C$7,P$1,P$2,$A145)</f>
        <v>2.72364676692</v>
      </c>
      <c r="Q145" s="33">
        <f ca="1">_xll.DBRW($C$1,$C$2,$C$3,$C$4,$C$6,$C$5,$C$7,Q$1,Q$2,$A145)</f>
        <v>4.0967546309200005</v>
      </c>
      <c r="R145" s="33">
        <f ca="1">_xll.DBRW($C$1,$C$2,$C$3,$C$4,$C$6,$C$5,$C$7,R$1,R$2,$A145)</f>
        <v>4.7335499509200005</v>
      </c>
      <c r="S145" s="33">
        <f ca="1">_xll.DBRW($C$1,$C$2,$C$3,$C$4,$C$6,$C$5,$C$7,S$1,S$2,$A145)</f>
        <v>0.98500822200000004</v>
      </c>
      <c r="T145" s="33">
        <f ca="1">_xll.DBRW($C$1,$C$2,$C$3,$C$4,$C$6,$C$5,$C$7,T$1,T$2,$A145)</f>
        <v>5.1350783020000001</v>
      </c>
      <c r="U145" s="33">
        <f ca="1">_xll.DBRW($C$1,$C$2,$C$3,$C$4,$C$6,$C$5,$C$7,U$1,U$2,$A145)</f>
        <v>5.2488360488400003</v>
      </c>
      <c r="V145" s="33">
        <f ca="1">_xll.DBRW($C$1,$C$2,$C$3,$C$4,$C$6,$C$5,$C$7,V$1,V$2,$A145)</f>
        <v>1.45778915884</v>
      </c>
      <c r="W145" s="33">
        <f ca="1">_xll.DBRW($C$1,$C$2,$C$3,$C$4,$C$6,$C$5,$C$7,W$1,W$2,$A145)</f>
        <v>5.4056675787599984</v>
      </c>
      <c r="X145" s="33">
        <f ca="1">_xll.DBRW($C$1,$C$2,$C$3,$C$4,$C$6,$C$5,$C$7,X$1,X$2,$A145)</f>
        <v>5.6630500002799984</v>
      </c>
      <c r="Y145" s="33">
        <f ca="1">_xll.DBRW($C$1,$C$2,$C$3,$C$4,$C$6,$C$5,$C$7,Y$1,Y$2,$A145)</f>
        <v>5.6630500002799984</v>
      </c>
      <c r="Z145" s="33">
        <f ca="1">_xll.DBRW($C$1,$C$2,$C$3,$C$4,$C$6,$C$5,$C$7,Z$1,Z$2,$A145)</f>
        <v>0.18994753711946719</v>
      </c>
      <c r="AA145" s="33">
        <f ca="1">_xll.DBRW($C$1,$C$2,$C$3,$C$4,$C$6,$C$5,$C$7,AA$1,AA$2,$A145)</f>
        <v>0.35668813599806803</v>
      </c>
      <c r="AB145" s="33">
        <f ca="1">_xll.DBRW($C$1,$C$2,$C$3,$C$4,$C$6,$C$5,$C$7,AB$1,AB$2,$A145)</f>
        <v>0.59694624659733253</v>
      </c>
      <c r="AC145" s="33">
        <f ca="1">_xll.DBRW($C$1,$C$2,$C$3,$C$4,$C$6,$C$5,$C$7,AC$1,AC$2,$A145)</f>
        <v>0.77229823719659696</v>
      </c>
      <c r="AD145" s="33">
        <f ca="1">_xll.DBRW($C$1,$C$2,$C$3,$C$4,$C$6,$C$5,$C$7,AD$1,AD$2,$A145)</f>
        <v>0.96966937779585982</v>
      </c>
      <c r="AE145" s="33">
        <f ca="1">_xll.DBRW($C$1,$C$2,$C$3,$C$4,$C$6,$C$5,$C$7,AE$1,AE$2,$A145)</f>
        <v>1.185969628395124</v>
      </c>
      <c r="AF145" s="33">
        <f ca="1">_xll.DBRW($C$1,$C$2,$C$3,$C$4,$C$6,$C$5,$C$7,AF$1,AF$2,$A145)</f>
        <v>1.3860047116097725</v>
      </c>
      <c r="AG145" s="33">
        <f ca="1">_xll.DBRW($C$1,$C$2,$C$3,$C$4,$C$6,$C$5,$C$7,AG$1,AG$2,$A145)</f>
        <v>1.5590816885167296</v>
      </c>
      <c r="AH145" s="33">
        <f ca="1">_xll.DBRW($C$1,$C$2,$C$3,$C$4,$C$6,$C$5,$C$7,AH$1,AH$2,$A145)</f>
        <v>1.7368088003494295</v>
      </c>
      <c r="AI145" s="33">
        <f ca="1">_xll.DBRW($C$1,$C$2,$C$3,$C$4,$C$6,$C$5,$C$7,AI$1,AI$2,$A145)</f>
        <v>1.9152754121821305</v>
      </c>
      <c r="AJ145" s="33">
        <f ca="1">_xll.DBRW($C$1,$C$2,$C$3,$C$4,$C$6,$C$5,$C$7,AJ$1,AJ$2,$A145)</f>
        <v>2.0924895240148271</v>
      </c>
      <c r="AK145" s="33">
        <f ca="1">_xll.DBRW($C$1,$C$2,$C$3,$C$4,$C$6,$C$5,$C$7,AK$1,AK$2,$A145)</f>
        <v>2.2651913421552234</v>
      </c>
      <c r="AL145" s="33">
        <f ca="1">_xll.DBRW($C$1,$C$2,$C$3,$C$4,$C$6,$C$5,$C$7,AL$1,AL$2,$A145)</f>
        <v>2.2651913421552234</v>
      </c>
      <c r="AM145" s="33">
        <f ca="1">_xll.DBRW($C$1,$C$2,$C$3,$C$4,$C$6,$C$5,$C$7,AM$1,AM$2,$A145)</f>
        <v>-4.6734439999999974E-2</v>
      </c>
      <c r="AN145" s="33">
        <f ca="1">_xll.DBRW($C$1,$C$2,$C$3,$C$4,$C$6,$C$5,$C$7,AN$1,AN$2,$A145)</f>
        <v>0.23865871400000005</v>
      </c>
      <c r="AO145" s="33">
        <f ca="1">_xll.DBRW($C$1,$C$2,$C$3,$C$4,$C$6,$C$5,$C$7,AO$1,AO$2,$A145)</f>
        <v>0</v>
      </c>
      <c r="AP145" s="33">
        <f ca="1">_xll.DBRW($C$1,$C$2,$C$3,$C$4,$C$6,$C$5,$C$7,AP$1,AP$2,$A145)</f>
        <v>0</v>
      </c>
      <c r="AQ145" s="33">
        <f ca="1">_xll.DBRW($C$1,$C$2,$C$3,$C$4,$C$6,$C$5,$C$7,AQ$1,AQ$2,$A145)</f>
        <v>0</v>
      </c>
      <c r="AR145" s="33">
        <f ca="1">_xll.DBRW($C$1,$C$2,$C$3,$C$4,$C$6,$C$5,$C$7,AR$1,AR$2,$A145)</f>
        <v>0</v>
      </c>
      <c r="AS145" s="33">
        <f ca="1">_xll.DBRW($C$1,$C$2,$C$3,$C$4,$C$6,$C$5,$C$7,AS$1,AS$2,$A145)</f>
        <v>0</v>
      </c>
      <c r="AT145" s="33">
        <f ca="1">_xll.DBRW($C$1,$C$2,$C$3,$C$4,$C$6,$C$5,$C$7,AT$1,AT$2,$A145)</f>
        <v>0</v>
      </c>
      <c r="AU145" s="33">
        <f ca="1">_xll.DBRW($C$1,$C$2,$C$3,$C$4,$C$6,$C$5,$C$7,AU$1,AU$2,$A145)</f>
        <v>0</v>
      </c>
      <c r="AV145" s="33">
        <f ca="1">_xll.DBRW($C$1,$C$2,$C$3,$C$4,$C$6,$C$5,$C$7,AV$1,AV$2,$A145)</f>
        <v>0</v>
      </c>
      <c r="AW145" s="33">
        <f ca="1">_xll.DBRW($C$1,$C$2,$C$3,$C$4,$C$6,$C$5,$C$7,AW$1,AW$2,$A145)</f>
        <v>0</v>
      </c>
      <c r="AX145" s="33">
        <f ca="1">_xll.DBRW($C$1,$C$2,$C$3,$C$4,$C$6,$C$5,$C$7,AX$1,AX$2,$A145)</f>
        <v>0</v>
      </c>
      <c r="AY145" s="33">
        <f ca="1">_xll.DBRW($C$1,$C$2,$C$3,$C$4,$C$6,$C$5,$C$7,AY$1,AY$2,$A145)</f>
        <v>0</v>
      </c>
    </row>
    <row r="146" spans="1:51" ht="15.75" hidden="1" customHeight="1" outlineLevel="2">
      <c r="A146" s="1" t="s">
        <v>237</v>
      </c>
      <c r="C146" s="104"/>
      <c r="E146" s="9" t="str">
        <f ca="1">_xll.DBRW(Server&amp;"}ElementAttributes_Indicator",A146,"code_English")</f>
        <v>PL1115_DS_20 - Interim staff (DS)</v>
      </c>
      <c r="F146" s="33">
        <f ca="1">_xll.DBRW($C$1,$C$2,$C$3,$C$4,$C$6,$C$5,$C$7,F$1,F$2,$A146)</f>
        <v>-5.4451255354128776</v>
      </c>
      <c r="G146" s="33">
        <f ca="1">_xll.DBRW($C$1,$C$2,$C$3,$C$4,$C$6,$C$5,$C$7,G$1,G$2,$A146)</f>
        <v>-5.1106483689458395</v>
      </c>
      <c r="H146" s="33">
        <f ca="1">_xll.DBRW($C$1,$C$2,$C$3,$C$4,$C$6,$C$5,$C$7,H$1,H$2,$A146)</f>
        <v>-4.995022142741548</v>
      </c>
      <c r="I146" s="33">
        <f ca="1">_xll.DBRW($C$1,$C$2,$C$3,$C$4,$C$6,$C$5,$C$7,I$1,I$2,$A146)</f>
        <v>-5.9119349310469511</v>
      </c>
      <c r="J146" s="33">
        <f ca="1">_xll.DBRW($C$1,$C$2,$C$3,$C$4,$C$6,$C$5,$C$7,J$1,J$2,$A146)</f>
        <v>-1.3962994939750915</v>
      </c>
      <c r="K146" s="33">
        <f ca="1">_xll.DBRW($C$1,$C$2,$C$3,$C$4,$C$6,$C$5,$C$7,K$1,K$2,$A146)</f>
        <v>-0.62571925505991532</v>
      </c>
      <c r="L146" s="33">
        <f ca="1">_xll.DBRW($C$1,$C$2,$C$3,$C$4,$C$6,$C$5,$C$7,L$1,L$2,$A146)</f>
        <v>-0.57894071999999996</v>
      </c>
      <c r="M146" s="33">
        <f ca="1">_xll.DBRW($C$1,$C$2,$C$3,$C$4,$C$6,$C$5,$C$7,M$1,M$2,$A146)</f>
        <v>-4.8950113768447288E-2</v>
      </c>
      <c r="N146" s="33">
        <f ca="1">_xll.DBRW($C$1,$C$2,$C$3,$C$4,$C$6,$C$5,$C$7,N$1,N$2,$A146)</f>
        <v>-0.15653813231934094</v>
      </c>
      <c r="O146" s="33">
        <f ca="1">_xll.DBRW($C$1,$C$2,$C$3,$C$4,$C$6,$C$5,$C$7,O$1,O$2,$A146)</f>
        <v>-0.24573234772163574</v>
      </c>
      <c r="P146" s="33">
        <f ca="1">_xll.DBRW($C$1,$C$2,$C$3,$C$4,$C$6,$C$5,$C$7,P$1,P$2,$A146)</f>
        <v>-0.33737862145438918</v>
      </c>
      <c r="Q146" s="33">
        <f ca="1">_xll.DBRW($C$1,$C$2,$C$3,$C$4,$C$6,$C$5,$C$7,Q$1,Q$2,$A146)</f>
        <v>-0.24872564386055618</v>
      </c>
      <c r="R146" s="33">
        <f ca="1">_xll.DBRW($C$1,$C$2,$C$3,$C$4,$C$6,$C$5,$C$7,R$1,R$2,$A146)</f>
        <v>-0.41268773311568013</v>
      </c>
      <c r="S146" s="33">
        <f ca="1">_xll.DBRW($C$1,$C$2,$C$3,$C$4,$C$6,$C$5,$C$7,S$1,S$2,$A146)</f>
        <v>-2.2579200000000244E-3</v>
      </c>
      <c r="T146" s="33">
        <f ca="1">_xll.DBRW($C$1,$C$2,$C$3,$C$4,$C$6,$C$5,$C$7,T$1,T$2,$A146)</f>
        <v>-0.65292841300311755</v>
      </c>
      <c r="U146" s="33">
        <f ca="1">_xll.DBRW($C$1,$C$2,$C$3,$C$4,$C$6,$C$5,$C$7,U$1,U$2,$A146)</f>
        <v>-0.68044405570396405</v>
      </c>
      <c r="V146" s="33">
        <f ca="1">_xll.DBRW($C$1,$C$2,$C$3,$C$4,$C$6,$C$5,$C$7,V$1,V$2,$A146)</f>
        <v>-0.12682617273613073</v>
      </c>
      <c r="W146" s="33">
        <f ca="1">_xll.DBRW($C$1,$C$2,$C$3,$C$4,$C$6,$C$5,$C$7,W$1,W$2,$A146)</f>
        <v>-0.74865395001874602</v>
      </c>
      <c r="X146" s="33">
        <f ca="1">_xll.DBRW($C$1,$C$2,$C$3,$C$4,$C$6,$C$5,$C$7,X$1,X$2,$A146)</f>
        <v>-0.79820387512764746</v>
      </c>
      <c r="Y146" s="33">
        <f ca="1">_xll.DBRW($C$1,$C$2,$C$3,$C$4,$C$6,$C$5,$C$7,Y$1,Y$2,$A146)</f>
        <v>-0.79820387512764746</v>
      </c>
      <c r="Z146" s="33">
        <f ca="1">_xll.DBRW($C$1,$C$2,$C$3,$C$4,$C$6,$C$5,$C$7,Z$1,Z$2,$A146)</f>
        <v>-5.4445000000000007E-2</v>
      </c>
      <c r="AA146" s="33">
        <f ca="1">_xll.DBRW($C$1,$C$2,$C$3,$C$4,$C$6,$C$5,$C$7,AA$1,AA$2,$A146)</f>
        <v>-0.10355452000000001</v>
      </c>
      <c r="AB146" s="33">
        <f ca="1">_xll.DBRW($C$1,$C$2,$C$3,$C$4,$C$6,$C$5,$C$7,AB$1,AB$2,$A146)</f>
        <v>-0.15726526000000002</v>
      </c>
      <c r="AC146" s="33">
        <f ca="1">_xll.DBRW($C$1,$C$2,$C$3,$C$4,$C$6,$C$5,$C$7,AC$1,AC$2,$A146)</f>
        <v>-0.20284678</v>
      </c>
      <c r="AD146" s="33">
        <f ca="1">_xll.DBRW($C$1,$C$2,$C$3,$C$4,$C$6,$C$5,$C$7,AD$1,AD$2,$A146)</f>
        <v>-0.25416351999999998</v>
      </c>
      <c r="AE146" s="33">
        <f ca="1">_xll.DBRW($C$1,$C$2,$C$3,$C$4,$C$6,$C$5,$C$7,AE$1,AE$2,$A146)</f>
        <v>-0.30344252000000005</v>
      </c>
      <c r="AF146" s="33">
        <f ca="1">_xll.DBRW($C$1,$C$2,$C$3,$C$4,$C$6,$C$5,$C$7,AF$1,AF$2,$A146)</f>
        <v>-0.35068378000000006</v>
      </c>
      <c r="AG146" s="33">
        <f ca="1">_xll.DBRW($C$1,$C$2,$C$3,$C$4,$C$6,$C$5,$C$7,AG$1,AG$2,$A146)</f>
        <v>-0.40200052000000008</v>
      </c>
      <c r="AH146" s="33">
        <f ca="1">_xll.DBRW($C$1,$C$2,$C$3,$C$4,$C$6,$C$5,$C$7,AH$1,AH$2,$A146)</f>
        <v>-0.44924178000000009</v>
      </c>
      <c r="AI146" s="33">
        <f ca="1">_xll.DBRW($C$1,$C$2,$C$3,$C$4,$C$6,$C$5,$C$7,AI$1,AI$2,$A146)</f>
        <v>-0.49852078000000011</v>
      </c>
      <c r="AJ146" s="33">
        <f ca="1">_xll.DBRW($C$1,$C$2,$C$3,$C$4,$C$6,$C$5,$C$7,AJ$1,AJ$2,$A146)</f>
        <v>-0.54779978000000007</v>
      </c>
      <c r="AK146" s="33">
        <f ca="1">_xll.DBRW($C$1,$C$2,$C$3,$C$4,$C$6,$C$5,$C$7,AK$1,AK$2,$A146)</f>
        <v>-0.5947890400000001</v>
      </c>
      <c r="AL146" s="33">
        <f ca="1">_xll.DBRW($C$1,$C$2,$C$3,$C$4,$C$6,$C$5,$C$7,AL$1,AL$2,$A146)</f>
        <v>-0.5947890400000001</v>
      </c>
      <c r="AM146" s="33">
        <f ca="1">_xll.DBRW($C$1,$C$2,$C$3,$C$4,$C$6,$C$5,$C$7,AM$1,AM$2,$A146)</f>
        <v>-6.7745759673320013E-2</v>
      </c>
      <c r="AN146" s="33">
        <f ca="1">_xll.DBRW($C$1,$C$2,$C$3,$C$4,$C$6,$C$5,$C$7,AN$1,AN$2,$A146)</f>
        <v>-0.12107487580366227</v>
      </c>
      <c r="AO146" s="33">
        <f ca="1">_xll.DBRW($C$1,$C$2,$C$3,$C$4,$C$6,$C$5,$C$7,AO$1,AO$2,$A146)</f>
        <v>0</v>
      </c>
      <c r="AP146" s="33">
        <f ca="1">_xll.DBRW($C$1,$C$2,$C$3,$C$4,$C$6,$C$5,$C$7,AP$1,AP$2,$A146)</f>
        <v>0</v>
      </c>
      <c r="AQ146" s="33">
        <f ca="1">_xll.DBRW($C$1,$C$2,$C$3,$C$4,$C$6,$C$5,$C$7,AQ$1,AQ$2,$A146)</f>
        <v>0</v>
      </c>
      <c r="AR146" s="33">
        <f ca="1">_xll.DBRW($C$1,$C$2,$C$3,$C$4,$C$6,$C$5,$C$7,AR$1,AR$2,$A146)</f>
        <v>0</v>
      </c>
      <c r="AS146" s="33">
        <f ca="1">_xll.DBRW($C$1,$C$2,$C$3,$C$4,$C$6,$C$5,$C$7,AS$1,AS$2,$A146)</f>
        <v>0</v>
      </c>
      <c r="AT146" s="33">
        <f ca="1">_xll.DBRW($C$1,$C$2,$C$3,$C$4,$C$6,$C$5,$C$7,AT$1,AT$2,$A146)</f>
        <v>0</v>
      </c>
      <c r="AU146" s="33">
        <f ca="1">_xll.DBRW($C$1,$C$2,$C$3,$C$4,$C$6,$C$5,$C$7,AU$1,AU$2,$A146)</f>
        <v>0</v>
      </c>
      <c r="AV146" s="33">
        <f ca="1">_xll.DBRW($C$1,$C$2,$C$3,$C$4,$C$6,$C$5,$C$7,AV$1,AV$2,$A146)</f>
        <v>0</v>
      </c>
      <c r="AW146" s="33">
        <f ca="1">_xll.DBRW($C$1,$C$2,$C$3,$C$4,$C$6,$C$5,$C$7,AW$1,AW$2,$A146)</f>
        <v>0</v>
      </c>
      <c r="AX146" s="33">
        <f ca="1">_xll.DBRW($C$1,$C$2,$C$3,$C$4,$C$6,$C$5,$C$7,AX$1,AX$2,$A146)</f>
        <v>0</v>
      </c>
      <c r="AY146" s="33">
        <f ca="1">_xll.DBRW($C$1,$C$2,$C$3,$C$4,$C$6,$C$5,$C$7,AY$1,AY$2,$A146)</f>
        <v>0</v>
      </c>
    </row>
    <row r="147" spans="1:51" ht="15.75" hidden="1" customHeight="1" outlineLevel="2">
      <c r="A147" s="1" t="s">
        <v>238</v>
      </c>
      <c r="C147" s="104"/>
      <c r="E147" s="9" t="str">
        <f ca="1">_xll.DBRW(Server&amp;"}ElementAttributes_Indicator",A147,"code_English")</f>
        <v>PL1115_DS_70 - Travelling (DS)</v>
      </c>
      <c r="F147" s="33">
        <f ca="1">_xll.DBRW($C$1,$C$2,$C$3,$C$4,$C$6,$C$5,$C$7,F$1,F$2,$A147)</f>
        <v>-1.1945753606449048</v>
      </c>
      <c r="G147" s="33">
        <f ca="1">_xll.DBRW($C$1,$C$2,$C$3,$C$4,$C$6,$C$5,$C$7,G$1,G$2,$A147)</f>
        <v>-1.0636792659363876</v>
      </c>
      <c r="H147" s="33">
        <f ca="1">_xll.DBRW($C$1,$C$2,$C$3,$C$4,$C$6,$C$5,$C$7,H$1,H$2,$A147)</f>
        <v>-0.97168411323428794</v>
      </c>
      <c r="I147" s="33">
        <f ca="1">_xll.DBRW($C$1,$C$2,$C$3,$C$4,$C$6,$C$5,$C$7,I$1,I$2,$A147)</f>
        <v>-1.1116589124510468</v>
      </c>
      <c r="J147" s="33">
        <f ca="1">_xll.DBRW($C$1,$C$2,$C$3,$C$4,$C$6,$C$5,$C$7,J$1,J$2,$A147)</f>
        <v>-0.89363060973151698</v>
      </c>
      <c r="K147" s="33">
        <f ca="1">_xll.DBRW($C$1,$C$2,$C$3,$C$4,$C$6,$C$5,$C$7,K$1,K$2,$A147)</f>
        <v>-1.6117185141501884</v>
      </c>
      <c r="L147" s="33">
        <f ca="1">_xll.DBRW($C$1,$C$2,$C$3,$C$4,$C$6,$C$5,$C$7,L$1,L$2,$A147)</f>
        <v>-0.75204058721379297</v>
      </c>
      <c r="M147" s="33">
        <f ca="1">_xll.DBRW($C$1,$C$2,$C$3,$C$4,$C$6,$C$5,$C$7,M$1,M$2,$A147)</f>
        <v>1.7142243479170167E-2</v>
      </c>
      <c r="N147" s="33">
        <f ca="1">_xll.DBRW($C$1,$C$2,$C$3,$C$4,$C$6,$C$5,$C$7,N$1,N$2,$A147)</f>
        <v>-0.13987058980314732</v>
      </c>
      <c r="O147" s="33">
        <f ca="1">_xll.DBRW($C$1,$C$2,$C$3,$C$4,$C$6,$C$5,$C$7,O$1,O$2,$A147)</f>
        <v>-0.24615997755271274</v>
      </c>
      <c r="P147" s="33">
        <f ca="1">_xll.DBRW($C$1,$C$2,$C$3,$C$4,$C$6,$C$5,$C$7,P$1,P$2,$A147)</f>
        <v>-0.32407572431309761</v>
      </c>
      <c r="Q147" s="33">
        <f ca="1">_xll.DBRW($C$1,$C$2,$C$3,$C$4,$C$6,$C$5,$C$7,Q$1,Q$2,$A147)</f>
        <v>-0.54445212623679595</v>
      </c>
      <c r="R147" s="33">
        <f ca="1">_xll.DBRW($C$1,$C$2,$C$3,$C$4,$C$6,$C$5,$C$7,R$1,R$2,$A147)</f>
        <v>-0.69441017733261545</v>
      </c>
      <c r="S147" s="33">
        <f ca="1">_xll.DBRW($C$1,$C$2,$C$3,$C$4,$C$6,$C$5,$C$7,S$1,S$2,$A147)</f>
        <v>-0.14053428070130963</v>
      </c>
      <c r="T147" s="33">
        <f ca="1">_xll.DBRW($C$1,$C$2,$C$3,$C$4,$C$6,$C$5,$C$7,T$1,T$2,$A147)</f>
        <v>-0.78064104255353173</v>
      </c>
      <c r="U147" s="33">
        <f ca="1">_xll.DBRW($C$1,$C$2,$C$3,$C$4,$C$6,$C$5,$C$7,U$1,U$2,$A147)</f>
        <v>-0.88384390447320116</v>
      </c>
      <c r="V147" s="33">
        <f ca="1">_xll.DBRW($C$1,$C$2,$C$3,$C$4,$C$6,$C$5,$C$7,V$1,V$2,$A147)</f>
        <v>-0.35614093446023204</v>
      </c>
      <c r="W147" s="33">
        <f ca="1">_xll.DBRW($C$1,$C$2,$C$3,$C$4,$C$6,$C$5,$C$7,W$1,W$2,$A147)</f>
        <v>-1.1799385457191132</v>
      </c>
      <c r="X147" s="33">
        <f ca="1">_xll.DBRW($C$1,$C$2,$C$3,$C$4,$C$6,$C$5,$C$7,X$1,X$2,$A147)</f>
        <v>-1.1763484656225875</v>
      </c>
      <c r="Y147" s="33">
        <f ca="1">_xll.DBRW($C$1,$C$2,$C$3,$C$4,$C$6,$C$5,$C$7,Y$1,Y$2,$A147)</f>
        <v>-1.1763484656225875</v>
      </c>
      <c r="Z147" s="33">
        <f ca="1">_xll.DBRW($C$1,$C$2,$C$3,$C$4,$C$6,$C$5,$C$7,Z$1,Z$2,$A147)</f>
        <v>-2.7442668343834395E-2</v>
      </c>
      <c r="AA147" s="33">
        <f ca="1">_xll.DBRW($C$1,$C$2,$C$3,$C$4,$C$6,$C$5,$C$7,AA$1,AA$2,$A147)</f>
        <v>-5.900586881297E-2</v>
      </c>
      <c r="AB147" s="33">
        <f ca="1">_xll.DBRW($C$1,$C$2,$C$3,$C$4,$C$6,$C$5,$C$7,AB$1,AB$2,$A147)</f>
        <v>-8.8346180882105607E-2</v>
      </c>
      <c r="AC147" s="33">
        <f ca="1">_xll.DBRW($C$1,$C$2,$C$3,$C$4,$C$6,$C$5,$C$7,AC$1,AC$2,$A147)</f>
        <v>-0.11639399258748283</v>
      </c>
      <c r="AD147" s="33">
        <f ca="1">_xll.DBRW($C$1,$C$2,$C$3,$C$4,$C$6,$C$5,$C$7,AD$1,AD$2,$A147)</f>
        <v>-0.14590407073581305</v>
      </c>
      <c r="AE147" s="33">
        <f ca="1">_xll.DBRW($C$1,$C$2,$C$3,$C$4,$C$6,$C$5,$C$7,AE$1,AE$2,$A147)</f>
        <v>-0.17828340416028138</v>
      </c>
      <c r="AF147" s="33">
        <f ca="1">_xll.DBRW($C$1,$C$2,$C$3,$C$4,$C$6,$C$5,$C$7,AF$1,AF$2,$A147)</f>
        <v>-0.2051485158656586</v>
      </c>
      <c r="AG147" s="33">
        <f ca="1">_xll.DBRW($C$1,$C$2,$C$3,$C$4,$C$6,$C$5,$C$7,AG$1,AG$2,$A147)</f>
        <v>-0.23167745307439153</v>
      </c>
      <c r="AH147" s="33">
        <f ca="1">_xll.DBRW($C$1,$C$2,$C$3,$C$4,$C$6,$C$5,$C$7,AH$1,AH$2,$A147)</f>
        <v>-0.26373361919878713</v>
      </c>
      <c r="AI147" s="33">
        <f ca="1">_xll.DBRW($C$1,$C$2,$C$3,$C$4,$C$6,$C$5,$C$7,AI$1,AI$2,$A147)</f>
        <v>-0.29841433184376165</v>
      </c>
      <c r="AJ147" s="33">
        <f ca="1">_xll.DBRW($C$1,$C$2,$C$3,$C$4,$C$6,$C$5,$C$7,AJ$1,AJ$2,$A147)</f>
        <v>-0.32699772905249458</v>
      </c>
      <c r="AK147" s="33">
        <f ca="1">_xll.DBRW($C$1,$C$2,$C$3,$C$4,$C$6,$C$5,$C$7,AK$1,AK$2,$A147)</f>
        <v>-0.35550334214042212</v>
      </c>
      <c r="AL147" s="33">
        <f ca="1">_xll.DBRW($C$1,$C$2,$C$3,$C$4,$C$6,$C$5,$C$7,AL$1,AL$2,$A147)</f>
        <v>-0.35550334214042212</v>
      </c>
      <c r="AM147" s="33">
        <f ca="1">_xll.DBRW($C$1,$C$2,$C$3,$C$4,$C$6,$C$5,$C$7,AM$1,AM$2,$A147)</f>
        <v>-4.6234688578612175E-2</v>
      </c>
      <c r="AN147" s="33">
        <f ca="1">_xll.DBRW($C$1,$C$2,$C$3,$C$4,$C$6,$C$5,$C$7,AN$1,AN$2,$A147)</f>
        <v>-0.11572599904245937</v>
      </c>
      <c r="AO147" s="33">
        <f ca="1">_xll.DBRW($C$1,$C$2,$C$3,$C$4,$C$6,$C$5,$C$7,AO$1,AO$2,$A147)</f>
        <v>0</v>
      </c>
      <c r="AP147" s="33">
        <f ca="1">_xll.DBRW($C$1,$C$2,$C$3,$C$4,$C$6,$C$5,$C$7,AP$1,AP$2,$A147)</f>
        <v>0</v>
      </c>
      <c r="AQ147" s="33">
        <f ca="1">_xll.DBRW($C$1,$C$2,$C$3,$C$4,$C$6,$C$5,$C$7,AQ$1,AQ$2,$A147)</f>
        <v>0</v>
      </c>
      <c r="AR147" s="33">
        <f ca="1">_xll.DBRW($C$1,$C$2,$C$3,$C$4,$C$6,$C$5,$C$7,AR$1,AR$2,$A147)</f>
        <v>0</v>
      </c>
      <c r="AS147" s="33">
        <f ca="1">_xll.DBRW($C$1,$C$2,$C$3,$C$4,$C$6,$C$5,$C$7,AS$1,AS$2,$A147)</f>
        <v>0</v>
      </c>
      <c r="AT147" s="33">
        <f ca="1">_xll.DBRW($C$1,$C$2,$C$3,$C$4,$C$6,$C$5,$C$7,AT$1,AT$2,$A147)</f>
        <v>0</v>
      </c>
      <c r="AU147" s="33">
        <f ca="1">_xll.DBRW($C$1,$C$2,$C$3,$C$4,$C$6,$C$5,$C$7,AU$1,AU$2,$A147)</f>
        <v>0</v>
      </c>
      <c r="AV147" s="33">
        <f ca="1">_xll.DBRW($C$1,$C$2,$C$3,$C$4,$C$6,$C$5,$C$7,AV$1,AV$2,$A147)</f>
        <v>0</v>
      </c>
      <c r="AW147" s="33">
        <f ca="1">_xll.DBRW($C$1,$C$2,$C$3,$C$4,$C$6,$C$5,$C$7,AW$1,AW$2,$A147)</f>
        <v>0</v>
      </c>
      <c r="AX147" s="33">
        <f ca="1">_xll.DBRW($C$1,$C$2,$C$3,$C$4,$C$6,$C$5,$C$7,AX$1,AX$2,$A147)</f>
        <v>0</v>
      </c>
      <c r="AY147" s="33">
        <f ca="1">_xll.DBRW($C$1,$C$2,$C$3,$C$4,$C$6,$C$5,$C$7,AY$1,AY$2,$A147)</f>
        <v>0</v>
      </c>
    </row>
    <row r="148" spans="1:51" ht="15.75" hidden="1" customHeight="1" outlineLevel="2">
      <c r="A148" s="1" t="s">
        <v>239</v>
      </c>
      <c r="C148" s="104"/>
      <c r="E148" s="9" t="str">
        <f ca="1">_xll.DBRW(Server&amp;"}ElementAttributes_Indicator",A148,"code_English")</f>
        <v>PL1115_DS_75 - Consulting (DS)</v>
      </c>
      <c r="F148" s="33">
        <f ca="1">_xll.DBRW($C$1,$C$2,$C$3,$C$4,$C$6,$C$5,$C$7,F$1,F$2,$A148)</f>
        <v>-12.168636461960324</v>
      </c>
      <c r="G148" s="33">
        <f ca="1">_xll.DBRW($C$1,$C$2,$C$3,$C$4,$C$6,$C$5,$C$7,G$1,G$2,$A148)</f>
        <v>-9.8492063381395649</v>
      </c>
      <c r="H148" s="33">
        <f ca="1">_xll.DBRW($C$1,$C$2,$C$3,$C$4,$C$6,$C$5,$C$7,H$1,H$2,$A148)</f>
        <v>-7.8837218916485341</v>
      </c>
      <c r="I148" s="33">
        <f ca="1">_xll.DBRW($C$1,$C$2,$C$3,$C$4,$C$6,$C$5,$C$7,I$1,I$2,$A148)</f>
        <v>-7.5343786804526136</v>
      </c>
      <c r="J148" s="33">
        <f ca="1">_xll.DBRW($C$1,$C$2,$C$3,$C$4,$C$6,$C$5,$C$7,J$1,J$2,$A148)</f>
        <v>-1.8161025681221248</v>
      </c>
      <c r="K148" s="33">
        <f ca="1">_xll.DBRW($C$1,$C$2,$C$3,$C$4,$C$6,$C$5,$C$7,K$1,K$2,$A148)</f>
        <v>-7.4417080085918474</v>
      </c>
      <c r="L148" s="33">
        <f ca="1">_xll.DBRW($C$1,$C$2,$C$3,$C$4,$C$6,$C$5,$C$7,L$1,L$2,$A148)</f>
        <v>-12.895518351072415</v>
      </c>
      <c r="M148" s="33">
        <f ca="1">_xll.DBRW($C$1,$C$2,$C$3,$C$4,$C$6,$C$5,$C$7,M$1,M$2,$A148)</f>
        <v>-0.10120910835648961</v>
      </c>
      <c r="N148" s="33">
        <f ca="1">_xll.DBRW($C$1,$C$2,$C$3,$C$4,$C$6,$C$5,$C$7,N$1,N$2,$A148)</f>
        <v>-0.87023980629445585</v>
      </c>
      <c r="O148" s="33">
        <f ca="1">_xll.DBRW($C$1,$C$2,$C$3,$C$4,$C$6,$C$5,$C$7,O$1,O$2,$A148)</f>
        <v>-1.2606183116291829</v>
      </c>
      <c r="P148" s="33">
        <f ca="1">_xll.DBRW($C$1,$C$2,$C$3,$C$4,$C$6,$C$5,$C$7,P$1,P$2,$A148)</f>
        <v>-1.4390278889283452</v>
      </c>
      <c r="Q148" s="33">
        <f ca="1">_xll.DBRW($C$1,$C$2,$C$3,$C$4,$C$6,$C$5,$C$7,Q$1,Q$2,$A148)</f>
        <v>-2.2677246951235488</v>
      </c>
      <c r="R148" s="33">
        <f ca="1">_xll.DBRW($C$1,$C$2,$C$3,$C$4,$C$6,$C$5,$C$7,R$1,R$2,$A148)</f>
        <v>-2.8797109752696195</v>
      </c>
      <c r="S148" s="33">
        <f ca="1">_xll.DBRW($C$1,$C$2,$C$3,$C$4,$C$6,$C$5,$C$7,S$1,S$2,$A148)</f>
        <v>-3.0357659761932116</v>
      </c>
      <c r="T148" s="33">
        <f ca="1">_xll.DBRW($C$1,$C$2,$C$3,$C$4,$C$6,$C$5,$C$7,T$1,T$2,$A148)</f>
        <v>-4.048456433510915</v>
      </c>
      <c r="U148" s="33">
        <f ca="1">_xll.DBRW($C$1,$C$2,$C$3,$C$4,$C$6,$C$5,$C$7,U$1,U$2,$A148)</f>
        <v>-4.6569977662539568</v>
      </c>
      <c r="V148" s="33">
        <f ca="1">_xll.DBRW($C$1,$C$2,$C$3,$C$4,$C$6,$C$5,$C$7,V$1,V$2,$A148)</f>
        <v>-4.3599798167545263</v>
      </c>
      <c r="W148" s="33">
        <f ca="1">_xll.DBRW($C$1,$C$2,$C$3,$C$4,$C$6,$C$5,$C$7,W$1,W$2,$A148)</f>
        <v>-5.7514007360973629</v>
      </c>
      <c r="X148" s="33">
        <f ca="1">_xll.DBRW($C$1,$C$2,$C$3,$C$4,$C$6,$C$5,$C$7,X$1,X$2,$A148)</f>
        <v>-6.6363946113303935</v>
      </c>
      <c r="Y148" s="33">
        <f ca="1">_xll.DBRW($C$1,$C$2,$C$3,$C$4,$C$6,$C$5,$C$7,Y$1,Y$2,$A148)</f>
        <v>-6.6363946113303935</v>
      </c>
      <c r="Z148" s="33">
        <f ca="1">_xll.DBRW($C$1,$C$2,$C$3,$C$4,$C$6,$C$5,$C$7,Z$1,Z$2,$A148)</f>
        <v>-1.0967974058364167</v>
      </c>
      <c r="AA148" s="33">
        <f ca="1">_xll.DBRW($C$1,$C$2,$C$3,$C$4,$C$6,$C$5,$C$7,AA$1,AA$2,$A148)</f>
        <v>-1.9091590833082979</v>
      </c>
      <c r="AB148" s="33">
        <f ca="1">_xll.DBRW($C$1,$C$2,$C$3,$C$4,$C$6,$C$5,$C$7,AB$1,AB$2,$A148)</f>
        <v>-2.7871142551779187</v>
      </c>
      <c r="AC148" s="33">
        <f ca="1">_xll.DBRW($C$1,$C$2,$C$3,$C$4,$C$6,$C$5,$C$7,AC$1,AC$2,$A148)</f>
        <v>-3.4529924111944843</v>
      </c>
      <c r="AD148" s="33">
        <f ca="1">_xll.DBRW($C$1,$C$2,$C$3,$C$4,$C$6,$C$5,$C$7,AD$1,AD$2,$A148)</f>
        <v>-4.2230252755261315</v>
      </c>
      <c r="AE148" s="33">
        <f ca="1">_xll.DBRW($C$1,$C$2,$C$3,$C$4,$C$6,$C$5,$C$7,AE$1,AE$2,$A148)</f>
        <v>-5.266555186484414</v>
      </c>
      <c r="AF148" s="33">
        <f ca="1">_xll.DBRW($C$1,$C$2,$C$3,$C$4,$C$6,$C$5,$C$7,AF$1,AF$2,$A148)</f>
        <v>-5.8278721629975347</v>
      </c>
      <c r="AG148" s="33">
        <f ca="1">_xll.DBRW($C$1,$C$2,$C$3,$C$4,$C$6,$C$5,$C$7,AG$1,AG$2,$A148)</f>
        <v>-6.3981157587904054</v>
      </c>
      <c r="AH148" s="33">
        <f ca="1">_xll.DBRW($C$1,$C$2,$C$3,$C$4,$C$6,$C$5,$C$7,AH$1,AH$2,$A148)</f>
        <v>-7.0514136394751485</v>
      </c>
      <c r="AI148" s="33">
        <f ca="1">_xll.DBRW($C$1,$C$2,$C$3,$C$4,$C$6,$C$5,$C$7,AI$1,AI$2,$A148)</f>
        <v>-7.9066549327349529</v>
      </c>
      <c r="AJ148" s="33">
        <f ca="1">_xll.DBRW($C$1,$C$2,$C$3,$C$4,$C$6,$C$5,$C$7,AJ$1,AJ$2,$A148)</f>
        <v>-8.5187995703960286</v>
      </c>
      <c r="AK148" s="33">
        <f ca="1">_xll.DBRW($C$1,$C$2,$C$3,$C$4,$C$6,$C$5,$C$7,AK$1,AK$2,$A148)</f>
        <v>-9.2399243353089595</v>
      </c>
      <c r="AL148" s="33">
        <f ca="1">_xll.DBRW($C$1,$C$2,$C$3,$C$4,$C$6,$C$5,$C$7,AL$1,AL$2,$A148)</f>
        <v>-9.2399243353089595</v>
      </c>
      <c r="AM148" s="33">
        <f ca="1">_xll.DBRW($C$1,$C$2,$C$3,$C$4,$C$6,$C$5,$C$7,AM$1,AM$2,$A148)</f>
        <v>-6.6600458566367621E-2</v>
      </c>
      <c r="AN148" s="33">
        <f ca="1">_xll.DBRW($C$1,$C$2,$C$3,$C$4,$C$6,$C$5,$C$7,AN$1,AN$2,$A148)</f>
        <v>-0.76821615961176437</v>
      </c>
      <c r="AO148" s="33">
        <f ca="1">_xll.DBRW($C$1,$C$2,$C$3,$C$4,$C$6,$C$5,$C$7,AO$1,AO$2,$A148)</f>
        <v>-2.2204460492503131E-16</v>
      </c>
      <c r="AP148" s="33">
        <f ca="1">_xll.DBRW($C$1,$C$2,$C$3,$C$4,$C$6,$C$5,$C$7,AP$1,AP$2,$A148)</f>
        <v>-2.2204460492503131E-16</v>
      </c>
      <c r="AQ148" s="33">
        <f ca="1">_xll.DBRW($C$1,$C$2,$C$3,$C$4,$C$6,$C$5,$C$7,AQ$1,AQ$2,$A148)</f>
        <v>-2.2204460492503131E-16</v>
      </c>
      <c r="AR148" s="33">
        <f ca="1">_xll.DBRW($C$1,$C$2,$C$3,$C$4,$C$6,$C$5,$C$7,AR$1,AR$2,$A148)</f>
        <v>-2.2204460492503131E-16</v>
      </c>
      <c r="AS148" s="33">
        <f ca="1">_xll.DBRW($C$1,$C$2,$C$3,$C$4,$C$6,$C$5,$C$7,AS$1,AS$2,$A148)</f>
        <v>-2.2204460492503131E-16</v>
      </c>
      <c r="AT148" s="33">
        <f ca="1">_xll.DBRW($C$1,$C$2,$C$3,$C$4,$C$6,$C$5,$C$7,AT$1,AT$2,$A148)</f>
        <v>-2.2204460492503131E-16</v>
      </c>
      <c r="AU148" s="33">
        <f ca="1">_xll.DBRW($C$1,$C$2,$C$3,$C$4,$C$6,$C$5,$C$7,AU$1,AU$2,$A148)</f>
        <v>-2.2204460492503131E-16</v>
      </c>
      <c r="AV148" s="33">
        <f ca="1">_xll.DBRW($C$1,$C$2,$C$3,$C$4,$C$6,$C$5,$C$7,AV$1,AV$2,$A148)</f>
        <v>-2.2204460492503131E-16</v>
      </c>
      <c r="AW148" s="33">
        <f ca="1">_xll.DBRW($C$1,$C$2,$C$3,$C$4,$C$6,$C$5,$C$7,AW$1,AW$2,$A148)</f>
        <v>-2.2204460492503131E-16</v>
      </c>
      <c r="AX148" s="33">
        <f ca="1">_xll.DBRW($C$1,$C$2,$C$3,$C$4,$C$6,$C$5,$C$7,AX$1,AX$2,$A148)</f>
        <v>-2.2204460492503131E-16</v>
      </c>
      <c r="AY148" s="33">
        <f ca="1">_xll.DBRW($C$1,$C$2,$C$3,$C$4,$C$6,$C$5,$C$7,AY$1,AY$2,$A148)</f>
        <v>-2.2204460492503131E-16</v>
      </c>
    </row>
    <row r="149" spans="1:51" ht="15.75" hidden="1" customHeight="1" outlineLevel="2">
      <c r="A149" s="1" t="s">
        <v>240</v>
      </c>
      <c r="C149" s="104"/>
      <c r="E149" s="9" t="str">
        <f ca="1">_xll.DBRW(Server&amp;"}ElementAttributes_Indicator",A149,"code_English")</f>
        <v>PL1115_DS_99 - Others (DS)</v>
      </c>
      <c r="F149" s="33">
        <f ca="1">_xll.DBRW($C$1,$C$2,$C$3,$C$4,$C$6,$C$5,$C$7,F$1,F$2,$A149)</f>
        <v>-125.08967841640349</v>
      </c>
      <c r="G149" s="33">
        <f ca="1">_xll.DBRW($C$1,$C$2,$C$3,$C$4,$C$6,$C$5,$C$7,G$1,G$2,$A149)</f>
        <v>-134.34899146376591</v>
      </c>
      <c r="H149" s="33">
        <f ca="1">_xll.DBRW($C$1,$C$2,$C$3,$C$4,$C$6,$C$5,$C$7,H$1,H$2,$A149)</f>
        <v>-148.11286727410183</v>
      </c>
      <c r="I149" s="33">
        <f ca="1">_xll.DBRW($C$1,$C$2,$C$3,$C$4,$C$6,$C$5,$C$7,I$1,I$2,$A149)</f>
        <v>-141.31018051079593</v>
      </c>
      <c r="J149" s="33">
        <f ca="1">_xll.DBRW($C$1,$C$2,$C$3,$C$4,$C$6,$C$5,$C$7,J$1,J$2,$A149)</f>
        <v>-64.068772725659159</v>
      </c>
      <c r="K149" s="33">
        <f ca="1">_xll.DBRW($C$1,$C$2,$C$3,$C$4,$C$6,$C$5,$C$7,K$1,K$2,$A149)</f>
        <v>-142.43293070483759</v>
      </c>
      <c r="L149" s="33">
        <f ca="1">_xll.DBRW($C$1,$C$2,$C$3,$C$4,$C$6,$C$5,$C$7,L$1,L$2,$A149)</f>
        <v>-148.31763737335046</v>
      </c>
      <c r="M149" s="33">
        <f ca="1">_xll.DBRW($C$1,$C$2,$C$3,$C$4,$C$6,$C$5,$C$7,M$1,M$2,$A149)</f>
        <v>-1.3495517004157735</v>
      </c>
      <c r="N149" s="33">
        <f ca="1">_xll.DBRW($C$1,$C$2,$C$3,$C$4,$C$6,$C$5,$C$7,N$1,N$2,$A149)</f>
        <v>-24.291085883513922</v>
      </c>
      <c r="O149" s="33">
        <f ca="1">_xll.DBRW($C$1,$C$2,$C$3,$C$4,$C$6,$C$5,$C$7,O$1,O$2,$A149)</f>
        <v>-35.551942057305055</v>
      </c>
      <c r="P149" s="33">
        <f ca="1">_xll.DBRW($C$1,$C$2,$C$3,$C$4,$C$6,$C$5,$C$7,P$1,P$2,$A149)</f>
        <v>-43.400945579595813</v>
      </c>
      <c r="Q149" s="33">
        <f ca="1">_xll.DBRW($C$1,$C$2,$C$3,$C$4,$C$6,$C$5,$C$7,Q$1,Q$2,$A149)</f>
        <v>-62.282895736356927</v>
      </c>
      <c r="R149" s="33">
        <f ca="1">_xll.DBRW($C$1,$C$2,$C$3,$C$4,$C$6,$C$5,$C$7,R$1,R$2,$A149)</f>
        <v>-74.269487370403937</v>
      </c>
      <c r="S149" s="33">
        <f ca="1">_xll.DBRW($C$1,$C$2,$C$3,$C$4,$C$6,$C$5,$C$7,S$1,S$2,$A149)</f>
        <v>-40.064196338983336</v>
      </c>
      <c r="T149" s="33">
        <f ca="1">_xll.DBRW($C$1,$C$2,$C$3,$C$4,$C$6,$C$5,$C$7,T$1,T$2,$A149)</f>
        <v>-99.80723078196479</v>
      </c>
      <c r="U149" s="33">
        <f ca="1">_xll.DBRW($C$1,$C$2,$C$3,$C$4,$C$6,$C$5,$C$7,U$1,U$2,$A149)</f>
        <v>-113.67223835165355</v>
      </c>
      <c r="V149" s="33">
        <f ca="1">_xll.DBRW($C$1,$C$2,$C$3,$C$4,$C$6,$C$5,$C$7,V$1,V$2,$A149)</f>
        <v>-65.318576184836331</v>
      </c>
      <c r="W149" s="33">
        <f ca="1">_xll.DBRW($C$1,$C$2,$C$3,$C$4,$C$6,$C$5,$C$7,W$1,W$2,$A149)</f>
        <v>-120.85547080554097</v>
      </c>
      <c r="X149" s="33">
        <f ca="1">_xll.DBRW($C$1,$C$2,$C$3,$C$4,$C$6,$C$5,$C$7,X$1,X$2,$A149)</f>
        <v>-153.57183295838672</v>
      </c>
      <c r="Y149" s="33">
        <f ca="1">_xll.DBRW($C$1,$C$2,$C$3,$C$4,$C$6,$C$5,$C$7,Y$1,Y$2,$A149)</f>
        <v>-153.57183295838672</v>
      </c>
      <c r="Z149" s="33">
        <f ca="1">_xll.DBRW($C$1,$C$2,$C$3,$C$4,$C$6,$C$5,$C$7,Z$1,Z$2,$A149)</f>
        <v>-12.185685922566902</v>
      </c>
      <c r="AA149" s="33">
        <f ca="1">_xll.DBRW($C$1,$C$2,$C$3,$C$4,$C$6,$C$5,$C$7,AA$1,AA$2,$A149)</f>
        <v>-26.469352480706405</v>
      </c>
      <c r="AB149" s="33">
        <f ca="1">_xll.DBRW($C$1,$C$2,$C$3,$C$4,$C$6,$C$5,$C$7,AB$1,AB$2,$A149)</f>
        <v>-40.611683267840363</v>
      </c>
      <c r="AC149" s="33">
        <f ca="1">_xll.DBRW($C$1,$C$2,$C$3,$C$4,$C$6,$C$5,$C$7,AC$1,AC$2,$A149)</f>
        <v>-54.076298148954841</v>
      </c>
      <c r="AD149" s="33">
        <f ca="1">_xll.DBRW($C$1,$C$2,$C$3,$C$4,$C$6,$C$5,$C$7,AD$1,AD$2,$A149)</f>
        <v>-67.875859078848777</v>
      </c>
      <c r="AE149" s="33">
        <f ca="1">_xll.DBRW($C$1,$C$2,$C$3,$C$4,$C$6,$C$5,$C$7,AE$1,AE$2,$A149)</f>
        <v>-81.854585532015676</v>
      </c>
      <c r="AF149" s="33">
        <f ca="1">_xll.DBRW($C$1,$C$2,$C$3,$C$4,$C$6,$C$5,$C$7,AF$1,AF$2,$A149)</f>
        <v>-95.927845387547478</v>
      </c>
      <c r="AG149" s="33">
        <f ca="1">_xll.DBRW($C$1,$C$2,$C$3,$C$4,$C$6,$C$5,$C$7,AG$1,AG$2,$A149)</f>
        <v>-109.3962617923423</v>
      </c>
      <c r="AH149" s="33">
        <f ca="1">_xll.DBRW($C$1,$C$2,$C$3,$C$4,$C$6,$C$5,$C$7,AH$1,AH$2,$A149)</f>
        <v>-122.75358257572711</v>
      </c>
      <c r="AI149" s="33">
        <f ca="1">_xll.DBRW($C$1,$C$2,$C$3,$C$4,$C$6,$C$5,$C$7,AI$1,AI$2,$A149)</f>
        <v>-135.47546862418332</v>
      </c>
      <c r="AJ149" s="33">
        <f ca="1">_xll.DBRW($C$1,$C$2,$C$3,$C$4,$C$6,$C$5,$C$7,AJ$1,AJ$2,$A149)</f>
        <v>-148.05004537954062</v>
      </c>
      <c r="AK149" s="33">
        <f ca="1">_xll.DBRW($C$1,$C$2,$C$3,$C$4,$C$6,$C$5,$C$7,AK$1,AK$2,$A149)</f>
        <v>-155.208970060328</v>
      </c>
      <c r="AL149" s="33">
        <f ca="1">_xll.DBRW($C$1,$C$2,$C$3,$C$4,$C$6,$C$5,$C$7,AL$1,AL$2,$A149)</f>
        <v>-155.208970060328</v>
      </c>
      <c r="AM149" s="33">
        <f ca="1">_xll.DBRW($C$1,$C$2,$C$3,$C$4,$C$6,$C$5,$C$7,AM$1,AM$2,$A149)</f>
        <v>-3.6037574249481121</v>
      </c>
      <c r="AN149" s="33">
        <f ca="1">_xll.DBRW($C$1,$C$2,$C$3,$C$4,$C$6,$C$5,$C$7,AN$1,AN$2,$A149)</f>
        <v>-28.492252589867824</v>
      </c>
      <c r="AO149" s="33">
        <f ca="1">_xll.DBRW($C$1,$C$2,$C$3,$C$4,$C$6,$C$5,$C$7,AO$1,AO$2,$A149)</f>
        <v>1.4210854715202004E-14</v>
      </c>
      <c r="AP149" s="33">
        <f ca="1">_xll.DBRW($C$1,$C$2,$C$3,$C$4,$C$6,$C$5,$C$7,AP$1,AP$2,$A149)</f>
        <v>1.4210854715202004E-14</v>
      </c>
      <c r="AQ149" s="33">
        <f ca="1">_xll.DBRW($C$1,$C$2,$C$3,$C$4,$C$6,$C$5,$C$7,AQ$1,AQ$2,$A149)</f>
        <v>1.4210854715202004E-14</v>
      </c>
      <c r="AR149" s="33">
        <f ca="1">_xll.DBRW($C$1,$C$2,$C$3,$C$4,$C$6,$C$5,$C$7,AR$1,AR$2,$A149)</f>
        <v>1.4210854715202004E-14</v>
      </c>
      <c r="AS149" s="33">
        <f ca="1">_xll.DBRW($C$1,$C$2,$C$3,$C$4,$C$6,$C$5,$C$7,AS$1,AS$2,$A149)</f>
        <v>1.4210854715202004E-14</v>
      </c>
      <c r="AT149" s="33">
        <f ca="1">_xll.DBRW($C$1,$C$2,$C$3,$C$4,$C$6,$C$5,$C$7,AT$1,AT$2,$A149)</f>
        <v>1.4210854715202004E-14</v>
      </c>
      <c r="AU149" s="33">
        <f ca="1">_xll.DBRW($C$1,$C$2,$C$3,$C$4,$C$6,$C$5,$C$7,AU$1,AU$2,$A149)</f>
        <v>1.4210854715202004E-14</v>
      </c>
      <c r="AV149" s="33">
        <f ca="1">_xll.DBRW($C$1,$C$2,$C$3,$C$4,$C$6,$C$5,$C$7,AV$1,AV$2,$A149)</f>
        <v>1.4210854715202004E-14</v>
      </c>
      <c r="AW149" s="33">
        <f ca="1">_xll.DBRW($C$1,$C$2,$C$3,$C$4,$C$6,$C$5,$C$7,AW$1,AW$2,$A149)</f>
        <v>1.4210854715202004E-14</v>
      </c>
      <c r="AX149" s="33">
        <f ca="1">_xll.DBRW($C$1,$C$2,$C$3,$C$4,$C$6,$C$5,$C$7,AX$1,AX$2,$A149)</f>
        <v>1.4210854715202004E-14</v>
      </c>
      <c r="AY149" s="33">
        <f ca="1">_xll.DBRW($C$1,$C$2,$C$3,$C$4,$C$6,$C$5,$C$7,AY$1,AY$2,$A149)</f>
        <v>1.4210854715202004E-14</v>
      </c>
    </row>
    <row r="150" spans="1:51" ht="15.75" hidden="1" customHeight="1" outlineLevel="2">
      <c r="A150" s="1" t="s">
        <v>241</v>
      </c>
      <c r="C150" s="104"/>
      <c r="E150" s="9" t="str">
        <f ca="1">_xll.DBRW(Server&amp;"}ElementAttributes_Indicator",A150,"code_English")</f>
        <v>PL1118_DS - IFRS16 adjustment through P&amp;L (DS)</v>
      </c>
      <c r="F150" s="33">
        <f ca="1">_xll.DBRW($C$1,$C$2,$C$3,$C$4,$C$6,$C$5,$C$7,F$1,F$2,$A150)</f>
        <v>0</v>
      </c>
      <c r="G150" s="33">
        <f ca="1">_xll.DBRW($C$1,$C$2,$C$3,$C$4,$C$6,$C$5,$C$7,G$1,G$2,$A150)</f>
        <v>0</v>
      </c>
      <c r="H150" s="33">
        <f ca="1">_xll.DBRW($C$1,$C$2,$C$3,$C$4,$C$6,$C$5,$C$7,H$1,H$2,$A150)</f>
        <v>0</v>
      </c>
      <c r="I150" s="33">
        <f ca="1">_xll.DBRW($C$1,$C$2,$C$3,$C$4,$C$6,$C$5,$C$7,I$1,I$2,$A150)</f>
        <v>0</v>
      </c>
      <c r="J150" s="33">
        <f ca="1">_xll.DBRW($C$1,$C$2,$C$3,$C$4,$C$6,$C$5,$C$7,J$1,J$2,$A150)</f>
        <v>0</v>
      </c>
      <c r="K150" s="33">
        <f ca="1">_xll.DBRW($C$1,$C$2,$C$3,$C$4,$C$6,$C$5,$C$7,K$1,K$2,$A150)</f>
        <v>5.0809438805608852E-4</v>
      </c>
      <c r="L150" s="33">
        <f ca="1">_xll.DBRW($C$1,$C$2,$C$3,$C$4,$C$6,$C$5,$C$7,L$1,L$2,$A150)</f>
        <v>0</v>
      </c>
      <c r="M150" s="33">
        <f ca="1">_xll.DBRW($C$1,$C$2,$C$3,$C$4,$C$6,$C$5,$C$7,M$1,M$2,$A150)</f>
        <v>1.7628674533126589E-4</v>
      </c>
      <c r="N150" s="33">
        <f ca="1">_xll.DBRW($C$1,$C$2,$C$3,$C$4,$C$6,$C$5,$C$7,N$1,N$2,$A150)</f>
        <v>1.7597881625247544E-4</v>
      </c>
      <c r="O150" s="33">
        <f ca="1">_xll.DBRW($C$1,$C$2,$C$3,$C$4,$C$6,$C$5,$C$7,O$1,O$2,$A150)</f>
        <v>1.7919677466845098E-4</v>
      </c>
      <c r="P150" s="33">
        <f ca="1">_xll.DBRW($C$1,$C$2,$C$3,$C$4,$C$6,$C$5,$C$7,P$1,P$2,$A150)</f>
        <v>1.8168632947034147E-4</v>
      </c>
      <c r="Q150" s="33">
        <f ca="1">_xll.DBRW($C$1,$C$2,$C$3,$C$4,$C$6,$C$5,$C$7,Q$1,Q$2,$A150)</f>
        <v>1.8235809392319778E-4</v>
      </c>
      <c r="R150" s="33">
        <f ca="1">_xll.DBRW($C$1,$C$2,$C$3,$C$4,$C$6,$C$5,$C$7,R$1,R$2,$A150)</f>
        <v>1.828075913808806E-4</v>
      </c>
      <c r="S150" s="33">
        <f ca="1">_xll.DBRW($C$1,$C$2,$C$3,$C$4,$C$6,$C$5,$C$7,S$1,S$2,$A150)</f>
        <v>1.828075913808806E-4</v>
      </c>
      <c r="T150" s="33">
        <f ca="1">_xll.DBRW($C$1,$C$2,$C$3,$C$4,$C$6,$C$5,$C$7,T$1,T$2,$A150)</f>
        <v>1.8433512581539057E-4</v>
      </c>
      <c r="U150" s="33">
        <f ca="1">_xll.DBRW($C$1,$C$2,$C$3,$C$4,$C$6,$C$5,$C$7,U$1,U$2,$A150)</f>
        <v>2.1019060122280225E-4</v>
      </c>
      <c r="V150" s="33">
        <f ca="1">_xll.DBRW($C$1,$C$2,$C$3,$C$4,$C$6,$C$5,$C$7,V$1,V$2,$A150)</f>
        <v>2.1038721867345036E-4</v>
      </c>
      <c r="W150" s="33">
        <f ca="1">_xll.DBRW($C$1,$C$2,$C$3,$C$4,$C$6,$C$5,$C$7,W$1,W$2,$A150)</f>
        <v>2.0994873333432916E-4</v>
      </c>
      <c r="X150" s="33">
        <f ca="1">_xll.DBRW($C$1,$C$2,$C$3,$C$4,$C$6,$C$5,$C$7,X$1,X$2,$A150)</f>
        <v>2.0853642403106538E-4</v>
      </c>
      <c r="Y150" s="33">
        <f ca="1">_xll.DBRW($C$1,$C$2,$C$3,$C$4,$C$6,$C$5,$C$7,Y$1,Y$2,$A150)</f>
        <v>2.0853642403106538E-4</v>
      </c>
      <c r="Z150" s="33">
        <f ca="1">_xll.DBRW($C$1,$C$2,$C$3,$C$4,$C$6,$C$5,$C$7,Z$1,Z$2,$A150)</f>
        <v>0</v>
      </c>
      <c r="AA150" s="33">
        <f ca="1">_xll.DBRW($C$1,$C$2,$C$3,$C$4,$C$6,$C$5,$C$7,AA$1,AA$2,$A150)</f>
        <v>0</v>
      </c>
      <c r="AB150" s="33">
        <f ca="1">_xll.DBRW($C$1,$C$2,$C$3,$C$4,$C$6,$C$5,$C$7,AB$1,AB$2,$A150)</f>
        <v>0</v>
      </c>
      <c r="AC150" s="33">
        <f ca="1">_xll.DBRW($C$1,$C$2,$C$3,$C$4,$C$6,$C$5,$C$7,AC$1,AC$2,$A150)</f>
        <v>0</v>
      </c>
      <c r="AD150" s="33">
        <f ca="1">_xll.DBRW($C$1,$C$2,$C$3,$C$4,$C$6,$C$5,$C$7,AD$1,AD$2,$A150)</f>
        <v>0</v>
      </c>
      <c r="AE150" s="33">
        <f ca="1">_xll.DBRW($C$1,$C$2,$C$3,$C$4,$C$6,$C$5,$C$7,AE$1,AE$2,$A150)</f>
        <v>0</v>
      </c>
      <c r="AF150" s="33">
        <f ca="1">_xll.DBRW($C$1,$C$2,$C$3,$C$4,$C$6,$C$5,$C$7,AF$1,AF$2,$A150)</f>
        <v>0</v>
      </c>
      <c r="AG150" s="33">
        <f ca="1">_xll.DBRW($C$1,$C$2,$C$3,$C$4,$C$6,$C$5,$C$7,AG$1,AG$2,$A150)</f>
        <v>0</v>
      </c>
      <c r="AH150" s="33">
        <f ca="1">_xll.DBRW($C$1,$C$2,$C$3,$C$4,$C$6,$C$5,$C$7,AH$1,AH$2,$A150)</f>
        <v>2.5903614457831329E-5</v>
      </c>
      <c r="AI150" s="33">
        <f ca="1">_xll.DBRW($C$1,$C$2,$C$3,$C$4,$C$6,$C$5,$C$7,AI$1,AI$2,$A150)</f>
        <v>2.5903614457831329E-5</v>
      </c>
      <c r="AJ150" s="33">
        <f ca="1">_xll.DBRW($C$1,$C$2,$C$3,$C$4,$C$6,$C$5,$C$7,AJ$1,AJ$2,$A150)</f>
        <v>2.5903614457831329E-5</v>
      </c>
      <c r="AK150" s="33">
        <f ca="1">_xll.DBRW($C$1,$C$2,$C$3,$C$4,$C$6,$C$5,$C$7,AK$1,AK$2,$A150)</f>
        <v>2.5903614457831329E-5</v>
      </c>
      <c r="AL150" s="33">
        <f ca="1">_xll.DBRW($C$1,$C$2,$C$3,$C$4,$C$6,$C$5,$C$7,AL$1,AL$2,$A150)</f>
        <v>2.5903614457831329E-5</v>
      </c>
      <c r="AM150" s="33">
        <f ca="1">_xll.DBRW($C$1,$C$2,$C$3,$C$4,$C$6,$C$5,$C$7,AM$1,AM$2,$A150)</f>
        <v>0</v>
      </c>
      <c r="AN150" s="33">
        <f ca="1">_xll.DBRW($C$1,$C$2,$C$3,$C$4,$C$6,$C$5,$C$7,AN$1,AN$2,$A150)</f>
        <v>0</v>
      </c>
      <c r="AO150" s="33">
        <f ca="1">_xll.DBRW($C$1,$C$2,$C$3,$C$4,$C$6,$C$5,$C$7,AO$1,AO$2,$A150)</f>
        <v>0</v>
      </c>
      <c r="AP150" s="33">
        <f ca="1">_xll.DBRW($C$1,$C$2,$C$3,$C$4,$C$6,$C$5,$C$7,AP$1,AP$2,$A150)</f>
        <v>0</v>
      </c>
      <c r="AQ150" s="33">
        <f ca="1">_xll.DBRW($C$1,$C$2,$C$3,$C$4,$C$6,$C$5,$C$7,AQ$1,AQ$2,$A150)</f>
        <v>0</v>
      </c>
      <c r="AR150" s="33">
        <f ca="1">_xll.DBRW($C$1,$C$2,$C$3,$C$4,$C$6,$C$5,$C$7,AR$1,AR$2,$A150)</f>
        <v>0</v>
      </c>
      <c r="AS150" s="33">
        <f ca="1">_xll.DBRW($C$1,$C$2,$C$3,$C$4,$C$6,$C$5,$C$7,AS$1,AS$2,$A150)</f>
        <v>0</v>
      </c>
      <c r="AT150" s="33">
        <f ca="1">_xll.DBRW($C$1,$C$2,$C$3,$C$4,$C$6,$C$5,$C$7,AT$1,AT$2,$A150)</f>
        <v>0</v>
      </c>
      <c r="AU150" s="33">
        <f ca="1">_xll.DBRW($C$1,$C$2,$C$3,$C$4,$C$6,$C$5,$C$7,AU$1,AU$2,$A150)</f>
        <v>0</v>
      </c>
      <c r="AV150" s="33">
        <f ca="1">_xll.DBRW($C$1,$C$2,$C$3,$C$4,$C$6,$C$5,$C$7,AV$1,AV$2,$A150)</f>
        <v>0</v>
      </c>
      <c r="AW150" s="33">
        <f ca="1">_xll.DBRW($C$1,$C$2,$C$3,$C$4,$C$6,$C$5,$C$7,AW$1,AW$2,$A150)</f>
        <v>0</v>
      </c>
      <c r="AX150" s="33">
        <f ca="1">_xll.DBRW($C$1,$C$2,$C$3,$C$4,$C$6,$C$5,$C$7,AX$1,AX$2,$A150)</f>
        <v>0</v>
      </c>
      <c r="AY150" s="33">
        <f ca="1">_xll.DBRW($C$1,$C$2,$C$3,$C$4,$C$6,$C$5,$C$7,AY$1,AY$2,$A150)</f>
        <v>0</v>
      </c>
    </row>
    <row r="151" spans="1:51" ht="15.75" hidden="1" customHeight="1" outlineLevel="2">
      <c r="A151" s="1" t="s">
        <v>242</v>
      </c>
      <c r="C151" s="104"/>
      <c r="E151" s="9" t="str">
        <f ca="1">_xll.DBRW(Server&amp;"}ElementAttributes_Indicator",A151,"code_English")</f>
        <v>PL1140_DS_10 - Amortization (DS)</v>
      </c>
      <c r="F151" s="33">
        <f ca="1">_xll.DBRW($C$1,$C$2,$C$3,$C$4,$C$6,$C$5,$C$7,F$1,F$2,$A151)</f>
        <v>-12.693351411263336</v>
      </c>
      <c r="G151" s="33">
        <f ca="1">_xll.DBRW($C$1,$C$2,$C$3,$C$4,$C$6,$C$5,$C$7,G$1,G$2,$A151)</f>
        <v>-13.268797327450756</v>
      </c>
      <c r="H151" s="33">
        <f ca="1">_xll.DBRW($C$1,$C$2,$C$3,$C$4,$C$6,$C$5,$C$7,H$1,H$2,$A151)</f>
        <v>-12.847241735587609</v>
      </c>
      <c r="I151" s="33">
        <f ca="1">_xll.DBRW($C$1,$C$2,$C$3,$C$4,$C$6,$C$5,$C$7,I$1,I$2,$A151)</f>
        <v>-14.821824727033976</v>
      </c>
      <c r="J151" s="33">
        <f ca="1">_xll.DBRW($C$1,$C$2,$C$3,$C$4,$C$6,$C$5,$C$7,J$1,J$2,$A151)</f>
        <v>30.61236603393095</v>
      </c>
      <c r="K151" s="33">
        <f ca="1">_xll.DBRW($C$1,$C$2,$C$3,$C$4,$C$6,$C$5,$C$7,K$1,K$2,$A151)</f>
        <v>-8.8722404061401221</v>
      </c>
      <c r="L151" s="33">
        <f ca="1">_xll.DBRW($C$1,$C$2,$C$3,$C$4,$C$6,$C$5,$C$7,L$1,L$2,$A151)</f>
        <v>-25.93069152878293</v>
      </c>
      <c r="M151" s="33">
        <f ca="1">_xll.DBRW($C$1,$C$2,$C$3,$C$4,$C$6,$C$5,$C$7,M$1,M$2,$A151)</f>
        <v>-0.54614844176912147</v>
      </c>
      <c r="N151" s="33">
        <f ca="1">_xll.DBRW($C$1,$C$2,$C$3,$C$4,$C$6,$C$5,$C$7,N$1,N$2,$A151)</f>
        <v>-3.1803906278139302</v>
      </c>
      <c r="O151" s="33">
        <f ca="1">_xll.DBRW($C$1,$C$2,$C$3,$C$4,$C$6,$C$5,$C$7,O$1,O$2,$A151)</f>
        <v>-4.8285985332011911</v>
      </c>
      <c r="P151" s="33">
        <f ca="1">_xll.DBRW($C$1,$C$2,$C$3,$C$4,$C$6,$C$5,$C$7,P$1,P$2,$A151)</f>
        <v>-6.5130472397954593</v>
      </c>
      <c r="Q151" s="33">
        <f ca="1">_xll.DBRW($C$1,$C$2,$C$3,$C$4,$C$6,$C$5,$C$7,Q$1,Q$2,$A151)</f>
        <v>-8.1969099056116512</v>
      </c>
      <c r="R151" s="33">
        <f ca="1">_xll.DBRW($C$1,$C$2,$C$3,$C$4,$C$6,$C$5,$C$7,R$1,R$2,$A151)</f>
        <v>-9.6945479216440695</v>
      </c>
      <c r="S151" s="33">
        <f ca="1">_xll.DBRW($C$1,$C$2,$C$3,$C$4,$C$6,$C$5,$C$7,S$1,S$2,$A151)</f>
        <v>-3.8505271492359632</v>
      </c>
      <c r="T151" s="33">
        <f ca="1">_xll.DBRW($C$1,$C$2,$C$3,$C$4,$C$6,$C$5,$C$7,T$1,T$2,$A151)</f>
        <v>-11.263439734437446</v>
      </c>
      <c r="U151" s="33">
        <f ca="1">_xll.DBRW($C$1,$C$2,$C$3,$C$4,$C$6,$C$5,$C$7,U$1,U$2,$A151)</f>
        <v>-12.807139994975733</v>
      </c>
      <c r="V151" s="33">
        <f ca="1">_xll.DBRW($C$1,$C$2,$C$3,$C$4,$C$6,$C$5,$C$7,V$1,V$2,$A151)</f>
        <v>-5.0484328103351075</v>
      </c>
      <c r="W151" s="33">
        <f ca="1">_xll.DBRW($C$1,$C$2,$C$3,$C$4,$C$6,$C$5,$C$7,W$1,W$2,$A151)</f>
        <v>-8.7304122768414345</v>
      </c>
      <c r="X151" s="33">
        <f ca="1">_xll.DBRW($C$1,$C$2,$C$3,$C$4,$C$6,$C$5,$C$7,X$1,X$2,$A151)</f>
        <v>-13.741242825829094</v>
      </c>
      <c r="Y151" s="33">
        <f ca="1">_xll.DBRW($C$1,$C$2,$C$3,$C$4,$C$6,$C$5,$C$7,Y$1,Y$2,$A151)</f>
        <v>-13.741242825829094</v>
      </c>
      <c r="Z151" s="33">
        <f ca="1">_xll.DBRW($C$1,$C$2,$C$3,$C$4,$C$6,$C$5,$C$7,Z$1,Z$2,$A151)</f>
        <v>-1.2598089755227662</v>
      </c>
      <c r="AA151" s="33">
        <f ca="1">_xll.DBRW($C$1,$C$2,$C$3,$C$4,$C$6,$C$5,$C$7,AA$1,AA$2,$A151)</f>
        <v>-3.7941062630454585</v>
      </c>
      <c r="AB151" s="33">
        <f ca="1">_xll.DBRW($C$1,$C$2,$C$3,$C$4,$C$6,$C$5,$C$7,AB$1,AB$2,$A151)</f>
        <v>-5.7630216162759194</v>
      </c>
      <c r="AC151" s="33">
        <f ca="1">_xll.DBRW($C$1,$C$2,$C$3,$C$4,$C$6,$C$5,$C$7,AC$1,AC$2,$A151)</f>
        <v>-7.6993584755543738</v>
      </c>
      <c r="AD151" s="33">
        <f ca="1">_xll.DBRW($C$1,$C$2,$C$3,$C$4,$C$6,$C$5,$C$7,AD$1,AD$2,$A151)</f>
        <v>-9.6353258178330883</v>
      </c>
      <c r="AE151" s="33">
        <f ca="1">_xll.DBRW($C$1,$C$2,$C$3,$C$4,$C$6,$C$5,$C$7,AE$1,AE$2,$A151)</f>
        <v>-11.538792389359294</v>
      </c>
      <c r="AF151" s="33">
        <f ca="1">_xll.DBRW($C$1,$C$2,$C$3,$C$4,$C$6,$C$5,$C$7,AF$1,AF$2,$A151)</f>
        <v>-12.678849549098762</v>
      </c>
      <c r="AG151" s="33">
        <f ca="1">_xll.DBRW($C$1,$C$2,$C$3,$C$4,$C$6,$C$5,$C$7,AG$1,AG$2,$A151)</f>
        <v>-14.675282143757212</v>
      </c>
      <c r="AH151" s="33">
        <f ca="1">_xll.DBRW($C$1,$C$2,$C$3,$C$4,$C$6,$C$5,$C$7,AH$1,AH$2,$A151)</f>
        <v>-16.670189289182279</v>
      </c>
      <c r="AI151" s="33">
        <f ca="1">_xll.DBRW($C$1,$C$2,$C$3,$C$4,$C$6,$C$5,$C$7,AI$1,AI$2,$A151)</f>
        <v>-18.652100758995989</v>
      </c>
      <c r="AJ151" s="33">
        <f ca="1">_xll.DBRW($C$1,$C$2,$C$3,$C$4,$C$6,$C$5,$C$7,AJ$1,AJ$2,$A151)</f>
        <v>-20.627812373696067</v>
      </c>
      <c r="AK151" s="33">
        <f ca="1">_xll.DBRW($C$1,$C$2,$C$3,$C$4,$C$6,$C$5,$C$7,AK$1,AK$2,$A151)</f>
        <v>-22.708520122620229</v>
      </c>
      <c r="AL151" s="33">
        <f ca="1">_xll.DBRW($C$1,$C$2,$C$3,$C$4,$C$6,$C$5,$C$7,AL$1,AL$2,$A151)</f>
        <v>-22.708520122620229</v>
      </c>
      <c r="AM151" s="33">
        <f ca="1">_xll.DBRW($C$1,$C$2,$C$3,$C$4,$C$6,$C$5,$C$7,AM$1,AM$2,$A151)</f>
        <v>-0.29093243032589011</v>
      </c>
      <c r="AN151" s="33">
        <f ca="1">_xll.DBRW($C$1,$C$2,$C$3,$C$4,$C$6,$C$5,$C$7,AN$1,AN$2,$A151)</f>
        <v>-3.2330370498679537</v>
      </c>
      <c r="AO151" s="33">
        <f ca="1">_xll.DBRW($C$1,$C$2,$C$3,$C$4,$C$6,$C$5,$C$7,AO$1,AO$2,$A151)</f>
        <v>0</v>
      </c>
      <c r="AP151" s="33">
        <f ca="1">_xll.DBRW($C$1,$C$2,$C$3,$C$4,$C$6,$C$5,$C$7,AP$1,AP$2,$A151)</f>
        <v>0</v>
      </c>
      <c r="AQ151" s="33">
        <f ca="1">_xll.DBRW($C$1,$C$2,$C$3,$C$4,$C$6,$C$5,$C$7,AQ$1,AQ$2,$A151)</f>
        <v>0</v>
      </c>
      <c r="AR151" s="33">
        <f ca="1">_xll.DBRW($C$1,$C$2,$C$3,$C$4,$C$6,$C$5,$C$7,AR$1,AR$2,$A151)</f>
        <v>0</v>
      </c>
      <c r="AS151" s="33">
        <f ca="1">_xll.DBRW($C$1,$C$2,$C$3,$C$4,$C$6,$C$5,$C$7,AS$1,AS$2,$A151)</f>
        <v>0</v>
      </c>
      <c r="AT151" s="33">
        <f ca="1">_xll.DBRW($C$1,$C$2,$C$3,$C$4,$C$6,$C$5,$C$7,AT$1,AT$2,$A151)</f>
        <v>0</v>
      </c>
      <c r="AU151" s="33">
        <f ca="1">_xll.DBRW($C$1,$C$2,$C$3,$C$4,$C$6,$C$5,$C$7,AU$1,AU$2,$A151)</f>
        <v>0</v>
      </c>
      <c r="AV151" s="33">
        <f ca="1">_xll.DBRW($C$1,$C$2,$C$3,$C$4,$C$6,$C$5,$C$7,AV$1,AV$2,$A151)</f>
        <v>0</v>
      </c>
      <c r="AW151" s="33">
        <f ca="1">_xll.DBRW($C$1,$C$2,$C$3,$C$4,$C$6,$C$5,$C$7,AW$1,AW$2,$A151)</f>
        <v>0</v>
      </c>
      <c r="AX151" s="33">
        <f ca="1">_xll.DBRW($C$1,$C$2,$C$3,$C$4,$C$6,$C$5,$C$7,AX$1,AX$2,$A151)</f>
        <v>0</v>
      </c>
      <c r="AY151" s="33">
        <f ca="1">_xll.DBRW($C$1,$C$2,$C$3,$C$4,$C$6,$C$5,$C$7,AY$1,AY$2,$A151)</f>
        <v>0</v>
      </c>
    </row>
    <row r="152" spans="1:51" ht="15.75" hidden="1" customHeight="1" outlineLevel="2">
      <c r="A152" s="1" t="s">
        <v>243</v>
      </c>
      <c r="C152" s="104"/>
      <c r="E152" s="9" t="str">
        <f ca="1">_xll.DBRW(Server&amp;"}ElementAttributes_Indicator",A152,"code_English")</f>
        <v>PL1150_DS_10 - Impairment (other than working capital) and provisions - related to staff costs (DS)</v>
      </c>
      <c r="F152" s="33">
        <f ca="1">_xll.DBRW($C$1,$C$2,$C$3,$C$4,$C$6,$C$5,$C$7,F$1,F$2,$A152)</f>
        <v>-1.1630236073466831</v>
      </c>
      <c r="G152" s="33">
        <f ca="1">_xll.DBRW($C$1,$C$2,$C$3,$C$4,$C$6,$C$5,$C$7,G$1,G$2,$A152)</f>
        <v>-0.49960082652198123</v>
      </c>
      <c r="H152" s="33">
        <f ca="1">_xll.DBRW($C$1,$C$2,$C$3,$C$4,$C$6,$C$5,$C$7,H$1,H$2,$A152)</f>
        <v>-1.1974042692280646</v>
      </c>
      <c r="I152" s="33">
        <f ca="1">_xll.DBRW($C$1,$C$2,$C$3,$C$4,$C$6,$C$5,$C$7,I$1,I$2,$A152)</f>
        <v>-0.46564396507756689</v>
      </c>
      <c r="J152" s="33">
        <f ca="1">_xll.DBRW($C$1,$C$2,$C$3,$C$4,$C$6,$C$5,$C$7,J$1,J$2,$A152)</f>
        <v>-1.9287359772471873</v>
      </c>
      <c r="K152" s="33">
        <f ca="1">_xll.DBRW($C$1,$C$2,$C$3,$C$4,$C$6,$C$5,$C$7,K$1,K$2,$A152)</f>
        <v>-0.36818219017386544</v>
      </c>
      <c r="L152" s="33">
        <f ca="1">_xll.DBRW($C$1,$C$2,$C$3,$C$4,$C$6,$C$5,$C$7,L$1,L$2,$A152)</f>
        <v>0.25463079333333333</v>
      </c>
      <c r="M152" s="33">
        <f ca="1">_xll.DBRW($C$1,$C$2,$C$3,$C$4,$C$6,$C$5,$C$7,M$1,M$2,$A152)</f>
        <v>2.1115131885496255E-2</v>
      </c>
      <c r="N152" s="33">
        <f ca="1">_xll.DBRW($C$1,$C$2,$C$3,$C$4,$C$6,$C$5,$C$7,N$1,N$2,$A152)</f>
        <v>0.19621334363148824</v>
      </c>
      <c r="O152" s="33">
        <f ca="1">_xll.DBRW($C$1,$C$2,$C$3,$C$4,$C$6,$C$5,$C$7,O$1,O$2,$A152)</f>
        <v>0.17603731853334434</v>
      </c>
      <c r="P152" s="33">
        <f ca="1">_xll.DBRW($C$1,$C$2,$C$3,$C$4,$C$6,$C$5,$C$7,P$1,P$2,$A152)</f>
        <v>0.35159126491775983</v>
      </c>
      <c r="Q152" s="33">
        <f ca="1">_xll.DBRW($C$1,$C$2,$C$3,$C$4,$C$6,$C$5,$C$7,Q$1,Q$2,$A152)</f>
        <v>0.38049052439069753</v>
      </c>
      <c r="R152" s="33">
        <f ca="1">_xll.DBRW($C$1,$C$2,$C$3,$C$4,$C$6,$C$5,$C$7,R$1,R$2,$A152)</f>
        <v>0.3484496325876969</v>
      </c>
      <c r="S152" s="33">
        <f ca="1">_xll.DBRW($C$1,$C$2,$C$3,$C$4,$C$6,$C$5,$C$7,S$1,S$2,$A152)</f>
        <v>0.36997353259794652</v>
      </c>
      <c r="T152" s="33">
        <f ca="1">_xll.DBRW($C$1,$C$2,$C$3,$C$4,$C$6,$C$5,$C$7,T$1,T$2,$A152)</f>
        <v>0.35903662662492475</v>
      </c>
      <c r="U152" s="33">
        <f ca="1">_xll.DBRW($C$1,$C$2,$C$3,$C$4,$C$6,$C$5,$C$7,U$1,U$2,$A152)</f>
        <v>0.4576661273878318</v>
      </c>
      <c r="V152" s="33">
        <f ca="1">_xll.DBRW($C$1,$C$2,$C$3,$C$4,$C$6,$C$5,$C$7,V$1,V$2,$A152)</f>
        <v>0.4768457142888905</v>
      </c>
      <c r="W152" s="33">
        <f ca="1">_xll.DBRW($C$1,$C$2,$C$3,$C$4,$C$6,$C$5,$C$7,W$1,W$2,$A152)</f>
        <v>-0.11664328537435492</v>
      </c>
      <c r="X152" s="33">
        <f ca="1">_xll.DBRW($C$1,$C$2,$C$3,$C$4,$C$6,$C$5,$C$7,X$1,X$2,$A152)</f>
        <v>-2.3207296113132108</v>
      </c>
      <c r="Y152" s="33">
        <f ca="1">_xll.DBRW($C$1,$C$2,$C$3,$C$4,$C$6,$C$5,$C$7,Y$1,Y$2,$A152)</f>
        <v>-2.3207296113132108</v>
      </c>
      <c r="Z152" s="33">
        <f ca="1">_xll.DBRW($C$1,$C$2,$C$3,$C$4,$C$6,$C$5,$C$7,Z$1,Z$2,$A152)</f>
        <v>5.0609435119252262E-3</v>
      </c>
      <c r="AA152" s="33">
        <f ca="1">_xll.DBRW($C$1,$C$2,$C$3,$C$4,$C$6,$C$5,$C$7,AA$1,AA$2,$A152)</f>
        <v>1.0409033057650185E-2</v>
      </c>
      <c r="AB152" s="33">
        <f ca="1">_xll.DBRW($C$1,$C$2,$C$3,$C$4,$C$6,$C$5,$C$7,AB$1,AB$2,$A152)</f>
        <v>1.4613867569817978E-2</v>
      </c>
      <c r="AC152" s="33">
        <f ca="1">_xll.DBRW($C$1,$C$2,$C$3,$C$4,$C$6,$C$5,$C$7,AC$1,AC$2,$A152)</f>
        <v>1.9955347994494874E-2</v>
      </c>
      <c r="AD152" s="33">
        <f ca="1">_xll.DBRW($C$1,$C$2,$C$3,$C$4,$C$6,$C$5,$C$7,AD$1,AD$2,$A152)</f>
        <v>2.4849779822099124E-2</v>
      </c>
      <c r="AE152" s="33">
        <f ca="1">_xll.DBRW($C$1,$C$2,$C$3,$C$4,$C$6,$C$5,$C$7,AE$1,AE$2,$A152)</f>
        <v>-2.8852768216068726E-2</v>
      </c>
      <c r="AF152" s="33">
        <f ca="1">_xll.DBRW($C$1,$C$2,$C$3,$C$4,$C$6,$C$5,$C$7,AF$1,AF$2,$A152)</f>
        <v>-3.9981717321593481E-2</v>
      </c>
      <c r="AG152" s="33">
        <f ca="1">_xll.DBRW($C$1,$C$2,$C$3,$C$4,$C$6,$C$5,$C$7,AG$1,AG$2,$A152)</f>
        <v>-3.6682621064458402E-2</v>
      </c>
      <c r="AH152" s="33">
        <f ca="1">_xll.DBRW($C$1,$C$2,$C$3,$C$4,$C$6,$C$5,$C$7,AH$1,AH$2,$A152)</f>
        <v>-3.3683860377794389E-2</v>
      </c>
      <c r="AI152" s="33">
        <f ca="1">_xll.DBRW($C$1,$C$2,$C$3,$C$4,$C$6,$C$5,$C$7,AI$1,AI$2,$A152)</f>
        <v>-3.2094762503453361E-2</v>
      </c>
      <c r="AJ152" s="33">
        <f ca="1">_xll.DBRW($C$1,$C$2,$C$3,$C$4,$C$6,$C$5,$C$7,AJ$1,AJ$2,$A152)</f>
        <v>-3.1169491749673987E-2</v>
      </c>
      <c r="AK152" s="33">
        <f ca="1">_xll.DBRW($C$1,$C$2,$C$3,$C$4,$C$6,$C$5,$C$7,AK$1,AK$2,$A152)</f>
        <v>-2.8290825022741523E-2</v>
      </c>
      <c r="AL152" s="33">
        <f ca="1">_xll.DBRW($C$1,$C$2,$C$3,$C$4,$C$6,$C$5,$C$7,AL$1,AL$2,$A152)</f>
        <v>-2.8290825022741523E-2</v>
      </c>
      <c r="AM152" s="33">
        <f ca="1">_xll.DBRW($C$1,$C$2,$C$3,$C$4,$C$6,$C$5,$C$7,AM$1,AM$2,$A152)</f>
        <v>1.5983130493599403E-2</v>
      </c>
      <c r="AN152" s="33">
        <f ca="1">_xll.DBRW($C$1,$C$2,$C$3,$C$4,$C$6,$C$5,$C$7,AN$1,AN$2,$A152)</f>
        <v>-2.1127451483834103E-2</v>
      </c>
      <c r="AO152" s="33">
        <f ca="1">_xll.DBRW($C$1,$C$2,$C$3,$C$4,$C$6,$C$5,$C$7,AO$1,AO$2,$A152)</f>
        <v>-6.9388939039072284E-18</v>
      </c>
      <c r="AP152" s="33">
        <f ca="1">_xll.DBRW($C$1,$C$2,$C$3,$C$4,$C$6,$C$5,$C$7,AP$1,AP$2,$A152)</f>
        <v>-6.9388939039072284E-18</v>
      </c>
      <c r="AQ152" s="33">
        <f ca="1">_xll.DBRW($C$1,$C$2,$C$3,$C$4,$C$6,$C$5,$C$7,AQ$1,AQ$2,$A152)</f>
        <v>-6.9388939039072284E-18</v>
      </c>
      <c r="AR152" s="33">
        <f ca="1">_xll.DBRW($C$1,$C$2,$C$3,$C$4,$C$6,$C$5,$C$7,AR$1,AR$2,$A152)</f>
        <v>-6.9388939039072284E-18</v>
      </c>
      <c r="AS152" s="33">
        <f ca="1">_xll.DBRW($C$1,$C$2,$C$3,$C$4,$C$6,$C$5,$C$7,AS$1,AS$2,$A152)</f>
        <v>-6.9388939039072284E-18</v>
      </c>
      <c r="AT152" s="33">
        <f ca="1">_xll.DBRW($C$1,$C$2,$C$3,$C$4,$C$6,$C$5,$C$7,AT$1,AT$2,$A152)</f>
        <v>-6.9388939039072284E-18</v>
      </c>
      <c r="AU152" s="33">
        <f ca="1">_xll.DBRW($C$1,$C$2,$C$3,$C$4,$C$6,$C$5,$C$7,AU$1,AU$2,$A152)</f>
        <v>-6.9388939039072284E-18</v>
      </c>
      <c r="AV152" s="33">
        <f ca="1">_xll.DBRW($C$1,$C$2,$C$3,$C$4,$C$6,$C$5,$C$7,AV$1,AV$2,$A152)</f>
        <v>-6.9388939039072284E-18</v>
      </c>
      <c r="AW152" s="33">
        <f ca="1">_xll.DBRW($C$1,$C$2,$C$3,$C$4,$C$6,$C$5,$C$7,AW$1,AW$2,$A152)</f>
        <v>-6.9388939039072284E-18</v>
      </c>
      <c r="AX152" s="33">
        <f ca="1">_xll.DBRW($C$1,$C$2,$C$3,$C$4,$C$6,$C$5,$C$7,AX$1,AX$2,$A152)</f>
        <v>-6.9388939039072284E-18</v>
      </c>
      <c r="AY152" s="33">
        <f ca="1">_xll.DBRW($C$1,$C$2,$C$3,$C$4,$C$6,$C$5,$C$7,AY$1,AY$2,$A152)</f>
        <v>-6.9388939039072284E-18</v>
      </c>
    </row>
    <row r="153" spans="1:51" ht="15.75" hidden="1" customHeight="1" outlineLevel="2">
      <c r="A153" s="1" t="s">
        <v>244</v>
      </c>
      <c r="C153" s="104"/>
      <c r="E153" s="9" t="str">
        <f ca="1">_xll.DBRW(Server&amp;"}ElementAttributes_Indicator",A153,"code_English")</f>
        <v>PL1150_DS_11 - Impairment (other than working capital) and provisions - related to staff costs - Reversal (DS)</v>
      </c>
      <c r="F153" s="33">
        <f ca="1">_xll.DBRW($C$1,$C$2,$C$3,$C$4,$C$6,$C$5,$C$7,F$1,F$2,$A153)</f>
        <v>1.1679848299999998</v>
      </c>
      <c r="G153" s="33">
        <f ca="1">_xll.DBRW($C$1,$C$2,$C$3,$C$4,$C$6,$C$5,$C$7,G$1,G$2,$A153)</f>
        <v>1.2514544499999998</v>
      </c>
      <c r="H153" s="33">
        <f ca="1">_xll.DBRW($C$1,$C$2,$C$3,$C$4,$C$6,$C$5,$C$7,H$1,H$2,$A153)</f>
        <v>1.03977717</v>
      </c>
      <c r="I153" s="33">
        <f ca="1">_xll.DBRW($C$1,$C$2,$C$3,$C$4,$C$6,$C$5,$C$7,I$1,I$2,$A153)</f>
        <v>0.93441062999999991</v>
      </c>
      <c r="J153" s="33">
        <f ca="1">_xll.DBRW($C$1,$C$2,$C$3,$C$4,$C$6,$C$5,$C$7,J$1,J$2,$A153)</f>
        <v>0.90963821999999994</v>
      </c>
      <c r="K153" s="33">
        <f ca="1">_xll.DBRW($C$1,$C$2,$C$3,$C$4,$C$6,$C$5,$C$7,K$1,K$2,$A153)</f>
        <v>1.2384914799999995</v>
      </c>
      <c r="L153" s="33">
        <f ca="1">_xll.DBRW($C$1,$C$2,$C$3,$C$4,$C$6,$C$5,$C$7,L$1,L$2,$A153)</f>
        <v>0.38642175999999995</v>
      </c>
      <c r="M153" s="33">
        <f ca="1">_xll.DBRW($C$1,$C$2,$C$3,$C$4,$C$6,$C$5,$C$7,M$1,M$2,$A153)</f>
        <v>2.2765799999999998E-3</v>
      </c>
      <c r="N153" s="33">
        <f ca="1">_xll.DBRW($C$1,$C$2,$C$3,$C$4,$C$6,$C$5,$C$7,N$1,N$2,$A153)</f>
        <v>2.9929279999999999E-2</v>
      </c>
      <c r="O153" s="33">
        <f ca="1">_xll.DBRW($C$1,$C$2,$C$3,$C$4,$C$6,$C$5,$C$7,O$1,O$2,$A153)</f>
        <v>5.9000280000000002E-2</v>
      </c>
      <c r="P153" s="33">
        <f ca="1">_xll.DBRW($C$1,$C$2,$C$3,$C$4,$C$6,$C$5,$C$7,P$1,P$2,$A153)</f>
        <v>7.7229590000000001E-2</v>
      </c>
      <c r="Q153" s="33">
        <f ca="1">_xll.DBRW($C$1,$C$2,$C$3,$C$4,$C$6,$C$5,$C$7,Q$1,Q$2,$A153)</f>
        <v>8.4382169999999992E-2</v>
      </c>
      <c r="R153" s="33">
        <f ca="1">_xll.DBRW($C$1,$C$2,$C$3,$C$4,$C$6,$C$5,$C$7,R$1,R$2,$A153)</f>
        <v>0.22373276</v>
      </c>
      <c r="S153" s="33">
        <f ca="1">_xll.DBRW($C$1,$C$2,$C$3,$C$4,$C$6,$C$5,$C$7,S$1,S$2,$A153)</f>
        <v>0.22525726000000001</v>
      </c>
      <c r="T153" s="33">
        <f ca="1">_xll.DBRW($C$1,$C$2,$C$3,$C$4,$C$6,$C$5,$C$7,T$1,T$2,$A153)</f>
        <v>0.22085947000000003</v>
      </c>
      <c r="U153" s="33">
        <f ca="1">_xll.DBRW($C$1,$C$2,$C$3,$C$4,$C$6,$C$5,$C$7,U$1,U$2,$A153)</f>
        <v>0.24185141000000002</v>
      </c>
      <c r="V153" s="33">
        <f ca="1">_xll.DBRW($C$1,$C$2,$C$3,$C$4,$C$6,$C$5,$C$7,V$1,V$2,$A153)</f>
        <v>0.23842384000000003</v>
      </c>
      <c r="W153" s="33">
        <f ca="1">_xll.DBRW($C$1,$C$2,$C$3,$C$4,$C$6,$C$5,$C$7,W$1,W$2,$A153)</f>
        <v>0.91393712000000005</v>
      </c>
      <c r="X153" s="33">
        <f ca="1">_xll.DBRW($C$1,$C$2,$C$3,$C$4,$C$6,$C$5,$C$7,X$1,X$2,$A153)</f>
        <v>1.6528094100000001</v>
      </c>
      <c r="Y153" s="33">
        <f ca="1">_xll.DBRW($C$1,$C$2,$C$3,$C$4,$C$6,$C$5,$C$7,Y$1,Y$2,$A153)</f>
        <v>1.6528094100000001</v>
      </c>
      <c r="Z153" s="33">
        <f ca="1">_xll.DBRW($C$1,$C$2,$C$3,$C$4,$C$6,$C$5,$C$7,Z$1,Z$2,$A153)</f>
        <v>-1.1741666666667007E-4</v>
      </c>
      <c r="AA153" s="33">
        <f ca="1">_xll.DBRW($C$1,$C$2,$C$3,$C$4,$C$6,$C$5,$C$7,AA$1,AA$2,$A153)</f>
        <v>1.1771666666666697E-3</v>
      </c>
      <c r="AB153" s="33">
        <f ca="1">_xll.DBRW($C$1,$C$2,$C$3,$C$4,$C$6,$C$5,$C$7,AB$1,AB$2,$A153)</f>
        <v>1.7657499999999995E-3</v>
      </c>
      <c r="AC153" s="33">
        <f ca="1">_xll.DBRW($C$1,$C$2,$C$3,$C$4,$C$6,$C$5,$C$7,AC$1,AC$2,$A153)</f>
        <v>2.3543333333333294E-3</v>
      </c>
      <c r="AD153" s="33">
        <f ca="1">_xll.DBRW($C$1,$C$2,$C$3,$C$4,$C$6,$C$5,$C$7,AD$1,AD$2,$A153)</f>
        <v>2.9429166666666996E-3</v>
      </c>
      <c r="AE153" s="33">
        <f ca="1">_xll.DBRW($C$1,$C$2,$C$3,$C$4,$C$6,$C$5,$C$7,AE$1,AE$2,$A153)</f>
        <v>3.5314999999999986E-3</v>
      </c>
      <c r="AF153" s="33">
        <f ca="1">_xll.DBRW($C$1,$C$2,$C$3,$C$4,$C$6,$C$5,$C$7,AF$1,AF$2,$A153)</f>
        <v>1.3400833333332978E-3</v>
      </c>
      <c r="AG153" s="33">
        <f ca="1">_xll.DBRW($C$1,$C$2,$C$3,$C$4,$C$6,$C$5,$C$7,AG$1,AG$2,$A153)</f>
        <v>1.5426666666666987E-3</v>
      </c>
      <c r="AH153" s="33">
        <f ca="1">_xll.DBRW($C$1,$C$2,$C$3,$C$4,$C$6,$C$5,$C$7,AH$1,AH$2,$A153)</f>
        <v>1.7452499999999977E-3</v>
      </c>
      <c r="AI153" s="33">
        <f ca="1">_xll.DBRW($C$1,$C$2,$C$3,$C$4,$C$6,$C$5,$C$7,AI$1,AI$2,$A153)</f>
        <v>1.9478333333332969E-3</v>
      </c>
      <c r="AJ153" s="33">
        <f ca="1">_xll.DBRW($C$1,$C$2,$C$3,$C$4,$C$6,$C$5,$C$7,AJ$1,AJ$2,$A153)</f>
        <v>2.150416666666698E-3</v>
      </c>
      <c r="AK153" s="33">
        <f ca="1">_xll.DBRW($C$1,$C$2,$C$3,$C$4,$C$6,$C$5,$C$7,AK$1,AK$2,$A153)</f>
        <v>6.0467559999999997E-2</v>
      </c>
      <c r="AL153" s="33">
        <f ca="1">_xll.DBRW($C$1,$C$2,$C$3,$C$4,$C$6,$C$5,$C$7,AL$1,AL$2,$A153)</f>
        <v>6.0467559999999997E-2</v>
      </c>
      <c r="AM153" s="33">
        <f ca="1">_xll.DBRW($C$1,$C$2,$C$3,$C$4,$C$6,$C$5,$C$7,AM$1,AM$2,$A153)</f>
        <v>0.12429116</v>
      </c>
      <c r="AN153" s="33">
        <f ca="1">_xll.DBRW($C$1,$C$2,$C$3,$C$4,$C$6,$C$5,$C$7,AN$1,AN$2,$A153)</f>
        <v>0.23995688999999998</v>
      </c>
      <c r="AO153" s="33">
        <f ca="1">_xll.DBRW($C$1,$C$2,$C$3,$C$4,$C$6,$C$5,$C$7,AO$1,AO$2,$A153)</f>
        <v>-2.7755575615628914E-17</v>
      </c>
      <c r="AP153" s="33">
        <f ca="1">_xll.DBRW($C$1,$C$2,$C$3,$C$4,$C$6,$C$5,$C$7,AP$1,AP$2,$A153)</f>
        <v>-2.7755575615628914E-17</v>
      </c>
      <c r="AQ153" s="33">
        <f ca="1">_xll.DBRW($C$1,$C$2,$C$3,$C$4,$C$6,$C$5,$C$7,AQ$1,AQ$2,$A153)</f>
        <v>-2.7755575615628914E-17</v>
      </c>
      <c r="AR153" s="33">
        <f ca="1">_xll.DBRW($C$1,$C$2,$C$3,$C$4,$C$6,$C$5,$C$7,AR$1,AR$2,$A153)</f>
        <v>-2.7755575615628914E-17</v>
      </c>
      <c r="AS153" s="33">
        <f ca="1">_xll.DBRW($C$1,$C$2,$C$3,$C$4,$C$6,$C$5,$C$7,AS$1,AS$2,$A153)</f>
        <v>-2.7755575615628914E-17</v>
      </c>
      <c r="AT153" s="33">
        <f ca="1">_xll.DBRW($C$1,$C$2,$C$3,$C$4,$C$6,$C$5,$C$7,AT$1,AT$2,$A153)</f>
        <v>-2.7755575615628914E-17</v>
      </c>
      <c r="AU153" s="33">
        <f ca="1">_xll.DBRW($C$1,$C$2,$C$3,$C$4,$C$6,$C$5,$C$7,AU$1,AU$2,$A153)</f>
        <v>-2.7755575615628914E-17</v>
      </c>
      <c r="AV153" s="33">
        <f ca="1">_xll.DBRW($C$1,$C$2,$C$3,$C$4,$C$6,$C$5,$C$7,AV$1,AV$2,$A153)</f>
        <v>-2.7755575615628914E-17</v>
      </c>
      <c r="AW153" s="33">
        <f ca="1">_xll.DBRW($C$1,$C$2,$C$3,$C$4,$C$6,$C$5,$C$7,AW$1,AW$2,$A153)</f>
        <v>-2.7755575615628914E-17</v>
      </c>
      <c r="AX153" s="33">
        <f ca="1">_xll.DBRW($C$1,$C$2,$C$3,$C$4,$C$6,$C$5,$C$7,AX$1,AX$2,$A153)</f>
        <v>-2.7755575615628914E-17</v>
      </c>
      <c r="AY153" s="33">
        <f ca="1">_xll.DBRW($C$1,$C$2,$C$3,$C$4,$C$6,$C$5,$C$7,AY$1,AY$2,$A153)</f>
        <v>-2.7755575615628914E-17</v>
      </c>
    </row>
    <row r="154" spans="1:51" ht="15.75" hidden="1" customHeight="1" outlineLevel="2">
      <c r="A154" s="1" t="s">
        <v>245</v>
      </c>
      <c r="C154" s="104"/>
      <c r="E154" s="9" t="str">
        <f ca="1">_xll.DBRW(Server&amp;"}ElementAttributes_Indicator",A154,"code_English")</f>
        <v>PL1150_DS_90 - Impairment (other than working capital) and provisions - others (DS)</v>
      </c>
      <c r="F154" s="33">
        <f ca="1">_xll.DBRW($C$1,$C$2,$C$3,$C$4,$C$6,$C$5,$C$7,F$1,F$2,$A154)</f>
        <v>3.5813327099999994</v>
      </c>
      <c r="G154" s="33">
        <f ca="1">_xll.DBRW($C$1,$C$2,$C$3,$C$4,$C$6,$C$5,$C$7,G$1,G$2,$A154)</f>
        <v>6.3695148000000019</v>
      </c>
      <c r="H154" s="33">
        <f ca="1">_xll.DBRW($C$1,$C$2,$C$3,$C$4,$C$6,$C$5,$C$7,H$1,H$2,$A154)</f>
        <v>3.7433255099999996</v>
      </c>
      <c r="I154" s="33">
        <f ca="1">_xll.DBRW($C$1,$C$2,$C$3,$C$4,$C$6,$C$5,$C$7,I$1,I$2,$A154)</f>
        <v>2.1066671899999987</v>
      </c>
      <c r="J154" s="33">
        <f ca="1">_xll.DBRW($C$1,$C$2,$C$3,$C$4,$C$6,$C$5,$C$7,J$1,J$2,$A154)</f>
        <v>-19.840581969999995</v>
      </c>
      <c r="K154" s="33">
        <f ca="1">_xll.DBRW($C$1,$C$2,$C$3,$C$4,$C$6,$C$5,$C$7,K$1,K$2,$A154)</f>
        <v>-13.395665470000012</v>
      </c>
      <c r="L154" s="33">
        <f ca="1">_xll.DBRW($C$1,$C$2,$C$3,$C$4,$C$6,$C$5,$C$7,L$1,L$2,$A154)</f>
        <v>15.426126436696666</v>
      </c>
      <c r="M154" s="33">
        <f ca="1">_xll.DBRW($C$1,$C$2,$C$3,$C$4,$C$6,$C$5,$C$7,M$1,M$2,$A154)</f>
        <v>0.8246762700000001</v>
      </c>
      <c r="N154" s="33">
        <f ca="1">_xll.DBRW($C$1,$C$2,$C$3,$C$4,$C$6,$C$5,$C$7,N$1,N$2,$A154)</f>
        <v>1.0775920800000001</v>
      </c>
      <c r="O154" s="33">
        <f ca="1">_xll.DBRW($C$1,$C$2,$C$3,$C$4,$C$6,$C$5,$C$7,O$1,O$2,$A154)</f>
        <v>2.31171858</v>
      </c>
      <c r="P154" s="33">
        <f ca="1">_xll.DBRW($C$1,$C$2,$C$3,$C$4,$C$6,$C$5,$C$7,P$1,P$2,$A154)</f>
        <v>2.7814733800000004</v>
      </c>
      <c r="Q154" s="33">
        <f ca="1">_xll.DBRW($C$1,$C$2,$C$3,$C$4,$C$6,$C$5,$C$7,Q$1,Q$2,$A154)</f>
        <v>3.7315343100000002</v>
      </c>
      <c r="R154" s="33">
        <f ca="1">_xll.DBRW($C$1,$C$2,$C$3,$C$4,$C$6,$C$5,$C$7,R$1,R$2,$A154)</f>
        <v>8.8500127999999982</v>
      </c>
      <c r="S154" s="33">
        <f ca="1">_xll.DBRW($C$1,$C$2,$C$3,$C$4,$C$6,$C$5,$C$7,S$1,S$2,$A154)</f>
        <v>9.0896372999999997</v>
      </c>
      <c r="T154" s="33">
        <f ca="1">_xll.DBRW($C$1,$C$2,$C$3,$C$4,$C$6,$C$5,$C$7,T$1,T$2,$A154)</f>
        <v>8.8866840800000002</v>
      </c>
      <c r="U154" s="33">
        <f ca="1">_xll.DBRW($C$1,$C$2,$C$3,$C$4,$C$6,$C$5,$C$7,U$1,U$2,$A154)</f>
        <v>9.5679530499999998</v>
      </c>
      <c r="V154" s="33">
        <f ca="1">_xll.DBRW($C$1,$C$2,$C$3,$C$4,$C$6,$C$5,$C$7,V$1,V$2,$A154)</f>
        <v>10.805441949999999</v>
      </c>
      <c r="W154" s="33">
        <f ca="1">_xll.DBRW($C$1,$C$2,$C$3,$C$4,$C$6,$C$5,$C$7,W$1,W$2,$A154)</f>
        <v>9.5274673700000001</v>
      </c>
      <c r="X154" s="33">
        <f ca="1">_xll.DBRW($C$1,$C$2,$C$3,$C$4,$C$6,$C$5,$C$7,X$1,X$2,$A154)</f>
        <v>11.81665872</v>
      </c>
      <c r="Y154" s="33">
        <f ca="1">_xll.DBRW($C$1,$C$2,$C$3,$C$4,$C$6,$C$5,$C$7,Y$1,Y$2,$A154)</f>
        <v>11.81665872</v>
      </c>
      <c r="Z154" s="33">
        <f ca="1">_xll.DBRW($C$1,$C$2,$C$3,$C$4,$C$6,$C$5,$C$7,Z$1,Z$2,$A154)</f>
        <v>1.3583268427324517</v>
      </c>
      <c r="AA154" s="33">
        <f ca="1">_xll.DBRW($C$1,$C$2,$C$3,$C$4,$C$6,$C$5,$C$7,AA$1,AA$2,$A154)</f>
        <v>1.6052680354649036</v>
      </c>
      <c r="AB154" s="33">
        <f ca="1">_xll.DBRW($C$1,$C$2,$C$3,$C$4,$C$6,$C$5,$C$7,AB$1,AB$2,$A154)</f>
        <v>1.8502585081973555</v>
      </c>
      <c r="AC154" s="33">
        <f ca="1">_xll.DBRW($C$1,$C$2,$C$3,$C$4,$C$6,$C$5,$C$7,AC$1,AC$2,$A154)</f>
        <v>2.0934811809298073</v>
      </c>
      <c r="AD154" s="33">
        <f ca="1">_xll.DBRW($C$1,$C$2,$C$3,$C$4,$C$6,$C$5,$C$7,AD$1,AD$2,$A154)</f>
        <v>2.3359099836622592</v>
      </c>
      <c r="AE154" s="33">
        <f ca="1">_xll.DBRW($C$1,$C$2,$C$3,$C$4,$C$6,$C$5,$C$7,AE$1,AE$2,$A154)</f>
        <v>2.5758547663947109</v>
      </c>
      <c r="AF154" s="33">
        <f ca="1">_xll.DBRW($C$1,$C$2,$C$3,$C$4,$C$6,$C$5,$C$7,AF$1,AF$2,$A154)</f>
        <v>4.4387601937426595</v>
      </c>
      <c r="AG154" s="33">
        <f ca="1">_xll.DBRW($C$1,$C$2,$C$3,$C$4,$C$6,$C$5,$C$7,AG$1,AG$2,$A154)</f>
        <v>4.5042656264751102</v>
      </c>
      <c r="AH154" s="33">
        <f ca="1">_xll.DBRW($C$1,$C$2,$C$3,$C$4,$C$6,$C$5,$C$7,AH$1,AH$2,$A154)</f>
        <v>4.7299722092075625</v>
      </c>
      <c r="AI154" s="33">
        <f ca="1">_xll.DBRW($C$1,$C$2,$C$3,$C$4,$C$6,$C$5,$C$7,AI$1,AI$2,$A154)</f>
        <v>4.9502024619400142</v>
      </c>
      <c r="AJ154" s="33">
        <f ca="1">_xll.DBRW($C$1,$C$2,$C$3,$C$4,$C$6,$C$5,$C$7,AJ$1,AJ$2,$A154)</f>
        <v>5.174392154672466</v>
      </c>
      <c r="AK154" s="33">
        <f ca="1">_xll.DBRW($C$1,$C$2,$C$3,$C$4,$C$6,$C$5,$C$7,AK$1,AK$2,$A154)</f>
        <v>5.3238199674049174</v>
      </c>
      <c r="AL154" s="33">
        <f ca="1">_xll.DBRW($C$1,$C$2,$C$3,$C$4,$C$6,$C$5,$C$7,AL$1,AL$2,$A154)</f>
        <v>5.3238199674049174</v>
      </c>
      <c r="AM154" s="33">
        <f ca="1">_xll.DBRW($C$1,$C$2,$C$3,$C$4,$C$6,$C$5,$C$7,AM$1,AM$2,$A154)</f>
        <v>0.36424973999999999</v>
      </c>
      <c r="AN154" s="33">
        <f ca="1">_xll.DBRW($C$1,$C$2,$C$3,$C$4,$C$6,$C$5,$C$7,AN$1,AN$2,$A154)</f>
        <v>1.6571086199999998</v>
      </c>
      <c r="AO154" s="33">
        <f ca="1">_xll.DBRW($C$1,$C$2,$C$3,$C$4,$C$6,$C$5,$C$7,AO$1,AO$2,$A154)</f>
        <v>0</v>
      </c>
      <c r="AP154" s="33">
        <f ca="1">_xll.DBRW($C$1,$C$2,$C$3,$C$4,$C$6,$C$5,$C$7,AP$1,AP$2,$A154)</f>
        <v>0</v>
      </c>
      <c r="AQ154" s="33">
        <f ca="1">_xll.DBRW($C$1,$C$2,$C$3,$C$4,$C$6,$C$5,$C$7,AQ$1,AQ$2,$A154)</f>
        <v>0</v>
      </c>
      <c r="AR154" s="33">
        <f ca="1">_xll.DBRW($C$1,$C$2,$C$3,$C$4,$C$6,$C$5,$C$7,AR$1,AR$2,$A154)</f>
        <v>0</v>
      </c>
      <c r="AS154" s="33">
        <f ca="1">_xll.DBRW($C$1,$C$2,$C$3,$C$4,$C$6,$C$5,$C$7,AS$1,AS$2,$A154)</f>
        <v>0</v>
      </c>
      <c r="AT154" s="33">
        <f ca="1">_xll.DBRW($C$1,$C$2,$C$3,$C$4,$C$6,$C$5,$C$7,AT$1,AT$2,$A154)</f>
        <v>0</v>
      </c>
      <c r="AU154" s="33">
        <f ca="1">_xll.DBRW($C$1,$C$2,$C$3,$C$4,$C$6,$C$5,$C$7,AU$1,AU$2,$A154)</f>
        <v>0</v>
      </c>
      <c r="AV154" s="33">
        <f ca="1">_xll.DBRW($C$1,$C$2,$C$3,$C$4,$C$6,$C$5,$C$7,AV$1,AV$2,$A154)</f>
        <v>0</v>
      </c>
      <c r="AW154" s="33">
        <f ca="1">_xll.DBRW($C$1,$C$2,$C$3,$C$4,$C$6,$C$5,$C$7,AW$1,AW$2,$A154)</f>
        <v>0</v>
      </c>
      <c r="AX154" s="33">
        <f ca="1">_xll.DBRW($C$1,$C$2,$C$3,$C$4,$C$6,$C$5,$C$7,AX$1,AX$2,$A154)</f>
        <v>0</v>
      </c>
      <c r="AY154" s="33">
        <f ca="1">_xll.DBRW($C$1,$C$2,$C$3,$C$4,$C$6,$C$5,$C$7,AY$1,AY$2,$A154)</f>
        <v>0</v>
      </c>
    </row>
    <row r="155" spans="1:51" ht="15.5" hidden="1" outlineLevel="1" collapsed="1">
      <c r="A155" s="1" t="s">
        <v>142</v>
      </c>
      <c r="C155" s="104"/>
      <c r="E155" s="15" t="s">
        <v>40</v>
      </c>
      <c r="F155" s="34">
        <f t="shared" ref="F155:L155" ca="1" si="99">SUM(F142:F154)</f>
        <v>-638.34416362706895</v>
      </c>
      <c r="G155" s="34">
        <f t="shared" ca="1" si="99"/>
        <v>-640.31610883020176</v>
      </c>
      <c r="H155" s="34">
        <f t="shared" ca="1" si="99"/>
        <v>-625.69350904997737</v>
      </c>
      <c r="I155" s="34">
        <f t="shared" ca="1" si="99"/>
        <v>-613.36464216777756</v>
      </c>
      <c r="J155" s="34">
        <f t="shared" ca="1" si="99"/>
        <v>-434.10507508670185</v>
      </c>
      <c r="K155" s="34">
        <f t="shared" ca="1" si="99"/>
        <v>-657.44127009744011</v>
      </c>
      <c r="L155" s="34">
        <f t="shared" ca="1" si="99"/>
        <v>-634.69431791859529</v>
      </c>
      <c r="M155" s="34">
        <f t="shared" ref="M155:X155" ca="1" si="100">SUM(M142:M154)</f>
        <v>-28.478842829059158</v>
      </c>
      <c r="N155" s="34">
        <f t="shared" ca="1" si="100"/>
        <v>-106.55471557616661</v>
      </c>
      <c r="O155" s="34">
        <f t="shared" ca="1" si="100"/>
        <v>-160.29853137033376</v>
      </c>
      <c r="P155" s="34">
        <f t="shared" ca="1" si="100"/>
        <v>-210.79600650239868</v>
      </c>
      <c r="Q155" s="34">
        <f t="shared" ca="1" si="100"/>
        <v>-271.59984257394211</v>
      </c>
      <c r="R155" s="34">
        <f t="shared" ca="1" si="100"/>
        <v>-325.29861849015913</v>
      </c>
      <c r="S155" s="34">
        <f t="shared" ca="1" si="100"/>
        <v>-226.56730506632718</v>
      </c>
      <c r="T155" s="34">
        <f t="shared" ca="1" si="100"/>
        <v>-434.10666831884743</v>
      </c>
      <c r="U155" s="34">
        <f t="shared" ca="1" si="100"/>
        <v>-492.2090902226754</v>
      </c>
      <c r="V155" s="34">
        <f t="shared" ca="1" si="100"/>
        <v>-336.25875833238211</v>
      </c>
      <c r="W155" s="34">
        <f t="shared" ca="1" si="100"/>
        <v>-563.01303041898757</v>
      </c>
      <c r="X155" s="34">
        <f t="shared" ca="1" si="100"/>
        <v>-677.54720572001122</v>
      </c>
      <c r="Y155" s="34">
        <f ca="1">SUM(Y142:Y154)</f>
        <v>-677.54720572001122</v>
      </c>
      <c r="Z155" s="34">
        <f t="shared" ref="Z155:AK155" ca="1" si="101">SUM(Z142:Z154)</f>
        <v>-56.372338015854304</v>
      </c>
      <c r="AA155" s="34">
        <f t="shared" ca="1" si="101"/>
        <v>-122.28704198279083</v>
      </c>
      <c r="AB155" s="34">
        <f t="shared" ca="1" si="101"/>
        <v>-186.5110217636813</v>
      </c>
      <c r="AC155" s="34">
        <f t="shared" ca="1" si="101"/>
        <v>-247.95530353995676</v>
      </c>
      <c r="AD155" s="34">
        <f t="shared" ca="1" si="101"/>
        <v>-311.23967938265702</v>
      </c>
      <c r="AE155" s="34">
        <f t="shared" ca="1" si="101"/>
        <v>-375.00983915685077</v>
      </c>
      <c r="AF155" s="34">
        <f t="shared" ca="1" si="101"/>
        <v>-433.55468266487878</v>
      </c>
      <c r="AG155" s="34">
        <f t="shared" ca="1" si="101"/>
        <v>-492.08913296562588</v>
      </c>
      <c r="AH155" s="34">
        <f t="shared" ca="1" si="101"/>
        <v>-551.12671164358903</v>
      </c>
      <c r="AI155" s="34">
        <f t="shared" ca="1" si="101"/>
        <v>-611.84033539608947</v>
      </c>
      <c r="AJ155" s="34">
        <f t="shared" ca="1" si="101"/>
        <v>-673.01198856146664</v>
      </c>
      <c r="AK155" s="34">
        <f t="shared" ca="1" si="101"/>
        <v>-730.46310246751648</v>
      </c>
      <c r="AL155" s="34">
        <f ca="1">SUM(AL142:AL154)</f>
        <v>-730.46310246751648</v>
      </c>
      <c r="AM155" s="34">
        <f t="shared" ref="AM155:AX155" ca="1" si="102">SUM(AM142:AM154)</f>
        <v>-43.904460481356601</v>
      </c>
      <c r="AN155" s="34">
        <f t="shared" ca="1" si="102"/>
        <v>-123.21351321355448</v>
      </c>
      <c r="AO155" s="34">
        <f t="shared" ca="1" si="102"/>
        <v>5.5684623578855508E-14</v>
      </c>
      <c r="AP155" s="34">
        <f t="shared" ca="1" si="102"/>
        <v>5.5684623578855508E-14</v>
      </c>
      <c r="AQ155" s="34">
        <f t="shared" ca="1" si="102"/>
        <v>5.5684623578855508E-14</v>
      </c>
      <c r="AR155" s="34">
        <f t="shared" ca="1" si="102"/>
        <v>5.5684623578855508E-14</v>
      </c>
      <c r="AS155" s="34">
        <f t="shared" ca="1" si="102"/>
        <v>5.5684623578855508E-14</v>
      </c>
      <c r="AT155" s="34">
        <f t="shared" ca="1" si="102"/>
        <v>5.5684623578855508E-14</v>
      </c>
      <c r="AU155" s="34">
        <f t="shared" ca="1" si="102"/>
        <v>5.5684623578855508E-14</v>
      </c>
      <c r="AV155" s="34">
        <f t="shared" ca="1" si="102"/>
        <v>5.5684623578855508E-14</v>
      </c>
      <c r="AW155" s="34">
        <f t="shared" ca="1" si="102"/>
        <v>5.5684623578855508E-14</v>
      </c>
      <c r="AX155" s="34">
        <f t="shared" ca="1" si="102"/>
        <v>5.5684623578855508E-14</v>
      </c>
      <c r="AY155" s="34">
        <f ca="1">SUM(AY142:AY154)</f>
        <v>5.5684623578855508E-14</v>
      </c>
    </row>
    <row r="156" spans="1:51" ht="15.75" hidden="1" customHeight="1" outlineLevel="2">
      <c r="A156" s="1" t="s">
        <v>246</v>
      </c>
      <c r="C156" s="104"/>
      <c r="E156" s="9" t="str">
        <f ca="1">_xll.DBRW(Server&amp;"}ElementAttributes_Indicator",A156,"code_English")</f>
        <v>PL1116_IN - COS - Lease expenses (IN)</v>
      </c>
      <c r="F156" s="33">
        <f ca="1">_xll.DBRW($C$1,$C$2,$C$3,$C$4,$C$6,$C$5,$C$7,F$1,F$2,$A156)</f>
        <v>-51.869108200881868</v>
      </c>
      <c r="G156" s="33">
        <f ca="1">_xll.DBRW($C$1,$C$2,$C$3,$C$4,$C$6,$C$5,$C$7,G$1,G$2,$A156)</f>
        <v>-51.679965471817752</v>
      </c>
      <c r="H156" s="33">
        <f ca="1">_xll.DBRW($C$1,$C$2,$C$3,$C$4,$C$6,$C$5,$C$7,H$1,H$2,$A156)</f>
        <v>-57.436072868670081</v>
      </c>
      <c r="I156" s="33">
        <f ca="1">_xll.DBRW($C$1,$C$2,$C$3,$C$4,$C$6,$C$5,$C$7,I$1,I$2,$A156)</f>
        <v>-21.262992184346402</v>
      </c>
      <c r="J156" s="33">
        <f ca="1">_xll.DBRW($C$1,$C$2,$C$3,$C$4,$C$6,$C$5,$C$7,J$1,J$2,$A156)</f>
        <v>-22.907462352375759</v>
      </c>
      <c r="K156" s="33">
        <f ca="1">_xll.DBRW($C$1,$C$2,$C$3,$C$4,$C$6,$C$5,$C$7,K$1,K$2,$A156)</f>
        <v>-12.629778678826682</v>
      </c>
      <c r="L156" s="33">
        <f ca="1">_xll.DBRW($C$1,$C$2,$C$3,$C$4,$C$6,$C$5,$C$7,L$1,L$2,$A156)</f>
        <v>-12.046187733530466</v>
      </c>
      <c r="M156" s="33">
        <f ca="1">_xll.DBRW($C$1,$C$2,$C$3,$C$4,$C$6,$C$5,$C$7,M$1,M$2,$A156)</f>
        <v>-0.83802699954425564</v>
      </c>
      <c r="N156" s="33">
        <f ca="1">_xll.DBRW($C$1,$C$2,$C$3,$C$4,$C$6,$C$5,$C$7,N$1,N$2,$A156)</f>
        <v>-2.0995721245143346</v>
      </c>
      <c r="O156" s="33">
        <f ca="1">_xll.DBRW($C$1,$C$2,$C$3,$C$4,$C$6,$C$5,$C$7,O$1,O$2,$A156)</f>
        <v>-3.360721861896327</v>
      </c>
      <c r="P156" s="33">
        <f ca="1">_xll.DBRW($C$1,$C$2,$C$3,$C$4,$C$6,$C$5,$C$7,P$1,P$2,$A156)</f>
        <v>-3.0180205550911148</v>
      </c>
      <c r="Q156" s="33">
        <f ca="1">_xll.DBRW($C$1,$C$2,$C$3,$C$4,$C$6,$C$5,$C$7,Q$1,Q$2,$A156)</f>
        <v>-6.4231062079013448</v>
      </c>
      <c r="R156" s="33">
        <f ca="1">_xll.DBRW($C$1,$C$2,$C$3,$C$4,$C$6,$C$5,$C$7,R$1,R$2,$A156)</f>
        <v>-6.9561945001651981</v>
      </c>
      <c r="S156" s="33">
        <f ca="1">_xll.DBRW($C$1,$C$2,$C$3,$C$4,$C$6,$C$5,$C$7,S$1,S$2,$A156)</f>
        <v>-4.7217117397457171</v>
      </c>
      <c r="T156" s="33">
        <f ca="1">_xll.DBRW($C$1,$C$2,$C$3,$C$4,$C$6,$C$5,$C$7,T$1,T$2,$A156)</f>
        <v>-9.525181287491165</v>
      </c>
      <c r="U156" s="33">
        <f ca="1">_xll.DBRW($C$1,$C$2,$C$3,$C$4,$C$6,$C$5,$C$7,U$1,U$2,$A156)</f>
        <v>-10.727669562579621</v>
      </c>
      <c r="V156" s="33">
        <f ca="1">_xll.DBRW($C$1,$C$2,$C$3,$C$4,$C$6,$C$5,$C$7,V$1,V$2,$A156)</f>
        <v>-7.0505939205571417</v>
      </c>
      <c r="W156" s="33">
        <f ca="1">_xll.DBRW($C$1,$C$2,$C$3,$C$4,$C$6,$C$5,$C$7,W$1,W$2,$A156)</f>
        <v>-9.6063455982870174</v>
      </c>
      <c r="X156" s="33">
        <f ca="1">_xll.DBRW($C$1,$C$2,$C$3,$C$4,$C$6,$C$5,$C$7,X$1,X$2,$A156)</f>
        <v>-16.606216796196577</v>
      </c>
      <c r="Y156" s="33">
        <f ca="1">_xll.DBRW($C$1,$C$2,$C$3,$C$4,$C$6,$C$5,$C$7,Y$1,Y$2,$A156)</f>
        <v>-16.606216796196577</v>
      </c>
      <c r="Z156" s="33">
        <f ca="1">_xll.DBRW($C$1,$C$2,$C$3,$C$4,$C$6,$C$5,$C$7,Z$1,Z$2,$A156)</f>
        <v>-1.2330001922615192</v>
      </c>
      <c r="AA156" s="33">
        <f ca="1">_xll.DBRW($C$1,$C$2,$C$3,$C$4,$C$6,$C$5,$C$7,AA$1,AA$2,$A156)</f>
        <v>-3.8767081852090564</v>
      </c>
      <c r="AB156" s="33">
        <f ca="1">_xll.DBRW($C$1,$C$2,$C$3,$C$4,$C$6,$C$5,$C$7,AB$1,AB$2,$A156)</f>
        <v>-5.6666244733267375</v>
      </c>
      <c r="AC156" s="33">
        <f ca="1">_xll.DBRW($C$1,$C$2,$C$3,$C$4,$C$6,$C$5,$C$7,AC$1,AC$2,$A156)</f>
        <v>-7.6254088125362358</v>
      </c>
      <c r="AD156" s="33">
        <f ca="1">_xll.DBRW($C$1,$C$2,$C$3,$C$4,$C$6,$C$5,$C$7,AD$1,AD$2,$A156)</f>
        <v>-9.3559846453247424</v>
      </c>
      <c r="AE156" s="33">
        <f ca="1">_xll.DBRW($C$1,$C$2,$C$3,$C$4,$C$6,$C$5,$C$7,AE$1,AE$2,$A156)</f>
        <v>-11.093055421179885</v>
      </c>
      <c r="AF156" s="33">
        <f ca="1">_xll.DBRW($C$1,$C$2,$C$3,$C$4,$C$6,$C$5,$C$7,AF$1,AF$2,$A156)</f>
        <v>-13.333058114066649</v>
      </c>
      <c r="AG156" s="33">
        <f ca="1">_xll.DBRW($C$1,$C$2,$C$3,$C$4,$C$6,$C$5,$C$7,AG$1,AG$2,$A156)</f>
        <v>-15.022490909450759</v>
      </c>
      <c r="AH156" s="33">
        <f ca="1">_xll.DBRW($C$1,$C$2,$C$3,$C$4,$C$6,$C$5,$C$7,AH$1,AH$2,$A156)</f>
        <v>-16.693445499714681</v>
      </c>
      <c r="AI156" s="33">
        <f ca="1">_xll.DBRW($C$1,$C$2,$C$3,$C$4,$C$6,$C$5,$C$7,AI$1,AI$2,$A156)</f>
        <v>-18.448062815024336</v>
      </c>
      <c r="AJ156" s="33">
        <f ca="1">_xll.DBRW($C$1,$C$2,$C$3,$C$4,$C$6,$C$5,$C$7,AJ$1,AJ$2,$A156)</f>
        <v>-20.090144897906885</v>
      </c>
      <c r="AK156" s="33">
        <f ca="1">_xll.DBRW($C$1,$C$2,$C$3,$C$4,$C$6,$C$5,$C$7,AK$1,AK$2,$A156)</f>
        <v>-22.021840330302805</v>
      </c>
      <c r="AL156" s="33">
        <f ca="1">_xll.DBRW($C$1,$C$2,$C$3,$C$4,$C$6,$C$5,$C$7,AL$1,AL$2,$A156)</f>
        <v>-22.021840330302805</v>
      </c>
      <c r="AM156" s="33">
        <f ca="1">_xll.DBRW($C$1,$C$2,$C$3,$C$4,$C$6,$C$5,$C$7,AM$1,AM$2,$A156)</f>
        <v>-2.3796354346394444</v>
      </c>
      <c r="AN156" s="33">
        <f ca="1">_xll.DBRW($C$1,$C$2,$C$3,$C$4,$C$6,$C$5,$C$7,AN$1,AN$2,$A156)</f>
        <v>-3.2043995894027066</v>
      </c>
      <c r="AO156" s="33">
        <f ca="1">_xll.DBRW($C$1,$C$2,$C$3,$C$4,$C$6,$C$5,$C$7,AO$1,AO$2,$A156)</f>
        <v>-3.1086244689504383E-15</v>
      </c>
      <c r="AP156" s="33">
        <f ca="1">_xll.DBRW($C$1,$C$2,$C$3,$C$4,$C$6,$C$5,$C$7,AP$1,AP$2,$A156)</f>
        <v>-3.1086244689504383E-15</v>
      </c>
      <c r="AQ156" s="33">
        <f ca="1">_xll.DBRW($C$1,$C$2,$C$3,$C$4,$C$6,$C$5,$C$7,AQ$1,AQ$2,$A156)</f>
        <v>-3.1086244689504383E-15</v>
      </c>
      <c r="AR156" s="33">
        <f ca="1">_xll.DBRW($C$1,$C$2,$C$3,$C$4,$C$6,$C$5,$C$7,AR$1,AR$2,$A156)</f>
        <v>-3.1086244689504383E-15</v>
      </c>
      <c r="AS156" s="33">
        <f ca="1">_xll.DBRW($C$1,$C$2,$C$3,$C$4,$C$6,$C$5,$C$7,AS$1,AS$2,$A156)</f>
        <v>-3.1086244689504383E-15</v>
      </c>
      <c r="AT156" s="33">
        <f ca="1">_xll.DBRW($C$1,$C$2,$C$3,$C$4,$C$6,$C$5,$C$7,AT$1,AT$2,$A156)</f>
        <v>-3.1086244689504383E-15</v>
      </c>
      <c r="AU156" s="33">
        <f ca="1">_xll.DBRW($C$1,$C$2,$C$3,$C$4,$C$6,$C$5,$C$7,AU$1,AU$2,$A156)</f>
        <v>-3.1086244689504383E-15</v>
      </c>
      <c r="AV156" s="33">
        <f ca="1">_xll.DBRW($C$1,$C$2,$C$3,$C$4,$C$6,$C$5,$C$7,AV$1,AV$2,$A156)</f>
        <v>-3.1086244689504383E-15</v>
      </c>
      <c r="AW156" s="33">
        <f ca="1">_xll.DBRW($C$1,$C$2,$C$3,$C$4,$C$6,$C$5,$C$7,AW$1,AW$2,$A156)</f>
        <v>-3.1086244689504383E-15</v>
      </c>
      <c r="AX156" s="33">
        <f ca="1">_xll.DBRW($C$1,$C$2,$C$3,$C$4,$C$6,$C$5,$C$7,AX$1,AX$2,$A156)</f>
        <v>-3.1086244689504383E-15</v>
      </c>
      <c r="AY156" s="33">
        <f ca="1">_xll.DBRW($C$1,$C$2,$C$3,$C$4,$C$6,$C$5,$C$7,AY$1,AY$2,$A156)</f>
        <v>-3.1086244689504383E-15</v>
      </c>
    </row>
    <row r="157" spans="1:51" ht="15.75" hidden="1" customHeight="1" outlineLevel="2">
      <c r="A157" s="1" t="s">
        <v>247</v>
      </c>
      <c r="C157" s="104"/>
      <c r="E157" s="9" t="str">
        <f ca="1">_xll.DBRW(Server&amp;"}ElementAttributes_Indicator",A157,"code_English")</f>
        <v>PL1155_IN_99 - Reinvoicing - Others (IN)</v>
      </c>
      <c r="F157" s="33">
        <f ca="1">_xll.DBRW($C$1,$C$2,$C$3,$C$4,$C$6,$C$5,$C$7,F$1,F$2,$A157)</f>
        <v>0.15481083000000001</v>
      </c>
      <c r="G157" s="33">
        <f ca="1">_xll.DBRW($C$1,$C$2,$C$3,$C$4,$C$6,$C$5,$C$7,G$1,G$2,$A157)</f>
        <v>7.7818770000000009E-2</v>
      </c>
      <c r="H157" s="33">
        <f ca="1">_xll.DBRW($C$1,$C$2,$C$3,$C$4,$C$6,$C$5,$C$7,H$1,H$2,$A157)</f>
        <v>0.24646425554000001</v>
      </c>
      <c r="I157" s="33">
        <f ca="1">_xll.DBRW($C$1,$C$2,$C$3,$C$4,$C$6,$C$5,$C$7,I$1,I$2,$A157)</f>
        <v>0.3931254932599999</v>
      </c>
      <c r="J157" s="33">
        <f ca="1">_xll.DBRW($C$1,$C$2,$C$3,$C$4,$C$6,$C$5,$C$7,J$1,J$2,$A157)</f>
        <v>2.4709168807799995</v>
      </c>
      <c r="K157" s="33">
        <f ca="1">_xll.DBRW($C$1,$C$2,$C$3,$C$4,$C$6,$C$5,$C$7,K$1,K$2,$A157)</f>
        <v>2.0411155222000006</v>
      </c>
      <c r="L157" s="33">
        <f ca="1">_xll.DBRW($C$1,$C$2,$C$3,$C$4,$C$6,$C$5,$C$7,L$1,L$2,$A157)</f>
        <v>2.8412570099999996</v>
      </c>
      <c r="M157" s="33">
        <f ca="1">_xll.DBRW($C$1,$C$2,$C$3,$C$4,$C$6,$C$5,$C$7,M$1,M$2,$A157)</f>
        <v>2.6931933019999996E-2</v>
      </c>
      <c r="N157" s="33">
        <f ca="1">_xll.DBRW($C$1,$C$2,$C$3,$C$4,$C$6,$C$5,$C$7,N$1,N$2,$A157)</f>
        <v>0.89723180759999999</v>
      </c>
      <c r="O157" s="33">
        <f ca="1">_xll.DBRW($C$1,$C$2,$C$3,$C$4,$C$6,$C$5,$C$7,O$1,O$2,$A157)</f>
        <v>1.3139595876000001</v>
      </c>
      <c r="P157" s="33">
        <f ca="1">_xll.DBRW($C$1,$C$2,$C$3,$C$4,$C$6,$C$5,$C$7,P$1,P$2,$A157)</f>
        <v>1.5949914568000003</v>
      </c>
      <c r="Q157" s="33">
        <f ca="1">_xll.DBRW($C$1,$C$2,$C$3,$C$4,$C$6,$C$5,$C$7,Q$1,Q$2,$A157)</f>
        <v>1.8713983968000001</v>
      </c>
      <c r="R157" s="33">
        <f ca="1">_xll.DBRW($C$1,$C$2,$C$3,$C$4,$C$6,$C$5,$C$7,R$1,R$2,$A157)</f>
        <v>2.1746264209800001</v>
      </c>
      <c r="S157" s="33">
        <f ca="1">_xll.DBRW($C$1,$C$2,$C$3,$C$4,$C$6,$C$5,$C$7,S$1,S$2,$A157)</f>
        <v>0.2011570380000004</v>
      </c>
      <c r="T157" s="33">
        <f ca="1">_xll.DBRW($C$1,$C$2,$C$3,$C$4,$C$6,$C$5,$C$7,T$1,T$2,$A157)</f>
        <v>2.7933061499999998</v>
      </c>
      <c r="U157" s="33">
        <f ca="1">_xll.DBRW($C$1,$C$2,$C$3,$C$4,$C$6,$C$5,$C$7,U$1,U$2,$A157)</f>
        <v>2.9945759099999996</v>
      </c>
      <c r="V157" s="33">
        <f ca="1">_xll.DBRW($C$1,$C$2,$C$3,$C$4,$C$6,$C$5,$C$7,V$1,V$2,$A157)</f>
        <v>0.28108489999999942</v>
      </c>
      <c r="W157" s="33">
        <f ca="1">_xll.DBRW($C$1,$C$2,$C$3,$C$4,$C$6,$C$5,$C$7,W$1,W$2,$A157)</f>
        <v>3.3069956599999988</v>
      </c>
      <c r="X157" s="33">
        <f ca="1">_xll.DBRW($C$1,$C$2,$C$3,$C$4,$C$6,$C$5,$C$7,X$1,X$2,$A157)</f>
        <v>3.9359460699999986</v>
      </c>
      <c r="Y157" s="33">
        <f ca="1">_xll.DBRW($C$1,$C$2,$C$3,$C$4,$C$6,$C$5,$C$7,Y$1,Y$2,$A157)</f>
        <v>3.9359460699999986</v>
      </c>
      <c r="Z157" s="33">
        <f ca="1">_xll.DBRW($C$1,$C$2,$C$3,$C$4,$C$6,$C$5,$C$7,Z$1,Z$2,$A157)</f>
        <v>0.27960700000000005</v>
      </c>
      <c r="AA157" s="33">
        <f ca="1">_xll.DBRW($C$1,$C$2,$C$3,$C$4,$C$6,$C$5,$C$7,AA$1,AA$2,$A157)</f>
        <v>0.5592140000000001</v>
      </c>
      <c r="AB157" s="33">
        <f ca="1">_xll.DBRW($C$1,$C$2,$C$3,$C$4,$C$6,$C$5,$C$7,AB$1,AB$2,$A157)</f>
        <v>0.83882100000000004</v>
      </c>
      <c r="AC157" s="33">
        <f ca="1">_xll.DBRW($C$1,$C$2,$C$3,$C$4,$C$6,$C$5,$C$7,AC$1,AC$2,$A157)</f>
        <v>1.1184280000000002</v>
      </c>
      <c r="AD157" s="33">
        <f ca="1">_xll.DBRW($C$1,$C$2,$C$3,$C$4,$C$6,$C$5,$C$7,AD$1,AD$2,$A157)</f>
        <v>1.3980350000000001</v>
      </c>
      <c r="AE157" s="33">
        <f ca="1">_xll.DBRW($C$1,$C$2,$C$3,$C$4,$C$6,$C$5,$C$7,AE$1,AE$2,$A157)</f>
        <v>1.6791420000000001</v>
      </c>
      <c r="AF157" s="33">
        <f ca="1">_xll.DBRW($C$1,$C$2,$C$3,$C$4,$C$6,$C$5,$C$7,AF$1,AF$2,$A157)</f>
        <v>1.9602490000000001</v>
      </c>
      <c r="AG157" s="33">
        <f ca="1">_xll.DBRW($C$1,$C$2,$C$3,$C$4,$C$6,$C$5,$C$7,AG$1,AG$2,$A157)</f>
        <v>2.2413560000000001</v>
      </c>
      <c r="AH157" s="33">
        <f ca="1">_xll.DBRW($C$1,$C$2,$C$3,$C$4,$C$6,$C$5,$C$7,AH$1,AH$2,$A157)</f>
        <v>2.5223853288</v>
      </c>
      <c r="AI157" s="33">
        <f ca="1">_xll.DBRW($C$1,$C$2,$C$3,$C$4,$C$6,$C$5,$C$7,AI$1,AI$2,$A157)</f>
        <v>2.8034304727000001</v>
      </c>
      <c r="AJ157" s="33">
        <f ca="1">_xll.DBRW($C$1,$C$2,$C$3,$C$4,$C$6,$C$5,$C$7,AJ$1,AJ$2,$A157)</f>
        <v>3.0844846181000003</v>
      </c>
      <c r="AK157" s="33">
        <f ca="1">_xll.DBRW($C$1,$C$2,$C$3,$C$4,$C$6,$C$5,$C$7,AK$1,AK$2,$A157)</f>
        <v>3.3654792261000002</v>
      </c>
      <c r="AL157" s="33">
        <f ca="1">_xll.DBRW($C$1,$C$2,$C$3,$C$4,$C$6,$C$5,$C$7,AL$1,AL$2,$A157)</f>
        <v>3.3654792261000002</v>
      </c>
      <c r="AM157" s="33">
        <f ca="1">_xll.DBRW($C$1,$C$2,$C$3,$C$4,$C$6,$C$5,$C$7,AM$1,AM$2,$A157)</f>
        <v>0</v>
      </c>
      <c r="AN157" s="33">
        <f ca="1">_xll.DBRW($C$1,$C$2,$C$3,$C$4,$C$6,$C$5,$C$7,AN$1,AN$2,$A157)</f>
        <v>0.54559837999999994</v>
      </c>
      <c r="AO157" s="33">
        <f ca="1">_xll.DBRW($C$1,$C$2,$C$3,$C$4,$C$6,$C$5,$C$7,AO$1,AO$2,$A157)</f>
        <v>0</v>
      </c>
      <c r="AP157" s="33">
        <f ca="1">_xll.DBRW($C$1,$C$2,$C$3,$C$4,$C$6,$C$5,$C$7,AP$1,AP$2,$A157)</f>
        <v>0</v>
      </c>
      <c r="AQ157" s="33">
        <f ca="1">_xll.DBRW($C$1,$C$2,$C$3,$C$4,$C$6,$C$5,$C$7,AQ$1,AQ$2,$A157)</f>
        <v>0</v>
      </c>
      <c r="AR157" s="33">
        <f ca="1">_xll.DBRW($C$1,$C$2,$C$3,$C$4,$C$6,$C$5,$C$7,AR$1,AR$2,$A157)</f>
        <v>0</v>
      </c>
      <c r="AS157" s="33">
        <f ca="1">_xll.DBRW($C$1,$C$2,$C$3,$C$4,$C$6,$C$5,$C$7,AS$1,AS$2,$A157)</f>
        <v>0</v>
      </c>
      <c r="AT157" s="33">
        <f ca="1">_xll.DBRW($C$1,$C$2,$C$3,$C$4,$C$6,$C$5,$C$7,AT$1,AT$2,$A157)</f>
        <v>0</v>
      </c>
      <c r="AU157" s="33">
        <f ca="1">_xll.DBRW($C$1,$C$2,$C$3,$C$4,$C$6,$C$5,$C$7,AU$1,AU$2,$A157)</f>
        <v>0</v>
      </c>
      <c r="AV157" s="33">
        <f ca="1">_xll.DBRW($C$1,$C$2,$C$3,$C$4,$C$6,$C$5,$C$7,AV$1,AV$2,$A157)</f>
        <v>0</v>
      </c>
      <c r="AW157" s="33">
        <f ca="1">_xll.DBRW($C$1,$C$2,$C$3,$C$4,$C$6,$C$5,$C$7,AW$1,AW$2,$A157)</f>
        <v>0</v>
      </c>
      <c r="AX157" s="33">
        <f ca="1">_xll.DBRW($C$1,$C$2,$C$3,$C$4,$C$6,$C$5,$C$7,AX$1,AX$2,$A157)</f>
        <v>0</v>
      </c>
      <c r="AY157" s="33">
        <f ca="1">_xll.DBRW($C$1,$C$2,$C$3,$C$4,$C$6,$C$5,$C$7,AY$1,AY$2,$A157)</f>
        <v>0</v>
      </c>
    </row>
    <row r="158" spans="1:51" ht="15.75" hidden="1" customHeight="1" outlineLevel="2">
      <c r="A158" s="1" t="s">
        <v>248</v>
      </c>
      <c r="C158" s="104"/>
      <c r="E158" s="9" t="str">
        <f ca="1">_xll.DBRW(Server&amp;"}ElementAttributes_Indicator",A158,"code_English")</f>
        <v>PL1115_IN_60 - Access fees</v>
      </c>
      <c r="F158" s="33">
        <f ca="1">_xll.DBRW($C$1,$C$2,$C$3,$C$4,$C$6,$C$5,$C$7,F$1,F$2,$A158)</f>
        <v>-39.215576376793862</v>
      </c>
      <c r="G158" s="33">
        <f ca="1">_xll.DBRW($C$1,$C$2,$C$3,$C$4,$C$6,$C$5,$C$7,G$1,G$2,$A158)</f>
        <v>-28.51457049591637</v>
      </c>
      <c r="H158" s="33">
        <f ca="1">_xll.DBRW($C$1,$C$2,$C$3,$C$4,$C$6,$C$5,$C$7,H$1,H$2,$A158)</f>
        <v>-280.25748003802505</v>
      </c>
      <c r="I158" s="33">
        <f ca="1">_xll.DBRW($C$1,$C$2,$C$3,$C$4,$C$6,$C$5,$C$7,I$1,I$2,$A158)</f>
        <v>-0.13653575723112987</v>
      </c>
      <c r="J158" s="33">
        <f ca="1">_xll.DBRW($C$1,$C$2,$C$3,$C$4,$C$6,$C$5,$C$7,J$1,J$2,$A158)</f>
        <v>-283.26830013472619</v>
      </c>
      <c r="K158" s="33">
        <f ca="1">_xll.DBRW($C$1,$C$2,$C$3,$C$4,$C$6,$C$5,$C$7,K$1,K$2,$A158)</f>
        <v>-262.32753263919699</v>
      </c>
      <c r="L158" s="33">
        <f ca="1">_xll.DBRW($C$1,$C$2,$C$3,$C$4,$C$6,$C$5,$C$7,L$1,L$2,$A158)</f>
        <v>-234.90836422425281</v>
      </c>
      <c r="M158" s="33">
        <f ca="1">_xll.DBRW($C$1,$C$2,$C$3,$C$4,$C$6,$C$5,$C$7,M$1,M$2,$A158)</f>
        <v>-0.12088435644147411</v>
      </c>
      <c r="N158" s="33">
        <f ca="1">_xll.DBRW($C$1,$C$2,$C$3,$C$4,$C$6,$C$5,$C$7,N$1,N$2,$A158)</f>
        <v>-39.446200114860758</v>
      </c>
      <c r="O158" s="33">
        <f ca="1">_xll.DBRW($C$1,$C$2,$C$3,$C$4,$C$6,$C$5,$C$7,O$1,O$2,$A158)</f>
        <v>-62.553675785146567</v>
      </c>
      <c r="P158" s="33">
        <f ca="1">_xll.DBRW($C$1,$C$2,$C$3,$C$4,$C$6,$C$5,$C$7,P$1,P$2,$A158)</f>
        <v>-83.549881792937072</v>
      </c>
      <c r="Q158" s="33">
        <f ca="1">_xll.DBRW($C$1,$C$2,$C$3,$C$4,$C$6,$C$5,$C$7,Q$1,Q$2,$A158)</f>
        <v>-104.21882191174483</v>
      </c>
      <c r="R158" s="33">
        <f ca="1">_xll.DBRW($C$1,$C$2,$C$3,$C$4,$C$6,$C$5,$C$7,R$1,R$2,$A158)</f>
        <v>-127.69676465572654</v>
      </c>
      <c r="S158" s="33">
        <f ca="1">_xll.DBRW($C$1,$C$2,$C$3,$C$4,$C$6,$C$5,$C$7,S$1,S$2,$A158)</f>
        <v>-0.97752799236013743</v>
      </c>
      <c r="T158" s="33">
        <f ca="1">_xll.DBRW($C$1,$C$2,$C$3,$C$4,$C$6,$C$5,$C$7,T$1,T$2,$A158)</f>
        <v>-173.63366798406167</v>
      </c>
      <c r="U158" s="33">
        <f ca="1">_xll.DBRW($C$1,$C$2,$C$3,$C$4,$C$6,$C$5,$C$7,U$1,U$2,$A158)</f>
        <v>-197.9632549235956</v>
      </c>
      <c r="V158" s="33">
        <f ca="1">_xll.DBRW($C$1,$C$2,$C$3,$C$4,$C$6,$C$5,$C$7,V$1,V$2,$A158)</f>
        <v>-1.387046467456031</v>
      </c>
      <c r="W158" s="33">
        <f ca="1">_xll.DBRW($C$1,$C$2,$C$3,$C$4,$C$6,$C$5,$C$7,W$1,W$2,$A158)</f>
        <v>-245.40159883572488</v>
      </c>
      <c r="X158" s="33">
        <f ca="1">_xll.DBRW($C$1,$C$2,$C$3,$C$4,$C$6,$C$5,$C$7,X$1,X$2,$A158)</f>
        <v>-264.5144868912725</v>
      </c>
      <c r="Y158" s="33">
        <f ca="1">_xll.DBRW($C$1,$C$2,$C$3,$C$4,$C$6,$C$5,$C$7,Y$1,Y$2,$A158)</f>
        <v>-264.5144868912725</v>
      </c>
      <c r="Z158" s="33">
        <f ca="1">_xll.DBRW($C$1,$C$2,$C$3,$C$4,$C$6,$C$5,$C$7,Z$1,Z$2,$A158)</f>
        <v>-24.234354823730129</v>
      </c>
      <c r="AA158" s="33">
        <f ca="1">_xll.DBRW($C$1,$C$2,$C$3,$C$4,$C$6,$C$5,$C$7,AA$1,AA$2,$A158)</f>
        <v>-46.540881863338029</v>
      </c>
      <c r="AB158" s="33">
        <f ca="1">_xll.DBRW($C$1,$C$2,$C$3,$C$4,$C$6,$C$5,$C$7,AB$1,AB$2,$A158)</f>
        <v>-70.883959146103834</v>
      </c>
      <c r="AC158" s="33">
        <f ca="1">_xll.DBRW($C$1,$C$2,$C$3,$C$4,$C$6,$C$5,$C$7,AC$1,AC$2,$A158)</f>
        <v>-94.447641635097114</v>
      </c>
      <c r="AD158" s="33">
        <f ca="1">_xll.DBRW($C$1,$C$2,$C$3,$C$4,$C$6,$C$5,$C$7,AD$1,AD$2,$A158)</f>
        <v>-118.72072340259976</v>
      </c>
      <c r="AE158" s="33">
        <f ca="1">_xll.DBRW($C$1,$C$2,$C$3,$C$4,$C$6,$C$5,$C$7,AE$1,AE$2,$A158)</f>
        <v>-142.29332497062873</v>
      </c>
      <c r="AF158" s="33">
        <f ca="1">_xll.DBRW($C$1,$C$2,$C$3,$C$4,$C$6,$C$5,$C$7,AF$1,AF$2,$A158)</f>
        <v>-166.40404473172725</v>
      </c>
      <c r="AG158" s="33">
        <f ca="1">_xll.DBRW($C$1,$C$2,$C$3,$C$4,$C$6,$C$5,$C$7,AG$1,AG$2,$A158)</f>
        <v>-190.68497059975624</v>
      </c>
      <c r="AH158" s="33">
        <f ca="1">_xll.DBRW($C$1,$C$2,$C$3,$C$4,$C$6,$C$5,$C$7,AH$1,AH$2,$A158)</f>
        <v>-214.32065516094312</v>
      </c>
      <c r="AI158" s="33">
        <f ca="1">_xll.DBRW($C$1,$C$2,$C$3,$C$4,$C$6,$C$5,$C$7,AI$1,AI$2,$A158)</f>
        <v>-238.51837688467322</v>
      </c>
      <c r="AJ158" s="33">
        <f ca="1">_xll.DBRW($C$1,$C$2,$C$3,$C$4,$C$6,$C$5,$C$7,AJ$1,AJ$2,$A158)</f>
        <v>-262.06126023428112</v>
      </c>
      <c r="AK158" s="33">
        <f ca="1">_xll.DBRW($C$1,$C$2,$C$3,$C$4,$C$6,$C$5,$C$7,AK$1,AK$2,$A158)</f>
        <v>-287.33311205336275</v>
      </c>
      <c r="AL158" s="33">
        <f ca="1">_xll.DBRW($C$1,$C$2,$C$3,$C$4,$C$6,$C$5,$C$7,AL$1,AL$2,$A158)</f>
        <v>-287.33311205336275</v>
      </c>
      <c r="AM158" s="33">
        <f ca="1">_xll.DBRW($C$1,$C$2,$C$3,$C$4,$C$6,$C$5,$C$7,AM$1,AM$2,$A158)</f>
        <v>-0.19924170681032982</v>
      </c>
      <c r="AN158" s="33">
        <f ca="1">_xll.DBRW($C$1,$C$2,$C$3,$C$4,$C$6,$C$5,$C$7,AN$1,AN$2,$A158)</f>
        <v>-46.06269729006911</v>
      </c>
      <c r="AO158" s="33">
        <f ca="1">_xll.DBRW($C$1,$C$2,$C$3,$C$4,$C$6,$C$5,$C$7,AO$1,AO$2,$A158)</f>
        <v>1.4210854715202004E-14</v>
      </c>
      <c r="AP158" s="33">
        <f ca="1">_xll.DBRW($C$1,$C$2,$C$3,$C$4,$C$6,$C$5,$C$7,AP$1,AP$2,$A158)</f>
        <v>1.4210854715202004E-14</v>
      </c>
      <c r="AQ158" s="33">
        <f ca="1">_xll.DBRW($C$1,$C$2,$C$3,$C$4,$C$6,$C$5,$C$7,AQ$1,AQ$2,$A158)</f>
        <v>1.4210854715202004E-14</v>
      </c>
      <c r="AR158" s="33">
        <f ca="1">_xll.DBRW($C$1,$C$2,$C$3,$C$4,$C$6,$C$5,$C$7,AR$1,AR$2,$A158)</f>
        <v>1.4210854715202004E-14</v>
      </c>
      <c r="AS158" s="33">
        <f ca="1">_xll.DBRW($C$1,$C$2,$C$3,$C$4,$C$6,$C$5,$C$7,AS$1,AS$2,$A158)</f>
        <v>1.4210854715202004E-14</v>
      </c>
      <c r="AT158" s="33">
        <f ca="1">_xll.DBRW($C$1,$C$2,$C$3,$C$4,$C$6,$C$5,$C$7,AT$1,AT$2,$A158)</f>
        <v>1.4210854715202004E-14</v>
      </c>
      <c r="AU158" s="33">
        <f ca="1">_xll.DBRW($C$1,$C$2,$C$3,$C$4,$C$6,$C$5,$C$7,AU$1,AU$2,$A158)</f>
        <v>1.4210854715202004E-14</v>
      </c>
      <c r="AV158" s="33">
        <f ca="1">_xll.DBRW($C$1,$C$2,$C$3,$C$4,$C$6,$C$5,$C$7,AV$1,AV$2,$A158)</f>
        <v>1.4210854715202004E-14</v>
      </c>
      <c r="AW158" s="33">
        <f ca="1">_xll.DBRW($C$1,$C$2,$C$3,$C$4,$C$6,$C$5,$C$7,AW$1,AW$2,$A158)</f>
        <v>1.4210854715202004E-14</v>
      </c>
      <c r="AX158" s="33">
        <f ca="1">_xll.DBRW($C$1,$C$2,$C$3,$C$4,$C$6,$C$5,$C$7,AX$1,AX$2,$A158)</f>
        <v>1.4210854715202004E-14</v>
      </c>
      <c r="AY158" s="33">
        <f ca="1">_xll.DBRW($C$1,$C$2,$C$3,$C$4,$C$6,$C$5,$C$7,AY$1,AY$2,$A158)</f>
        <v>1.4210854715202004E-14</v>
      </c>
    </row>
    <row r="159" spans="1:51" ht="15.75" hidden="1" customHeight="1" outlineLevel="2">
      <c r="A159" s="1" t="s">
        <v>249</v>
      </c>
      <c r="C159" s="104"/>
      <c r="E159" s="9" t="str">
        <f ca="1">_xll.DBRW(Server&amp;"}ElementAttributes_Indicator",A159,"code_English")</f>
        <v>PL1115_IN_65 - Others (IN)</v>
      </c>
      <c r="F159" s="33">
        <f ca="1">_xll.DBRW($C$1,$C$2,$C$3,$C$4,$C$6,$C$5,$C$7,F$1,F$2,$A159)</f>
        <v>-44.318295291832456</v>
      </c>
      <c r="G159" s="33">
        <f ca="1">_xll.DBRW($C$1,$C$2,$C$3,$C$4,$C$6,$C$5,$C$7,G$1,G$2,$A159)</f>
        <v>-51.7157359286253</v>
      </c>
      <c r="H159" s="33">
        <f ca="1">_xll.DBRW($C$1,$C$2,$C$3,$C$4,$C$6,$C$5,$C$7,H$1,H$2,$A159)</f>
        <v>-51.194394606418001</v>
      </c>
      <c r="I159" s="33">
        <f ca="1">_xll.DBRW($C$1,$C$2,$C$3,$C$4,$C$6,$C$5,$C$7,I$1,I$2,$A159)</f>
        <v>-50.548305051156703</v>
      </c>
      <c r="J159" s="33">
        <f ca="1">_xll.DBRW($C$1,$C$2,$C$3,$C$4,$C$6,$C$5,$C$7,J$1,J$2,$A159)</f>
        <v>-52.146926219718658</v>
      </c>
      <c r="K159" s="33">
        <f ca="1">_xll.DBRW($C$1,$C$2,$C$3,$C$4,$C$6,$C$5,$C$7,K$1,K$2,$A159)</f>
        <v>-60.506140867664314</v>
      </c>
      <c r="L159" s="33">
        <f ca="1">_xll.DBRW($C$1,$C$2,$C$3,$C$4,$C$6,$C$5,$C$7,L$1,L$2,$A159)</f>
        <v>-56.702263942595664</v>
      </c>
      <c r="M159" s="33">
        <f ca="1">_xll.DBRW($C$1,$C$2,$C$3,$C$4,$C$6,$C$5,$C$7,M$1,M$2,$A159)</f>
        <v>-2.056301816169769</v>
      </c>
      <c r="N159" s="33">
        <f ca="1">_xll.DBRW($C$1,$C$2,$C$3,$C$4,$C$6,$C$5,$C$7,N$1,N$2,$A159)</f>
        <v>-11.49675337581092</v>
      </c>
      <c r="O159" s="33">
        <f ca="1">_xll.DBRW($C$1,$C$2,$C$3,$C$4,$C$6,$C$5,$C$7,O$1,O$2,$A159)</f>
        <v>-17.757835071056906</v>
      </c>
      <c r="P159" s="33">
        <f ca="1">_xll.DBRW($C$1,$C$2,$C$3,$C$4,$C$6,$C$5,$C$7,P$1,P$2,$A159)</f>
        <v>-22.654025349081806</v>
      </c>
      <c r="Q159" s="33">
        <f ca="1">_xll.DBRW($C$1,$C$2,$C$3,$C$4,$C$6,$C$5,$C$7,Q$1,Q$2,$A159)</f>
        <v>-29.074521612836996</v>
      </c>
      <c r="R159" s="33">
        <f ca="1">_xll.DBRW($C$1,$C$2,$C$3,$C$4,$C$6,$C$5,$C$7,R$1,R$2,$A159)</f>
        <v>-35.704303367075191</v>
      </c>
      <c r="S159" s="33">
        <f ca="1">_xll.DBRW($C$1,$C$2,$C$3,$C$4,$C$6,$C$5,$C$7,S$1,S$2,$A159)</f>
        <v>-26.982985717865844</v>
      </c>
      <c r="T159" s="33">
        <f ca="1">_xll.DBRW($C$1,$C$2,$C$3,$C$4,$C$6,$C$5,$C$7,T$1,T$2,$A159)</f>
        <v>-47.357429175370896</v>
      </c>
      <c r="U159" s="33">
        <f ca="1">_xll.DBRW($C$1,$C$2,$C$3,$C$4,$C$6,$C$5,$C$7,U$1,U$2,$A159)</f>
        <v>-53.122928598203217</v>
      </c>
      <c r="V159" s="33">
        <f ca="1">_xll.DBRW($C$1,$C$2,$C$3,$C$4,$C$6,$C$5,$C$7,V$1,V$2,$A159)</f>
        <v>-37.950432560648984</v>
      </c>
      <c r="W159" s="33">
        <f ca="1">_xll.DBRW($C$1,$C$2,$C$3,$C$4,$C$6,$C$5,$C$7,W$1,W$2,$A159)</f>
        <v>-59.925506992299702</v>
      </c>
      <c r="X159" s="33">
        <f ca="1">_xll.DBRW($C$1,$C$2,$C$3,$C$4,$C$6,$C$5,$C$7,X$1,X$2,$A159)</f>
        <v>-71.74332078390465</v>
      </c>
      <c r="Y159" s="33">
        <f ca="1">_xll.DBRW($C$1,$C$2,$C$3,$C$4,$C$6,$C$5,$C$7,Y$1,Y$2,$A159)</f>
        <v>-71.74332078390465</v>
      </c>
      <c r="Z159" s="33">
        <f ca="1">_xll.DBRW($C$1,$C$2,$C$3,$C$4,$C$6,$C$5,$C$7,Z$1,Z$2,$A159)</f>
        <v>-5.5655885944973349</v>
      </c>
      <c r="AA159" s="33">
        <f ca="1">_xll.DBRW($C$1,$C$2,$C$3,$C$4,$C$6,$C$5,$C$7,AA$1,AA$2,$A159)</f>
        <v>-12.300072725134299</v>
      </c>
      <c r="AB159" s="33">
        <f ca="1">_xll.DBRW($C$1,$C$2,$C$3,$C$4,$C$6,$C$5,$C$7,AB$1,AB$2,$A159)</f>
        <v>-18.44989322792226</v>
      </c>
      <c r="AC159" s="33">
        <f ca="1">_xll.DBRW($C$1,$C$2,$C$3,$C$4,$C$6,$C$5,$C$7,AC$1,AC$2,$A159)</f>
        <v>-24.403544058431006</v>
      </c>
      <c r="AD159" s="33">
        <f ca="1">_xll.DBRW($C$1,$C$2,$C$3,$C$4,$C$6,$C$5,$C$7,AD$1,AD$2,$A159)</f>
        <v>-30.260186705027081</v>
      </c>
      <c r="AE159" s="33">
        <f ca="1">_xll.DBRW($C$1,$C$2,$C$3,$C$4,$C$6,$C$5,$C$7,AE$1,AE$2,$A159)</f>
        <v>-36.116949138058743</v>
      </c>
      <c r="AF159" s="33">
        <f ca="1">_xll.DBRW($C$1,$C$2,$C$3,$C$4,$C$6,$C$5,$C$7,AF$1,AF$2,$A159)</f>
        <v>-41.961927378975673</v>
      </c>
      <c r="AG159" s="33">
        <f ca="1">_xll.DBRW($C$1,$C$2,$C$3,$C$4,$C$6,$C$5,$C$7,AG$1,AG$2,$A159)</f>
        <v>-47.603814640168437</v>
      </c>
      <c r="AH159" s="33">
        <f ca="1">_xll.DBRW($C$1,$C$2,$C$3,$C$4,$C$6,$C$5,$C$7,AH$1,AH$2,$A159)</f>
        <v>-54.002773833772594</v>
      </c>
      <c r="AI159" s="33">
        <f ca="1">_xll.DBRW($C$1,$C$2,$C$3,$C$4,$C$6,$C$5,$C$7,AI$1,AI$2,$A159)</f>
        <v>-59.846991539969046</v>
      </c>
      <c r="AJ159" s="33">
        <f ca="1">_xll.DBRW($C$1,$C$2,$C$3,$C$4,$C$6,$C$5,$C$7,AJ$1,AJ$2,$A159)</f>
        <v>-65.824611043324197</v>
      </c>
      <c r="AK159" s="33">
        <f ca="1">_xll.DBRW($C$1,$C$2,$C$3,$C$4,$C$6,$C$5,$C$7,AK$1,AK$2,$A159)</f>
        <v>-72.362786024198641</v>
      </c>
      <c r="AL159" s="33">
        <f ca="1">_xll.DBRW($C$1,$C$2,$C$3,$C$4,$C$6,$C$5,$C$7,AL$1,AL$2,$A159)</f>
        <v>-72.362786024198641</v>
      </c>
      <c r="AM159" s="33">
        <f ca="1">_xll.DBRW($C$1,$C$2,$C$3,$C$4,$C$6,$C$5,$C$7,AM$1,AM$2,$A159)</f>
        <v>-2.8954444150681695</v>
      </c>
      <c r="AN159" s="33">
        <f ca="1">_xll.DBRW($C$1,$C$2,$C$3,$C$4,$C$6,$C$5,$C$7,AN$1,AN$2,$A159)</f>
        <v>-13.690336108254158</v>
      </c>
      <c r="AO159" s="33">
        <f ca="1">_xll.DBRW($C$1,$C$2,$C$3,$C$4,$C$6,$C$5,$C$7,AO$1,AO$2,$A159)</f>
        <v>7.1054273576010019E-15</v>
      </c>
      <c r="AP159" s="33">
        <f ca="1">_xll.DBRW($C$1,$C$2,$C$3,$C$4,$C$6,$C$5,$C$7,AP$1,AP$2,$A159)</f>
        <v>7.1054273576010019E-15</v>
      </c>
      <c r="AQ159" s="33">
        <f ca="1">_xll.DBRW($C$1,$C$2,$C$3,$C$4,$C$6,$C$5,$C$7,AQ$1,AQ$2,$A159)</f>
        <v>7.1054273576010019E-15</v>
      </c>
      <c r="AR159" s="33">
        <f ca="1">_xll.DBRW($C$1,$C$2,$C$3,$C$4,$C$6,$C$5,$C$7,AR$1,AR$2,$A159)</f>
        <v>7.1054273576010019E-15</v>
      </c>
      <c r="AS159" s="33">
        <f ca="1">_xll.DBRW($C$1,$C$2,$C$3,$C$4,$C$6,$C$5,$C$7,AS$1,AS$2,$A159)</f>
        <v>7.1054273576010019E-15</v>
      </c>
      <c r="AT159" s="33">
        <f ca="1">_xll.DBRW($C$1,$C$2,$C$3,$C$4,$C$6,$C$5,$C$7,AT$1,AT$2,$A159)</f>
        <v>7.1054273576010019E-15</v>
      </c>
      <c r="AU159" s="33">
        <f ca="1">_xll.DBRW($C$1,$C$2,$C$3,$C$4,$C$6,$C$5,$C$7,AU$1,AU$2,$A159)</f>
        <v>7.1054273576010019E-15</v>
      </c>
      <c r="AV159" s="33">
        <f ca="1">_xll.DBRW($C$1,$C$2,$C$3,$C$4,$C$6,$C$5,$C$7,AV$1,AV$2,$A159)</f>
        <v>7.1054273576010019E-15</v>
      </c>
      <c r="AW159" s="33">
        <f ca="1">_xll.DBRW($C$1,$C$2,$C$3,$C$4,$C$6,$C$5,$C$7,AW$1,AW$2,$A159)</f>
        <v>7.1054273576010019E-15</v>
      </c>
      <c r="AX159" s="33">
        <f ca="1">_xll.DBRW($C$1,$C$2,$C$3,$C$4,$C$6,$C$5,$C$7,AX$1,AX$2,$A159)</f>
        <v>7.1054273576010019E-15</v>
      </c>
      <c r="AY159" s="33">
        <f ca="1">_xll.DBRW($C$1,$C$2,$C$3,$C$4,$C$6,$C$5,$C$7,AY$1,AY$2,$A159)</f>
        <v>7.1054273576010019E-15</v>
      </c>
    </row>
    <row r="160" spans="1:51" ht="15.75" hidden="1" customHeight="1" outlineLevel="2">
      <c r="A160" s="1" t="s">
        <v>250</v>
      </c>
      <c r="C160" s="104"/>
      <c r="E160" s="9" t="str">
        <f ca="1">_xll.DBRW(Server&amp;"}ElementAttributes_Indicator",A160,"code_English")</f>
        <v>PL1115_IN_55 - Operating lease (IN)</v>
      </c>
      <c r="F160" s="33">
        <f ca="1">_xll.DBRW($C$1,$C$2,$C$3,$C$4,$C$6,$C$5,$C$7,F$1,F$2,$A160)</f>
        <v>-7.5464487798666209</v>
      </c>
      <c r="G160" s="33">
        <f ca="1">_xll.DBRW($C$1,$C$2,$C$3,$C$4,$C$6,$C$5,$C$7,G$1,G$2,$A160)</f>
        <v>-6.8800105867445485</v>
      </c>
      <c r="H160" s="33">
        <f ca="1">_xll.DBRW($C$1,$C$2,$C$3,$C$4,$C$6,$C$5,$C$7,H$1,H$2,$A160)</f>
        <v>-0.14333883739602182</v>
      </c>
      <c r="I160" s="33">
        <f ca="1">_xll.DBRW($C$1,$C$2,$C$3,$C$4,$C$6,$C$5,$C$7,I$1,I$2,$A160)</f>
        <v>-1.8508678807076361E-3</v>
      </c>
      <c r="J160" s="33">
        <f ca="1">_xll.DBRW($C$1,$C$2,$C$3,$C$4,$C$6,$C$5,$C$7,J$1,J$2,$A160)</f>
        <v>3.5633158160231763E-2</v>
      </c>
      <c r="K160" s="33">
        <f ca="1">_xll.DBRW($C$1,$C$2,$C$3,$C$4,$C$6,$C$5,$C$7,K$1,K$2,$A160)</f>
        <v>2.4144912892609671E-2</v>
      </c>
      <c r="L160" s="33">
        <f ca="1">_xll.DBRW($C$1,$C$2,$C$3,$C$4,$C$6,$C$5,$C$7,L$1,L$2,$A160)</f>
        <v>0.59289024649999988</v>
      </c>
      <c r="M160" s="33">
        <f ca="1">_xll.DBRW($C$1,$C$2,$C$3,$C$4,$C$6,$C$5,$C$7,M$1,M$2,$A160)</f>
        <v>6.6431189776182814E-3</v>
      </c>
      <c r="N160" s="33">
        <f ca="1">_xll.DBRW($C$1,$C$2,$C$3,$C$4,$C$6,$C$5,$C$7,N$1,N$2,$A160)</f>
        <v>-7.3733290241071031E-3</v>
      </c>
      <c r="O160" s="33">
        <f ca="1">_xll.DBRW($C$1,$C$2,$C$3,$C$4,$C$6,$C$5,$C$7,O$1,O$2,$A160)</f>
        <v>-2.3385773248369848E-2</v>
      </c>
      <c r="P160" s="33">
        <f ca="1">_xll.DBRW($C$1,$C$2,$C$3,$C$4,$C$6,$C$5,$C$7,P$1,P$2,$A160)</f>
        <v>-5.8626577974865174E-2</v>
      </c>
      <c r="Q160" s="33">
        <f ca="1">_xll.DBRW($C$1,$C$2,$C$3,$C$4,$C$6,$C$5,$C$7,Q$1,Q$2,$A160)</f>
        <v>-6.4275342262247306E-2</v>
      </c>
      <c r="R160" s="33">
        <f ca="1">_xll.DBRW($C$1,$C$2,$C$3,$C$4,$C$6,$C$5,$C$7,R$1,R$2,$A160)</f>
        <v>-6.8271471260573161E-2</v>
      </c>
      <c r="S160" s="33">
        <f ca="1">_xll.DBRW($C$1,$C$2,$C$3,$C$4,$C$6,$C$5,$C$7,S$1,S$2,$A160)</f>
        <v>-1.0307340726234612E-2</v>
      </c>
      <c r="T160" s="33">
        <f ca="1">_xll.DBRW($C$1,$C$2,$C$3,$C$4,$C$6,$C$5,$C$7,T$1,T$2,$A160)</f>
        <v>-7.9141178233890941E-2</v>
      </c>
      <c r="U160" s="33">
        <f ca="1">_xll.DBRW($C$1,$C$2,$C$3,$C$4,$C$6,$C$5,$C$7,U$1,U$2,$A160)</f>
        <v>-7.8685165035457375E-2</v>
      </c>
      <c r="V160" s="33">
        <f ca="1">_xll.DBRW($C$1,$C$2,$C$3,$C$4,$C$6,$C$5,$C$7,V$1,V$2,$A160)</f>
        <v>-7.5041202050531733E-2</v>
      </c>
      <c r="W160" s="33">
        <f ca="1">_xll.DBRW($C$1,$C$2,$C$3,$C$4,$C$6,$C$5,$C$7,W$1,W$2,$A160)</f>
        <v>-7.1465837576486141E-2</v>
      </c>
      <c r="X160" s="33">
        <f ca="1">_xll.DBRW($C$1,$C$2,$C$3,$C$4,$C$6,$C$5,$C$7,X$1,X$2,$A160)</f>
        <v>-1.3795785072944766E-2</v>
      </c>
      <c r="Y160" s="33">
        <f ca="1">_xll.DBRW($C$1,$C$2,$C$3,$C$4,$C$6,$C$5,$C$7,Y$1,Y$2,$A160)</f>
        <v>-1.3795785072944766E-2</v>
      </c>
      <c r="Z160" s="33">
        <f ca="1">_xll.DBRW($C$1,$C$2,$C$3,$C$4,$C$6,$C$5,$C$7,Z$1,Z$2,$A160)</f>
        <v>-1.6327069805825239E-3</v>
      </c>
      <c r="AA160" s="33">
        <f ca="1">_xll.DBRW($C$1,$C$2,$C$3,$C$4,$C$6,$C$5,$C$7,AA$1,AA$2,$A160)</f>
        <v>-3.168326582524271E-3</v>
      </c>
      <c r="AB160" s="33">
        <f ca="1">_xll.DBRW($C$1,$C$2,$C$3,$C$4,$C$6,$C$5,$C$7,AB$1,AB$2,$A160)</f>
        <v>-4.8010335631067953E-3</v>
      </c>
      <c r="AC160" s="33">
        <f ca="1">_xll.DBRW($C$1,$C$2,$C$3,$C$4,$C$6,$C$5,$C$7,AC$1,AC$2,$A160)</f>
        <v>-6.3366531650485437E-3</v>
      </c>
      <c r="AD160" s="33">
        <f ca="1">_xll.DBRW($C$1,$C$2,$C$3,$C$4,$C$6,$C$5,$C$7,AD$1,AD$2,$A160)</f>
        <v>-7.969360145631068E-3</v>
      </c>
      <c r="AE160" s="33">
        <f ca="1">_xll.DBRW($C$1,$C$2,$C$3,$C$4,$C$6,$C$5,$C$7,AE$1,AE$2,$A160)</f>
        <v>-9.5049797475728129E-3</v>
      </c>
      <c r="AF160" s="33">
        <f ca="1">_xll.DBRW($C$1,$C$2,$C$3,$C$4,$C$6,$C$5,$C$7,AF$1,AF$2,$A160)</f>
        <v>-1.1137686728155341E-2</v>
      </c>
      <c r="AG160" s="33">
        <f ca="1">_xll.DBRW($C$1,$C$2,$C$3,$C$4,$C$6,$C$5,$C$7,AG$1,AG$2,$A160)</f>
        <v>-1.2673306330097086E-2</v>
      </c>
      <c r="AH160" s="33">
        <f ca="1">_xll.DBRW($C$1,$C$2,$C$3,$C$4,$C$6,$C$5,$C$7,AH$1,AH$2,$A160)</f>
        <v>-1.4306013310679608E-2</v>
      </c>
      <c r="AI160" s="33">
        <f ca="1">_xll.DBRW($C$1,$C$2,$C$3,$C$4,$C$6,$C$5,$C$7,AI$1,AI$2,$A160)</f>
        <v>-1.5841632912621358E-2</v>
      </c>
      <c r="AJ160" s="33">
        <f ca="1">_xll.DBRW($C$1,$C$2,$C$3,$C$4,$C$6,$C$5,$C$7,AJ$1,AJ$2,$A160)</f>
        <v>-1.7474339893203884E-2</v>
      </c>
      <c r="AK160" s="33">
        <f ca="1">_xll.DBRW($C$1,$C$2,$C$3,$C$4,$C$6,$C$5,$C$7,AK$1,AK$2,$A160)</f>
        <v>-1.9009959495145626E-2</v>
      </c>
      <c r="AL160" s="33">
        <f ca="1">_xll.DBRW($C$1,$C$2,$C$3,$C$4,$C$6,$C$5,$C$7,AL$1,AL$2,$A160)</f>
        <v>-1.9009959495145626E-2</v>
      </c>
      <c r="AM160" s="33">
        <f ca="1">_xll.DBRW($C$1,$C$2,$C$3,$C$4,$C$6,$C$5,$C$7,AM$1,AM$2,$A160)</f>
        <v>4.4259494616672376E-3</v>
      </c>
      <c r="AN160" s="33">
        <f ca="1">_xll.DBRW($C$1,$C$2,$C$3,$C$4,$C$6,$C$5,$C$7,AN$1,AN$2,$A160)</f>
        <v>8.1189677496611781E-3</v>
      </c>
      <c r="AO160" s="33">
        <f ca="1">_xll.DBRW($C$1,$C$2,$C$3,$C$4,$C$6,$C$5,$C$7,AO$1,AO$2,$A160)</f>
        <v>2.0816681711721685E-17</v>
      </c>
      <c r="AP160" s="33">
        <f ca="1">_xll.DBRW($C$1,$C$2,$C$3,$C$4,$C$6,$C$5,$C$7,AP$1,AP$2,$A160)</f>
        <v>2.0816681711721685E-17</v>
      </c>
      <c r="AQ160" s="33">
        <f ca="1">_xll.DBRW($C$1,$C$2,$C$3,$C$4,$C$6,$C$5,$C$7,AQ$1,AQ$2,$A160)</f>
        <v>2.0816681711721685E-17</v>
      </c>
      <c r="AR160" s="33">
        <f ca="1">_xll.DBRW($C$1,$C$2,$C$3,$C$4,$C$6,$C$5,$C$7,AR$1,AR$2,$A160)</f>
        <v>2.0816681711721685E-17</v>
      </c>
      <c r="AS160" s="33">
        <f ca="1">_xll.DBRW($C$1,$C$2,$C$3,$C$4,$C$6,$C$5,$C$7,AS$1,AS$2,$A160)</f>
        <v>2.0816681711721685E-17</v>
      </c>
      <c r="AT160" s="33">
        <f ca="1">_xll.DBRW($C$1,$C$2,$C$3,$C$4,$C$6,$C$5,$C$7,AT$1,AT$2,$A160)</f>
        <v>2.0816681711721685E-17</v>
      </c>
      <c r="AU160" s="33">
        <f ca="1">_xll.DBRW($C$1,$C$2,$C$3,$C$4,$C$6,$C$5,$C$7,AU$1,AU$2,$A160)</f>
        <v>2.0816681711721685E-17</v>
      </c>
      <c r="AV160" s="33">
        <f ca="1">_xll.DBRW($C$1,$C$2,$C$3,$C$4,$C$6,$C$5,$C$7,AV$1,AV$2,$A160)</f>
        <v>2.0816681711721685E-17</v>
      </c>
      <c r="AW160" s="33">
        <f ca="1">_xll.DBRW($C$1,$C$2,$C$3,$C$4,$C$6,$C$5,$C$7,AW$1,AW$2,$A160)</f>
        <v>2.0816681711721685E-17</v>
      </c>
      <c r="AX160" s="33">
        <f ca="1">_xll.DBRW($C$1,$C$2,$C$3,$C$4,$C$6,$C$5,$C$7,AX$1,AX$2,$A160)</f>
        <v>2.0816681711721685E-17</v>
      </c>
      <c r="AY160" s="33">
        <f ca="1">_xll.DBRW($C$1,$C$2,$C$3,$C$4,$C$6,$C$5,$C$7,AY$1,AY$2,$A160)</f>
        <v>2.0816681711721685E-17</v>
      </c>
    </row>
    <row r="161" spans="1:51" ht="15.75" hidden="1" customHeight="1" outlineLevel="2">
      <c r="A161" s="1" t="s">
        <v>251</v>
      </c>
      <c r="C161" s="104"/>
      <c r="E161" s="9" t="str">
        <f ca="1">_xll.DBRW(Server&amp;"}ElementAttributes_Indicator",A161,"code_English")</f>
        <v>PL1140_IN_05 - Amortization (IN)</v>
      </c>
      <c r="F161" s="33">
        <f ca="1">_xll.DBRW($C$1,$C$2,$C$3,$C$4,$C$6,$C$5,$C$7,F$1,F$2,$A161)</f>
        <v>-59.92147669548315</v>
      </c>
      <c r="G161" s="33">
        <f ca="1">_xll.DBRW($C$1,$C$2,$C$3,$C$4,$C$6,$C$5,$C$7,G$1,G$2,$A161)</f>
        <v>-49.15312501455093</v>
      </c>
      <c r="H161" s="33">
        <f ca="1">_xll.DBRW($C$1,$C$2,$C$3,$C$4,$C$6,$C$5,$C$7,H$1,H$2,$A161)</f>
        <v>-52.064822668877667</v>
      </c>
      <c r="I161" s="33">
        <f ca="1">_xll.DBRW($C$1,$C$2,$C$3,$C$4,$C$6,$C$5,$C$7,I$1,I$2,$A161)</f>
        <v>-64.320624704550028</v>
      </c>
      <c r="J161" s="33">
        <f ca="1">_xll.DBRW($C$1,$C$2,$C$3,$C$4,$C$6,$C$5,$C$7,J$1,J$2,$A161)</f>
        <v>-75.965415566083351</v>
      </c>
      <c r="K161" s="33">
        <f ca="1">_xll.DBRW($C$1,$C$2,$C$3,$C$4,$C$6,$C$5,$C$7,K$1,K$2,$A161)</f>
        <v>-73.56564346865224</v>
      </c>
      <c r="L161" s="33">
        <f ca="1">_xll.DBRW($C$1,$C$2,$C$3,$C$4,$C$6,$C$5,$C$7,L$1,L$2,$A161)</f>
        <v>-71.639725896236769</v>
      </c>
      <c r="M161" s="33">
        <f ca="1">_xll.DBRW($C$1,$C$2,$C$3,$C$4,$C$6,$C$5,$C$7,M$1,M$2,$A161)</f>
        <v>-4.3887385315224163</v>
      </c>
      <c r="N161" s="33">
        <f ca="1">_xll.DBRW($C$1,$C$2,$C$3,$C$4,$C$6,$C$5,$C$7,N$1,N$2,$A161)</f>
        <v>-11.056771484770554</v>
      </c>
      <c r="O161" s="33">
        <f ca="1">_xll.DBRW($C$1,$C$2,$C$3,$C$4,$C$6,$C$5,$C$7,O$1,O$2,$A161)</f>
        <v>-16.76211356090446</v>
      </c>
      <c r="P161" s="33">
        <f ca="1">_xll.DBRW($C$1,$C$2,$C$3,$C$4,$C$6,$C$5,$C$7,P$1,P$2,$A161)</f>
        <v>-22.341026086084614</v>
      </c>
      <c r="Q161" s="33">
        <f ca="1">_xll.DBRW($C$1,$C$2,$C$3,$C$4,$C$6,$C$5,$C$7,Q$1,Q$2,$A161)</f>
        <v>-27.63822533163378</v>
      </c>
      <c r="R161" s="33">
        <f ca="1">_xll.DBRW($C$1,$C$2,$C$3,$C$4,$C$6,$C$5,$C$7,R$1,R$2,$A161)</f>
        <v>-22.076173893670994</v>
      </c>
      <c r="S161" s="33">
        <f ca="1">_xll.DBRW($C$1,$C$2,$C$3,$C$4,$C$6,$C$5,$C$7,S$1,S$2,$A161)</f>
        <v>-31.116477462720685</v>
      </c>
      <c r="T161" s="33">
        <f ca="1">_xll.DBRW($C$1,$C$2,$C$3,$C$4,$C$6,$C$5,$C$7,T$1,T$2,$A161)</f>
        <v>-45.79677062754611</v>
      </c>
      <c r="U161" s="33">
        <f ca="1">_xll.DBRW($C$1,$C$2,$C$3,$C$4,$C$6,$C$5,$C$7,U$1,U$2,$A161)</f>
        <v>-51.642057352263294</v>
      </c>
      <c r="V161" s="33">
        <f ca="1">_xll.DBRW($C$1,$C$2,$C$3,$C$4,$C$6,$C$5,$C$7,V$1,V$2,$A161)</f>
        <v>-46.560893631603918</v>
      </c>
      <c r="W161" s="33">
        <f ca="1">_xll.DBRW($C$1,$C$2,$C$3,$C$4,$C$6,$C$5,$C$7,W$1,W$2,$A161)</f>
        <v>-62.494780254132621</v>
      </c>
      <c r="X161" s="33">
        <f ca="1">_xll.DBRW($C$1,$C$2,$C$3,$C$4,$C$6,$C$5,$C$7,X$1,X$2,$A161)</f>
        <v>-69.182107836040174</v>
      </c>
      <c r="Y161" s="33">
        <f ca="1">_xll.DBRW($C$1,$C$2,$C$3,$C$4,$C$6,$C$5,$C$7,Y$1,Y$2,$A161)</f>
        <v>-69.182107836040174</v>
      </c>
      <c r="Z161" s="33">
        <f ca="1">_xll.DBRW($C$1,$C$2,$C$3,$C$4,$C$6,$C$5,$C$7,Z$1,Z$2,$A161)</f>
        <v>-5.7549052823736195</v>
      </c>
      <c r="AA161" s="33">
        <f ca="1">_xll.DBRW($C$1,$C$2,$C$3,$C$4,$C$6,$C$5,$C$7,AA$1,AA$2,$A161)</f>
        <v>-11.606602086348616</v>
      </c>
      <c r="AB161" s="33">
        <f ca="1">_xll.DBRW($C$1,$C$2,$C$3,$C$4,$C$6,$C$5,$C$7,AB$1,AB$2,$A161)</f>
        <v>-17.605058074545902</v>
      </c>
      <c r="AC161" s="33">
        <f ca="1">_xll.DBRW($C$1,$C$2,$C$3,$C$4,$C$6,$C$5,$C$7,AC$1,AC$2,$A161)</f>
        <v>-23.588214328149515</v>
      </c>
      <c r="AD161" s="33">
        <f ca="1">_xll.DBRW($C$1,$C$2,$C$3,$C$4,$C$6,$C$5,$C$7,AD$1,AD$2,$A161)</f>
        <v>-29.61442579080552</v>
      </c>
      <c r="AE161" s="33">
        <f ca="1">_xll.DBRW($C$1,$C$2,$C$3,$C$4,$C$6,$C$5,$C$7,AE$1,AE$2,$A161)</f>
        <v>-35.581656407246065</v>
      </c>
      <c r="AF161" s="33">
        <f ca="1">_xll.DBRW($C$1,$C$2,$C$3,$C$4,$C$6,$C$5,$C$7,AF$1,AF$2,$A161)</f>
        <v>-41.997251403031214</v>
      </c>
      <c r="AG161" s="33">
        <f ca="1">_xll.DBRW($C$1,$C$2,$C$3,$C$4,$C$6,$C$5,$C$7,AG$1,AG$2,$A161)</f>
        <v>-47.716210975362614</v>
      </c>
      <c r="AH161" s="33">
        <f ca="1">_xll.DBRW($C$1,$C$2,$C$3,$C$4,$C$6,$C$5,$C$7,AH$1,AH$2,$A161)</f>
        <v>-53.385253821100861</v>
      </c>
      <c r="AI161" s="33">
        <f ca="1">_xll.DBRW($C$1,$C$2,$C$3,$C$4,$C$6,$C$5,$C$7,AI$1,AI$2,$A161)</f>
        <v>-59.062756609088041</v>
      </c>
      <c r="AJ161" s="33">
        <f ca="1">_xll.DBRW($C$1,$C$2,$C$3,$C$4,$C$6,$C$5,$C$7,AJ$1,AJ$2,$A161)</f>
        <v>-64.690249513403359</v>
      </c>
      <c r="AK161" s="33">
        <f ca="1">_xll.DBRW($C$1,$C$2,$C$3,$C$4,$C$6,$C$5,$C$7,AK$1,AK$2,$A161)</f>
        <v>-70.324370260100636</v>
      </c>
      <c r="AL161" s="33">
        <f ca="1">_xll.DBRW($C$1,$C$2,$C$3,$C$4,$C$6,$C$5,$C$7,AL$1,AL$2,$A161)</f>
        <v>-70.324370260100636</v>
      </c>
      <c r="AM161" s="33">
        <f ca="1">_xll.DBRW($C$1,$C$2,$C$3,$C$4,$C$6,$C$5,$C$7,AM$1,AM$2,$A161)</f>
        <v>-3.1070085439355246</v>
      </c>
      <c r="AN161" s="33">
        <f ca="1">_xll.DBRW($C$1,$C$2,$C$3,$C$4,$C$6,$C$5,$C$7,AN$1,AN$2,$A161)</f>
        <v>-9.986665824741582</v>
      </c>
      <c r="AO161" s="33">
        <f ca="1">_xll.DBRW($C$1,$C$2,$C$3,$C$4,$C$6,$C$5,$C$7,AO$1,AO$2,$A161)</f>
        <v>0</v>
      </c>
      <c r="AP161" s="33">
        <f ca="1">_xll.DBRW($C$1,$C$2,$C$3,$C$4,$C$6,$C$5,$C$7,AP$1,AP$2,$A161)</f>
        <v>0</v>
      </c>
      <c r="AQ161" s="33">
        <f ca="1">_xll.DBRW($C$1,$C$2,$C$3,$C$4,$C$6,$C$5,$C$7,AQ$1,AQ$2,$A161)</f>
        <v>0</v>
      </c>
      <c r="AR161" s="33">
        <f ca="1">_xll.DBRW($C$1,$C$2,$C$3,$C$4,$C$6,$C$5,$C$7,AR$1,AR$2,$A161)</f>
        <v>0</v>
      </c>
      <c r="AS161" s="33">
        <f ca="1">_xll.DBRW($C$1,$C$2,$C$3,$C$4,$C$6,$C$5,$C$7,AS$1,AS$2,$A161)</f>
        <v>0</v>
      </c>
      <c r="AT161" s="33">
        <f ca="1">_xll.DBRW($C$1,$C$2,$C$3,$C$4,$C$6,$C$5,$C$7,AT$1,AT$2,$A161)</f>
        <v>0</v>
      </c>
      <c r="AU161" s="33">
        <f ca="1">_xll.DBRW($C$1,$C$2,$C$3,$C$4,$C$6,$C$5,$C$7,AU$1,AU$2,$A161)</f>
        <v>0</v>
      </c>
      <c r="AV161" s="33">
        <f ca="1">_xll.DBRW($C$1,$C$2,$C$3,$C$4,$C$6,$C$5,$C$7,AV$1,AV$2,$A161)</f>
        <v>0</v>
      </c>
      <c r="AW161" s="33">
        <f ca="1">_xll.DBRW($C$1,$C$2,$C$3,$C$4,$C$6,$C$5,$C$7,AW$1,AW$2,$A161)</f>
        <v>0</v>
      </c>
      <c r="AX161" s="33">
        <f ca="1">_xll.DBRW($C$1,$C$2,$C$3,$C$4,$C$6,$C$5,$C$7,AX$1,AX$2,$A161)</f>
        <v>0</v>
      </c>
      <c r="AY161" s="33">
        <f ca="1">_xll.DBRW($C$1,$C$2,$C$3,$C$4,$C$6,$C$5,$C$7,AY$1,AY$2,$A161)</f>
        <v>0</v>
      </c>
    </row>
    <row r="162" spans="1:51" ht="15.75" hidden="1" customHeight="1" outlineLevel="2">
      <c r="A162" s="1" t="s">
        <v>252</v>
      </c>
      <c r="C162" s="104"/>
      <c r="E162" s="9" t="str">
        <f ca="1">_xll.DBRW(Server&amp;"}ElementAttributes_Indicator",A162,"code_English")</f>
        <v>PL1160_IN_15 - Gains/losses on disposal of tangible &amp; intangible fixed assets (IN)</v>
      </c>
      <c r="F162" s="33">
        <f ca="1">_xll.DBRW($C$1,$C$2,$C$3,$C$4,$C$6,$C$5,$C$7,F$1,F$2,$A162)</f>
        <v>-0.22185599739604689</v>
      </c>
      <c r="G162" s="33">
        <f ca="1">_xll.DBRW($C$1,$C$2,$C$3,$C$4,$C$6,$C$5,$C$7,G$1,G$2,$A162)</f>
        <v>1.7234893025709299</v>
      </c>
      <c r="H162" s="33">
        <f ca="1">_xll.DBRW($C$1,$C$2,$C$3,$C$4,$C$6,$C$5,$C$7,H$1,H$2,$A162)</f>
        <v>11.231707176945211</v>
      </c>
      <c r="I162" s="33">
        <f ca="1">_xll.DBRW($C$1,$C$2,$C$3,$C$4,$C$6,$C$5,$C$7,I$1,I$2,$A162)</f>
        <v>-3.1114633899999995</v>
      </c>
      <c r="J162" s="33">
        <f ca="1">_xll.DBRW($C$1,$C$2,$C$3,$C$4,$C$6,$C$5,$C$7,J$1,J$2,$A162)</f>
        <v>8.1750275552336795</v>
      </c>
      <c r="K162" s="33">
        <f ca="1">_xll.DBRW($C$1,$C$2,$C$3,$C$4,$C$6,$C$5,$C$7,K$1,K$2,$A162)</f>
        <v>9.0876938183748859</v>
      </c>
      <c r="L162" s="33">
        <f ca="1">_xll.DBRW($C$1,$C$2,$C$3,$C$4,$C$6,$C$5,$C$7,L$1,L$2,$A162)</f>
        <v>4.2772441099999989</v>
      </c>
      <c r="M162" s="33">
        <f ca="1">_xll.DBRW($C$1,$C$2,$C$3,$C$4,$C$6,$C$5,$C$7,M$1,M$2,$A162)</f>
        <v>-1.0915976699999999</v>
      </c>
      <c r="N162" s="33">
        <f ca="1">_xll.DBRW($C$1,$C$2,$C$3,$C$4,$C$6,$C$5,$C$7,N$1,N$2,$A162)</f>
        <v>-1.3527107024836831</v>
      </c>
      <c r="O162" s="33">
        <f ca="1">_xll.DBRW($C$1,$C$2,$C$3,$C$4,$C$6,$C$5,$C$7,O$1,O$2,$A162)</f>
        <v>-0.51310854021251573</v>
      </c>
      <c r="P162" s="33">
        <f ca="1">_xll.DBRW($C$1,$C$2,$C$3,$C$4,$C$6,$C$5,$C$7,P$1,P$2,$A162)</f>
        <v>-0.51369577723620641</v>
      </c>
      <c r="Q162" s="33">
        <f ca="1">_xll.DBRW($C$1,$C$2,$C$3,$C$4,$C$6,$C$5,$C$7,Q$1,Q$2,$A162)</f>
        <v>-0.54557688094018575</v>
      </c>
      <c r="R162" s="33">
        <f ca="1">_xll.DBRW($C$1,$C$2,$C$3,$C$4,$C$6,$C$5,$C$7,R$1,R$2,$A162)</f>
        <v>-0.54924523729740971</v>
      </c>
      <c r="S162" s="33">
        <f ca="1">_xll.DBRW($C$1,$C$2,$C$3,$C$4,$C$6,$C$5,$C$7,S$1,S$2,$A162)</f>
        <v>1.2223016799999999</v>
      </c>
      <c r="T162" s="33">
        <f ca="1">_xll.DBRW($C$1,$C$2,$C$3,$C$4,$C$6,$C$5,$C$7,T$1,T$2,$A162)</f>
        <v>1.5869011916937223</v>
      </c>
      <c r="U162" s="33">
        <f ca="1">_xll.DBRW($C$1,$C$2,$C$3,$C$4,$C$6,$C$5,$C$7,U$1,U$2,$A162)</f>
        <v>1.1159594040066312</v>
      </c>
      <c r="V162" s="33">
        <f ca="1">_xll.DBRW($C$1,$C$2,$C$3,$C$4,$C$6,$C$5,$C$7,V$1,V$2,$A162)</f>
        <v>-4.0234059563312616</v>
      </c>
      <c r="W162" s="33">
        <f ca="1">_xll.DBRW($C$1,$C$2,$C$3,$C$4,$C$6,$C$5,$C$7,W$1,W$2,$A162)</f>
        <v>2.5708652378930754</v>
      </c>
      <c r="X162" s="33">
        <f ca="1">_xll.DBRW($C$1,$C$2,$C$3,$C$4,$C$6,$C$5,$C$7,X$1,X$2,$A162)</f>
        <v>4.7290154288483883</v>
      </c>
      <c r="Y162" s="33">
        <f ca="1">_xll.DBRW($C$1,$C$2,$C$3,$C$4,$C$6,$C$5,$C$7,Y$1,Y$2,$A162)</f>
        <v>4.7290154288483883</v>
      </c>
      <c r="Z162" s="33">
        <f ca="1">_xll.DBRW($C$1,$C$2,$C$3,$C$4,$C$6,$C$5,$C$7,Z$1,Z$2,$A162)</f>
        <v>-1.6510155899999996</v>
      </c>
      <c r="AA162" s="33">
        <f ca="1">_xll.DBRW($C$1,$C$2,$C$3,$C$4,$C$6,$C$5,$C$7,AA$1,AA$2,$A162)</f>
        <v>-1.6510155899999996</v>
      </c>
      <c r="AB162" s="33">
        <f ca="1">_xll.DBRW($C$1,$C$2,$C$3,$C$4,$C$6,$C$5,$C$7,AB$1,AB$2,$A162)</f>
        <v>-1.6510155899999996</v>
      </c>
      <c r="AC162" s="33">
        <f ca="1">_xll.DBRW($C$1,$C$2,$C$3,$C$4,$C$6,$C$5,$C$7,AC$1,AC$2,$A162)</f>
        <v>-1.6510155899999996</v>
      </c>
      <c r="AD162" s="33">
        <f ca="1">_xll.DBRW($C$1,$C$2,$C$3,$C$4,$C$6,$C$5,$C$7,AD$1,AD$2,$A162)</f>
        <v>-1.6510155899999996</v>
      </c>
      <c r="AE162" s="33">
        <f ca="1">_xll.DBRW($C$1,$C$2,$C$3,$C$4,$C$6,$C$5,$C$7,AE$1,AE$2,$A162)</f>
        <v>-1.3271377299999996</v>
      </c>
      <c r="AF162" s="33">
        <f ca="1">_xll.DBRW($C$1,$C$2,$C$3,$C$4,$C$6,$C$5,$C$7,AF$1,AF$2,$A162)</f>
        <v>-1.5190627999999999</v>
      </c>
      <c r="AG162" s="33">
        <f ca="1">_xll.DBRW($C$1,$C$2,$C$3,$C$4,$C$6,$C$5,$C$7,AG$1,AG$2,$A162)</f>
        <v>-1.0985567999999999</v>
      </c>
      <c r="AH162" s="33">
        <f ca="1">_xll.DBRW($C$1,$C$2,$C$3,$C$4,$C$6,$C$5,$C$7,AH$1,AH$2,$A162)</f>
        <v>-0.89422822999999974</v>
      </c>
      <c r="AI162" s="33">
        <f ca="1">_xll.DBRW($C$1,$C$2,$C$3,$C$4,$C$6,$C$5,$C$7,AI$1,AI$2,$A162)</f>
        <v>-0.89422822999999974</v>
      </c>
      <c r="AJ162" s="33">
        <f ca="1">_xll.DBRW($C$1,$C$2,$C$3,$C$4,$C$6,$C$5,$C$7,AJ$1,AJ$2,$A162)</f>
        <v>-0.89422822999999974</v>
      </c>
      <c r="AK162" s="33">
        <f ca="1">_xll.DBRW($C$1,$C$2,$C$3,$C$4,$C$6,$C$5,$C$7,AK$1,AK$2,$A162)</f>
        <v>0.64516046999999999</v>
      </c>
      <c r="AL162" s="33">
        <f ca="1">_xll.DBRW($C$1,$C$2,$C$3,$C$4,$C$6,$C$5,$C$7,AL$1,AL$2,$A162)</f>
        <v>0.64516046999999999</v>
      </c>
      <c r="AM162" s="33">
        <f ca="1">_xll.DBRW($C$1,$C$2,$C$3,$C$4,$C$6,$C$5,$C$7,AM$1,AM$2,$A162)</f>
        <v>-1.1020940099999998</v>
      </c>
      <c r="AN162" s="33">
        <f ca="1">_xll.DBRW($C$1,$C$2,$C$3,$C$4,$C$6,$C$5,$C$7,AN$1,AN$2,$A162)</f>
        <v>7.4225779900222166E-2</v>
      </c>
      <c r="AO162" s="33">
        <f ca="1">_xll.DBRW($C$1,$C$2,$C$3,$C$4,$C$6,$C$5,$C$7,AO$1,AO$2,$A162)</f>
        <v>6.9388939039072284E-17</v>
      </c>
      <c r="AP162" s="33">
        <f ca="1">_xll.DBRW($C$1,$C$2,$C$3,$C$4,$C$6,$C$5,$C$7,AP$1,AP$2,$A162)</f>
        <v>6.9388939039072284E-17</v>
      </c>
      <c r="AQ162" s="33">
        <f ca="1">_xll.DBRW($C$1,$C$2,$C$3,$C$4,$C$6,$C$5,$C$7,AQ$1,AQ$2,$A162)</f>
        <v>6.9388939039072284E-17</v>
      </c>
      <c r="AR162" s="33">
        <f ca="1">_xll.DBRW($C$1,$C$2,$C$3,$C$4,$C$6,$C$5,$C$7,AR$1,AR$2,$A162)</f>
        <v>6.9388939039072284E-17</v>
      </c>
      <c r="AS162" s="33">
        <f ca="1">_xll.DBRW($C$1,$C$2,$C$3,$C$4,$C$6,$C$5,$C$7,AS$1,AS$2,$A162)</f>
        <v>6.9388939039072284E-17</v>
      </c>
      <c r="AT162" s="33">
        <f ca="1">_xll.DBRW($C$1,$C$2,$C$3,$C$4,$C$6,$C$5,$C$7,AT$1,AT$2,$A162)</f>
        <v>6.9388939039072284E-17</v>
      </c>
      <c r="AU162" s="33">
        <f ca="1">_xll.DBRW($C$1,$C$2,$C$3,$C$4,$C$6,$C$5,$C$7,AU$1,AU$2,$A162)</f>
        <v>6.9388939039072284E-17</v>
      </c>
      <c r="AV162" s="33">
        <f ca="1">_xll.DBRW($C$1,$C$2,$C$3,$C$4,$C$6,$C$5,$C$7,AV$1,AV$2,$A162)</f>
        <v>6.9388939039072284E-17</v>
      </c>
      <c r="AW162" s="33">
        <f ca="1">_xll.DBRW($C$1,$C$2,$C$3,$C$4,$C$6,$C$5,$C$7,AW$1,AW$2,$A162)</f>
        <v>6.9388939039072284E-17</v>
      </c>
      <c r="AX162" s="33">
        <f ca="1">_xll.DBRW($C$1,$C$2,$C$3,$C$4,$C$6,$C$5,$C$7,AX$1,AX$2,$A162)</f>
        <v>6.9388939039072284E-17</v>
      </c>
      <c r="AY162" s="33">
        <f ca="1">_xll.DBRW($C$1,$C$2,$C$3,$C$4,$C$6,$C$5,$C$7,AY$1,AY$2,$A162)</f>
        <v>6.9388939039072284E-17</v>
      </c>
    </row>
    <row r="163" spans="1:51" ht="15.75" hidden="1" customHeight="1" outlineLevel="2">
      <c r="A163" s="1" t="s">
        <v>253</v>
      </c>
      <c r="C163" s="104"/>
      <c r="E163" s="9" t="str">
        <f ca="1">_xll.DBRW(Server&amp;"}ElementAttributes_Indicator",A163,"code_English")</f>
        <v>PL1150_IN_90 - Impairment (other than working capital) and provisions - others (IN)</v>
      </c>
      <c r="F163" s="33">
        <f ca="1">_xll.DBRW($C$1,$C$2,$C$3,$C$4,$C$6,$C$5,$C$7,F$1,F$2,$A163)</f>
        <v>0</v>
      </c>
      <c r="G163" s="33">
        <f ca="1">_xll.DBRW($C$1,$C$2,$C$3,$C$4,$C$6,$C$5,$C$7,G$1,G$2,$A163)</f>
        <v>0.46543984000000005</v>
      </c>
      <c r="H163" s="33">
        <f ca="1">_xll.DBRW($C$1,$C$2,$C$3,$C$4,$C$6,$C$5,$C$7,H$1,H$2,$A163)</f>
        <v>0</v>
      </c>
      <c r="I163" s="33">
        <f ca="1">_xll.DBRW($C$1,$C$2,$C$3,$C$4,$C$6,$C$5,$C$7,I$1,I$2,$A163)</f>
        <v>0</v>
      </c>
      <c r="J163" s="33">
        <f ca="1">_xll.DBRW($C$1,$C$2,$C$3,$C$4,$C$6,$C$5,$C$7,J$1,J$2,$A163)</f>
        <v>0</v>
      </c>
      <c r="K163" s="33">
        <f ca="1">_xll.DBRW($C$1,$C$2,$C$3,$C$4,$C$6,$C$5,$C$7,K$1,K$2,$A163)</f>
        <v>0</v>
      </c>
      <c r="L163" s="33">
        <f ca="1">_xll.DBRW($C$1,$C$2,$C$3,$C$4,$C$6,$C$5,$C$7,L$1,L$2,$A163)</f>
        <v>0</v>
      </c>
      <c r="M163" s="33">
        <f ca="1">_xll.DBRW($C$1,$C$2,$C$3,$C$4,$C$6,$C$5,$C$7,M$1,M$2,$A163)</f>
        <v>0</v>
      </c>
      <c r="N163" s="33">
        <f ca="1">_xll.DBRW($C$1,$C$2,$C$3,$C$4,$C$6,$C$5,$C$7,N$1,N$2,$A163)</f>
        <v>0</v>
      </c>
      <c r="O163" s="33">
        <f ca="1">_xll.DBRW($C$1,$C$2,$C$3,$C$4,$C$6,$C$5,$C$7,O$1,O$2,$A163)</f>
        <v>0</v>
      </c>
      <c r="P163" s="33">
        <f ca="1">_xll.DBRW($C$1,$C$2,$C$3,$C$4,$C$6,$C$5,$C$7,P$1,P$2,$A163)</f>
        <v>0</v>
      </c>
      <c r="Q163" s="33">
        <f ca="1">_xll.DBRW($C$1,$C$2,$C$3,$C$4,$C$6,$C$5,$C$7,Q$1,Q$2,$A163)</f>
        <v>0</v>
      </c>
      <c r="R163" s="33">
        <f ca="1">_xll.DBRW($C$1,$C$2,$C$3,$C$4,$C$6,$C$5,$C$7,R$1,R$2,$A163)</f>
        <v>0</v>
      </c>
      <c r="S163" s="33">
        <f ca="1">_xll.DBRW($C$1,$C$2,$C$3,$C$4,$C$6,$C$5,$C$7,S$1,S$2,$A163)</f>
        <v>0</v>
      </c>
      <c r="T163" s="33">
        <f ca="1">_xll.DBRW($C$1,$C$2,$C$3,$C$4,$C$6,$C$5,$C$7,T$1,T$2,$A163)</f>
        <v>0</v>
      </c>
      <c r="U163" s="33">
        <f ca="1">_xll.DBRW($C$1,$C$2,$C$3,$C$4,$C$6,$C$5,$C$7,U$1,U$2,$A163)</f>
        <v>0</v>
      </c>
      <c r="V163" s="33">
        <f ca="1">_xll.DBRW($C$1,$C$2,$C$3,$C$4,$C$6,$C$5,$C$7,V$1,V$2,$A163)</f>
        <v>0</v>
      </c>
      <c r="W163" s="33">
        <f ca="1">_xll.DBRW($C$1,$C$2,$C$3,$C$4,$C$6,$C$5,$C$7,W$1,W$2,$A163)</f>
        <v>0</v>
      </c>
      <c r="X163" s="33">
        <f ca="1">_xll.DBRW($C$1,$C$2,$C$3,$C$4,$C$6,$C$5,$C$7,X$1,X$2,$A163)</f>
        <v>0</v>
      </c>
      <c r="Y163" s="33">
        <f ca="1">_xll.DBRW($C$1,$C$2,$C$3,$C$4,$C$6,$C$5,$C$7,Y$1,Y$2,$A163)</f>
        <v>0</v>
      </c>
      <c r="Z163" s="33">
        <f ca="1">_xll.DBRW($C$1,$C$2,$C$3,$C$4,$C$6,$C$5,$C$7,Z$1,Z$2,$A163)</f>
        <v>0</v>
      </c>
      <c r="AA163" s="33">
        <f ca="1">_xll.DBRW($C$1,$C$2,$C$3,$C$4,$C$6,$C$5,$C$7,AA$1,AA$2,$A163)</f>
        <v>0</v>
      </c>
      <c r="AB163" s="33">
        <f ca="1">_xll.DBRW($C$1,$C$2,$C$3,$C$4,$C$6,$C$5,$C$7,AB$1,AB$2,$A163)</f>
        <v>0</v>
      </c>
      <c r="AC163" s="33">
        <f ca="1">_xll.DBRW($C$1,$C$2,$C$3,$C$4,$C$6,$C$5,$C$7,AC$1,AC$2,$A163)</f>
        <v>0</v>
      </c>
      <c r="AD163" s="33">
        <f ca="1">_xll.DBRW($C$1,$C$2,$C$3,$C$4,$C$6,$C$5,$C$7,AD$1,AD$2,$A163)</f>
        <v>0</v>
      </c>
      <c r="AE163" s="33">
        <f ca="1">_xll.DBRW($C$1,$C$2,$C$3,$C$4,$C$6,$C$5,$C$7,AE$1,AE$2,$A163)</f>
        <v>0</v>
      </c>
      <c r="AF163" s="33">
        <f ca="1">_xll.DBRW($C$1,$C$2,$C$3,$C$4,$C$6,$C$5,$C$7,AF$1,AF$2,$A163)</f>
        <v>0</v>
      </c>
      <c r="AG163" s="33">
        <f ca="1">_xll.DBRW($C$1,$C$2,$C$3,$C$4,$C$6,$C$5,$C$7,AG$1,AG$2,$A163)</f>
        <v>0</v>
      </c>
      <c r="AH163" s="33">
        <f ca="1">_xll.DBRW($C$1,$C$2,$C$3,$C$4,$C$6,$C$5,$C$7,AH$1,AH$2,$A163)</f>
        <v>0</v>
      </c>
      <c r="AI163" s="33">
        <f ca="1">_xll.DBRW($C$1,$C$2,$C$3,$C$4,$C$6,$C$5,$C$7,AI$1,AI$2,$A163)</f>
        <v>0</v>
      </c>
      <c r="AJ163" s="33">
        <f ca="1">_xll.DBRW($C$1,$C$2,$C$3,$C$4,$C$6,$C$5,$C$7,AJ$1,AJ$2,$A163)</f>
        <v>0</v>
      </c>
      <c r="AK163" s="33">
        <f ca="1">_xll.DBRW($C$1,$C$2,$C$3,$C$4,$C$6,$C$5,$C$7,AK$1,AK$2,$A163)</f>
        <v>0</v>
      </c>
      <c r="AL163" s="33">
        <f ca="1">_xll.DBRW($C$1,$C$2,$C$3,$C$4,$C$6,$C$5,$C$7,AL$1,AL$2,$A163)</f>
        <v>0</v>
      </c>
      <c r="AM163" s="33">
        <f ca="1">_xll.DBRW($C$1,$C$2,$C$3,$C$4,$C$6,$C$5,$C$7,AM$1,AM$2,$A163)</f>
        <v>0</v>
      </c>
      <c r="AN163" s="33">
        <f ca="1">_xll.DBRW($C$1,$C$2,$C$3,$C$4,$C$6,$C$5,$C$7,AN$1,AN$2,$A163)</f>
        <v>0</v>
      </c>
      <c r="AO163" s="33">
        <f ca="1">_xll.DBRW($C$1,$C$2,$C$3,$C$4,$C$6,$C$5,$C$7,AO$1,AO$2,$A163)</f>
        <v>0</v>
      </c>
      <c r="AP163" s="33">
        <f ca="1">_xll.DBRW($C$1,$C$2,$C$3,$C$4,$C$6,$C$5,$C$7,AP$1,AP$2,$A163)</f>
        <v>0</v>
      </c>
      <c r="AQ163" s="33">
        <f ca="1">_xll.DBRW($C$1,$C$2,$C$3,$C$4,$C$6,$C$5,$C$7,AQ$1,AQ$2,$A163)</f>
        <v>0</v>
      </c>
      <c r="AR163" s="33">
        <f ca="1">_xll.DBRW($C$1,$C$2,$C$3,$C$4,$C$6,$C$5,$C$7,AR$1,AR$2,$A163)</f>
        <v>0</v>
      </c>
      <c r="AS163" s="33">
        <f ca="1">_xll.DBRW($C$1,$C$2,$C$3,$C$4,$C$6,$C$5,$C$7,AS$1,AS$2,$A163)</f>
        <v>0</v>
      </c>
      <c r="AT163" s="33">
        <f ca="1">_xll.DBRW($C$1,$C$2,$C$3,$C$4,$C$6,$C$5,$C$7,AT$1,AT$2,$A163)</f>
        <v>0</v>
      </c>
      <c r="AU163" s="33">
        <f ca="1">_xll.DBRW($C$1,$C$2,$C$3,$C$4,$C$6,$C$5,$C$7,AU$1,AU$2,$A163)</f>
        <v>0</v>
      </c>
      <c r="AV163" s="33">
        <f ca="1">_xll.DBRW($C$1,$C$2,$C$3,$C$4,$C$6,$C$5,$C$7,AV$1,AV$2,$A163)</f>
        <v>0</v>
      </c>
      <c r="AW163" s="33">
        <f ca="1">_xll.DBRW($C$1,$C$2,$C$3,$C$4,$C$6,$C$5,$C$7,AW$1,AW$2,$A163)</f>
        <v>0</v>
      </c>
      <c r="AX163" s="33">
        <f ca="1">_xll.DBRW($C$1,$C$2,$C$3,$C$4,$C$6,$C$5,$C$7,AX$1,AX$2,$A163)</f>
        <v>0</v>
      </c>
      <c r="AY163" s="33">
        <f ca="1">_xll.DBRW($C$1,$C$2,$C$3,$C$4,$C$6,$C$5,$C$7,AY$1,AY$2,$A163)</f>
        <v>0</v>
      </c>
    </row>
    <row r="164" spans="1:51" ht="15.75" hidden="1" customHeight="1" outlineLevel="2">
      <c r="A164" s="1" t="s">
        <v>254</v>
      </c>
      <c r="C164" s="104"/>
      <c r="E164" s="9" t="str">
        <f ca="1">_xll.DBRW(Server&amp;"}ElementAttributes_Indicator",A164,"code_English")</f>
        <v>PL1110_MI_10 - Staff costs (MI)</v>
      </c>
      <c r="F164" s="33">
        <f ca="1">_xll.DBRW($C$1,$C$2,$C$3,$C$4,$C$6,$C$5,$C$7,F$1,F$2,$A164)</f>
        <v>-35.701149297213824</v>
      </c>
      <c r="G164" s="33">
        <f ca="1">_xll.DBRW($C$1,$C$2,$C$3,$C$4,$C$6,$C$5,$C$7,G$1,G$2,$A164)</f>
        <v>-30.043654146030768</v>
      </c>
      <c r="H164" s="33">
        <f ca="1">_xll.DBRW($C$1,$C$2,$C$3,$C$4,$C$6,$C$5,$C$7,H$1,H$2,$A164)</f>
        <v>-31.24392150479899</v>
      </c>
      <c r="I164" s="33">
        <f ca="1">_xll.DBRW($C$1,$C$2,$C$3,$C$4,$C$6,$C$5,$C$7,I$1,I$2,$A164)</f>
        <v>-28.143358700912323</v>
      </c>
      <c r="J164" s="33">
        <f ca="1">_xll.DBRW($C$1,$C$2,$C$3,$C$4,$C$6,$C$5,$C$7,J$1,J$2,$A164)</f>
        <v>-0.23099669946811829</v>
      </c>
      <c r="K164" s="33">
        <f ca="1">_xll.DBRW($C$1,$C$2,$C$3,$C$4,$C$6,$C$5,$C$7,K$1,K$2,$A164)</f>
        <v>-27.16118479427827</v>
      </c>
      <c r="L164" s="33">
        <f ca="1">_xll.DBRW($C$1,$C$2,$C$3,$C$4,$C$6,$C$5,$C$7,L$1,L$2,$A164)</f>
        <v>-26.973561682576872</v>
      </c>
      <c r="M164" s="33">
        <f ca="1">_xll.DBRW($C$1,$C$2,$C$3,$C$4,$C$6,$C$5,$C$7,M$1,M$2,$A164)</f>
        <v>-1.1805317832362747</v>
      </c>
      <c r="N164" s="33">
        <f ca="1">_xll.DBRW($C$1,$C$2,$C$3,$C$4,$C$6,$C$5,$C$7,N$1,N$2,$A164)</f>
        <v>-4.4832943715270321</v>
      </c>
      <c r="O164" s="33">
        <f ca="1">_xll.DBRW($C$1,$C$2,$C$3,$C$4,$C$6,$C$5,$C$7,O$1,O$2,$A164)</f>
        <v>-6.9382663240343492</v>
      </c>
      <c r="P164" s="33">
        <f ca="1">_xll.DBRW($C$1,$C$2,$C$3,$C$4,$C$6,$C$5,$C$7,P$1,P$2,$A164)</f>
        <v>-9.2095716972341712</v>
      </c>
      <c r="Q164" s="33">
        <f ca="1">_xll.DBRW($C$1,$C$2,$C$3,$C$4,$C$6,$C$5,$C$7,Q$1,Q$2,$A164)</f>
        <v>-11.609914902268489</v>
      </c>
      <c r="R164" s="33">
        <f ca="1">_xll.DBRW($C$1,$C$2,$C$3,$C$4,$C$6,$C$5,$C$7,R$1,R$2,$A164)</f>
        <v>-13.825973735409884</v>
      </c>
      <c r="S164" s="33">
        <f ca="1">_xll.DBRW($C$1,$C$2,$C$3,$C$4,$C$6,$C$5,$C$7,S$1,S$2,$A164)</f>
        <v>-8.5281294300764117</v>
      </c>
      <c r="T164" s="33">
        <f ca="1">_xll.DBRW($C$1,$C$2,$C$3,$C$4,$C$6,$C$5,$C$7,T$1,T$2,$A164)</f>
        <v>-18.128666321104795</v>
      </c>
      <c r="U164" s="33">
        <f ca="1">_xll.DBRW($C$1,$C$2,$C$3,$C$4,$C$6,$C$5,$C$7,U$1,U$2,$A164)</f>
        <v>-20.650378854036788</v>
      </c>
      <c r="V164" s="33">
        <f ca="1">_xll.DBRW($C$1,$C$2,$C$3,$C$4,$C$6,$C$5,$C$7,V$1,V$2,$A164)</f>
        <v>-12.160603561322834</v>
      </c>
      <c r="W164" s="33">
        <f ca="1">_xll.DBRW($C$1,$C$2,$C$3,$C$4,$C$6,$C$5,$C$7,W$1,W$2,$A164)</f>
        <v>-25.161048577287787</v>
      </c>
      <c r="X164" s="33">
        <f ca="1">_xll.DBRW($C$1,$C$2,$C$3,$C$4,$C$6,$C$5,$C$7,X$1,X$2,$A164)</f>
        <v>-26.510529544258489</v>
      </c>
      <c r="Y164" s="33">
        <f ca="1">_xll.DBRW($C$1,$C$2,$C$3,$C$4,$C$6,$C$5,$C$7,Y$1,Y$2,$A164)</f>
        <v>-26.510529544258489</v>
      </c>
      <c r="Z164" s="33">
        <f ca="1">_xll.DBRW($C$1,$C$2,$C$3,$C$4,$C$6,$C$5,$C$7,Z$1,Z$2,$A164)</f>
        <v>-2.6815066113426567</v>
      </c>
      <c r="AA164" s="33">
        <f ca="1">_xll.DBRW($C$1,$C$2,$C$3,$C$4,$C$6,$C$5,$C$7,AA$1,AA$2,$A164)</f>
        <v>-5.2595683650190788</v>
      </c>
      <c r="AB164" s="33">
        <f ca="1">_xll.DBRW($C$1,$C$2,$C$3,$C$4,$C$6,$C$5,$C$7,AB$1,AB$2,$A164)</f>
        <v>-7.910436321812532</v>
      </c>
      <c r="AC164" s="33">
        <f ca="1">_xll.DBRW($C$1,$C$2,$C$3,$C$4,$C$6,$C$5,$C$7,AC$1,AC$2,$A164)</f>
        <v>-10.67369221894408</v>
      </c>
      <c r="AD164" s="33">
        <f ca="1">_xll.DBRW($C$1,$C$2,$C$3,$C$4,$C$6,$C$5,$C$7,AD$1,AD$2,$A164)</f>
        <v>-13.517714770808432</v>
      </c>
      <c r="AE164" s="33">
        <f ca="1">_xll.DBRW($C$1,$C$2,$C$3,$C$4,$C$6,$C$5,$C$7,AE$1,AE$2,$A164)</f>
        <v>-16.120609554624849</v>
      </c>
      <c r="AF164" s="33">
        <f ca="1">_xll.DBRW($C$1,$C$2,$C$3,$C$4,$C$6,$C$5,$C$7,AF$1,AF$2,$A164)</f>
        <v>-18.72394338450103</v>
      </c>
      <c r="AG164" s="33">
        <f ca="1">_xll.DBRW($C$1,$C$2,$C$3,$C$4,$C$6,$C$5,$C$7,AG$1,AG$2,$A164)</f>
        <v>-21.737191260954251</v>
      </c>
      <c r="AH164" s="33">
        <f ca="1">_xll.DBRW($C$1,$C$2,$C$3,$C$4,$C$6,$C$5,$C$7,AH$1,AH$2,$A164)</f>
        <v>-24.582636277123047</v>
      </c>
      <c r="AI164" s="33">
        <f ca="1">_xll.DBRW($C$1,$C$2,$C$3,$C$4,$C$6,$C$5,$C$7,AI$1,AI$2,$A164)</f>
        <v>-27.526065720910793</v>
      </c>
      <c r="AJ164" s="33">
        <f ca="1">_xll.DBRW($C$1,$C$2,$C$3,$C$4,$C$6,$C$5,$C$7,AJ$1,AJ$2,$A164)</f>
        <v>-30.734393709597295</v>
      </c>
      <c r="AK164" s="33">
        <f ca="1">_xll.DBRW($C$1,$C$2,$C$3,$C$4,$C$6,$C$5,$C$7,AK$1,AK$2,$A164)</f>
        <v>-33.63248304406244</v>
      </c>
      <c r="AL164" s="33">
        <f ca="1">_xll.DBRW($C$1,$C$2,$C$3,$C$4,$C$6,$C$5,$C$7,AL$1,AL$2,$A164)</f>
        <v>-33.63248304406244</v>
      </c>
      <c r="AM164" s="33">
        <f ca="1">_xll.DBRW($C$1,$C$2,$C$3,$C$4,$C$6,$C$5,$C$7,AM$1,AM$2,$A164)</f>
        <v>-2.0940958603272337</v>
      </c>
      <c r="AN164" s="33">
        <f ca="1">_xll.DBRW($C$1,$C$2,$C$3,$C$4,$C$6,$C$5,$C$7,AN$1,AN$2,$A164)</f>
        <v>-4.3643267934349357</v>
      </c>
      <c r="AO164" s="33">
        <f ca="1">_xll.DBRW($C$1,$C$2,$C$3,$C$4,$C$6,$C$5,$C$7,AO$1,AO$2,$A164)</f>
        <v>1.7763568394002505E-15</v>
      </c>
      <c r="AP164" s="33">
        <f ca="1">_xll.DBRW($C$1,$C$2,$C$3,$C$4,$C$6,$C$5,$C$7,AP$1,AP$2,$A164)</f>
        <v>1.7763568394002505E-15</v>
      </c>
      <c r="AQ164" s="33">
        <f ca="1">_xll.DBRW($C$1,$C$2,$C$3,$C$4,$C$6,$C$5,$C$7,AQ$1,AQ$2,$A164)</f>
        <v>1.7763568394002505E-15</v>
      </c>
      <c r="AR164" s="33">
        <f ca="1">_xll.DBRW($C$1,$C$2,$C$3,$C$4,$C$6,$C$5,$C$7,AR$1,AR$2,$A164)</f>
        <v>1.7763568394002505E-15</v>
      </c>
      <c r="AS164" s="33">
        <f ca="1">_xll.DBRW($C$1,$C$2,$C$3,$C$4,$C$6,$C$5,$C$7,AS$1,AS$2,$A164)</f>
        <v>1.7763568394002505E-15</v>
      </c>
      <c r="AT164" s="33">
        <f ca="1">_xll.DBRW($C$1,$C$2,$C$3,$C$4,$C$6,$C$5,$C$7,AT$1,AT$2,$A164)</f>
        <v>1.7763568394002505E-15</v>
      </c>
      <c r="AU164" s="33">
        <f ca="1">_xll.DBRW($C$1,$C$2,$C$3,$C$4,$C$6,$C$5,$C$7,AU$1,AU$2,$A164)</f>
        <v>1.7763568394002505E-15</v>
      </c>
      <c r="AV164" s="33">
        <f ca="1">_xll.DBRW($C$1,$C$2,$C$3,$C$4,$C$6,$C$5,$C$7,AV$1,AV$2,$A164)</f>
        <v>1.7763568394002505E-15</v>
      </c>
      <c r="AW164" s="33">
        <f ca="1">_xll.DBRW($C$1,$C$2,$C$3,$C$4,$C$6,$C$5,$C$7,AW$1,AW$2,$A164)</f>
        <v>1.7763568394002505E-15</v>
      </c>
      <c r="AX164" s="33">
        <f ca="1">_xll.DBRW($C$1,$C$2,$C$3,$C$4,$C$6,$C$5,$C$7,AX$1,AX$2,$A164)</f>
        <v>1.7763568394002505E-15</v>
      </c>
      <c r="AY164" s="33">
        <f ca="1">_xll.DBRW($C$1,$C$2,$C$3,$C$4,$C$6,$C$5,$C$7,AY$1,AY$2,$A164)</f>
        <v>1.7763568394002505E-15</v>
      </c>
    </row>
    <row r="165" spans="1:51" ht="15.75" hidden="1" customHeight="1" outlineLevel="2">
      <c r="A165" s="1" t="s">
        <v>255</v>
      </c>
      <c r="C165" s="104"/>
      <c r="E165" s="9" t="str">
        <f ca="1">_xll.DBRW(Server&amp;"}ElementAttributes_Indicator",A165,"code_English")</f>
        <v>PL1116_MI - COS - Lease expenses (MI)</v>
      </c>
      <c r="F165" s="33">
        <f ca="1">_xll.DBRW($C$1,$C$2,$C$3,$C$4,$C$6,$C$5,$C$7,F$1,F$2,$A165)</f>
        <v>-6.1601937610505058</v>
      </c>
      <c r="G165" s="33">
        <f ca="1">_xll.DBRW($C$1,$C$2,$C$3,$C$4,$C$6,$C$5,$C$7,G$1,G$2,$A165)</f>
        <v>-4.8896112410245012</v>
      </c>
      <c r="H165" s="33">
        <f ca="1">_xll.DBRW($C$1,$C$2,$C$3,$C$4,$C$6,$C$5,$C$7,H$1,H$2,$A165)</f>
        <v>-3.6025758603545874</v>
      </c>
      <c r="I165" s="33">
        <f ca="1">_xll.DBRW($C$1,$C$2,$C$3,$C$4,$C$6,$C$5,$C$7,I$1,I$2,$A165)</f>
        <v>-0.25952781526441915</v>
      </c>
      <c r="J165" s="33">
        <f ca="1">_xll.DBRW($C$1,$C$2,$C$3,$C$4,$C$6,$C$5,$C$7,J$1,J$2,$A165)</f>
        <v>-0.47068447407245484</v>
      </c>
      <c r="K165" s="33">
        <f ca="1">_xll.DBRW($C$1,$C$2,$C$3,$C$4,$C$6,$C$5,$C$7,K$1,K$2,$A165)</f>
        <v>-0.51603982598448428</v>
      </c>
      <c r="L165" s="33">
        <f ca="1">_xll.DBRW($C$1,$C$2,$C$3,$C$4,$C$6,$C$5,$C$7,L$1,L$2,$A165)</f>
        <v>-0.98474300000000015</v>
      </c>
      <c r="M165" s="33">
        <f ca="1">_xll.DBRW($C$1,$C$2,$C$3,$C$4,$C$6,$C$5,$C$7,M$1,M$2,$A165)</f>
        <v>-6.0989251804456718E-2</v>
      </c>
      <c r="N165" s="33">
        <f ca="1">_xll.DBRW($C$1,$C$2,$C$3,$C$4,$C$6,$C$5,$C$7,N$1,N$2,$A165)</f>
        <v>-0.15268239629903832</v>
      </c>
      <c r="O165" s="33">
        <f ca="1">_xll.DBRW($C$1,$C$2,$C$3,$C$4,$C$6,$C$5,$C$7,O$1,O$2,$A165)</f>
        <v>-0.21912899075543879</v>
      </c>
      <c r="P165" s="33">
        <f ca="1">_xll.DBRW($C$1,$C$2,$C$3,$C$4,$C$6,$C$5,$C$7,P$1,P$2,$A165)</f>
        <v>-0.28572909551431236</v>
      </c>
      <c r="Q165" s="33">
        <f ca="1">_xll.DBRW($C$1,$C$2,$C$3,$C$4,$C$6,$C$5,$C$7,Q$1,Q$2,$A165)</f>
        <v>-0.34602043104391733</v>
      </c>
      <c r="R165" s="33">
        <f ca="1">_xll.DBRW($C$1,$C$2,$C$3,$C$4,$C$6,$C$5,$C$7,R$1,R$2,$A165)</f>
        <v>-0.40878771831065286</v>
      </c>
      <c r="S165" s="33">
        <f ca="1">_xll.DBRW($C$1,$C$2,$C$3,$C$4,$C$6,$C$5,$C$7,S$1,S$2,$A165)</f>
        <v>-0.4312081260522137</v>
      </c>
      <c r="T165" s="33">
        <f ca="1">_xll.DBRW($C$1,$C$2,$C$3,$C$4,$C$6,$C$5,$C$7,T$1,T$2,$A165)</f>
        <v>-0.48019746099504512</v>
      </c>
      <c r="U165" s="33">
        <f ca="1">_xll.DBRW($C$1,$C$2,$C$3,$C$4,$C$6,$C$5,$C$7,U$1,U$2,$A165)</f>
        <v>-0.57980849213517927</v>
      </c>
      <c r="V165" s="33">
        <f ca="1">_xll.DBRW($C$1,$C$2,$C$3,$C$4,$C$6,$C$5,$C$7,V$1,V$2,$A165)</f>
        <v>-0.61791282215740706</v>
      </c>
      <c r="W165" s="33">
        <f ca="1">_xll.DBRW($C$1,$C$2,$C$3,$C$4,$C$6,$C$5,$C$7,W$1,W$2,$A165)</f>
        <v>-0.71874257960883692</v>
      </c>
      <c r="X165" s="33">
        <f ca="1">_xll.DBRW($C$1,$C$2,$C$3,$C$4,$C$6,$C$5,$C$7,X$1,X$2,$A165)</f>
        <v>-0.81423100049034647</v>
      </c>
      <c r="Y165" s="33">
        <f ca="1">_xll.DBRW($C$1,$C$2,$C$3,$C$4,$C$6,$C$5,$C$7,Y$1,Y$2,$A165)</f>
        <v>-0.81423100049034647</v>
      </c>
      <c r="Z165" s="33">
        <f ca="1">_xll.DBRW($C$1,$C$2,$C$3,$C$4,$C$6,$C$5,$C$7,Z$1,Z$2,$A165)</f>
        <v>-7.2480513292633622E-2</v>
      </c>
      <c r="AA165" s="33">
        <f ca="1">_xll.DBRW($C$1,$C$2,$C$3,$C$4,$C$6,$C$5,$C$7,AA$1,AA$2,$A165)</f>
        <v>-0.14373082524298536</v>
      </c>
      <c r="AB165" s="33">
        <f ca="1">_xll.DBRW($C$1,$C$2,$C$3,$C$4,$C$6,$C$5,$C$7,AB$1,AB$2,$A165)</f>
        <v>-0.21539590229400823</v>
      </c>
      <c r="AC165" s="33">
        <f ca="1">_xll.DBRW($C$1,$C$2,$C$3,$C$4,$C$6,$C$5,$C$7,AC$1,AC$2,$A165)</f>
        <v>-0.2921086303517425</v>
      </c>
      <c r="AD165" s="33">
        <f ca="1">_xll.DBRW($C$1,$C$2,$C$3,$C$4,$C$6,$C$5,$C$7,AD$1,AD$2,$A165)</f>
        <v>-0.37152471411417476</v>
      </c>
      <c r="AE165" s="33">
        <f ca="1">_xll.DBRW($C$1,$C$2,$C$3,$C$4,$C$6,$C$5,$C$7,AE$1,AE$2,$A165)</f>
        <v>-0.44233267545403082</v>
      </c>
      <c r="AF165" s="33">
        <f ca="1">_xll.DBRW($C$1,$C$2,$C$3,$C$4,$C$6,$C$5,$C$7,AF$1,AF$2,$A165)</f>
        <v>-0.51636215777714889</v>
      </c>
      <c r="AG165" s="33">
        <f ca="1">_xll.DBRW($C$1,$C$2,$C$3,$C$4,$C$6,$C$5,$C$7,AG$1,AG$2,$A165)</f>
        <v>-0.58919164010026681</v>
      </c>
      <c r="AH165" s="33">
        <f ca="1">_xll.DBRW($C$1,$C$2,$C$3,$C$4,$C$6,$C$5,$C$7,AH$1,AH$2,$A165)</f>
        <v>-0.66202038255114415</v>
      </c>
      <c r="AI165" s="33">
        <f ca="1">_xll.DBRW($C$1,$C$2,$C$3,$C$4,$C$6,$C$5,$C$7,AI$1,AI$2,$A165)</f>
        <v>-0.73400147399531002</v>
      </c>
      <c r="AJ165" s="33">
        <f ca="1">_xll.DBRW($C$1,$C$2,$C$3,$C$4,$C$6,$C$5,$C$7,AJ$1,AJ$2,$A165)</f>
        <v>-0.80559263255357005</v>
      </c>
      <c r="AK165" s="33">
        <f ca="1">_xll.DBRW($C$1,$C$2,$C$3,$C$4,$C$6,$C$5,$C$7,AK$1,AK$2,$A165)</f>
        <v>-0.87718379111182987</v>
      </c>
      <c r="AL165" s="33">
        <f ca="1">_xll.DBRW($C$1,$C$2,$C$3,$C$4,$C$6,$C$5,$C$7,AL$1,AL$2,$A165)</f>
        <v>-0.87718379111182987</v>
      </c>
      <c r="AM165" s="33">
        <f ca="1">_xll.DBRW($C$1,$C$2,$C$3,$C$4,$C$6,$C$5,$C$7,AM$1,AM$2,$A165)</f>
        <v>-6.0641365946920052E-2</v>
      </c>
      <c r="AN165" s="33">
        <f ca="1">_xll.DBRW($C$1,$C$2,$C$3,$C$4,$C$6,$C$5,$C$7,AN$1,AN$2,$A165)</f>
        <v>-0.149976628610624</v>
      </c>
      <c r="AO165" s="33">
        <f ca="1">_xll.DBRW($C$1,$C$2,$C$3,$C$4,$C$6,$C$5,$C$7,AO$1,AO$2,$A165)</f>
        <v>0</v>
      </c>
      <c r="AP165" s="33">
        <f ca="1">_xll.DBRW($C$1,$C$2,$C$3,$C$4,$C$6,$C$5,$C$7,AP$1,AP$2,$A165)</f>
        <v>0</v>
      </c>
      <c r="AQ165" s="33">
        <f ca="1">_xll.DBRW($C$1,$C$2,$C$3,$C$4,$C$6,$C$5,$C$7,AQ$1,AQ$2,$A165)</f>
        <v>0</v>
      </c>
      <c r="AR165" s="33">
        <f ca="1">_xll.DBRW($C$1,$C$2,$C$3,$C$4,$C$6,$C$5,$C$7,AR$1,AR$2,$A165)</f>
        <v>0</v>
      </c>
      <c r="AS165" s="33">
        <f ca="1">_xll.DBRW($C$1,$C$2,$C$3,$C$4,$C$6,$C$5,$C$7,AS$1,AS$2,$A165)</f>
        <v>0</v>
      </c>
      <c r="AT165" s="33">
        <f ca="1">_xll.DBRW($C$1,$C$2,$C$3,$C$4,$C$6,$C$5,$C$7,AT$1,AT$2,$A165)</f>
        <v>0</v>
      </c>
      <c r="AU165" s="33">
        <f ca="1">_xll.DBRW($C$1,$C$2,$C$3,$C$4,$C$6,$C$5,$C$7,AU$1,AU$2,$A165)</f>
        <v>0</v>
      </c>
      <c r="AV165" s="33">
        <f ca="1">_xll.DBRW($C$1,$C$2,$C$3,$C$4,$C$6,$C$5,$C$7,AV$1,AV$2,$A165)</f>
        <v>0</v>
      </c>
      <c r="AW165" s="33">
        <f ca="1">_xll.DBRW($C$1,$C$2,$C$3,$C$4,$C$6,$C$5,$C$7,AW$1,AW$2,$A165)</f>
        <v>0</v>
      </c>
      <c r="AX165" s="33">
        <f ca="1">_xll.DBRW($C$1,$C$2,$C$3,$C$4,$C$6,$C$5,$C$7,AX$1,AX$2,$A165)</f>
        <v>0</v>
      </c>
      <c r="AY165" s="33">
        <f ca="1">_xll.DBRW($C$1,$C$2,$C$3,$C$4,$C$6,$C$5,$C$7,AY$1,AY$2,$A165)</f>
        <v>0</v>
      </c>
    </row>
    <row r="166" spans="1:51" ht="15.75" hidden="1" customHeight="1" outlineLevel="2">
      <c r="A166" s="1" t="s">
        <v>256</v>
      </c>
      <c r="C166" s="104"/>
      <c r="E166" s="9" t="str">
        <f ca="1">_xll.DBRW(Server&amp;"}ElementAttributes_Indicator",A166,"code_English")</f>
        <v>PL1145_MI - Impairment - working capital (MI)</v>
      </c>
      <c r="F166" s="33">
        <f ca="1">_xll.DBRW($C$1,$C$2,$C$3,$C$4,$C$6,$C$5,$C$7,F$1,F$2,$A166)</f>
        <v>0</v>
      </c>
      <c r="G166" s="33">
        <f ca="1">_xll.DBRW($C$1,$C$2,$C$3,$C$4,$C$6,$C$5,$C$7,G$1,G$2,$A166)</f>
        <v>0</v>
      </c>
      <c r="H166" s="33">
        <f ca="1">_xll.DBRW($C$1,$C$2,$C$3,$C$4,$C$6,$C$5,$C$7,H$1,H$2,$A166)</f>
        <v>0</v>
      </c>
      <c r="I166" s="33">
        <f ca="1">_xll.DBRW($C$1,$C$2,$C$3,$C$4,$C$6,$C$5,$C$7,I$1,I$2,$A166)</f>
        <v>0</v>
      </c>
      <c r="J166" s="33">
        <f ca="1">_xll.DBRW($C$1,$C$2,$C$3,$C$4,$C$6,$C$5,$C$7,J$1,J$2,$A166)</f>
        <v>0</v>
      </c>
      <c r="K166" s="33">
        <f ca="1">_xll.DBRW($C$1,$C$2,$C$3,$C$4,$C$6,$C$5,$C$7,K$1,K$2,$A166)</f>
        <v>-2.8950599999999996E-3</v>
      </c>
      <c r="L166" s="33">
        <f ca="1">_xll.DBRW($C$1,$C$2,$C$3,$C$4,$C$6,$C$5,$C$7,L$1,L$2,$A166)</f>
        <v>0</v>
      </c>
      <c r="M166" s="33">
        <f ca="1">_xll.DBRW($C$1,$C$2,$C$3,$C$4,$C$6,$C$5,$C$7,M$1,M$2,$A166)</f>
        <v>0</v>
      </c>
      <c r="N166" s="33">
        <f ca="1">_xll.DBRW($C$1,$C$2,$C$3,$C$4,$C$6,$C$5,$C$7,N$1,N$2,$A166)</f>
        <v>0</v>
      </c>
      <c r="O166" s="33">
        <f ca="1">_xll.DBRW($C$1,$C$2,$C$3,$C$4,$C$6,$C$5,$C$7,O$1,O$2,$A166)</f>
        <v>0</v>
      </c>
      <c r="P166" s="33">
        <f ca="1">_xll.DBRW($C$1,$C$2,$C$3,$C$4,$C$6,$C$5,$C$7,P$1,P$2,$A166)</f>
        <v>0</v>
      </c>
      <c r="Q166" s="33">
        <f ca="1">_xll.DBRW($C$1,$C$2,$C$3,$C$4,$C$6,$C$5,$C$7,Q$1,Q$2,$A166)</f>
        <v>0</v>
      </c>
      <c r="R166" s="33">
        <f ca="1">_xll.DBRW($C$1,$C$2,$C$3,$C$4,$C$6,$C$5,$C$7,R$1,R$2,$A166)</f>
        <v>0</v>
      </c>
      <c r="S166" s="33">
        <f ca="1">_xll.DBRW($C$1,$C$2,$C$3,$C$4,$C$6,$C$5,$C$7,S$1,S$2,$A166)</f>
        <v>0</v>
      </c>
      <c r="T166" s="33">
        <f ca="1">_xll.DBRW($C$1,$C$2,$C$3,$C$4,$C$6,$C$5,$C$7,T$1,T$2,$A166)</f>
        <v>0</v>
      </c>
      <c r="U166" s="33">
        <f ca="1">_xll.DBRW($C$1,$C$2,$C$3,$C$4,$C$6,$C$5,$C$7,U$1,U$2,$A166)</f>
        <v>0</v>
      </c>
      <c r="V166" s="33">
        <f ca="1">_xll.DBRW($C$1,$C$2,$C$3,$C$4,$C$6,$C$5,$C$7,V$1,V$2,$A166)</f>
        <v>0</v>
      </c>
      <c r="W166" s="33">
        <f ca="1">_xll.DBRW($C$1,$C$2,$C$3,$C$4,$C$6,$C$5,$C$7,W$1,W$2,$A166)</f>
        <v>-2.2404059999999996E-2</v>
      </c>
      <c r="X166" s="33">
        <f ca="1">_xll.DBRW($C$1,$C$2,$C$3,$C$4,$C$6,$C$5,$C$7,X$1,X$2,$A166)</f>
        <v>-2.2404059999999996E-2</v>
      </c>
      <c r="Y166" s="33">
        <f ca="1">_xll.DBRW($C$1,$C$2,$C$3,$C$4,$C$6,$C$5,$C$7,Y$1,Y$2,$A166)</f>
        <v>-2.2404059999999996E-2</v>
      </c>
      <c r="Z166" s="33">
        <f ca="1">_xll.DBRW($C$1,$C$2,$C$3,$C$4,$C$6,$C$5,$C$7,Z$1,Z$2,$A166)</f>
        <v>0</v>
      </c>
      <c r="AA166" s="33">
        <f ca="1">_xll.DBRW($C$1,$C$2,$C$3,$C$4,$C$6,$C$5,$C$7,AA$1,AA$2,$A166)</f>
        <v>0</v>
      </c>
      <c r="AB166" s="33">
        <f ca="1">_xll.DBRW($C$1,$C$2,$C$3,$C$4,$C$6,$C$5,$C$7,AB$1,AB$2,$A166)</f>
        <v>0</v>
      </c>
      <c r="AC166" s="33">
        <f ca="1">_xll.DBRW($C$1,$C$2,$C$3,$C$4,$C$6,$C$5,$C$7,AC$1,AC$2,$A166)</f>
        <v>0</v>
      </c>
      <c r="AD166" s="33">
        <f ca="1">_xll.DBRW($C$1,$C$2,$C$3,$C$4,$C$6,$C$5,$C$7,AD$1,AD$2,$A166)</f>
        <v>0</v>
      </c>
      <c r="AE166" s="33">
        <f ca="1">_xll.DBRW($C$1,$C$2,$C$3,$C$4,$C$6,$C$5,$C$7,AE$1,AE$2,$A166)</f>
        <v>0</v>
      </c>
      <c r="AF166" s="33">
        <f ca="1">_xll.DBRW($C$1,$C$2,$C$3,$C$4,$C$6,$C$5,$C$7,AF$1,AF$2,$A166)</f>
        <v>0</v>
      </c>
      <c r="AG166" s="33">
        <f ca="1">_xll.DBRW($C$1,$C$2,$C$3,$C$4,$C$6,$C$5,$C$7,AG$1,AG$2,$A166)</f>
        <v>0</v>
      </c>
      <c r="AH166" s="33">
        <f ca="1">_xll.DBRW($C$1,$C$2,$C$3,$C$4,$C$6,$C$5,$C$7,AH$1,AH$2,$A166)</f>
        <v>0</v>
      </c>
      <c r="AI166" s="33">
        <f ca="1">_xll.DBRW($C$1,$C$2,$C$3,$C$4,$C$6,$C$5,$C$7,AI$1,AI$2,$A166)</f>
        <v>0</v>
      </c>
      <c r="AJ166" s="33">
        <f ca="1">_xll.DBRW($C$1,$C$2,$C$3,$C$4,$C$6,$C$5,$C$7,AJ$1,AJ$2,$A166)</f>
        <v>0</v>
      </c>
      <c r="AK166" s="33">
        <f ca="1">_xll.DBRW($C$1,$C$2,$C$3,$C$4,$C$6,$C$5,$C$7,AK$1,AK$2,$A166)</f>
        <v>0</v>
      </c>
      <c r="AL166" s="33">
        <f ca="1">_xll.DBRW($C$1,$C$2,$C$3,$C$4,$C$6,$C$5,$C$7,AL$1,AL$2,$A166)</f>
        <v>0</v>
      </c>
      <c r="AM166" s="33">
        <f ca="1">_xll.DBRW($C$1,$C$2,$C$3,$C$4,$C$6,$C$5,$C$7,AM$1,AM$2,$A166)</f>
        <v>0</v>
      </c>
      <c r="AN166" s="33">
        <f ca="1">_xll.DBRW($C$1,$C$2,$C$3,$C$4,$C$6,$C$5,$C$7,AN$1,AN$2,$A166)</f>
        <v>0</v>
      </c>
      <c r="AO166" s="33">
        <f ca="1">_xll.DBRW($C$1,$C$2,$C$3,$C$4,$C$6,$C$5,$C$7,AO$1,AO$2,$A166)</f>
        <v>0</v>
      </c>
      <c r="AP166" s="33">
        <f ca="1">_xll.DBRW($C$1,$C$2,$C$3,$C$4,$C$6,$C$5,$C$7,AP$1,AP$2,$A166)</f>
        <v>0</v>
      </c>
      <c r="AQ166" s="33">
        <f ca="1">_xll.DBRW($C$1,$C$2,$C$3,$C$4,$C$6,$C$5,$C$7,AQ$1,AQ$2,$A166)</f>
        <v>0</v>
      </c>
      <c r="AR166" s="33">
        <f ca="1">_xll.DBRW($C$1,$C$2,$C$3,$C$4,$C$6,$C$5,$C$7,AR$1,AR$2,$A166)</f>
        <v>0</v>
      </c>
      <c r="AS166" s="33">
        <f ca="1">_xll.DBRW($C$1,$C$2,$C$3,$C$4,$C$6,$C$5,$C$7,AS$1,AS$2,$A166)</f>
        <v>0</v>
      </c>
      <c r="AT166" s="33">
        <f ca="1">_xll.DBRW($C$1,$C$2,$C$3,$C$4,$C$6,$C$5,$C$7,AT$1,AT$2,$A166)</f>
        <v>0</v>
      </c>
      <c r="AU166" s="33">
        <f ca="1">_xll.DBRW($C$1,$C$2,$C$3,$C$4,$C$6,$C$5,$C$7,AU$1,AU$2,$A166)</f>
        <v>0</v>
      </c>
      <c r="AV166" s="33">
        <f ca="1">_xll.DBRW($C$1,$C$2,$C$3,$C$4,$C$6,$C$5,$C$7,AV$1,AV$2,$A166)</f>
        <v>0</v>
      </c>
      <c r="AW166" s="33">
        <f ca="1">_xll.DBRW($C$1,$C$2,$C$3,$C$4,$C$6,$C$5,$C$7,AW$1,AW$2,$A166)</f>
        <v>0</v>
      </c>
      <c r="AX166" s="33">
        <f ca="1">_xll.DBRW($C$1,$C$2,$C$3,$C$4,$C$6,$C$5,$C$7,AX$1,AX$2,$A166)</f>
        <v>0</v>
      </c>
      <c r="AY166" s="33">
        <f ca="1">_xll.DBRW($C$1,$C$2,$C$3,$C$4,$C$6,$C$5,$C$7,AY$1,AY$2,$A166)</f>
        <v>0</v>
      </c>
    </row>
    <row r="167" spans="1:51" ht="15.75" hidden="1" customHeight="1" outlineLevel="2">
      <c r="A167" s="1" t="s">
        <v>257</v>
      </c>
      <c r="C167" s="104"/>
      <c r="E167" s="9" t="str">
        <f ca="1">_xll.DBRW(Server&amp;"}ElementAttributes_Indicator",A167,"code_English")</f>
        <v>PL1155_MI_99 - Reinvoicing - Others (MI)</v>
      </c>
      <c r="F167" s="33">
        <f ca="1">_xll.DBRW($C$1,$C$2,$C$3,$C$4,$C$6,$C$5,$C$7,F$1,F$2,$A167)</f>
        <v>0.55203876331724022</v>
      </c>
      <c r="G167" s="33">
        <f ca="1">_xll.DBRW($C$1,$C$2,$C$3,$C$4,$C$6,$C$5,$C$7,G$1,G$2,$A167)</f>
        <v>4.0032025377942961</v>
      </c>
      <c r="H167" s="33">
        <f ca="1">_xll.DBRW($C$1,$C$2,$C$3,$C$4,$C$6,$C$5,$C$7,H$1,H$2,$A167)</f>
        <v>6.8083454103715431</v>
      </c>
      <c r="I167" s="33">
        <f ca="1">_xll.DBRW($C$1,$C$2,$C$3,$C$4,$C$6,$C$5,$C$7,I$1,I$2,$A167)</f>
        <v>1.4109750383489528</v>
      </c>
      <c r="J167" s="33">
        <f ca="1">_xll.DBRW($C$1,$C$2,$C$3,$C$4,$C$6,$C$5,$C$7,J$1,J$2,$A167)</f>
        <v>5.4361318645831265</v>
      </c>
      <c r="K167" s="33">
        <f ca="1">_xll.DBRW($C$1,$C$2,$C$3,$C$4,$C$6,$C$5,$C$7,K$1,K$2,$A167)</f>
        <v>4.8384346175258006</v>
      </c>
      <c r="L167" s="33">
        <f ca="1">_xll.DBRW($C$1,$C$2,$C$3,$C$4,$C$6,$C$5,$C$7,L$1,L$2,$A167)</f>
        <v>7.2852627146666658</v>
      </c>
      <c r="M167" s="33">
        <f ca="1">_xll.DBRW($C$1,$C$2,$C$3,$C$4,$C$6,$C$5,$C$7,M$1,M$2,$A167)</f>
        <v>0.43008592302435011</v>
      </c>
      <c r="N167" s="33">
        <f ca="1">_xll.DBRW($C$1,$C$2,$C$3,$C$4,$C$6,$C$5,$C$7,N$1,N$2,$A167)</f>
        <v>0.77724422484573175</v>
      </c>
      <c r="O167" s="33">
        <f ca="1">_xll.DBRW($C$1,$C$2,$C$3,$C$4,$C$6,$C$5,$C$7,O$1,O$2,$A167)</f>
        <v>1.1817158138733346</v>
      </c>
      <c r="P167" s="33">
        <f ca="1">_xll.DBRW($C$1,$C$2,$C$3,$C$4,$C$6,$C$5,$C$7,P$1,P$2,$A167)</f>
        <v>1.6095530125695365</v>
      </c>
      <c r="Q167" s="33">
        <f ca="1">_xll.DBRW($C$1,$C$2,$C$3,$C$4,$C$6,$C$5,$C$7,Q$1,Q$2,$A167)</f>
        <v>2.0017624572016341</v>
      </c>
      <c r="R167" s="33">
        <f ca="1">_xll.DBRW($C$1,$C$2,$C$3,$C$4,$C$6,$C$5,$C$7,R$1,R$2,$A167)</f>
        <v>2.4034189616575334</v>
      </c>
      <c r="S167" s="33">
        <f ca="1">_xll.DBRW($C$1,$C$2,$C$3,$C$4,$C$6,$C$5,$C$7,S$1,S$2,$A167)</f>
        <v>2.843328590220366</v>
      </c>
      <c r="T167" s="33">
        <f ca="1">_xll.DBRW($C$1,$C$2,$C$3,$C$4,$C$6,$C$5,$C$7,T$1,T$2,$A167)</f>
        <v>3.4182035464253726</v>
      </c>
      <c r="U167" s="33">
        <f ca="1">_xll.DBRW($C$1,$C$2,$C$3,$C$4,$C$6,$C$5,$C$7,U$1,U$2,$A167)</f>
        <v>3.8372804789210484</v>
      </c>
      <c r="V167" s="33">
        <f ca="1">_xll.DBRW($C$1,$C$2,$C$3,$C$4,$C$6,$C$5,$C$7,V$1,V$2,$A167)</f>
        <v>4.2314573554017567</v>
      </c>
      <c r="W167" s="33">
        <f ca="1">_xll.DBRW($C$1,$C$2,$C$3,$C$4,$C$6,$C$5,$C$7,W$1,W$2,$A167)</f>
        <v>4.6526647777557884</v>
      </c>
      <c r="X167" s="33">
        <f ca="1">_xll.DBRW($C$1,$C$2,$C$3,$C$4,$C$6,$C$5,$C$7,X$1,X$2,$A167)</f>
        <v>5.0339793778620816</v>
      </c>
      <c r="Y167" s="33">
        <f ca="1">_xll.DBRW($C$1,$C$2,$C$3,$C$4,$C$6,$C$5,$C$7,Y$1,Y$2,$A167)</f>
        <v>5.0339793778620816</v>
      </c>
      <c r="Z167" s="33">
        <f ca="1">_xll.DBRW($C$1,$C$2,$C$3,$C$4,$C$6,$C$5,$C$7,Z$1,Z$2,$A167)</f>
        <v>0.41915273985458612</v>
      </c>
      <c r="AA167" s="33">
        <f ca="1">_xll.DBRW($C$1,$C$2,$C$3,$C$4,$C$6,$C$5,$C$7,AA$1,AA$2,$A167)</f>
        <v>0.81632494279642043</v>
      </c>
      <c r="AB167" s="33">
        <f ca="1">_xll.DBRW($C$1,$C$2,$C$3,$C$4,$C$6,$C$5,$C$7,AB$1,AB$2,$A167)</f>
        <v>1.2354776826510065</v>
      </c>
      <c r="AC167" s="33">
        <f ca="1">_xll.DBRW($C$1,$C$2,$C$3,$C$4,$C$6,$C$5,$C$7,AC$1,AC$2,$A167)</f>
        <v>1.6464440131096196</v>
      </c>
      <c r="AD167" s="33">
        <f ca="1">_xll.DBRW($C$1,$C$2,$C$3,$C$4,$C$6,$C$5,$C$7,AD$1,AD$2,$A167)</f>
        <v>2.0658182294742726</v>
      </c>
      <c r="AE167" s="33">
        <f ca="1">_xll.DBRW($C$1,$C$2,$C$3,$C$4,$C$6,$C$5,$C$7,AE$1,AE$2,$A167)</f>
        <v>2.4903595599328856</v>
      </c>
      <c r="AF167" s="33">
        <f ca="1">_xll.DBRW($C$1,$C$2,$C$3,$C$4,$C$6,$C$5,$C$7,AF$1,AF$2,$A167)</f>
        <v>2.9174955212639824</v>
      </c>
      <c r="AG167" s="33">
        <f ca="1">_xll.DBRW($C$1,$C$2,$C$3,$C$4,$C$6,$C$5,$C$7,AG$1,AG$2,$A167)</f>
        <v>3.344630811454139</v>
      </c>
      <c r="AH167" s="33">
        <f ca="1">_xll.DBRW($C$1,$C$2,$C$3,$C$4,$C$6,$C$5,$C$7,AH$1,AH$2,$A167)</f>
        <v>3.7643889204362417</v>
      </c>
      <c r="AI167" s="33">
        <f ca="1">_xll.DBRW($C$1,$C$2,$C$3,$C$4,$C$6,$C$5,$C$7,AI$1,AI$2,$A167)</f>
        <v>4.1922832710290834</v>
      </c>
      <c r="AJ167" s="33">
        <f ca="1">_xll.DBRW($C$1,$C$2,$C$3,$C$4,$C$6,$C$5,$C$7,AJ$1,AJ$2,$A167)</f>
        <v>4.6127762793400446</v>
      </c>
      <c r="AK167" s="33">
        <f ca="1">_xll.DBRW($C$1,$C$2,$C$3,$C$4,$C$6,$C$5,$C$7,AK$1,AK$2,$A167)</f>
        <v>5.0506739856375837</v>
      </c>
      <c r="AL167" s="33">
        <f ca="1">_xll.DBRW($C$1,$C$2,$C$3,$C$4,$C$6,$C$5,$C$7,AL$1,AL$2,$A167)</f>
        <v>5.0506739856375837</v>
      </c>
      <c r="AM167" s="33">
        <f ca="1">_xll.DBRW($C$1,$C$2,$C$3,$C$4,$C$6,$C$5,$C$7,AM$1,AM$2,$A167)</f>
        <v>4.8888199999999995E-3</v>
      </c>
      <c r="AN167" s="33">
        <f ca="1">_xll.DBRW($C$1,$C$2,$C$3,$C$4,$C$6,$C$5,$C$7,AN$1,AN$2,$A167)</f>
        <v>5.69682E-3</v>
      </c>
      <c r="AO167" s="33">
        <f ca="1">_xll.DBRW($C$1,$C$2,$C$3,$C$4,$C$6,$C$5,$C$7,AO$1,AO$2,$A167)</f>
        <v>8.6736173798840355E-19</v>
      </c>
      <c r="AP167" s="33">
        <f ca="1">_xll.DBRW($C$1,$C$2,$C$3,$C$4,$C$6,$C$5,$C$7,AP$1,AP$2,$A167)</f>
        <v>8.6736173798840355E-19</v>
      </c>
      <c r="AQ167" s="33">
        <f ca="1">_xll.DBRW($C$1,$C$2,$C$3,$C$4,$C$6,$C$5,$C$7,AQ$1,AQ$2,$A167)</f>
        <v>8.6736173798840355E-19</v>
      </c>
      <c r="AR167" s="33">
        <f ca="1">_xll.DBRW($C$1,$C$2,$C$3,$C$4,$C$6,$C$5,$C$7,AR$1,AR$2,$A167)</f>
        <v>8.6736173798840355E-19</v>
      </c>
      <c r="AS167" s="33">
        <f ca="1">_xll.DBRW($C$1,$C$2,$C$3,$C$4,$C$6,$C$5,$C$7,AS$1,AS$2,$A167)</f>
        <v>8.6736173798840355E-19</v>
      </c>
      <c r="AT167" s="33">
        <f ca="1">_xll.DBRW($C$1,$C$2,$C$3,$C$4,$C$6,$C$5,$C$7,AT$1,AT$2,$A167)</f>
        <v>8.6736173798840355E-19</v>
      </c>
      <c r="AU167" s="33">
        <f ca="1">_xll.DBRW($C$1,$C$2,$C$3,$C$4,$C$6,$C$5,$C$7,AU$1,AU$2,$A167)</f>
        <v>8.6736173798840355E-19</v>
      </c>
      <c r="AV167" s="33">
        <f ca="1">_xll.DBRW($C$1,$C$2,$C$3,$C$4,$C$6,$C$5,$C$7,AV$1,AV$2,$A167)</f>
        <v>8.6736173798840355E-19</v>
      </c>
      <c r="AW167" s="33">
        <f ca="1">_xll.DBRW($C$1,$C$2,$C$3,$C$4,$C$6,$C$5,$C$7,AW$1,AW$2,$A167)</f>
        <v>8.6736173798840355E-19</v>
      </c>
      <c r="AX167" s="33">
        <f ca="1">_xll.DBRW($C$1,$C$2,$C$3,$C$4,$C$6,$C$5,$C$7,AX$1,AX$2,$A167)</f>
        <v>8.6736173798840355E-19</v>
      </c>
      <c r="AY167" s="33">
        <f ca="1">_xll.DBRW($C$1,$C$2,$C$3,$C$4,$C$6,$C$5,$C$7,AY$1,AY$2,$A167)</f>
        <v>8.6736173798840355E-19</v>
      </c>
    </row>
    <row r="168" spans="1:51" ht="15.75" hidden="1" customHeight="1" outlineLevel="2">
      <c r="A168" s="1" t="s">
        <v>258</v>
      </c>
      <c r="C168" s="104"/>
      <c r="E168" s="9" t="str">
        <f ca="1">_xll.DBRW(Server&amp;"}ElementAttributes_Indicator",A168,"code_English")</f>
        <v>PL1115_MI_99 - Others (MI)</v>
      </c>
      <c r="F168" s="33">
        <f ca="1">_xll.DBRW($C$1,$C$2,$C$3,$C$4,$C$6,$C$5,$C$7,F$1,F$2,$A168)</f>
        <v>-59.684990721680371</v>
      </c>
      <c r="G168" s="33">
        <f ca="1">_xll.DBRW($C$1,$C$2,$C$3,$C$4,$C$6,$C$5,$C$7,G$1,G$2,$A168)</f>
        <v>-56.320076721391999</v>
      </c>
      <c r="H168" s="33">
        <f ca="1">_xll.DBRW($C$1,$C$2,$C$3,$C$4,$C$6,$C$5,$C$7,H$1,H$2,$A168)</f>
        <v>-60.113249383143895</v>
      </c>
      <c r="I168" s="33">
        <f ca="1">_xll.DBRW($C$1,$C$2,$C$3,$C$4,$C$6,$C$5,$C$7,I$1,I$2,$A168)</f>
        <v>-64.443786245645825</v>
      </c>
      <c r="J168" s="33">
        <f ca="1">_xll.DBRW($C$1,$C$2,$C$3,$C$4,$C$6,$C$5,$C$7,J$1,J$2,$A168)</f>
        <v>-68.105838151501658</v>
      </c>
      <c r="K168" s="33">
        <f ca="1">_xll.DBRW($C$1,$C$2,$C$3,$C$4,$C$6,$C$5,$C$7,K$1,K$2,$A168)</f>
        <v>-72.620254757335204</v>
      </c>
      <c r="L168" s="33">
        <f ca="1">_xll.DBRW($C$1,$C$2,$C$3,$C$4,$C$6,$C$5,$C$7,L$1,L$2,$A168)</f>
        <v>-62.392134126411996</v>
      </c>
      <c r="M168" s="33">
        <f ca="1">_xll.DBRW($C$1,$C$2,$C$3,$C$4,$C$6,$C$5,$C$7,M$1,M$2,$A168)</f>
        <v>-2.2424368720016865</v>
      </c>
      <c r="N168" s="33">
        <f ca="1">_xll.DBRW($C$1,$C$2,$C$3,$C$4,$C$6,$C$5,$C$7,N$1,N$2,$A168)</f>
        <v>-10.519220212249717</v>
      </c>
      <c r="O168" s="33">
        <f ca="1">_xll.DBRW($C$1,$C$2,$C$3,$C$4,$C$6,$C$5,$C$7,O$1,O$2,$A168)</f>
        <v>-16.703001144813477</v>
      </c>
      <c r="P168" s="33">
        <f ca="1">_xll.DBRW($C$1,$C$2,$C$3,$C$4,$C$6,$C$5,$C$7,P$1,P$2,$A168)</f>
        <v>-22.64653810879733</v>
      </c>
      <c r="Q168" s="33">
        <f ca="1">_xll.DBRW($C$1,$C$2,$C$3,$C$4,$C$6,$C$5,$C$7,Q$1,Q$2,$A168)</f>
        <v>-28.69319700135857</v>
      </c>
      <c r="R168" s="33">
        <f ca="1">_xll.DBRW($C$1,$C$2,$C$3,$C$4,$C$6,$C$5,$C$7,R$1,R$2,$A168)</f>
        <v>-34.911007941194541</v>
      </c>
      <c r="S168" s="33">
        <f ca="1">_xll.DBRW($C$1,$C$2,$C$3,$C$4,$C$6,$C$5,$C$7,S$1,S$2,$A168)</f>
        <v>-24.032033210534003</v>
      </c>
      <c r="T168" s="33">
        <f ca="1">_xll.DBRW($C$1,$C$2,$C$3,$C$4,$C$6,$C$5,$C$7,T$1,T$2,$A168)</f>
        <v>-47.187887439388142</v>
      </c>
      <c r="U168" s="33">
        <f ca="1">_xll.DBRW($C$1,$C$2,$C$3,$C$4,$C$6,$C$5,$C$7,U$1,U$2,$A168)</f>
        <v>-52.589283603543308</v>
      </c>
      <c r="V168" s="33">
        <f ca="1">_xll.DBRW($C$1,$C$2,$C$3,$C$4,$C$6,$C$5,$C$7,V$1,V$2,$A168)</f>
        <v>-34.746397350591593</v>
      </c>
      <c r="W168" s="33">
        <f ca="1">_xll.DBRW($C$1,$C$2,$C$3,$C$4,$C$6,$C$5,$C$7,W$1,W$2,$A168)</f>
        <v>-65.391752179036615</v>
      </c>
      <c r="X168" s="33">
        <f ca="1">_xll.DBRW($C$1,$C$2,$C$3,$C$4,$C$6,$C$5,$C$7,X$1,X$2,$A168)</f>
        <v>-82.803461109838068</v>
      </c>
      <c r="Y168" s="33">
        <f ca="1">_xll.DBRW($C$1,$C$2,$C$3,$C$4,$C$6,$C$5,$C$7,Y$1,Y$2,$A168)</f>
        <v>-82.803461109838068</v>
      </c>
      <c r="Z168" s="33">
        <f ca="1">_xll.DBRW($C$1,$C$2,$C$3,$C$4,$C$6,$C$5,$C$7,Z$1,Z$2,$A168)</f>
        <v>-6.1332797518916857</v>
      </c>
      <c r="AA168" s="33">
        <f ca="1">_xll.DBRW($C$1,$C$2,$C$3,$C$4,$C$6,$C$5,$C$7,AA$1,AA$2,$A168)</f>
        <v>-13.889178760646701</v>
      </c>
      <c r="AB168" s="33">
        <f ca="1">_xll.DBRW($C$1,$C$2,$C$3,$C$4,$C$6,$C$5,$C$7,AB$1,AB$2,$A168)</f>
        <v>-21.097941753033627</v>
      </c>
      <c r="AC168" s="33">
        <f ca="1">_xll.DBRW($C$1,$C$2,$C$3,$C$4,$C$6,$C$5,$C$7,AC$1,AC$2,$A168)</f>
        <v>-28.462506412890537</v>
      </c>
      <c r="AD168" s="33">
        <f ca="1">_xll.DBRW($C$1,$C$2,$C$3,$C$4,$C$6,$C$5,$C$7,AD$1,AD$2,$A168)</f>
        <v>-35.609474620165464</v>
      </c>
      <c r="AE168" s="33">
        <f ca="1">_xll.DBRW($C$1,$C$2,$C$3,$C$4,$C$6,$C$5,$C$7,AE$1,AE$2,$A168)</f>
        <v>-42.056784233470651</v>
      </c>
      <c r="AF168" s="33">
        <f ca="1">_xll.DBRW($C$1,$C$2,$C$3,$C$4,$C$6,$C$5,$C$7,AF$1,AF$2,$A168)</f>
        <v>-48.465174136802062</v>
      </c>
      <c r="AG168" s="33">
        <f ca="1">_xll.DBRW($C$1,$C$2,$C$3,$C$4,$C$6,$C$5,$C$7,AG$1,AG$2,$A168)</f>
        <v>-56.037148690378828</v>
      </c>
      <c r="AH168" s="33">
        <f ca="1">_xll.DBRW($C$1,$C$2,$C$3,$C$4,$C$6,$C$5,$C$7,AH$1,AH$2,$A168)</f>
        <v>-63.480995509749214</v>
      </c>
      <c r="AI168" s="33">
        <f ca="1">_xll.DBRW($C$1,$C$2,$C$3,$C$4,$C$6,$C$5,$C$7,AI$1,AI$2,$A168)</f>
        <v>-70.525552912175982</v>
      </c>
      <c r="AJ168" s="33">
        <f ca="1">_xll.DBRW($C$1,$C$2,$C$3,$C$4,$C$6,$C$5,$C$7,AJ$1,AJ$2,$A168)</f>
        <v>-77.566296988038019</v>
      </c>
      <c r="AK168" s="33">
        <f ca="1">_xll.DBRW($C$1,$C$2,$C$3,$C$4,$C$6,$C$5,$C$7,AK$1,AK$2,$A168)</f>
        <v>-82.505427633336112</v>
      </c>
      <c r="AL168" s="33">
        <f ca="1">_xll.DBRW($C$1,$C$2,$C$3,$C$4,$C$6,$C$5,$C$7,AL$1,AL$2,$A168)</f>
        <v>-82.505427633336112</v>
      </c>
      <c r="AM168" s="33">
        <f ca="1">_xll.DBRW($C$1,$C$2,$C$3,$C$4,$C$6,$C$5,$C$7,AM$1,AM$2,$A168)</f>
        <v>-5.8357504348626534</v>
      </c>
      <c r="AN168" s="33">
        <f ca="1">_xll.DBRW($C$1,$C$2,$C$3,$C$4,$C$6,$C$5,$C$7,AN$1,AN$2,$A168)</f>
        <v>-16.002416088495824</v>
      </c>
      <c r="AO168" s="33">
        <f ca="1">_xll.DBRW($C$1,$C$2,$C$3,$C$4,$C$6,$C$5,$C$7,AO$1,AO$2,$A168)</f>
        <v>3.5527136788005009E-15</v>
      </c>
      <c r="AP168" s="33">
        <f ca="1">_xll.DBRW($C$1,$C$2,$C$3,$C$4,$C$6,$C$5,$C$7,AP$1,AP$2,$A168)</f>
        <v>3.5527136788005009E-15</v>
      </c>
      <c r="AQ168" s="33">
        <f ca="1">_xll.DBRW($C$1,$C$2,$C$3,$C$4,$C$6,$C$5,$C$7,AQ$1,AQ$2,$A168)</f>
        <v>3.5527136788005009E-15</v>
      </c>
      <c r="AR168" s="33">
        <f ca="1">_xll.DBRW($C$1,$C$2,$C$3,$C$4,$C$6,$C$5,$C$7,AR$1,AR$2,$A168)</f>
        <v>3.5527136788005009E-15</v>
      </c>
      <c r="AS168" s="33">
        <f ca="1">_xll.DBRW($C$1,$C$2,$C$3,$C$4,$C$6,$C$5,$C$7,AS$1,AS$2,$A168)</f>
        <v>3.5527136788005009E-15</v>
      </c>
      <c r="AT168" s="33">
        <f ca="1">_xll.DBRW($C$1,$C$2,$C$3,$C$4,$C$6,$C$5,$C$7,AT$1,AT$2,$A168)</f>
        <v>3.5527136788005009E-15</v>
      </c>
      <c r="AU168" s="33">
        <f ca="1">_xll.DBRW($C$1,$C$2,$C$3,$C$4,$C$6,$C$5,$C$7,AU$1,AU$2,$A168)</f>
        <v>3.5527136788005009E-15</v>
      </c>
      <c r="AV168" s="33">
        <f ca="1">_xll.DBRW($C$1,$C$2,$C$3,$C$4,$C$6,$C$5,$C$7,AV$1,AV$2,$A168)</f>
        <v>3.5527136788005009E-15</v>
      </c>
      <c r="AW168" s="33">
        <f ca="1">_xll.DBRW($C$1,$C$2,$C$3,$C$4,$C$6,$C$5,$C$7,AW$1,AW$2,$A168)</f>
        <v>3.5527136788005009E-15</v>
      </c>
      <c r="AX168" s="33">
        <f ca="1">_xll.DBRW($C$1,$C$2,$C$3,$C$4,$C$6,$C$5,$C$7,AX$1,AX$2,$A168)</f>
        <v>3.5527136788005009E-15</v>
      </c>
      <c r="AY168" s="33">
        <f ca="1">_xll.DBRW($C$1,$C$2,$C$3,$C$4,$C$6,$C$5,$C$7,AY$1,AY$2,$A168)</f>
        <v>3.5527136788005009E-15</v>
      </c>
    </row>
    <row r="169" spans="1:51" ht="15.75" hidden="1" customHeight="1" outlineLevel="2">
      <c r="A169" s="1" t="s">
        <v>259</v>
      </c>
      <c r="C169" s="104"/>
      <c r="E169" s="9" t="str">
        <f ca="1">_xll.DBRW(Server&amp;"}ElementAttributes_Indicator",A169,"code_English")</f>
        <v>PL1115_MI_12 - Subcontracting cleaning (MI)</v>
      </c>
      <c r="F169" s="33">
        <f ca="1">_xll.DBRW($C$1,$C$2,$C$3,$C$4,$C$6,$C$5,$C$7,F$1,F$2,$A169)</f>
        <v>-2.5242700204978266</v>
      </c>
      <c r="G169" s="33">
        <f ca="1">_xll.DBRW($C$1,$C$2,$C$3,$C$4,$C$6,$C$5,$C$7,G$1,G$2,$A169)</f>
        <v>-1.7496593105085114</v>
      </c>
      <c r="H169" s="33">
        <f ca="1">_xll.DBRW($C$1,$C$2,$C$3,$C$4,$C$6,$C$5,$C$7,H$1,H$2,$A169)</f>
        <v>-1.7408224635328224</v>
      </c>
      <c r="I169" s="33">
        <f ca="1">_xll.DBRW($C$1,$C$2,$C$3,$C$4,$C$6,$C$5,$C$7,I$1,I$2,$A169)</f>
        <v>-1.0909377206692379</v>
      </c>
      <c r="J169" s="33">
        <f ca="1">_xll.DBRW($C$1,$C$2,$C$3,$C$4,$C$6,$C$5,$C$7,J$1,J$2,$A169)</f>
        <v>-0.79526359435469574</v>
      </c>
      <c r="K169" s="33">
        <f ca="1">_xll.DBRW($C$1,$C$2,$C$3,$C$4,$C$6,$C$5,$C$7,K$1,K$2,$A169)</f>
        <v>-0.93178922856732038</v>
      </c>
      <c r="L169" s="33">
        <f ca="1">_xll.DBRW($C$1,$C$2,$C$3,$C$4,$C$6,$C$5,$C$7,L$1,L$2,$A169)</f>
        <v>-0.88792848000000002</v>
      </c>
      <c r="M169" s="33">
        <f ca="1">_xll.DBRW($C$1,$C$2,$C$3,$C$4,$C$6,$C$5,$C$7,M$1,M$2,$A169)</f>
        <v>-4.028128255733477E-2</v>
      </c>
      <c r="N169" s="33">
        <f ca="1">_xll.DBRW($C$1,$C$2,$C$3,$C$4,$C$6,$C$5,$C$7,N$1,N$2,$A169)</f>
        <v>-9.7808180532717046E-2</v>
      </c>
      <c r="O169" s="33">
        <f ca="1">_xll.DBRW($C$1,$C$2,$C$3,$C$4,$C$6,$C$5,$C$7,O$1,O$2,$A169)</f>
        <v>-0.14478087698189157</v>
      </c>
      <c r="P169" s="33">
        <f ca="1">_xll.DBRW($C$1,$C$2,$C$3,$C$4,$C$6,$C$5,$C$7,P$1,P$2,$A169)</f>
        <v>-0.24237916764255529</v>
      </c>
      <c r="Q169" s="33">
        <f ca="1">_xll.DBRW($C$1,$C$2,$C$3,$C$4,$C$6,$C$5,$C$7,Q$1,Q$2,$A169)</f>
        <v>-0.29084008688333857</v>
      </c>
      <c r="R169" s="33">
        <f ca="1">_xll.DBRW($C$1,$C$2,$C$3,$C$4,$C$6,$C$5,$C$7,R$1,R$2,$A169)</f>
        <v>-0.3528194681548813</v>
      </c>
      <c r="S169" s="33">
        <f ca="1">_xll.DBRW($C$1,$C$2,$C$3,$C$4,$C$6,$C$5,$C$7,S$1,S$2,$A169)</f>
        <v>-0.30536683999999997</v>
      </c>
      <c r="T169" s="33">
        <f ca="1">_xll.DBRW($C$1,$C$2,$C$3,$C$4,$C$6,$C$5,$C$7,T$1,T$2,$A169)</f>
        <v>-0.41874478020091621</v>
      </c>
      <c r="U169" s="33">
        <f ca="1">_xll.DBRW($C$1,$C$2,$C$3,$C$4,$C$6,$C$5,$C$7,U$1,U$2,$A169)</f>
        <v>-0.45481617457749757</v>
      </c>
      <c r="V169" s="33">
        <f ca="1">_xll.DBRW($C$1,$C$2,$C$3,$C$4,$C$6,$C$5,$C$7,V$1,V$2,$A169)</f>
        <v>-0.42701259242285716</v>
      </c>
      <c r="W169" s="33">
        <f ca="1">_xll.DBRW($C$1,$C$2,$C$3,$C$4,$C$6,$C$5,$C$7,W$1,W$2,$A169)</f>
        <v>-0.61376344761634682</v>
      </c>
      <c r="X169" s="33">
        <f ca="1">_xll.DBRW($C$1,$C$2,$C$3,$C$4,$C$6,$C$5,$C$7,X$1,X$2,$A169)</f>
        <v>-0.70300723064930115</v>
      </c>
      <c r="Y169" s="33">
        <f ca="1">_xll.DBRW($C$1,$C$2,$C$3,$C$4,$C$6,$C$5,$C$7,Y$1,Y$2,$A169)</f>
        <v>-0.70300723064930115</v>
      </c>
      <c r="Z169" s="33">
        <f ca="1">_xll.DBRW($C$1,$C$2,$C$3,$C$4,$C$6,$C$5,$C$7,Z$1,Z$2,$A169)</f>
        <v>-3.4536299999999999E-2</v>
      </c>
      <c r="AA169" s="33">
        <f ca="1">_xll.DBRW($C$1,$C$2,$C$3,$C$4,$C$6,$C$5,$C$7,AA$1,AA$2,$A169)</f>
        <v>-7.7203256536274523E-2</v>
      </c>
      <c r="AB169" s="33">
        <f ca="1">_xll.DBRW($C$1,$C$2,$C$3,$C$4,$C$6,$C$5,$C$7,AB$1,AB$2,$A169)</f>
        <v>-0.12000307098039217</v>
      </c>
      <c r="AC169" s="33">
        <f ca="1">_xll.DBRW($C$1,$C$2,$C$3,$C$4,$C$6,$C$5,$C$7,AC$1,AC$2,$A169)</f>
        <v>-0.29209744385588232</v>
      </c>
      <c r="AD169" s="33">
        <f ca="1">_xll.DBRW($C$1,$C$2,$C$3,$C$4,$C$6,$C$5,$C$7,AD$1,AD$2,$A169)</f>
        <v>-0.35965688673529411</v>
      </c>
      <c r="AE169" s="33">
        <f ca="1">_xll.DBRW($C$1,$C$2,$C$3,$C$4,$C$6,$C$5,$C$7,AE$1,AE$2,$A169)</f>
        <v>-0.43622124078431368</v>
      </c>
      <c r="AF169" s="33">
        <f ca="1">_xll.DBRW($C$1,$C$2,$C$3,$C$4,$C$6,$C$5,$C$7,AF$1,AF$2,$A169)</f>
        <v>-0.46624187365686276</v>
      </c>
      <c r="AG169" s="33">
        <f ca="1">_xll.DBRW($C$1,$C$2,$C$3,$C$4,$C$6,$C$5,$C$7,AG$1,AG$2,$A169)</f>
        <v>-0.51004596653921563</v>
      </c>
      <c r="AH169" s="33">
        <f ca="1">_xll.DBRW($C$1,$C$2,$C$3,$C$4,$C$6,$C$5,$C$7,AH$1,AH$2,$A169)</f>
        <v>-0.56801141058823523</v>
      </c>
      <c r="AI169" s="33">
        <f ca="1">_xll.DBRW($C$1,$C$2,$C$3,$C$4,$C$6,$C$5,$C$7,AI$1,AI$2,$A169)</f>
        <v>-0.67197367953921561</v>
      </c>
      <c r="AJ169" s="33">
        <f ca="1">_xll.DBRW($C$1,$C$2,$C$3,$C$4,$C$6,$C$5,$C$7,AJ$1,AJ$2,$A169)</f>
        <v>-0.71493723497058814</v>
      </c>
      <c r="AK169" s="33">
        <f ca="1">_xll.DBRW($C$1,$C$2,$C$3,$C$4,$C$6,$C$5,$C$7,AK$1,AK$2,$A169)</f>
        <v>-0.75836645666666658</v>
      </c>
      <c r="AL169" s="33">
        <f ca="1">_xll.DBRW($C$1,$C$2,$C$3,$C$4,$C$6,$C$5,$C$7,AL$1,AL$2,$A169)</f>
        <v>-0.75836645666666658</v>
      </c>
      <c r="AM169" s="33">
        <f ca="1">_xll.DBRW($C$1,$C$2,$C$3,$C$4,$C$6,$C$5,$C$7,AM$1,AM$2,$A169)</f>
        <v>-1.0697910971105586E-2</v>
      </c>
      <c r="AN169" s="33">
        <f ca="1">_xll.DBRW($C$1,$C$2,$C$3,$C$4,$C$6,$C$5,$C$7,AN$1,AN$2,$A169)</f>
        <v>-0.15537103663380711</v>
      </c>
      <c r="AO169" s="33">
        <f ca="1">_xll.DBRW($C$1,$C$2,$C$3,$C$4,$C$6,$C$5,$C$7,AO$1,AO$2,$A169)</f>
        <v>0</v>
      </c>
      <c r="AP169" s="33">
        <f ca="1">_xll.DBRW($C$1,$C$2,$C$3,$C$4,$C$6,$C$5,$C$7,AP$1,AP$2,$A169)</f>
        <v>0</v>
      </c>
      <c r="AQ169" s="33">
        <f ca="1">_xll.DBRW($C$1,$C$2,$C$3,$C$4,$C$6,$C$5,$C$7,AQ$1,AQ$2,$A169)</f>
        <v>0</v>
      </c>
      <c r="AR169" s="33">
        <f ca="1">_xll.DBRW($C$1,$C$2,$C$3,$C$4,$C$6,$C$5,$C$7,AR$1,AR$2,$A169)</f>
        <v>0</v>
      </c>
      <c r="AS169" s="33">
        <f ca="1">_xll.DBRW($C$1,$C$2,$C$3,$C$4,$C$6,$C$5,$C$7,AS$1,AS$2,$A169)</f>
        <v>0</v>
      </c>
      <c r="AT169" s="33">
        <f ca="1">_xll.DBRW($C$1,$C$2,$C$3,$C$4,$C$6,$C$5,$C$7,AT$1,AT$2,$A169)</f>
        <v>0</v>
      </c>
      <c r="AU169" s="33">
        <f ca="1">_xll.DBRW($C$1,$C$2,$C$3,$C$4,$C$6,$C$5,$C$7,AU$1,AU$2,$A169)</f>
        <v>0</v>
      </c>
      <c r="AV169" s="33">
        <f ca="1">_xll.DBRW($C$1,$C$2,$C$3,$C$4,$C$6,$C$5,$C$7,AV$1,AV$2,$A169)</f>
        <v>0</v>
      </c>
      <c r="AW169" s="33">
        <f ca="1">_xll.DBRW($C$1,$C$2,$C$3,$C$4,$C$6,$C$5,$C$7,AW$1,AW$2,$A169)</f>
        <v>0</v>
      </c>
      <c r="AX169" s="33">
        <f ca="1">_xll.DBRW($C$1,$C$2,$C$3,$C$4,$C$6,$C$5,$C$7,AX$1,AX$2,$A169)</f>
        <v>0</v>
      </c>
      <c r="AY169" s="33">
        <f ca="1">_xll.DBRW($C$1,$C$2,$C$3,$C$4,$C$6,$C$5,$C$7,AY$1,AY$2,$A169)</f>
        <v>0</v>
      </c>
    </row>
    <row r="170" spans="1:51" ht="15.75" hidden="1" customHeight="1" outlineLevel="2">
      <c r="A170" s="1" t="s">
        <v>260</v>
      </c>
      <c r="C170" s="104"/>
      <c r="E170" s="9" t="str">
        <f ca="1">_xll.DBRW(Server&amp;"}ElementAttributes_Indicator",A170,"code_English")</f>
        <v>PL1115_MI_11 - Subcontracting maintenance (MI)</v>
      </c>
      <c r="F170" s="33">
        <f ca="1">_xll.DBRW($C$1,$C$2,$C$3,$C$4,$C$6,$C$5,$C$7,F$1,F$2,$A170)</f>
        <v>-23.369886813974116</v>
      </c>
      <c r="G170" s="33">
        <f ca="1">_xll.DBRW($C$1,$C$2,$C$3,$C$4,$C$6,$C$5,$C$7,G$1,G$2,$A170)</f>
        <v>-33.412931808020858</v>
      </c>
      <c r="H170" s="33">
        <f ca="1">_xll.DBRW($C$1,$C$2,$C$3,$C$4,$C$6,$C$5,$C$7,H$1,H$2,$A170)</f>
        <v>-37.188503583145945</v>
      </c>
      <c r="I170" s="33">
        <f ca="1">_xll.DBRW($C$1,$C$2,$C$3,$C$4,$C$6,$C$5,$C$7,I$1,I$2,$A170)</f>
        <v>-31.931709908974838</v>
      </c>
      <c r="J170" s="33">
        <f ca="1">_xll.DBRW($C$1,$C$2,$C$3,$C$4,$C$6,$C$5,$C$7,J$1,J$2,$A170)</f>
        <v>-31.210022543291082</v>
      </c>
      <c r="K170" s="33">
        <f ca="1">_xll.DBRW($C$1,$C$2,$C$3,$C$4,$C$6,$C$5,$C$7,K$1,K$2,$A170)</f>
        <v>-28.224290705812436</v>
      </c>
      <c r="L170" s="33">
        <f ca="1">_xll.DBRW($C$1,$C$2,$C$3,$C$4,$C$6,$C$5,$C$7,L$1,L$2,$A170)</f>
        <v>-30.698480798568404</v>
      </c>
      <c r="M170" s="33">
        <f ca="1">_xll.DBRW($C$1,$C$2,$C$3,$C$4,$C$6,$C$5,$C$7,M$1,M$2,$A170)</f>
        <v>-1.9350807671597636</v>
      </c>
      <c r="N170" s="33">
        <f ca="1">_xll.DBRW($C$1,$C$2,$C$3,$C$4,$C$6,$C$5,$C$7,N$1,N$2,$A170)</f>
        <v>-4.7515848792882842</v>
      </c>
      <c r="O170" s="33">
        <f ca="1">_xll.DBRW($C$1,$C$2,$C$3,$C$4,$C$6,$C$5,$C$7,O$1,O$2,$A170)</f>
        <v>-7.7143728121902182</v>
      </c>
      <c r="P170" s="33">
        <f ca="1">_xll.DBRW($C$1,$C$2,$C$3,$C$4,$C$6,$C$5,$C$7,P$1,P$2,$A170)</f>
        <v>-10.526348574887194</v>
      </c>
      <c r="Q170" s="33">
        <f ca="1">_xll.DBRW($C$1,$C$2,$C$3,$C$4,$C$6,$C$5,$C$7,Q$1,Q$2,$A170)</f>
        <v>-13.85225618310848</v>
      </c>
      <c r="R170" s="33">
        <f ca="1">_xll.DBRW($C$1,$C$2,$C$3,$C$4,$C$6,$C$5,$C$7,R$1,R$2,$A170)</f>
        <v>-11.780054761488287</v>
      </c>
      <c r="S170" s="33">
        <f ca="1">_xll.DBRW($C$1,$C$2,$C$3,$C$4,$C$6,$C$5,$C$7,S$1,S$2,$A170)</f>
        <v>-11.330674224901493</v>
      </c>
      <c r="T170" s="33">
        <f ca="1">_xll.DBRW($C$1,$C$2,$C$3,$C$4,$C$6,$C$5,$C$7,T$1,T$2,$A170)</f>
        <v>-16.580512016816357</v>
      </c>
      <c r="U170" s="33">
        <f ca="1">_xll.DBRW($C$1,$C$2,$C$3,$C$4,$C$6,$C$5,$C$7,U$1,U$2,$A170)</f>
        <v>-19.975322476836165</v>
      </c>
      <c r="V170" s="33">
        <f ca="1">_xll.DBRW($C$1,$C$2,$C$3,$C$4,$C$6,$C$5,$C$7,V$1,V$2,$A170)</f>
        <v>-19.804096991763188</v>
      </c>
      <c r="W170" s="33">
        <f ca="1">_xll.DBRW($C$1,$C$2,$C$3,$C$4,$C$6,$C$5,$C$7,W$1,W$2,$A170)</f>
        <v>-26.370625729651156</v>
      </c>
      <c r="X170" s="33">
        <f ca="1">_xll.DBRW($C$1,$C$2,$C$3,$C$4,$C$6,$C$5,$C$7,X$1,X$2,$A170)</f>
        <v>-29.287073817858172</v>
      </c>
      <c r="Y170" s="33">
        <f ca="1">_xll.DBRW($C$1,$C$2,$C$3,$C$4,$C$6,$C$5,$C$7,Y$1,Y$2,$A170)</f>
        <v>-29.287073817858172</v>
      </c>
      <c r="Z170" s="33">
        <f ca="1">_xll.DBRW($C$1,$C$2,$C$3,$C$4,$C$6,$C$5,$C$7,Z$1,Z$2,$A170)</f>
        <v>-2.4899748885967279</v>
      </c>
      <c r="AA170" s="33">
        <f ca="1">_xll.DBRW($C$1,$C$2,$C$3,$C$4,$C$6,$C$5,$C$7,AA$1,AA$2,$A170)</f>
        <v>-3.3387561670277703</v>
      </c>
      <c r="AB170" s="33">
        <f ca="1">_xll.DBRW($C$1,$C$2,$C$3,$C$4,$C$6,$C$5,$C$7,AB$1,AB$2,$A170)</f>
        <v>-7.3519215071317365</v>
      </c>
      <c r="AC170" s="33">
        <f ca="1">_xll.DBRW($C$1,$C$2,$C$3,$C$4,$C$6,$C$5,$C$7,AC$1,AC$2,$A170)</f>
        <v>-10.05429593842471</v>
      </c>
      <c r="AD170" s="33">
        <f ca="1">_xll.DBRW($C$1,$C$2,$C$3,$C$4,$C$6,$C$5,$C$7,AD$1,AD$2,$A170)</f>
        <v>-12.961740349985376</v>
      </c>
      <c r="AE170" s="33">
        <f ca="1">_xll.DBRW($C$1,$C$2,$C$3,$C$4,$C$6,$C$5,$C$7,AE$1,AE$2,$A170)</f>
        <v>-15.666210441374611</v>
      </c>
      <c r="AF170" s="33">
        <f ca="1">_xll.DBRW($C$1,$C$2,$C$3,$C$4,$C$6,$C$5,$C$7,AF$1,AF$2,$A170)</f>
        <v>-18.18814634246047</v>
      </c>
      <c r="AG170" s="33">
        <f ca="1">_xll.DBRW($C$1,$C$2,$C$3,$C$4,$C$6,$C$5,$C$7,AG$1,AG$2,$A170)</f>
        <v>-20.796840799068637</v>
      </c>
      <c r="AH170" s="33">
        <f ca="1">_xll.DBRW($C$1,$C$2,$C$3,$C$4,$C$6,$C$5,$C$7,AH$1,AH$2,$A170)</f>
        <v>-23.451568536269775</v>
      </c>
      <c r="AI170" s="33">
        <f ca="1">_xll.DBRW($C$1,$C$2,$C$3,$C$4,$C$6,$C$5,$C$7,AI$1,AI$2,$A170)</f>
        <v>-26.29913818961553</v>
      </c>
      <c r="AJ170" s="33">
        <f ca="1">_xll.DBRW($C$1,$C$2,$C$3,$C$4,$C$6,$C$5,$C$7,AJ$1,AJ$2,$A170)</f>
        <v>-28.791111563612795</v>
      </c>
      <c r="AK170" s="33">
        <f ca="1">_xll.DBRW($C$1,$C$2,$C$3,$C$4,$C$6,$C$5,$C$7,AK$1,AK$2,$A170)</f>
        <v>-31.549766945711347</v>
      </c>
      <c r="AL170" s="33">
        <f ca="1">_xll.DBRW($C$1,$C$2,$C$3,$C$4,$C$6,$C$5,$C$7,AL$1,AL$2,$A170)</f>
        <v>-31.549766945711347</v>
      </c>
      <c r="AM170" s="33">
        <f ca="1">_xll.DBRW($C$1,$C$2,$C$3,$C$4,$C$6,$C$5,$C$7,AM$1,AM$2,$A170)</f>
        <v>-2.4512394141334397</v>
      </c>
      <c r="AN170" s="33">
        <f ca="1">_xll.DBRW($C$1,$C$2,$C$3,$C$4,$C$6,$C$5,$C$7,AN$1,AN$2,$A170)</f>
        <v>-5.5866342847258652</v>
      </c>
      <c r="AO170" s="33">
        <f ca="1">_xll.DBRW($C$1,$C$2,$C$3,$C$4,$C$6,$C$5,$C$7,AO$1,AO$2,$A170)</f>
        <v>-1.7763568394002505E-15</v>
      </c>
      <c r="AP170" s="33">
        <f ca="1">_xll.DBRW($C$1,$C$2,$C$3,$C$4,$C$6,$C$5,$C$7,AP$1,AP$2,$A170)</f>
        <v>-1.7763568394002505E-15</v>
      </c>
      <c r="AQ170" s="33">
        <f ca="1">_xll.DBRW($C$1,$C$2,$C$3,$C$4,$C$6,$C$5,$C$7,AQ$1,AQ$2,$A170)</f>
        <v>-1.7763568394002505E-15</v>
      </c>
      <c r="AR170" s="33">
        <f ca="1">_xll.DBRW($C$1,$C$2,$C$3,$C$4,$C$6,$C$5,$C$7,AR$1,AR$2,$A170)</f>
        <v>-1.7763568394002505E-15</v>
      </c>
      <c r="AS170" s="33">
        <f ca="1">_xll.DBRW($C$1,$C$2,$C$3,$C$4,$C$6,$C$5,$C$7,AS$1,AS$2,$A170)</f>
        <v>-1.7763568394002505E-15</v>
      </c>
      <c r="AT170" s="33">
        <f ca="1">_xll.DBRW($C$1,$C$2,$C$3,$C$4,$C$6,$C$5,$C$7,AT$1,AT$2,$A170)</f>
        <v>-1.7763568394002505E-15</v>
      </c>
      <c r="AU170" s="33">
        <f ca="1">_xll.DBRW($C$1,$C$2,$C$3,$C$4,$C$6,$C$5,$C$7,AU$1,AU$2,$A170)</f>
        <v>-1.7763568394002505E-15</v>
      </c>
      <c r="AV170" s="33">
        <f ca="1">_xll.DBRW($C$1,$C$2,$C$3,$C$4,$C$6,$C$5,$C$7,AV$1,AV$2,$A170)</f>
        <v>-1.7763568394002505E-15</v>
      </c>
      <c r="AW170" s="33">
        <f ca="1">_xll.DBRW($C$1,$C$2,$C$3,$C$4,$C$6,$C$5,$C$7,AW$1,AW$2,$A170)</f>
        <v>-1.7763568394002505E-15</v>
      </c>
      <c r="AX170" s="33">
        <f ca="1">_xll.DBRW($C$1,$C$2,$C$3,$C$4,$C$6,$C$5,$C$7,AX$1,AX$2,$A170)</f>
        <v>-1.7763568394002505E-15</v>
      </c>
      <c r="AY170" s="33">
        <f ca="1">_xll.DBRW($C$1,$C$2,$C$3,$C$4,$C$6,$C$5,$C$7,AY$1,AY$2,$A170)</f>
        <v>-1.7763568394002505E-15</v>
      </c>
    </row>
    <row r="171" spans="1:51" ht="15.75" hidden="1" customHeight="1" outlineLevel="2">
      <c r="A171" s="1" t="s">
        <v>261</v>
      </c>
      <c r="C171" s="104"/>
      <c r="E171" s="9" t="str">
        <f ca="1">_xll.DBRW(Server&amp;"}ElementAttributes_Indicator",A171,"code_English")</f>
        <v>PL1140_MI_10 - Amortization (MI)</v>
      </c>
      <c r="F171" s="33">
        <f ca="1">_xll.DBRW($C$1,$C$2,$C$3,$C$4,$C$6,$C$5,$C$7,F$1,F$2,$A171)</f>
        <v>-1.938458265088939</v>
      </c>
      <c r="G171" s="33">
        <f ca="1">_xll.DBRW($C$1,$C$2,$C$3,$C$4,$C$6,$C$5,$C$7,G$1,G$2,$A171)</f>
        <v>-1.8567090480127855</v>
      </c>
      <c r="H171" s="33">
        <f ca="1">_xll.DBRW($C$1,$C$2,$C$3,$C$4,$C$6,$C$5,$C$7,H$1,H$2,$A171)</f>
        <v>-1.9287863542852099</v>
      </c>
      <c r="I171" s="33">
        <f ca="1">_xll.DBRW($C$1,$C$2,$C$3,$C$4,$C$6,$C$5,$C$7,I$1,I$2,$A171)</f>
        <v>-2.05626204435015</v>
      </c>
      <c r="J171" s="33">
        <f ca="1">_xll.DBRW($C$1,$C$2,$C$3,$C$4,$C$6,$C$5,$C$7,J$1,J$2,$A171)</f>
        <v>-2.0236892198602727</v>
      </c>
      <c r="K171" s="33">
        <f ca="1">_xll.DBRW($C$1,$C$2,$C$3,$C$4,$C$6,$C$5,$C$7,K$1,K$2,$A171)</f>
        <v>-1.4284934560053584</v>
      </c>
      <c r="L171" s="33">
        <f ca="1">_xll.DBRW($C$1,$C$2,$C$3,$C$4,$C$6,$C$5,$C$7,L$1,L$2,$A171)</f>
        <v>-1.8510064383333333</v>
      </c>
      <c r="M171" s="33">
        <f ca="1">_xll.DBRW($C$1,$C$2,$C$3,$C$4,$C$6,$C$5,$C$7,M$1,M$2,$A171)</f>
        <v>-0.1163980771782627</v>
      </c>
      <c r="N171" s="33">
        <f ca="1">_xll.DBRW($C$1,$C$2,$C$3,$C$4,$C$6,$C$5,$C$7,N$1,N$2,$A171)</f>
        <v>-1.1831147997204854</v>
      </c>
      <c r="O171" s="33">
        <f ca="1">_xll.DBRW($C$1,$C$2,$C$3,$C$4,$C$6,$C$5,$C$7,O$1,O$2,$A171)</f>
        <v>-1.3017536342873441</v>
      </c>
      <c r="P171" s="33">
        <f ca="1">_xll.DBRW($C$1,$C$2,$C$3,$C$4,$C$6,$C$5,$C$7,P$1,P$2,$A171)</f>
        <v>-1.4152023123899935</v>
      </c>
      <c r="Q171" s="33">
        <f ca="1">_xll.DBRW($C$1,$C$2,$C$3,$C$4,$C$6,$C$5,$C$7,Q$1,Q$2,$A171)</f>
        <v>-1.5181799981959569</v>
      </c>
      <c r="R171" s="33">
        <f ca="1">_xll.DBRW($C$1,$C$2,$C$3,$C$4,$C$6,$C$5,$C$7,R$1,R$2,$A171)</f>
        <v>-1.6234411519008789</v>
      </c>
      <c r="S171" s="33">
        <f ca="1">_xll.DBRW($C$1,$C$2,$C$3,$C$4,$C$6,$C$5,$C$7,S$1,S$2,$A171)</f>
        <v>-1.6476338672242032</v>
      </c>
      <c r="T171" s="33">
        <f ca="1">_xll.DBRW($C$1,$C$2,$C$3,$C$4,$C$6,$C$5,$C$7,T$1,T$2,$A171)</f>
        <v>-1.8895330902701732</v>
      </c>
      <c r="U171" s="33">
        <f ca="1">_xll.DBRW($C$1,$C$2,$C$3,$C$4,$C$6,$C$5,$C$7,U$1,U$2,$A171)</f>
        <v>-1.9586114338156069</v>
      </c>
      <c r="V171" s="33">
        <f ca="1">_xll.DBRW($C$1,$C$2,$C$3,$C$4,$C$6,$C$5,$C$7,V$1,V$2,$A171)</f>
        <v>-1.9039990466094037</v>
      </c>
      <c r="W171" s="33">
        <f ca="1">_xll.DBRW($C$1,$C$2,$C$3,$C$4,$C$6,$C$5,$C$7,W$1,W$2,$A171)</f>
        <v>-2.0950689611653357</v>
      </c>
      <c r="X171" s="33">
        <f ca="1">_xll.DBRW($C$1,$C$2,$C$3,$C$4,$C$6,$C$5,$C$7,X$1,X$2,$A171)</f>
        <v>-2.1861677422123345</v>
      </c>
      <c r="Y171" s="33">
        <f ca="1">_xll.DBRW($C$1,$C$2,$C$3,$C$4,$C$6,$C$5,$C$7,Y$1,Y$2,$A171)</f>
        <v>-2.1861677422123345</v>
      </c>
      <c r="Z171" s="33">
        <f ca="1">_xll.DBRW($C$1,$C$2,$C$3,$C$4,$C$6,$C$5,$C$7,Z$1,Z$2,$A171)</f>
        <v>-0.16482242408587366</v>
      </c>
      <c r="AA171" s="33">
        <f ca="1">_xll.DBRW($C$1,$C$2,$C$3,$C$4,$C$6,$C$5,$C$7,AA$1,AA$2,$A171)</f>
        <v>-0.32846911179833427</v>
      </c>
      <c r="AB171" s="33">
        <f ca="1">_xll.DBRW($C$1,$C$2,$C$3,$C$4,$C$6,$C$5,$C$7,AB$1,AB$2,$A171)</f>
        <v>-0.49577251548394929</v>
      </c>
      <c r="AC171" s="33">
        <f ca="1">_xll.DBRW($C$1,$C$2,$C$3,$C$4,$C$6,$C$5,$C$7,AC$1,AC$2,$A171)</f>
        <v>-0.66397352776016827</v>
      </c>
      <c r="AD171" s="33">
        <f ca="1">_xll.DBRW($C$1,$C$2,$C$3,$C$4,$C$6,$C$5,$C$7,AD$1,AD$2,$A171)</f>
        <v>-0.83100087594242744</v>
      </c>
      <c r="AE171" s="33">
        <f ca="1">_xll.DBRW($C$1,$C$2,$C$3,$C$4,$C$6,$C$5,$C$7,AE$1,AE$2,$A171)</f>
        <v>-1.019479230836096</v>
      </c>
      <c r="AF171" s="33">
        <f ca="1">_xll.DBRW($C$1,$C$2,$C$3,$C$4,$C$6,$C$5,$C$7,AF$1,AF$2,$A171)</f>
        <v>-1.2079582568707043</v>
      </c>
      <c r="AG171" s="33">
        <f ca="1">_xll.DBRW($C$1,$C$2,$C$3,$C$4,$C$6,$C$5,$C$7,AG$1,AG$2,$A171)</f>
        <v>-1.594818929302984</v>
      </c>
      <c r="AH171" s="33">
        <f ca="1">_xll.DBRW($C$1,$C$2,$C$3,$C$4,$C$6,$C$5,$C$7,AH$1,AH$2,$A171)</f>
        <v>-1.9816809440171426</v>
      </c>
      <c r="AI171" s="33">
        <f ca="1">_xll.DBRW($C$1,$C$2,$C$3,$C$4,$C$6,$C$5,$C$7,AI$1,AI$2,$A171)</f>
        <v>-2.3685422875903619</v>
      </c>
      <c r="AJ171" s="33">
        <f ca="1">_xll.DBRW($C$1,$C$2,$C$3,$C$4,$C$6,$C$5,$C$7,AJ$1,AJ$2,$A171)</f>
        <v>-2.7554036311635803</v>
      </c>
      <c r="AK171" s="33">
        <f ca="1">_xll.DBRW($C$1,$C$2,$C$3,$C$4,$C$6,$C$5,$C$7,AK$1,AK$2,$A171)</f>
        <v>-3.1422649747367997</v>
      </c>
      <c r="AL171" s="33">
        <f ca="1">_xll.DBRW($C$1,$C$2,$C$3,$C$4,$C$6,$C$5,$C$7,AL$1,AL$2,$A171)</f>
        <v>-3.1422649747367997</v>
      </c>
      <c r="AM171" s="33">
        <f ca="1">_xll.DBRW($C$1,$C$2,$C$3,$C$4,$C$6,$C$5,$C$7,AM$1,AM$2,$A171)</f>
        <v>-6.4096802081894402E-2</v>
      </c>
      <c r="AN171" s="33">
        <f ca="1">_xll.DBRW($C$1,$C$2,$C$3,$C$4,$C$6,$C$5,$C$7,AN$1,AN$2,$A171)</f>
        <v>-0.18732842464804428</v>
      </c>
      <c r="AO171" s="33">
        <f ca="1">_xll.DBRW($C$1,$C$2,$C$3,$C$4,$C$6,$C$5,$C$7,AO$1,AO$2,$A171)</f>
        <v>-2.7755575615628914E-17</v>
      </c>
      <c r="AP171" s="33">
        <f ca="1">_xll.DBRW($C$1,$C$2,$C$3,$C$4,$C$6,$C$5,$C$7,AP$1,AP$2,$A171)</f>
        <v>-2.7755575615628914E-17</v>
      </c>
      <c r="AQ171" s="33">
        <f ca="1">_xll.DBRW($C$1,$C$2,$C$3,$C$4,$C$6,$C$5,$C$7,AQ$1,AQ$2,$A171)</f>
        <v>-2.7755575615628914E-17</v>
      </c>
      <c r="AR171" s="33">
        <f ca="1">_xll.DBRW($C$1,$C$2,$C$3,$C$4,$C$6,$C$5,$C$7,AR$1,AR$2,$A171)</f>
        <v>-2.7755575615628914E-17</v>
      </c>
      <c r="AS171" s="33">
        <f ca="1">_xll.DBRW($C$1,$C$2,$C$3,$C$4,$C$6,$C$5,$C$7,AS$1,AS$2,$A171)</f>
        <v>-2.7755575615628914E-17</v>
      </c>
      <c r="AT171" s="33">
        <f ca="1">_xll.DBRW($C$1,$C$2,$C$3,$C$4,$C$6,$C$5,$C$7,AT$1,AT$2,$A171)</f>
        <v>-2.7755575615628914E-17</v>
      </c>
      <c r="AU171" s="33">
        <f ca="1">_xll.DBRW($C$1,$C$2,$C$3,$C$4,$C$6,$C$5,$C$7,AU$1,AU$2,$A171)</f>
        <v>-2.7755575615628914E-17</v>
      </c>
      <c r="AV171" s="33">
        <f ca="1">_xll.DBRW($C$1,$C$2,$C$3,$C$4,$C$6,$C$5,$C$7,AV$1,AV$2,$A171)</f>
        <v>-2.7755575615628914E-17</v>
      </c>
      <c r="AW171" s="33">
        <f ca="1">_xll.DBRW($C$1,$C$2,$C$3,$C$4,$C$6,$C$5,$C$7,AW$1,AW$2,$A171)</f>
        <v>-2.7755575615628914E-17</v>
      </c>
      <c r="AX171" s="33">
        <f ca="1">_xll.DBRW($C$1,$C$2,$C$3,$C$4,$C$6,$C$5,$C$7,AX$1,AX$2,$A171)</f>
        <v>-2.7755575615628914E-17</v>
      </c>
      <c r="AY171" s="33">
        <f ca="1">_xll.DBRW($C$1,$C$2,$C$3,$C$4,$C$6,$C$5,$C$7,AY$1,AY$2,$A171)</f>
        <v>-2.7755575615628914E-17</v>
      </c>
    </row>
    <row r="172" spans="1:51" ht="15.75" hidden="1" customHeight="1" outlineLevel="2">
      <c r="A172" s="1" t="s">
        <v>262</v>
      </c>
      <c r="C172" s="104"/>
      <c r="E172" s="9" t="str">
        <f ca="1">_xll.DBRW(Server&amp;"}ElementAttributes_Indicator",A172,"code_English")</f>
        <v>PL1150_MI_10 - Impairment (other than working capital) and provisions - related to staff costs (MI)</v>
      </c>
      <c r="F172" s="33">
        <f ca="1">_xll.DBRW($C$1,$C$2,$C$3,$C$4,$C$6,$C$5,$C$7,F$1,F$2,$A172)</f>
        <v>-3.0491091730843391E-2</v>
      </c>
      <c r="G172" s="33">
        <f ca="1">_xll.DBRW($C$1,$C$2,$C$3,$C$4,$C$6,$C$5,$C$7,G$1,G$2,$A172)</f>
        <v>3.9006441691093001E-4</v>
      </c>
      <c r="H172" s="33">
        <f ca="1">_xll.DBRW($C$1,$C$2,$C$3,$C$4,$C$6,$C$5,$C$7,H$1,H$2,$A172)</f>
        <v>-5.6980342312213952E-2</v>
      </c>
      <c r="I172" s="33">
        <f ca="1">_xll.DBRW($C$1,$C$2,$C$3,$C$4,$C$6,$C$5,$C$7,I$1,I$2,$A172)</f>
        <v>1.2512941978774879E-3</v>
      </c>
      <c r="J172" s="33">
        <f ca="1">_xll.DBRW($C$1,$C$2,$C$3,$C$4,$C$6,$C$5,$C$7,J$1,J$2,$A172)</f>
        <v>-6.2353931425955808E-3</v>
      </c>
      <c r="K172" s="33">
        <f ca="1">_xll.DBRW($C$1,$C$2,$C$3,$C$4,$C$6,$C$5,$C$7,K$1,K$2,$A172)</f>
        <v>-7.1915917995647227E-2</v>
      </c>
      <c r="L172" s="33">
        <f ca="1">_xll.DBRW($C$1,$C$2,$C$3,$C$4,$C$6,$C$5,$C$7,L$1,L$2,$A172)</f>
        <v>-1.8032706666666665E-2</v>
      </c>
      <c r="M172" s="33">
        <f ca="1">_xll.DBRW($C$1,$C$2,$C$3,$C$4,$C$6,$C$5,$C$7,M$1,M$2,$A172)</f>
        <v>-6.1510123370981263E-5</v>
      </c>
      <c r="N172" s="33">
        <f ca="1">_xll.DBRW($C$1,$C$2,$C$3,$C$4,$C$6,$C$5,$C$7,N$1,N$2,$A172)</f>
        <v>1.5996347793885083E-3</v>
      </c>
      <c r="O172" s="33">
        <f ca="1">_xll.DBRW($C$1,$C$2,$C$3,$C$4,$C$6,$C$5,$C$7,O$1,O$2,$A172)</f>
        <v>1.5985899322940949E-3</v>
      </c>
      <c r="P172" s="33">
        <f ca="1">_xll.DBRW($C$1,$C$2,$C$3,$C$4,$C$6,$C$5,$C$7,P$1,P$2,$A172)</f>
        <v>1.59073570478709E-3</v>
      </c>
      <c r="Q172" s="33">
        <f ca="1">_xll.DBRW($C$1,$C$2,$C$3,$C$4,$C$6,$C$5,$C$7,Q$1,Q$2,$A172)</f>
        <v>1.5657869431463056E-3</v>
      </c>
      <c r="R172" s="33">
        <f ca="1">_xll.DBRW($C$1,$C$2,$C$3,$C$4,$C$6,$C$5,$C$7,R$1,R$2,$A172)</f>
        <v>1.5387401576664047E-3</v>
      </c>
      <c r="S172" s="33">
        <f ca="1">_xll.DBRW($C$1,$C$2,$C$3,$C$4,$C$6,$C$5,$C$7,S$1,S$2,$A172)</f>
        <v>1.5078338382602846E-3</v>
      </c>
      <c r="T172" s="33">
        <f ca="1">_xll.DBRW($C$1,$C$2,$C$3,$C$4,$C$6,$C$5,$C$7,T$1,T$2,$A172)</f>
        <v>3.7899317543423831E-3</v>
      </c>
      <c r="U172" s="33">
        <f ca="1">_xll.DBRW($C$1,$C$2,$C$3,$C$4,$C$6,$C$5,$C$7,U$1,U$2,$A172)</f>
        <v>5.0115845501031344E-3</v>
      </c>
      <c r="V172" s="33">
        <f ca="1">_xll.DBRW($C$1,$C$2,$C$3,$C$4,$C$6,$C$5,$C$7,V$1,V$2,$A172)</f>
        <v>1.4264312989435788E-3</v>
      </c>
      <c r="W172" s="33">
        <f ca="1">_xll.DBRW($C$1,$C$2,$C$3,$C$4,$C$6,$C$5,$C$7,W$1,W$2,$A172)</f>
        <v>8.0256915090120354E-3</v>
      </c>
      <c r="X172" s="33">
        <f ca="1">_xll.DBRW($C$1,$C$2,$C$3,$C$4,$C$6,$C$5,$C$7,X$1,X$2,$A172)</f>
        <v>7.9860480466009149E-3</v>
      </c>
      <c r="Y172" s="33">
        <f ca="1">_xll.DBRW($C$1,$C$2,$C$3,$C$4,$C$6,$C$5,$C$7,Y$1,Y$2,$A172)</f>
        <v>7.9860480466009149E-3</v>
      </c>
      <c r="Z172" s="33">
        <f ca="1">_xll.DBRW($C$1,$C$2,$C$3,$C$4,$C$6,$C$5,$C$7,Z$1,Z$2,$A172)</f>
        <v>-3.654362416107382E-3</v>
      </c>
      <c r="AA172" s="33">
        <f ca="1">_xll.DBRW($C$1,$C$2,$C$3,$C$4,$C$6,$C$5,$C$7,AA$1,AA$2,$A172)</f>
        <v>-7.1234899328859059E-3</v>
      </c>
      <c r="AB172" s="33">
        <f ca="1">_xll.DBRW($C$1,$C$2,$C$3,$C$4,$C$6,$C$5,$C$7,AB$1,AB$2,$A172)</f>
        <v>-1.1035570469798658E-2</v>
      </c>
      <c r="AC172" s="33">
        <f ca="1">_xll.DBRW($C$1,$C$2,$C$3,$C$4,$C$6,$C$5,$C$7,AC$1,AC$2,$A172)</f>
        <v>-1.4716778523489933E-2</v>
      </c>
      <c r="AD172" s="33">
        <f ca="1">_xll.DBRW($C$1,$C$2,$C$3,$C$4,$C$6,$C$5,$C$7,AD$1,AD$2,$A172)</f>
        <v>-1.8712080536912753E-2</v>
      </c>
      <c r="AE172" s="33">
        <f ca="1">_xll.DBRW($C$1,$C$2,$C$3,$C$4,$C$6,$C$5,$C$7,AE$1,AE$2,$A172)</f>
        <v>-2.2601342281879197E-2</v>
      </c>
      <c r="AF172" s="33">
        <f ca="1">_xll.DBRW($C$1,$C$2,$C$3,$C$4,$C$6,$C$5,$C$7,AF$1,AF$2,$A172)</f>
        <v>-2.6387919463087252E-2</v>
      </c>
      <c r="AG172" s="33">
        <f ca="1">_xll.DBRW($C$1,$C$2,$C$3,$C$4,$C$6,$C$5,$C$7,AG$1,AG$2,$A172)</f>
        <v>-3.038120805369128E-2</v>
      </c>
      <c r="AH172" s="33">
        <f ca="1">_xll.DBRW($C$1,$C$2,$C$3,$C$4,$C$6,$C$5,$C$7,AH$1,AH$2,$A172)</f>
        <v>-3.4167114093959734E-2</v>
      </c>
      <c r="AI172" s="33">
        <f ca="1">_xll.DBRW($C$1,$C$2,$C$3,$C$4,$C$6,$C$5,$C$7,AI$1,AI$2,$A172)</f>
        <v>-3.8057718120805377E-2</v>
      </c>
      <c r="AJ172" s="33">
        <f ca="1">_xll.DBRW($C$1,$C$2,$C$3,$C$4,$C$6,$C$5,$C$7,AJ$1,AJ$2,$A172)</f>
        <v>-4.1946979865771818E-2</v>
      </c>
      <c r="AK172" s="33">
        <f ca="1">_xll.DBRW($C$1,$C$2,$C$3,$C$4,$C$6,$C$5,$C$7,AK$1,AK$2,$A172)</f>
        <v>-4.5732885906040271E-2</v>
      </c>
      <c r="AL172" s="33">
        <f ca="1">_xll.DBRW($C$1,$C$2,$C$3,$C$4,$C$6,$C$5,$C$7,AL$1,AL$2,$A172)</f>
        <v>-4.5732885906040271E-2</v>
      </c>
      <c r="AM172" s="33">
        <f ca="1">_xll.DBRW($C$1,$C$2,$C$3,$C$4,$C$6,$C$5,$C$7,AM$1,AM$2,$A172)</f>
        <v>-7.1566451357622351E-5</v>
      </c>
      <c r="AN172" s="33">
        <f ca="1">_xll.DBRW($C$1,$C$2,$C$3,$C$4,$C$6,$C$5,$C$7,AN$1,AN$2,$A172)</f>
        <v>-1.43057661275903E-4</v>
      </c>
      <c r="AO172" s="33">
        <f ca="1">_xll.DBRW($C$1,$C$2,$C$3,$C$4,$C$6,$C$5,$C$7,AO$1,AO$2,$A172)</f>
        <v>0</v>
      </c>
      <c r="AP172" s="33">
        <f ca="1">_xll.DBRW($C$1,$C$2,$C$3,$C$4,$C$6,$C$5,$C$7,AP$1,AP$2,$A172)</f>
        <v>0</v>
      </c>
      <c r="AQ172" s="33">
        <f ca="1">_xll.DBRW($C$1,$C$2,$C$3,$C$4,$C$6,$C$5,$C$7,AQ$1,AQ$2,$A172)</f>
        <v>0</v>
      </c>
      <c r="AR172" s="33">
        <f ca="1">_xll.DBRW($C$1,$C$2,$C$3,$C$4,$C$6,$C$5,$C$7,AR$1,AR$2,$A172)</f>
        <v>0</v>
      </c>
      <c r="AS172" s="33">
        <f ca="1">_xll.DBRW($C$1,$C$2,$C$3,$C$4,$C$6,$C$5,$C$7,AS$1,AS$2,$A172)</f>
        <v>0</v>
      </c>
      <c r="AT172" s="33">
        <f ca="1">_xll.DBRW($C$1,$C$2,$C$3,$C$4,$C$6,$C$5,$C$7,AT$1,AT$2,$A172)</f>
        <v>0</v>
      </c>
      <c r="AU172" s="33">
        <f ca="1">_xll.DBRW($C$1,$C$2,$C$3,$C$4,$C$6,$C$5,$C$7,AU$1,AU$2,$A172)</f>
        <v>0</v>
      </c>
      <c r="AV172" s="33">
        <f ca="1">_xll.DBRW($C$1,$C$2,$C$3,$C$4,$C$6,$C$5,$C$7,AV$1,AV$2,$A172)</f>
        <v>0</v>
      </c>
      <c r="AW172" s="33">
        <f ca="1">_xll.DBRW($C$1,$C$2,$C$3,$C$4,$C$6,$C$5,$C$7,AW$1,AW$2,$A172)</f>
        <v>0</v>
      </c>
      <c r="AX172" s="33">
        <f ca="1">_xll.DBRW($C$1,$C$2,$C$3,$C$4,$C$6,$C$5,$C$7,AX$1,AX$2,$A172)</f>
        <v>0</v>
      </c>
      <c r="AY172" s="33">
        <f ca="1">_xll.DBRW($C$1,$C$2,$C$3,$C$4,$C$6,$C$5,$C$7,AY$1,AY$2,$A172)</f>
        <v>0</v>
      </c>
    </row>
    <row r="173" spans="1:51" ht="15.5" hidden="1" outlineLevel="1" collapsed="1">
      <c r="A173" s="1" t="s">
        <v>142</v>
      </c>
      <c r="C173" s="104"/>
      <c r="E173" s="15" t="s">
        <v>41</v>
      </c>
      <c r="F173" s="34">
        <f t="shared" ref="F173:L173" ca="1" si="103">SUM(F156:F172)</f>
        <v>-331.79535172017313</v>
      </c>
      <c r="G173" s="34">
        <f t="shared" ca="1" si="103"/>
        <v>-309.94570925786218</v>
      </c>
      <c r="H173" s="34">
        <f t="shared" ca="1" si="103"/>
        <v>-558.68443166810357</v>
      </c>
      <c r="I173" s="34">
        <f t="shared" ca="1" si="103"/>
        <v>-265.50200256517496</v>
      </c>
      <c r="J173" s="34">
        <f t="shared" ca="1" si="103"/>
        <v>-521.01312488983774</v>
      </c>
      <c r="K173" s="34">
        <f t="shared" ca="1" si="103"/>
        <v>-523.99457052932564</v>
      </c>
      <c r="L173" s="34">
        <f t="shared" ca="1" si="103"/>
        <v>-484.10577494800629</v>
      </c>
      <c r="M173" s="34">
        <f t="shared" ref="M173:X173" ca="1" si="104">SUM(M156:M172)</f>
        <v>-13.607667942717097</v>
      </c>
      <c r="N173" s="34">
        <f t="shared" ca="1" si="104"/>
        <v>-84.971010303856531</v>
      </c>
      <c r="O173" s="34">
        <f t="shared" ca="1" si="104"/>
        <v>-131.49487038412221</v>
      </c>
      <c r="P173" s="34">
        <f t="shared" ca="1" si="104"/>
        <v>-173.25490988979689</v>
      </c>
      <c r="Q173" s="34">
        <f t="shared" ca="1" si="104"/>
        <v>-220.40020924923334</v>
      </c>
      <c r="R173" s="34">
        <f t="shared" ca="1" si="104"/>
        <v>-251.37345377885987</v>
      </c>
      <c r="S173" s="34">
        <f t="shared" ca="1" si="104"/>
        <v>-105.8157608101483</v>
      </c>
      <c r="T173" s="34">
        <f t="shared" ca="1" si="104"/>
        <v>-353.27553054160575</v>
      </c>
      <c r="U173" s="34">
        <f t="shared" ca="1" si="104"/>
        <v>-401.78998925914391</v>
      </c>
      <c r="V173" s="34">
        <f t="shared" ca="1" si="104"/>
        <v>-162.19346741681449</v>
      </c>
      <c r="W173" s="34">
        <f t="shared" ca="1" si="104"/>
        <v>-487.33455168522892</v>
      </c>
      <c r="X173" s="34">
        <f t="shared" ca="1" si="104"/>
        <v>-550.67987567303646</v>
      </c>
      <c r="Y173" s="34">
        <f ca="1">SUM(Y156:Y172)</f>
        <v>-550.67987567303646</v>
      </c>
      <c r="Z173" s="34">
        <f t="shared" ref="Z173:AK173" ca="1" si="105">SUM(Z156:Z172)</f>
        <v>-49.32199230161428</v>
      </c>
      <c r="AA173" s="34">
        <f t="shared" ca="1" si="105"/>
        <v>-97.646939810020129</v>
      </c>
      <c r="AB173" s="34">
        <f t="shared" ca="1" si="105"/>
        <v>-149.38955950401689</v>
      </c>
      <c r="AC173" s="34">
        <f t="shared" ca="1" si="105"/>
        <v>-199.41068001501986</v>
      </c>
      <c r="AD173" s="34">
        <f t="shared" ca="1" si="105"/>
        <v>-249.81627656271652</v>
      </c>
      <c r="AE173" s="34">
        <f t="shared" ca="1" si="105"/>
        <v>-298.01636580575456</v>
      </c>
      <c r="AF173" s="34">
        <f t="shared" ca="1" si="105"/>
        <v>-347.9429516647964</v>
      </c>
      <c r="AG173" s="34">
        <f t="shared" ca="1" si="105"/>
        <v>-397.84834891401192</v>
      </c>
      <c r="AH173" s="34">
        <f t="shared" ca="1" si="105"/>
        <v>-447.78496848399823</v>
      </c>
      <c r="AI173" s="34">
        <f t="shared" ca="1" si="105"/>
        <v>-497.95387594988608</v>
      </c>
      <c r="AJ173" s="34">
        <f t="shared" ca="1" si="105"/>
        <v>-547.29039010117037</v>
      </c>
      <c r="AK173" s="34">
        <f t="shared" ca="1" si="105"/>
        <v>-595.51103067725364</v>
      </c>
      <c r="AL173" s="34">
        <f ca="1">SUM(AL156:AL172)</f>
        <v>-595.51103067725364</v>
      </c>
      <c r="AM173" s="34">
        <f t="shared" ref="AM173:AX173" ca="1" si="106">SUM(AM156:AM172)</f>
        <v>-20.190702695766408</v>
      </c>
      <c r="AN173" s="34">
        <f t="shared" ca="1" si="106"/>
        <v>-98.756655179028058</v>
      </c>
      <c r="AO173" s="34">
        <f t="shared" ca="1" si="106"/>
        <v>2.1823688689526222E-14</v>
      </c>
      <c r="AP173" s="34">
        <f t="shared" ca="1" si="106"/>
        <v>2.1823688689526222E-14</v>
      </c>
      <c r="AQ173" s="34">
        <f t="shared" ca="1" si="106"/>
        <v>2.1823688689526222E-14</v>
      </c>
      <c r="AR173" s="34">
        <f t="shared" ca="1" si="106"/>
        <v>2.1823688689526222E-14</v>
      </c>
      <c r="AS173" s="34">
        <f t="shared" ca="1" si="106"/>
        <v>2.1823688689526222E-14</v>
      </c>
      <c r="AT173" s="34">
        <f t="shared" ca="1" si="106"/>
        <v>2.1823688689526222E-14</v>
      </c>
      <c r="AU173" s="34">
        <f t="shared" ca="1" si="106"/>
        <v>2.1823688689526222E-14</v>
      </c>
      <c r="AV173" s="34">
        <f t="shared" ca="1" si="106"/>
        <v>2.1823688689526222E-14</v>
      </c>
      <c r="AW173" s="34">
        <f t="shared" ca="1" si="106"/>
        <v>2.1823688689526222E-14</v>
      </c>
      <c r="AX173" s="34">
        <f t="shared" ca="1" si="106"/>
        <v>2.1823688689526222E-14</v>
      </c>
      <c r="AY173" s="34">
        <f ca="1">SUM(AY156:AY172)</f>
        <v>2.1823688689526222E-14</v>
      </c>
    </row>
    <row r="174" spans="1:51" ht="15.75" hidden="1" customHeight="1" outlineLevel="2">
      <c r="A174" s="1" t="s">
        <v>263</v>
      </c>
      <c r="C174" s="104"/>
      <c r="E174" s="9" t="str">
        <f ca="1">_xll.DBRW(Server&amp;"}ElementAttributes_Indicator",A174,"code_English")</f>
        <v>PL1100_AC - Capitalized production recognized as inventory, change in inventories (AC)</v>
      </c>
      <c r="F174" s="33">
        <f ca="1">_xll.DBRW($C$1,$C$2,$C$3,$C$4,$C$6,$C$5,$C$7,F$1,F$2,$A174)</f>
        <v>0.74797354999999999</v>
      </c>
      <c r="G174" s="33">
        <f ca="1">_xll.DBRW($C$1,$C$2,$C$3,$C$4,$C$6,$C$5,$C$7,G$1,G$2,$A174)</f>
        <v>1.2011073799999998</v>
      </c>
      <c r="H174" s="33">
        <f ca="1">_xll.DBRW($C$1,$C$2,$C$3,$C$4,$C$6,$C$5,$C$7,H$1,H$2,$A174)</f>
        <v>1.2594856499999998</v>
      </c>
      <c r="I174" s="33">
        <f ca="1">_xll.DBRW($C$1,$C$2,$C$3,$C$4,$C$6,$C$5,$C$7,I$1,I$2,$A174)</f>
        <v>3.0160881200000005</v>
      </c>
      <c r="J174" s="33">
        <f ca="1">_xll.DBRW($C$1,$C$2,$C$3,$C$4,$C$6,$C$5,$C$7,J$1,J$2,$A174)</f>
        <v>-61.963999619999989</v>
      </c>
      <c r="K174" s="33">
        <f ca="1">_xll.DBRW($C$1,$C$2,$C$3,$C$4,$C$6,$C$5,$C$7,K$1,K$2,$A174)</f>
        <v>-8.7585730000000139E-2</v>
      </c>
      <c r="L174" s="33">
        <f ca="1">_xll.DBRW($C$1,$C$2,$C$3,$C$4,$C$6,$C$5,$C$7,L$1,L$2,$A174)</f>
        <v>3.9999960000000001E-2</v>
      </c>
      <c r="M174" s="33">
        <f ca="1">_xll.DBRW($C$1,$C$2,$C$3,$C$4,$C$6,$C$5,$C$7,M$1,M$2,$A174)</f>
        <v>0</v>
      </c>
      <c r="N174" s="33">
        <f ca="1">_xll.DBRW($C$1,$C$2,$C$3,$C$4,$C$6,$C$5,$C$7,N$1,N$2,$A174)</f>
        <v>-8.9196509999999993E-2</v>
      </c>
      <c r="O174" s="33">
        <f ca="1">_xll.DBRW($C$1,$C$2,$C$3,$C$4,$C$6,$C$5,$C$7,O$1,O$2,$A174)</f>
        <v>-0.15599522999999998</v>
      </c>
      <c r="P174" s="33">
        <f ca="1">_xll.DBRW($C$1,$C$2,$C$3,$C$4,$C$6,$C$5,$C$7,P$1,P$2,$A174)</f>
        <v>-0.19066555999999998</v>
      </c>
      <c r="Q174" s="33">
        <f ca="1">_xll.DBRW($C$1,$C$2,$C$3,$C$4,$C$6,$C$5,$C$7,Q$1,Q$2,$A174)</f>
        <v>-0.18988653</v>
      </c>
      <c r="R174" s="33">
        <f ca="1">_xll.DBRW($C$1,$C$2,$C$3,$C$4,$C$6,$C$5,$C$7,R$1,R$2,$A174)</f>
        <v>-0.26115249000000001</v>
      </c>
      <c r="S174" s="33">
        <f ca="1">_xll.DBRW($C$1,$C$2,$C$3,$C$4,$C$6,$C$5,$C$7,S$1,S$2,$A174)</f>
        <v>1.3877787807814457E-17</v>
      </c>
      <c r="T174" s="33">
        <f ca="1">_xll.DBRW($C$1,$C$2,$C$3,$C$4,$C$6,$C$5,$C$7,T$1,T$2,$A174)</f>
        <v>-0.31298867999999996</v>
      </c>
      <c r="U174" s="33">
        <f ca="1">_xll.DBRW($C$1,$C$2,$C$3,$C$4,$C$6,$C$5,$C$7,U$1,U$2,$A174)</f>
        <v>-0.34617251999999998</v>
      </c>
      <c r="V174" s="33">
        <f ca="1">_xll.DBRW($C$1,$C$2,$C$3,$C$4,$C$6,$C$5,$C$7,V$1,V$2,$A174)</f>
        <v>1.3877787807814457E-17</v>
      </c>
      <c r="W174" s="33">
        <f ca="1">_xll.DBRW($C$1,$C$2,$C$3,$C$4,$C$6,$C$5,$C$7,W$1,W$2,$A174)</f>
        <v>-0.41468061000000001</v>
      </c>
      <c r="X174" s="33">
        <f ca="1">_xll.DBRW($C$1,$C$2,$C$3,$C$4,$C$6,$C$5,$C$7,X$1,X$2,$A174)</f>
        <v>-0.58354309999999998</v>
      </c>
      <c r="Y174" s="33">
        <f ca="1">_xll.DBRW($C$1,$C$2,$C$3,$C$4,$C$6,$C$5,$C$7,Y$1,Y$2,$A174)</f>
        <v>-0.58354309999999998</v>
      </c>
      <c r="Z174" s="33">
        <f ca="1">_xll.DBRW($C$1,$C$2,$C$3,$C$4,$C$6,$C$5,$C$7,Z$1,Z$2,$A174)</f>
        <v>3.3333299999999998E-3</v>
      </c>
      <c r="AA174" s="33">
        <f ca="1">_xll.DBRW($C$1,$C$2,$C$3,$C$4,$C$6,$C$5,$C$7,AA$1,AA$2,$A174)</f>
        <v>6.6666599999999996E-3</v>
      </c>
      <c r="AB174" s="33">
        <f ca="1">_xll.DBRW($C$1,$C$2,$C$3,$C$4,$C$6,$C$5,$C$7,AB$1,AB$2,$A174)</f>
        <v>9.9999900000000003E-3</v>
      </c>
      <c r="AC174" s="33">
        <f ca="1">_xll.DBRW($C$1,$C$2,$C$3,$C$4,$C$6,$C$5,$C$7,AC$1,AC$2,$A174)</f>
        <v>1.3333319999999999E-2</v>
      </c>
      <c r="AD174" s="33">
        <f ca="1">_xll.DBRW($C$1,$C$2,$C$3,$C$4,$C$6,$C$5,$C$7,AD$1,AD$2,$A174)</f>
        <v>1.6666650000000002E-2</v>
      </c>
      <c r="AE174" s="33">
        <f ca="1">_xll.DBRW($C$1,$C$2,$C$3,$C$4,$C$6,$C$5,$C$7,AE$1,AE$2,$A174)</f>
        <v>1.9999980000000001E-2</v>
      </c>
      <c r="AF174" s="33">
        <f ca="1">_xll.DBRW($C$1,$C$2,$C$3,$C$4,$C$6,$C$5,$C$7,AF$1,AF$2,$A174)</f>
        <v>2.3333310000000003E-2</v>
      </c>
      <c r="AG174" s="33">
        <f ca="1">_xll.DBRW($C$1,$C$2,$C$3,$C$4,$C$6,$C$5,$C$7,AG$1,AG$2,$A174)</f>
        <v>2.6666640000000002E-2</v>
      </c>
      <c r="AH174" s="33">
        <f ca="1">_xll.DBRW($C$1,$C$2,$C$3,$C$4,$C$6,$C$5,$C$7,AH$1,AH$2,$A174)</f>
        <v>2.9999970000000004E-2</v>
      </c>
      <c r="AI174" s="33">
        <f ca="1">_xll.DBRW($C$1,$C$2,$C$3,$C$4,$C$6,$C$5,$C$7,AI$1,AI$2,$A174)</f>
        <v>3.3333300000000003E-2</v>
      </c>
      <c r="AJ174" s="33">
        <f ca="1">_xll.DBRW($C$1,$C$2,$C$3,$C$4,$C$6,$C$5,$C$7,AJ$1,AJ$2,$A174)</f>
        <v>3.6666629999999999E-2</v>
      </c>
      <c r="AK174" s="33">
        <f ca="1">_xll.DBRW($C$1,$C$2,$C$3,$C$4,$C$6,$C$5,$C$7,AK$1,AK$2,$A174)</f>
        <v>3.9999960000000001E-2</v>
      </c>
      <c r="AL174" s="33">
        <f ca="1">_xll.DBRW($C$1,$C$2,$C$3,$C$4,$C$6,$C$5,$C$7,AL$1,AL$2,$A174)</f>
        <v>3.9999960000000001E-2</v>
      </c>
      <c r="AM174" s="33">
        <f ca="1">_xll.DBRW($C$1,$C$2,$C$3,$C$4,$C$6,$C$5,$C$7,AM$1,AM$2,$A174)</f>
        <v>0</v>
      </c>
      <c r="AN174" s="33">
        <f ca="1">_xll.DBRW($C$1,$C$2,$C$3,$C$4,$C$6,$C$5,$C$7,AN$1,AN$2,$A174)</f>
        <v>2.2271630000000001E-2</v>
      </c>
      <c r="AO174" s="33">
        <f ca="1">_xll.DBRW($C$1,$C$2,$C$3,$C$4,$C$6,$C$5,$C$7,AO$1,AO$2,$A174)</f>
        <v>0</v>
      </c>
      <c r="AP174" s="33">
        <f ca="1">_xll.DBRW($C$1,$C$2,$C$3,$C$4,$C$6,$C$5,$C$7,AP$1,AP$2,$A174)</f>
        <v>0</v>
      </c>
      <c r="AQ174" s="33">
        <f ca="1">_xll.DBRW($C$1,$C$2,$C$3,$C$4,$C$6,$C$5,$C$7,AQ$1,AQ$2,$A174)</f>
        <v>0</v>
      </c>
      <c r="AR174" s="33">
        <f ca="1">_xll.DBRW($C$1,$C$2,$C$3,$C$4,$C$6,$C$5,$C$7,AR$1,AR$2,$A174)</f>
        <v>0</v>
      </c>
      <c r="AS174" s="33">
        <f ca="1">_xll.DBRW($C$1,$C$2,$C$3,$C$4,$C$6,$C$5,$C$7,AS$1,AS$2,$A174)</f>
        <v>0</v>
      </c>
      <c r="AT174" s="33">
        <f ca="1">_xll.DBRW($C$1,$C$2,$C$3,$C$4,$C$6,$C$5,$C$7,AT$1,AT$2,$A174)</f>
        <v>0</v>
      </c>
      <c r="AU174" s="33">
        <f ca="1">_xll.DBRW($C$1,$C$2,$C$3,$C$4,$C$6,$C$5,$C$7,AU$1,AU$2,$A174)</f>
        <v>0</v>
      </c>
      <c r="AV174" s="33">
        <f ca="1">_xll.DBRW($C$1,$C$2,$C$3,$C$4,$C$6,$C$5,$C$7,AV$1,AV$2,$A174)</f>
        <v>0</v>
      </c>
      <c r="AW174" s="33">
        <f ca="1">_xll.DBRW($C$1,$C$2,$C$3,$C$4,$C$6,$C$5,$C$7,AW$1,AW$2,$A174)</f>
        <v>0</v>
      </c>
      <c r="AX174" s="33">
        <f ca="1">_xll.DBRW($C$1,$C$2,$C$3,$C$4,$C$6,$C$5,$C$7,AX$1,AX$2,$A174)</f>
        <v>0</v>
      </c>
      <c r="AY174" s="33">
        <f ca="1">_xll.DBRW($C$1,$C$2,$C$3,$C$4,$C$6,$C$5,$C$7,AY$1,AY$2,$A174)</f>
        <v>0</v>
      </c>
    </row>
    <row r="175" spans="1:51" ht="15.75" hidden="1" customHeight="1" outlineLevel="2">
      <c r="A175" s="1" t="s">
        <v>264</v>
      </c>
      <c r="C175" s="104"/>
      <c r="E175" s="9" t="str">
        <f ca="1">_xll.DBRW(Server&amp;"}ElementAttributes_Indicator",A175,"code_English")</f>
        <v>PL1110_AC_20 - Health insurance costs (COS)</v>
      </c>
      <c r="F175" s="33">
        <f ca="1">_xll.DBRW($C$1,$C$2,$C$3,$C$4,$C$6,$C$5,$C$7,F$1,F$2,$A175)</f>
        <v>-64.138706063035855</v>
      </c>
      <c r="G175" s="33">
        <f ca="1">_xll.DBRW($C$1,$C$2,$C$3,$C$4,$C$6,$C$5,$C$7,G$1,G$2,$A175)</f>
        <v>-65.702614033552237</v>
      </c>
      <c r="H175" s="33">
        <f ca="1">_xll.DBRW($C$1,$C$2,$C$3,$C$4,$C$6,$C$5,$C$7,H$1,H$2,$A175)</f>
        <v>-62.177272719075219</v>
      </c>
      <c r="I175" s="33">
        <f ca="1">_xll.DBRW($C$1,$C$2,$C$3,$C$4,$C$6,$C$5,$C$7,I$1,I$2,$A175)</f>
        <v>-70.423711098349386</v>
      </c>
      <c r="J175" s="33">
        <f ca="1">_xll.DBRW($C$1,$C$2,$C$3,$C$4,$C$6,$C$5,$C$7,J$1,J$2,$A175)</f>
        <v>-67.839366125189969</v>
      </c>
      <c r="K175" s="33">
        <f ca="1">_xll.DBRW($C$1,$C$2,$C$3,$C$4,$C$6,$C$5,$C$7,K$1,K$2,$A175)</f>
        <v>-62.116427554854411</v>
      </c>
      <c r="L175" s="33">
        <f ca="1">_xll.DBRW($C$1,$C$2,$C$3,$C$4,$C$6,$C$5,$C$7,L$1,L$2,$A175)</f>
        <v>-63.416305023999996</v>
      </c>
      <c r="M175" s="33">
        <f ca="1">_xll.DBRW($C$1,$C$2,$C$3,$C$4,$C$6,$C$5,$C$7,M$1,M$2,$A175)</f>
        <v>0</v>
      </c>
      <c r="N175" s="33">
        <f ca="1">_xll.DBRW($C$1,$C$2,$C$3,$C$4,$C$6,$C$5,$C$7,N$1,N$2,$A175)</f>
        <v>-11.598803020959368</v>
      </c>
      <c r="O175" s="33">
        <f ca="1">_xll.DBRW($C$1,$C$2,$C$3,$C$4,$C$6,$C$5,$C$7,O$1,O$2,$A175)</f>
        <v>-17.196164793161024</v>
      </c>
      <c r="P175" s="33">
        <f ca="1">_xll.DBRW($C$1,$C$2,$C$3,$C$4,$C$6,$C$5,$C$7,P$1,P$2,$A175)</f>
        <v>-22.818524868525913</v>
      </c>
      <c r="Q175" s="33">
        <f ca="1">_xll.DBRW($C$1,$C$2,$C$3,$C$4,$C$6,$C$5,$C$7,Q$1,Q$2,$A175)</f>
        <v>-28.862020333547513</v>
      </c>
      <c r="R175" s="33">
        <f ca="1">_xll.DBRW($C$1,$C$2,$C$3,$C$4,$C$6,$C$5,$C$7,R$1,R$2,$A175)</f>
        <v>-34.58678064941698</v>
      </c>
      <c r="S175" s="33">
        <f ca="1">_xll.DBRW($C$1,$C$2,$C$3,$C$4,$C$6,$C$5,$C$7,S$1,S$2,$A175)</f>
        <v>-1.7763568394002505E-15</v>
      </c>
      <c r="T175" s="33">
        <f ca="1">_xll.DBRW($C$1,$C$2,$C$3,$C$4,$C$6,$C$5,$C$7,T$1,T$2,$A175)</f>
        <v>-46.726098374445009</v>
      </c>
      <c r="U175" s="33">
        <f ca="1">_xll.DBRW($C$1,$C$2,$C$3,$C$4,$C$6,$C$5,$C$7,U$1,U$2,$A175)</f>
        <v>-52.761835380259718</v>
      </c>
      <c r="V175" s="33">
        <f ca="1">_xll.DBRW($C$1,$C$2,$C$3,$C$4,$C$6,$C$5,$C$7,V$1,V$2,$A175)</f>
        <v>5.3290705182007514E-15</v>
      </c>
      <c r="W175" s="33">
        <f ca="1">_xll.DBRW($C$1,$C$2,$C$3,$C$4,$C$6,$C$5,$C$7,W$1,W$2,$A175)</f>
        <v>-65.274188173754737</v>
      </c>
      <c r="X175" s="33">
        <f ca="1">_xll.DBRW($C$1,$C$2,$C$3,$C$4,$C$6,$C$5,$C$7,X$1,X$2,$A175)</f>
        <v>-70.742390397706544</v>
      </c>
      <c r="Y175" s="33">
        <f ca="1">_xll.DBRW($C$1,$C$2,$C$3,$C$4,$C$6,$C$5,$C$7,Y$1,Y$2,$A175)</f>
        <v>-70.742390397706544</v>
      </c>
      <c r="Z175" s="33">
        <f ca="1">_xll.DBRW($C$1,$C$2,$C$3,$C$4,$C$6,$C$5,$C$7,Z$1,Z$2,$A175)</f>
        <v>-6.7842153199999977</v>
      </c>
      <c r="AA175" s="33">
        <f ca="1">_xll.DBRW($C$1,$C$2,$C$3,$C$4,$C$6,$C$5,$C$7,AA$1,AA$2,$A175)</f>
        <v>-13.590930639999996</v>
      </c>
      <c r="AB175" s="33">
        <f ca="1">_xll.DBRW($C$1,$C$2,$C$3,$C$4,$C$6,$C$5,$C$7,AB$1,AB$2,$A175)</f>
        <v>-20.475229289999994</v>
      </c>
      <c r="AC175" s="33">
        <f ca="1">_xll.DBRW($C$1,$C$2,$C$3,$C$4,$C$6,$C$5,$C$7,AC$1,AC$2,$A175)</f>
        <v>-27.493777939999994</v>
      </c>
      <c r="AD175" s="33">
        <f ca="1">_xll.DBRW($C$1,$C$2,$C$3,$C$4,$C$6,$C$5,$C$7,AD$1,AD$2,$A175)</f>
        <v>-34.511169259999996</v>
      </c>
      <c r="AE175" s="33">
        <f ca="1">_xll.DBRW($C$1,$C$2,$C$3,$C$4,$C$6,$C$5,$C$7,AE$1,AE$2,$A175)</f>
        <v>-41.544516479999992</v>
      </c>
      <c r="AF175" s="33">
        <f ca="1">_xll.DBRW($C$1,$C$2,$C$3,$C$4,$C$6,$C$5,$C$7,AF$1,AF$2,$A175)</f>
        <v>-48.991243419999996</v>
      </c>
      <c r="AG175" s="33">
        <f ca="1">_xll.DBRW($C$1,$C$2,$C$3,$C$4,$C$6,$C$5,$C$7,AG$1,AG$2,$A175)</f>
        <v>-56.310044639999994</v>
      </c>
      <c r="AH175" s="33">
        <f ca="1">_xll.DBRW($C$1,$C$2,$C$3,$C$4,$C$6,$C$5,$C$7,AH$1,AH$2,$A175)</f>
        <v>-63.629583859999997</v>
      </c>
      <c r="AI175" s="33">
        <f ca="1">_xll.DBRW($C$1,$C$2,$C$3,$C$4,$C$6,$C$5,$C$7,AI$1,AI$2,$A175)</f>
        <v>-70.792462829999991</v>
      </c>
      <c r="AJ175" s="33">
        <f ca="1">_xll.DBRW($C$1,$C$2,$C$3,$C$4,$C$6,$C$5,$C$7,AJ$1,AJ$2,$A175)</f>
        <v>-77.955341799999985</v>
      </c>
      <c r="AK175" s="33">
        <f ca="1">_xll.DBRW($C$1,$C$2,$C$3,$C$4,$C$6,$C$5,$C$7,AK$1,AK$2,$A175)</f>
        <v>-85.106365489999988</v>
      </c>
      <c r="AL175" s="33">
        <f ca="1">_xll.DBRW($C$1,$C$2,$C$3,$C$4,$C$6,$C$5,$C$7,AL$1,AL$2,$A175)</f>
        <v>-85.106365489999988</v>
      </c>
      <c r="AM175" s="33">
        <f ca="1">_xll.DBRW($C$1,$C$2,$C$3,$C$4,$C$6,$C$5,$C$7,AM$1,AM$2,$A175)</f>
        <v>-6.1156422509053776</v>
      </c>
      <c r="AN175" s="33">
        <f ca="1">_xll.DBRW($C$1,$C$2,$C$3,$C$4,$C$6,$C$5,$C$7,AN$1,AN$2,$A175)</f>
        <v>-12.410278959788865</v>
      </c>
      <c r="AO175" s="33">
        <f ca="1">_xll.DBRW($C$1,$C$2,$C$3,$C$4,$C$6,$C$5,$C$7,AO$1,AO$2,$A175)</f>
        <v>0</v>
      </c>
      <c r="AP175" s="33">
        <f ca="1">_xll.DBRW($C$1,$C$2,$C$3,$C$4,$C$6,$C$5,$C$7,AP$1,AP$2,$A175)</f>
        <v>0</v>
      </c>
      <c r="AQ175" s="33">
        <f ca="1">_xll.DBRW($C$1,$C$2,$C$3,$C$4,$C$6,$C$5,$C$7,AQ$1,AQ$2,$A175)</f>
        <v>0</v>
      </c>
      <c r="AR175" s="33">
        <f ca="1">_xll.DBRW($C$1,$C$2,$C$3,$C$4,$C$6,$C$5,$C$7,AR$1,AR$2,$A175)</f>
        <v>0</v>
      </c>
      <c r="AS175" s="33">
        <f ca="1">_xll.DBRW($C$1,$C$2,$C$3,$C$4,$C$6,$C$5,$C$7,AS$1,AS$2,$A175)</f>
        <v>0</v>
      </c>
      <c r="AT175" s="33">
        <f ca="1">_xll.DBRW($C$1,$C$2,$C$3,$C$4,$C$6,$C$5,$C$7,AT$1,AT$2,$A175)</f>
        <v>0</v>
      </c>
      <c r="AU175" s="33">
        <f ca="1">_xll.DBRW($C$1,$C$2,$C$3,$C$4,$C$6,$C$5,$C$7,AU$1,AU$2,$A175)</f>
        <v>0</v>
      </c>
      <c r="AV175" s="33">
        <f ca="1">_xll.DBRW($C$1,$C$2,$C$3,$C$4,$C$6,$C$5,$C$7,AV$1,AV$2,$A175)</f>
        <v>0</v>
      </c>
      <c r="AW175" s="33">
        <f ca="1">_xll.DBRW($C$1,$C$2,$C$3,$C$4,$C$6,$C$5,$C$7,AW$1,AW$2,$A175)</f>
        <v>0</v>
      </c>
      <c r="AX175" s="33">
        <f ca="1">_xll.DBRW($C$1,$C$2,$C$3,$C$4,$C$6,$C$5,$C$7,AX$1,AX$2,$A175)</f>
        <v>0</v>
      </c>
      <c r="AY175" s="33">
        <f ca="1">_xll.DBRW($C$1,$C$2,$C$3,$C$4,$C$6,$C$5,$C$7,AY$1,AY$2,$A175)</f>
        <v>0</v>
      </c>
    </row>
    <row r="176" spans="1:51" ht="15.75" hidden="1" customHeight="1" outlineLevel="2">
      <c r="A176" s="1" t="s">
        <v>265</v>
      </c>
      <c r="C176" s="104"/>
      <c r="E176" s="9" t="str">
        <f ca="1">_xll.DBRW(Server&amp;"}ElementAttributes_Indicator",A176,"code_English")</f>
        <v>PL1115_AC_65 - Others (AC)</v>
      </c>
      <c r="F176" s="33">
        <f ca="1">_xll.DBRW($C$1,$C$2,$C$3,$C$4,$C$6,$C$5,$C$7,F$1,F$2,$A176)</f>
        <v>-55.96944820888266</v>
      </c>
      <c r="G176" s="33">
        <f ca="1">_xll.DBRW($C$1,$C$2,$C$3,$C$4,$C$6,$C$5,$C$7,G$1,G$2,$A176)</f>
        <v>-31.709815070721312</v>
      </c>
      <c r="H176" s="33">
        <f ca="1">_xll.DBRW($C$1,$C$2,$C$3,$C$4,$C$6,$C$5,$C$7,H$1,H$2,$A176)</f>
        <v>-30.677497957749068</v>
      </c>
      <c r="I176" s="33">
        <f ca="1">_xll.DBRW($C$1,$C$2,$C$3,$C$4,$C$6,$C$5,$C$7,I$1,I$2,$A176)</f>
        <v>-34.521559163536615</v>
      </c>
      <c r="J176" s="33">
        <f ca="1">_xll.DBRW($C$1,$C$2,$C$3,$C$4,$C$6,$C$5,$C$7,J$1,J$2,$A176)</f>
        <v>-33.503324741020982</v>
      </c>
      <c r="K176" s="33">
        <f ca="1">_xll.DBRW($C$1,$C$2,$C$3,$C$4,$C$6,$C$5,$C$7,K$1,K$2,$A176)</f>
        <v>-53.808503983405018</v>
      </c>
      <c r="L176" s="33">
        <f ca="1">_xll.DBRW($C$1,$C$2,$C$3,$C$4,$C$6,$C$5,$C$7,L$1,L$2,$A176)</f>
        <v>-52.34902643173691</v>
      </c>
      <c r="M176" s="33">
        <f ca="1">_xll.DBRW($C$1,$C$2,$C$3,$C$4,$C$6,$C$5,$C$7,M$1,M$2,$A176)</f>
        <v>-1.0217945817149283</v>
      </c>
      <c r="N176" s="33">
        <f ca="1">_xll.DBRW($C$1,$C$2,$C$3,$C$4,$C$6,$C$5,$C$7,N$1,N$2,$A176)</f>
        <v>-8.5722084252720148</v>
      </c>
      <c r="O176" s="33">
        <f ca="1">_xll.DBRW($C$1,$C$2,$C$3,$C$4,$C$6,$C$5,$C$7,O$1,O$2,$A176)</f>
        <v>-15.188910471388304</v>
      </c>
      <c r="P176" s="33">
        <f ca="1">_xll.DBRW($C$1,$C$2,$C$3,$C$4,$C$6,$C$5,$C$7,P$1,P$2,$A176)</f>
        <v>-19.00322502291673</v>
      </c>
      <c r="Q176" s="33">
        <f ca="1">_xll.DBRW($C$1,$C$2,$C$3,$C$4,$C$6,$C$5,$C$7,Q$1,Q$2,$A176)</f>
        <v>-19.080143539426132</v>
      </c>
      <c r="R176" s="33">
        <f ca="1">_xll.DBRW($C$1,$C$2,$C$3,$C$4,$C$6,$C$5,$C$7,R$1,R$2,$A176)</f>
        <v>-24.958848946002817</v>
      </c>
      <c r="S176" s="33">
        <f ca="1">_xll.DBRW($C$1,$C$2,$C$3,$C$4,$C$6,$C$5,$C$7,S$1,S$2,$A176)</f>
        <v>-16.894005204528028</v>
      </c>
      <c r="T176" s="33">
        <f ca="1">_xll.DBRW($C$1,$C$2,$C$3,$C$4,$C$6,$C$5,$C$7,T$1,T$2,$A176)</f>
        <v>-29.399834219292572</v>
      </c>
      <c r="U176" s="33">
        <f ca="1">_xll.DBRW($C$1,$C$2,$C$3,$C$4,$C$6,$C$5,$C$7,U$1,U$2,$A176)</f>
        <v>-33.619364093782494</v>
      </c>
      <c r="V176" s="33">
        <f ca="1">_xll.DBRW($C$1,$C$2,$C$3,$C$4,$C$6,$C$5,$C$7,V$1,V$2,$A176)</f>
        <v>-23.360004703611345</v>
      </c>
      <c r="W176" s="33">
        <f ca="1">_xll.DBRW($C$1,$C$2,$C$3,$C$4,$C$6,$C$5,$C$7,W$1,W$2,$A176)</f>
        <v>-28.759291203001283</v>
      </c>
      <c r="X176" s="33">
        <f ca="1">_xll.DBRW($C$1,$C$2,$C$3,$C$4,$C$6,$C$5,$C$7,X$1,X$2,$A176)</f>
        <v>-45.506746644154944</v>
      </c>
      <c r="Y176" s="33">
        <f ca="1">_xll.DBRW($C$1,$C$2,$C$3,$C$4,$C$6,$C$5,$C$7,Y$1,Y$2,$A176)</f>
        <v>-45.506746644154944</v>
      </c>
      <c r="Z176" s="33">
        <f ca="1">_xll.DBRW($C$1,$C$2,$C$3,$C$4,$C$6,$C$5,$C$7,Z$1,Z$2,$A176)</f>
        <v>-3.2228522092859833</v>
      </c>
      <c r="AA176" s="33">
        <f ca="1">_xll.DBRW($C$1,$C$2,$C$3,$C$4,$C$6,$C$5,$C$7,AA$1,AA$2,$A176)</f>
        <v>-8.9309281454668579</v>
      </c>
      <c r="AB176" s="33">
        <f ca="1">_xll.DBRW($C$1,$C$2,$C$3,$C$4,$C$6,$C$5,$C$7,AB$1,AB$2,$A176)</f>
        <v>-13.58686747724677</v>
      </c>
      <c r="AC176" s="33">
        <f ca="1">_xll.DBRW($C$1,$C$2,$C$3,$C$4,$C$6,$C$5,$C$7,AC$1,AC$2,$A176)</f>
        <v>-18.566317169535935</v>
      </c>
      <c r="AD176" s="33">
        <f ca="1">_xll.DBRW($C$1,$C$2,$C$3,$C$4,$C$6,$C$5,$C$7,AD$1,AD$2,$A176)</f>
        <v>-23.228327101258646</v>
      </c>
      <c r="AE176" s="33">
        <f ca="1">_xll.DBRW($C$1,$C$2,$C$3,$C$4,$C$6,$C$5,$C$7,AE$1,AE$2,$A176)</f>
        <v>-27.99873562163938</v>
      </c>
      <c r="AF176" s="33">
        <f ca="1">_xll.DBRW($C$1,$C$2,$C$3,$C$4,$C$6,$C$5,$C$7,AF$1,AF$2,$A176)</f>
        <v>-33.285753897407446</v>
      </c>
      <c r="AG176" s="33">
        <f ca="1">_xll.DBRW($C$1,$C$2,$C$3,$C$4,$C$6,$C$5,$C$7,AG$1,AG$2,$A176)</f>
        <v>-38.309433005510016</v>
      </c>
      <c r="AH176" s="33">
        <f ca="1">_xll.DBRW($C$1,$C$2,$C$3,$C$4,$C$6,$C$5,$C$7,AH$1,AH$2,$A176)</f>
        <v>-42.843268050150002</v>
      </c>
      <c r="AI176" s="33">
        <f ca="1">_xll.DBRW($C$1,$C$2,$C$3,$C$4,$C$6,$C$5,$C$7,AI$1,AI$2,$A176)</f>
        <v>-47.840767337997903</v>
      </c>
      <c r="AJ176" s="33">
        <f ca="1">_xll.DBRW($C$1,$C$2,$C$3,$C$4,$C$6,$C$5,$C$7,AJ$1,AJ$2,$A176)</f>
        <v>-52.350564909117537</v>
      </c>
      <c r="AK176" s="33">
        <f ca="1">_xll.DBRW($C$1,$C$2,$C$3,$C$4,$C$6,$C$5,$C$7,AK$1,AK$2,$A176)</f>
        <v>-57.142833726394898</v>
      </c>
      <c r="AL176" s="33">
        <f ca="1">_xll.DBRW($C$1,$C$2,$C$3,$C$4,$C$6,$C$5,$C$7,AL$1,AL$2,$A176)</f>
        <v>-57.142833726394898</v>
      </c>
      <c r="AM176" s="33">
        <f ca="1">_xll.DBRW($C$1,$C$2,$C$3,$C$4,$C$6,$C$5,$C$7,AM$1,AM$2,$A176)</f>
        <v>-0.69524439244038994</v>
      </c>
      <c r="AN176" s="33">
        <f ca="1">_xll.DBRW($C$1,$C$2,$C$3,$C$4,$C$6,$C$5,$C$7,AN$1,AN$2,$A176)</f>
        <v>-8.4170974729798722</v>
      </c>
      <c r="AO176" s="33">
        <f ca="1">_xll.DBRW($C$1,$C$2,$C$3,$C$4,$C$6,$C$5,$C$7,AO$1,AO$2,$A176)</f>
        <v>1.7763568394002505E-15</v>
      </c>
      <c r="AP176" s="33">
        <f ca="1">_xll.DBRW($C$1,$C$2,$C$3,$C$4,$C$6,$C$5,$C$7,AP$1,AP$2,$A176)</f>
        <v>1.7763568394002505E-15</v>
      </c>
      <c r="AQ176" s="33">
        <f ca="1">_xll.DBRW($C$1,$C$2,$C$3,$C$4,$C$6,$C$5,$C$7,AQ$1,AQ$2,$A176)</f>
        <v>1.7763568394002505E-15</v>
      </c>
      <c r="AR176" s="33">
        <f ca="1">_xll.DBRW($C$1,$C$2,$C$3,$C$4,$C$6,$C$5,$C$7,AR$1,AR$2,$A176)</f>
        <v>1.7763568394002505E-15</v>
      </c>
      <c r="AS176" s="33">
        <f ca="1">_xll.DBRW($C$1,$C$2,$C$3,$C$4,$C$6,$C$5,$C$7,AS$1,AS$2,$A176)</f>
        <v>1.7763568394002505E-15</v>
      </c>
      <c r="AT176" s="33">
        <f ca="1">_xll.DBRW($C$1,$C$2,$C$3,$C$4,$C$6,$C$5,$C$7,AT$1,AT$2,$A176)</f>
        <v>1.7763568394002505E-15</v>
      </c>
      <c r="AU176" s="33">
        <f ca="1">_xll.DBRW($C$1,$C$2,$C$3,$C$4,$C$6,$C$5,$C$7,AU$1,AU$2,$A176)</f>
        <v>1.7763568394002505E-15</v>
      </c>
      <c r="AV176" s="33">
        <f ca="1">_xll.DBRW($C$1,$C$2,$C$3,$C$4,$C$6,$C$5,$C$7,AV$1,AV$2,$A176)</f>
        <v>1.7763568394002505E-15</v>
      </c>
      <c r="AW176" s="33">
        <f ca="1">_xll.DBRW($C$1,$C$2,$C$3,$C$4,$C$6,$C$5,$C$7,AW$1,AW$2,$A176)</f>
        <v>1.7763568394002505E-15</v>
      </c>
      <c r="AX176" s="33">
        <f ca="1">_xll.DBRW($C$1,$C$2,$C$3,$C$4,$C$6,$C$5,$C$7,AX$1,AX$2,$A176)</f>
        <v>1.7763568394002505E-15</v>
      </c>
      <c r="AY176" s="33">
        <f ca="1">_xll.DBRW($C$1,$C$2,$C$3,$C$4,$C$6,$C$5,$C$7,AY$1,AY$2,$A176)</f>
        <v>1.7763568394002505E-15</v>
      </c>
    </row>
    <row r="177" spans="1:51" ht="15.75" hidden="1" customHeight="1" outlineLevel="2">
      <c r="A177" s="1" t="s">
        <v>266</v>
      </c>
      <c r="C177" s="104"/>
      <c r="E177" s="9" t="str">
        <f ca="1">_xll.DBRW(Server&amp;"}ElementAttributes_Indicator",A177,"code_English")</f>
        <v>PL1116_AC - COS - Lease expenses (AC)</v>
      </c>
      <c r="F177" s="33">
        <f ca="1">_xll.DBRW($C$1,$C$2,$C$3,$C$4,$C$6,$C$5,$C$7,F$1,F$2,$A177)</f>
        <v>-10.85890753</v>
      </c>
      <c r="G177" s="33">
        <f ca="1">_xll.DBRW($C$1,$C$2,$C$3,$C$4,$C$6,$C$5,$C$7,G$1,G$2,$A177)</f>
        <v>-0.67213312999999997</v>
      </c>
      <c r="H177" s="33">
        <f ca="1">_xll.DBRW($C$1,$C$2,$C$3,$C$4,$C$6,$C$5,$C$7,H$1,H$2,$A177)</f>
        <v>-0.86973664000000017</v>
      </c>
      <c r="I177" s="33">
        <f ca="1">_xll.DBRW($C$1,$C$2,$C$3,$C$4,$C$6,$C$5,$C$7,I$1,I$2,$A177)</f>
        <v>-0.95361513999999992</v>
      </c>
      <c r="J177" s="33">
        <f ca="1">_xll.DBRW($C$1,$C$2,$C$3,$C$4,$C$6,$C$5,$C$7,J$1,J$2,$A177)</f>
        <v>-0.61078214999999991</v>
      </c>
      <c r="K177" s="33">
        <f ca="1">_xll.DBRW($C$1,$C$2,$C$3,$C$4,$C$6,$C$5,$C$7,K$1,K$2,$A177)</f>
        <v>-1.1430634299999998</v>
      </c>
      <c r="L177" s="33">
        <f ca="1">_xll.DBRW($C$1,$C$2,$C$3,$C$4,$C$6,$C$5,$C$7,L$1,L$2,$A177)</f>
        <v>-0.95316471638092071</v>
      </c>
      <c r="M177" s="33">
        <f ca="1">_xll.DBRW($C$1,$C$2,$C$3,$C$4,$C$6,$C$5,$C$7,M$1,M$2,$A177)</f>
        <v>-8.409722E-2</v>
      </c>
      <c r="N177" s="33">
        <f ca="1">_xll.DBRW($C$1,$C$2,$C$3,$C$4,$C$6,$C$5,$C$7,N$1,N$2,$A177)</f>
        <v>-0.16664742999999999</v>
      </c>
      <c r="O177" s="33">
        <f ca="1">_xll.DBRW($C$1,$C$2,$C$3,$C$4,$C$6,$C$5,$C$7,O$1,O$2,$A177)</f>
        <v>-0.29473620758710645</v>
      </c>
      <c r="P177" s="33">
        <f ca="1">_xll.DBRW($C$1,$C$2,$C$3,$C$4,$C$6,$C$5,$C$7,P$1,P$2,$A177)</f>
        <v>-0.35647560193129746</v>
      </c>
      <c r="Q177" s="33">
        <f ca="1">_xll.DBRW($C$1,$C$2,$C$3,$C$4,$C$6,$C$5,$C$7,Q$1,Q$2,$A177)</f>
        <v>-0.44862702999999998</v>
      </c>
      <c r="R177" s="33">
        <f ca="1">_xll.DBRW($C$1,$C$2,$C$3,$C$4,$C$6,$C$5,$C$7,R$1,R$2,$A177)</f>
        <v>-0.5493122677944916</v>
      </c>
      <c r="S177" s="33">
        <f ca="1">_xll.DBRW($C$1,$C$2,$C$3,$C$4,$C$6,$C$5,$C$7,S$1,S$2,$A177)</f>
        <v>-0.60216420999999998</v>
      </c>
      <c r="T177" s="33">
        <f ca="1">_xll.DBRW($C$1,$C$2,$C$3,$C$4,$C$6,$C$5,$C$7,T$1,T$2,$A177)</f>
        <v>-0.95431880428172522</v>
      </c>
      <c r="U177" s="33">
        <f ca="1">_xll.DBRW($C$1,$C$2,$C$3,$C$4,$C$6,$C$5,$C$7,U$1,U$2,$A177)</f>
        <v>-1.0688639525261663</v>
      </c>
      <c r="V177" s="33">
        <f ca="1">_xll.DBRW($C$1,$C$2,$C$3,$C$4,$C$6,$C$5,$C$7,V$1,V$2,$A177)</f>
        <v>-1.1284440275087473</v>
      </c>
      <c r="W177" s="33">
        <f ca="1">_xll.DBRW($C$1,$C$2,$C$3,$C$4,$C$6,$C$5,$C$7,W$1,W$2,$A177)</f>
        <v>-1.2357085395272536</v>
      </c>
      <c r="X177" s="33">
        <f ca="1">_xll.DBRW($C$1,$C$2,$C$3,$C$4,$C$6,$C$5,$C$7,X$1,X$2,$A177)</f>
        <v>-1.2657322547223644</v>
      </c>
      <c r="Y177" s="33">
        <f ca="1">_xll.DBRW($C$1,$C$2,$C$3,$C$4,$C$6,$C$5,$C$7,Y$1,Y$2,$A177)</f>
        <v>-1.2657322547223644</v>
      </c>
      <c r="Z177" s="33">
        <f ca="1">_xll.DBRW($C$1,$C$2,$C$3,$C$4,$C$6,$C$5,$C$7,Z$1,Z$2,$A177)</f>
        <v>-8.9568063915199572E-2</v>
      </c>
      <c r="AA177" s="33">
        <f ca="1">_xll.DBRW($C$1,$C$2,$C$3,$C$4,$C$6,$C$5,$C$7,AA$1,AA$2,$A177)</f>
        <v>-0.17906567875690263</v>
      </c>
      <c r="AB177" s="33">
        <f ca="1">_xll.DBRW($C$1,$C$2,$C$3,$C$4,$C$6,$C$5,$C$7,AB$1,AB$2,$A177)</f>
        <v>-0.26802972594124491</v>
      </c>
      <c r="AC177" s="33">
        <f ca="1">_xll.DBRW($C$1,$C$2,$C$3,$C$4,$C$6,$C$5,$C$7,AC$1,AC$2,$A177)</f>
        <v>-0.35689084517982439</v>
      </c>
      <c r="AD177" s="33">
        <f ca="1">_xll.DBRW($C$1,$C$2,$C$3,$C$4,$C$6,$C$5,$C$7,AD$1,AD$2,$A177)</f>
        <v>-0.44593702540600638</v>
      </c>
      <c r="AE177" s="33">
        <f ca="1">_xll.DBRW($C$1,$C$2,$C$3,$C$4,$C$6,$C$5,$C$7,AE$1,AE$2,$A177)</f>
        <v>-0.53466025281667506</v>
      </c>
      <c r="AF177" s="33">
        <f ca="1">_xll.DBRW($C$1,$C$2,$C$3,$C$4,$C$6,$C$5,$C$7,AF$1,AF$2,$A177)</f>
        <v>-0.62943963025691785</v>
      </c>
      <c r="AG177" s="33">
        <f ca="1">_xll.DBRW($C$1,$C$2,$C$3,$C$4,$C$6,$C$5,$C$7,AG$1,AG$2,$A177)</f>
        <v>-0.72316178947339405</v>
      </c>
      <c r="AH177" s="33">
        <f ca="1">_xll.DBRW($C$1,$C$2,$C$3,$C$4,$C$6,$C$5,$C$7,AH$1,AH$2,$A177)</f>
        <v>-0.80767543651138252</v>
      </c>
      <c r="AI177" s="33">
        <f ca="1">_xll.DBRW($C$1,$C$2,$C$3,$C$4,$C$6,$C$5,$C$7,AI$1,AI$2,$A177)</f>
        <v>-0.89210607771481676</v>
      </c>
      <c r="AJ177" s="33">
        <f ca="1">_xll.DBRW($C$1,$C$2,$C$3,$C$4,$C$6,$C$5,$C$7,AJ$1,AJ$2,$A177)</f>
        <v>-0.97618418239226923</v>
      </c>
      <c r="AK177" s="33">
        <f ca="1">_xll.DBRW($C$1,$C$2,$C$3,$C$4,$C$6,$C$5,$C$7,AK$1,AK$2,$A177)</f>
        <v>-1.0602547206985657</v>
      </c>
      <c r="AL177" s="33">
        <f ca="1">_xll.DBRW($C$1,$C$2,$C$3,$C$4,$C$6,$C$5,$C$7,AL$1,AL$2,$A177)</f>
        <v>-1.0602547206985657</v>
      </c>
      <c r="AM177" s="33">
        <f ca="1">_xll.DBRW($C$1,$C$2,$C$3,$C$4,$C$6,$C$5,$C$7,AM$1,AM$2,$A177)</f>
        <v>-0.14303372827143077</v>
      </c>
      <c r="AN177" s="33">
        <f ca="1">_xll.DBRW($C$1,$C$2,$C$3,$C$4,$C$6,$C$5,$C$7,AN$1,AN$2,$A177)</f>
        <v>-0.22867155298299174</v>
      </c>
      <c r="AO177" s="33">
        <f ca="1">_xll.DBRW($C$1,$C$2,$C$3,$C$4,$C$6,$C$5,$C$7,AO$1,AO$2,$A177)</f>
        <v>2.7755575615628914E-17</v>
      </c>
      <c r="AP177" s="33">
        <f ca="1">_xll.DBRW($C$1,$C$2,$C$3,$C$4,$C$6,$C$5,$C$7,AP$1,AP$2,$A177)</f>
        <v>2.7755575615628914E-17</v>
      </c>
      <c r="AQ177" s="33">
        <f ca="1">_xll.DBRW($C$1,$C$2,$C$3,$C$4,$C$6,$C$5,$C$7,AQ$1,AQ$2,$A177)</f>
        <v>2.7755575615628914E-17</v>
      </c>
      <c r="AR177" s="33">
        <f ca="1">_xll.DBRW($C$1,$C$2,$C$3,$C$4,$C$6,$C$5,$C$7,AR$1,AR$2,$A177)</f>
        <v>2.7755575615628914E-17</v>
      </c>
      <c r="AS177" s="33">
        <f ca="1">_xll.DBRW($C$1,$C$2,$C$3,$C$4,$C$6,$C$5,$C$7,AS$1,AS$2,$A177)</f>
        <v>2.7755575615628914E-17</v>
      </c>
      <c r="AT177" s="33">
        <f ca="1">_xll.DBRW($C$1,$C$2,$C$3,$C$4,$C$6,$C$5,$C$7,AT$1,AT$2,$A177)</f>
        <v>2.7755575615628914E-17</v>
      </c>
      <c r="AU177" s="33">
        <f ca="1">_xll.DBRW($C$1,$C$2,$C$3,$C$4,$C$6,$C$5,$C$7,AU$1,AU$2,$A177)</f>
        <v>2.7755575615628914E-17</v>
      </c>
      <c r="AV177" s="33">
        <f ca="1">_xll.DBRW($C$1,$C$2,$C$3,$C$4,$C$6,$C$5,$C$7,AV$1,AV$2,$A177)</f>
        <v>2.7755575615628914E-17</v>
      </c>
      <c r="AW177" s="33">
        <f ca="1">_xll.DBRW($C$1,$C$2,$C$3,$C$4,$C$6,$C$5,$C$7,AW$1,AW$2,$A177)</f>
        <v>2.7755575615628914E-17</v>
      </c>
      <c r="AX177" s="33">
        <f ca="1">_xll.DBRW($C$1,$C$2,$C$3,$C$4,$C$6,$C$5,$C$7,AX$1,AX$2,$A177)</f>
        <v>2.7755575615628914E-17</v>
      </c>
      <c r="AY177" s="33">
        <f ca="1">_xll.DBRW($C$1,$C$2,$C$3,$C$4,$C$6,$C$5,$C$7,AY$1,AY$2,$A177)</f>
        <v>2.7755575615628914E-17</v>
      </c>
    </row>
    <row r="178" spans="1:51" ht="15.75" hidden="1" customHeight="1" outlineLevel="2">
      <c r="A178" s="1" t="s">
        <v>267</v>
      </c>
      <c r="C178" s="104"/>
      <c r="E178" s="9" t="str">
        <f ca="1">_xll.DBRW(Server&amp;"}ElementAttributes_Indicator",A178,"code_English")</f>
        <v>PL1126_AC - Replacement and maintenance expenses (AC)</v>
      </c>
      <c r="F178" s="33">
        <f ca="1">_xll.DBRW($C$1,$C$2,$C$3,$C$4,$C$6,$C$5,$C$7,F$1,F$2,$A178)</f>
        <v>-2.7244699999999997</v>
      </c>
      <c r="G178" s="33">
        <f ca="1">_xll.DBRW($C$1,$C$2,$C$3,$C$4,$C$6,$C$5,$C$7,G$1,G$2,$A178)</f>
        <v>-2.2993380000000001</v>
      </c>
      <c r="H178" s="33">
        <f ca="1">_xll.DBRW($C$1,$C$2,$C$3,$C$4,$C$6,$C$5,$C$7,H$1,H$2,$A178)</f>
        <v>-2.836557</v>
      </c>
      <c r="I178" s="33">
        <f ca="1">_xll.DBRW($C$1,$C$2,$C$3,$C$4,$C$6,$C$5,$C$7,I$1,I$2,$A178)</f>
        <v>-3.6462579999999996</v>
      </c>
      <c r="J178" s="33">
        <f ca="1">_xll.DBRW($C$1,$C$2,$C$3,$C$4,$C$6,$C$5,$C$7,J$1,J$2,$A178)</f>
        <v>0</v>
      </c>
      <c r="K178" s="33">
        <f ca="1">_xll.DBRW($C$1,$C$2,$C$3,$C$4,$C$6,$C$5,$C$7,K$1,K$2,$A178)</f>
        <v>0</v>
      </c>
      <c r="L178" s="33">
        <f ca="1">_xll.DBRW($C$1,$C$2,$C$3,$C$4,$C$6,$C$5,$C$7,L$1,L$2,$A178)</f>
        <v>0</v>
      </c>
      <c r="M178" s="33">
        <f ca="1">_xll.DBRW($C$1,$C$2,$C$3,$C$4,$C$6,$C$5,$C$7,M$1,M$2,$A178)</f>
        <v>0</v>
      </c>
      <c r="N178" s="33">
        <f ca="1">_xll.DBRW($C$1,$C$2,$C$3,$C$4,$C$6,$C$5,$C$7,N$1,N$2,$A178)</f>
        <v>0</v>
      </c>
      <c r="O178" s="33">
        <f ca="1">_xll.DBRW($C$1,$C$2,$C$3,$C$4,$C$6,$C$5,$C$7,O$1,O$2,$A178)</f>
        <v>0</v>
      </c>
      <c r="P178" s="33">
        <f ca="1">_xll.DBRW($C$1,$C$2,$C$3,$C$4,$C$6,$C$5,$C$7,P$1,P$2,$A178)</f>
        <v>0</v>
      </c>
      <c r="Q178" s="33">
        <f ca="1">_xll.DBRW($C$1,$C$2,$C$3,$C$4,$C$6,$C$5,$C$7,Q$1,Q$2,$A178)</f>
        <v>0</v>
      </c>
      <c r="R178" s="33">
        <f ca="1">_xll.DBRW($C$1,$C$2,$C$3,$C$4,$C$6,$C$5,$C$7,R$1,R$2,$A178)</f>
        <v>0</v>
      </c>
      <c r="S178" s="33">
        <f ca="1">_xll.DBRW($C$1,$C$2,$C$3,$C$4,$C$6,$C$5,$C$7,S$1,S$2,$A178)</f>
        <v>0</v>
      </c>
      <c r="T178" s="33">
        <f ca="1">_xll.DBRW($C$1,$C$2,$C$3,$C$4,$C$6,$C$5,$C$7,T$1,T$2,$A178)</f>
        <v>0</v>
      </c>
      <c r="U178" s="33">
        <f ca="1">_xll.DBRW($C$1,$C$2,$C$3,$C$4,$C$6,$C$5,$C$7,U$1,U$2,$A178)</f>
        <v>0</v>
      </c>
      <c r="V178" s="33">
        <f ca="1">_xll.DBRW($C$1,$C$2,$C$3,$C$4,$C$6,$C$5,$C$7,V$1,V$2,$A178)</f>
        <v>0</v>
      </c>
      <c r="W178" s="33">
        <f ca="1">_xll.DBRW($C$1,$C$2,$C$3,$C$4,$C$6,$C$5,$C$7,W$1,W$2,$A178)</f>
        <v>0</v>
      </c>
      <c r="X178" s="33">
        <f ca="1">_xll.DBRW($C$1,$C$2,$C$3,$C$4,$C$6,$C$5,$C$7,X$1,X$2,$A178)</f>
        <v>0</v>
      </c>
      <c r="Y178" s="33">
        <f ca="1">_xll.DBRW($C$1,$C$2,$C$3,$C$4,$C$6,$C$5,$C$7,Y$1,Y$2,$A178)</f>
        <v>0</v>
      </c>
      <c r="Z178" s="33">
        <f ca="1">_xll.DBRW($C$1,$C$2,$C$3,$C$4,$C$6,$C$5,$C$7,Z$1,Z$2,$A178)</f>
        <v>0</v>
      </c>
      <c r="AA178" s="33">
        <f ca="1">_xll.DBRW($C$1,$C$2,$C$3,$C$4,$C$6,$C$5,$C$7,AA$1,AA$2,$A178)</f>
        <v>0</v>
      </c>
      <c r="AB178" s="33">
        <f ca="1">_xll.DBRW($C$1,$C$2,$C$3,$C$4,$C$6,$C$5,$C$7,AB$1,AB$2,$A178)</f>
        <v>0</v>
      </c>
      <c r="AC178" s="33">
        <f ca="1">_xll.DBRW($C$1,$C$2,$C$3,$C$4,$C$6,$C$5,$C$7,AC$1,AC$2,$A178)</f>
        <v>0</v>
      </c>
      <c r="AD178" s="33">
        <f ca="1">_xll.DBRW($C$1,$C$2,$C$3,$C$4,$C$6,$C$5,$C$7,AD$1,AD$2,$A178)</f>
        <v>0</v>
      </c>
      <c r="AE178" s="33">
        <f ca="1">_xll.DBRW($C$1,$C$2,$C$3,$C$4,$C$6,$C$5,$C$7,AE$1,AE$2,$A178)</f>
        <v>0</v>
      </c>
      <c r="AF178" s="33">
        <f ca="1">_xll.DBRW($C$1,$C$2,$C$3,$C$4,$C$6,$C$5,$C$7,AF$1,AF$2,$A178)</f>
        <v>0</v>
      </c>
      <c r="AG178" s="33">
        <f ca="1">_xll.DBRW($C$1,$C$2,$C$3,$C$4,$C$6,$C$5,$C$7,AG$1,AG$2,$A178)</f>
        <v>0</v>
      </c>
      <c r="AH178" s="33">
        <f ca="1">_xll.DBRW($C$1,$C$2,$C$3,$C$4,$C$6,$C$5,$C$7,AH$1,AH$2,$A178)</f>
        <v>0</v>
      </c>
      <c r="AI178" s="33">
        <f ca="1">_xll.DBRW($C$1,$C$2,$C$3,$C$4,$C$6,$C$5,$C$7,AI$1,AI$2,$A178)</f>
        <v>0</v>
      </c>
      <c r="AJ178" s="33">
        <f ca="1">_xll.DBRW($C$1,$C$2,$C$3,$C$4,$C$6,$C$5,$C$7,AJ$1,AJ$2,$A178)</f>
        <v>0</v>
      </c>
      <c r="AK178" s="33">
        <f ca="1">_xll.DBRW($C$1,$C$2,$C$3,$C$4,$C$6,$C$5,$C$7,AK$1,AK$2,$A178)</f>
        <v>0</v>
      </c>
      <c r="AL178" s="33">
        <f ca="1">_xll.DBRW($C$1,$C$2,$C$3,$C$4,$C$6,$C$5,$C$7,AL$1,AL$2,$A178)</f>
        <v>0</v>
      </c>
      <c r="AM178" s="33">
        <f ca="1">_xll.DBRW($C$1,$C$2,$C$3,$C$4,$C$6,$C$5,$C$7,AM$1,AM$2,$A178)</f>
        <v>0</v>
      </c>
      <c r="AN178" s="33">
        <f ca="1">_xll.DBRW($C$1,$C$2,$C$3,$C$4,$C$6,$C$5,$C$7,AN$1,AN$2,$A178)</f>
        <v>0</v>
      </c>
      <c r="AO178" s="33">
        <f ca="1">_xll.DBRW($C$1,$C$2,$C$3,$C$4,$C$6,$C$5,$C$7,AO$1,AO$2,$A178)</f>
        <v>0</v>
      </c>
      <c r="AP178" s="33">
        <f ca="1">_xll.DBRW($C$1,$C$2,$C$3,$C$4,$C$6,$C$5,$C$7,AP$1,AP$2,$A178)</f>
        <v>0</v>
      </c>
      <c r="AQ178" s="33">
        <f ca="1">_xll.DBRW($C$1,$C$2,$C$3,$C$4,$C$6,$C$5,$C$7,AQ$1,AQ$2,$A178)</f>
        <v>0</v>
      </c>
      <c r="AR178" s="33">
        <f ca="1">_xll.DBRW($C$1,$C$2,$C$3,$C$4,$C$6,$C$5,$C$7,AR$1,AR$2,$A178)</f>
        <v>0</v>
      </c>
      <c r="AS178" s="33">
        <f ca="1">_xll.DBRW($C$1,$C$2,$C$3,$C$4,$C$6,$C$5,$C$7,AS$1,AS$2,$A178)</f>
        <v>0</v>
      </c>
      <c r="AT178" s="33">
        <f ca="1">_xll.DBRW($C$1,$C$2,$C$3,$C$4,$C$6,$C$5,$C$7,AT$1,AT$2,$A178)</f>
        <v>0</v>
      </c>
      <c r="AU178" s="33">
        <f ca="1">_xll.DBRW($C$1,$C$2,$C$3,$C$4,$C$6,$C$5,$C$7,AU$1,AU$2,$A178)</f>
        <v>0</v>
      </c>
      <c r="AV178" s="33">
        <f ca="1">_xll.DBRW($C$1,$C$2,$C$3,$C$4,$C$6,$C$5,$C$7,AV$1,AV$2,$A178)</f>
        <v>0</v>
      </c>
      <c r="AW178" s="33">
        <f ca="1">_xll.DBRW($C$1,$C$2,$C$3,$C$4,$C$6,$C$5,$C$7,AW$1,AW$2,$A178)</f>
        <v>0</v>
      </c>
      <c r="AX178" s="33">
        <f ca="1">_xll.DBRW($C$1,$C$2,$C$3,$C$4,$C$6,$C$5,$C$7,AX$1,AX$2,$A178)</f>
        <v>0</v>
      </c>
      <c r="AY178" s="33">
        <f ca="1">_xll.DBRW($C$1,$C$2,$C$3,$C$4,$C$6,$C$5,$C$7,AY$1,AY$2,$A178)</f>
        <v>0</v>
      </c>
    </row>
    <row r="179" spans="1:51" ht="15.75" hidden="1" customHeight="1" outlineLevel="2">
      <c r="A179" s="1" t="s">
        <v>268</v>
      </c>
      <c r="C179" s="104"/>
      <c r="E179" s="9" t="str">
        <f ca="1">_xll.DBRW(Server&amp;"}ElementAttributes_Indicator",A179,"code_English")</f>
        <v>PL1140_AC_10 - Amortization (AC)</v>
      </c>
      <c r="F179" s="33">
        <f ca="1">_xll.DBRW($C$1,$C$2,$C$3,$C$4,$C$6,$C$5,$C$7,F$1,F$2,$A179)</f>
        <v>0</v>
      </c>
      <c r="G179" s="33">
        <f ca="1">_xll.DBRW($C$1,$C$2,$C$3,$C$4,$C$6,$C$5,$C$7,G$1,G$2,$A179)</f>
        <v>0</v>
      </c>
      <c r="H179" s="33">
        <f ca="1">_xll.DBRW($C$1,$C$2,$C$3,$C$4,$C$6,$C$5,$C$7,H$1,H$2,$A179)</f>
        <v>0</v>
      </c>
      <c r="I179" s="33">
        <f ca="1">_xll.DBRW($C$1,$C$2,$C$3,$C$4,$C$6,$C$5,$C$7,I$1,I$2,$A179)</f>
        <v>0</v>
      </c>
      <c r="J179" s="33">
        <f ca="1">_xll.DBRW($C$1,$C$2,$C$3,$C$4,$C$6,$C$5,$C$7,J$1,J$2,$A179)</f>
        <v>-1.2780904599999998</v>
      </c>
      <c r="K179" s="33">
        <f ca="1">_xll.DBRW($C$1,$C$2,$C$3,$C$4,$C$6,$C$5,$C$7,K$1,K$2,$A179)</f>
        <v>-1.5542958200000003</v>
      </c>
      <c r="L179" s="33">
        <f ca="1">_xll.DBRW($C$1,$C$2,$C$3,$C$4,$C$6,$C$5,$C$7,L$1,L$2,$A179)</f>
        <v>-1.23802981</v>
      </c>
      <c r="M179" s="33">
        <f ca="1">_xll.DBRW($C$1,$C$2,$C$3,$C$4,$C$6,$C$5,$C$7,M$1,M$2,$A179)</f>
        <v>-1.7856833844847552E-2</v>
      </c>
      <c r="N179" s="33">
        <f ca="1">_xll.DBRW($C$1,$C$2,$C$3,$C$4,$C$6,$C$5,$C$7,N$1,N$2,$A179)</f>
        <v>-0.2366169741517356</v>
      </c>
      <c r="O179" s="33">
        <f ca="1">_xll.DBRW($C$1,$C$2,$C$3,$C$4,$C$6,$C$5,$C$7,O$1,O$2,$A179)</f>
        <v>-0.35894987739355033</v>
      </c>
      <c r="P179" s="33">
        <f ca="1">_xll.DBRW($C$1,$C$2,$C$3,$C$4,$C$6,$C$5,$C$7,P$1,P$2,$A179)</f>
        <v>-0.48104041215805832</v>
      </c>
      <c r="Q179" s="33">
        <f ca="1">_xll.DBRW($C$1,$C$2,$C$3,$C$4,$C$6,$C$5,$C$7,Q$1,Q$2,$A179)</f>
        <v>-0.57738774000000004</v>
      </c>
      <c r="R179" s="33">
        <f ca="1">_xll.DBRW($C$1,$C$2,$C$3,$C$4,$C$6,$C$5,$C$7,R$1,R$2,$A179)</f>
        <v>-0.763429372444971</v>
      </c>
      <c r="S179" s="33">
        <f ca="1">_xll.DBRW($C$1,$C$2,$C$3,$C$4,$C$6,$C$5,$C$7,S$1,S$2,$A179)</f>
        <v>-5.5511151231257827E-17</v>
      </c>
      <c r="T179" s="33">
        <f ca="1">_xll.DBRW($C$1,$C$2,$C$3,$C$4,$C$6,$C$5,$C$7,T$1,T$2,$A179)</f>
        <v>-6.2547251473613341E-2</v>
      </c>
      <c r="U179" s="33">
        <f ca="1">_xll.DBRW($C$1,$C$2,$C$3,$C$4,$C$6,$C$5,$C$7,U$1,U$2,$A179)</f>
        <v>-7.022213970768082E-2</v>
      </c>
      <c r="V179" s="33">
        <f ca="1">_xll.DBRW($C$1,$C$2,$C$3,$C$4,$C$6,$C$5,$C$7,V$1,V$2,$A179)</f>
        <v>-6.2127347654963069E-2</v>
      </c>
      <c r="W179" s="33">
        <f ca="1">_xll.DBRW($C$1,$C$2,$C$3,$C$4,$C$6,$C$5,$C$7,W$1,W$2,$A179)</f>
        <v>-8.6148218285144101E-2</v>
      </c>
      <c r="X179" s="33">
        <f ca="1">_xll.DBRW($C$1,$C$2,$C$3,$C$4,$C$6,$C$5,$C$7,X$1,X$2,$A179)</f>
        <v>-9.4364878686597459E-2</v>
      </c>
      <c r="Y179" s="33">
        <f ca="1">_xll.DBRW($C$1,$C$2,$C$3,$C$4,$C$6,$C$5,$C$7,Y$1,Y$2,$A179)</f>
        <v>-9.4364878686597459E-2</v>
      </c>
      <c r="Z179" s="33">
        <f ca="1">_xll.DBRW($C$1,$C$2,$C$3,$C$4,$C$6,$C$5,$C$7,Z$1,Z$2,$A179)</f>
        <v>-6.922600000000001E-4</v>
      </c>
      <c r="AA179" s="33">
        <f ca="1">_xll.DBRW($C$1,$C$2,$C$3,$C$4,$C$6,$C$5,$C$7,AA$1,AA$2,$A179)</f>
        <v>-1.3845200000000002E-3</v>
      </c>
      <c r="AB179" s="33">
        <f ca="1">_xll.DBRW($C$1,$C$2,$C$3,$C$4,$C$6,$C$5,$C$7,AB$1,AB$2,$A179)</f>
        <v>-2.0767800000000003E-3</v>
      </c>
      <c r="AC179" s="33">
        <f ca="1">_xll.DBRW($C$1,$C$2,$C$3,$C$4,$C$6,$C$5,$C$7,AC$1,AC$2,$A179)</f>
        <v>-2.7690400000000004E-3</v>
      </c>
      <c r="AD179" s="33">
        <f ca="1">_xll.DBRW($C$1,$C$2,$C$3,$C$4,$C$6,$C$5,$C$7,AD$1,AD$2,$A179)</f>
        <v>-3.4613000000000005E-3</v>
      </c>
      <c r="AE179" s="33">
        <f ca="1">_xll.DBRW($C$1,$C$2,$C$3,$C$4,$C$6,$C$5,$C$7,AE$1,AE$2,$A179)</f>
        <v>-4.1535600000000006E-3</v>
      </c>
      <c r="AF179" s="33">
        <f ca="1">_xll.DBRW($C$1,$C$2,$C$3,$C$4,$C$6,$C$5,$C$7,AF$1,AF$2,$A179)</f>
        <v>-4.8458200000000007E-3</v>
      </c>
      <c r="AG179" s="33">
        <f ca="1">_xll.DBRW($C$1,$C$2,$C$3,$C$4,$C$6,$C$5,$C$7,AG$1,AG$2,$A179)</f>
        <v>-5.5380800000000008E-3</v>
      </c>
      <c r="AH179" s="33">
        <f ca="1">_xll.DBRW($C$1,$C$2,$C$3,$C$4,$C$6,$C$5,$C$7,AH$1,AH$2,$A179)</f>
        <v>-6.2303400000000009E-3</v>
      </c>
      <c r="AI179" s="33">
        <f ca="1">_xll.DBRW($C$1,$C$2,$C$3,$C$4,$C$6,$C$5,$C$7,AI$1,AI$2,$A179)</f>
        <v>-6.922600000000001E-3</v>
      </c>
      <c r="AJ179" s="33">
        <f ca="1">_xll.DBRW($C$1,$C$2,$C$3,$C$4,$C$6,$C$5,$C$7,AJ$1,AJ$2,$A179)</f>
        <v>-7.6148600000000002E-3</v>
      </c>
      <c r="AK179" s="33">
        <f ca="1">_xll.DBRW($C$1,$C$2,$C$3,$C$4,$C$6,$C$5,$C$7,AK$1,AK$2,$A179)</f>
        <v>-8.3071200000000012E-3</v>
      </c>
      <c r="AL179" s="33">
        <f ca="1">_xll.DBRW($C$1,$C$2,$C$3,$C$4,$C$6,$C$5,$C$7,AL$1,AL$2,$A179)</f>
        <v>-8.3071200000000012E-3</v>
      </c>
      <c r="AM179" s="33">
        <f ca="1">_xll.DBRW($C$1,$C$2,$C$3,$C$4,$C$6,$C$5,$C$7,AM$1,AM$2,$A179)</f>
        <v>-6.0482029141367714E-3</v>
      </c>
      <c r="AN179" s="33">
        <f ca="1">_xll.DBRW($C$1,$C$2,$C$3,$C$4,$C$6,$C$5,$C$7,AN$1,AN$2,$A179)</f>
        <v>-2.6541529170152744E-3</v>
      </c>
      <c r="AO179" s="33">
        <f ca="1">_xll.DBRW($C$1,$C$2,$C$3,$C$4,$C$6,$C$5,$C$7,AO$1,AO$2,$A179)</f>
        <v>-4.3368086899420177E-19</v>
      </c>
      <c r="AP179" s="33">
        <f ca="1">_xll.DBRW($C$1,$C$2,$C$3,$C$4,$C$6,$C$5,$C$7,AP$1,AP$2,$A179)</f>
        <v>-4.3368086899420177E-19</v>
      </c>
      <c r="AQ179" s="33">
        <f ca="1">_xll.DBRW($C$1,$C$2,$C$3,$C$4,$C$6,$C$5,$C$7,AQ$1,AQ$2,$A179)</f>
        <v>-4.3368086899420177E-19</v>
      </c>
      <c r="AR179" s="33">
        <f ca="1">_xll.DBRW($C$1,$C$2,$C$3,$C$4,$C$6,$C$5,$C$7,AR$1,AR$2,$A179)</f>
        <v>-4.3368086899420177E-19</v>
      </c>
      <c r="AS179" s="33">
        <f ca="1">_xll.DBRW($C$1,$C$2,$C$3,$C$4,$C$6,$C$5,$C$7,AS$1,AS$2,$A179)</f>
        <v>-4.3368086899420177E-19</v>
      </c>
      <c r="AT179" s="33">
        <f ca="1">_xll.DBRW($C$1,$C$2,$C$3,$C$4,$C$6,$C$5,$C$7,AT$1,AT$2,$A179)</f>
        <v>-4.3368086899420177E-19</v>
      </c>
      <c r="AU179" s="33">
        <f ca="1">_xll.DBRW($C$1,$C$2,$C$3,$C$4,$C$6,$C$5,$C$7,AU$1,AU$2,$A179)</f>
        <v>-4.3368086899420177E-19</v>
      </c>
      <c r="AV179" s="33">
        <f ca="1">_xll.DBRW($C$1,$C$2,$C$3,$C$4,$C$6,$C$5,$C$7,AV$1,AV$2,$A179)</f>
        <v>-4.3368086899420177E-19</v>
      </c>
      <c r="AW179" s="33">
        <f ca="1">_xll.DBRW($C$1,$C$2,$C$3,$C$4,$C$6,$C$5,$C$7,AW$1,AW$2,$A179)</f>
        <v>-4.3368086899420177E-19</v>
      </c>
      <c r="AX179" s="33">
        <f ca="1">_xll.DBRW($C$1,$C$2,$C$3,$C$4,$C$6,$C$5,$C$7,AX$1,AX$2,$A179)</f>
        <v>-4.3368086899420177E-19</v>
      </c>
      <c r="AY179" s="33">
        <f ca="1">_xll.DBRW($C$1,$C$2,$C$3,$C$4,$C$6,$C$5,$C$7,AY$1,AY$2,$A179)</f>
        <v>-4.3368086899420177E-19</v>
      </c>
    </row>
    <row r="180" spans="1:51" ht="15.75" hidden="1" customHeight="1" outlineLevel="2">
      <c r="A180" s="1" t="s">
        <v>269</v>
      </c>
      <c r="C180" s="104"/>
      <c r="E180" s="9" t="str">
        <f ca="1">_xll.DBRW(Server&amp;"}ElementAttributes_Indicator",A180,"code_English")</f>
        <v>PL1155_AC_99 - Reinvoicing - Others (AC)</v>
      </c>
      <c r="F180" s="33">
        <f ca="1">_xll.DBRW($C$1,$C$2,$C$3,$C$4,$C$6,$C$5,$C$7,F$1,F$2,$A180)</f>
        <v>1.8271429999999995E-2</v>
      </c>
      <c r="G180" s="33">
        <f ca="1">_xll.DBRW($C$1,$C$2,$C$3,$C$4,$C$6,$C$5,$C$7,G$1,G$2,$A180)</f>
        <v>9.713390999999999E-2</v>
      </c>
      <c r="H180" s="33">
        <f ca="1">_xll.DBRW($C$1,$C$2,$C$3,$C$4,$C$6,$C$5,$C$7,H$1,H$2,$A180)</f>
        <v>7.6690599999999998E-2</v>
      </c>
      <c r="I180" s="33">
        <f ca="1">_xll.DBRW($C$1,$C$2,$C$3,$C$4,$C$6,$C$5,$C$7,I$1,I$2,$A180)</f>
        <v>0.19950615999999999</v>
      </c>
      <c r="J180" s="33">
        <f ca="1">_xll.DBRW($C$1,$C$2,$C$3,$C$4,$C$6,$C$5,$C$7,J$1,J$2,$A180)</f>
        <v>4.622904999999989E-2</v>
      </c>
      <c r="K180" s="33">
        <f ca="1">_xll.DBRW($C$1,$C$2,$C$3,$C$4,$C$6,$C$5,$C$7,K$1,K$2,$A180)</f>
        <v>0.65179396000000001</v>
      </c>
      <c r="L180" s="33">
        <f ca="1">_xll.DBRW($C$1,$C$2,$C$3,$C$4,$C$6,$C$5,$C$7,L$1,L$2,$A180)</f>
        <v>3.0083039999999991E-2</v>
      </c>
      <c r="M180" s="33">
        <f ca="1">_xll.DBRW($C$1,$C$2,$C$3,$C$4,$C$6,$C$5,$C$7,M$1,M$2,$A180)</f>
        <v>-0.10338842999999999</v>
      </c>
      <c r="N180" s="33">
        <f ca="1">_xll.DBRW($C$1,$C$2,$C$3,$C$4,$C$6,$C$5,$C$7,N$1,N$2,$A180)</f>
        <v>0.17249760000000003</v>
      </c>
      <c r="O180" s="33">
        <f ca="1">_xll.DBRW($C$1,$C$2,$C$3,$C$4,$C$6,$C$5,$C$7,O$1,O$2,$A180)</f>
        <v>0.19252114000000004</v>
      </c>
      <c r="P180" s="33">
        <f ca="1">_xll.DBRW($C$1,$C$2,$C$3,$C$4,$C$6,$C$5,$C$7,P$1,P$2,$A180)</f>
        <v>-6.7942399999999958E-2</v>
      </c>
      <c r="Q180" s="33">
        <f ca="1">_xll.DBRW($C$1,$C$2,$C$3,$C$4,$C$6,$C$5,$C$7,Q$1,Q$2,$A180)</f>
        <v>0.7245238100000001</v>
      </c>
      <c r="R180" s="33">
        <f ca="1">_xll.DBRW($C$1,$C$2,$C$3,$C$4,$C$6,$C$5,$C$7,R$1,R$2,$A180)</f>
        <v>0.78699991000000014</v>
      </c>
      <c r="S180" s="33">
        <f ca="1">_xll.DBRW($C$1,$C$2,$C$3,$C$4,$C$6,$C$5,$C$7,S$1,S$2,$A180)</f>
        <v>0.39069640000000017</v>
      </c>
      <c r="T180" s="33">
        <f ca="1">_xll.DBRW($C$1,$C$2,$C$3,$C$4,$C$6,$C$5,$C$7,T$1,T$2,$A180)</f>
        <v>0.77118355000000016</v>
      </c>
      <c r="U180" s="33">
        <f ca="1">_xll.DBRW($C$1,$C$2,$C$3,$C$4,$C$6,$C$5,$C$7,U$1,U$2,$A180)</f>
        <v>0.77786935000000024</v>
      </c>
      <c r="V180" s="33">
        <f ca="1">_xll.DBRW($C$1,$C$2,$C$3,$C$4,$C$6,$C$5,$C$7,V$1,V$2,$A180)</f>
        <v>0.42097456000000022</v>
      </c>
      <c r="W180" s="33">
        <f ca="1">_xll.DBRW($C$1,$C$2,$C$3,$C$4,$C$6,$C$5,$C$7,W$1,W$2,$A180)</f>
        <v>0.98934400000000022</v>
      </c>
      <c r="X180" s="33">
        <f ca="1">_xll.DBRW($C$1,$C$2,$C$3,$C$4,$C$6,$C$5,$C$7,X$1,X$2,$A180)</f>
        <v>0.52442107000000027</v>
      </c>
      <c r="Y180" s="33">
        <f ca="1">_xll.DBRW($C$1,$C$2,$C$3,$C$4,$C$6,$C$5,$C$7,Y$1,Y$2,$A180)</f>
        <v>0.52442107000000027</v>
      </c>
      <c r="Z180" s="33">
        <f ca="1">_xll.DBRW($C$1,$C$2,$C$3,$C$4,$C$6,$C$5,$C$7,Z$1,Z$2,$A180)</f>
        <v>1.8105899999999995E-3</v>
      </c>
      <c r="AA180" s="33">
        <f ca="1">_xll.DBRW($C$1,$C$2,$C$3,$C$4,$C$6,$C$5,$C$7,AA$1,AA$2,$A180)</f>
        <v>3.621179999999999E-3</v>
      </c>
      <c r="AB180" s="33">
        <f ca="1">_xll.DBRW($C$1,$C$2,$C$3,$C$4,$C$6,$C$5,$C$7,AB$1,AB$2,$A180)</f>
        <v>6.0877699999999993E-3</v>
      </c>
      <c r="AC180" s="33">
        <f ca="1">_xll.DBRW($C$1,$C$2,$C$3,$C$4,$C$6,$C$5,$C$7,AC$1,AC$2,$A180)</f>
        <v>7.8983600000000001E-3</v>
      </c>
      <c r="AD180" s="33">
        <f ca="1">_xll.DBRW($C$1,$C$2,$C$3,$C$4,$C$6,$C$5,$C$7,AD$1,AD$2,$A180)</f>
        <v>9.7089499999999974E-3</v>
      </c>
      <c r="AE180" s="33">
        <f ca="1">_xll.DBRW($C$1,$C$2,$C$3,$C$4,$C$6,$C$5,$C$7,AE$1,AE$2,$A180)</f>
        <v>1.1519539999999998E-2</v>
      </c>
      <c r="AF180" s="33">
        <f ca="1">_xll.DBRW($C$1,$C$2,$C$3,$C$4,$C$6,$C$5,$C$7,AF$1,AF$2,$A180)</f>
        <v>1.3330129999999999E-2</v>
      </c>
      <c r="AG180" s="33">
        <f ca="1">_xll.DBRW($C$1,$C$2,$C$3,$C$4,$C$6,$C$5,$C$7,AG$1,AG$2,$A180)</f>
        <v>1.4845799999999999E-2</v>
      </c>
      <c r="AH180" s="33">
        <f ca="1">_xll.DBRW($C$1,$C$2,$C$3,$C$4,$C$6,$C$5,$C$7,AH$1,AH$2,$A180)</f>
        <v>1.6361469999999999E-2</v>
      </c>
      <c r="AI180" s="33">
        <f ca="1">_xll.DBRW($C$1,$C$2,$C$3,$C$4,$C$6,$C$5,$C$7,AI$1,AI$2,$A180)</f>
        <v>1.787714E-2</v>
      </c>
      <c r="AJ180" s="33">
        <f ca="1">_xll.DBRW($C$1,$C$2,$C$3,$C$4,$C$6,$C$5,$C$7,AJ$1,AJ$2,$A180)</f>
        <v>1.939281E-2</v>
      </c>
      <c r="AK180" s="33">
        <f ca="1">_xll.DBRW($C$1,$C$2,$C$3,$C$4,$C$6,$C$5,$C$7,AK$1,AK$2,$A180)</f>
        <v>2.090848E-2</v>
      </c>
      <c r="AL180" s="33">
        <f ca="1">_xll.DBRW($C$1,$C$2,$C$3,$C$4,$C$6,$C$5,$C$7,AL$1,AL$2,$A180)</f>
        <v>2.090848E-2</v>
      </c>
      <c r="AM180" s="33">
        <f ca="1">_xll.DBRW($C$1,$C$2,$C$3,$C$4,$C$6,$C$5,$C$7,AM$1,AM$2,$A180)</f>
        <v>-1.270157999999999E-2</v>
      </c>
      <c r="AN180" s="33">
        <f ca="1">_xll.DBRW($C$1,$C$2,$C$3,$C$4,$C$6,$C$5,$C$7,AN$1,AN$2,$A180)</f>
        <v>3.2081540000000006E-2</v>
      </c>
      <c r="AO180" s="33">
        <f ca="1">_xll.DBRW($C$1,$C$2,$C$3,$C$4,$C$6,$C$5,$C$7,AO$1,AO$2,$A180)</f>
        <v>6.9388939039072284E-18</v>
      </c>
      <c r="AP180" s="33">
        <f ca="1">_xll.DBRW($C$1,$C$2,$C$3,$C$4,$C$6,$C$5,$C$7,AP$1,AP$2,$A180)</f>
        <v>6.9388939039072284E-18</v>
      </c>
      <c r="AQ180" s="33">
        <f ca="1">_xll.DBRW($C$1,$C$2,$C$3,$C$4,$C$6,$C$5,$C$7,AQ$1,AQ$2,$A180)</f>
        <v>6.9388939039072284E-18</v>
      </c>
      <c r="AR180" s="33">
        <f ca="1">_xll.DBRW($C$1,$C$2,$C$3,$C$4,$C$6,$C$5,$C$7,AR$1,AR$2,$A180)</f>
        <v>6.9388939039072284E-18</v>
      </c>
      <c r="AS180" s="33">
        <f ca="1">_xll.DBRW($C$1,$C$2,$C$3,$C$4,$C$6,$C$5,$C$7,AS$1,AS$2,$A180)</f>
        <v>6.9388939039072284E-18</v>
      </c>
      <c r="AT180" s="33">
        <f ca="1">_xll.DBRW($C$1,$C$2,$C$3,$C$4,$C$6,$C$5,$C$7,AT$1,AT$2,$A180)</f>
        <v>6.9388939039072284E-18</v>
      </c>
      <c r="AU180" s="33">
        <f ca="1">_xll.DBRW($C$1,$C$2,$C$3,$C$4,$C$6,$C$5,$C$7,AU$1,AU$2,$A180)</f>
        <v>6.9388939039072284E-18</v>
      </c>
      <c r="AV180" s="33">
        <f ca="1">_xll.DBRW($C$1,$C$2,$C$3,$C$4,$C$6,$C$5,$C$7,AV$1,AV$2,$A180)</f>
        <v>6.9388939039072284E-18</v>
      </c>
      <c r="AW180" s="33">
        <f ca="1">_xll.DBRW($C$1,$C$2,$C$3,$C$4,$C$6,$C$5,$C$7,AW$1,AW$2,$A180)</f>
        <v>6.9388939039072284E-18</v>
      </c>
      <c r="AX180" s="33">
        <f ca="1">_xll.DBRW($C$1,$C$2,$C$3,$C$4,$C$6,$C$5,$C$7,AX$1,AX$2,$A180)</f>
        <v>6.9388939039072284E-18</v>
      </c>
      <c r="AY180" s="33">
        <f ca="1">_xll.DBRW($C$1,$C$2,$C$3,$C$4,$C$6,$C$5,$C$7,AY$1,AY$2,$A180)</f>
        <v>6.9388939039072284E-18</v>
      </c>
    </row>
    <row r="181" spans="1:51" ht="15.75" hidden="1" customHeight="1" outlineLevel="2">
      <c r="A181" s="1" t="s">
        <v>270</v>
      </c>
      <c r="C181" s="104"/>
      <c r="E181" s="9" t="str">
        <f ca="1">_xll.DBRW(Server&amp;"}ElementAttributes_Indicator",A181,"code_English")</f>
        <v>PL1165_AC - Restructuring costs (AC)</v>
      </c>
      <c r="F181" s="33">
        <f ca="1">_xll.DBRW($C$1,$C$2,$C$3,$C$4,$C$6,$C$5,$C$7,F$1,F$2,$A181)</f>
        <v>-0.41320644322683037</v>
      </c>
      <c r="G181" s="33">
        <f ca="1">_xll.DBRW($C$1,$C$2,$C$3,$C$4,$C$6,$C$5,$C$7,G$1,G$2,$A181)</f>
        <v>0.14241739911312398</v>
      </c>
      <c r="H181" s="33">
        <f ca="1">_xll.DBRW($C$1,$C$2,$C$3,$C$4,$C$6,$C$5,$C$7,H$1,H$2,$A181)</f>
        <v>-0.29720140186458122</v>
      </c>
      <c r="I181" s="33">
        <f ca="1">_xll.DBRW($C$1,$C$2,$C$3,$C$4,$C$6,$C$5,$C$7,I$1,I$2,$A181)</f>
        <v>-1.2281313785223416</v>
      </c>
      <c r="J181" s="33">
        <f ca="1">_xll.DBRW($C$1,$C$2,$C$3,$C$4,$C$6,$C$5,$C$7,J$1,J$2,$A181)</f>
        <v>-2.5619972791530827</v>
      </c>
      <c r="K181" s="33">
        <f ca="1">_xll.DBRW($C$1,$C$2,$C$3,$C$4,$C$6,$C$5,$C$7,K$1,K$2,$A181)</f>
        <v>-6.177055877485917</v>
      </c>
      <c r="L181" s="33">
        <f ca="1">_xll.DBRW($C$1,$C$2,$C$3,$C$4,$C$6,$C$5,$C$7,L$1,L$2,$A181)</f>
        <v>-10.881128384379998</v>
      </c>
      <c r="M181" s="33">
        <f ca="1">_xll.DBRW($C$1,$C$2,$C$3,$C$4,$C$6,$C$5,$C$7,M$1,M$2,$A181)</f>
        <v>-6.7565549999999974E-2</v>
      </c>
      <c r="N181" s="33">
        <f ca="1">_xll.DBRW($C$1,$C$2,$C$3,$C$4,$C$6,$C$5,$C$7,N$1,N$2,$A181)</f>
        <v>-0.31942576</v>
      </c>
      <c r="O181" s="33">
        <f ca="1">_xll.DBRW($C$1,$C$2,$C$3,$C$4,$C$6,$C$5,$C$7,O$1,O$2,$A181)</f>
        <v>-0.47890066999999997</v>
      </c>
      <c r="P181" s="33">
        <f ca="1">_xll.DBRW($C$1,$C$2,$C$3,$C$4,$C$6,$C$5,$C$7,P$1,P$2,$A181)</f>
        <v>-0.48244594999999996</v>
      </c>
      <c r="Q181" s="33">
        <f ca="1">_xll.DBRW($C$1,$C$2,$C$3,$C$4,$C$6,$C$5,$C$7,Q$1,Q$2,$A181)</f>
        <v>-1.4767542800000002</v>
      </c>
      <c r="R181" s="33">
        <f ca="1">_xll.DBRW($C$1,$C$2,$C$3,$C$4,$C$6,$C$5,$C$7,R$1,R$2,$A181)</f>
        <v>-1.6477999099999998</v>
      </c>
      <c r="S181" s="33">
        <f ca="1">_xll.DBRW($C$1,$C$2,$C$3,$C$4,$C$6,$C$5,$C$7,S$1,S$2,$A181)</f>
        <v>-1.6477999099999998</v>
      </c>
      <c r="T181" s="33">
        <f ca="1">_xll.DBRW($C$1,$C$2,$C$3,$C$4,$C$6,$C$5,$C$7,T$1,T$2,$A181)</f>
        <v>-2.97894725</v>
      </c>
      <c r="U181" s="33">
        <f ca="1">_xll.DBRW($C$1,$C$2,$C$3,$C$4,$C$6,$C$5,$C$7,U$1,U$2,$A181)</f>
        <v>-3.02399474</v>
      </c>
      <c r="V181" s="33">
        <f ca="1">_xll.DBRW($C$1,$C$2,$C$3,$C$4,$C$6,$C$5,$C$7,V$1,V$2,$A181)</f>
        <v>-3.02399474</v>
      </c>
      <c r="W181" s="33">
        <f ca="1">_xll.DBRW($C$1,$C$2,$C$3,$C$4,$C$6,$C$5,$C$7,W$1,W$2,$A181)</f>
        <v>-4.1014916499999998</v>
      </c>
      <c r="X181" s="33">
        <f ca="1">_xll.DBRW($C$1,$C$2,$C$3,$C$4,$C$6,$C$5,$C$7,X$1,X$2,$A181)</f>
        <v>-4.3180769100000003</v>
      </c>
      <c r="Y181" s="33">
        <f ca="1">_xll.DBRW($C$1,$C$2,$C$3,$C$4,$C$6,$C$5,$C$7,Y$1,Y$2,$A181)</f>
        <v>-4.3180769100000003</v>
      </c>
      <c r="Z181" s="33">
        <f ca="1">_xll.DBRW($C$1,$C$2,$C$3,$C$4,$C$6,$C$5,$C$7,Z$1,Z$2,$A181)</f>
        <v>-7.7516468000000005E-2</v>
      </c>
      <c r="AA181" s="33">
        <f ca="1">_xll.DBRW($C$1,$C$2,$C$3,$C$4,$C$6,$C$5,$C$7,AA$1,AA$2,$A181)</f>
        <v>-0.104082936</v>
      </c>
      <c r="AB181" s="33">
        <f ca="1">_xll.DBRW($C$1,$C$2,$C$3,$C$4,$C$6,$C$5,$C$7,AB$1,AB$2,$A181)</f>
        <v>-0.13059940399999997</v>
      </c>
      <c r="AC181" s="33">
        <f ca="1">_xll.DBRW($C$1,$C$2,$C$3,$C$4,$C$6,$C$5,$C$7,AC$1,AC$2,$A181)</f>
        <v>-0.15711587199999999</v>
      </c>
      <c r="AD181" s="33">
        <f ca="1">_xll.DBRW($C$1,$C$2,$C$3,$C$4,$C$6,$C$5,$C$7,AD$1,AD$2,$A181)</f>
        <v>-0.18398275599999997</v>
      </c>
      <c r="AE181" s="33">
        <f ca="1">_xll.DBRW($C$1,$C$2,$C$3,$C$4,$C$6,$C$5,$C$7,AE$1,AE$2,$A181)</f>
        <v>-0.21049922399999996</v>
      </c>
      <c r="AF181" s="33">
        <f ca="1">_xll.DBRW($C$1,$C$2,$C$3,$C$4,$C$6,$C$5,$C$7,AF$1,AF$2,$A181)</f>
        <v>-0.23717081679999996</v>
      </c>
      <c r="AG181" s="33">
        <f ca="1">_xll.DBRW($C$1,$C$2,$C$3,$C$4,$C$6,$C$5,$C$7,AG$1,AG$2,$A181)</f>
        <v>-0.26368728479999992</v>
      </c>
      <c r="AH181" s="33">
        <f ca="1">_xll.DBRW($C$1,$C$2,$C$3,$C$4,$C$6,$C$5,$C$7,AH$1,AH$2,$A181)</f>
        <v>-0.79020375279999988</v>
      </c>
      <c r="AI181" s="33">
        <f ca="1">_xll.DBRW($C$1,$C$2,$C$3,$C$4,$C$6,$C$5,$C$7,AI$1,AI$2,$A181)</f>
        <v>-0.81682534559999986</v>
      </c>
      <c r="AJ181" s="33">
        <f ca="1">_xll.DBRW($C$1,$C$2,$C$3,$C$4,$C$6,$C$5,$C$7,AJ$1,AJ$2,$A181)</f>
        <v>-0.84346445919999979</v>
      </c>
      <c r="AK181" s="33">
        <f ca="1">_xll.DBRW($C$1,$C$2,$C$3,$C$4,$C$6,$C$5,$C$7,AK$1,AK$2,$A181)</f>
        <v>-0.87011853119999982</v>
      </c>
      <c r="AL181" s="33">
        <f ca="1">_xll.DBRW($C$1,$C$2,$C$3,$C$4,$C$6,$C$5,$C$7,AL$1,AL$2,$A181)</f>
        <v>-0.87011853119999982</v>
      </c>
      <c r="AM181" s="33">
        <f ca="1">_xll.DBRW($C$1,$C$2,$C$3,$C$4,$C$6,$C$5,$C$7,AM$1,AM$2,$A181)</f>
        <v>0</v>
      </c>
      <c r="AN181" s="33">
        <f ca="1">_xll.DBRW($C$1,$C$2,$C$3,$C$4,$C$6,$C$5,$C$7,AN$1,AN$2,$A181)</f>
        <v>-0.119614</v>
      </c>
      <c r="AO181" s="33">
        <f ca="1">_xll.DBRW($C$1,$C$2,$C$3,$C$4,$C$6,$C$5,$C$7,AO$1,AO$2,$A181)</f>
        <v>0</v>
      </c>
      <c r="AP181" s="33">
        <f ca="1">_xll.DBRW($C$1,$C$2,$C$3,$C$4,$C$6,$C$5,$C$7,AP$1,AP$2,$A181)</f>
        <v>0</v>
      </c>
      <c r="AQ181" s="33">
        <f ca="1">_xll.DBRW($C$1,$C$2,$C$3,$C$4,$C$6,$C$5,$C$7,AQ$1,AQ$2,$A181)</f>
        <v>0</v>
      </c>
      <c r="AR181" s="33">
        <f ca="1">_xll.DBRW($C$1,$C$2,$C$3,$C$4,$C$6,$C$5,$C$7,AR$1,AR$2,$A181)</f>
        <v>0</v>
      </c>
      <c r="AS181" s="33">
        <f ca="1">_xll.DBRW($C$1,$C$2,$C$3,$C$4,$C$6,$C$5,$C$7,AS$1,AS$2,$A181)</f>
        <v>0</v>
      </c>
      <c r="AT181" s="33">
        <f ca="1">_xll.DBRW($C$1,$C$2,$C$3,$C$4,$C$6,$C$5,$C$7,AT$1,AT$2,$A181)</f>
        <v>0</v>
      </c>
      <c r="AU181" s="33">
        <f ca="1">_xll.DBRW($C$1,$C$2,$C$3,$C$4,$C$6,$C$5,$C$7,AU$1,AU$2,$A181)</f>
        <v>0</v>
      </c>
      <c r="AV181" s="33">
        <f ca="1">_xll.DBRW($C$1,$C$2,$C$3,$C$4,$C$6,$C$5,$C$7,AV$1,AV$2,$A181)</f>
        <v>0</v>
      </c>
      <c r="AW181" s="33">
        <f ca="1">_xll.DBRW($C$1,$C$2,$C$3,$C$4,$C$6,$C$5,$C$7,AW$1,AW$2,$A181)</f>
        <v>0</v>
      </c>
      <c r="AX181" s="33">
        <f ca="1">_xll.DBRW($C$1,$C$2,$C$3,$C$4,$C$6,$C$5,$C$7,AX$1,AX$2,$A181)</f>
        <v>0</v>
      </c>
      <c r="AY181" s="33">
        <f ca="1">_xll.DBRW($C$1,$C$2,$C$3,$C$4,$C$6,$C$5,$C$7,AY$1,AY$2,$A181)</f>
        <v>0</v>
      </c>
    </row>
    <row r="182" spans="1:51" ht="15.75" hidden="1" customHeight="1" outlineLevel="2">
      <c r="A182" s="1" t="s">
        <v>271</v>
      </c>
      <c r="C182" s="104"/>
      <c r="E182" s="9" t="str">
        <f ca="1">_xll.DBRW(Server&amp;"}ElementAttributes_Indicator",A182,"code_English")</f>
        <v>PL1145_AC - Impairment - working capital (AC)</v>
      </c>
      <c r="F182" s="33">
        <f ca="1">_xll.DBRW($C$1,$C$2,$C$3,$C$4,$C$6,$C$5,$C$7,F$1,F$2,$A182)</f>
        <v>5.1704944156371466</v>
      </c>
      <c r="G182" s="33">
        <f ca="1">_xll.DBRW($C$1,$C$2,$C$3,$C$4,$C$6,$C$5,$C$7,G$1,G$2,$A182)</f>
        <v>2.4533255411686055</v>
      </c>
      <c r="H182" s="33">
        <f ca="1">_xll.DBRW($C$1,$C$2,$C$3,$C$4,$C$6,$C$5,$C$7,H$1,H$2,$A182)</f>
        <v>-0.75627849288730964</v>
      </c>
      <c r="I182" s="33">
        <f ca="1">_xll.DBRW($C$1,$C$2,$C$3,$C$4,$C$6,$C$5,$C$7,I$1,I$2,$A182)</f>
        <v>-6.8922157823030146</v>
      </c>
      <c r="J182" s="33">
        <f ca="1">_xll.DBRW($C$1,$C$2,$C$3,$C$4,$C$6,$C$5,$C$7,J$1,J$2,$A182)</f>
        <v>-8.1755126283277022</v>
      </c>
      <c r="K182" s="33">
        <f ca="1">_xll.DBRW($C$1,$C$2,$C$3,$C$4,$C$6,$C$5,$C$7,K$1,K$2,$A182)</f>
        <v>-0.28831445841898784</v>
      </c>
      <c r="L182" s="33">
        <f ca="1">_xll.DBRW($C$1,$C$2,$C$3,$C$4,$C$6,$C$5,$C$7,L$1,L$2,$A182)</f>
        <v>0</v>
      </c>
      <c r="M182" s="33">
        <f ca="1">_xll.DBRW($C$1,$C$2,$C$3,$C$4,$C$6,$C$5,$C$7,M$1,M$2,$A182)</f>
        <v>0.12496097</v>
      </c>
      <c r="N182" s="33">
        <f ca="1">_xll.DBRW($C$1,$C$2,$C$3,$C$4,$C$6,$C$5,$C$7,N$1,N$2,$A182)</f>
        <v>-1.2514561056795541</v>
      </c>
      <c r="O182" s="33">
        <f ca="1">_xll.DBRW($C$1,$C$2,$C$3,$C$4,$C$6,$C$5,$C$7,O$1,O$2,$A182)</f>
        <v>4.1276565285963533</v>
      </c>
      <c r="P182" s="33">
        <f ca="1">_xll.DBRW($C$1,$C$2,$C$3,$C$4,$C$6,$C$5,$C$7,P$1,P$2,$A182)</f>
        <v>4.3264783301778236</v>
      </c>
      <c r="Q182" s="33">
        <f ca="1">_xll.DBRW($C$1,$C$2,$C$3,$C$4,$C$6,$C$5,$C$7,Q$1,Q$2,$A182)</f>
        <v>7.5882320919517712</v>
      </c>
      <c r="R182" s="33">
        <f ca="1">_xll.DBRW($C$1,$C$2,$C$3,$C$4,$C$6,$C$5,$C$7,R$1,R$2,$A182)</f>
        <v>7.3566264887443493</v>
      </c>
      <c r="S182" s="33">
        <f ca="1">_xll.DBRW($C$1,$C$2,$C$3,$C$4,$C$6,$C$5,$C$7,S$1,S$2,$A182)</f>
        <v>5.3484404999999997</v>
      </c>
      <c r="T182" s="33">
        <f ca="1">_xll.DBRW($C$1,$C$2,$C$3,$C$4,$C$6,$C$5,$C$7,T$1,T$2,$A182)</f>
        <v>7.1875080873694035</v>
      </c>
      <c r="U182" s="33">
        <f ca="1">_xll.DBRW($C$1,$C$2,$C$3,$C$4,$C$6,$C$5,$C$7,U$1,U$2,$A182)</f>
        <v>6.5955482270751329</v>
      </c>
      <c r="V182" s="33">
        <f ca="1">_xll.DBRW($C$1,$C$2,$C$3,$C$4,$C$6,$C$5,$C$7,V$1,V$2,$A182)</f>
        <v>4.7695522092595644</v>
      </c>
      <c r="W182" s="33">
        <f ca="1">_xll.DBRW($C$1,$C$2,$C$3,$C$4,$C$6,$C$5,$C$7,W$1,W$2,$A182)</f>
        <v>7.4967339646475466</v>
      </c>
      <c r="X182" s="33">
        <f ca="1">_xll.DBRW($C$1,$C$2,$C$3,$C$4,$C$6,$C$5,$C$7,X$1,X$2,$A182)</f>
        <v>6.5017610578116738</v>
      </c>
      <c r="Y182" s="33">
        <f ca="1">_xll.DBRW($C$1,$C$2,$C$3,$C$4,$C$6,$C$5,$C$7,Y$1,Y$2,$A182)</f>
        <v>6.5017610578116738</v>
      </c>
      <c r="Z182" s="33">
        <f ca="1">_xll.DBRW($C$1,$C$2,$C$3,$C$4,$C$6,$C$5,$C$7,Z$1,Z$2,$A182)</f>
        <v>-4.8219999999999996E-5</v>
      </c>
      <c r="AA182" s="33">
        <f ca="1">_xll.DBRW($C$1,$C$2,$C$3,$C$4,$C$6,$C$5,$C$7,AA$1,AA$2,$A182)</f>
        <v>-9.6439999999999991E-5</v>
      </c>
      <c r="AB182" s="33">
        <f ca="1">_xll.DBRW($C$1,$C$2,$C$3,$C$4,$C$6,$C$5,$C$7,AB$1,AB$2,$A182)</f>
        <v>-0.20014465999999997</v>
      </c>
      <c r="AC182" s="33">
        <f ca="1">_xll.DBRW($C$1,$C$2,$C$3,$C$4,$C$6,$C$5,$C$7,AC$1,AC$2,$A182)</f>
        <v>-0.20019287999999996</v>
      </c>
      <c r="AD182" s="33">
        <f ca="1">_xll.DBRW($C$1,$C$2,$C$3,$C$4,$C$6,$C$5,$C$7,AD$1,AD$2,$A182)</f>
        <v>-0.20024109999999998</v>
      </c>
      <c r="AE182" s="33">
        <f ca="1">_xll.DBRW($C$1,$C$2,$C$3,$C$4,$C$6,$C$5,$C$7,AE$1,AE$2,$A182)</f>
        <v>-0.20028931999999997</v>
      </c>
      <c r="AF182" s="33">
        <f ca="1">_xll.DBRW($C$1,$C$2,$C$3,$C$4,$C$6,$C$5,$C$7,AF$1,AF$2,$A182)</f>
        <v>-0.20033753999999998</v>
      </c>
      <c r="AG182" s="33">
        <f ca="1">_xll.DBRW($C$1,$C$2,$C$3,$C$4,$C$6,$C$5,$C$7,AG$1,AG$2,$A182)</f>
        <v>-0.20038575999999997</v>
      </c>
      <c r="AH182" s="33">
        <f ca="1">_xll.DBRW($C$1,$C$2,$C$3,$C$4,$C$6,$C$5,$C$7,AH$1,AH$2,$A182)</f>
        <v>-0.20043397999999996</v>
      </c>
      <c r="AI182" s="33">
        <f ca="1">_xll.DBRW($C$1,$C$2,$C$3,$C$4,$C$6,$C$5,$C$7,AI$1,AI$2,$A182)</f>
        <v>-0.20048219999999997</v>
      </c>
      <c r="AJ182" s="33">
        <f ca="1">_xll.DBRW($C$1,$C$2,$C$3,$C$4,$C$6,$C$5,$C$7,AJ$1,AJ$2,$A182)</f>
        <v>-0.20053041999999996</v>
      </c>
      <c r="AK182" s="33">
        <f ca="1">_xll.DBRW($C$1,$C$2,$C$3,$C$4,$C$6,$C$5,$C$7,AK$1,AK$2,$A182)</f>
        <v>-0.20057863999999997</v>
      </c>
      <c r="AL182" s="33">
        <f ca="1">_xll.DBRW($C$1,$C$2,$C$3,$C$4,$C$6,$C$5,$C$7,AL$1,AL$2,$A182)</f>
        <v>-0.20057863999999997</v>
      </c>
      <c r="AM182" s="33">
        <f ca="1">_xll.DBRW($C$1,$C$2,$C$3,$C$4,$C$6,$C$5,$C$7,AM$1,AM$2,$A182)</f>
        <v>-8.8225211254526925E-2</v>
      </c>
      <c r="AN182" s="33">
        <f ca="1">_xll.DBRW($C$1,$C$2,$C$3,$C$4,$C$6,$C$5,$C$7,AN$1,AN$2,$A182)</f>
        <v>0.34959903624095789</v>
      </c>
      <c r="AO182" s="33">
        <f ca="1">_xll.DBRW($C$1,$C$2,$C$3,$C$4,$C$6,$C$5,$C$7,AO$1,AO$2,$A182)</f>
        <v>0</v>
      </c>
      <c r="AP182" s="33">
        <f ca="1">_xll.DBRW($C$1,$C$2,$C$3,$C$4,$C$6,$C$5,$C$7,AP$1,AP$2,$A182)</f>
        <v>0</v>
      </c>
      <c r="AQ182" s="33">
        <f ca="1">_xll.DBRW($C$1,$C$2,$C$3,$C$4,$C$6,$C$5,$C$7,AQ$1,AQ$2,$A182)</f>
        <v>0</v>
      </c>
      <c r="AR182" s="33">
        <f ca="1">_xll.DBRW($C$1,$C$2,$C$3,$C$4,$C$6,$C$5,$C$7,AR$1,AR$2,$A182)</f>
        <v>0</v>
      </c>
      <c r="AS182" s="33">
        <f ca="1">_xll.DBRW($C$1,$C$2,$C$3,$C$4,$C$6,$C$5,$C$7,AS$1,AS$2,$A182)</f>
        <v>0</v>
      </c>
      <c r="AT182" s="33">
        <f ca="1">_xll.DBRW($C$1,$C$2,$C$3,$C$4,$C$6,$C$5,$C$7,AT$1,AT$2,$A182)</f>
        <v>0</v>
      </c>
      <c r="AU182" s="33">
        <f ca="1">_xll.DBRW($C$1,$C$2,$C$3,$C$4,$C$6,$C$5,$C$7,AU$1,AU$2,$A182)</f>
        <v>0</v>
      </c>
      <c r="AV182" s="33">
        <f ca="1">_xll.DBRW($C$1,$C$2,$C$3,$C$4,$C$6,$C$5,$C$7,AV$1,AV$2,$A182)</f>
        <v>0</v>
      </c>
      <c r="AW182" s="33">
        <f ca="1">_xll.DBRW($C$1,$C$2,$C$3,$C$4,$C$6,$C$5,$C$7,AW$1,AW$2,$A182)</f>
        <v>0</v>
      </c>
      <c r="AX182" s="33">
        <f ca="1">_xll.DBRW($C$1,$C$2,$C$3,$C$4,$C$6,$C$5,$C$7,AX$1,AX$2,$A182)</f>
        <v>0</v>
      </c>
      <c r="AY182" s="33">
        <f ca="1">_xll.DBRW($C$1,$C$2,$C$3,$C$4,$C$6,$C$5,$C$7,AY$1,AY$2,$A182)</f>
        <v>0</v>
      </c>
    </row>
    <row r="183" spans="1:51" ht="15.75" hidden="1" customHeight="1" outlineLevel="2">
      <c r="A183" s="1" t="s">
        <v>272</v>
      </c>
      <c r="C183" s="104"/>
      <c r="E183" s="9" t="str">
        <f ca="1">_xll.DBRW(Server&amp;"}ElementAttributes_Indicator",A183,"code_English")</f>
        <v>PL1150_AC_30 - Impairment (other than working capital) and provisions - related to onerous contracts</v>
      </c>
      <c r="F183" s="33">
        <f ca="1">_xll.DBRW($C$1,$C$2,$C$3,$C$4,$C$6,$C$5,$C$7,F$1,F$2,$A183)</f>
        <v>4.2905198399999991</v>
      </c>
      <c r="G183" s="33">
        <f ca="1">_xll.DBRW($C$1,$C$2,$C$3,$C$4,$C$6,$C$5,$C$7,G$1,G$2,$A183)</f>
        <v>3.8605199399999988</v>
      </c>
      <c r="H183" s="33">
        <f ca="1">_xll.DBRW($C$1,$C$2,$C$3,$C$4,$C$6,$C$5,$C$7,H$1,H$2,$A183)</f>
        <v>-0.17922341999999994</v>
      </c>
      <c r="I183" s="33">
        <f ca="1">_xll.DBRW($C$1,$C$2,$C$3,$C$4,$C$6,$C$5,$C$7,I$1,I$2,$A183)</f>
        <v>0</v>
      </c>
      <c r="J183" s="33">
        <f ca="1">_xll.DBRW($C$1,$C$2,$C$3,$C$4,$C$6,$C$5,$C$7,J$1,J$2,$A183)</f>
        <v>-47.284355429999998</v>
      </c>
      <c r="K183" s="33">
        <f ca="1">_xll.DBRW($C$1,$C$2,$C$3,$C$4,$C$6,$C$5,$C$7,K$1,K$2,$A183)</f>
        <v>-11.598948971399999</v>
      </c>
      <c r="L183" s="33">
        <f ca="1">_xll.DBRW($C$1,$C$2,$C$3,$C$4,$C$6,$C$5,$C$7,L$1,L$2,$A183)</f>
        <v>5.4034856399999995</v>
      </c>
      <c r="M183" s="33">
        <f ca="1">_xll.DBRW($C$1,$C$2,$C$3,$C$4,$C$6,$C$5,$C$7,M$1,M$2,$A183)</f>
        <v>0</v>
      </c>
      <c r="N183" s="33">
        <f ca="1">_xll.DBRW($C$1,$C$2,$C$3,$C$4,$C$6,$C$5,$C$7,N$1,N$2,$A183)</f>
        <v>1.8251659999999998</v>
      </c>
      <c r="O183" s="33">
        <f ca="1">_xll.DBRW($C$1,$C$2,$C$3,$C$4,$C$6,$C$5,$C$7,O$1,O$2,$A183)</f>
        <v>2.737749</v>
      </c>
      <c r="P183" s="33">
        <f ca="1">_xll.DBRW($C$1,$C$2,$C$3,$C$4,$C$6,$C$5,$C$7,P$1,P$2,$A183)</f>
        <v>3.6503319999999997</v>
      </c>
      <c r="Q183" s="33">
        <f ca="1">_xll.DBRW($C$1,$C$2,$C$3,$C$4,$C$6,$C$5,$C$7,Q$1,Q$2,$A183)</f>
        <v>4.5629150000000003</v>
      </c>
      <c r="R183" s="33">
        <f ca="1">_xll.DBRW($C$1,$C$2,$C$3,$C$4,$C$6,$C$5,$C$7,R$1,R$2,$A183)</f>
        <v>5.4755000000000003</v>
      </c>
      <c r="S183" s="33">
        <f ca="1">_xll.DBRW($C$1,$C$2,$C$3,$C$4,$C$6,$C$5,$C$7,S$1,S$2,$A183)</f>
        <v>-4.4408920985006262E-16</v>
      </c>
      <c r="T183" s="33">
        <f ca="1">_xll.DBRW($C$1,$C$2,$C$3,$C$4,$C$6,$C$5,$C$7,T$1,T$2,$A183)</f>
        <v>6.7873326599999988</v>
      </c>
      <c r="U183" s="33">
        <f ca="1">_xll.DBRW($C$1,$C$2,$C$3,$C$4,$C$6,$C$5,$C$7,U$1,U$2,$A183)</f>
        <v>7.7769989999999982</v>
      </c>
      <c r="V183" s="33">
        <f ca="1">_xll.DBRW($C$1,$C$2,$C$3,$C$4,$C$6,$C$5,$C$7,V$1,V$2,$A183)</f>
        <v>-4.4408920985006262E-16</v>
      </c>
      <c r="W183" s="33">
        <f ca="1">_xll.DBRW($C$1,$C$2,$C$3,$C$4,$C$6,$C$5,$C$7,W$1,W$2,$A183)</f>
        <v>9.767952949999998</v>
      </c>
      <c r="X183" s="33">
        <f ca="1">_xll.DBRW($C$1,$C$2,$C$3,$C$4,$C$6,$C$5,$C$7,X$1,X$2,$A183)</f>
        <v>-22.12457787608205</v>
      </c>
      <c r="Y183" s="33">
        <f ca="1">_xll.DBRW($C$1,$C$2,$C$3,$C$4,$C$6,$C$5,$C$7,Y$1,Y$2,$A183)</f>
        <v>-22.12457787608205</v>
      </c>
      <c r="Z183" s="33">
        <f ca="1">_xll.DBRW($C$1,$C$2,$C$3,$C$4,$C$6,$C$5,$C$7,Z$1,Z$2,$A183)</f>
        <v>1.1364744199999999</v>
      </c>
      <c r="AA183" s="33">
        <f ca="1">_xll.DBRW($C$1,$C$2,$C$3,$C$4,$C$6,$C$5,$C$7,AA$1,AA$2,$A183)</f>
        <v>2.2729488399999997</v>
      </c>
      <c r="AB183" s="33">
        <f ca="1">_xll.DBRW($C$1,$C$2,$C$3,$C$4,$C$6,$C$5,$C$7,AB$1,AB$2,$A183)</f>
        <v>3.4084232599999993</v>
      </c>
      <c r="AC183" s="33">
        <f ca="1">_xll.DBRW($C$1,$C$2,$C$3,$C$4,$C$6,$C$5,$C$7,AC$1,AC$2,$A183)</f>
        <v>4.5248976799999996</v>
      </c>
      <c r="AD183" s="33">
        <f ca="1">_xll.DBRW($C$1,$C$2,$C$3,$C$4,$C$6,$C$5,$C$7,AD$1,AD$2,$A183)</f>
        <v>5.641372099999999</v>
      </c>
      <c r="AE183" s="33">
        <f ca="1">_xll.DBRW($C$1,$C$2,$C$3,$C$4,$C$6,$C$5,$C$7,AE$1,AE$2,$A183)</f>
        <v>6.7578465199999993</v>
      </c>
      <c r="AF183" s="33">
        <f ca="1">_xll.DBRW($C$1,$C$2,$C$3,$C$4,$C$6,$C$5,$C$7,AF$1,AF$2,$A183)</f>
        <v>7.8743209399999996</v>
      </c>
      <c r="AG183" s="33">
        <f ca="1">_xll.DBRW($C$1,$C$2,$C$3,$C$4,$C$6,$C$5,$C$7,AG$1,AG$2,$A183)</f>
        <v>8.9907953599999999</v>
      </c>
      <c r="AH183" s="33">
        <f ca="1">_xll.DBRW($C$1,$C$2,$C$3,$C$4,$C$6,$C$5,$C$7,AH$1,AH$2,$A183)</f>
        <v>10.107269779999999</v>
      </c>
      <c r="AI183" s="33">
        <f ca="1">_xll.DBRW($C$1,$C$2,$C$3,$C$4,$C$6,$C$5,$C$7,AI$1,AI$2,$A183)</f>
        <v>11.223744199999999</v>
      </c>
      <c r="AJ183" s="33">
        <f ca="1">_xll.DBRW($C$1,$C$2,$C$3,$C$4,$C$6,$C$5,$C$7,AJ$1,AJ$2,$A183)</f>
        <v>12.34021862</v>
      </c>
      <c r="AK183" s="33">
        <f ca="1">_xll.DBRW($C$1,$C$2,$C$3,$C$4,$C$6,$C$5,$C$7,AK$1,AK$2,$A183)</f>
        <v>13.45565704</v>
      </c>
      <c r="AL183" s="33">
        <f ca="1">_xll.DBRW($C$1,$C$2,$C$3,$C$4,$C$6,$C$5,$C$7,AL$1,AL$2,$A183)</f>
        <v>13.45565704</v>
      </c>
      <c r="AM183" s="33">
        <f ca="1">_xll.DBRW($C$1,$C$2,$C$3,$C$4,$C$6,$C$5,$C$7,AM$1,AM$2,$A183)</f>
        <v>0</v>
      </c>
      <c r="AN183" s="33">
        <f ca="1">_xll.DBRW($C$1,$C$2,$C$3,$C$4,$C$6,$C$5,$C$7,AN$1,AN$2,$A183)</f>
        <v>2.0926486877047767</v>
      </c>
      <c r="AO183" s="33">
        <f ca="1">_xll.DBRW($C$1,$C$2,$C$3,$C$4,$C$6,$C$5,$C$7,AO$1,AO$2,$A183)</f>
        <v>0</v>
      </c>
      <c r="AP183" s="33">
        <f ca="1">_xll.DBRW($C$1,$C$2,$C$3,$C$4,$C$6,$C$5,$C$7,AP$1,AP$2,$A183)</f>
        <v>0</v>
      </c>
      <c r="AQ183" s="33">
        <f ca="1">_xll.DBRW($C$1,$C$2,$C$3,$C$4,$C$6,$C$5,$C$7,AQ$1,AQ$2,$A183)</f>
        <v>0</v>
      </c>
      <c r="AR183" s="33">
        <f ca="1">_xll.DBRW($C$1,$C$2,$C$3,$C$4,$C$6,$C$5,$C$7,AR$1,AR$2,$A183)</f>
        <v>0</v>
      </c>
      <c r="AS183" s="33">
        <f ca="1">_xll.DBRW($C$1,$C$2,$C$3,$C$4,$C$6,$C$5,$C$7,AS$1,AS$2,$A183)</f>
        <v>0</v>
      </c>
      <c r="AT183" s="33">
        <f ca="1">_xll.DBRW($C$1,$C$2,$C$3,$C$4,$C$6,$C$5,$C$7,AT$1,AT$2,$A183)</f>
        <v>0</v>
      </c>
      <c r="AU183" s="33">
        <f ca="1">_xll.DBRW($C$1,$C$2,$C$3,$C$4,$C$6,$C$5,$C$7,AU$1,AU$2,$A183)</f>
        <v>0</v>
      </c>
      <c r="AV183" s="33">
        <f ca="1">_xll.DBRW($C$1,$C$2,$C$3,$C$4,$C$6,$C$5,$C$7,AV$1,AV$2,$A183)</f>
        <v>0</v>
      </c>
      <c r="AW183" s="33">
        <f ca="1">_xll.DBRW($C$1,$C$2,$C$3,$C$4,$C$6,$C$5,$C$7,AW$1,AW$2,$A183)</f>
        <v>0</v>
      </c>
      <c r="AX183" s="33">
        <f ca="1">_xll.DBRW($C$1,$C$2,$C$3,$C$4,$C$6,$C$5,$C$7,AX$1,AX$2,$A183)</f>
        <v>0</v>
      </c>
      <c r="AY183" s="33">
        <f ca="1">_xll.DBRW($C$1,$C$2,$C$3,$C$4,$C$6,$C$5,$C$7,AY$1,AY$2,$A183)</f>
        <v>0</v>
      </c>
    </row>
    <row r="184" spans="1:51" ht="15.75" hidden="1" customHeight="1" outlineLevel="2">
      <c r="A184" s="1" t="s">
        <v>273</v>
      </c>
      <c r="C184" s="104"/>
      <c r="E184" s="9" t="str">
        <f ca="1">_xll.DBRW(Server&amp;"}ElementAttributes_Indicator",A184,"code_English")</f>
        <v>PL1150_AC_31 - Impairment (other than working capital) and provisions - related to onerous contracts - Reversal</v>
      </c>
      <c r="F184" s="33">
        <f ca="1">_xll.DBRW($C$1,$C$2,$C$3,$C$4,$C$6,$C$5,$C$7,F$1,F$2,$A184)</f>
        <v>1.9945650000000001</v>
      </c>
      <c r="G184" s="33">
        <f ca="1">_xll.DBRW($C$1,$C$2,$C$3,$C$4,$C$6,$C$5,$C$7,G$1,G$2,$A184)</f>
        <v>1.3581960000000002</v>
      </c>
      <c r="H184" s="33">
        <f ca="1">_xll.DBRW($C$1,$C$2,$C$3,$C$4,$C$6,$C$5,$C$7,H$1,H$2,$A184)</f>
        <v>1.5651959999999998</v>
      </c>
      <c r="I184" s="33">
        <f ca="1">_xll.DBRW($C$1,$C$2,$C$3,$C$4,$C$6,$C$5,$C$7,I$1,I$2,$A184)</f>
        <v>0</v>
      </c>
      <c r="J184" s="33">
        <f ca="1">_xll.DBRW($C$1,$C$2,$C$3,$C$4,$C$6,$C$5,$C$7,J$1,J$2,$A184)</f>
        <v>2.3028810291999999</v>
      </c>
      <c r="K184" s="33">
        <f ca="1">_xll.DBRW($C$1,$C$2,$C$3,$C$4,$C$6,$C$5,$C$7,K$1,K$2,$A184)</f>
        <v>2.0468414068000005</v>
      </c>
      <c r="L184" s="33">
        <f ca="1">_xll.DBRW($C$1,$C$2,$C$3,$C$4,$C$6,$C$5,$C$7,L$1,L$2,$A184)</f>
        <v>1.6330460411000001</v>
      </c>
      <c r="M184" s="33">
        <f ca="1">_xll.DBRW($C$1,$C$2,$C$3,$C$4,$C$6,$C$5,$C$7,M$1,M$2,$A184)</f>
        <v>0</v>
      </c>
      <c r="N184" s="33">
        <f ca="1">_xll.DBRW($C$1,$C$2,$C$3,$C$4,$C$6,$C$5,$C$7,N$1,N$2,$A184)</f>
        <v>0.27217399999999997</v>
      </c>
      <c r="O184" s="33">
        <f ca="1">_xll.DBRW($C$1,$C$2,$C$3,$C$4,$C$6,$C$5,$C$7,O$1,O$2,$A184)</f>
        <v>0.40826104999999996</v>
      </c>
      <c r="P184" s="33">
        <f ca="1">_xll.DBRW($C$1,$C$2,$C$3,$C$4,$C$6,$C$5,$C$7,P$1,P$2,$A184)</f>
        <v>0.68829981380000005</v>
      </c>
      <c r="Q184" s="33">
        <f ca="1">_xll.DBRW($C$1,$C$2,$C$3,$C$4,$C$6,$C$5,$C$7,Q$1,Q$2,$A184)</f>
        <v>0.86037479220000002</v>
      </c>
      <c r="R184" s="33">
        <f ca="1">_xll.DBRW($C$1,$C$2,$C$3,$C$4,$C$6,$C$5,$C$7,R$1,R$2,$A184)</f>
        <v>1.0324497706</v>
      </c>
      <c r="S184" s="33">
        <f ca="1">_xll.DBRW($C$1,$C$2,$C$3,$C$4,$C$6,$C$5,$C$7,S$1,S$2,$A184)</f>
        <v>5.5511151231257827E-17</v>
      </c>
      <c r="T184" s="33">
        <f ca="1">_xll.DBRW($C$1,$C$2,$C$3,$C$4,$C$6,$C$5,$C$7,T$1,T$2,$A184)</f>
        <v>1.2825836773999999</v>
      </c>
      <c r="U184" s="33">
        <f ca="1">_xll.DBRW($C$1,$C$2,$C$3,$C$4,$C$6,$C$5,$C$7,U$1,U$2,$A184)</f>
        <v>1.4429066559999999</v>
      </c>
      <c r="V184" s="33">
        <f ca="1">_xll.DBRW($C$1,$C$2,$C$3,$C$4,$C$6,$C$5,$C$7,V$1,V$2,$A184)</f>
        <v>5.5511151231257827E-17</v>
      </c>
      <c r="W184" s="33">
        <f ca="1">_xll.DBRW($C$1,$C$2,$C$3,$C$4,$C$6,$C$5,$C$7,W$1,W$2,$A184)</f>
        <v>1.8928246129999999</v>
      </c>
      <c r="X184" s="33">
        <f ca="1">_xll.DBRW($C$1,$C$2,$C$3,$C$4,$C$6,$C$5,$C$7,X$1,X$2,$A184)</f>
        <v>4.5777427409999998</v>
      </c>
      <c r="Y184" s="33">
        <f ca="1">_xll.DBRW($C$1,$C$2,$C$3,$C$4,$C$6,$C$5,$C$7,Y$1,Y$2,$A184)</f>
        <v>4.5777427409999998</v>
      </c>
      <c r="Z184" s="33">
        <f ca="1">_xll.DBRW($C$1,$C$2,$C$3,$C$4,$C$6,$C$5,$C$7,Z$1,Z$2,$A184)</f>
        <v>0.17206705</v>
      </c>
      <c r="AA184" s="33">
        <f ca="1">_xll.DBRW($C$1,$C$2,$C$3,$C$4,$C$6,$C$5,$C$7,AA$1,AA$2,$A184)</f>
        <v>0.34413509999999997</v>
      </c>
      <c r="AB184" s="33">
        <f ca="1">_xll.DBRW($C$1,$C$2,$C$3,$C$4,$C$6,$C$5,$C$7,AB$1,AB$2,$A184)</f>
        <v>0.51620414999999997</v>
      </c>
      <c r="AC184" s="33">
        <f ca="1">_xll.DBRW($C$1,$C$2,$C$3,$C$4,$C$6,$C$5,$C$7,AC$1,AC$2,$A184)</f>
        <v>0.68827419999999995</v>
      </c>
      <c r="AD184" s="33">
        <f ca="1">_xll.DBRW($C$1,$C$2,$C$3,$C$4,$C$6,$C$5,$C$7,AD$1,AD$2,$A184)</f>
        <v>0.86034524999999995</v>
      </c>
      <c r="AE184" s="33">
        <f ca="1">_xll.DBRW($C$1,$C$2,$C$3,$C$4,$C$6,$C$5,$C$7,AE$1,AE$2,$A184)</f>
        <v>1.0324173000000001</v>
      </c>
      <c r="AF184" s="33">
        <f ca="1">_xll.DBRW($C$1,$C$2,$C$3,$C$4,$C$6,$C$5,$C$7,AF$1,AF$2,$A184)</f>
        <v>1.2044903499999999</v>
      </c>
      <c r="AG184" s="33">
        <f ca="1">_xll.DBRW($C$1,$C$2,$C$3,$C$4,$C$6,$C$5,$C$7,AG$1,AG$2,$A184)</f>
        <v>1.3765643999999999</v>
      </c>
      <c r="AH184" s="33">
        <f ca="1">_xll.DBRW($C$1,$C$2,$C$3,$C$4,$C$6,$C$5,$C$7,AH$1,AH$2,$A184)</f>
        <v>1.5486394499999998</v>
      </c>
      <c r="AI184" s="33">
        <f ca="1">_xll.DBRW($C$1,$C$2,$C$3,$C$4,$C$6,$C$5,$C$7,AI$1,AI$2,$A184)</f>
        <v>1.7207144999999999</v>
      </c>
      <c r="AJ184" s="33">
        <f ca="1">_xll.DBRW($C$1,$C$2,$C$3,$C$4,$C$6,$C$5,$C$7,AJ$1,AJ$2,$A184)</f>
        <v>1.8927895499999998</v>
      </c>
      <c r="AK184" s="33">
        <f ca="1">_xll.DBRW($C$1,$C$2,$C$3,$C$4,$C$6,$C$5,$C$7,AK$1,AK$2,$A184)</f>
        <v>2.0377495999999997</v>
      </c>
      <c r="AL184" s="33">
        <f ca="1">_xll.DBRW($C$1,$C$2,$C$3,$C$4,$C$6,$C$5,$C$7,AL$1,AL$2,$A184)</f>
        <v>2.0377495999999997</v>
      </c>
      <c r="AM184" s="33">
        <f ca="1">_xll.DBRW($C$1,$C$2,$C$3,$C$4,$C$6,$C$5,$C$7,AM$1,AM$2,$A184)</f>
        <v>0</v>
      </c>
      <c r="AN184" s="33">
        <f ca="1">_xll.DBRW($C$1,$C$2,$C$3,$C$4,$C$6,$C$5,$C$7,AN$1,AN$2,$A184)</f>
        <v>0.34414995679999999</v>
      </c>
      <c r="AO184" s="33">
        <f ca="1">_xll.DBRW($C$1,$C$2,$C$3,$C$4,$C$6,$C$5,$C$7,AO$1,AO$2,$A184)</f>
        <v>0</v>
      </c>
      <c r="AP184" s="33">
        <f ca="1">_xll.DBRW($C$1,$C$2,$C$3,$C$4,$C$6,$C$5,$C$7,AP$1,AP$2,$A184)</f>
        <v>0</v>
      </c>
      <c r="AQ184" s="33">
        <f ca="1">_xll.DBRW($C$1,$C$2,$C$3,$C$4,$C$6,$C$5,$C$7,AQ$1,AQ$2,$A184)</f>
        <v>0</v>
      </c>
      <c r="AR184" s="33">
        <f ca="1">_xll.DBRW($C$1,$C$2,$C$3,$C$4,$C$6,$C$5,$C$7,AR$1,AR$2,$A184)</f>
        <v>0</v>
      </c>
      <c r="AS184" s="33">
        <f ca="1">_xll.DBRW($C$1,$C$2,$C$3,$C$4,$C$6,$C$5,$C$7,AS$1,AS$2,$A184)</f>
        <v>0</v>
      </c>
      <c r="AT184" s="33">
        <f ca="1">_xll.DBRW($C$1,$C$2,$C$3,$C$4,$C$6,$C$5,$C$7,AT$1,AT$2,$A184)</f>
        <v>0</v>
      </c>
      <c r="AU184" s="33">
        <f ca="1">_xll.DBRW($C$1,$C$2,$C$3,$C$4,$C$6,$C$5,$C$7,AU$1,AU$2,$A184)</f>
        <v>0</v>
      </c>
      <c r="AV184" s="33">
        <f ca="1">_xll.DBRW($C$1,$C$2,$C$3,$C$4,$C$6,$C$5,$C$7,AV$1,AV$2,$A184)</f>
        <v>0</v>
      </c>
      <c r="AW184" s="33">
        <f ca="1">_xll.DBRW($C$1,$C$2,$C$3,$C$4,$C$6,$C$5,$C$7,AW$1,AW$2,$A184)</f>
        <v>0</v>
      </c>
      <c r="AX184" s="33">
        <f ca="1">_xll.DBRW($C$1,$C$2,$C$3,$C$4,$C$6,$C$5,$C$7,AX$1,AX$2,$A184)</f>
        <v>0</v>
      </c>
      <c r="AY184" s="33">
        <f ca="1">_xll.DBRW($C$1,$C$2,$C$3,$C$4,$C$6,$C$5,$C$7,AY$1,AY$2,$A184)</f>
        <v>0</v>
      </c>
    </row>
    <row r="185" spans="1:51" ht="15.75" hidden="1" customHeight="1" outlineLevel="2">
      <c r="A185" s="1" t="s">
        <v>274</v>
      </c>
      <c r="C185" s="104"/>
      <c r="E185" s="9" t="str">
        <f ca="1">_xll.DBRW(Server&amp;"}ElementAttributes_Indicator",A185,"code_English")</f>
        <v>PL1150_AC_90 - Impairment (other than working capital) and provisions - others (AC)</v>
      </c>
      <c r="F185" s="33">
        <f ca="1">_xll.DBRW($C$1,$C$2,$C$3,$C$4,$C$6,$C$5,$C$7,F$1,F$2,$A185)</f>
        <v>0.91245993676099524</v>
      </c>
      <c r="G185" s="33">
        <f ca="1">_xll.DBRW($C$1,$C$2,$C$3,$C$4,$C$6,$C$5,$C$7,G$1,G$2,$A185)</f>
        <v>1.0160929745975351</v>
      </c>
      <c r="H185" s="33">
        <f ca="1">_xll.DBRW($C$1,$C$2,$C$3,$C$4,$C$6,$C$5,$C$7,H$1,H$2,$A185)</f>
        <v>-0.6445907234919237</v>
      </c>
      <c r="I185" s="33">
        <f ca="1">_xll.DBRW($C$1,$C$2,$C$3,$C$4,$C$6,$C$5,$C$7,I$1,I$2,$A185)</f>
        <v>-9.8005169423869942E-2</v>
      </c>
      <c r="J185" s="33">
        <f ca="1">_xll.DBRW($C$1,$C$2,$C$3,$C$4,$C$6,$C$5,$C$7,J$1,J$2,$A185)</f>
        <v>-4.5306962863761875</v>
      </c>
      <c r="K185" s="33">
        <f ca="1">_xll.DBRW($C$1,$C$2,$C$3,$C$4,$C$6,$C$5,$C$7,K$1,K$2,$A185)</f>
        <v>-3.7974297975493183</v>
      </c>
      <c r="L185" s="33">
        <f ca="1">_xll.DBRW($C$1,$C$2,$C$3,$C$4,$C$6,$C$5,$C$7,L$1,L$2,$A185)</f>
        <v>-0.22867502660000022</v>
      </c>
      <c r="M185" s="33">
        <f ca="1">_xll.DBRW($C$1,$C$2,$C$3,$C$4,$C$6,$C$5,$C$7,M$1,M$2,$A185)</f>
        <v>-0.39192901999999996</v>
      </c>
      <c r="N185" s="33">
        <f ca="1">_xll.DBRW($C$1,$C$2,$C$3,$C$4,$C$6,$C$5,$C$7,N$1,N$2,$A185)</f>
        <v>-1.0659216840647723</v>
      </c>
      <c r="O185" s="33">
        <f ca="1">_xll.DBRW($C$1,$C$2,$C$3,$C$4,$C$6,$C$5,$C$7,O$1,O$2,$A185)</f>
        <v>-0.6681945734246626</v>
      </c>
      <c r="P185" s="33">
        <f ca="1">_xll.DBRW($C$1,$C$2,$C$3,$C$4,$C$6,$C$5,$C$7,P$1,P$2,$A185)</f>
        <v>-0.88827125857788203</v>
      </c>
      <c r="Q185" s="33">
        <f ca="1">_xll.DBRW($C$1,$C$2,$C$3,$C$4,$C$6,$C$5,$C$7,Q$1,Q$2,$A185)</f>
        <v>-1.0363425066231169</v>
      </c>
      <c r="R185" s="33">
        <f ca="1">_xll.DBRW($C$1,$C$2,$C$3,$C$4,$C$6,$C$5,$C$7,R$1,R$2,$A185)</f>
        <v>-0.89968857207770669</v>
      </c>
      <c r="S185" s="33">
        <f ca="1">_xll.DBRW($C$1,$C$2,$C$3,$C$4,$C$6,$C$5,$C$7,S$1,S$2,$A185)</f>
        <v>-1.0442801500000001</v>
      </c>
      <c r="T185" s="33">
        <f ca="1">_xll.DBRW($C$1,$C$2,$C$3,$C$4,$C$6,$C$5,$C$7,T$1,T$2,$A185)</f>
        <v>-1.6472278812903955</v>
      </c>
      <c r="U185" s="33">
        <f ca="1">_xll.DBRW($C$1,$C$2,$C$3,$C$4,$C$6,$C$5,$C$7,U$1,U$2,$A185)</f>
        <v>-1.8428353832919249</v>
      </c>
      <c r="V185" s="33">
        <f ca="1">_xll.DBRW($C$1,$C$2,$C$3,$C$4,$C$6,$C$5,$C$7,V$1,V$2,$A185)</f>
        <v>-1.3238304399999998</v>
      </c>
      <c r="W185" s="33">
        <f ca="1">_xll.DBRW($C$1,$C$2,$C$3,$C$4,$C$6,$C$5,$C$7,W$1,W$2,$A185)</f>
        <v>-1.1103063799999999</v>
      </c>
      <c r="X185" s="33">
        <f ca="1">_xll.DBRW($C$1,$C$2,$C$3,$C$4,$C$6,$C$5,$C$7,X$1,X$2,$A185)</f>
        <v>-1.2854016961762422</v>
      </c>
      <c r="Y185" s="33">
        <f ca="1">_xll.DBRW($C$1,$C$2,$C$3,$C$4,$C$6,$C$5,$C$7,Y$1,Y$2,$A185)</f>
        <v>-1.2854016961762422</v>
      </c>
      <c r="Z185" s="33">
        <f ca="1">_xll.DBRW($C$1,$C$2,$C$3,$C$4,$C$6,$C$5,$C$7,Z$1,Z$2,$A185)</f>
        <v>2.000000165480742E-11</v>
      </c>
      <c r="AA185" s="33">
        <f ca="1">_xll.DBRW($C$1,$C$2,$C$3,$C$4,$C$6,$C$5,$C$7,AA$1,AA$2,$A185)</f>
        <v>1.0000111849706173E-11</v>
      </c>
      <c r="AB185" s="33">
        <f ca="1">_xll.DBRW($C$1,$C$2,$C$3,$C$4,$C$6,$C$5,$C$7,AB$1,AB$2,$A185)</f>
        <v>0</v>
      </c>
      <c r="AC185" s="33">
        <f ca="1">_xll.DBRW($C$1,$C$2,$C$3,$C$4,$C$6,$C$5,$C$7,AC$1,AC$2,$A185)</f>
        <v>3.1999985994346503E-10</v>
      </c>
      <c r="AD185" s="33">
        <f ca="1">_xll.DBRW($C$1,$C$2,$C$3,$C$4,$C$6,$C$5,$C$7,AD$1,AD$2,$A185)</f>
        <v>-3.4999986242567616E-10</v>
      </c>
      <c r="AE185" s="33">
        <f ca="1">_xll.DBRW($C$1,$C$2,$C$3,$C$4,$C$6,$C$5,$C$7,AE$1,AE$2,$A185)</f>
        <v>-0.24000000000000005</v>
      </c>
      <c r="AF185" s="33">
        <f ca="1">_xll.DBRW($C$1,$C$2,$C$3,$C$4,$C$6,$C$5,$C$7,AF$1,AF$2,$A185)</f>
        <v>-0.23999999980000009</v>
      </c>
      <c r="AG185" s="33">
        <f ca="1">_xll.DBRW($C$1,$C$2,$C$3,$C$4,$C$6,$C$5,$C$7,AG$1,AG$2,$A185)</f>
        <v>-0.24000000019999979</v>
      </c>
      <c r="AH185" s="33">
        <f ca="1">_xll.DBRW($C$1,$C$2,$C$3,$C$4,$C$6,$C$5,$C$7,AH$1,AH$2,$A185)</f>
        <v>-0.23999999999999994</v>
      </c>
      <c r="AI185" s="33">
        <f ca="1">_xll.DBRW($C$1,$C$2,$C$3,$C$4,$C$6,$C$5,$C$7,AI$1,AI$2,$A185)</f>
        <v>-0.2399999998</v>
      </c>
      <c r="AJ185" s="33">
        <f ca="1">_xll.DBRW($C$1,$C$2,$C$3,$C$4,$C$6,$C$5,$C$7,AJ$1,AJ$2,$A185)</f>
        <v>-0.24000000019999995</v>
      </c>
      <c r="AK185" s="33">
        <f ca="1">_xll.DBRW($C$1,$C$2,$C$3,$C$4,$C$6,$C$5,$C$7,AK$1,AK$2,$A185)</f>
        <v>-0.23999999999999996</v>
      </c>
      <c r="AL185" s="33">
        <f ca="1">_xll.DBRW($C$1,$C$2,$C$3,$C$4,$C$6,$C$5,$C$7,AL$1,AL$2,$A185)</f>
        <v>-0.23999999999999996</v>
      </c>
      <c r="AM185" s="33">
        <f ca="1">_xll.DBRW($C$1,$C$2,$C$3,$C$4,$C$6,$C$5,$C$7,AM$1,AM$2,$A185)</f>
        <v>-0.38822365999999997</v>
      </c>
      <c r="AN185" s="33">
        <f ca="1">_xll.DBRW($C$1,$C$2,$C$3,$C$4,$C$6,$C$5,$C$7,AN$1,AN$2,$A185)</f>
        <v>-0.43447755380530478</v>
      </c>
      <c r="AO185" s="33">
        <f ca="1">_xll.DBRW($C$1,$C$2,$C$3,$C$4,$C$6,$C$5,$C$7,AO$1,AO$2,$A185)</f>
        <v>0</v>
      </c>
      <c r="AP185" s="33">
        <f ca="1">_xll.DBRW($C$1,$C$2,$C$3,$C$4,$C$6,$C$5,$C$7,AP$1,AP$2,$A185)</f>
        <v>0</v>
      </c>
      <c r="AQ185" s="33">
        <f ca="1">_xll.DBRW($C$1,$C$2,$C$3,$C$4,$C$6,$C$5,$C$7,AQ$1,AQ$2,$A185)</f>
        <v>0</v>
      </c>
      <c r="AR185" s="33">
        <f ca="1">_xll.DBRW($C$1,$C$2,$C$3,$C$4,$C$6,$C$5,$C$7,AR$1,AR$2,$A185)</f>
        <v>0</v>
      </c>
      <c r="AS185" s="33">
        <f ca="1">_xll.DBRW($C$1,$C$2,$C$3,$C$4,$C$6,$C$5,$C$7,AS$1,AS$2,$A185)</f>
        <v>0</v>
      </c>
      <c r="AT185" s="33">
        <f ca="1">_xll.DBRW($C$1,$C$2,$C$3,$C$4,$C$6,$C$5,$C$7,AT$1,AT$2,$A185)</f>
        <v>0</v>
      </c>
      <c r="AU185" s="33">
        <f ca="1">_xll.DBRW($C$1,$C$2,$C$3,$C$4,$C$6,$C$5,$C$7,AU$1,AU$2,$A185)</f>
        <v>0</v>
      </c>
      <c r="AV185" s="33">
        <f ca="1">_xll.DBRW($C$1,$C$2,$C$3,$C$4,$C$6,$C$5,$C$7,AV$1,AV$2,$A185)</f>
        <v>0</v>
      </c>
      <c r="AW185" s="33">
        <f ca="1">_xll.DBRW($C$1,$C$2,$C$3,$C$4,$C$6,$C$5,$C$7,AW$1,AW$2,$A185)</f>
        <v>0</v>
      </c>
      <c r="AX185" s="33">
        <f ca="1">_xll.DBRW($C$1,$C$2,$C$3,$C$4,$C$6,$C$5,$C$7,AX$1,AX$2,$A185)</f>
        <v>0</v>
      </c>
      <c r="AY185" s="33">
        <f ca="1">_xll.DBRW($C$1,$C$2,$C$3,$C$4,$C$6,$C$5,$C$7,AY$1,AY$2,$A185)</f>
        <v>0</v>
      </c>
    </row>
    <row r="186" spans="1:51" ht="15.75" hidden="1" customHeight="1" outlineLevel="2">
      <c r="A186" s="1" t="s">
        <v>275</v>
      </c>
      <c r="C186" s="104"/>
      <c r="E186" s="9" t="str">
        <f ca="1">_xll.DBRW(Server&amp;"}ElementAttributes_Indicator",A186,"code_English")</f>
        <v>PL1150_AC_91 - Impairment (other than working capital) and provisions - others - Reversal</v>
      </c>
      <c r="F186" s="33">
        <f ca="1">_xll.DBRW($C$1,$C$2,$C$3,$C$4,$C$6,$C$5,$C$7,F$1,F$2,$A186)</f>
        <v>0</v>
      </c>
      <c r="G186" s="33">
        <f ca="1">_xll.DBRW($C$1,$C$2,$C$3,$C$4,$C$6,$C$5,$C$7,G$1,G$2,$A186)</f>
        <v>0</v>
      </c>
      <c r="H186" s="33">
        <f ca="1">_xll.DBRW($C$1,$C$2,$C$3,$C$4,$C$6,$C$5,$C$7,H$1,H$2,$A186)</f>
        <v>5.0590000000000002E-5</v>
      </c>
      <c r="I186" s="33">
        <f ca="1">_xll.DBRW($C$1,$C$2,$C$3,$C$4,$C$6,$C$5,$C$7,I$1,I$2,$A186)</f>
        <v>7.5900000000000002E-5</v>
      </c>
      <c r="J186" s="33">
        <f ca="1">_xll.DBRW($C$1,$C$2,$C$3,$C$4,$C$6,$C$5,$C$7,J$1,J$2,$A186)</f>
        <v>3.3249999999999995E-5</v>
      </c>
      <c r="K186" s="33">
        <f ca="1">_xll.DBRW($C$1,$C$2,$C$3,$C$4,$C$6,$C$5,$C$7,K$1,K$2,$A186)</f>
        <v>2.0995999999999998E-4</v>
      </c>
      <c r="L186" s="33">
        <f ca="1">_xll.DBRW($C$1,$C$2,$C$3,$C$4,$C$6,$C$5,$C$7,L$1,L$2,$A186)</f>
        <v>0</v>
      </c>
      <c r="M186" s="33">
        <f ca="1">_xll.DBRW($C$1,$C$2,$C$3,$C$4,$C$6,$C$5,$C$7,M$1,M$2,$A186)</f>
        <v>0</v>
      </c>
      <c r="N186" s="33">
        <f ca="1">_xll.DBRW($C$1,$C$2,$C$3,$C$4,$C$6,$C$5,$C$7,N$1,N$2,$A186)</f>
        <v>3.006E-5</v>
      </c>
      <c r="O186" s="33">
        <f ca="1">_xll.DBRW($C$1,$C$2,$C$3,$C$4,$C$6,$C$5,$C$7,O$1,O$2,$A186)</f>
        <v>3.006E-5</v>
      </c>
      <c r="P186" s="33">
        <f ca="1">_xll.DBRW($C$1,$C$2,$C$3,$C$4,$C$6,$C$5,$C$7,P$1,P$2,$A186)</f>
        <v>3.006E-5</v>
      </c>
      <c r="Q186" s="33">
        <f ca="1">_xll.DBRW($C$1,$C$2,$C$3,$C$4,$C$6,$C$5,$C$7,Q$1,Q$2,$A186)</f>
        <v>3.006E-5</v>
      </c>
      <c r="R186" s="33">
        <f ca="1">_xll.DBRW($C$1,$C$2,$C$3,$C$4,$C$6,$C$5,$C$7,R$1,R$2,$A186)</f>
        <v>3.006E-5</v>
      </c>
      <c r="S186" s="33">
        <f ca="1">_xll.DBRW($C$1,$C$2,$C$3,$C$4,$C$6,$C$5,$C$7,S$1,S$2,$A186)</f>
        <v>2.9E-5</v>
      </c>
      <c r="T186" s="33">
        <f ca="1">_xll.DBRW($C$1,$C$2,$C$3,$C$4,$C$6,$C$5,$C$7,T$1,T$2,$A186)</f>
        <v>0</v>
      </c>
      <c r="U186" s="33">
        <f ca="1">_xll.DBRW($C$1,$C$2,$C$3,$C$4,$C$6,$C$5,$C$7,U$1,U$2,$A186)</f>
        <v>0</v>
      </c>
      <c r="V186" s="33">
        <f ca="1">_xll.DBRW($C$1,$C$2,$C$3,$C$4,$C$6,$C$5,$C$7,V$1,V$2,$A186)</f>
        <v>0</v>
      </c>
      <c r="W186" s="33">
        <f ca="1">_xll.DBRW($C$1,$C$2,$C$3,$C$4,$C$6,$C$5,$C$7,W$1,W$2,$A186)</f>
        <v>0</v>
      </c>
      <c r="X186" s="33">
        <f ca="1">_xll.DBRW($C$1,$C$2,$C$3,$C$4,$C$6,$C$5,$C$7,X$1,X$2,$A186)</f>
        <v>0</v>
      </c>
      <c r="Y186" s="33">
        <f ca="1">_xll.DBRW($C$1,$C$2,$C$3,$C$4,$C$6,$C$5,$C$7,Y$1,Y$2,$A186)</f>
        <v>0</v>
      </c>
      <c r="Z186" s="33">
        <f ca="1">_xll.DBRW($C$1,$C$2,$C$3,$C$4,$C$6,$C$5,$C$7,Z$1,Z$2,$A186)</f>
        <v>0</v>
      </c>
      <c r="AA186" s="33">
        <f ca="1">_xll.DBRW($C$1,$C$2,$C$3,$C$4,$C$6,$C$5,$C$7,AA$1,AA$2,$A186)</f>
        <v>0</v>
      </c>
      <c r="AB186" s="33">
        <f ca="1">_xll.DBRW($C$1,$C$2,$C$3,$C$4,$C$6,$C$5,$C$7,AB$1,AB$2,$A186)</f>
        <v>0</v>
      </c>
      <c r="AC186" s="33">
        <f ca="1">_xll.DBRW($C$1,$C$2,$C$3,$C$4,$C$6,$C$5,$C$7,AC$1,AC$2,$A186)</f>
        <v>0</v>
      </c>
      <c r="AD186" s="33">
        <f ca="1">_xll.DBRW($C$1,$C$2,$C$3,$C$4,$C$6,$C$5,$C$7,AD$1,AD$2,$A186)</f>
        <v>0</v>
      </c>
      <c r="AE186" s="33">
        <f ca="1">_xll.DBRW($C$1,$C$2,$C$3,$C$4,$C$6,$C$5,$C$7,AE$1,AE$2,$A186)</f>
        <v>0</v>
      </c>
      <c r="AF186" s="33">
        <f ca="1">_xll.DBRW($C$1,$C$2,$C$3,$C$4,$C$6,$C$5,$C$7,AF$1,AF$2,$A186)</f>
        <v>0</v>
      </c>
      <c r="AG186" s="33">
        <f ca="1">_xll.DBRW($C$1,$C$2,$C$3,$C$4,$C$6,$C$5,$C$7,AG$1,AG$2,$A186)</f>
        <v>0</v>
      </c>
      <c r="AH186" s="33">
        <f ca="1">_xll.DBRW($C$1,$C$2,$C$3,$C$4,$C$6,$C$5,$C$7,AH$1,AH$2,$A186)</f>
        <v>0</v>
      </c>
      <c r="AI186" s="33">
        <f ca="1">_xll.DBRW($C$1,$C$2,$C$3,$C$4,$C$6,$C$5,$C$7,AI$1,AI$2,$A186)</f>
        <v>0</v>
      </c>
      <c r="AJ186" s="33">
        <f ca="1">_xll.DBRW($C$1,$C$2,$C$3,$C$4,$C$6,$C$5,$C$7,AJ$1,AJ$2,$A186)</f>
        <v>0</v>
      </c>
      <c r="AK186" s="33">
        <f ca="1">_xll.DBRW($C$1,$C$2,$C$3,$C$4,$C$6,$C$5,$C$7,AK$1,AK$2,$A186)</f>
        <v>0</v>
      </c>
      <c r="AL186" s="33">
        <f ca="1">_xll.DBRW($C$1,$C$2,$C$3,$C$4,$C$6,$C$5,$C$7,AL$1,AL$2,$A186)</f>
        <v>0</v>
      </c>
      <c r="AM186" s="33">
        <f ca="1">_xll.DBRW($C$1,$C$2,$C$3,$C$4,$C$6,$C$5,$C$7,AM$1,AM$2,$A186)</f>
        <v>0</v>
      </c>
      <c r="AN186" s="33">
        <f ca="1">_xll.DBRW($C$1,$C$2,$C$3,$C$4,$C$6,$C$5,$C$7,AN$1,AN$2,$A186)</f>
        <v>0</v>
      </c>
      <c r="AO186" s="33">
        <f ca="1">_xll.DBRW($C$1,$C$2,$C$3,$C$4,$C$6,$C$5,$C$7,AO$1,AO$2,$A186)</f>
        <v>0</v>
      </c>
      <c r="AP186" s="33">
        <f ca="1">_xll.DBRW($C$1,$C$2,$C$3,$C$4,$C$6,$C$5,$C$7,AP$1,AP$2,$A186)</f>
        <v>0</v>
      </c>
      <c r="AQ186" s="33">
        <f ca="1">_xll.DBRW($C$1,$C$2,$C$3,$C$4,$C$6,$C$5,$C$7,AQ$1,AQ$2,$A186)</f>
        <v>0</v>
      </c>
      <c r="AR186" s="33">
        <f ca="1">_xll.DBRW($C$1,$C$2,$C$3,$C$4,$C$6,$C$5,$C$7,AR$1,AR$2,$A186)</f>
        <v>0</v>
      </c>
      <c r="AS186" s="33">
        <f ca="1">_xll.DBRW($C$1,$C$2,$C$3,$C$4,$C$6,$C$5,$C$7,AS$1,AS$2,$A186)</f>
        <v>0</v>
      </c>
      <c r="AT186" s="33">
        <f ca="1">_xll.DBRW($C$1,$C$2,$C$3,$C$4,$C$6,$C$5,$C$7,AT$1,AT$2,$A186)</f>
        <v>0</v>
      </c>
      <c r="AU186" s="33">
        <f ca="1">_xll.DBRW($C$1,$C$2,$C$3,$C$4,$C$6,$C$5,$C$7,AU$1,AU$2,$A186)</f>
        <v>0</v>
      </c>
      <c r="AV186" s="33">
        <f ca="1">_xll.DBRW($C$1,$C$2,$C$3,$C$4,$C$6,$C$5,$C$7,AV$1,AV$2,$A186)</f>
        <v>0</v>
      </c>
      <c r="AW186" s="33">
        <f ca="1">_xll.DBRW($C$1,$C$2,$C$3,$C$4,$C$6,$C$5,$C$7,AW$1,AW$2,$A186)</f>
        <v>0</v>
      </c>
      <c r="AX186" s="33">
        <f ca="1">_xll.DBRW($C$1,$C$2,$C$3,$C$4,$C$6,$C$5,$C$7,AX$1,AX$2,$A186)</f>
        <v>0</v>
      </c>
      <c r="AY186" s="33">
        <f ca="1">_xll.DBRW($C$1,$C$2,$C$3,$C$4,$C$6,$C$5,$C$7,AY$1,AY$2,$A186)</f>
        <v>0</v>
      </c>
    </row>
    <row r="187" spans="1:51" ht="15.75" hidden="1" customHeight="1" outlineLevel="2">
      <c r="A187" s="1" t="s">
        <v>276</v>
      </c>
      <c r="C187" s="104"/>
      <c r="E187" s="9" t="str">
        <f ca="1">_xll.DBRW(Server&amp;"}ElementAttributes_Indicator",A187,"code_English")</f>
        <v>PL1170_AC - Net provisions for restructuring costs (AC)</v>
      </c>
      <c r="F187" s="33">
        <f ca="1">_xll.DBRW($C$1,$C$2,$C$3,$C$4,$C$6,$C$5,$C$7,F$1,F$2,$A187)</f>
        <v>-0.19113142000000011</v>
      </c>
      <c r="G187" s="33">
        <f ca="1">_xll.DBRW($C$1,$C$2,$C$3,$C$4,$C$6,$C$5,$C$7,G$1,G$2,$A187)</f>
        <v>-1.7752325799999997</v>
      </c>
      <c r="H187" s="33">
        <f ca="1">_xll.DBRW($C$1,$C$2,$C$3,$C$4,$C$6,$C$5,$C$7,H$1,H$2,$A187)</f>
        <v>-0.2671894900000002</v>
      </c>
      <c r="I187" s="33">
        <f ca="1">_xll.DBRW($C$1,$C$2,$C$3,$C$4,$C$6,$C$5,$C$7,I$1,I$2,$A187)</f>
        <v>1.1749594700000001</v>
      </c>
      <c r="J187" s="33">
        <f ca="1">_xll.DBRW($C$1,$C$2,$C$3,$C$4,$C$6,$C$5,$C$7,J$1,J$2,$A187)</f>
        <v>-17.33432376</v>
      </c>
      <c r="K187" s="33">
        <f ca="1">_xll.DBRW($C$1,$C$2,$C$3,$C$4,$C$6,$C$5,$C$7,K$1,K$2,$A187)</f>
        <v>6.3844180700000006</v>
      </c>
      <c r="L187" s="33">
        <f ca="1">_xll.DBRW($C$1,$C$2,$C$3,$C$4,$C$6,$C$5,$C$7,L$1,L$2,$A187)</f>
        <v>7.4193384768610002</v>
      </c>
      <c r="M187" s="33">
        <f ca="1">_xll.DBRW($C$1,$C$2,$C$3,$C$4,$C$6,$C$5,$C$7,M$1,M$2,$A187)</f>
        <v>5.4714730000000003E-2</v>
      </c>
      <c r="N187" s="33">
        <f ca="1">_xll.DBRW($C$1,$C$2,$C$3,$C$4,$C$6,$C$5,$C$7,N$1,N$2,$A187)</f>
        <v>-1.4385292699999999</v>
      </c>
      <c r="O187" s="33">
        <f ca="1">_xll.DBRW($C$1,$C$2,$C$3,$C$4,$C$6,$C$5,$C$7,O$1,O$2,$A187)</f>
        <v>-1.2291499299999999</v>
      </c>
      <c r="P187" s="33">
        <f ca="1">_xll.DBRW($C$1,$C$2,$C$3,$C$4,$C$6,$C$5,$C$7,P$1,P$2,$A187)</f>
        <v>-1.03285465</v>
      </c>
      <c r="Q187" s="33">
        <f ca="1">_xll.DBRW($C$1,$C$2,$C$3,$C$4,$C$6,$C$5,$C$7,Q$1,Q$2,$A187)</f>
        <v>-4.0840569999999854E-2</v>
      </c>
      <c r="R187" s="33">
        <f ca="1">_xll.DBRW($C$1,$C$2,$C$3,$C$4,$C$6,$C$5,$C$7,R$1,R$2,$A187)</f>
        <v>7.6059830000000161E-2</v>
      </c>
      <c r="S187" s="33">
        <f ca="1">_xll.DBRW($C$1,$C$2,$C$3,$C$4,$C$6,$C$5,$C$7,S$1,S$2,$A187)</f>
        <v>1.6443504800000002</v>
      </c>
      <c r="T187" s="33">
        <f ca="1">_xll.DBRW($C$1,$C$2,$C$3,$C$4,$C$6,$C$5,$C$7,T$1,T$2,$A187)</f>
        <v>1.0844293000000003</v>
      </c>
      <c r="U187" s="33">
        <f ca="1">_xll.DBRW($C$1,$C$2,$C$3,$C$4,$C$6,$C$5,$C$7,U$1,U$2,$A187)</f>
        <v>1.1292444400000003</v>
      </c>
      <c r="V187" s="33">
        <f ca="1">_xll.DBRW($C$1,$C$2,$C$3,$C$4,$C$6,$C$5,$C$7,V$1,V$2,$A187)</f>
        <v>3.0405850900000004</v>
      </c>
      <c r="W187" s="33">
        <f ca="1">_xll.DBRW($C$1,$C$2,$C$3,$C$4,$C$6,$C$5,$C$7,W$1,W$2,$A187)</f>
        <v>2.2399724900000004</v>
      </c>
      <c r="X187" s="33">
        <f ca="1">_xll.DBRW($C$1,$C$2,$C$3,$C$4,$C$6,$C$5,$C$7,X$1,X$2,$A187)</f>
        <v>4.1216582700000002</v>
      </c>
      <c r="Y187" s="33">
        <f ca="1">_xll.DBRW($C$1,$C$2,$C$3,$C$4,$C$6,$C$5,$C$7,Y$1,Y$2,$A187)</f>
        <v>4.1216582700000002</v>
      </c>
      <c r="Z187" s="33">
        <f ca="1">_xll.DBRW($C$1,$C$2,$C$3,$C$4,$C$6,$C$5,$C$7,Z$1,Z$2,$A187)</f>
        <v>2.6516467999999998E-2</v>
      </c>
      <c r="AA187" s="33">
        <f ca="1">_xll.DBRW($C$1,$C$2,$C$3,$C$4,$C$6,$C$5,$C$7,AA$1,AA$2,$A187)</f>
        <v>5.3082935999999997E-2</v>
      </c>
      <c r="AB187" s="33">
        <f ca="1">_xll.DBRW($C$1,$C$2,$C$3,$C$4,$C$6,$C$5,$C$7,AB$1,AB$2,$A187)</f>
        <v>7.9599403999999985E-2</v>
      </c>
      <c r="AC187" s="33">
        <f ca="1">_xll.DBRW($C$1,$C$2,$C$3,$C$4,$C$6,$C$5,$C$7,AC$1,AC$2,$A187)</f>
        <v>0.106115872</v>
      </c>
      <c r="AD187" s="33">
        <f ca="1">_xll.DBRW($C$1,$C$2,$C$3,$C$4,$C$6,$C$5,$C$7,AD$1,AD$2,$A187)</f>
        <v>0.13298275599999998</v>
      </c>
      <c r="AE187" s="33">
        <f ca="1">_xll.DBRW($C$1,$C$2,$C$3,$C$4,$C$6,$C$5,$C$7,AE$1,AE$2,$A187)</f>
        <v>0.15949922399999997</v>
      </c>
      <c r="AF187" s="33">
        <f ca="1">_xll.DBRW($C$1,$C$2,$C$3,$C$4,$C$6,$C$5,$C$7,AF$1,AF$2,$A187)</f>
        <v>0.18617081679999997</v>
      </c>
      <c r="AG187" s="33">
        <f ca="1">_xll.DBRW($C$1,$C$2,$C$3,$C$4,$C$6,$C$5,$C$7,AG$1,AG$2,$A187)</f>
        <v>0.21268728479999996</v>
      </c>
      <c r="AH187" s="33">
        <f ca="1">_xll.DBRW($C$1,$C$2,$C$3,$C$4,$C$6,$C$5,$C$7,AH$1,AH$2,$A187)</f>
        <v>0.23920375279999995</v>
      </c>
      <c r="AI187" s="33">
        <f ca="1">_xll.DBRW($C$1,$C$2,$C$3,$C$4,$C$6,$C$5,$C$7,AI$1,AI$2,$A187)</f>
        <v>0.26582534559999993</v>
      </c>
      <c r="AJ187" s="33">
        <f ca="1">_xll.DBRW($C$1,$C$2,$C$3,$C$4,$C$6,$C$5,$C$7,AJ$1,AJ$2,$A187)</f>
        <v>0.29246445919999997</v>
      </c>
      <c r="AK187" s="33">
        <f ca="1">_xll.DBRW($C$1,$C$2,$C$3,$C$4,$C$6,$C$5,$C$7,AK$1,AK$2,$A187)</f>
        <v>0.3191185312</v>
      </c>
      <c r="AL187" s="33">
        <f ca="1">_xll.DBRW($C$1,$C$2,$C$3,$C$4,$C$6,$C$5,$C$7,AL$1,AL$2,$A187)</f>
        <v>0.3191185312</v>
      </c>
      <c r="AM187" s="33">
        <f ca="1">_xll.DBRW($C$1,$C$2,$C$3,$C$4,$C$6,$C$5,$C$7,AM$1,AM$2,$A187)</f>
        <v>0</v>
      </c>
      <c r="AN187" s="33">
        <f ca="1">_xll.DBRW($C$1,$C$2,$C$3,$C$4,$C$6,$C$5,$C$7,AN$1,AN$2,$A187)</f>
        <v>0.36831415000000001</v>
      </c>
      <c r="AO187" s="33">
        <f ca="1">_xll.DBRW($C$1,$C$2,$C$3,$C$4,$C$6,$C$5,$C$7,AO$1,AO$2,$A187)</f>
        <v>0</v>
      </c>
      <c r="AP187" s="33">
        <f ca="1">_xll.DBRW($C$1,$C$2,$C$3,$C$4,$C$6,$C$5,$C$7,AP$1,AP$2,$A187)</f>
        <v>0</v>
      </c>
      <c r="AQ187" s="33">
        <f ca="1">_xll.DBRW($C$1,$C$2,$C$3,$C$4,$C$6,$C$5,$C$7,AQ$1,AQ$2,$A187)</f>
        <v>0</v>
      </c>
      <c r="AR187" s="33">
        <f ca="1">_xll.DBRW($C$1,$C$2,$C$3,$C$4,$C$6,$C$5,$C$7,AR$1,AR$2,$A187)</f>
        <v>0</v>
      </c>
      <c r="AS187" s="33">
        <f ca="1">_xll.DBRW($C$1,$C$2,$C$3,$C$4,$C$6,$C$5,$C$7,AS$1,AS$2,$A187)</f>
        <v>0</v>
      </c>
      <c r="AT187" s="33">
        <f ca="1">_xll.DBRW($C$1,$C$2,$C$3,$C$4,$C$6,$C$5,$C$7,AT$1,AT$2,$A187)</f>
        <v>0</v>
      </c>
      <c r="AU187" s="33">
        <f ca="1">_xll.DBRW($C$1,$C$2,$C$3,$C$4,$C$6,$C$5,$C$7,AU$1,AU$2,$A187)</f>
        <v>0</v>
      </c>
      <c r="AV187" s="33">
        <f ca="1">_xll.DBRW($C$1,$C$2,$C$3,$C$4,$C$6,$C$5,$C$7,AV$1,AV$2,$A187)</f>
        <v>0</v>
      </c>
      <c r="AW187" s="33">
        <f ca="1">_xll.DBRW($C$1,$C$2,$C$3,$C$4,$C$6,$C$5,$C$7,AW$1,AW$2,$A187)</f>
        <v>0</v>
      </c>
      <c r="AX187" s="33">
        <f ca="1">_xll.DBRW($C$1,$C$2,$C$3,$C$4,$C$6,$C$5,$C$7,AX$1,AX$2,$A187)</f>
        <v>0</v>
      </c>
      <c r="AY187" s="33">
        <f ca="1">_xll.DBRW($C$1,$C$2,$C$3,$C$4,$C$6,$C$5,$C$7,AY$1,AY$2,$A187)</f>
        <v>0</v>
      </c>
    </row>
    <row r="188" spans="1:51" ht="15.75" hidden="1" customHeight="1" outlineLevel="2">
      <c r="A188" s="1" t="s">
        <v>277</v>
      </c>
      <c r="C188" s="104"/>
      <c r="E188" s="9" t="str">
        <f ca="1">_xll.DBRW(Server&amp;"}ElementAttributes_Indicator",A188,"code_English")</f>
        <v>PL1175_AC - Impairment on goodwill (full and proportionate consol.) (AC)</v>
      </c>
      <c r="F188" s="33">
        <f ca="1">_xll.DBRW($C$1,$C$2,$C$3,$C$4,$C$6,$C$5,$C$7,F$1,F$2,$A188)</f>
        <v>8.2803999999999989E-2</v>
      </c>
      <c r="G188" s="33">
        <f ca="1">_xll.DBRW($C$1,$C$2,$C$3,$C$4,$C$6,$C$5,$C$7,G$1,G$2,$A188)</f>
        <v>-5.3004418046076944</v>
      </c>
      <c r="H188" s="33">
        <f ca="1">_xll.DBRW($C$1,$C$2,$C$3,$C$4,$C$6,$C$5,$C$7,H$1,H$2,$A188)</f>
        <v>-27.078088138911067</v>
      </c>
      <c r="I188" s="33">
        <f ca="1">_xll.DBRW($C$1,$C$2,$C$3,$C$4,$C$6,$C$5,$C$7,I$1,I$2,$A188)</f>
        <v>-8.682594999999993E-2</v>
      </c>
      <c r="J188" s="33">
        <f ca="1">_xll.DBRW($C$1,$C$2,$C$3,$C$4,$C$6,$C$5,$C$7,J$1,J$2,$A188)</f>
        <v>0</v>
      </c>
      <c r="K188" s="33">
        <f ca="1">_xll.DBRW($C$1,$C$2,$C$3,$C$4,$C$6,$C$5,$C$7,K$1,K$2,$A188)</f>
        <v>0</v>
      </c>
      <c r="L188" s="33">
        <f ca="1">_xll.DBRW($C$1,$C$2,$C$3,$C$4,$C$6,$C$5,$C$7,L$1,L$2,$A188)</f>
        <v>0</v>
      </c>
      <c r="M188" s="33">
        <f ca="1">_xll.DBRW($C$1,$C$2,$C$3,$C$4,$C$6,$C$5,$C$7,M$1,M$2,$A188)</f>
        <v>0</v>
      </c>
      <c r="N188" s="33">
        <f ca="1">_xll.DBRW($C$1,$C$2,$C$3,$C$4,$C$6,$C$5,$C$7,N$1,N$2,$A188)</f>
        <v>0</v>
      </c>
      <c r="O188" s="33">
        <f ca="1">_xll.DBRW($C$1,$C$2,$C$3,$C$4,$C$6,$C$5,$C$7,O$1,O$2,$A188)</f>
        <v>0</v>
      </c>
      <c r="P188" s="33">
        <f ca="1">_xll.DBRW($C$1,$C$2,$C$3,$C$4,$C$6,$C$5,$C$7,P$1,P$2,$A188)</f>
        <v>0</v>
      </c>
      <c r="Q188" s="33">
        <f ca="1">_xll.DBRW($C$1,$C$2,$C$3,$C$4,$C$6,$C$5,$C$7,Q$1,Q$2,$A188)</f>
        <v>0</v>
      </c>
      <c r="R188" s="33">
        <f ca="1">_xll.DBRW($C$1,$C$2,$C$3,$C$4,$C$6,$C$5,$C$7,R$1,R$2,$A188)</f>
        <v>0</v>
      </c>
      <c r="S188" s="33">
        <f ca="1">_xll.DBRW($C$1,$C$2,$C$3,$C$4,$C$6,$C$5,$C$7,S$1,S$2,$A188)</f>
        <v>0</v>
      </c>
      <c r="T188" s="33">
        <f ca="1">_xll.DBRW($C$1,$C$2,$C$3,$C$4,$C$6,$C$5,$C$7,T$1,T$2,$A188)</f>
        <v>0</v>
      </c>
      <c r="U188" s="33">
        <f ca="1">_xll.DBRW($C$1,$C$2,$C$3,$C$4,$C$6,$C$5,$C$7,U$1,U$2,$A188)</f>
        <v>0</v>
      </c>
      <c r="V188" s="33">
        <f ca="1">_xll.DBRW($C$1,$C$2,$C$3,$C$4,$C$6,$C$5,$C$7,V$1,V$2,$A188)</f>
        <v>0</v>
      </c>
      <c r="W188" s="33">
        <f ca="1">_xll.DBRW($C$1,$C$2,$C$3,$C$4,$C$6,$C$5,$C$7,W$1,W$2,$A188)</f>
        <v>0</v>
      </c>
      <c r="X188" s="33">
        <f ca="1">_xll.DBRW($C$1,$C$2,$C$3,$C$4,$C$6,$C$5,$C$7,X$1,X$2,$A188)</f>
        <v>-0.1736519</v>
      </c>
      <c r="Y188" s="33">
        <f ca="1">_xll.DBRW($C$1,$C$2,$C$3,$C$4,$C$6,$C$5,$C$7,Y$1,Y$2,$A188)</f>
        <v>-0.1736519</v>
      </c>
      <c r="Z188" s="33">
        <f ca="1">_xll.DBRW($C$1,$C$2,$C$3,$C$4,$C$6,$C$5,$C$7,Z$1,Z$2,$A188)</f>
        <v>0</v>
      </c>
      <c r="AA188" s="33">
        <f ca="1">_xll.DBRW($C$1,$C$2,$C$3,$C$4,$C$6,$C$5,$C$7,AA$1,AA$2,$A188)</f>
        <v>0</v>
      </c>
      <c r="AB188" s="33">
        <f ca="1">_xll.DBRW($C$1,$C$2,$C$3,$C$4,$C$6,$C$5,$C$7,AB$1,AB$2,$A188)</f>
        <v>0</v>
      </c>
      <c r="AC188" s="33">
        <f ca="1">_xll.DBRW($C$1,$C$2,$C$3,$C$4,$C$6,$C$5,$C$7,AC$1,AC$2,$A188)</f>
        <v>0</v>
      </c>
      <c r="AD188" s="33">
        <f ca="1">_xll.DBRW($C$1,$C$2,$C$3,$C$4,$C$6,$C$5,$C$7,AD$1,AD$2,$A188)</f>
        <v>0</v>
      </c>
      <c r="AE188" s="33">
        <f ca="1">_xll.DBRW($C$1,$C$2,$C$3,$C$4,$C$6,$C$5,$C$7,AE$1,AE$2,$A188)</f>
        <v>0</v>
      </c>
      <c r="AF188" s="33">
        <f ca="1">_xll.DBRW($C$1,$C$2,$C$3,$C$4,$C$6,$C$5,$C$7,AF$1,AF$2,$A188)</f>
        <v>0</v>
      </c>
      <c r="AG188" s="33">
        <f ca="1">_xll.DBRW($C$1,$C$2,$C$3,$C$4,$C$6,$C$5,$C$7,AG$1,AG$2,$A188)</f>
        <v>0</v>
      </c>
      <c r="AH188" s="33">
        <f ca="1">_xll.DBRW($C$1,$C$2,$C$3,$C$4,$C$6,$C$5,$C$7,AH$1,AH$2,$A188)</f>
        <v>0</v>
      </c>
      <c r="AI188" s="33">
        <f ca="1">_xll.DBRW($C$1,$C$2,$C$3,$C$4,$C$6,$C$5,$C$7,AI$1,AI$2,$A188)</f>
        <v>0</v>
      </c>
      <c r="AJ188" s="33">
        <f ca="1">_xll.DBRW($C$1,$C$2,$C$3,$C$4,$C$6,$C$5,$C$7,AJ$1,AJ$2,$A188)</f>
        <v>0</v>
      </c>
      <c r="AK188" s="33">
        <f ca="1">_xll.DBRW($C$1,$C$2,$C$3,$C$4,$C$6,$C$5,$C$7,AK$1,AK$2,$A188)</f>
        <v>0</v>
      </c>
      <c r="AL188" s="33">
        <f ca="1">_xll.DBRW($C$1,$C$2,$C$3,$C$4,$C$6,$C$5,$C$7,AL$1,AL$2,$A188)</f>
        <v>0</v>
      </c>
      <c r="AM188" s="33">
        <f ca="1">_xll.DBRW($C$1,$C$2,$C$3,$C$4,$C$6,$C$5,$C$7,AM$1,AM$2,$A188)</f>
        <v>0</v>
      </c>
      <c r="AN188" s="33">
        <f ca="1">_xll.DBRW($C$1,$C$2,$C$3,$C$4,$C$6,$C$5,$C$7,AN$1,AN$2,$A188)</f>
        <v>0</v>
      </c>
      <c r="AO188" s="33">
        <f ca="1">_xll.DBRW($C$1,$C$2,$C$3,$C$4,$C$6,$C$5,$C$7,AO$1,AO$2,$A188)</f>
        <v>0</v>
      </c>
      <c r="AP188" s="33">
        <f ca="1">_xll.DBRW($C$1,$C$2,$C$3,$C$4,$C$6,$C$5,$C$7,AP$1,AP$2,$A188)</f>
        <v>0</v>
      </c>
      <c r="AQ188" s="33">
        <f ca="1">_xll.DBRW($C$1,$C$2,$C$3,$C$4,$C$6,$C$5,$C$7,AQ$1,AQ$2,$A188)</f>
        <v>0</v>
      </c>
      <c r="AR188" s="33">
        <f ca="1">_xll.DBRW($C$1,$C$2,$C$3,$C$4,$C$6,$C$5,$C$7,AR$1,AR$2,$A188)</f>
        <v>0</v>
      </c>
      <c r="AS188" s="33">
        <f ca="1">_xll.DBRW($C$1,$C$2,$C$3,$C$4,$C$6,$C$5,$C$7,AS$1,AS$2,$A188)</f>
        <v>0</v>
      </c>
      <c r="AT188" s="33">
        <f ca="1">_xll.DBRW($C$1,$C$2,$C$3,$C$4,$C$6,$C$5,$C$7,AT$1,AT$2,$A188)</f>
        <v>0</v>
      </c>
      <c r="AU188" s="33">
        <f ca="1">_xll.DBRW($C$1,$C$2,$C$3,$C$4,$C$6,$C$5,$C$7,AU$1,AU$2,$A188)</f>
        <v>0</v>
      </c>
      <c r="AV188" s="33">
        <f ca="1">_xll.DBRW($C$1,$C$2,$C$3,$C$4,$C$6,$C$5,$C$7,AV$1,AV$2,$A188)</f>
        <v>0</v>
      </c>
      <c r="AW188" s="33">
        <f ca="1">_xll.DBRW($C$1,$C$2,$C$3,$C$4,$C$6,$C$5,$C$7,AW$1,AW$2,$A188)</f>
        <v>0</v>
      </c>
      <c r="AX188" s="33">
        <f ca="1">_xll.DBRW($C$1,$C$2,$C$3,$C$4,$C$6,$C$5,$C$7,AX$1,AX$2,$A188)</f>
        <v>0</v>
      </c>
      <c r="AY188" s="33">
        <f ca="1">_xll.DBRW($C$1,$C$2,$C$3,$C$4,$C$6,$C$5,$C$7,AY$1,AY$2,$A188)</f>
        <v>0</v>
      </c>
    </row>
    <row r="189" spans="1:51" ht="15.5" hidden="1" outlineLevel="1" collapsed="1">
      <c r="A189" s="1" t="s">
        <v>142</v>
      </c>
      <c r="C189" s="104"/>
      <c r="E189" s="14" t="s">
        <v>35</v>
      </c>
      <c r="F189" s="33">
        <f t="shared" ref="F189:AY189" ca="1" si="107">SUM(F174:F188)</f>
        <v>-121.07878149274724</v>
      </c>
      <c r="G189" s="33">
        <f t="shared" ca="1" si="107"/>
        <v>-97.330781474001967</v>
      </c>
      <c r="H189" s="33">
        <f t="shared" ca="1" si="107"/>
        <v>-122.88221314397917</v>
      </c>
      <c r="I189" s="33">
        <f t="shared" ca="1" si="107"/>
        <v>-113.45969203213522</v>
      </c>
      <c r="J189" s="33">
        <f t="shared" ca="1" si="107"/>
        <v>-242.73330515086789</v>
      </c>
      <c r="K189" s="33">
        <f t="shared" ca="1" si="107"/>
        <v>-131.48836222631363</v>
      </c>
      <c r="L189" s="33">
        <f t="shared" ca="1" si="107"/>
        <v>-114.54037623513683</v>
      </c>
      <c r="M189" s="33">
        <f t="shared" ca="1" si="107"/>
        <v>-1.5069559355597761</v>
      </c>
      <c r="N189" s="33">
        <f t="shared" ca="1" si="107"/>
        <v>-22.468937520127451</v>
      </c>
      <c r="O189" s="33">
        <f t="shared" ca="1" si="107"/>
        <v>-28.104783974358298</v>
      </c>
      <c r="P189" s="33">
        <f t="shared" ca="1" si="107"/>
        <v>-36.656305520132058</v>
      </c>
      <c r="Q189" s="33">
        <f t="shared" ca="1" si="107"/>
        <v>-37.975926775444982</v>
      </c>
      <c r="R189" s="33">
        <f t="shared" ca="1" si="107"/>
        <v>-48.939346148392616</v>
      </c>
      <c r="S189" s="33">
        <f t="shared" ca="1" si="107"/>
        <v>-12.804733094528032</v>
      </c>
      <c r="T189" s="33">
        <f t="shared" ca="1" si="107"/>
        <v>-64.968925186013905</v>
      </c>
      <c r="U189" s="33">
        <f t="shared" ca="1" si="107"/>
        <v>-75.010720536492869</v>
      </c>
      <c r="V189" s="33">
        <f t="shared" ca="1" si="107"/>
        <v>-20.667289399515482</v>
      </c>
      <c r="W189" s="33">
        <f t="shared" ca="1" si="107"/>
        <v>-78.594986756920875</v>
      </c>
      <c r="X189" s="33">
        <f t="shared" ca="1" si="107"/>
        <v>-130.36890251871705</v>
      </c>
      <c r="Y189" s="33">
        <f t="shared" ca="1" si="107"/>
        <v>-130.36890251871705</v>
      </c>
      <c r="Z189" s="33">
        <f t="shared" ca="1" si="107"/>
        <v>-8.8346906831811793</v>
      </c>
      <c r="AA189" s="33">
        <f t="shared" ca="1" si="107"/>
        <v>-20.126033644213759</v>
      </c>
      <c r="AB189" s="33">
        <f t="shared" ca="1" si="107"/>
        <v>-30.642632763188011</v>
      </c>
      <c r="AC189" s="33">
        <f t="shared" ca="1" si="107"/>
        <v>-41.436544314395753</v>
      </c>
      <c r="AD189" s="33">
        <f t="shared" ca="1" si="107"/>
        <v>-51.912042837014646</v>
      </c>
      <c r="AE189" s="33">
        <f t="shared" ca="1" si="107"/>
        <v>-62.751571894456063</v>
      </c>
      <c r="AF189" s="33">
        <f t="shared" ca="1" si="107"/>
        <v>-74.287145577464372</v>
      </c>
      <c r="AG189" s="33">
        <f t="shared" ca="1" si="107"/>
        <v>-85.430691075183404</v>
      </c>
      <c r="AH189" s="33">
        <f t="shared" ca="1" si="107"/>
        <v>-96.575920996661395</v>
      </c>
      <c r="AI189" s="33">
        <f t="shared" ca="1" si="107"/>
        <v>-107.5280719055127</v>
      </c>
      <c r="AJ189" s="33">
        <f t="shared" ca="1" si="107"/>
        <v>-117.99216856170979</v>
      </c>
      <c r="AK189" s="33">
        <f t="shared" ca="1" si="107"/>
        <v>-128.75502461709345</v>
      </c>
      <c r="AL189" s="33">
        <f t="shared" ca="1" si="107"/>
        <v>-128.75502461709345</v>
      </c>
      <c r="AM189" s="33">
        <f t="shared" ca="1" si="107"/>
        <v>-7.4491190257858619</v>
      </c>
      <c r="AN189" s="33">
        <f t="shared" ca="1" si="107"/>
        <v>-18.403728691728315</v>
      </c>
      <c r="AO189" s="33">
        <f t="shared" ca="1" si="107"/>
        <v>1.8106176280507924E-15</v>
      </c>
      <c r="AP189" s="33">
        <f t="shared" ca="1" si="107"/>
        <v>1.8106176280507924E-15</v>
      </c>
      <c r="AQ189" s="33">
        <f t="shared" ca="1" si="107"/>
        <v>1.8106176280507924E-15</v>
      </c>
      <c r="AR189" s="33">
        <f t="shared" ca="1" si="107"/>
        <v>1.8106176280507924E-15</v>
      </c>
      <c r="AS189" s="33">
        <f t="shared" ca="1" si="107"/>
        <v>1.8106176280507924E-15</v>
      </c>
      <c r="AT189" s="33">
        <f t="shared" ca="1" si="107"/>
        <v>1.8106176280507924E-15</v>
      </c>
      <c r="AU189" s="33">
        <f t="shared" ca="1" si="107"/>
        <v>1.8106176280507924E-15</v>
      </c>
      <c r="AV189" s="33">
        <f t="shared" ca="1" si="107"/>
        <v>1.8106176280507924E-15</v>
      </c>
      <c r="AW189" s="33">
        <f t="shared" ca="1" si="107"/>
        <v>1.8106176280507924E-15</v>
      </c>
      <c r="AX189" s="33">
        <f t="shared" ca="1" si="107"/>
        <v>1.8106176280507924E-15</v>
      </c>
      <c r="AY189" s="33">
        <f t="shared" ca="1" si="107"/>
        <v>1.8106176280507924E-15</v>
      </c>
    </row>
    <row r="190" spans="1:51" ht="15.5" collapsed="1">
      <c r="A190" s="1" t="s">
        <v>142</v>
      </c>
      <c r="C190" s="104"/>
      <c r="E190" s="11" t="s">
        <v>42</v>
      </c>
      <c r="F190" s="35">
        <f t="shared" ref="F190:AY190" ca="1" si="108">F189+F173+F155+F141+F132</f>
        <v>-1354.8724731540801</v>
      </c>
      <c r="G190" s="35">
        <f t="shared" ca="1" si="108"/>
        <v>-1363.7934681887214</v>
      </c>
      <c r="H190" s="35">
        <f t="shared" ca="1" si="108"/>
        <v>-1623.1888942859198</v>
      </c>
      <c r="I190" s="35">
        <f t="shared" ca="1" si="108"/>
        <v>-1289.1936871348905</v>
      </c>
      <c r="J190" s="35">
        <f t="shared" ca="1" si="108"/>
        <v>-1443.0146535194958</v>
      </c>
      <c r="K190" s="35">
        <f t="shared" ca="1" si="108"/>
        <v>-1567.2427209966843</v>
      </c>
      <c r="L190" s="35">
        <f t="shared" ca="1" si="108"/>
        <v>-1507.3817795930768</v>
      </c>
      <c r="M190" s="35">
        <f t="shared" ca="1" si="108"/>
        <v>-48.57040552376499</v>
      </c>
      <c r="N190" s="35">
        <f t="shared" ca="1" si="108"/>
        <v>-254.03430458184121</v>
      </c>
      <c r="O190" s="35">
        <f t="shared" ca="1" si="108"/>
        <v>-384.34871334624899</v>
      </c>
      <c r="P190" s="35">
        <f t="shared" ca="1" si="108"/>
        <v>-505.50502248570683</v>
      </c>
      <c r="Q190" s="35">
        <f t="shared" ca="1" si="108"/>
        <v>-641.70492369233204</v>
      </c>
      <c r="R190" s="35">
        <f t="shared" ca="1" si="108"/>
        <v>-756.57564874441198</v>
      </c>
      <c r="S190" s="35">
        <f t="shared" ca="1" si="108"/>
        <v>-412.73900258661371</v>
      </c>
      <c r="T190" s="35">
        <f t="shared" ca="1" si="108"/>
        <v>-1026.4891855720393</v>
      </c>
      <c r="U190" s="35">
        <f t="shared" ca="1" si="108"/>
        <v>-1165.6870752035318</v>
      </c>
      <c r="V190" s="35">
        <f t="shared" ca="1" si="108"/>
        <v>-622.09581239574027</v>
      </c>
      <c r="W190" s="35">
        <f t="shared" ca="1" si="108"/>
        <v>-1367.6733766626426</v>
      </c>
      <c r="X190" s="35">
        <f t="shared" ca="1" si="108"/>
        <v>-1625.8694567651935</v>
      </c>
      <c r="Y190" s="35">
        <f t="shared" ca="1" si="108"/>
        <v>-1625.8694567651935</v>
      </c>
      <c r="Z190" s="35">
        <f t="shared" ca="1" si="108"/>
        <v>-139.28865705853599</v>
      </c>
      <c r="AA190" s="35">
        <f t="shared" ca="1" si="108"/>
        <v>-290.43643714236782</v>
      </c>
      <c r="AB190" s="35">
        <f t="shared" ca="1" si="108"/>
        <v>-442.82988322239692</v>
      </c>
      <c r="AC190" s="35">
        <f t="shared" ca="1" si="108"/>
        <v>-590.74697620172458</v>
      </c>
      <c r="AD190" s="35">
        <f t="shared" ca="1" si="108"/>
        <v>-740.12540902104058</v>
      </c>
      <c r="AE190" s="35">
        <f t="shared" ca="1" si="108"/>
        <v>-888.73898985252822</v>
      </c>
      <c r="AF190" s="35">
        <f t="shared" ca="1" si="108"/>
        <v>-1034.3676016066286</v>
      </c>
      <c r="AG190" s="35">
        <f t="shared" ca="1" si="108"/>
        <v>-1178.4290068143061</v>
      </c>
      <c r="AH190" s="35">
        <f t="shared" ca="1" si="108"/>
        <v>-1323.2731085210428</v>
      </c>
      <c r="AI190" s="35">
        <f t="shared" ca="1" si="108"/>
        <v>-1468.9745290311612</v>
      </c>
      <c r="AJ190" s="35">
        <f t="shared" ca="1" si="108"/>
        <v>-1614.3244869762448</v>
      </c>
      <c r="AK190" s="35">
        <f t="shared" ca="1" si="108"/>
        <v>-1756.4722833294998</v>
      </c>
      <c r="AL190" s="35">
        <f t="shared" ca="1" si="108"/>
        <v>-1756.4722833294998</v>
      </c>
      <c r="AM190" s="35">
        <f t="shared" ca="1" si="108"/>
        <v>-87.234008445188607</v>
      </c>
      <c r="AN190" s="35">
        <f t="shared" ca="1" si="108"/>
        <v>-292.23532646658344</v>
      </c>
      <c r="AO190" s="35">
        <f t="shared" ca="1" si="108"/>
        <v>8.7422473774023679E-14</v>
      </c>
      <c r="AP190" s="35">
        <f t="shared" ca="1" si="108"/>
        <v>8.7422473774023679E-14</v>
      </c>
      <c r="AQ190" s="35">
        <f t="shared" ca="1" si="108"/>
        <v>8.7422473774023679E-14</v>
      </c>
      <c r="AR190" s="35">
        <f t="shared" ca="1" si="108"/>
        <v>8.7422473774023679E-14</v>
      </c>
      <c r="AS190" s="35">
        <f t="shared" ca="1" si="108"/>
        <v>8.7422473774023679E-14</v>
      </c>
      <c r="AT190" s="35">
        <f t="shared" ca="1" si="108"/>
        <v>8.7422473774023679E-14</v>
      </c>
      <c r="AU190" s="35">
        <f t="shared" ca="1" si="108"/>
        <v>8.7422473774023679E-14</v>
      </c>
      <c r="AV190" s="35">
        <f t="shared" ca="1" si="108"/>
        <v>8.7422473774023679E-14</v>
      </c>
      <c r="AW190" s="35">
        <f t="shared" ca="1" si="108"/>
        <v>8.7422473774023679E-14</v>
      </c>
      <c r="AX190" s="35">
        <f t="shared" ca="1" si="108"/>
        <v>8.7422473774023679E-14</v>
      </c>
      <c r="AY190" s="35">
        <f t="shared" ca="1" si="108"/>
        <v>8.7422473774023679E-14</v>
      </c>
    </row>
    <row r="191" spans="1:51" ht="15.75" hidden="1" customHeight="1" outlineLevel="1">
      <c r="A191" s="1" t="s">
        <v>278</v>
      </c>
      <c r="C191" s="104"/>
      <c r="E191" s="9" t="str">
        <f ca="1">_xll.DBRW(Server&amp;"}ElementAttributes_Indicator",A191,"code_English")</f>
        <v>PL1100_XX - Vector Reconciliation (TPL11) - Capitalized production recognized as inventory, change in inventories</v>
      </c>
      <c r="F191" s="32">
        <f ca="1">_xll.DBRW($C$1,$C$2,$C$3,$C$4,$C$6,$C$5,$C$7,F$1,F$2,$A191)</f>
        <v>3.6965842980000003</v>
      </c>
      <c r="G191" s="32">
        <f ca="1">_xll.DBRW($C$1,$C$2,$C$3,$C$4,$C$6,$C$5,$C$7,G$1,G$2,$A191)</f>
        <v>4.2978926200000007</v>
      </c>
      <c r="H191" s="32">
        <f ca="1">_xll.DBRW($C$1,$C$2,$C$3,$C$4,$C$6,$C$5,$C$7,H$1,H$2,$A191)</f>
        <v>6.7475143499999994</v>
      </c>
      <c r="I191" s="32">
        <f ca="1">_xll.DBRW($C$1,$C$2,$C$3,$C$4,$C$6,$C$5,$C$7,I$1,I$2,$A191)</f>
        <v>2.4079118800000003</v>
      </c>
      <c r="J191" s="32">
        <f ca="1">_xll.DBRW($C$1,$C$2,$C$3,$C$4,$C$6,$C$5,$C$7,J$1,J$2,$A191)</f>
        <v>65.157999619999998</v>
      </c>
      <c r="K191" s="32">
        <f ca="1">_xll.DBRW($C$1,$C$2,$C$3,$C$4,$C$6,$C$5,$C$7,K$1,K$2,$A191)</f>
        <v>3.3365857300000008</v>
      </c>
      <c r="L191" s="32">
        <f ca="1">_xll.DBRW($C$1,$C$2,$C$3,$C$4,$C$6,$C$5,$C$7,L$1,L$2,$A191)</f>
        <v>2.4320000400000001</v>
      </c>
      <c r="M191" s="32">
        <f ca="1">_xll.DBRW($C$1,$C$2,$C$3,$C$4,$C$6,$C$5,$C$7,M$1,M$2,$A191)</f>
        <v>-5.5E-2</v>
      </c>
      <c r="N191" s="32">
        <f ca="1">_xll.DBRW($C$1,$C$2,$C$3,$C$4,$C$6,$C$5,$C$7,N$1,N$2,$A191)</f>
        <v>0.48219651000000002</v>
      </c>
      <c r="O191" s="32">
        <f ca="1">_xll.DBRW($C$1,$C$2,$C$3,$C$4,$C$6,$C$5,$C$7,O$1,O$2,$A191)</f>
        <v>0.80499523000000006</v>
      </c>
      <c r="P191" s="32">
        <f ca="1">_xll.DBRW($C$1,$C$2,$C$3,$C$4,$C$6,$C$5,$C$7,P$1,P$2,$A191)</f>
        <v>0.99566556000000017</v>
      </c>
      <c r="Q191" s="32">
        <f ca="1">_xll.DBRW($C$1,$C$2,$C$3,$C$4,$C$6,$C$5,$C$7,Q$1,Q$2,$A191)</f>
        <v>1.1738865300000001</v>
      </c>
      <c r="R191" s="32">
        <f ca="1">_xll.DBRW($C$1,$C$2,$C$3,$C$4,$C$6,$C$5,$C$7,R$1,R$2,$A191)</f>
        <v>1.2221524900000003</v>
      </c>
      <c r="S191" s="32">
        <f ca="1">_xll.DBRW($C$1,$C$2,$C$3,$C$4,$C$6,$C$5,$C$7,S$1,S$2,$A191)</f>
        <v>-0.28699999999999976</v>
      </c>
      <c r="T191" s="32">
        <f ca="1">_xll.DBRW($C$1,$C$2,$C$3,$C$4,$C$6,$C$5,$C$7,T$1,T$2,$A191)</f>
        <v>1.5259886800000002</v>
      </c>
      <c r="U191" s="32">
        <f ca="1">_xll.DBRW($C$1,$C$2,$C$3,$C$4,$C$6,$C$5,$C$7,U$1,U$2,$A191)</f>
        <v>1.7161725200000004</v>
      </c>
      <c r="V191" s="32">
        <f ca="1">_xll.DBRW($C$1,$C$2,$C$3,$C$4,$C$6,$C$5,$C$7,V$1,V$2,$A191)</f>
        <v>6.106226635438361E-16</v>
      </c>
      <c r="W191" s="32">
        <f ca="1">_xll.DBRW($C$1,$C$2,$C$3,$C$4,$C$6,$C$5,$C$7,W$1,W$2,$A191)</f>
        <v>2.0956806100000005</v>
      </c>
      <c r="X191" s="32">
        <f ca="1">_xll.DBRW($C$1,$C$2,$C$3,$C$4,$C$6,$C$5,$C$7,X$1,X$2,$A191)</f>
        <v>2.2335431000000008</v>
      </c>
      <c r="Y191" s="32">
        <f ca="1">_xll.DBRW($C$1,$C$2,$C$3,$C$4,$C$6,$C$5,$C$7,Y$1,Y$2,$A191)</f>
        <v>2.2335431000000008</v>
      </c>
      <c r="Z191" s="32">
        <f ca="1">_xll.DBRW($C$1,$C$2,$C$3,$C$4,$C$6,$C$5,$C$7,Z$1,Z$2,$A191)</f>
        <v>0.39666667</v>
      </c>
      <c r="AA191" s="32">
        <f ca="1">_xll.DBRW($C$1,$C$2,$C$3,$C$4,$C$6,$C$5,$C$7,AA$1,AA$2,$A191)</f>
        <v>0.79433334</v>
      </c>
      <c r="AB191" s="32">
        <f ca="1">_xll.DBRW($C$1,$C$2,$C$3,$C$4,$C$6,$C$5,$C$7,AB$1,AB$2,$A191)</f>
        <v>1.19100001</v>
      </c>
      <c r="AC191" s="32">
        <f ca="1">_xll.DBRW($C$1,$C$2,$C$3,$C$4,$C$6,$C$5,$C$7,AC$1,AC$2,$A191)</f>
        <v>1.5876666799999999</v>
      </c>
      <c r="AD191" s="32">
        <f ca="1">_xll.DBRW($C$1,$C$2,$C$3,$C$4,$C$6,$C$5,$C$7,AD$1,AD$2,$A191)</f>
        <v>1.9853333499999999</v>
      </c>
      <c r="AE191" s="32">
        <f ca="1">_xll.DBRW($C$1,$C$2,$C$3,$C$4,$C$6,$C$5,$C$7,AE$1,AE$2,$A191)</f>
        <v>2.38200002</v>
      </c>
      <c r="AF191" s="32">
        <f ca="1">_xll.DBRW($C$1,$C$2,$C$3,$C$4,$C$6,$C$5,$C$7,AF$1,AF$2,$A191)</f>
        <v>2.7786666899999997</v>
      </c>
      <c r="AG191" s="32">
        <f ca="1">_xll.DBRW($C$1,$C$2,$C$3,$C$4,$C$6,$C$5,$C$7,AG$1,AG$2,$A191)</f>
        <v>3.1763333600000001</v>
      </c>
      <c r="AH191" s="32">
        <f ca="1">_xll.DBRW($C$1,$C$2,$C$3,$C$4,$C$6,$C$5,$C$7,AH$1,AH$2,$A191)</f>
        <v>3.5740000300000001</v>
      </c>
      <c r="AI191" s="32">
        <f ca="1">_xll.DBRW($C$1,$C$2,$C$3,$C$4,$C$6,$C$5,$C$7,AI$1,AI$2,$A191)</f>
        <v>3.9706667000000002</v>
      </c>
      <c r="AJ191" s="32">
        <f ca="1">_xll.DBRW($C$1,$C$2,$C$3,$C$4,$C$6,$C$5,$C$7,AJ$1,AJ$2,$A191)</f>
        <v>4.3683333700000002</v>
      </c>
      <c r="AK191" s="32">
        <f ca="1">_xll.DBRW($C$1,$C$2,$C$3,$C$4,$C$6,$C$5,$C$7,AK$1,AK$2,$A191)</f>
        <v>4.7620000400000002</v>
      </c>
      <c r="AL191" s="32">
        <f ca="1">_xll.DBRW($C$1,$C$2,$C$3,$C$4,$C$6,$C$5,$C$7,AL$1,AL$2,$A191)</f>
        <v>4.7620000400000002</v>
      </c>
      <c r="AM191" s="32">
        <f ca="1">_xll.DBRW($C$1,$C$2,$C$3,$C$4,$C$6,$C$5,$C$7,AM$1,AM$2,$A191)</f>
        <v>0</v>
      </c>
      <c r="AN191" s="32">
        <f ca="1">_xll.DBRW($C$1,$C$2,$C$3,$C$4,$C$6,$C$5,$C$7,AN$1,AN$2,$A191)</f>
        <v>0.13572837000000001</v>
      </c>
      <c r="AO191" s="32">
        <f ca="1">_xll.DBRW($C$1,$C$2,$C$3,$C$4,$C$6,$C$5,$C$7,AO$1,AO$2,$A191)</f>
        <v>0.15800000000000006</v>
      </c>
      <c r="AP191" s="32">
        <f ca="1">_xll.DBRW($C$1,$C$2,$C$3,$C$4,$C$6,$C$5,$C$7,AP$1,AP$2,$A191)</f>
        <v>0.15800000000000006</v>
      </c>
      <c r="AQ191" s="32">
        <f ca="1">_xll.DBRW($C$1,$C$2,$C$3,$C$4,$C$6,$C$5,$C$7,AQ$1,AQ$2,$A191)</f>
        <v>0.15800000000000006</v>
      </c>
      <c r="AR191" s="32">
        <f ca="1">_xll.DBRW($C$1,$C$2,$C$3,$C$4,$C$6,$C$5,$C$7,AR$1,AR$2,$A191)</f>
        <v>0.15800000000000006</v>
      </c>
      <c r="AS191" s="32">
        <f ca="1">_xll.DBRW($C$1,$C$2,$C$3,$C$4,$C$6,$C$5,$C$7,AS$1,AS$2,$A191)</f>
        <v>0.15800000000000006</v>
      </c>
      <c r="AT191" s="32">
        <f ca="1">_xll.DBRW($C$1,$C$2,$C$3,$C$4,$C$6,$C$5,$C$7,AT$1,AT$2,$A191)</f>
        <v>0.15800000000000006</v>
      </c>
      <c r="AU191" s="32">
        <f ca="1">_xll.DBRW($C$1,$C$2,$C$3,$C$4,$C$6,$C$5,$C$7,AU$1,AU$2,$A191)</f>
        <v>0.15800000000000006</v>
      </c>
      <c r="AV191" s="32">
        <f ca="1">_xll.DBRW($C$1,$C$2,$C$3,$C$4,$C$6,$C$5,$C$7,AV$1,AV$2,$A191)</f>
        <v>0.15800000000000006</v>
      </c>
      <c r="AW191" s="32">
        <f ca="1">_xll.DBRW($C$1,$C$2,$C$3,$C$4,$C$6,$C$5,$C$7,AW$1,AW$2,$A191)</f>
        <v>0.15800000000000006</v>
      </c>
      <c r="AX191" s="32">
        <f ca="1">_xll.DBRW($C$1,$C$2,$C$3,$C$4,$C$6,$C$5,$C$7,AX$1,AX$2,$A191)</f>
        <v>0.15800000000000006</v>
      </c>
      <c r="AY191" s="32">
        <f ca="1">_xll.DBRW($C$1,$C$2,$C$3,$C$4,$C$6,$C$5,$C$7,AY$1,AY$2,$A191)</f>
        <v>0.15800000000000006</v>
      </c>
    </row>
    <row r="192" spans="1:51" ht="15.75" hidden="1" customHeight="1" outlineLevel="1">
      <c r="A192" s="1" t="s">
        <v>279</v>
      </c>
      <c r="C192" s="104"/>
      <c r="E192" s="9" t="str">
        <f ca="1">_xll.DBRW(Server&amp;"}ElementAttributes_Indicator",A192,"code_English")</f>
        <v>PL1105_XX - Vector Reconciliation (TPL11) - Revenue received on behalf of 3rd parties</v>
      </c>
      <c r="F192" s="32">
        <f ca="1">_xll.DBRW($C$1,$C$2,$C$3,$C$4,$C$6,$C$5,$C$7,F$1,F$2,$A192)</f>
        <v>0</v>
      </c>
      <c r="G192" s="32">
        <f ca="1">_xll.DBRW($C$1,$C$2,$C$3,$C$4,$C$6,$C$5,$C$7,G$1,G$2,$A192)</f>
        <v>0</v>
      </c>
      <c r="H192" s="32">
        <f ca="1">_xll.DBRW($C$1,$C$2,$C$3,$C$4,$C$6,$C$5,$C$7,H$1,H$2,$A192)</f>
        <v>0</v>
      </c>
      <c r="I192" s="32">
        <f ca="1">_xll.DBRW($C$1,$C$2,$C$3,$C$4,$C$6,$C$5,$C$7,I$1,I$2,$A192)</f>
        <v>0</v>
      </c>
      <c r="J192" s="32">
        <f ca="1">_xll.DBRW($C$1,$C$2,$C$3,$C$4,$C$6,$C$5,$C$7,J$1,J$2,$A192)</f>
        <v>0</v>
      </c>
      <c r="K192" s="32">
        <f ca="1">_xll.DBRW($C$1,$C$2,$C$3,$C$4,$C$6,$C$5,$C$7,K$1,K$2,$A192)</f>
        <v>0</v>
      </c>
      <c r="L192" s="32">
        <f ca="1">_xll.DBRW($C$1,$C$2,$C$3,$C$4,$C$6,$C$5,$C$7,L$1,L$2,$A192)</f>
        <v>0</v>
      </c>
      <c r="M192" s="32">
        <f ca="1">_xll.DBRW($C$1,$C$2,$C$3,$C$4,$C$6,$C$5,$C$7,M$1,M$2,$A192)</f>
        <v>0</v>
      </c>
      <c r="N192" s="32">
        <f ca="1">_xll.DBRW($C$1,$C$2,$C$3,$C$4,$C$6,$C$5,$C$7,N$1,N$2,$A192)</f>
        <v>0</v>
      </c>
      <c r="O192" s="32">
        <f ca="1">_xll.DBRW($C$1,$C$2,$C$3,$C$4,$C$6,$C$5,$C$7,O$1,O$2,$A192)</f>
        <v>0</v>
      </c>
      <c r="P192" s="32">
        <f ca="1">_xll.DBRW($C$1,$C$2,$C$3,$C$4,$C$6,$C$5,$C$7,P$1,P$2,$A192)</f>
        <v>0</v>
      </c>
      <c r="Q192" s="32">
        <f ca="1">_xll.DBRW($C$1,$C$2,$C$3,$C$4,$C$6,$C$5,$C$7,Q$1,Q$2,$A192)</f>
        <v>0</v>
      </c>
      <c r="R192" s="32">
        <f ca="1">_xll.DBRW($C$1,$C$2,$C$3,$C$4,$C$6,$C$5,$C$7,R$1,R$2,$A192)</f>
        <v>0</v>
      </c>
      <c r="S192" s="32">
        <f ca="1">_xll.DBRW($C$1,$C$2,$C$3,$C$4,$C$6,$C$5,$C$7,S$1,S$2,$A192)</f>
        <v>0</v>
      </c>
      <c r="T192" s="32">
        <f ca="1">_xll.DBRW($C$1,$C$2,$C$3,$C$4,$C$6,$C$5,$C$7,T$1,T$2,$A192)</f>
        <v>0</v>
      </c>
      <c r="U192" s="32">
        <f ca="1">_xll.DBRW($C$1,$C$2,$C$3,$C$4,$C$6,$C$5,$C$7,U$1,U$2,$A192)</f>
        <v>0</v>
      </c>
      <c r="V192" s="32">
        <f ca="1">_xll.DBRW($C$1,$C$2,$C$3,$C$4,$C$6,$C$5,$C$7,V$1,V$2,$A192)</f>
        <v>0</v>
      </c>
      <c r="W192" s="32">
        <f ca="1">_xll.DBRW($C$1,$C$2,$C$3,$C$4,$C$6,$C$5,$C$7,W$1,W$2,$A192)</f>
        <v>0</v>
      </c>
      <c r="X192" s="32">
        <f ca="1">_xll.DBRW($C$1,$C$2,$C$3,$C$4,$C$6,$C$5,$C$7,X$1,X$2,$A192)</f>
        <v>0</v>
      </c>
      <c r="Y192" s="32">
        <f ca="1">_xll.DBRW($C$1,$C$2,$C$3,$C$4,$C$6,$C$5,$C$7,Y$1,Y$2,$A192)</f>
        <v>0</v>
      </c>
      <c r="Z192" s="32">
        <f ca="1">_xll.DBRW($C$1,$C$2,$C$3,$C$4,$C$6,$C$5,$C$7,Z$1,Z$2,$A192)</f>
        <v>0</v>
      </c>
      <c r="AA192" s="32">
        <f ca="1">_xll.DBRW($C$1,$C$2,$C$3,$C$4,$C$6,$C$5,$C$7,AA$1,AA$2,$A192)</f>
        <v>0</v>
      </c>
      <c r="AB192" s="32">
        <f ca="1">_xll.DBRW($C$1,$C$2,$C$3,$C$4,$C$6,$C$5,$C$7,AB$1,AB$2,$A192)</f>
        <v>0</v>
      </c>
      <c r="AC192" s="32">
        <f ca="1">_xll.DBRW($C$1,$C$2,$C$3,$C$4,$C$6,$C$5,$C$7,AC$1,AC$2,$A192)</f>
        <v>0</v>
      </c>
      <c r="AD192" s="32">
        <f ca="1">_xll.DBRW($C$1,$C$2,$C$3,$C$4,$C$6,$C$5,$C$7,AD$1,AD$2,$A192)</f>
        <v>0</v>
      </c>
      <c r="AE192" s="32">
        <f ca="1">_xll.DBRW($C$1,$C$2,$C$3,$C$4,$C$6,$C$5,$C$7,AE$1,AE$2,$A192)</f>
        <v>0</v>
      </c>
      <c r="AF192" s="32">
        <f ca="1">_xll.DBRW($C$1,$C$2,$C$3,$C$4,$C$6,$C$5,$C$7,AF$1,AF$2,$A192)</f>
        <v>0</v>
      </c>
      <c r="AG192" s="32">
        <f ca="1">_xll.DBRW($C$1,$C$2,$C$3,$C$4,$C$6,$C$5,$C$7,AG$1,AG$2,$A192)</f>
        <v>0</v>
      </c>
      <c r="AH192" s="32">
        <f ca="1">_xll.DBRW($C$1,$C$2,$C$3,$C$4,$C$6,$C$5,$C$7,AH$1,AH$2,$A192)</f>
        <v>0</v>
      </c>
      <c r="AI192" s="32">
        <f ca="1">_xll.DBRW($C$1,$C$2,$C$3,$C$4,$C$6,$C$5,$C$7,AI$1,AI$2,$A192)</f>
        <v>0</v>
      </c>
      <c r="AJ192" s="32">
        <f ca="1">_xll.DBRW($C$1,$C$2,$C$3,$C$4,$C$6,$C$5,$C$7,AJ$1,AJ$2,$A192)</f>
        <v>0</v>
      </c>
      <c r="AK192" s="32">
        <f ca="1">_xll.DBRW($C$1,$C$2,$C$3,$C$4,$C$6,$C$5,$C$7,AK$1,AK$2,$A192)</f>
        <v>0</v>
      </c>
      <c r="AL192" s="32">
        <f ca="1">_xll.DBRW($C$1,$C$2,$C$3,$C$4,$C$6,$C$5,$C$7,AL$1,AL$2,$A192)</f>
        <v>0</v>
      </c>
      <c r="AM192" s="32">
        <f ca="1">_xll.DBRW($C$1,$C$2,$C$3,$C$4,$C$6,$C$5,$C$7,AM$1,AM$2,$A192)</f>
        <v>0</v>
      </c>
      <c r="AN192" s="32">
        <f ca="1">_xll.DBRW($C$1,$C$2,$C$3,$C$4,$C$6,$C$5,$C$7,AN$1,AN$2,$A192)</f>
        <v>0</v>
      </c>
      <c r="AO192" s="32">
        <f ca="1">_xll.DBRW($C$1,$C$2,$C$3,$C$4,$C$6,$C$5,$C$7,AO$1,AO$2,$A192)</f>
        <v>0</v>
      </c>
      <c r="AP192" s="32">
        <f ca="1">_xll.DBRW($C$1,$C$2,$C$3,$C$4,$C$6,$C$5,$C$7,AP$1,AP$2,$A192)</f>
        <v>0</v>
      </c>
      <c r="AQ192" s="32">
        <f ca="1">_xll.DBRW($C$1,$C$2,$C$3,$C$4,$C$6,$C$5,$C$7,AQ$1,AQ$2,$A192)</f>
        <v>0</v>
      </c>
      <c r="AR192" s="32">
        <f ca="1">_xll.DBRW($C$1,$C$2,$C$3,$C$4,$C$6,$C$5,$C$7,AR$1,AR$2,$A192)</f>
        <v>0</v>
      </c>
      <c r="AS192" s="32">
        <f ca="1">_xll.DBRW($C$1,$C$2,$C$3,$C$4,$C$6,$C$5,$C$7,AS$1,AS$2,$A192)</f>
        <v>0</v>
      </c>
      <c r="AT192" s="32">
        <f ca="1">_xll.DBRW($C$1,$C$2,$C$3,$C$4,$C$6,$C$5,$C$7,AT$1,AT$2,$A192)</f>
        <v>0</v>
      </c>
      <c r="AU192" s="32">
        <f ca="1">_xll.DBRW($C$1,$C$2,$C$3,$C$4,$C$6,$C$5,$C$7,AU$1,AU$2,$A192)</f>
        <v>0</v>
      </c>
      <c r="AV192" s="32">
        <f ca="1">_xll.DBRW($C$1,$C$2,$C$3,$C$4,$C$6,$C$5,$C$7,AV$1,AV$2,$A192)</f>
        <v>0</v>
      </c>
      <c r="AW192" s="32">
        <f ca="1">_xll.DBRW($C$1,$C$2,$C$3,$C$4,$C$6,$C$5,$C$7,AW$1,AW$2,$A192)</f>
        <v>0</v>
      </c>
      <c r="AX192" s="32">
        <f ca="1">_xll.DBRW($C$1,$C$2,$C$3,$C$4,$C$6,$C$5,$C$7,AX$1,AX$2,$A192)</f>
        <v>0</v>
      </c>
      <c r="AY192" s="32">
        <f ca="1">_xll.DBRW($C$1,$C$2,$C$3,$C$4,$C$6,$C$5,$C$7,AY$1,AY$2,$A192)</f>
        <v>0</v>
      </c>
    </row>
    <row r="193" spans="1:60" ht="15.75" hidden="1" customHeight="1" outlineLevel="1">
      <c r="A193" s="1" t="s">
        <v>280</v>
      </c>
      <c r="C193" s="104"/>
      <c r="E193" s="9" t="str">
        <f ca="1">_xll.DBRW(Server&amp;"}ElementAttributes_Indicator",A193,"code_English")</f>
        <v>PL1110_XX - Vector Reconciliation (TPL11) - Staff costs</v>
      </c>
      <c r="F193" s="32">
        <f ca="1">_xll.DBRW($C$1,$C$2,$C$3,$C$4,$C$6,$C$5,$C$7,F$1,F$2,$A193)</f>
        <v>-39.510564762685533</v>
      </c>
      <c r="G193" s="32">
        <f ca="1">_xll.DBRW($C$1,$C$2,$C$3,$C$4,$C$6,$C$5,$C$7,G$1,G$2,$A193)</f>
        <v>-95.438314851212454</v>
      </c>
      <c r="H193" s="32">
        <f ca="1">_xll.DBRW($C$1,$C$2,$C$3,$C$4,$C$6,$C$5,$C$7,H$1,H$2,$A193)</f>
        <v>-49.42140646064604</v>
      </c>
      <c r="I193" s="32">
        <f ca="1">_xll.DBRW($C$1,$C$2,$C$3,$C$4,$C$6,$C$5,$C$7,I$1,I$2,$A193)</f>
        <v>-381.06993824874678</v>
      </c>
      <c r="J193" s="32">
        <f ca="1">_xll.DBRW($C$1,$C$2,$C$3,$C$4,$C$6,$C$5,$C$7,J$1,J$2,$A193)</f>
        <v>-440.48607057938665</v>
      </c>
      <c r="K193" s="32">
        <f ca="1">_xll.DBRW($C$1,$C$2,$C$3,$C$4,$C$6,$C$5,$C$7,K$1,K$2,$A193)</f>
        <v>-127.45106431809313</v>
      </c>
      <c r="L193" s="32">
        <f ca="1">_xll.DBRW($C$1,$C$2,$C$3,$C$4,$C$6,$C$5,$C$7,L$1,L$2,$A193)</f>
        <v>-292.44222791906043</v>
      </c>
      <c r="M193" s="32">
        <f ca="1">_xll.DBRW($C$1,$C$2,$C$3,$C$4,$C$6,$C$5,$C$7,M$1,M$2,$A193)</f>
        <v>83.74176419849104</v>
      </c>
      <c r="N193" s="32">
        <f ca="1">_xll.DBRW($C$1,$C$2,$C$3,$C$4,$C$6,$C$5,$C$7,N$1,N$2,$A193)</f>
        <v>-27.647358772412218</v>
      </c>
      <c r="O193" s="32">
        <f ca="1">_xll.DBRW($C$1,$C$2,$C$3,$C$4,$C$6,$C$5,$C$7,O$1,O$2,$A193)</f>
        <v>-32.944094225177857</v>
      </c>
      <c r="P193" s="32">
        <f ca="1">_xll.DBRW($C$1,$C$2,$C$3,$C$4,$C$6,$C$5,$C$7,P$1,P$2,$A193)</f>
        <v>-69.430749003552549</v>
      </c>
      <c r="Q193" s="32">
        <f ca="1">_xll.DBRW($C$1,$C$2,$C$3,$C$4,$C$6,$C$5,$C$7,Q$1,Q$2,$A193)</f>
        <v>-84.264530743846478</v>
      </c>
      <c r="R193" s="32">
        <f ca="1">_xll.DBRW($C$1,$C$2,$C$3,$C$4,$C$6,$C$5,$C$7,R$1,R$2,$A193)</f>
        <v>-65.617311344159475</v>
      </c>
      <c r="S193" s="32">
        <f ca="1">_xll.DBRW($C$1,$C$2,$C$3,$C$4,$C$6,$C$5,$C$7,S$1,S$2,$A193)</f>
        <v>526.1040513486646</v>
      </c>
      <c r="T193" s="32">
        <f ca="1">_xll.DBRW($C$1,$C$2,$C$3,$C$4,$C$6,$C$5,$C$7,T$1,T$2,$A193)</f>
        <v>-107.36744962900275</v>
      </c>
      <c r="U193" s="32">
        <f ca="1">_xll.DBRW($C$1,$C$2,$C$3,$C$4,$C$6,$C$5,$C$7,U$1,U$2,$A193)</f>
        <v>-126.02323729413706</v>
      </c>
      <c r="V193" s="32">
        <f ca="1">_xll.DBRW($C$1,$C$2,$C$3,$C$4,$C$6,$C$5,$C$7,V$1,V$2,$A193)</f>
        <v>1126.0232497067948</v>
      </c>
      <c r="W193" s="32">
        <f ca="1">_xll.DBRW($C$1,$C$2,$C$3,$C$4,$C$6,$C$5,$C$7,W$1,W$2,$A193)</f>
        <v>-314.44613762844074</v>
      </c>
      <c r="X193" s="32">
        <f ca="1">_xll.DBRW($C$1,$C$2,$C$3,$C$4,$C$6,$C$5,$C$7,X$1,X$2,$A193)</f>
        <v>-141.18339460218613</v>
      </c>
      <c r="Y193" s="32">
        <f ca="1">_xll.DBRW($C$1,$C$2,$C$3,$C$4,$C$6,$C$5,$C$7,Y$1,Y$2,$A193)</f>
        <v>-141.18339460218613</v>
      </c>
      <c r="Z193" s="32">
        <f ca="1">_xll.DBRW($C$1,$C$2,$C$3,$C$4,$C$6,$C$5,$C$7,Z$1,Z$2,$A193)</f>
        <v>-48.262877873933832</v>
      </c>
      <c r="AA193" s="32">
        <f ca="1">_xll.DBRW($C$1,$C$2,$C$3,$C$4,$C$6,$C$5,$C$7,AA$1,AA$2,$A193)</f>
        <v>-47.303633962175127</v>
      </c>
      <c r="AB193" s="32">
        <f ca="1">_xll.DBRW($C$1,$C$2,$C$3,$C$4,$C$6,$C$5,$C$7,AB$1,AB$2,$A193)</f>
        <v>-69.782480959089256</v>
      </c>
      <c r="AC193" s="32">
        <f ca="1">_xll.DBRW($C$1,$C$2,$C$3,$C$4,$C$6,$C$5,$C$7,AC$1,AC$2,$A193)</f>
        <v>-93.561297247625134</v>
      </c>
      <c r="AD193" s="32">
        <f ca="1">_xll.DBRW($C$1,$C$2,$C$3,$C$4,$C$6,$C$5,$C$7,AD$1,AD$2,$A193)</f>
        <v>-205.14491638581734</v>
      </c>
      <c r="AE193" s="32">
        <f ca="1">_xll.DBRW($C$1,$C$2,$C$3,$C$4,$C$6,$C$5,$C$7,AE$1,AE$2,$A193)</f>
        <v>-315.78508102117013</v>
      </c>
      <c r="AF193" s="32">
        <f ca="1">_xll.DBRW($C$1,$C$2,$C$3,$C$4,$C$6,$C$5,$C$7,AF$1,AF$2,$A193)</f>
        <v>-425.31528033665541</v>
      </c>
      <c r="AG193" s="32">
        <f ca="1">_xll.DBRW($C$1,$C$2,$C$3,$C$4,$C$6,$C$5,$C$7,AG$1,AG$2,$A193)</f>
        <v>-534.79729298903646</v>
      </c>
      <c r="AH193" s="32">
        <f ca="1">_xll.DBRW($C$1,$C$2,$C$3,$C$4,$C$6,$C$5,$C$7,AH$1,AH$2,$A193)</f>
        <v>-645.39392000289729</v>
      </c>
      <c r="AI193" s="32">
        <f ca="1">_xll.DBRW($C$1,$C$2,$C$3,$C$4,$C$6,$C$5,$C$7,AI$1,AI$2,$A193)</f>
        <v>-756.86333226159877</v>
      </c>
      <c r="AJ193" s="32">
        <f ca="1">_xll.DBRW($C$1,$C$2,$C$3,$C$4,$C$6,$C$5,$C$7,AJ$1,AJ$2,$A193)</f>
        <v>-868.09016821096225</v>
      </c>
      <c r="AK193" s="32">
        <f ca="1">_xll.DBRW($C$1,$C$2,$C$3,$C$4,$C$6,$C$5,$C$7,AK$1,AK$2,$A193)</f>
        <v>-975.61013042040975</v>
      </c>
      <c r="AL193" s="32">
        <f ca="1">_xll.DBRW($C$1,$C$2,$C$3,$C$4,$C$6,$C$5,$C$7,AL$1,AL$2,$A193)</f>
        <v>-975.61013042040975</v>
      </c>
      <c r="AM193" s="32">
        <f ca="1">_xll.DBRW($C$1,$C$2,$C$3,$C$4,$C$6,$C$5,$C$7,AM$1,AM$2,$A193)</f>
        <v>182.80204761656279</v>
      </c>
      <c r="AN193" s="32">
        <f ca="1">_xll.DBRW($C$1,$C$2,$C$3,$C$4,$C$6,$C$5,$C$7,AN$1,AN$2,$A193)</f>
        <v>-15.133713418691826</v>
      </c>
      <c r="AO193" s="32">
        <f ca="1">_xll.DBRW($C$1,$C$2,$C$3,$C$4,$C$6,$C$5,$C$7,AO$1,AO$2,$A193)</f>
        <v>-656.36709121999991</v>
      </c>
      <c r="AP193" s="32">
        <f ca="1">_xll.DBRW($C$1,$C$2,$C$3,$C$4,$C$6,$C$5,$C$7,AP$1,AP$2,$A193)</f>
        <v>-656.36709121999991</v>
      </c>
      <c r="AQ193" s="32">
        <f ca="1">_xll.DBRW($C$1,$C$2,$C$3,$C$4,$C$6,$C$5,$C$7,AQ$1,AQ$2,$A193)</f>
        <v>-656.36709121999991</v>
      </c>
      <c r="AR193" s="32">
        <f ca="1">_xll.DBRW($C$1,$C$2,$C$3,$C$4,$C$6,$C$5,$C$7,AR$1,AR$2,$A193)</f>
        <v>-656.36709121999991</v>
      </c>
      <c r="AS193" s="32">
        <f ca="1">_xll.DBRW($C$1,$C$2,$C$3,$C$4,$C$6,$C$5,$C$7,AS$1,AS$2,$A193)</f>
        <v>-656.36709121999991</v>
      </c>
      <c r="AT193" s="32">
        <f ca="1">_xll.DBRW($C$1,$C$2,$C$3,$C$4,$C$6,$C$5,$C$7,AT$1,AT$2,$A193)</f>
        <v>-656.36709121999991</v>
      </c>
      <c r="AU193" s="32">
        <f ca="1">_xll.DBRW($C$1,$C$2,$C$3,$C$4,$C$6,$C$5,$C$7,AU$1,AU$2,$A193)</f>
        <v>-656.36709121999991</v>
      </c>
      <c r="AV193" s="32">
        <f ca="1">_xll.DBRW($C$1,$C$2,$C$3,$C$4,$C$6,$C$5,$C$7,AV$1,AV$2,$A193)</f>
        <v>-656.36709121999991</v>
      </c>
      <c r="AW193" s="32">
        <f ca="1">_xll.DBRW($C$1,$C$2,$C$3,$C$4,$C$6,$C$5,$C$7,AW$1,AW$2,$A193)</f>
        <v>-656.36709121999991</v>
      </c>
      <c r="AX193" s="32">
        <f ca="1">_xll.DBRW($C$1,$C$2,$C$3,$C$4,$C$6,$C$5,$C$7,AX$1,AX$2,$A193)</f>
        <v>-656.36709121999991</v>
      </c>
      <c r="AY193" s="32">
        <f ca="1">_xll.DBRW($C$1,$C$2,$C$3,$C$4,$C$6,$C$5,$C$7,AY$1,AY$2,$A193)</f>
        <v>-656.36709121999991</v>
      </c>
    </row>
    <row r="194" spans="1:60" ht="15.75" hidden="1" customHeight="1" outlineLevel="1">
      <c r="A194" s="1" t="s">
        <v>281</v>
      </c>
      <c r="C194" s="104"/>
      <c r="E194" s="9" t="str">
        <f ca="1">_xll.DBRW(Server&amp;"}ElementAttributes_Indicator",A194,"code_English")</f>
        <v>PL1111_XX - Vector Reconciliation (TPL11) - Staff costs - Stock Options</v>
      </c>
      <c r="F194" s="32">
        <f ca="1">_xll.DBRW($C$1,$C$2,$C$3,$C$4,$C$6,$C$5,$C$7,F$1,F$2,$A194)</f>
        <v>0</v>
      </c>
      <c r="G194" s="32">
        <f ca="1">_xll.DBRW($C$1,$C$2,$C$3,$C$4,$C$6,$C$5,$C$7,G$1,G$2,$A194)</f>
        <v>0</v>
      </c>
      <c r="H194" s="32">
        <f ca="1">_xll.DBRW($C$1,$C$2,$C$3,$C$4,$C$6,$C$5,$C$7,H$1,H$2,$A194)</f>
        <v>0</v>
      </c>
      <c r="I194" s="32">
        <f ca="1">_xll.DBRW($C$1,$C$2,$C$3,$C$4,$C$6,$C$5,$C$7,I$1,I$2,$A194)</f>
        <v>0</v>
      </c>
      <c r="J194" s="32">
        <f ca="1">_xll.DBRW($C$1,$C$2,$C$3,$C$4,$C$6,$C$5,$C$7,J$1,J$2,$A194)</f>
        <v>0</v>
      </c>
      <c r="K194" s="32">
        <f ca="1">_xll.DBRW($C$1,$C$2,$C$3,$C$4,$C$6,$C$5,$C$7,K$1,K$2,$A194)</f>
        <v>0</v>
      </c>
      <c r="L194" s="32">
        <f ca="1">_xll.DBRW($C$1,$C$2,$C$3,$C$4,$C$6,$C$5,$C$7,L$1,L$2,$A194)</f>
        <v>0</v>
      </c>
      <c r="M194" s="32">
        <f ca="1">_xll.DBRW($C$1,$C$2,$C$3,$C$4,$C$6,$C$5,$C$7,M$1,M$2,$A194)</f>
        <v>0</v>
      </c>
      <c r="N194" s="32">
        <f ca="1">_xll.DBRW($C$1,$C$2,$C$3,$C$4,$C$6,$C$5,$C$7,N$1,N$2,$A194)</f>
        <v>0</v>
      </c>
      <c r="O194" s="32">
        <f ca="1">_xll.DBRW($C$1,$C$2,$C$3,$C$4,$C$6,$C$5,$C$7,O$1,O$2,$A194)</f>
        <v>0</v>
      </c>
      <c r="P194" s="32">
        <f ca="1">_xll.DBRW($C$1,$C$2,$C$3,$C$4,$C$6,$C$5,$C$7,P$1,P$2,$A194)</f>
        <v>0</v>
      </c>
      <c r="Q194" s="32">
        <f ca="1">_xll.DBRW($C$1,$C$2,$C$3,$C$4,$C$6,$C$5,$C$7,Q$1,Q$2,$A194)</f>
        <v>0</v>
      </c>
      <c r="R194" s="32">
        <f ca="1">_xll.DBRW($C$1,$C$2,$C$3,$C$4,$C$6,$C$5,$C$7,R$1,R$2,$A194)</f>
        <v>0</v>
      </c>
      <c r="S194" s="32">
        <f ca="1">_xll.DBRW($C$1,$C$2,$C$3,$C$4,$C$6,$C$5,$C$7,S$1,S$2,$A194)</f>
        <v>0</v>
      </c>
      <c r="T194" s="32">
        <f ca="1">_xll.DBRW($C$1,$C$2,$C$3,$C$4,$C$6,$C$5,$C$7,T$1,T$2,$A194)</f>
        <v>0</v>
      </c>
      <c r="U194" s="32">
        <f ca="1">_xll.DBRW($C$1,$C$2,$C$3,$C$4,$C$6,$C$5,$C$7,U$1,U$2,$A194)</f>
        <v>0</v>
      </c>
      <c r="V194" s="32">
        <f ca="1">_xll.DBRW($C$1,$C$2,$C$3,$C$4,$C$6,$C$5,$C$7,V$1,V$2,$A194)</f>
        <v>0</v>
      </c>
      <c r="W194" s="32">
        <f ca="1">_xll.DBRW($C$1,$C$2,$C$3,$C$4,$C$6,$C$5,$C$7,W$1,W$2,$A194)</f>
        <v>0</v>
      </c>
      <c r="X194" s="32">
        <f ca="1">_xll.DBRW($C$1,$C$2,$C$3,$C$4,$C$6,$C$5,$C$7,X$1,X$2,$A194)</f>
        <v>0</v>
      </c>
      <c r="Y194" s="32">
        <f ca="1">_xll.DBRW($C$1,$C$2,$C$3,$C$4,$C$6,$C$5,$C$7,Y$1,Y$2,$A194)</f>
        <v>0</v>
      </c>
      <c r="Z194" s="32">
        <f ca="1">_xll.DBRW($C$1,$C$2,$C$3,$C$4,$C$6,$C$5,$C$7,Z$1,Z$2,$A194)</f>
        <v>0</v>
      </c>
      <c r="AA194" s="32">
        <f ca="1">_xll.DBRW($C$1,$C$2,$C$3,$C$4,$C$6,$C$5,$C$7,AA$1,AA$2,$A194)</f>
        <v>0</v>
      </c>
      <c r="AB194" s="32">
        <f ca="1">_xll.DBRW($C$1,$C$2,$C$3,$C$4,$C$6,$C$5,$C$7,AB$1,AB$2,$A194)</f>
        <v>0</v>
      </c>
      <c r="AC194" s="32">
        <f ca="1">_xll.DBRW($C$1,$C$2,$C$3,$C$4,$C$6,$C$5,$C$7,AC$1,AC$2,$A194)</f>
        <v>0</v>
      </c>
      <c r="AD194" s="32">
        <f ca="1">_xll.DBRW($C$1,$C$2,$C$3,$C$4,$C$6,$C$5,$C$7,AD$1,AD$2,$A194)</f>
        <v>0</v>
      </c>
      <c r="AE194" s="32">
        <f ca="1">_xll.DBRW($C$1,$C$2,$C$3,$C$4,$C$6,$C$5,$C$7,AE$1,AE$2,$A194)</f>
        <v>0</v>
      </c>
      <c r="AF194" s="32">
        <f ca="1">_xll.DBRW($C$1,$C$2,$C$3,$C$4,$C$6,$C$5,$C$7,AF$1,AF$2,$A194)</f>
        <v>0</v>
      </c>
      <c r="AG194" s="32">
        <f ca="1">_xll.DBRW($C$1,$C$2,$C$3,$C$4,$C$6,$C$5,$C$7,AG$1,AG$2,$A194)</f>
        <v>0</v>
      </c>
      <c r="AH194" s="32">
        <f ca="1">_xll.DBRW($C$1,$C$2,$C$3,$C$4,$C$6,$C$5,$C$7,AH$1,AH$2,$A194)</f>
        <v>0</v>
      </c>
      <c r="AI194" s="32">
        <f ca="1">_xll.DBRW($C$1,$C$2,$C$3,$C$4,$C$6,$C$5,$C$7,AI$1,AI$2,$A194)</f>
        <v>0</v>
      </c>
      <c r="AJ194" s="32">
        <f ca="1">_xll.DBRW($C$1,$C$2,$C$3,$C$4,$C$6,$C$5,$C$7,AJ$1,AJ$2,$A194)</f>
        <v>0</v>
      </c>
      <c r="AK194" s="32">
        <f ca="1">_xll.DBRW($C$1,$C$2,$C$3,$C$4,$C$6,$C$5,$C$7,AK$1,AK$2,$A194)</f>
        <v>0</v>
      </c>
      <c r="AL194" s="32">
        <f ca="1">_xll.DBRW($C$1,$C$2,$C$3,$C$4,$C$6,$C$5,$C$7,AL$1,AL$2,$A194)</f>
        <v>0</v>
      </c>
      <c r="AM194" s="32">
        <f ca="1">_xll.DBRW($C$1,$C$2,$C$3,$C$4,$C$6,$C$5,$C$7,AM$1,AM$2,$A194)</f>
        <v>0</v>
      </c>
      <c r="AN194" s="32">
        <f ca="1">_xll.DBRW($C$1,$C$2,$C$3,$C$4,$C$6,$C$5,$C$7,AN$1,AN$2,$A194)</f>
        <v>0</v>
      </c>
      <c r="AO194" s="32">
        <f ca="1">_xll.DBRW($C$1,$C$2,$C$3,$C$4,$C$6,$C$5,$C$7,AO$1,AO$2,$A194)</f>
        <v>0</v>
      </c>
      <c r="AP194" s="32">
        <f ca="1">_xll.DBRW($C$1,$C$2,$C$3,$C$4,$C$6,$C$5,$C$7,AP$1,AP$2,$A194)</f>
        <v>0</v>
      </c>
      <c r="AQ194" s="32">
        <f ca="1">_xll.DBRW($C$1,$C$2,$C$3,$C$4,$C$6,$C$5,$C$7,AQ$1,AQ$2,$A194)</f>
        <v>0</v>
      </c>
      <c r="AR194" s="32">
        <f ca="1">_xll.DBRW($C$1,$C$2,$C$3,$C$4,$C$6,$C$5,$C$7,AR$1,AR$2,$A194)</f>
        <v>0</v>
      </c>
      <c r="AS194" s="32">
        <f ca="1">_xll.DBRW($C$1,$C$2,$C$3,$C$4,$C$6,$C$5,$C$7,AS$1,AS$2,$A194)</f>
        <v>0</v>
      </c>
      <c r="AT194" s="32">
        <f ca="1">_xll.DBRW($C$1,$C$2,$C$3,$C$4,$C$6,$C$5,$C$7,AT$1,AT$2,$A194)</f>
        <v>0</v>
      </c>
      <c r="AU194" s="32">
        <f ca="1">_xll.DBRW($C$1,$C$2,$C$3,$C$4,$C$6,$C$5,$C$7,AU$1,AU$2,$A194)</f>
        <v>0</v>
      </c>
      <c r="AV194" s="32">
        <f ca="1">_xll.DBRW($C$1,$C$2,$C$3,$C$4,$C$6,$C$5,$C$7,AV$1,AV$2,$A194)</f>
        <v>0</v>
      </c>
      <c r="AW194" s="32">
        <f ca="1">_xll.DBRW($C$1,$C$2,$C$3,$C$4,$C$6,$C$5,$C$7,AW$1,AW$2,$A194)</f>
        <v>0</v>
      </c>
      <c r="AX194" s="32">
        <f ca="1">_xll.DBRW($C$1,$C$2,$C$3,$C$4,$C$6,$C$5,$C$7,AX$1,AX$2,$A194)</f>
        <v>0</v>
      </c>
      <c r="AY194" s="32">
        <f ca="1">_xll.DBRW($C$1,$C$2,$C$3,$C$4,$C$6,$C$5,$C$7,AY$1,AY$2,$A194)</f>
        <v>0</v>
      </c>
    </row>
    <row r="195" spans="1:60" ht="15.75" hidden="1" customHeight="1" outlineLevel="1">
      <c r="A195" s="1" t="s">
        <v>282</v>
      </c>
      <c r="C195" s="104"/>
      <c r="E195" s="9" t="str">
        <f ca="1">_xll.DBRW(Server&amp;"}ElementAttributes_Indicator",A195,"code_English")</f>
        <v>PL1115_XX - Vector Reconciliation (TPL11) - Other expenses</v>
      </c>
      <c r="F195" s="32">
        <f ca="1">_xll.DBRW($C$1,$C$2,$C$3,$C$4,$C$6,$C$5,$C$7,F$1,F$2,$A195)</f>
        <v>-481.29589548071129</v>
      </c>
      <c r="G195" s="32">
        <f ca="1">_xll.DBRW($C$1,$C$2,$C$3,$C$4,$C$6,$C$5,$C$7,G$1,G$2,$A195)</f>
        <v>-518.49685943703639</v>
      </c>
      <c r="H195" s="32">
        <f ca="1">_xll.DBRW($C$1,$C$2,$C$3,$C$4,$C$6,$C$5,$C$7,H$1,H$2,$A195)</f>
        <v>-567.87156159514075</v>
      </c>
      <c r="I195" s="32">
        <f ca="1">_xll.DBRW($C$1,$C$2,$C$3,$C$4,$C$6,$C$5,$C$7,I$1,I$2,$A195)</f>
        <v>-1226.2165468281441</v>
      </c>
      <c r="J195" s="32">
        <f ca="1">_xll.DBRW($C$1,$C$2,$C$3,$C$4,$C$6,$C$5,$C$7,J$1,J$2,$A195)</f>
        <v>-324.25283868583949</v>
      </c>
      <c r="K195" s="32">
        <f ca="1">_xll.DBRW($C$1,$C$2,$C$3,$C$4,$C$6,$C$5,$C$7,K$1,K$2,$A195)</f>
        <v>-125.56748236935039</v>
      </c>
      <c r="L195" s="32">
        <f ca="1">_xll.DBRW($C$1,$C$2,$C$3,$C$4,$C$6,$C$5,$C$7,L$1,L$2,$A195)</f>
        <v>-169.44199078479829</v>
      </c>
      <c r="M195" s="32">
        <f ca="1">_xll.DBRW($C$1,$C$2,$C$3,$C$4,$C$6,$C$5,$C$7,M$1,M$2,$A195)</f>
        <v>-15.824630809331909</v>
      </c>
      <c r="N195" s="32">
        <f ca="1">_xll.DBRW($C$1,$C$2,$C$3,$C$4,$C$6,$C$5,$C$7,N$1,N$2,$A195)</f>
        <v>-30.094815938333717</v>
      </c>
      <c r="O195" s="32">
        <f ca="1">_xll.DBRW($C$1,$C$2,$C$3,$C$4,$C$6,$C$5,$C$7,O$1,O$2,$A195)</f>
        <v>-44.17311422372908</v>
      </c>
      <c r="P195" s="32">
        <f ca="1">_xll.DBRW($C$1,$C$2,$C$3,$C$4,$C$6,$C$5,$C$7,P$1,P$2,$A195)</f>
        <v>-74.826784397098066</v>
      </c>
      <c r="Q195" s="32">
        <f ca="1">_xll.DBRW($C$1,$C$2,$C$3,$C$4,$C$6,$C$5,$C$7,Q$1,Q$2,$A195)</f>
        <v>-68.946492171542928</v>
      </c>
      <c r="R195" s="32">
        <f ca="1">_xll.DBRW($C$1,$C$2,$C$3,$C$4,$C$6,$C$5,$C$7,R$1,R$2,$A195)</f>
        <v>-83.881039141187472</v>
      </c>
      <c r="S195" s="32">
        <f ca="1">_xll.DBRW($C$1,$C$2,$C$3,$C$4,$C$6,$C$5,$C$7,S$1,S$2,$A195)</f>
        <v>-17.358996801410186</v>
      </c>
      <c r="T195" s="32">
        <f ca="1">_xll.DBRW($C$1,$C$2,$C$3,$C$4,$C$6,$C$5,$C$7,T$1,T$2,$A195)</f>
        <v>-109.95692740406764</v>
      </c>
      <c r="U195" s="32">
        <f ca="1">_xll.DBRW($C$1,$C$2,$C$3,$C$4,$C$6,$C$5,$C$7,U$1,U$2,$A195)</f>
        <v>-130.18406211544379</v>
      </c>
      <c r="V195" s="32">
        <f ca="1">_xll.DBRW($C$1,$C$2,$C$3,$C$4,$C$6,$C$5,$C$7,V$1,V$2,$A195)</f>
        <v>637.52702251715857</v>
      </c>
      <c r="W195" s="32">
        <f ca="1">_xll.DBRW($C$1,$C$2,$C$3,$C$4,$C$6,$C$5,$C$7,W$1,W$2,$A195)</f>
        <v>-321.25072989912189</v>
      </c>
      <c r="X195" s="32">
        <f ca="1">_xll.DBRW($C$1,$C$2,$C$3,$C$4,$C$6,$C$5,$C$7,X$1,X$2,$A195)</f>
        <v>-171.6344180668049</v>
      </c>
      <c r="Y195" s="32">
        <f ca="1">_xll.DBRW($C$1,$C$2,$C$3,$C$4,$C$6,$C$5,$C$7,Y$1,Y$2,$A195)</f>
        <v>-171.6344180668049</v>
      </c>
      <c r="Z195" s="32">
        <f ca="1">_xll.DBRW($C$1,$C$2,$C$3,$C$4,$C$6,$C$5,$C$7,Z$1,Z$2,$A195)</f>
        <v>-39.583467695899976</v>
      </c>
      <c r="AA195" s="32">
        <f ca="1">_xll.DBRW($C$1,$C$2,$C$3,$C$4,$C$6,$C$5,$C$7,AA$1,AA$2,$A195)</f>
        <v>-46.40606660086668</v>
      </c>
      <c r="AB195" s="32">
        <f ca="1">_xll.DBRW($C$1,$C$2,$C$3,$C$4,$C$6,$C$5,$C$7,AB$1,AB$2,$A195)</f>
        <v>-66.344609302789451</v>
      </c>
      <c r="AC195" s="32">
        <f ca="1">_xll.DBRW($C$1,$C$2,$C$3,$C$4,$C$6,$C$5,$C$7,AC$1,AC$2,$A195)</f>
        <v>-89.176533502596641</v>
      </c>
      <c r="AD195" s="32">
        <f ca="1">_xll.DBRW($C$1,$C$2,$C$3,$C$4,$C$6,$C$5,$C$7,AD$1,AD$2,$A195)</f>
        <v>-140.10496919169117</v>
      </c>
      <c r="AE195" s="32">
        <f ca="1">_xll.DBRW($C$1,$C$2,$C$3,$C$4,$C$6,$C$5,$C$7,AE$1,AE$2,$A195)</f>
        <v>-190.83386675122338</v>
      </c>
      <c r="AF195" s="32">
        <f ca="1">_xll.DBRW($C$1,$C$2,$C$3,$C$4,$C$6,$C$5,$C$7,AF$1,AF$2,$A195)</f>
        <v>-239.36596953546535</v>
      </c>
      <c r="AG195" s="32">
        <f ca="1">_xll.DBRW($C$1,$C$2,$C$3,$C$4,$C$6,$C$5,$C$7,AG$1,AG$2,$A195)</f>
        <v>-287.96983999374851</v>
      </c>
      <c r="AH195" s="32">
        <f ca="1">_xll.DBRW($C$1,$C$2,$C$3,$C$4,$C$6,$C$5,$C$7,AH$1,AH$2,$A195)</f>
        <v>-337.5802534699182</v>
      </c>
      <c r="AI195" s="32">
        <f ca="1">_xll.DBRW($C$1,$C$2,$C$3,$C$4,$C$6,$C$5,$C$7,AI$1,AI$2,$A195)</f>
        <v>-387.67854256156522</v>
      </c>
      <c r="AJ195" s="32">
        <f ca="1">_xll.DBRW($C$1,$C$2,$C$3,$C$4,$C$6,$C$5,$C$7,AJ$1,AJ$2,$A195)</f>
        <v>-438.04963114694363</v>
      </c>
      <c r="AK195" s="32">
        <f ca="1">_xll.DBRW($C$1,$C$2,$C$3,$C$4,$C$6,$C$5,$C$7,AK$1,AK$2,$A195)</f>
        <v>-489.77444227137335</v>
      </c>
      <c r="AL195" s="32">
        <f ca="1">_xll.DBRW($C$1,$C$2,$C$3,$C$4,$C$6,$C$5,$C$7,AL$1,AL$2,$A195)</f>
        <v>-489.77444227137335</v>
      </c>
      <c r="AM195" s="32">
        <f ca="1">_xll.DBRW($C$1,$C$2,$C$3,$C$4,$C$6,$C$5,$C$7,AM$1,AM$2,$A195)</f>
        <v>40.385384007442553</v>
      </c>
      <c r="AN195" s="32">
        <f ca="1">_xll.DBRW($C$1,$C$2,$C$3,$C$4,$C$6,$C$5,$C$7,AN$1,AN$2,$A195)</f>
        <v>-31.646651109999524</v>
      </c>
      <c r="AO195" s="32">
        <f ca="1">_xll.DBRW($C$1,$C$2,$C$3,$C$4,$C$6,$C$5,$C$7,AO$1,AO$2,$A195)</f>
        <v>-396.02780000500007</v>
      </c>
      <c r="AP195" s="32">
        <f ca="1">_xll.DBRW($C$1,$C$2,$C$3,$C$4,$C$6,$C$5,$C$7,AP$1,AP$2,$A195)</f>
        <v>-396.02780000500007</v>
      </c>
      <c r="AQ195" s="32">
        <f ca="1">_xll.DBRW($C$1,$C$2,$C$3,$C$4,$C$6,$C$5,$C$7,AQ$1,AQ$2,$A195)</f>
        <v>-396.02780000500007</v>
      </c>
      <c r="AR195" s="32">
        <f ca="1">_xll.DBRW($C$1,$C$2,$C$3,$C$4,$C$6,$C$5,$C$7,AR$1,AR$2,$A195)</f>
        <v>-396.02780000500007</v>
      </c>
      <c r="AS195" s="32">
        <f ca="1">_xll.DBRW($C$1,$C$2,$C$3,$C$4,$C$6,$C$5,$C$7,AS$1,AS$2,$A195)</f>
        <v>-396.02780000500007</v>
      </c>
      <c r="AT195" s="32">
        <f ca="1">_xll.DBRW($C$1,$C$2,$C$3,$C$4,$C$6,$C$5,$C$7,AT$1,AT$2,$A195)</f>
        <v>-396.02780000500007</v>
      </c>
      <c r="AU195" s="32">
        <f ca="1">_xll.DBRW($C$1,$C$2,$C$3,$C$4,$C$6,$C$5,$C$7,AU$1,AU$2,$A195)</f>
        <v>-396.02780000500007</v>
      </c>
      <c r="AV195" s="32">
        <f ca="1">_xll.DBRW($C$1,$C$2,$C$3,$C$4,$C$6,$C$5,$C$7,AV$1,AV$2,$A195)</f>
        <v>-396.02780000500007</v>
      </c>
      <c r="AW195" s="32">
        <f ca="1">_xll.DBRW($C$1,$C$2,$C$3,$C$4,$C$6,$C$5,$C$7,AW$1,AW$2,$A195)</f>
        <v>-396.02780000500007</v>
      </c>
      <c r="AX195" s="32">
        <f ca="1">_xll.DBRW($C$1,$C$2,$C$3,$C$4,$C$6,$C$5,$C$7,AX$1,AX$2,$A195)</f>
        <v>-396.02780000500007</v>
      </c>
      <c r="AY195" s="32">
        <f ca="1">_xll.DBRW($C$1,$C$2,$C$3,$C$4,$C$6,$C$5,$C$7,AY$1,AY$2,$A195)</f>
        <v>-396.02780000500007</v>
      </c>
    </row>
    <row r="196" spans="1:60" ht="15.75" hidden="1" customHeight="1" outlineLevel="1">
      <c r="A196" s="1" t="s">
        <v>283</v>
      </c>
      <c r="C196" s="104"/>
      <c r="E196" s="9" t="str">
        <f ca="1">_xll.DBRW(Server&amp;"}ElementAttributes_Indicator",A196,"code_English")</f>
        <v>PL1115A_XX - Vector Reconciliation (TPL11) - Adjustment to operating profit</v>
      </c>
      <c r="F196" s="32">
        <f ca="1">_xll.DBRW($C$1,$C$2,$C$3,$C$4,$C$6,$C$5,$C$7,F$1,F$2,$A196)</f>
        <v>4.2145226999999892</v>
      </c>
      <c r="G196" s="32">
        <f ca="1">_xll.DBRW($C$1,$C$2,$C$3,$C$4,$C$6,$C$5,$C$7,G$1,G$2,$A196)</f>
        <v>3.3742386280000147</v>
      </c>
      <c r="H196" s="32">
        <f ca="1">_xll.DBRW($C$1,$C$2,$C$3,$C$4,$C$6,$C$5,$C$7,H$1,H$2,$A196)</f>
        <v>4.7476623060000005</v>
      </c>
      <c r="I196" s="32">
        <f ca="1">_xll.DBRW($C$1,$C$2,$C$3,$C$4,$C$6,$C$5,$C$7,I$1,I$2,$A196)</f>
        <v>6.8343706429999891</v>
      </c>
      <c r="J196" s="32">
        <f ca="1">_xll.DBRW($C$1,$C$2,$C$3,$C$4,$C$6,$C$5,$C$7,J$1,J$2,$A196)</f>
        <v>5.7481447089999991</v>
      </c>
      <c r="K196" s="32">
        <f ca="1">_xll.DBRW($C$1,$C$2,$C$3,$C$4,$C$6,$C$5,$C$7,K$1,K$2,$A196)</f>
        <v>6.1742017709999981</v>
      </c>
      <c r="L196" s="32">
        <f ca="1">_xll.DBRW($C$1,$C$2,$C$3,$C$4,$C$6,$C$5,$C$7,L$1,L$2,$A196)</f>
        <v>1.350553976</v>
      </c>
      <c r="M196" s="32">
        <f ca="1">_xll.DBRW($C$1,$C$2,$C$3,$C$4,$C$6,$C$5,$C$7,M$1,M$2,$A196)</f>
        <v>-1.6813646200000003</v>
      </c>
      <c r="N196" s="32">
        <f ca="1">_xll.DBRW($C$1,$C$2,$C$3,$C$4,$C$6,$C$5,$C$7,N$1,N$2,$A196)</f>
        <v>-0.57115030700000036</v>
      </c>
      <c r="O196" s="32">
        <f ca="1">_xll.DBRW($C$1,$C$2,$C$3,$C$4,$C$6,$C$5,$C$7,O$1,O$2,$A196)</f>
        <v>-2.620011002</v>
      </c>
      <c r="P196" s="32">
        <f ca="1">_xll.DBRW($C$1,$C$2,$C$3,$C$4,$C$6,$C$5,$C$7,P$1,P$2,$A196)</f>
        <v>1.1360472200000005</v>
      </c>
      <c r="Q196" s="32">
        <f ca="1">_xll.DBRW($C$1,$C$2,$C$3,$C$4,$C$6,$C$5,$C$7,Q$1,Q$2,$A196)</f>
        <v>-0.35526270599999932</v>
      </c>
      <c r="R196" s="32">
        <f ca="1">_xll.DBRW($C$1,$C$2,$C$3,$C$4,$C$6,$C$5,$C$7,R$1,R$2,$A196)</f>
        <v>0.58367639100000046</v>
      </c>
      <c r="S196" s="32">
        <f ca="1">_xll.DBRW($C$1,$C$2,$C$3,$C$4,$C$6,$C$5,$C$7,S$1,S$2,$A196)</f>
        <v>-9.7047630929999986</v>
      </c>
      <c r="T196" s="32">
        <f ca="1">_xll.DBRW($C$1,$C$2,$C$3,$C$4,$C$6,$C$5,$C$7,T$1,T$2,$A196)</f>
        <v>3.0573726619999952</v>
      </c>
      <c r="U196" s="32">
        <f ca="1">_xll.DBRW($C$1,$C$2,$C$3,$C$4,$C$6,$C$5,$C$7,U$1,U$2,$A196)</f>
        <v>2.8010956229999948</v>
      </c>
      <c r="V196" s="32">
        <f ca="1">_xll.DBRW($C$1,$C$2,$C$3,$C$4,$C$6,$C$5,$C$7,V$1,V$2,$A196)</f>
        <v>-8.9410117900000028</v>
      </c>
      <c r="W196" s="32">
        <f ca="1">_xll.DBRW($C$1,$C$2,$C$3,$C$4,$C$6,$C$5,$C$7,W$1,W$2,$A196)</f>
        <v>3.2663787429999953</v>
      </c>
      <c r="X196" s="32">
        <f ca="1">_xll.DBRW($C$1,$C$2,$C$3,$C$4,$C$6,$C$5,$C$7,X$1,X$2,$A196)</f>
        <v>4.8864215339999948</v>
      </c>
      <c r="Y196" s="32">
        <f ca="1">_xll.DBRW($C$1,$C$2,$C$3,$C$4,$C$6,$C$5,$C$7,Y$1,Y$2,$A196)</f>
        <v>4.8864215339999948</v>
      </c>
      <c r="Z196" s="32">
        <f ca="1">_xll.DBRW($C$1,$C$2,$C$3,$C$4,$C$6,$C$5,$C$7,Z$1,Z$2,$A196)</f>
        <v>0.36824391900000003</v>
      </c>
      <c r="AA196" s="32">
        <f ca="1">_xll.DBRW($C$1,$C$2,$C$3,$C$4,$C$6,$C$5,$C$7,AA$1,AA$2,$A196)</f>
        <v>-0.13000363500000006</v>
      </c>
      <c r="AB196" s="32">
        <f ca="1">_xll.DBRW($C$1,$C$2,$C$3,$C$4,$C$6,$C$5,$C$7,AB$1,AB$2,$A196)</f>
        <v>5.7150311999999953E-2</v>
      </c>
      <c r="AC196" s="32">
        <f ca="1">_xll.DBRW($C$1,$C$2,$C$3,$C$4,$C$6,$C$5,$C$7,AC$1,AC$2,$A196)</f>
        <v>-0.16073340099999997</v>
      </c>
      <c r="AD196" s="32">
        <f ca="1">_xll.DBRW($C$1,$C$2,$C$3,$C$4,$C$6,$C$5,$C$7,AD$1,AD$2,$A196)</f>
        <v>0.32983943900000012</v>
      </c>
      <c r="AE196" s="32">
        <f ca="1">_xll.DBRW($C$1,$C$2,$C$3,$C$4,$C$6,$C$5,$C$7,AE$1,AE$2,$A196)</f>
        <v>0.96690847200000007</v>
      </c>
      <c r="AF196" s="32">
        <f ca="1">_xll.DBRW($C$1,$C$2,$C$3,$C$4,$C$6,$C$5,$C$7,AF$1,AF$2,$A196)</f>
        <v>1.001340718</v>
      </c>
      <c r="AG196" s="32">
        <f ca="1">_xll.DBRW($C$1,$C$2,$C$3,$C$4,$C$6,$C$5,$C$7,AG$1,AG$2,$A196)</f>
        <v>1.4336175529999999</v>
      </c>
      <c r="AH196" s="32">
        <f ca="1">_xll.DBRW($C$1,$C$2,$C$3,$C$4,$C$6,$C$5,$C$7,AH$1,AH$2,$A196)</f>
        <v>2.2991628949999998</v>
      </c>
      <c r="AI196" s="32">
        <f ca="1">_xll.DBRW($C$1,$C$2,$C$3,$C$4,$C$6,$C$5,$C$7,AI$1,AI$2,$A196)</f>
        <v>2.7730020679999998</v>
      </c>
      <c r="AJ196" s="32">
        <f ca="1">_xll.DBRW($C$1,$C$2,$C$3,$C$4,$C$6,$C$5,$C$7,AJ$1,AJ$2,$A196)</f>
        <v>2.9546378879999997</v>
      </c>
      <c r="AK196" s="32">
        <f ca="1">_xll.DBRW($C$1,$C$2,$C$3,$C$4,$C$6,$C$5,$C$7,AK$1,AK$2,$A196)</f>
        <v>3.5875480520000003</v>
      </c>
      <c r="AL196" s="32">
        <f ca="1">_xll.DBRW($C$1,$C$2,$C$3,$C$4,$C$6,$C$5,$C$7,AL$1,AL$2,$A196)</f>
        <v>3.5875480520000003</v>
      </c>
      <c r="AM196" s="32">
        <f ca="1">_xll.DBRW($C$1,$C$2,$C$3,$C$4,$C$6,$C$5,$C$7,AM$1,AM$2,$A196)</f>
        <v>-0.76330207099999992</v>
      </c>
      <c r="AN196" s="32">
        <f ca="1">_xll.DBRW($C$1,$C$2,$C$3,$C$4,$C$6,$C$5,$C$7,AN$1,AN$2,$A196)</f>
        <v>0.56445431400000012</v>
      </c>
      <c r="AO196" s="32">
        <f ca="1">_xll.DBRW($C$1,$C$2,$C$3,$C$4,$C$6,$C$5,$C$7,AO$1,AO$2,$A196)</f>
        <v>0.56445431400000012</v>
      </c>
      <c r="AP196" s="32">
        <f ca="1">_xll.DBRW($C$1,$C$2,$C$3,$C$4,$C$6,$C$5,$C$7,AP$1,AP$2,$A196)</f>
        <v>0.56445431400000012</v>
      </c>
      <c r="AQ196" s="32">
        <f ca="1">_xll.DBRW($C$1,$C$2,$C$3,$C$4,$C$6,$C$5,$C$7,AQ$1,AQ$2,$A196)</f>
        <v>0.56445431400000012</v>
      </c>
      <c r="AR196" s="32">
        <f ca="1">_xll.DBRW($C$1,$C$2,$C$3,$C$4,$C$6,$C$5,$C$7,AR$1,AR$2,$A196)</f>
        <v>0.56445431400000012</v>
      </c>
      <c r="AS196" s="32">
        <f ca="1">_xll.DBRW($C$1,$C$2,$C$3,$C$4,$C$6,$C$5,$C$7,AS$1,AS$2,$A196)</f>
        <v>0.56445431400000012</v>
      </c>
      <c r="AT196" s="32">
        <f ca="1">_xll.DBRW($C$1,$C$2,$C$3,$C$4,$C$6,$C$5,$C$7,AT$1,AT$2,$A196)</f>
        <v>0.56445431400000012</v>
      </c>
      <c r="AU196" s="32">
        <f ca="1">_xll.DBRW($C$1,$C$2,$C$3,$C$4,$C$6,$C$5,$C$7,AU$1,AU$2,$A196)</f>
        <v>0.56445431400000012</v>
      </c>
      <c r="AV196" s="32">
        <f ca="1">_xll.DBRW($C$1,$C$2,$C$3,$C$4,$C$6,$C$5,$C$7,AV$1,AV$2,$A196)</f>
        <v>0.56445431400000012</v>
      </c>
      <c r="AW196" s="32">
        <f ca="1">_xll.DBRW($C$1,$C$2,$C$3,$C$4,$C$6,$C$5,$C$7,AW$1,AW$2,$A196)</f>
        <v>0.56445431400000012</v>
      </c>
      <c r="AX196" s="32">
        <f ca="1">_xll.DBRW($C$1,$C$2,$C$3,$C$4,$C$6,$C$5,$C$7,AX$1,AX$2,$A196)</f>
        <v>0.56445431400000012</v>
      </c>
      <c r="AY196" s="32">
        <f ca="1">_xll.DBRW($C$1,$C$2,$C$3,$C$4,$C$6,$C$5,$C$7,AY$1,AY$2,$A196)</f>
        <v>0.56445431400000012</v>
      </c>
    </row>
    <row r="197" spans="1:60" ht="15.75" hidden="1" customHeight="1" outlineLevel="1">
      <c r="A197" s="1" t="s">
        <v>284</v>
      </c>
      <c r="C197" s="104"/>
      <c r="E197" s="9" t="str">
        <f ca="1">_xll.DBRW(Server&amp;"}ElementAttributes_Indicator",A197,"code_English")</f>
        <v>PL1115S_XX - Vector Reconciliation (TPL11) - COS - Subcontracting transportation costs</v>
      </c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6"/>
      <c r="AW197" s="76"/>
      <c r="AX197" s="76"/>
      <c r="AY197" s="76"/>
      <c r="AZ197" s="77"/>
      <c r="BA197" s="77"/>
      <c r="BB197" s="77"/>
      <c r="BC197" s="77"/>
      <c r="BD197" s="77"/>
      <c r="BE197" s="77"/>
      <c r="BF197" s="77"/>
      <c r="BG197" s="77"/>
      <c r="BH197" s="77"/>
    </row>
    <row r="198" spans="1:60" ht="15.75" hidden="1" customHeight="1" outlineLevel="1">
      <c r="A198" s="1" t="s">
        <v>285</v>
      </c>
      <c r="C198" s="104"/>
      <c r="E198" s="9" t="str">
        <f ca="1">_xll.DBRW(Server&amp;"}ElementAttributes_Indicator",A198,"code_English")</f>
        <v>PL1116_XX - Vector Reconciliation (TPL11) - COS - Lease expenses</v>
      </c>
      <c r="F198" s="32">
        <f ca="1">_xll.DBRW($C$1,$C$2,$C$3,$C$4,$C$6,$C$5,$C$7,F$1,F$2,$A198)</f>
        <v>-36.92034347204023</v>
      </c>
      <c r="G198" s="32">
        <f ca="1">_xll.DBRW($C$1,$C$2,$C$3,$C$4,$C$6,$C$5,$C$7,G$1,G$2,$A198)</f>
        <v>-42.318517676527648</v>
      </c>
      <c r="H198" s="32">
        <f ca="1">_xll.DBRW($C$1,$C$2,$C$3,$C$4,$C$6,$C$5,$C$7,H$1,H$2,$A198)</f>
        <v>-19.003112988787962</v>
      </c>
      <c r="I198" s="32">
        <f ca="1">_xll.DBRW($C$1,$C$2,$C$3,$C$4,$C$6,$C$5,$C$7,I$1,I$2,$A198)</f>
        <v>30.551444120195452</v>
      </c>
      <c r="J198" s="32">
        <f ca="1">_xll.DBRW($C$1,$C$2,$C$3,$C$4,$C$6,$C$5,$C$7,J$1,J$2,$A198)</f>
        <v>106.59862989372571</v>
      </c>
      <c r="K198" s="32">
        <f ca="1">_xll.DBRW($C$1,$C$2,$C$3,$C$4,$C$6,$C$5,$C$7,K$1,K$2,$A198)</f>
        <v>28.043933678008457</v>
      </c>
      <c r="L198" s="32">
        <f ca="1">_xll.DBRW($C$1,$C$2,$C$3,$C$4,$C$6,$C$5,$C$7,L$1,L$2,$A198)</f>
        <v>-13.083172936256927</v>
      </c>
      <c r="M198" s="32">
        <f ca="1">_xll.DBRW($C$1,$C$2,$C$3,$C$4,$C$6,$C$5,$C$7,M$1,M$2,$A198)</f>
        <v>0.61124843778706195</v>
      </c>
      <c r="N198" s="32">
        <f ca="1">_xll.DBRW($C$1,$C$2,$C$3,$C$4,$C$6,$C$5,$C$7,N$1,N$2,$A198)</f>
        <v>0.68982293558038299</v>
      </c>
      <c r="O198" s="32">
        <f ca="1">_xll.DBRW($C$1,$C$2,$C$3,$C$4,$C$6,$C$5,$C$7,O$1,O$2,$A198)</f>
        <v>1.3116170741323567</v>
      </c>
      <c r="P198" s="32">
        <f ca="1">_xll.DBRW($C$1,$C$2,$C$3,$C$4,$C$6,$C$5,$C$7,P$1,P$2,$A198)</f>
        <v>1.2568862404517371</v>
      </c>
      <c r="Q198" s="32">
        <f ca="1">_xll.DBRW($C$1,$C$2,$C$3,$C$4,$C$6,$C$5,$C$7,Q$1,Q$2,$A198)</f>
        <v>2.7310863056250074</v>
      </c>
      <c r="R198" s="32">
        <f ca="1">_xll.DBRW($C$1,$C$2,$C$3,$C$4,$C$6,$C$5,$C$7,R$1,R$2,$A198)</f>
        <v>6.9183491063347935</v>
      </c>
      <c r="S198" s="32">
        <f ca="1">_xll.DBRW($C$1,$C$2,$C$3,$C$4,$C$6,$C$5,$C$7,S$1,S$2,$A198)</f>
        <v>3.7881449550286184</v>
      </c>
      <c r="T198" s="32">
        <f ca="1">_xll.DBRW($C$1,$C$2,$C$3,$C$4,$C$6,$C$5,$C$7,T$1,T$2,$A198)</f>
        <v>4.8849364612627983</v>
      </c>
      <c r="U198" s="32">
        <f ca="1">_xll.DBRW($C$1,$C$2,$C$3,$C$4,$C$6,$C$5,$C$7,U$1,U$2,$A198)</f>
        <v>8.1275526495201085</v>
      </c>
      <c r="V198" s="32">
        <f ca="1">_xll.DBRW($C$1,$C$2,$C$3,$C$4,$C$6,$C$5,$C$7,V$1,V$2,$A198)</f>
        <v>26.740965541060692</v>
      </c>
      <c r="W198" s="32">
        <f ca="1">_xll.DBRW($C$1,$C$2,$C$3,$C$4,$C$6,$C$5,$C$7,W$1,W$2,$A198)</f>
        <v>-4.2964767670787207</v>
      </c>
      <c r="X198" s="32">
        <f ca="1">_xll.DBRW($C$1,$C$2,$C$3,$C$4,$C$6,$C$5,$C$7,X$1,X$2,$A198)</f>
        <v>21.656930252261638</v>
      </c>
      <c r="Y198" s="32">
        <f ca="1">_xll.DBRW($C$1,$C$2,$C$3,$C$4,$C$6,$C$5,$C$7,Y$1,Y$2,$A198)</f>
        <v>21.656930252261638</v>
      </c>
      <c r="Z198" s="32">
        <f ca="1">_xll.DBRW($C$1,$C$2,$C$3,$C$4,$C$6,$C$5,$C$7,Z$1,Z$2,$A198)</f>
        <v>-2.4262563384459503</v>
      </c>
      <c r="AA198" s="32">
        <f ca="1">_xll.DBRW($C$1,$C$2,$C$3,$C$4,$C$6,$C$5,$C$7,AA$1,AA$2,$A198)</f>
        <v>-2.0776066268817748</v>
      </c>
      <c r="AB198" s="32">
        <f ca="1">_xll.DBRW($C$1,$C$2,$C$3,$C$4,$C$6,$C$5,$C$7,AB$1,AB$2,$A198)</f>
        <v>-3.1856113107035284</v>
      </c>
      <c r="AC198" s="32">
        <f ca="1">_xll.DBRW($C$1,$C$2,$C$3,$C$4,$C$6,$C$5,$C$7,AC$1,AC$2,$A198)</f>
        <v>-4.2630758863851286</v>
      </c>
      <c r="AD198" s="32">
        <f ca="1">_xll.DBRW($C$1,$C$2,$C$3,$C$4,$C$6,$C$5,$C$7,AD$1,AD$2,$A198)</f>
        <v>-5.3542731757769708</v>
      </c>
      <c r="AE198" s="32">
        <f ca="1">_xll.DBRW($C$1,$C$2,$C$3,$C$4,$C$6,$C$5,$C$7,AE$1,AE$2,$A198)</f>
        <v>-6.4388772158125382</v>
      </c>
      <c r="AF198" s="32">
        <f ca="1">_xll.DBRW($C$1,$C$2,$C$3,$C$4,$C$6,$C$5,$C$7,AF$1,AF$2,$A198)</f>
        <v>-7.5707317741999649</v>
      </c>
      <c r="AG198" s="32">
        <f ca="1">_xll.DBRW($C$1,$C$2,$C$3,$C$4,$C$6,$C$5,$C$7,AG$1,AG$2,$A198)</f>
        <v>-8.7039906066871957</v>
      </c>
      <c r="AH198" s="32">
        <f ca="1">_xll.DBRW($C$1,$C$2,$C$3,$C$4,$C$6,$C$5,$C$7,AH$1,AH$2,$A198)</f>
        <v>-9.8234254118521829</v>
      </c>
      <c r="AI198" s="32">
        <f ca="1">_xll.DBRW($C$1,$C$2,$C$3,$C$4,$C$6,$C$5,$C$7,AI$1,AI$2,$A198)</f>
        <v>-11.205951396366215</v>
      </c>
      <c r="AJ198" s="32">
        <f ca="1">_xll.DBRW($C$1,$C$2,$C$3,$C$4,$C$6,$C$5,$C$7,AJ$1,AJ$2,$A198)</f>
        <v>-12.029745746046967</v>
      </c>
      <c r="AK198" s="32">
        <f ca="1">_xll.DBRW($C$1,$C$2,$C$3,$C$4,$C$6,$C$5,$C$7,AK$1,AK$2,$A198)</f>
        <v>9.4207389302746449</v>
      </c>
      <c r="AL198" s="32">
        <f ca="1">_xll.DBRW($C$1,$C$2,$C$3,$C$4,$C$6,$C$5,$C$7,AL$1,AL$2,$A198)</f>
        <v>9.4207389302746449</v>
      </c>
      <c r="AM198" s="32">
        <f ca="1">_xll.DBRW($C$1,$C$2,$C$3,$C$4,$C$6,$C$5,$C$7,AM$1,AM$2,$A198)</f>
        <v>4.598824886989326</v>
      </c>
      <c r="AN198" s="32">
        <f ca="1">_xll.DBRW($C$1,$C$2,$C$3,$C$4,$C$6,$C$5,$C$7,AN$1,AN$2,$A198)</f>
        <v>2.5043876363874231</v>
      </c>
      <c r="AO198" s="32">
        <f ca="1">_xll.DBRW($C$1,$C$2,$C$3,$C$4,$C$6,$C$5,$C$7,AO$1,AO$2,$A198)</f>
        <v>-9.1605035440000009</v>
      </c>
      <c r="AP198" s="32">
        <f ca="1">_xll.DBRW($C$1,$C$2,$C$3,$C$4,$C$6,$C$5,$C$7,AP$1,AP$2,$A198)</f>
        <v>-9.1605035440000009</v>
      </c>
      <c r="AQ198" s="32">
        <f ca="1">_xll.DBRW($C$1,$C$2,$C$3,$C$4,$C$6,$C$5,$C$7,AQ$1,AQ$2,$A198)</f>
        <v>-9.1605035440000009</v>
      </c>
      <c r="AR198" s="32">
        <f ca="1">_xll.DBRW($C$1,$C$2,$C$3,$C$4,$C$6,$C$5,$C$7,AR$1,AR$2,$A198)</f>
        <v>-9.1605035440000009</v>
      </c>
      <c r="AS198" s="32">
        <f ca="1">_xll.DBRW($C$1,$C$2,$C$3,$C$4,$C$6,$C$5,$C$7,AS$1,AS$2,$A198)</f>
        <v>-9.1605035440000009</v>
      </c>
      <c r="AT198" s="32">
        <f ca="1">_xll.DBRW($C$1,$C$2,$C$3,$C$4,$C$6,$C$5,$C$7,AT$1,AT$2,$A198)</f>
        <v>-9.1605035440000009</v>
      </c>
      <c r="AU198" s="32">
        <f ca="1">_xll.DBRW($C$1,$C$2,$C$3,$C$4,$C$6,$C$5,$C$7,AU$1,AU$2,$A198)</f>
        <v>-9.1605035440000009</v>
      </c>
      <c r="AV198" s="32">
        <f ca="1">_xll.DBRW($C$1,$C$2,$C$3,$C$4,$C$6,$C$5,$C$7,AV$1,AV$2,$A198)</f>
        <v>-9.1605035440000009</v>
      </c>
      <c r="AW198" s="32">
        <f ca="1">_xll.DBRW($C$1,$C$2,$C$3,$C$4,$C$6,$C$5,$C$7,AW$1,AW$2,$A198)</f>
        <v>-9.1605035440000009</v>
      </c>
      <c r="AX198" s="32">
        <f ca="1">_xll.DBRW($C$1,$C$2,$C$3,$C$4,$C$6,$C$5,$C$7,AX$1,AX$2,$A198)</f>
        <v>-9.1605035440000009</v>
      </c>
      <c r="AY198" s="32">
        <f ca="1">_xll.DBRW($C$1,$C$2,$C$3,$C$4,$C$6,$C$5,$C$7,AY$1,AY$2,$A198)</f>
        <v>-9.1605035440000009</v>
      </c>
    </row>
    <row r="199" spans="1:60" ht="15.75" hidden="1" customHeight="1" outlineLevel="1">
      <c r="A199" s="1" t="s">
        <v>286</v>
      </c>
      <c r="C199" s="104"/>
      <c r="E199" s="9" t="str">
        <f ca="1">_xll.DBRW(Server&amp;"}ElementAttributes_Indicator",A199,"code_English")</f>
        <v>PL1117_XX - Réconciliation Vector (TPL11) - COS - Lease expenses (IFRIC12)</v>
      </c>
      <c r="F199" s="32">
        <f ca="1">_xll.DBRW($C$1,$C$2,$C$3,$C$4,$C$6,$C$5,$C$7,F$1,F$2,$A199)</f>
        <v>0</v>
      </c>
      <c r="G199" s="32">
        <f ca="1">_xll.DBRW($C$1,$C$2,$C$3,$C$4,$C$6,$C$5,$C$7,G$1,G$2,$A199)</f>
        <v>0</v>
      </c>
      <c r="H199" s="32">
        <f ca="1">_xll.DBRW($C$1,$C$2,$C$3,$C$4,$C$6,$C$5,$C$7,H$1,H$2,$A199)</f>
        <v>0</v>
      </c>
      <c r="I199" s="32">
        <f ca="1">_xll.DBRW($C$1,$C$2,$C$3,$C$4,$C$6,$C$5,$C$7,I$1,I$2,$A199)</f>
        <v>3.5527136788005009E-15</v>
      </c>
      <c r="J199" s="32">
        <f ca="1">_xll.DBRW($C$1,$C$2,$C$3,$C$4,$C$6,$C$5,$C$7,J$1,J$2,$A199)</f>
        <v>4.4408920985006262E-16</v>
      </c>
      <c r="K199" s="32">
        <f ca="1">_xll.DBRW($C$1,$C$2,$C$3,$C$4,$C$6,$C$5,$C$7,K$1,K$2,$A199)</f>
        <v>36.648773809999994</v>
      </c>
      <c r="L199" s="32">
        <f ca="1">_xll.DBRW($C$1,$C$2,$C$3,$C$4,$C$6,$C$5,$C$7,L$1,L$2,$A199)</f>
        <v>34.338590749999995</v>
      </c>
      <c r="M199" s="32">
        <f ca="1">_xll.DBRW($C$1,$C$2,$C$3,$C$4,$C$6,$C$5,$C$7,M$1,M$2,$A199)</f>
        <v>33.059066209999997</v>
      </c>
      <c r="N199" s="32">
        <f ca="1">_xll.DBRW($C$1,$C$2,$C$3,$C$4,$C$6,$C$5,$C$7,N$1,N$2,$A199)</f>
        <v>8.2714535799999993</v>
      </c>
      <c r="O199" s="32">
        <f ca="1">_xll.DBRW($C$1,$C$2,$C$3,$C$4,$C$6,$C$5,$C$7,O$1,O$2,$A199)</f>
        <v>11.421805499</v>
      </c>
      <c r="P199" s="32">
        <f ca="1">_xll.DBRW($C$1,$C$2,$C$3,$C$4,$C$6,$C$5,$C$7,P$1,P$2,$A199)</f>
        <v>15.910737145999999</v>
      </c>
      <c r="Q199" s="32">
        <f ca="1">_xll.DBRW($C$1,$C$2,$C$3,$C$4,$C$6,$C$5,$C$7,Q$1,Q$2,$A199)</f>
        <v>20.071607919999998</v>
      </c>
      <c r="R199" s="32">
        <f ca="1">_xll.DBRW($C$1,$C$2,$C$3,$C$4,$C$6,$C$5,$C$7,R$1,R$2,$A199)</f>
        <v>23.311559893000002</v>
      </c>
      <c r="S199" s="32">
        <f ca="1">_xll.DBRW($C$1,$C$2,$C$3,$C$4,$C$6,$C$5,$C$7,S$1,S$2,$A199)</f>
        <v>-4.2855877300000049</v>
      </c>
      <c r="T199" s="32">
        <f ca="1">_xll.DBRW($C$1,$C$2,$C$3,$C$4,$C$6,$C$5,$C$7,T$1,T$2,$A199)</f>
        <v>34.814008993999991</v>
      </c>
      <c r="U199" s="32">
        <f ca="1">_xll.DBRW($C$1,$C$2,$C$3,$C$4,$C$6,$C$5,$C$7,U$1,U$2,$A199)</f>
        <v>35.764638523999992</v>
      </c>
      <c r="V199" s="32">
        <f ca="1">_xll.DBRW($C$1,$C$2,$C$3,$C$4,$C$6,$C$5,$C$7,V$1,V$2,$A199)</f>
        <v>5.7305523599999955</v>
      </c>
      <c r="W199" s="32">
        <f ca="1">_xll.DBRW($C$1,$C$2,$C$3,$C$4,$C$6,$C$5,$C$7,W$1,W$2,$A199)</f>
        <v>49.010505746999996</v>
      </c>
      <c r="X199" s="32">
        <f ca="1">_xll.DBRW($C$1,$C$2,$C$3,$C$4,$C$6,$C$5,$C$7,X$1,X$2,$A199)</f>
        <v>48.796489087999994</v>
      </c>
      <c r="Y199" s="32">
        <f ca="1">_xll.DBRW($C$1,$C$2,$C$3,$C$4,$C$6,$C$5,$C$7,Y$1,Y$2,$A199)</f>
        <v>48.796489087999994</v>
      </c>
      <c r="Z199" s="32">
        <f ca="1">_xll.DBRW($C$1,$C$2,$C$3,$C$4,$C$6,$C$5,$C$7,Z$1,Z$2,$A199)</f>
        <v>8.3629678359999993</v>
      </c>
      <c r="AA199" s="32">
        <f ca="1">_xll.DBRW($C$1,$C$2,$C$3,$C$4,$C$6,$C$5,$C$7,AA$1,AA$2,$A199)</f>
        <v>16.561340553000001</v>
      </c>
      <c r="AB199" s="32">
        <f ca="1">_xll.DBRW($C$1,$C$2,$C$3,$C$4,$C$6,$C$5,$C$7,AB$1,AB$2,$A199)</f>
        <v>24.823923268999998</v>
      </c>
      <c r="AC199" s="32">
        <f ca="1">_xll.DBRW($C$1,$C$2,$C$3,$C$4,$C$6,$C$5,$C$7,AC$1,AC$2,$A199)</f>
        <v>33.059972735999999</v>
      </c>
      <c r="AD199" s="32">
        <f ca="1">_xll.DBRW($C$1,$C$2,$C$3,$C$4,$C$6,$C$5,$C$7,AD$1,AD$2,$A199)</f>
        <v>41.312249064999996</v>
      </c>
      <c r="AE199" s="32">
        <f ca="1">_xll.DBRW($C$1,$C$2,$C$3,$C$4,$C$6,$C$5,$C$7,AE$1,AE$2,$A199)</f>
        <v>49.540455393999999</v>
      </c>
      <c r="AF199" s="32">
        <f ca="1">_xll.DBRW($C$1,$C$2,$C$3,$C$4,$C$6,$C$5,$C$7,AF$1,AF$2,$A199)</f>
        <v>57.788114563000001</v>
      </c>
      <c r="AG199" s="32">
        <f ca="1">_xll.DBRW($C$1,$C$2,$C$3,$C$4,$C$6,$C$5,$C$7,AG$1,AG$2,$A199)</f>
        <v>66.033773732</v>
      </c>
      <c r="AH199" s="32">
        <f ca="1">_xll.DBRW($C$1,$C$2,$C$3,$C$4,$C$6,$C$5,$C$7,AH$1,AH$2,$A199)</f>
        <v>74.261362900999998</v>
      </c>
      <c r="AI199" s="32">
        <f ca="1">_xll.DBRW($C$1,$C$2,$C$3,$C$4,$C$6,$C$5,$C$7,AI$1,AI$2,$A199)</f>
        <v>82.507784798000003</v>
      </c>
      <c r="AJ199" s="32">
        <f ca="1">_xll.DBRW($C$1,$C$2,$C$3,$C$4,$C$6,$C$5,$C$7,AJ$1,AJ$2,$A199)</f>
        <v>90.737136694</v>
      </c>
      <c r="AK199" s="32">
        <f ca="1">_xll.DBRW($C$1,$C$2,$C$3,$C$4,$C$6,$C$5,$C$7,AK$1,AK$2,$A199)</f>
        <v>77.664362511999997</v>
      </c>
      <c r="AL199" s="32">
        <f ca="1">_xll.DBRW($C$1,$C$2,$C$3,$C$4,$C$6,$C$5,$C$7,AL$1,AL$2,$A199)</f>
        <v>77.664362511999997</v>
      </c>
      <c r="AM199" s="32">
        <f ca="1">_xll.DBRW($C$1,$C$2,$C$3,$C$4,$C$6,$C$5,$C$7,AM$1,AM$2,$A199)</f>
        <v>0.29312350999999998</v>
      </c>
      <c r="AN199" s="32">
        <f ca="1">_xll.DBRW($C$1,$C$2,$C$3,$C$4,$C$6,$C$5,$C$7,AN$1,AN$2,$A199)</f>
        <v>10.060228287000001</v>
      </c>
      <c r="AO199" s="32">
        <f ca="1">_xll.DBRW($C$1,$C$2,$C$3,$C$4,$C$6,$C$5,$C$7,AO$1,AO$2,$A199)</f>
        <v>-4.0133309329999971</v>
      </c>
      <c r="AP199" s="32">
        <f ca="1">_xll.DBRW($C$1,$C$2,$C$3,$C$4,$C$6,$C$5,$C$7,AP$1,AP$2,$A199)</f>
        <v>-4.0133309329999971</v>
      </c>
      <c r="AQ199" s="32">
        <f ca="1">_xll.DBRW($C$1,$C$2,$C$3,$C$4,$C$6,$C$5,$C$7,AQ$1,AQ$2,$A199)</f>
        <v>-4.0133309329999971</v>
      </c>
      <c r="AR199" s="32">
        <f ca="1">_xll.DBRW($C$1,$C$2,$C$3,$C$4,$C$6,$C$5,$C$7,AR$1,AR$2,$A199)</f>
        <v>-4.0133309329999971</v>
      </c>
      <c r="AS199" s="32">
        <f ca="1">_xll.DBRW($C$1,$C$2,$C$3,$C$4,$C$6,$C$5,$C$7,AS$1,AS$2,$A199)</f>
        <v>-4.0133309329999971</v>
      </c>
      <c r="AT199" s="32">
        <f ca="1">_xll.DBRW($C$1,$C$2,$C$3,$C$4,$C$6,$C$5,$C$7,AT$1,AT$2,$A199)</f>
        <v>-4.0133309329999971</v>
      </c>
      <c r="AU199" s="32">
        <f ca="1">_xll.DBRW($C$1,$C$2,$C$3,$C$4,$C$6,$C$5,$C$7,AU$1,AU$2,$A199)</f>
        <v>-4.0133309329999971</v>
      </c>
      <c r="AV199" s="32">
        <f ca="1">_xll.DBRW($C$1,$C$2,$C$3,$C$4,$C$6,$C$5,$C$7,AV$1,AV$2,$A199)</f>
        <v>-4.0133309329999971</v>
      </c>
      <c r="AW199" s="32">
        <f ca="1">_xll.DBRW($C$1,$C$2,$C$3,$C$4,$C$6,$C$5,$C$7,AW$1,AW$2,$A199)</f>
        <v>-4.0133309329999971</v>
      </c>
      <c r="AX199" s="32">
        <f ca="1">_xll.DBRW($C$1,$C$2,$C$3,$C$4,$C$6,$C$5,$C$7,AX$1,AX$2,$A199)</f>
        <v>-4.0133309329999971</v>
      </c>
      <c r="AY199" s="32">
        <f ca="1">_xll.DBRW($C$1,$C$2,$C$3,$C$4,$C$6,$C$5,$C$7,AY$1,AY$2,$A199)</f>
        <v>-4.0133309329999971</v>
      </c>
    </row>
    <row r="200" spans="1:60" ht="15.75" hidden="1" customHeight="1" outlineLevel="1">
      <c r="A200" s="1" t="s">
        <v>287</v>
      </c>
      <c r="C200" s="104"/>
      <c r="E200" s="9" t="str">
        <f ca="1">_xll.DBRW(Server&amp;"}ElementAttributes_Indicator",A200,"code_English")</f>
        <v>PL1118_XX - Réconciliation Vector (TPL11) - IFRS16 adjustment through P&amp;L</v>
      </c>
      <c r="F200" s="32">
        <f ca="1">_xll.DBRW($C$1,$C$2,$C$3,$C$4,$C$6,$C$5,$C$7,F$1,F$2,$A200)</f>
        <v>0</v>
      </c>
      <c r="G200" s="32">
        <f ca="1">_xll.DBRW($C$1,$C$2,$C$3,$C$4,$C$6,$C$5,$C$7,G$1,G$2,$A200)</f>
        <v>0</v>
      </c>
      <c r="H200" s="32">
        <f ca="1">_xll.DBRW($C$1,$C$2,$C$3,$C$4,$C$6,$C$5,$C$7,H$1,H$2,$A200)</f>
        <v>0</v>
      </c>
      <c r="I200" s="32">
        <f ca="1">_xll.DBRW($C$1,$C$2,$C$3,$C$4,$C$6,$C$5,$C$7,I$1,I$2,$A200)</f>
        <v>0.124513926067915</v>
      </c>
      <c r="J200" s="32">
        <f ca="1">_xll.DBRW($C$1,$C$2,$C$3,$C$4,$C$6,$C$5,$C$7,J$1,J$2,$A200)</f>
        <v>0.51005173554891936</v>
      </c>
      <c r="K200" s="32">
        <f ca="1">_xll.DBRW($C$1,$C$2,$C$3,$C$4,$C$6,$C$5,$C$7,K$1,K$2,$A200)</f>
        <v>-5.9642926388056058E-2</v>
      </c>
      <c r="L200" s="32">
        <f ca="1">_xll.DBRW($C$1,$C$2,$C$3,$C$4,$C$6,$C$5,$C$7,L$1,L$2,$A200)</f>
        <v>3.4999999999999996E-2</v>
      </c>
      <c r="M200" s="32">
        <f ca="1">_xll.DBRW($C$1,$C$2,$C$3,$C$4,$C$6,$C$5,$C$7,M$1,M$2,$A200)</f>
        <v>9.3989025466861907E-4</v>
      </c>
      <c r="N200" s="32">
        <f ca="1">_xll.DBRW($C$1,$C$2,$C$3,$C$4,$C$6,$C$5,$C$7,N$1,N$2,$A200)</f>
        <v>0.49682141218374737</v>
      </c>
      <c r="O200" s="32">
        <f ca="1">_xll.DBRW($C$1,$C$2,$C$3,$C$4,$C$6,$C$5,$C$7,O$1,O$2,$A200)</f>
        <v>2.6183677225331381E-2</v>
      </c>
      <c r="P200" s="32">
        <f ca="1">_xll.DBRW($C$1,$C$2,$C$3,$C$4,$C$6,$C$5,$C$7,P$1,P$2,$A200)</f>
        <v>2.3399333670529487E-2</v>
      </c>
      <c r="Q200" s="32">
        <f ca="1">_xll.DBRW($C$1,$C$2,$C$3,$C$4,$C$6,$C$5,$C$7,Q$1,Q$2,$A200)</f>
        <v>-3.7672470939233427E-3</v>
      </c>
      <c r="R200" s="32">
        <f ca="1">_xll.DBRW($C$1,$C$2,$C$3,$C$4,$C$6,$C$5,$C$7,R$1,R$2,$A200)</f>
        <v>-2.9723959591381022E-2</v>
      </c>
      <c r="S200" s="32">
        <f ca="1">_xll.DBRW($C$1,$C$2,$C$3,$C$4,$C$6,$C$5,$C$7,S$1,S$2,$A200)</f>
        <v>4.2760404086190085E-3</v>
      </c>
      <c r="T200" s="32">
        <f ca="1">_xll.DBRW($C$1,$C$2,$C$3,$C$4,$C$6,$C$5,$C$7,T$1,T$2,$A200)</f>
        <v>-4.3344244748684028E-2</v>
      </c>
      <c r="U200" s="32">
        <f ca="1">_xll.DBRW($C$1,$C$2,$C$3,$C$4,$C$6,$C$5,$C$7,U$1,U$2,$A200)</f>
        <v>-3.9382947469958074E-2</v>
      </c>
      <c r="V200" s="32">
        <f ca="1">_xll.DBRW($C$1,$C$2,$C$3,$C$4,$C$6,$C$5,$C$7,V$1,V$2,$A200)</f>
        <v>-1.4837733992247342E-2</v>
      </c>
      <c r="W200" s="32">
        <f ca="1">_xll.DBRW($C$1,$C$2,$C$3,$C$4,$C$6,$C$5,$C$7,W$1,W$2,$A200)</f>
        <v>-3.456401584318522E-2</v>
      </c>
      <c r="X200" s="32">
        <f ca="1">_xll.DBRW($C$1,$C$2,$C$3,$C$4,$C$6,$C$5,$C$7,X$1,X$2,$A200)</f>
        <v>-1.6544482510047837E-2</v>
      </c>
      <c r="Y200" s="32">
        <f ca="1">_xll.DBRW($C$1,$C$2,$C$3,$C$4,$C$6,$C$5,$C$7,Y$1,Y$2,$A200)</f>
        <v>-1.6544482510047837E-2</v>
      </c>
      <c r="Z200" s="32">
        <f ca="1">_xll.DBRW($C$1,$C$2,$C$3,$C$4,$C$6,$C$5,$C$7,Z$1,Z$2,$A200)</f>
        <v>0</v>
      </c>
      <c r="AA200" s="32">
        <f ca="1">_xll.DBRW($C$1,$C$2,$C$3,$C$4,$C$6,$C$5,$C$7,AA$1,AA$2,$A200)</f>
        <v>0</v>
      </c>
      <c r="AB200" s="32">
        <f ca="1">_xll.DBRW($C$1,$C$2,$C$3,$C$4,$C$6,$C$5,$C$7,AB$1,AB$2,$A200)</f>
        <v>0</v>
      </c>
      <c r="AC200" s="32">
        <f ca="1">_xll.DBRW($C$1,$C$2,$C$3,$C$4,$C$6,$C$5,$C$7,AC$1,AC$2,$A200)</f>
        <v>0</v>
      </c>
      <c r="AD200" s="32">
        <f ca="1">_xll.DBRW($C$1,$C$2,$C$3,$C$4,$C$6,$C$5,$C$7,AD$1,AD$2,$A200)</f>
        <v>0</v>
      </c>
      <c r="AE200" s="32">
        <f ca="1">_xll.DBRW($C$1,$C$2,$C$3,$C$4,$C$6,$C$5,$C$7,AE$1,AE$2,$A200)</f>
        <v>0</v>
      </c>
      <c r="AF200" s="32">
        <f ca="1">_xll.DBRW($C$1,$C$2,$C$3,$C$4,$C$6,$C$5,$C$7,AF$1,AF$2,$A200)</f>
        <v>0</v>
      </c>
      <c r="AG200" s="32">
        <f ca="1">_xll.DBRW($C$1,$C$2,$C$3,$C$4,$C$6,$C$5,$C$7,AG$1,AG$2,$A200)</f>
        <v>0</v>
      </c>
      <c r="AH200" s="32">
        <f ca="1">_xll.DBRW($C$1,$C$2,$C$3,$C$4,$C$6,$C$5,$C$7,AH$1,AH$2,$A200)</f>
        <v>-2.5903614457831329E-5</v>
      </c>
      <c r="AI200" s="32">
        <f ca="1">_xll.DBRW($C$1,$C$2,$C$3,$C$4,$C$6,$C$5,$C$7,AI$1,AI$2,$A200)</f>
        <v>-2.5903614457831329E-5</v>
      </c>
      <c r="AJ200" s="32">
        <f ca="1">_xll.DBRW($C$1,$C$2,$C$3,$C$4,$C$6,$C$5,$C$7,AJ$1,AJ$2,$A200)</f>
        <v>-2.5903614457831329E-5</v>
      </c>
      <c r="AK200" s="32">
        <f ca="1">_xll.DBRW($C$1,$C$2,$C$3,$C$4,$C$6,$C$5,$C$7,AK$1,AK$2,$A200)</f>
        <v>-2.5903614457831329E-5</v>
      </c>
      <c r="AL200" s="32">
        <f ca="1">_xll.DBRW($C$1,$C$2,$C$3,$C$4,$C$6,$C$5,$C$7,AL$1,AL$2,$A200)</f>
        <v>-2.5903614457831329E-5</v>
      </c>
      <c r="AM200" s="32">
        <f ca="1">_xll.DBRW($C$1,$C$2,$C$3,$C$4,$C$6,$C$5,$C$7,AM$1,AM$2,$A200)</f>
        <v>0</v>
      </c>
      <c r="AN200" s="32">
        <f ca="1">_xll.DBRW($C$1,$C$2,$C$3,$C$4,$C$6,$C$5,$C$7,AN$1,AN$2,$A200)</f>
        <v>-1.0556309999999996E-3</v>
      </c>
      <c r="AO200" s="32">
        <f ca="1">_xll.DBRW($C$1,$C$2,$C$3,$C$4,$C$6,$C$5,$C$7,AO$1,AO$2,$A200)</f>
        <v>-1.0556309999999996E-3</v>
      </c>
      <c r="AP200" s="32">
        <f ca="1">_xll.DBRW($C$1,$C$2,$C$3,$C$4,$C$6,$C$5,$C$7,AP$1,AP$2,$A200)</f>
        <v>-1.0556309999999996E-3</v>
      </c>
      <c r="AQ200" s="32">
        <f ca="1">_xll.DBRW($C$1,$C$2,$C$3,$C$4,$C$6,$C$5,$C$7,AQ$1,AQ$2,$A200)</f>
        <v>-1.0556309999999996E-3</v>
      </c>
      <c r="AR200" s="32">
        <f ca="1">_xll.DBRW($C$1,$C$2,$C$3,$C$4,$C$6,$C$5,$C$7,AR$1,AR$2,$A200)</f>
        <v>-1.0556309999999996E-3</v>
      </c>
      <c r="AS200" s="32">
        <f ca="1">_xll.DBRW($C$1,$C$2,$C$3,$C$4,$C$6,$C$5,$C$7,AS$1,AS$2,$A200)</f>
        <v>-1.0556309999999996E-3</v>
      </c>
      <c r="AT200" s="32">
        <f ca="1">_xll.DBRW($C$1,$C$2,$C$3,$C$4,$C$6,$C$5,$C$7,AT$1,AT$2,$A200)</f>
        <v>-1.0556309999999996E-3</v>
      </c>
      <c r="AU200" s="32">
        <f ca="1">_xll.DBRW($C$1,$C$2,$C$3,$C$4,$C$6,$C$5,$C$7,AU$1,AU$2,$A200)</f>
        <v>-1.0556309999999996E-3</v>
      </c>
      <c r="AV200" s="32">
        <f ca="1">_xll.DBRW($C$1,$C$2,$C$3,$C$4,$C$6,$C$5,$C$7,AV$1,AV$2,$A200)</f>
        <v>-1.0556309999999996E-3</v>
      </c>
      <c r="AW200" s="32">
        <f ca="1">_xll.DBRW($C$1,$C$2,$C$3,$C$4,$C$6,$C$5,$C$7,AW$1,AW$2,$A200)</f>
        <v>-1.0556309999999996E-3</v>
      </c>
      <c r="AX200" s="32">
        <f ca="1">_xll.DBRW($C$1,$C$2,$C$3,$C$4,$C$6,$C$5,$C$7,AX$1,AX$2,$A200)</f>
        <v>-1.0556309999999996E-3</v>
      </c>
      <c r="AY200" s="32">
        <f ca="1">_xll.DBRW($C$1,$C$2,$C$3,$C$4,$C$6,$C$5,$C$7,AY$1,AY$2,$A200)</f>
        <v>-1.0556309999999996E-3</v>
      </c>
    </row>
    <row r="201" spans="1:60" ht="15.75" hidden="1" customHeight="1" outlineLevel="1">
      <c r="A201" s="1" t="s">
        <v>288</v>
      </c>
      <c r="C201" s="104"/>
      <c r="E201" s="9" t="str">
        <f ca="1">_xll.DBRW(Server&amp;"}ElementAttributes_Indicator",A201,"code_English")</f>
        <v>PL1120_XX - Vector Reconciliation (TPL11) - Group internal insurance compensation received</v>
      </c>
      <c r="F201" s="32">
        <f ca="1">_xll.DBRW($C$1,$C$2,$C$3,$C$4,$C$6,$C$5,$C$7,F$1,F$2,$A201)</f>
        <v>0</v>
      </c>
      <c r="G201" s="32">
        <f ca="1">_xll.DBRW($C$1,$C$2,$C$3,$C$4,$C$6,$C$5,$C$7,G$1,G$2,$A201)</f>
        <v>0</v>
      </c>
      <c r="H201" s="32">
        <f ca="1">_xll.DBRW($C$1,$C$2,$C$3,$C$4,$C$6,$C$5,$C$7,H$1,H$2,$A201)</f>
        <v>0</v>
      </c>
      <c r="I201" s="32">
        <f ca="1">_xll.DBRW($C$1,$C$2,$C$3,$C$4,$C$6,$C$5,$C$7,I$1,I$2,$A201)</f>
        <v>0</v>
      </c>
      <c r="J201" s="32">
        <f ca="1">_xll.DBRW($C$1,$C$2,$C$3,$C$4,$C$6,$C$5,$C$7,J$1,J$2,$A201)</f>
        <v>0</v>
      </c>
      <c r="K201" s="32">
        <f ca="1">_xll.DBRW($C$1,$C$2,$C$3,$C$4,$C$6,$C$5,$C$7,K$1,K$2,$A201)</f>
        <v>0</v>
      </c>
      <c r="L201" s="32">
        <f ca="1">_xll.DBRW($C$1,$C$2,$C$3,$C$4,$C$6,$C$5,$C$7,L$1,L$2,$A201)</f>
        <v>0</v>
      </c>
      <c r="M201" s="32">
        <f ca="1">_xll.DBRW($C$1,$C$2,$C$3,$C$4,$C$6,$C$5,$C$7,M$1,M$2,$A201)</f>
        <v>0</v>
      </c>
      <c r="N201" s="32">
        <f ca="1">_xll.DBRW($C$1,$C$2,$C$3,$C$4,$C$6,$C$5,$C$7,N$1,N$2,$A201)</f>
        <v>0</v>
      </c>
      <c r="O201" s="32">
        <f ca="1">_xll.DBRW($C$1,$C$2,$C$3,$C$4,$C$6,$C$5,$C$7,O$1,O$2,$A201)</f>
        <v>0</v>
      </c>
      <c r="P201" s="32">
        <f ca="1">_xll.DBRW($C$1,$C$2,$C$3,$C$4,$C$6,$C$5,$C$7,P$1,P$2,$A201)</f>
        <v>0</v>
      </c>
      <c r="Q201" s="32">
        <f ca="1">_xll.DBRW($C$1,$C$2,$C$3,$C$4,$C$6,$C$5,$C$7,Q$1,Q$2,$A201)</f>
        <v>0</v>
      </c>
      <c r="R201" s="32">
        <f ca="1">_xll.DBRW($C$1,$C$2,$C$3,$C$4,$C$6,$C$5,$C$7,R$1,R$2,$A201)</f>
        <v>0</v>
      </c>
      <c r="S201" s="32">
        <f ca="1">_xll.DBRW($C$1,$C$2,$C$3,$C$4,$C$6,$C$5,$C$7,S$1,S$2,$A201)</f>
        <v>0</v>
      </c>
      <c r="T201" s="32">
        <f ca="1">_xll.DBRW($C$1,$C$2,$C$3,$C$4,$C$6,$C$5,$C$7,T$1,T$2,$A201)</f>
        <v>0</v>
      </c>
      <c r="U201" s="32">
        <f ca="1">_xll.DBRW($C$1,$C$2,$C$3,$C$4,$C$6,$C$5,$C$7,U$1,U$2,$A201)</f>
        <v>0</v>
      </c>
      <c r="V201" s="32">
        <f ca="1">_xll.DBRW($C$1,$C$2,$C$3,$C$4,$C$6,$C$5,$C$7,V$1,V$2,$A201)</f>
        <v>0</v>
      </c>
      <c r="W201" s="32">
        <f ca="1">_xll.DBRW($C$1,$C$2,$C$3,$C$4,$C$6,$C$5,$C$7,W$1,W$2,$A201)</f>
        <v>0</v>
      </c>
      <c r="X201" s="32">
        <f ca="1">_xll.DBRW($C$1,$C$2,$C$3,$C$4,$C$6,$C$5,$C$7,X$1,X$2,$A201)</f>
        <v>0</v>
      </c>
      <c r="Y201" s="32">
        <f ca="1">_xll.DBRW($C$1,$C$2,$C$3,$C$4,$C$6,$C$5,$C$7,Y$1,Y$2,$A201)</f>
        <v>0</v>
      </c>
      <c r="Z201" s="32">
        <f ca="1">_xll.DBRW($C$1,$C$2,$C$3,$C$4,$C$6,$C$5,$C$7,Z$1,Z$2,$A201)</f>
        <v>0</v>
      </c>
      <c r="AA201" s="32">
        <f ca="1">_xll.DBRW($C$1,$C$2,$C$3,$C$4,$C$6,$C$5,$C$7,AA$1,AA$2,$A201)</f>
        <v>0</v>
      </c>
      <c r="AB201" s="32">
        <f ca="1">_xll.DBRW($C$1,$C$2,$C$3,$C$4,$C$6,$C$5,$C$7,AB$1,AB$2,$A201)</f>
        <v>0</v>
      </c>
      <c r="AC201" s="32">
        <f ca="1">_xll.DBRW($C$1,$C$2,$C$3,$C$4,$C$6,$C$5,$C$7,AC$1,AC$2,$A201)</f>
        <v>0</v>
      </c>
      <c r="AD201" s="32">
        <f ca="1">_xll.DBRW($C$1,$C$2,$C$3,$C$4,$C$6,$C$5,$C$7,AD$1,AD$2,$A201)</f>
        <v>0</v>
      </c>
      <c r="AE201" s="32">
        <f ca="1">_xll.DBRW($C$1,$C$2,$C$3,$C$4,$C$6,$C$5,$C$7,AE$1,AE$2,$A201)</f>
        <v>0</v>
      </c>
      <c r="AF201" s="32">
        <f ca="1">_xll.DBRW($C$1,$C$2,$C$3,$C$4,$C$6,$C$5,$C$7,AF$1,AF$2,$A201)</f>
        <v>0</v>
      </c>
      <c r="AG201" s="32">
        <f ca="1">_xll.DBRW($C$1,$C$2,$C$3,$C$4,$C$6,$C$5,$C$7,AG$1,AG$2,$A201)</f>
        <v>0</v>
      </c>
      <c r="AH201" s="32">
        <f ca="1">_xll.DBRW($C$1,$C$2,$C$3,$C$4,$C$6,$C$5,$C$7,AH$1,AH$2,$A201)</f>
        <v>0</v>
      </c>
      <c r="AI201" s="32">
        <f ca="1">_xll.DBRW($C$1,$C$2,$C$3,$C$4,$C$6,$C$5,$C$7,AI$1,AI$2,$A201)</f>
        <v>0</v>
      </c>
      <c r="AJ201" s="32">
        <f ca="1">_xll.DBRW($C$1,$C$2,$C$3,$C$4,$C$6,$C$5,$C$7,AJ$1,AJ$2,$A201)</f>
        <v>0</v>
      </c>
      <c r="AK201" s="32">
        <f ca="1">_xll.DBRW($C$1,$C$2,$C$3,$C$4,$C$6,$C$5,$C$7,AK$1,AK$2,$A201)</f>
        <v>0</v>
      </c>
      <c r="AL201" s="32">
        <f ca="1">_xll.DBRW($C$1,$C$2,$C$3,$C$4,$C$6,$C$5,$C$7,AL$1,AL$2,$A201)</f>
        <v>0</v>
      </c>
      <c r="AM201" s="32">
        <f ca="1">_xll.DBRW($C$1,$C$2,$C$3,$C$4,$C$6,$C$5,$C$7,AM$1,AM$2,$A201)</f>
        <v>0</v>
      </c>
      <c r="AN201" s="32">
        <f ca="1">_xll.DBRW($C$1,$C$2,$C$3,$C$4,$C$6,$C$5,$C$7,AN$1,AN$2,$A201)</f>
        <v>0</v>
      </c>
      <c r="AO201" s="32">
        <f ca="1">_xll.DBRW($C$1,$C$2,$C$3,$C$4,$C$6,$C$5,$C$7,AO$1,AO$2,$A201)</f>
        <v>0</v>
      </c>
      <c r="AP201" s="32">
        <f ca="1">_xll.DBRW($C$1,$C$2,$C$3,$C$4,$C$6,$C$5,$C$7,AP$1,AP$2,$A201)</f>
        <v>0</v>
      </c>
      <c r="AQ201" s="32">
        <f ca="1">_xll.DBRW($C$1,$C$2,$C$3,$C$4,$C$6,$C$5,$C$7,AQ$1,AQ$2,$A201)</f>
        <v>0</v>
      </c>
      <c r="AR201" s="32">
        <f ca="1">_xll.DBRW($C$1,$C$2,$C$3,$C$4,$C$6,$C$5,$C$7,AR$1,AR$2,$A201)</f>
        <v>0</v>
      </c>
      <c r="AS201" s="32">
        <f ca="1">_xll.DBRW($C$1,$C$2,$C$3,$C$4,$C$6,$C$5,$C$7,AS$1,AS$2,$A201)</f>
        <v>0</v>
      </c>
      <c r="AT201" s="32">
        <f ca="1">_xll.DBRW($C$1,$C$2,$C$3,$C$4,$C$6,$C$5,$C$7,AT$1,AT$2,$A201)</f>
        <v>0</v>
      </c>
      <c r="AU201" s="32">
        <f ca="1">_xll.DBRW($C$1,$C$2,$C$3,$C$4,$C$6,$C$5,$C$7,AU$1,AU$2,$A201)</f>
        <v>0</v>
      </c>
      <c r="AV201" s="32">
        <f ca="1">_xll.DBRW($C$1,$C$2,$C$3,$C$4,$C$6,$C$5,$C$7,AV$1,AV$2,$A201)</f>
        <v>0</v>
      </c>
      <c r="AW201" s="32">
        <f ca="1">_xll.DBRW($C$1,$C$2,$C$3,$C$4,$C$6,$C$5,$C$7,AW$1,AW$2,$A201)</f>
        <v>0</v>
      </c>
      <c r="AX201" s="32">
        <f ca="1">_xll.DBRW($C$1,$C$2,$C$3,$C$4,$C$6,$C$5,$C$7,AX$1,AX$2,$A201)</f>
        <v>0</v>
      </c>
      <c r="AY201" s="32">
        <f ca="1">_xll.DBRW($C$1,$C$2,$C$3,$C$4,$C$6,$C$5,$C$7,AY$1,AY$2,$A201)</f>
        <v>0</v>
      </c>
    </row>
    <row r="202" spans="1:60" ht="15.75" hidden="1" customHeight="1" outlineLevel="1">
      <c r="A202" s="1" t="s">
        <v>289</v>
      </c>
      <c r="C202" s="104"/>
      <c r="E202" s="9" t="str">
        <f ca="1">_xll.DBRW(Server&amp;"}ElementAttributes_Indicator",A202,"code_English")</f>
        <v>PL1125_XX - Vector Reconciliation (TPL11) - Group internal insurance compensation paid</v>
      </c>
      <c r="F202" s="32">
        <f ca="1">_xll.DBRW($C$1,$C$2,$C$3,$C$4,$C$6,$C$5,$C$7,F$1,F$2,$A202)</f>
        <v>0</v>
      </c>
      <c r="G202" s="32">
        <f ca="1">_xll.DBRW($C$1,$C$2,$C$3,$C$4,$C$6,$C$5,$C$7,G$1,G$2,$A202)</f>
        <v>0</v>
      </c>
      <c r="H202" s="32">
        <f ca="1">_xll.DBRW($C$1,$C$2,$C$3,$C$4,$C$6,$C$5,$C$7,H$1,H$2,$A202)</f>
        <v>0</v>
      </c>
      <c r="I202" s="32">
        <f ca="1">_xll.DBRW($C$1,$C$2,$C$3,$C$4,$C$6,$C$5,$C$7,I$1,I$2,$A202)</f>
        <v>0</v>
      </c>
      <c r="J202" s="32">
        <f ca="1">_xll.DBRW($C$1,$C$2,$C$3,$C$4,$C$6,$C$5,$C$7,J$1,J$2,$A202)</f>
        <v>0</v>
      </c>
      <c r="K202" s="32">
        <f ca="1">_xll.DBRW($C$1,$C$2,$C$3,$C$4,$C$6,$C$5,$C$7,K$1,K$2,$A202)</f>
        <v>0</v>
      </c>
      <c r="L202" s="32">
        <f ca="1">_xll.DBRW($C$1,$C$2,$C$3,$C$4,$C$6,$C$5,$C$7,L$1,L$2,$A202)</f>
        <v>0</v>
      </c>
      <c r="M202" s="32">
        <f ca="1">_xll.DBRW($C$1,$C$2,$C$3,$C$4,$C$6,$C$5,$C$7,M$1,M$2,$A202)</f>
        <v>0</v>
      </c>
      <c r="N202" s="32">
        <f ca="1">_xll.DBRW($C$1,$C$2,$C$3,$C$4,$C$6,$C$5,$C$7,N$1,N$2,$A202)</f>
        <v>0</v>
      </c>
      <c r="O202" s="32">
        <f ca="1">_xll.DBRW($C$1,$C$2,$C$3,$C$4,$C$6,$C$5,$C$7,O$1,O$2,$A202)</f>
        <v>0</v>
      </c>
      <c r="P202" s="32">
        <f ca="1">_xll.DBRW($C$1,$C$2,$C$3,$C$4,$C$6,$C$5,$C$7,P$1,P$2,$A202)</f>
        <v>0</v>
      </c>
      <c r="Q202" s="32">
        <f ca="1">_xll.DBRW($C$1,$C$2,$C$3,$C$4,$C$6,$C$5,$C$7,Q$1,Q$2,$A202)</f>
        <v>0</v>
      </c>
      <c r="R202" s="32">
        <f ca="1">_xll.DBRW($C$1,$C$2,$C$3,$C$4,$C$6,$C$5,$C$7,R$1,R$2,$A202)</f>
        <v>0</v>
      </c>
      <c r="S202" s="32">
        <f ca="1">_xll.DBRW($C$1,$C$2,$C$3,$C$4,$C$6,$C$5,$C$7,S$1,S$2,$A202)</f>
        <v>0</v>
      </c>
      <c r="T202" s="32">
        <f ca="1">_xll.DBRW($C$1,$C$2,$C$3,$C$4,$C$6,$C$5,$C$7,T$1,T$2,$A202)</f>
        <v>0</v>
      </c>
      <c r="U202" s="32">
        <f ca="1">_xll.DBRW($C$1,$C$2,$C$3,$C$4,$C$6,$C$5,$C$7,U$1,U$2,$A202)</f>
        <v>0</v>
      </c>
      <c r="V202" s="32">
        <f ca="1">_xll.DBRW($C$1,$C$2,$C$3,$C$4,$C$6,$C$5,$C$7,V$1,V$2,$A202)</f>
        <v>0</v>
      </c>
      <c r="W202" s="32">
        <f ca="1">_xll.DBRW($C$1,$C$2,$C$3,$C$4,$C$6,$C$5,$C$7,W$1,W$2,$A202)</f>
        <v>0</v>
      </c>
      <c r="X202" s="32">
        <f ca="1">_xll.DBRW($C$1,$C$2,$C$3,$C$4,$C$6,$C$5,$C$7,X$1,X$2,$A202)</f>
        <v>0</v>
      </c>
      <c r="Y202" s="32">
        <f ca="1">_xll.DBRW($C$1,$C$2,$C$3,$C$4,$C$6,$C$5,$C$7,Y$1,Y$2,$A202)</f>
        <v>0</v>
      </c>
      <c r="Z202" s="32">
        <f ca="1">_xll.DBRW($C$1,$C$2,$C$3,$C$4,$C$6,$C$5,$C$7,Z$1,Z$2,$A202)</f>
        <v>0</v>
      </c>
      <c r="AA202" s="32">
        <f ca="1">_xll.DBRW($C$1,$C$2,$C$3,$C$4,$C$6,$C$5,$C$7,AA$1,AA$2,$A202)</f>
        <v>0</v>
      </c>
      <c r="AB202" s="32">
        <f ca="1">_xll.DBRW($C$1,$C$2,$C$3,$C$4,$C$6,$C$5,$C$7,AB$1,AB$2,$A202)</f>
        <v>0</v>
      </c>
      <c r="AC202" s="32">
        <f ca="1">_xll.DBRW($C$1,$C$2,$C$3,$C$4,$C$6,$C$5,$C$7,AC$1,AC$2,$A202)</f>
        <v>0</v>
      </c>
      <c r="AD202" s="32">
        <f ca="1">_xll.DBRW($C$1,$C$2,$C$3,$C$4,$C$6,$C$5,$C$7,AD$1,AD$2,$A202)</f>
        <v>0</v>
      </c>
      <c r="AE202" s="32">
        <f ca="1">_xll.DBRW($C$1,$C$2,$C$3,$C$4,$C$6,$C$5,$C$7,AE$1,AE$2,$A202)</f>
        <v>0</v>
      </c>
      <c r="AF202" s="32">
        <f ca="1">_xll.DBRW($C$1,$C$2,$C$3,$C$4,$C$6,$C$5,$C$7,AF$1,AF$2,$A202)</f>
        <v>0</v>
      </c>
      <c r="AG202" s="32">
        <f ca="1">_xll.DBRW($C$1,$C$2,$C$3,$C$4,$C$6,$C$5,$C$7,AG$1,AG$2,$A202)</f>
        <v>0</v>
      </c>
      <c r="AH202" s="32">
        <f ca="1">_xll.DBRW($C$1,$C$2,$C$3,$C$4,$C$6,$C$5,$C$7,AH$1,AH$2,$A202)</f>
        <v>0</v>
      </c>
      <c r="AI202" s="32">
        <f ca="1">_xll.DBRW($C$1,$C$2,$C$3,$C$4,$C$6,$C$5,$C$7,AI$1,AI$2,$A202)</f>
        <v>0</v>
      </c>
      <c r="AJ202" s="32">
        <f ca="1">_xll.DBRW($C$1,$C$2,$C$3,$C$4,$C$6,$C$5,$C$7,AJ$1,AJ$2,$A202)</f>
        <v>0</v>
      </c>
      <c r="AK202" s="32">
        <f ca="1">_xll.DBRW($C$1,$C$2,$C$3,$C$4,$C$6,$C$5,$C$7,AK$1,AK$2,$A202)</f>
        <v>0</v>
      </c>
      <c r="AL202" s="32">
        <f ca="1">_xll.DBRW($C$1,$C$2,$C$3,$C$4,$C$6,$C$5,$C$7,AL$1,AL$2,$A202)</f>
        <v>0</v>
      </c>
      <c r="AM202" s="32">
        <f ca="1">_xll.DBRW($C$1,$C$2,$C$3,$C$4,$C$6,$C$5,$C$7,AM$1,AM$2,$A202)</f>
        <v>0</v>
      </c>
      <c r="AN202" s="32">
        <f ca="1">_xll.DBRW($C$1,$C$2,$C$3,$C$4,$C$6,$C$5,$C$7,AN$1,AN$2,$A202)</f>
        <v>0</v>
      </c>
      <c r="AO202" s="32">
        <f ca="1">_xll.DBRW($C$1,$C$2,$C$3,$C$4,$C$6,$C$5,$C$7,AO$1,AO$2,$A202)</f>
        <v>0</v>
      </c>
      <c r="AP202" s="32">
        <f ca="1">_xll.DBRW($C$1,$C$2,$C$3,$C$4,$C$6,$C$5,$C$7,AP$1,AP$2,$A202)</f>
        <v>0</v>
      </c>
      <c r="AQ202" s="32">
        <f ca="1">_xll.DBRW($C$1,$C$2,$C$3,$C$4,$C$6,$C$5,$C$7,AQ$1,AQ$2,$A202)</f>
        <v>0</v>
      </c>
      <c r="AR202" s="32">
        <f ca="1">_xll.DBRW($C$1,$C$2,$C$3,$C$4,$C$6,$C$5,$C$7,AR$1,AR$2,$A202)</f>
        <v>0</v>
      </c>
      <c r="AS202" s="32">
        <f ca="1">_xll.DBRW($C$1,$C$2,$C$3,$C$4,$C$6,$C$5,$C$7,AS$1,AS$2,$A202)</f>
        <v>0</v>
      </c>
      <c r="AT202" s="32">
        <f ca="1">_xll.DBRW($C$1,$C$2,$C$3,$C$4,$C$6,$C$5,$C$7,AT$1,AT$2,$A202)</f>
        <v>0</v>
      </c>
      <c r="AU202" s="32">
        <f ca="1">_xll.DBRW($C$1,$C$2,$C$3,$C$4,$C$6,$C$5,$C$7,AU$1,AU$2,$A202)</f>
        <v>0</v>
      </c>
      <c r="AV202" s="32">
        <f ca="1">_xll.DBRW($C$1,$C$2,$C$3,$C$4,$C$6,$C$5,$C$7,AV$1,AV$2,$A202)</f>
        <v>0</v>
      </c>
      <c r="AW202" s="32">
        <f ca="1">_xll.DBRW($C$1,$C$2,$C$3,$C$4,$C$6,$C$5,$C$7,AW$1,AW$2,$A202)</f>
        <v>0</v>
      </c>
      <c r="AX202" s="32">
        <f ca="1">_xll.DBRW($C$1,$C$2,$C$3,$C$4,$C$6,$C$5,$C$7,AX$1,AX$2,$A202)</f>
        <v>0</v>
      </c>
      <c r="AY202" s="32">
        <f ca="1">_xll.DBRW($C$1,$C$2,$C$3,$C$4,$C$6,$C$5,$C$7,AY$1,AY$2,$A202)</f>
        <v>0</v>
      </c>
    </row>
    <row r="203" spans="1:60" ht="15.75" hidden="1" customHeight="1" outlineLevel="1">
      <c r="A203" s="1" t="s">
        <v>290</v>
      </c>
      <c r="C203" s="104"/>
      <c r="E203" s="9" t="str">
        <f ca="1">_xll.DBRW(Server&amp;"}ElementAttributes_Indicator",A203,"code_English")</f>
        <v>PL1126_XX - Vector Reconciliation (TPL11) - Replacement and maintenance expenses</v>
      </c>
      <c r="F203" s="32">
        <f ca="1">_xll.DBRW($C$1,$C$2,$C$3,$C$4,$C$6,$C$5,$C$7,F$1,F$2,$A203)</f>
        <v>2.7244699999999997</v>
      </c>
      <c r="G203" s="32">
        <f ca="1">_xll.DBRW($C$1,$C$2,$C$3,$C$4,$C$6,$C$5,$C$7,G$1,G$2,$A203)</f>
        <v>2.2993380000000001</v>
      </c>
      <c r="H203" s="32">
        <f ca="1">_xll.DBRW($C$1,$C$2,$C$3,$C$4,$C$6,$C$5,$C$7,H$1,H$2,$A203)</f>
        <v>2.836557</v>
      </c>
      <c r="I203" s="32">
        <f ca="1">_xll.DBRW($C$1,$C$2,$C$3,$C$4,$C$6,$C$5,$C$7,I$1,I$2,$A203)</f>
        <v>3.6462579999999996</v>
      </c>
      <c r="J203" s="32">
        <f ca="1">_xll.DBRW($C$1,$C$2,$C$3,$C$4,$C$6,$C$5,$C$7,J$1,J$2,$A203)</f>
        <v>0</v>
      </c>
      <c r="K203" s="32">
        <f ca="1">_xll.DBRW($C$1,$C$2,$C$3,$C$4,$C$6,$C$5,$C$7,K$1,K$2,$A203)</f>
        <v>0</v>
      </c>
      <c r="L203" s="32">
        <f ca="1">_xll.DBRW($C$1,$C$2,$C$3,$C$4,$C$6,$C$5,$C$7,L$1,L$2,$A203)</f>
        <v>0</v>
      </c>
      <c r="M203" s="32">
        <f ca="1">_xll.DBRW($C$1,$C$2,$C$3,$C$4,$C$6,$C$5,$C$7,M$1,M$2,$A203)</f>
        <v>0</v>
      </c>
      <c r="N203" s="32">
        <f ca="1">_xll.DBRW($C$1,$C$2,$C$3,$C$4,$C$6,$C$5,$C$7,N$1,N$2,$A203)</f>
        <v>0</v>
      </c>
      <c r="O203" s="32">
        <f ca="1">_xll.DBRW($C$1,$C$2,$C$3,$C$4,$C$6,$C$5,$C$7,O$1,O$2,$A203)</f>
        <v>0</v>
      </c>
      <c r="P203" s="32">
        <f ca="1">_xll.DBRW($C$1,$C$2,$C$3,$C$4,$C$6,$C$5,$C$7,P$1,P$2,$A203)</f>
        <v>0</v>
      </c>
      <c r="Q203" s="32">
        <f ca="1">_xll.DBRW($C$1,$C$2,$C$3,$C$4,$C$6,$C$5,$C$7,Q$1,Q$2,$A203)</f>
        <v>0</v>
      </c>
      <c r="R203" s="32">
        <f ca="1">_xll.DBRW($C$1,$C$2,$C$3,$C$4,$C$6,$C$5,$C$7,R$1,R$2,$A203)</f>
        <v>0</v>
      </c>
      <c r="S203" s="32">
        <f ca="1">_xll.DBRW($C$1,$C$2,$C$3,$C$4,$C$6,$C$5,$C$7,S$1,S$2,$A203)</f>
        <v>0</v>
      </c>
      <c r="T203" s="32">
        <f ca="1">_xll.DBRW($C$1,$C$2,$C$3,$C$4,$C$6,$C$5,$C$7,T$1,T$2,$A203)</f>
        <v>0</v>
      </c>
      <c r="U203" s="32">
        <f ca="1">_xll.DBRW($C$1,$C$2,$C$3,$C$4,$C$6,$C$5,$C$7,U$1,U$2,$A203)</f>
        <v>0</v>
      </c>
      <c r="V203" s="32">
        <f ca="1">_xll.DBRW($C$1,$C$2,$C$3,$C$4,$C$6,$C$5,$C$7,V$1,V$2,$A203)</f>
        <v>0</v>
      </c>
      <c r="W203" s="32">
        <f ca="1">_xll.DBRW($C$1,$C$2,$C$3,$C$4,$C$6,$C$5,$C$7,W$1,W$2,$A203)</f>
        <v>0</v>
      </c>
      <c r="X203" s="32">
        <f ca="1">_xll.DBRW($C$1,$C$2,$C$3,$C$4,$C$6,$C$5,$C$7,X$1,X$2,$A203)</f>
        <v>0</v>
      </c>
      <c r="Y203" s="32">
        <f ca="1">_xll.DBRW($C$1,$C$2,$C$3,$C$4,$C$6,$C$5,$C$7,Y$1,Y$2,$A203)</f>
        <v>0</v>
      </c>
      <c r="Z203" s="32">
        <f ca="1">_xll.DBRW($C$1,$C$2,$C$3,$C$4,$C$6,$C$5,$C$7,Z$1,Z$2,$A203)</f>
        <v>0</v>
      </c>
      <c r="AA203" s="32">
        <f ca="1">_xll.DBRW($C$1,$C$2,$C$3,$C$4,$C$6,$C$5,$C$7,AA$1,AA$2,$A203)</f>
        <v>0</v>
      </c>
      <c r="AB203" s="32">
        <f ca="1">_xll.DBRW($C$1,$C$2,$C$3,$C$4,$C$6,$C$5,$C$7,AB$1,AB$2,$A203)</f>
        <v>0</v>
      </c>
      <c r="AC203" s="32">
        <f ca="1">_xll.DBRW($C$1,$C$2,$C$3,$C$4,$C$6,$C$5,$C$7,AC$1,AC$2,$A203)</f>
        <v>0</v>
      </c>
      <c r="AD203" s="32">
        <f ca="1">_xll.DBRW($C$1,$C$2,$C$3,$C$4,$C$6,$C$5,$C$7,AD$1,AD$2,$A203)</f>
        <v>0</v>
      </c>
      <c r="AE203" s="32">
        <f ca="1">_xll.DBRW($C$1,$C$2,$C$3,$C$4,$C$6,$C$5,$C$7,AE$1,AE$2,$A203)</f>
        <v>0</v>
      </c>
      <c r="AF203" s="32">
        <f ca="1">_xll.DBRW($C$1,$C$2,$C$3,$C$4,$C$6,$C$5,$C$7,AF$1,AF$2,$A203)</f>
        <v>0</v>
      </c>
      <c r="AG203" s="32">
        <f ca="1">_xll.DBRW($C$1,$C$2,$C$3,$C$4,$C$6,$C$5,$C$7,AG$1,AG$2,$A203)</f>
        <v>0</v>
      </c>
      <c r="AH203" s="32">
        <f ca="1">_xll.DBRW($C$1,$C$2,$C$3,$C$4,$C$6,$C$5,$C$7,AH$1,AH$2,$A203)</f>
        <v>0</v>
      </c>
      <c r="AI203" s="32">
        <f ca="1">_xll.DBRW($C$1,$C$2,$C$3,$C$4,$C$6,$C$5,$C$7,AI$1,AI$2,$A203)</f>
        <v>0</v>
      </c>
      <c r="AJ203" s="32">
        <f ca="1">_xll.DBRW($C$1,$C$2,$C$3,$C$4,$C$6,$C$5,$C$7,AJ$1,AJ$2,$A203)</f>
        <v>0</v>
      </c>
      <c r="AK203" s="32">
        <f ca="1">_xll.DBRW($C$1,$C$2,$C$3,$C$4,$C$6,$C$5,$C$7,AK$1,AK$2,$A203)</f>
        <v>0</v>
      </c>
      <c r="AL203" s="32">
        <f ca="1">_xll.DBRW($C$1,$C$2,$C$3,$C$4,$C$6,$C$5,$C$7,AL$1,AL$2,$A203)</f>
        <v>0</v>
      </c>
      <c r="AM203" s="32">
        <f ca="1">_xll.DBRW($C$1,$C$2,$C$3,$C$4,$C$6,$C$5,$C$7,AM$1,AM$2,$A203)</f>
        <v>0</v>
      </c>
      <c r="AN203" s="32">
        <f ca="1">_xll.DBRW($C$1,$C$2,$C$3,$C$4,$C$6,$C$5,$C$7,AN$1,AN$2,$A203)</f>
        <v>0</v>
      </c>
      <c r="AO203" s="32">
        <f ca="1">_xll.DBRW($C$1,$C$2,$C$3,$C$4,$C$6,$C$5,$C$7,AO$1,AO$2,$A203)</f>
        <v>0</v>
      </c>
      <c r="AP203" s="32">
        <f ca="1">_xll.DBRW($C$1,$C$2,$C$3,$C$4,$C$6,$C$5,$C$7,AP$1,AP$2,$A203)</f>
        <v>0</v>
      </c>
      <c r="AQ203" s="32">
        <f ca="1">_xll.DBRW($C$1,$C$2,$C$3,$C$4,$C$6,$C$5,$C$7,AQ$1,AQ$2,$A203)</f>
        <v>0</v>
      </c>
      <c r="AR203" s="32">
        <f ca="1">_xll.DBRW($C$1,$C$2,$C$3,$C$4,$C$6,$C$5,$C$7,AR$1,AR$2,$A203)</f>
        <v>0</v>
      </c>
      <c r="AS203" s="32">
        <f ca="1">_xll.DBRW($C$1,$C$2,$C$3,$C$4,$C$6,$C$5,$C$7,AS$1,AS$2,$A203)</f>
        <v>0</v>
      </c>
      <c r="AT203" s="32">
        <f ca="1">_xll.DBRW($C$1,$C$2,$C$3,$C$4,$C$6,$C$5,$C$7,AT$1,AT$2,$A203)</f>
        <v>0</v>
      </c>
      <c r="AU203" s="32">
        <f ca="1">_xll.DBRW($C$1,$C$2,$C$3,$C$4,$C$6,$C$5,$C$7,AU$1,AU$2,$A203)</f>
        <v>0</v>
      </c>
      <c r="AV203" s="32">
        <f ca="1">_xll.DBRW($C$1,$C$2,$C$3,$C$4,$C$6,$C$5,$C$7,AV$1,AV$2,$A203)</f>
        <v>0</v>
      </c>
      <c r="AW203" s="32">
        <f ca="1">_xll.DBRW($C$1,$C$2,$C$3,$C$4,$C$6,$C$5,$C$7,AW$1,AW$2,$A203)</f>
        <v>0</v>
      </c>
      <c r="AX203" s="32">
        <f ca="1">_xll.DBRW($C$1,$C$2,$C$3,$C$4,$C$6,$C$5,$C$7,AX$1,AX$2,$A203)</f>
        <v>0</v>
      </c>
      <c r="AY203" s="32">
        <f ca="1">_xll.DBRW($C$1,$C$2,$C$3,$C$4,$C$6,$C$5,$C$7,AY$1,AY$2,$A203)</f>
        <v>0</v>
      </c>
    </row>
    <row r="204" spans="1:60" ht="15.75" hidden="1" customHeight="1" outlineLevel="1">
      <c r="A204" s="1" t="s">
        <v>291</v>
      </c>
      <c r="C204" s="104"/>
      <c r="E204" s="9" t="str">
        <f ca="1">_xll.DBRW(Server&amp;"}ElementAttributes_Indicator",A204,"code_English")</f>
        <v>PL1130_XX - Vector Reconciliation (TPL11) - Provision for concession activities</v>
      </c>
      <c r="F204" s="32">
        <f ca="1">_xll.DBRW($C$1,$C$2,$C$3,$C$4,$C$6,$C$5,$C$7,F$1,F$2,$A204)</f>
        <v>0</v>
      </c>
      <c r="G204" s="32">
        <f ca="1">_xll.DBRW($C$1,$C$2,$C$3,$C$4,$C$6,$C$5,$C$7,G$1,G$2,$A204)</f>
        <v>0</v>
      </c>
      <c r="H204" s="32">
        <f ca="1">_xll.DBRW($C$1,$C$2,$C$3,$C$4,$C$6,$C$5,$C$7,H$1,H$2,$A204)</f>
        <v>0</v>
      </c>
      <c r="I204" s="32">
        <f ca="1">_xll.DBRW($C$1,$C$2,$C$3,$C$4,$C$6,$C$5,$C$7,I$1,I$2,$A204)</f>
        <v>0</v>
      </c>
      <c r="J204" s="32">
        <f ca="1">_xll.DBRW($C$1,$C$2,$C$3,$C$4,$C$6,$C$5,$C$7,J$1,J$2,$A204)</f>
        <v>0</v>
      </c>
      <c r="K204" s="32">
        <f ca="1">_xll.DBRW($C$1,$C$2,$C$3,$C$4,$C$6,$C$5,$C$7,K$1,K$2,$A204)</f>
        <v>0</v>
      </c>
      <c r="L204" s="32">
        <f ca="1">_xll.DBRW($C$1,$C$2,$C$3,$C$4,$C$6,$C$5,$C$7,L$1,L$2,$A204)</f>
        <v>0</v>
      </c>
      <c r="M204" s="32">
        <f ca="1">_xll.DBRW($C$1,$C$2,$C$3,$C$4,$C$6,$C$5,$C$7,M$1,M$2,$A204)</f>
        <v>0</v>
      </c>
      <c r="N204" s="32">
        <f ca="1">_xll.DBRW($C$1,$C$2,$C$3,$C$4,$C$6,$C$5,$C$7,N$1,N$2,$A204)</f>
        <v>0</v>
      </c>
      <c r="O204" s="32">
        <f ca="1">_xll.DBRW($C$1,$C$2,$C$3,$C$4,$C$6,$C$5,$C$7,O$1,O$2,$A204)</f>
        <v>0</v>
      </c>
      <c r="P204" s="32">
        <f ca="1">_xll.DBRW($C$1,$C$2,$C$3,$C$4,$C$6,$C$5,$C$7,P$1,P$2,$A204)</f>
        <v>0</v>
      </c>
      <c r="Q204" s="32">
        <f ca="1">_xll.DBRW($C$1,$C$2,$C$3,$C$4,$C$6,$C$5,$C$7,Q$1,Q$2,$A204)</f>
        <v>0</v>
      </c>
      <c r="R204" s="32">
        <f ca="1">_xll.DBRW($C$1,$C$2,$C$3,$C$4,$C$6,$C$5,$C$7,R$1,R$2,$A204)</f>
        <v>0</v>
      </c>
      <c r="S204" s="32">
        <f ca="1">_xll.DBRW($C$1,$C$2,$C$3,$C$4,$C$6,$C$5,$C$7,S$1,S$2,$A204)</f>
        <v>0</v>
      </c>
      <c r="T204" s="32">
        <f ca="1">_xll.DBRW($C$1,$C$2,$C$3,$C$4,$C$6,$C$5,$C$7,T$1,T$2,$A204)</f>
        <v>0</v>
      </c>
      <c r="U204" s="32">
        <f ca="1">_xll.DBRW($C$1,$C$2,$C$3,$C$4,$C$6,$C$5,$C$7,U$1,U$2,$A204)</f>
        <v>0</v>
      </c>
      <c r="V204" s="32">
        <f ca="1">_xll.DBRW($C$1,$C$2,$C$3,$C$4,$C$6,$C$5,$C$7,V$1,V$2,$A204)</f>
        <v>0</v>
      </c>
      <c r="W204" s="32">
        <f ca="1">_xll.DBRW($C$1,$C$2,$C$3,$C$4,$C$6,$C$5,$C$7,W$1,W$2,$A204)</f>
        <v>0</v>
      </c>
      <c r="X204" s="32">
        <f ca="1">_xll.DBRW($C$1,$C$2,$C$3,$C$4,$C$6,$C$5,$C$7,X$1,X$2,$A204)</f>
        <v>0</v>
      </c>
      <c r="Y204" s="32">
        <f ca="1">_xll.DBRW($C$1,$C$2,$C$3,$C$4,$C$6,$C$5,$C$7,Y$1,Y$2,$A204)</f>
        <v>0</v>
      </c>
      <c r="Z204" s="32">
        <f ca="1">_xll.DBRW($C$1,$C$2,$C$3,$C$4,$C$6,$C$5,$C$7,Z$1,Z$2,$A204)</f>
        <v>0</v>
      </c>
      <c r="AA204" s="32">
        <f ca="1">_xll.DBRW($C$1,$C$2,$C$3,$C$4,$C$6,$C$5,$C$7,AA$1,AA$2,$A204)</f>
        <v>0</v>
      </c>
      <c r="AB204" s="32">
        <f ca="1">_xll.DBRW($C$1,$C$2,$C$3,$C$4,$C$6,$C$5,$C$7,AB$1,AB$2,$A204)</f>
        <v>0</v>
      </c>
      <c r="AC204" s="32">
        <f ca="1">_xll.DBRW($C$1,$C$2,$C$3,$C$4,$C$6,$C$5,$C$7,AC$1,AC$2,$A204)</f>
        <v>0</v>
      </c>
      <c r="AD204" s="32">
        <f ca="1">_xll.DBRW($C$1,$C$2,$C$3,$C$4,$C$6,$C$5,$C$7,AD$1,AD$2,$A204)</f>
        <v>0</v>
      </c>
      <c r="AE204" s="32">
        <f ca="1">_xll.DBRW($C$1,$C$2,$C$3,$C$4,$C$6,$C$5,$C$7,AE$1,AE$2,$A204)</f>
        <v>0</v>
      </c>
      <c r="AF204" s="32">
        <f ca="1">_xll.DBRW($C$1,$C$2,$C$3,$C$4,$C$6,$C$5,$C$7,AF$1,AF$2,$A204)</f>
        <v>0</v>
      </c>
      <c r="AG204" s="32">
        <f ca="1">_xll.DBRW($C$1,$C$2,$C$3,$C$4,$C$6,$C$5,$C$7,AG$1,AG$2,$A204)</f>
        <v>0</v>
      </c>
      <c r="AH204" s="32">
        <f ca="1">_xll.DBRW($C$1,$C$2,$C$3,$C$4,$C$6,$C$5,$C$7,AH$1,AH$2,$A204)</f>
        <v>0</v>
      </c>
      <c r="AI204" s="32">
        <f ca="1">_xll.DBRW($C$1,$C$2,$C$3,$C$4,$C$6,$C$5,$C$7,AI$1,AI$2,$A204)</f>
        <v>0</v>
      </c>
      <c r="AJ204" s="32">
        <f ca="1">_xll.DBRW($C$1,$C$2,$C$3,$C$4,$C$6,$C$5,$C$7,AJ$1,AJ$2,$A204)</f>
        <v>0</v>
      </c>
      <c r="AK204" s="32">
        <f ca="1">_xll.DBRW($C$1,$C$2,$C$3,$C$4,$C$6,$C$5,$C$7,AK$1,AK$2,$A204)</f>
        <v>0</v>
      </c>
      <c r="AL204" s="32">
        <f ca="1">_xll.DBRW($C$1,$C$2,$C$3,$C$4,$C$6,$C$5,$C$7,AL$1,AL$2,$A204)</f>
        <v>0</v>
      </c>
      <c r="AM204" s="32">
        <f ca="1">_xll.DBRW($C$1,$C$2,$C$3,$C$4,$C$6,$C$5,$C$7,AM$1,AM$2,$A204)</f>
        <v>0</v>
      </c>
      <c r="AN204" s="32">
        <f ca="1">_xll.DBRW($C$1,$C$2,$C$3,$C$4,$C$6,$C$5,$C$7,AN$1,AN$2,$A204)</f>
        <v>0</v>
      </c>
      <c r="AO204" s="32">
        <f ca="1">_xll.DBRW($C$1,$C$2,$C$3,$C$4,$C$6,$C$5,$C$7,AO$1,AO$2,$A204)</f>
        <v>0</v>
      </c>
      <c r="AP204" s="32">
        <f ca="1">_xll.DBRW($C$1,$C$2,$C$3,$C$4,$C$6,$C$5,$C$7,AP$1,AP$2,$A204)</f>
        <v>0</v>
      </c>
      <c r="AQ204" s="32">
        <f ca="1">_xll.DBRW($C$1,$C$2,$C$3,$C$4,$C$6,$C$5,$C$7,AQ$1,AQ$2,$A204)</f>
        <v>0</v>
      </c>
      <c r="AR204" s="32">
        <f ca="1">_xll.DBRW($C$1,$C$2,$C$3,$C$4,$C$6,$C$5,$C$7,AR$1,AR$2,$A204)</f>
        <v>0</v>
      </c>
      <c r="AS204" s="32">
        <f ca="1">_xll.DBRW($C$1,$C$2,$C$3,$C$4,$C$6,$C$5,$C$7,AS$1,AS$2,$A204)</f>
        <v>0</v>
      </c>
      <c r="AT204" s="32">
        <f ca="1">_xll.DBRW($C$1,$C$2,$C$3,$C$4,$C$6,$C$5,$C$7,AT$1,AT$2,$A204)</f>
        <v>0</v>
      </c>
      <c r="AU204" s="32">
        <f ca="1">_xll.DBRW($C$1,$C$2,$C$3,$C$4,$C$6,$C$5,$C$7,AU$1,AU$2,$A204)</f>
        <v>0</v>
      </c>
      <c r="AV204" s="32">
        <f ca="1">_xll.DBRW($C$1,$C$2,$C$3,$C$4,$C$6,$C$5,$C$7,AV$1,AV$2,$A204)</f>
        <v>0</v>
      </c>
      <c r="AW204" s="32">
        <f ca="1">_xll.DBRW($C$1,$C$2,$C$3,$C$4,$C$6,$C$5,$C$7,AW$1,AW$2,$A204)</f>
        <v>0</v>
      </c>
      <c r="AX204" s="32">
        <f ca="1">_xll.DBRW($C$1,$C$2,$C$3,$C$4,$C$6,$C$5,$C$7,AX$1,AX$2,$A204)</f>
        <v>0</v>
      </c>
      <c r="AY204" s="32">
        <f ca="1">_xll.DBRW($C$1,$C$2,$C$3,$C$4,$C$6,$C$5,$C$7,AY$1,AY$2,$A204)</f>
        <v>0</v>
      </c>
    </row>
    <row r="205" spans="1:60" ht="15.75" hidden="1" customHeight="1" outlineLevel="1">
      <c r="A205" s="1" t="s">
        <v>292</v>
      </c>
      <c r="C205" s="104"/>
      <c r="E205" s="9" t="str">
        <f ca="1">_xll.DBRW(Server&amp;"}ElementAttributes_Indicator",A205,"code_English")</f>
        <v>PL1135_XX - Vector Reconciliation (TPL11) - Reversal of provision for concession activities</v>
      </c>
      <c r="F205" s="32">
        <f ca="1">_xll.DBRW($C$1,$C$2,$C$3,$C$4,$C$6,$C$5,$C$7,F$1,F$2,$A205)</f>
        <v>0</v>
      </c>
      <c r="G205" s="32">
        <f ca="1">_xll.DBRW($C$1,$C$2,$C$3,$C$4,$C$6,$C$5,$C$7,G$1,G$2,$A205)</f>
        <v>0</v>
      </c>
      <c r="H205" s="32">
        <f ca="1">_xll.DBRW($C$1,$C$2,$C$3,$C$4,$C$6,$C$5,$C$7,H$1,H$2,$A205)</f>
        <v>0</v>
      </c>
      <c r="I205" s="32">
        <f ca="1">_xll.DBRW($C$1,$C$2,$C$3,$C$4,$C$6,$C$5,$C$7,I$1,I$2,$A205)</f>
        <v>0</v>
      </c>
      <c r="J205" s="32">
        <f ca="1">_xll.DBRW($C$1,$C$2,$C$3,$C$4,$C$6,$C$5,$C$7,J$1,J$2,$A205)</f>
        <v>0</v>
      </c>
      <c r="K205" s="32">
        <f ca="1">_xll.DBRW($C$1,$C$2,$C$3,$C$4,$C$6,$C$5,$C$7,K$1,K$2,$A205)</f>
        <v>0</v>
      </c>
      <c r="L205" s="32">
        <f ca="1">_xll.DBRW($C$1,$C$2,$C$3,$C$4,$C$6,$C$5,$C$7,L$1,L$2,$A205)</f>
        <v>0</v>
      </c>
      <c r="M205" s="32">
        <f ca="1">_xll.DBRW($C$1,$C$2,$C$3,$C$4,$C$6,$C$5,$C$7,M$1,M$2,$A205)</f>
        <v>0</v>
      </c>
      <c r="N205" s="32">
        <f ca="1">_xll.DBRW($C$1,$C$2,$C$3,$C$4,$C$6,$C$5,$C$7,N$1,N$2,$A205)</f>
        <v>0</v>
      </c>
      <c r="O205" s="32">
        <f ca="1">_xll.DBRW($C$1,$C$2,$C$3,$C$4,$C$6,$C$5,$C$7,O$1,O$2,$A205)</f>
        <v>0</v>
      </c>
      <c r="P205" s="32">
        <f ca="1">_xll.DBRW($C$1,$C$2,$C$3,$C$4,$C$6,$C$5,$C$7,P$1,P$2,$A205)</f>
        <v>0</v>
      </c>
      <c r="Q205" s="32">
        <f ca="1">_xll.DBRW($C$1,$C$2,$C$3,$C$4,$C$6,$C$5,$C$7,Q$1,Q$2,$A205)</f>
        <v>0</v>
      </c>
      <c r="R205" s="32">
        <f ca="1">_xll.DBRW($C$1,$C$2,$C$3,$C$4,$C$6,$C$5,$C$7,R$1,R$2,$A205)</f>
        <v>0</v>
      </c>
      <c r="S205" s="32">
        <f ca="1">_xll.DBRW($C$1,$C$2,$C$3,$C$4,$C$6,$C$5,$C$7,S$1,S$2,$A205)</f>
        <v>0</v>
      </c>
      <c r="T205" s="32">
        <f ca="1">_xll.DBRW($C$1,$C$2,$C$3,$C$4,$C$6,$C$5,$C$7,T$1,T$2,$A205)</f>
        <v>0</v>
      </c>
      <c r="U205" s="32">
        <f ca="1">_xll.DBRW($C$1,$C$2,$C$3,$C$4,$C$6,$C$5,$C$7,U$1,U$2,$A205)</f>
        <v>0</v>
      </c>
      <c r="V205" s="32">
        <f ca="1">_xll.DBRW($C$1,$C$2,$C$3,$C$4,$C$6,$C$5,$C$7,V$1,V$2,$A205)</f>
        <v>0</v>
      </c>
      <c r="W205" s="32">
        <f ca="1">_xll.DBRW($C$1,$C$2,$C$3,$C$4,$C$6,$C$5,$C$7,W$1,W$2,$A205)</f>
        <v>0</v>
      </c>
      <c r="X205" s="32">
        <f ca="1">_xll.DBRW($C$1,$C$2,$C$3,$C$4,$C$6,$C$5,$C$7,X$1,X$2,$A205)</f>
        <v>0</v>
      </c>
      <c r="Y205" s="32">
        <f ca="1">_xll.DBRW($C$1,$C$2,$C$3,$C$4,$C$6,$C$5,$C$7,Y$1,Y$2,$A205)</f>
        <v>0</v>
      </c>
      <c r="Z205" s="32">
        <f ca="1">_xll.DBRW($C$1,$C$2,$C$3,$C$4,$C$6,$C$5,$C$7,Z$1,Z$2,$A205)</f>
        <v>0</v>
      </c>
      <c r="AA205" s="32">
        <f ca="1">_xll.DBRW($C$1,$C$2,$C$3,$C$4,$C$6,$C$5,$C$7,AA$1,AA$2,$A205)</f>
        <v>0</v>
      </c>
      <c r="AB205" s="32">
        <f ca="1">_xll.DBRW($C$1,$C$2,$C$3,$C$4,$C$6,$C$5,$C$7,AB$1,AB$2,$A205)</f>
        <v>0</v>
      </c>
      <c r="AC205" s="32">
        <f ca="1">_xll.DBRW($C$1,$C$2,$C$3,$C$4,$C$6,$C$5,$C$7,AC$1,AC$2,$A205)</f>
        <v>0</v>
      </c>
      <c r="AD205" s="32">
        <f ca="1">_xll.DBRW($C$1,$C$2,$C$3,$C$4,$C$6,$C$5,$C$7,AD$1,AD$2,$A205)</f>
        <v>0</v>
      </c>
      <c r="AE205" s="32">
        <f ca="1">_xll.DBRW($C$1,$C$2,$C$3,$C$4,$C$6,$C$5,$C$7,AE$1,AE$2,$A205)</f>
        <v>0</v>
      </c>
      <c r="AF205" s="32">
        <f ca="1">_xll.DBRW($C$1,$C$2,$C$3,$C$4,$C$6,$C$5,$C$7,AF$1,AF$2,$A205)</f>
        <v>0</v>
      </c>
      <c r="AG205" s="32">
        <f ca="1">_xll.DBRW($C$1,$C$2,$C$3,$C$4,$C$6,$C$5,$C$7,AG$1,AG$2,$A205)</f>
        <v>0</v>
      </c>
      <c r="AH205" s="32">
        <f ca="1">_xll.DBRW($C$1,$C$2,$C$3,$C$4,$C$6,$C$5,$C$7,AH$1,AH$2,$A205)</f>
        <v>0</v>
      </c>
      <c r="AI205" s="32">
        <f ca="1">_xll.DBRW($C$1,$C$2,$C$3,$C$4,$C$6,$C$5,$C$7,AI$1,AI$2,$A205)</f>
        <v>0</v>
      </c>
      <c r="AJ205" s="32">
        <f ca="1">_xll.DBRW($C$1,$C$2,$C$3,$C$4,$C$6,$C$5,$C$7,AJ$1,AJ$2,$A205)</f>
        <v>0</v>
      </c>
      <c r="AK205" s="32">
        <f ca="1">_xll.DBRW($C$1,$C$2,$C$3,$C$4,$C$6,$C$5,$C$7,AK$1,AK$2,$A205)</f>
        <v>0</v>
      </c>
      <c r="AL205" s="32">
        <f ca="1">_xll.DBRW($C$1,$C$2,$C$3,$C$4,$C$6,$C$5,$C$7,AL$1,AL$2,$A205)</f>
        <v>0</v>
      </c>
      <c r="AM205" s="32">
        <f ca="1">_xll.DBRW($C$1,$C$2,$C$3,$C$4,$C$6,$C$5,$C$7,AM$1,AM$2,$A205)</f>
        <v>0</v>
      </c>
      <c r="AN205" s="32">
        <f ca="1">_xll.DBRW($C$1,$C$2,$C$3,$C$4,$C$6,$C$5,$C$7,AN$1,AN$2,$A205)</f>
        <v>0</v>
      </c>
      <c r="AO205" s="32">
        <f ca="1">_xll.DBRW($C$1,$C$2,$C$3,$C$4,$C$6,$C$5,$C$7,AO$1,AO$2,$A205)</f>
        <v>0</v>
      </c>
      <c r="AP205" s="32">
        <f ca="1">_xll.DBRW($C$1,$C$2,$C$3,$C$4,$C$6,$C$5,$C$7,AP$1,AP$2,$A205)</f>
        <v>0</v>
      </c>
      <c r="AQ205" s="32">
        <f ca="1">_xll.DBRW($C$1,$C$2,$C$3,$C$4,$C$6,$C$5,$C$7,AQ$1,AQ$2,$A205)</f>
        <v>0</v>
      </c>
      <c r="AR205" s="32">
        <f ca="1">_xll.DBRW($C$1,$C$2,$C$3,$C$4,$C$6,$C$5,$C$7,AR$1,AR$2,$A205)</f>
        <v>0</v>
      </c>
      <c r="AS205" s="32">
        <f ca="1">_xll.DBRW($C$1,$C$2,$C$3,$C$4,$C$6,$C$5,$C$7,AS$1,AS$2,$A205)</f>
        <v>0</v>
      </c>
      <c r="AT205" s="32">
        <f ca="1">_xll.DBRW($C$1,$C$2,$C$3,$C$4,$C$6,$C$5,$C$7,AT$1,AT$2,$A205)</f>
        <v>0</v>
      </c>
      <c r="AU205" s="32">
        <f ca="1">_xll.DBRW($C$1,$C$2,$C$3,$C$4,$C$6,$C$5,$C$7,AU$1,AU$2,$A205)</f>
        <v>0</v>
      </c>
      <c r="AV205" s="32">
        <f ca="1">_xll.DBRW($C$1,$C$2,$C$3,$C$4,$C$6,$C$5,$C$7,AV$1,AV$2,$A205)</f>
        <v>0</v>
      </c>
      <c r="AW205" s="32">
        <f ca="1">_xll.DBRW($C$1,$C$2,$C$3,$C$4,$C$6,$C$5,$C$7,AW$1,AW$2,$A205)</f>
        <v>0</v>
      </c>
      <c r="AX205" s="32">
        <f ca="1">_xll.DBRW($C$1,$C$2,$C$3,$C$4,$C$6,$C$5,$C$7,AX$1,AX$2,$A205)</f>
        <v>0</v>
      </c>
      <c r="AY205" s="32">
        <f ca="1">_xll.DBRW($C$1,$C$2,$C$3,$C$4,$C$6,$C$5,$C$7,AY$1,AY$2,$A205)</f>
        <v>0</v>
      </c>
    </row>
    <row r="206" spans="1:60" ht="15.75" hidden="1" customHeight="1" outlineLevel="1">
      <c r="A206" s="1" t="s">
        <v>293</v>
      </c>
      <c r="C206" s="104"/>
      <c r="E206" s="9" t="str">
        <f ca="1">_xll.DBRW(Server&amp;"}ElementAttributes_Indicator",A206,"code_English")</f>
        <v>PL1140_XX - Vector Reconciliation (TPL11) - Amortization</v>
      </c>
      <c r="F206" s="32">
        <f ca="1">_xll.DBRW($C$1,$C$2,$C$3,$C$4,$C$6,$C$5,$C$7,F$1,F$2,$A206)</f>
        <v>5.4435495939121985</v>
      </c>
      <c r="G206" s="32">
        <f ca="1">_xll.DBRW($C$1,$C$2,$C$3,$C$4,$C$6,$C$5,$C$7,G$1,G$2,$A206)</f>
        <v>8.3889022410939162</v>
      </c>
      <c r="H206" s="32">
        <f ca="1">_xll.DBRW($C$1,$C$2,$C$3,$C$4,$C$6,$C$5,$C$7,H$1,H$2,$A206)</f>
        <v>28.292345528830069</v>
      </c>
      <c r="I206" s="32">
        <f ca="1">_xll.DBRW($C$1,$C$2,$C$3,$C$4,$C$6,$C$5,$C$7,I$1,I$2,$A206)</f>
        <v>-148.02513667245734</v>
      </c>
      <c r="J206" s="32">
        <f ca="1">_xll.DBRW($C$1,$C$2,$C$3,$C$4,$C$6,$C$5,$C$7,J$1,J$2,$A206)</f>
        <v>-155.97921185534273</v>
      </c>
      <c r="K206" s="32">
        <f ca="1">_xll.DBRW($C$1,$C$2,$C$3,$C$4,$C$6,$C$5,$C$7,K$1,K$2,$A206)</f>
        <v>-51.573384999087864</v>
      </c>
      <c r="L206" s="32">
        <f ca="1">_xll.DBRW($C$1,$C$2,$C$3,$C$4,$C$6,$C$5,$C$7,L$1,L$2,$A206)</f>
        <v>-54.904644086615363</v>
      </c>
      <c r="M206" s="32">
        <f ca="1">_xll.DBRW($C$1,$C$2,$C$3,$C$4,$C$6,$C$5,$C$7,M$1,M$2,$A206)</f>
        <v>7.6335140454760202</v>
      </c>
      <c r="N206" s="32">
        <f ca="1">_xll.DBRW($C$1,$C$2,$C$3,$C$4,$C$6,$C$5,$C$7,N$1,N$2,$A206)</f>
        <v>-3.8064025459154029</v>
      </c>
      <c r="O206" s="32">
        <f ca="1">_xll.DBRW($C$1,$C$2,$C$3,$C$4,$C$6,$C$5,$C$7,O$1,O$2,$A206)</f>
        <v>-3.5121983650831496</v>
      </c>
      <c r="P206" s="32">
        <f ca="1">_xll.DBRW($C$1,$C$2,$C$3,$C$4,$C$6,$C$5,$C$7,P$1,P$2,$A206)</f>
        <v>9.8554727130223441</v>
      </c>
      <c r="Q206" s="32">
        <f ca="1">_xll.DBRW($C$1,$C$2,$C$3,$C$4,$C$6,$C$5,$C$7,Q$1,Q$2,$A206)</f>
        <v>-8.607382469983591</v>
      </c>
      <c r="R206" s="32">
        <f ca="1">_xll.DBRW($C$1,$C$2,$C$3,$C$4,$C$6,$C$5,$C$7,R$1,R$2,$A206)</f>
        <v>-19.391229971001543</v>
      </c>
      <c r="S206" s="32">
        <f ca="1">_xll.DBRW($C$1,$C$2,$C$3,$C$4,$C$6,$C$5,$C$7,S$1,S$2,$A206)</f>
        <v>67.585726561017225</v>
      </c>
      <c r="T206" s="32">
        <f ca="1">_xll.DBRW($C$1,$C$2,$C$3,$C$4,$C$6,$C$5,$C$7,T$1,T$2,$A206)</f>
        <v>-47.775386066359729</v>
      </c>
      <c r="U206" s="32">
        <f ca="1">_xll.DBRW($C$1,$C$2,$C$3,$C$4,$C$6,$C$5,$C$7,U$1,U$2,$A206)</f>
        <v>-50.837342502065752</v>
      </c>
      <c r="V206" s="32">
        <f ca="1">_xll.DBRW($C$1,$C$2,$C$3,$C$4,$C$6,$C$5,$C$7,V$1,V$2,$A206)</f>
        <v>174.37149958654524</v>
      </c>
      <c r="W206" s="32">
        <f ca="1">_xll.DBRW($C$1,$C$2,$C$3,$C$4,$C$6,$C$5,$C$7,W$1,W$2,$A206)</f>
        <v>-98.909464440161088</v>
      </c>
      <c r="X206" s="32">
        <f ca="1">_xll.DBRW($C$1,$C$2,$C$3,$C$4,$C$6,$C$5,$C$7,X$1,X$2,$A206)</f>
        <v>-72.005840833617242</v>
      </c>
      <c r="Y206" s="32">
        <f ca="1">_xll.DBRW($C$1,$C$2,$C$3,$C$4,$C$6,$C$5,$C$7,Y$1,Y$2,$A206)</f>
        <v>-72.005840833617242</v>
      </c>
      <c r="Z206" s="32">
        <f ca="1">_xll.DBRW($C$1,$C$2,$C$3,$C$4,$C$6,$C$5,$C$7,Z$1,Z$2,$A206)</f>
        <v>-13.885832795621027</v>
      </c>
      <c r="AA206" s="32">
        <f ca="1">_xll.DBRW($C$1,$C$2,$C$3,$C$4,$C$6,$C$5,$C$7,AA$1,AA$2,$A206)</f>
        <v>-13.648858562931981</v>
      </c>
      <c r="AB206" s="32">
        <f ca="1">_xll.DBRW($C$1,$C$2,$C$3,$C$4,$C$6,$C$5,$C$7,AB$1,AB$2,$A206)</f>
        <v>-17.742283795826051</v>
      </c>
      <c r="AC206" s="32">
        <f ca="1">_xll.DBRW($C$1,$C$2,$C$3,$C$4,$C$6,$C$5,$C$7,AC$1,AC$2,$A206)</f>
        <v>-22.069590346156215</v>
      </c>
      <c r="AD206" s="32">
        <f ca="1">_xll.DBRW($C$1,$C$2,$C$3,$C$4,$C$6,$C$5,$C$7,AD$1,AD$2,$A206)</f>
        <v>-28.805937285419077</v>
      </c>
      <c r="AE206" s="32">
        <f ca="1">_xll.DBRW($C$1,$C$2,$C$3,$C$4,$C$6,$C$5,$C$7,AE$1,AE$2,$A206)</f>
        <v>-35.492258036229387</v>
      </c>
      <c r="AF206" s="32">
        <f ca="1">_xll.DBRW($C$1,$C$2,$C$3,$C$4,$C$6,$C$5,$C$7,AF$1,AF$2,$A206)</f>
        <v>-56.371957490846327</v>
      </c>
      <c r="AG206" s="32">
        <f ca="1">_xll.DBRW($C$1,$C$2,$C$3,$C$4,$C$6,$C$5,$C$7,AG$1,AG$2,$A206)</f>
        <v>-68.355898237779655</v>
      </c>
      <c r="AH206" s="32">
        <f ca="1">_xll.DBRW($C$1,$C$2,$C$3,$C$4,$C$6,$C$5,$C$7,AH$1,AH$2,$A206)</f>
        <v>-75.365493549727717</v>
      </c>
      <c r="AI206" s="32">
        <f ca="1">_xll.DBRW($C$1,$C$2,$C$3,$C$4,$C$6,$C$5,$C$7,AI$1,AI$2,$A206)</f>
        <v>-82.406235591486393</v>
      </c>
      <c r="AJ206" s="32">
        <f ca="1">_xll.DBRW($C$1,$C$2,$C$3,$C$4,$C$6,$C$5,$C$7,AJ$1,AJ$2,$A206)</f>
        <v>-89.461761209277512</v>
      </c>
      <c r="AK206" s="32">
        <f ca="1">_xll.DBRW($C$1,$C$2,$C$3,$C$4,$C$6,$C$5,$C$7,AK$1,AK$2,$A206)</f>
        <v>-96.345519563004174</v>
      </c>
      <c r="AL206" s="32">
        <f ca="1">_xll.DBRW($C$1,$C$2,$C$3,$C$4,$C$6,$C$5,$C$7,AL$1,AL$2,$A206)</f>
        <v>-96.345519563004174</v>
      </c>
      <c r="AM206" s="32">
        <f ca="1">_xll.DBRW($C$1,$C$2,$C$3,$C$4,$C$6,$C$5,$C$7,AM$1,AM$2,$A206)</f>
        <v>21.353962172540037</v>
      </c>
      <c r="AN206" s="32">
        <f ca="1">_xll.DBRW($C$1,$C$2,$C$3,$C$4,$C$6,$C$5,$C$7,AN$1,AN$2,$A206)</f>
        <v>-3.9668684291080503</v>
      </c>
      <c r="AO206" s="32">
        <f ca="1">_xll.DBRW($C$1,$C$2,$C$3,$C$4,$C$6,$C$5,$C$7,AO$1,AO$2,$A206)</f>
        <v>-70.335966176999989</v>
      </c>
      <c r="AP206" s="32">
        <f ca="1">_xll.DBRW($C$1,$C$2,$C$3,$C$4,$C$6,$C$5,$C$7,AP$1,AP$2,$A206)</f>
        <v>-70.335966176999989</v>
      </c>
      <c r="AQ206" s="32">
        <f ca="1">_xll.DBRW($C$1,$C$2,$C$3,$C$4,$C$6,$C$5,$C$7,AQ$1,AQ$2,$A206)</f>
        <v>-70.335966176999989</v>
      </c>
      <c r="AR206" s="32">
        <f ca="1">_xll.DBRW($C$1,$C$2,$C$3,$C$4,$C$6,$C$5,$C$7,AR$1,AR$2,$A206)</f>
        <v>-70.335966176999989</v>
      </c>
      <c r="AS206" s="32">
        <f ca="1">_xll.DBRW($C$1,$C$2,$C$3,$C$4,$C$6,$C$5,$C$7,AS$1,AS$2,$A206)</f>
        <v>-70.335966176999989</v>
      </c>
      <c r="AT206" s="32">
        <f ca="1">_xll.DBRW($C$1,$C$2,$C$3,$C$4,$C$6,$C$5,$C$7,AT$1,AT$2,$A206)</f>
        <v>-70.335966176999989</v>
      </c>
      <c r="AU206" s="32">
        <f ca="1">_xll.DBRW($C$1,$C$2,$C$3,$C$4,$C$6,$C$5,$C$7,AU$1,AU$2,$A206)</f>
        <v>-70.335966176999989</v>
      </c>
      <c r="AV206" s="32">
        <f ca="1">_xll.DBRW($C$1,$C$2,$C$3,$C$4,$C$6,$C$5,$C$7,AV$1,AV$2,$A206)</f>
        <v>-70.335966176999989</v>
      </c>
      <c r="AW206" s="32">
        <f ca="1">_xll.DBRW($C$1,$C$2,$C$3,$C$4,$C$6,$C$5,$C$7,AW$1,AW$2,$A206)</f>
        <v>-70.335966176999989</v>
      </c>
      <c r="AX206" s="32">
        <f ca="1">_xll.DBRW($C$1,$C$2,$C$3,$C$4,$C$6,$C$5,$C$7,AX$1,AX$2,$A206)</f>
        <v>-70.335966176999989</v>
      </c>
      <c r="AY206" s="32">
        <f ca="1">_xll.DBRW($C$1,$C$2,$C$3,$C$4,$C$6,$C$5,$C$7,AY$1,AY$2,$A206)</f>
        <v>-70.335966176999989</v>
      </c>
    </row>
    <row r="207" spans="1:60" ht="15.75" hidden="1" customHeight="1" outlineLevel="1">
      <c r="A207" s="1" t="s">
        <v>294</v>
      </c>
      <c r="C207" s="104"/>
      <c r="E207" s="9" t="str">
        <f ca="1">_xll.DBRW(Server&amp;"}ElementAttributes_Indicator",A207,"code_English")</f>
        <v>PL1145_XX - Vector Reconciliation (TPL11) - Impairment - working capital</v>
      </c>
      <c r="F207" s="32">
        <f ca="1">_xll.DBRW($C$1,$C$2,$C$3,$C$4,$C$6,$C$5,$C$7,F$1,F$2,$A207)</f>
        <v>2.0929679473628546</v>
      </c>
      <c r="G207" s="32">
        <f ca="1">_xll.DBRW($C$1,$C$2,$C$3,$C$4,$C$6,$C$5,$C$7,G$1,G$2,$A207)</f>
        <v>0.38704400883139378</v>
      </c>
      <c r="H207" s="32">
        <f ca="1">_xll.DBRW($C$1,$C$2,$C$3,$C$4,$C$6,$C$5,$C$7,H$1,H$2,$A207)</f>
        <v>5.6864029058873093</v>
      </c>
      <c r="I207" s="32">
        <f ca="1">_xll.DBRW($C$1,$C$2,$C$3,$C$4,$C$6,$C$5,$C$7,I$1,I$2,$A207)</f>
        <v>-5.4375691916969817</v>
      </c>
      <c r="J207" s="32">
        <f ca="1">_xll.DBRW($C$1,$C$2,$C$3,$C$4,$C$6,$C$5,$C$7,J$1,J$2,$A207)</f>
        <v>13.190766690327706</v>
      </c>
      <c r="K207" s="32">
        <f ca="1">_xll.DBRW($C$1,$C$2,$C$3,$C$4,$C$6,$C$5,$C$7,K$1,K$2,$A207)</f>
        <v>13.611049785418992</v>
      </c>
      <c r="L207" s="32">
        <f ca="1">_xll.DBRW($C$1,$C$2,$C$3,$C$4,$C$6,$C$5,$C$7,L$1,L$2,$A207)</f>
        <v>-4.1822070000000003E-2</v>
      </c>
      <c r="M207" s="32">
        <f ca="1">_xll.DBRW($C$1,$C$2,$C$3,$C$4,$C$6,$C$5,$C$7,M$1,M$2,$A207)</f>
        <v>-0.61374218300000005</v>
      </c>
      <c r="N207" s="32">
        <f ca="1">_xll.DBRW($C$1,$C$2,$C$3,$C$4,$C$6,$C$5,$C$7,N$1,N$2,$A207)</f>
        <v>4.1707525679554491E-2</v>
      </c>
      <c r="O207" s="32">
        <f ca="1">_xll.DBRW($C$1,$C$2,$C$3,$C$4,$C$6,$C$5,$C$7,O$1,O$2,$A207)</f>
        <v>6.8326640403646277E-2</v>
      </c>
      <c r="P207" s="32">
        <f ca="1">_xll.DBRW($C$1,$C$2,$C$3,$C$4,$C$6,$C$5,$C$7,P$1,P$2,$A207)</f>
        <v>-7.0871503177823925E-2</v>
      </c>
      <c r="Q207" s="32">
        <f ca="1">_xll.DBRW($C$1,$C$2,$C$3,$C$4,$C$6,$C$5,$C$7,Q$1,Q$2,$A207)</f>
        <v>0.2853899760482288</v>
      </c>
      <c r="R207" s="32">
        <f ca="1">_xll.DBRW($C$1,$C$2,$C$3,$C$4,$C$6,$C$5,$C$7,R$1,R$2,$A207)</f>
        <v>0.35685242925564975</v>
      </c>
      <c r="S207" s="32">
        <f ca="1">_xll.DBRW($C$1,$C$2,$C$3,$C$4,$C$6,$C$5,$C$7,S$1,S$2,$A207)</f>
        <v>-1.4453554959999988</v>
      </c>
      <c r="T207" s="32">
        <f ca="1">_xll.DBRW($C$1,$C$2,$C$3,$C$4,$C$6,$C$5,$C$7,T$1,T$2,$A207)</f>
        <v>0.37014076963059539</v>
      </c>
      <c r="U207" s="32">
        <f ca="1">_xll.DBRW($C$1,$C$2,$C$3,$C$4,$C$6,$C$5,$C$7,U$1,U$2,$A207)</f>
        <v>0.96976782292486718</v>
      </c>
      <c r="V207" s="32">
        <f ca="1">_xll.DBRW($C$1,$C$2,$C$3,$C$4,$C$6,$C$5,$C$7,V$1,V$2,$A207)</f>
        <v>-0.29263274025956387</v>
      </c>
      <c r="W207" s="32">
        <f ca="1">_xll.DBRW($C$1,$C$2,$C$3,$C$4,$C$6,$C$5,$C$7,W$1,W$2,$A207)</f>
        <v>-1.1205478646475471</v>
      </c>
      <c r="X207" s="32">
        <f ca="1">_xll.DBRW($C$1,$C$2,$C$3,$C$4,$C$6,$C$5,$C$7,X$1,X$2,$A207)</f>
        <v>3.5339227261883277</v>
      </c>
      <c r="Y207" s="32">
        <f ca="1">_xll.DBRW($C$1,$C$2,$C$3,$C$4,$C$6,$C$5,$C$7,Y$1,Y$2,$A207)</f>
        <v>3.5339227261883277</v>
      </c>
      <c r="Z207" s="32">
        <f ca="1">_xll.DBRW($C$1,$C$2,$C$3,$C$4,$C$6,$C$5,$C$7,Z$1,Z$2,$A207)</f>
        <v>-1.5731458333333326E-3</v>
      </c>
      <c r="AA207" s="32">
        <f ca="1">_xll.DBRW($C$1,$C$2,$C$3,$C$4,$C$6,$C$5,$C$7,AA$1,AA$2,$A207)</f>
        <v>-4.3320816666666661E-3</v>
      </c>
      <c r="AB207" s="32">
        <f ca="1">_xll.DBRW($C$1,$C$2,$C$3,$C$4,$C$6,$C$5,$C$7,AB$1,AB$2,$A207)</f>
        <v>1.176112499999998E-3</v>
      </c>
      <c r="AC207" s="32">
        <f ca="1">_xll.DBRW($C$1,$C$2,$C$3,$C$4,$C$6,$C$5,$C$7,AC$1,AC$2,$A207)</f>
        <v>2.5596566666666676E-3</v>
      </c>
      <c r="AD207" s="32">
        <f ca="1">_xll.DBRW($C$1,$C$2,$C$3,$C$4,$C$6,$C$5,$C$7,AD$1,AD$2,$A207)</f>
        <v>2.1996108333333323E-3</v>
      </c>
      <c r="AE207" s="32">
        <f ca="1">_xll.DBRW($C$1,$C$2,$C$3,$C$4,$C$6,$C$5,$C$7,AE$1,AE$2,$A207)</f>
        <v>3.6199749999999958E-3</v>
      </c>
      <c r="AF207" s="32">
        <f ca="1">_xll.DBRW($C$1,$C$2,$C$3,$C$4,$C$6,$C$5,$C$7,AF$1,AF$2,$A207)</f>
        <v>3.7350391666666695E-3</v>
      </c>
      <c r="AG207" s="32">
        <f ca="1">_xll.DBRW($C$1,$C$2,$C$3,$C$4,$C$6,$C$5,$C$7,AG$1,AG$2,$A207)</f>
        <v>3.3256833333333321E-3</v>
      </c>
      <c r="AH207" s="32">
        <f ca="1">_xll.DBRW($C$1,$C$2,$C$3,$C$4,$C$6,$C$5,$C$7,AH$1,AH$2,$A207)</f>
        <v>3.6581474999999985E-3</v>
      </c>
      <c r="AI207" s="32">
        <f ca="1">_xll.DBRW($C$1,$C$2,$C$3,$C$4,$C$6,$C$5,$C$7,AI$1,AI$2,$A207)</f>
        <v>3.1665516666666664E-3</v>
      </c>
      <c r="AJ207" s="32">
        <f ca="1">_xll.DBRW($C$1,$C$2,$C$3,$C$4,$C$6,$C$5,$C$7,AJ$1,AJ$2,$A207)</f>
        <v>1.5675058333333226E-3</v>
      </c>
      <c r="AK207" s="32">
        <f ca="1">_xll.DBRW($C$1,$C$2,$C$3,$C$4,$C$6,$C$5,$C$7,AK$1,AK$2,$A207)</f>
        <v>3.2268679999999994E-2</v>
      </c>
      <c r="AL207" s="32">
        <f ca="1">_xll.DBRW($C$1,$C$2,$C$3,$C$4,$C$6,$C$5,$C$7,AL$1,AL$2,$A207)</f>
        <v>3.2268679999999994E-2</v>
      </c>
      <c r="AM207" s="32">
        <f ca="1">_xll.DBRW($C$1,$C$2,$C$3,$C$4,$C$6,$C$5,$C$7,AM$1,AM$2,$A207)</f>
        <v>7.163784525452685E-2</v>
      </c>
      <c r="AN207" s="32">
        <f ca="1">_xll.DBRW($C$1,$C$2,$C$3,$C$4,$C$6,$C$5,$C$7,AN$1,AN$2,$A207)</f>
        <v>-5.8756423240958089E-2</v>
      </c>
      <c r="AO207" s="32">
        <f ca="1">_xll.DBRW($C$1,$C$2,$C$3,$C$4,$C$6,$C$5,$C$7,AO$1,AO$2,$A207)</f>
        <v>0.3710707729999998</v>
      </c>
      <c r="AP207" s="32">
        <f ca="1">_xll.DBRW($C$1,$C$2,$C$3,$C$4,$C$6,$C$5,$C$7,AP$1,AP$2,$A207)</f>
        <v>0.3710707729999998</v>
      </c>
      <c r="AQ207" s="32">
        <f ca="1">_xll.DBRW($C$1,$C$2,$C$3,$C$4,$C$6,$C$5,$C$7,AQ$1,AQ$2,$A207)</f>
        <v>0.3710707729999998</v>
      </c>
      <c r="AR207" s="32">
        <f ca="1">_xll.DBRW($C$1,$C$2,$C$3,$C$4,$C$6,$C$5,$C$7,AR$1,AR$2,$A207)</f>
        <v>0.3710707729999998</v>
      </c>
      <c r="AS207" s="32">
        <f ca="1">_xll.DBRW($C$1,$C$2,$C$3,$C$4,$C$6,$C$5,$C$7,AS$1,AS$2,$A207)</f>
        <v>0.3710707729999998</v>
      </c>
      <c r="AT207" s="32">
        <f ca="1">_xll.DBRW($C$1,$C$2,$C$3,$C$4,$C$6,$C$5,$C$7,AT$1,AT$2,$A207)</f>
        <v>0.3710707729999998</v>
      </c>
      <c r="AU207" s="32">
        <f ca="1">_xll.DBRW($C$1,$C$2,$C$3,$C$4,$C$6,$C$5,$C$7,AU$1,AU$2,$A207)</f>
        <v>0.3710707729999998</v>
      </c>
      <c r="AV207" s="32">
        <f ca="1">_xll.DBRW($C$1,$C$2,$C$3,$C$4,$C$6,$C$5,$C$7,AV$1,AV$2,$A207)</f>
        <v>0.3710707729999998</v>
      </c>
      <c r="AW207" s="32">
        <f ca="1">_xll.DBRW($C$1,$C$2,$C$3,$C$4,$C$6,$C$5,$C$7,AW$1,AW$2,$A207)</f>
        <v>0.3710707729999998</v>
      </c>
      <c r="AX207" s="32">
        <f ca="1">_xll.DBRW($C$1,$C$2,$C$3,$C$4,$C$6,$C$5,$C$7,AX$1,AX$2,$A207)</f>
        <v>0.3710707729999998</v>
      </c>
      <c r="AY207" s="32">
        <f ca="1">_xll.DBRW($C$1,$C$2,$C$3,$C$4,$C$6,$C$5,$C$7,AY$1,AY$2,$A207)</f>
        <v>0.3710707729999998</v>
      </c>
    </row>
    <row r="208" spans="1:60" ht="15.75" hidden="1" customHeight="1" outlineLevel="1">
      <c r="A208" s="1" t="s">
        <v>295</v>
      </c>
      <c r="C208" s="104"/>
      <c r="E208" s="9" t="str">
        <f ca="1">_xll.DBRW(Server&amp;"}ElementAttributes_Indicator",A208,"code_English")</f>
        <v>PL1150_XX - Vector Reconciliation (TPL11) - Impairment (other than working capital) and provisions</v>
      </c>
      <c r="F208" s="32">
        <f ca="1">_xll.DBRW($C$1,$C$2,$C$3,$C$4,$C$6,$C$5,$C$7,F$1,F$2,$A208)</f>
        <v>-52.830952259756451</v>
      </c>
      <c r="G208" s="32">
        <f ca="1">_xll.DBRW($C$1,$C$2,$C$3,$C$4,$C$6,$C$5,$C$7,G$1,G$2,$A208)</f>
        <v>-32.782383515379806</v>
      </c>
      <c r="H208" s="32">
        <f ca="1">_xll.DBRW($C$1,$C$2,$C$3,$C$4,$C$6,$C$5,$C$7,H$1,H$2,$A208)</f>
        <v>-111.38789940026338</v>
      </c>
      <c r="I208" s="32">
        <f ca="1">_xll.DBRW($C$1,$C$2,$C$3,$C$4,$C$6,$C$5,$C$7,I$1,I$2,$A208)</f>
        <v>-6.8771155654057141</v>
      </c>
      <c r="J208" s="32">
        <f ca="1">_xll.DBRW($C$1,$C$2,$C$3,$C$4,$C$6,$C$5,$C$7,J$1,J$2,$A208)</f>
        <v>-32.012529520766627</v>
      </c>
      <c r="K208" s="32">
        <f ca="1">_xll.DBRW($C$1,$C$2,$C$3,$C$4,$C$6,$C$5,$C$7,K$1,K$2,$A208)</f>
        <v>-20.424740665429628</v>
      </c>
      <c r="L208" s="32">
        <f ca="1">_xll.DBRW($C$1,$C$2,$C$3,$C$4,$C$6,$C$5,$C$7,L$1,L$2,$A208)</f>
        <v>-34.021742353294677</v>
      </c>
      <c r="M208" s="32">
        <f ca="1">_xll.DBRW($C$1,$C$2,$C$3,$C$4,$C$6,$C$5,$C$7,M$1,M$2,$A208)</f>
        <v>5.9728934789477748</v>
      </c>
      <c r="N208" s="32">
        <f ca="1">_xll.DBRW($C$1,$C$2,$C$3,$C$4,$C$6,$C$5,$C$7,N$1,N$2,$A208)</f>
        <v>-4.6497362928993695</v>
      </c>
      <c r="O208" s="32">
        <f ca="1">_xll.DBRW($C$1,$C$2,$C$3,$C$4,$C$6,$C$5,$C$7,O$1,O$2,$A208)</f>
        <v>3.5505941958592491</v>
      </c>
      <c r="P208" s="32">
        <f ca="1">_xll.DBRW($C$1,$C$2,$C$3,$C$4,$C$6,$C$5,$C$7,P$1,P$2,$A208)</f>
        <v>-11.073171211775449</v>
      </c>
      <c r="Q208" s="32">
        <f ca="1">_xll.DBRW($C$1,$C$2,$C$3,$C$4,$C$6,$C$5,$C$7,Q$1,Q$2,$A208)</f>
        <v>-11.656606844825721</v>
      </c>
      <c r="R208" s="32">
        <f ca="1">_xll.DBRW($C$1,$C$2,$C$3,$C$4,$C$6,$C$5,$C$7,R$1,R$2,$A208)</f>
        <v>-4.4086783846522</v>
      </c>
      <c r="S208" s="32">
        <f ca="1">_xll.DBRW($C$1,$C$2,$C$3,$C$4,$C$6,$C$5,$C$7,S$1,S$2,$A208)</f>
        <v>-2.507124684459022</v>
      </c>
      <c r="T208" s="32">
        <f ca="1">_xll.DBRW($C$1,$C$2,$C$3,$C$4,$C$6,$C$5,$C$7,T$1,T$2,$A208)</f>
        <v>-7.0370087616973187</v>
      </c>
      <c r="U208" s="32">
        <f ca="1">_xll.DBRW($C$1,$C$2,$C$3,$C$4,$C$6,$C$5,$C$7,U$1,U$2,$A208)</f>
        <v>-5.1112529942422125</v>
      </c>
      <c r="V208" s="32">
        <f ca="1">_xll.DBRW($C$1,$C$2,$C$3,$C$4,$C$6,$C$5,$C$7,V$1,V$2,$A208)</f>
        <v>12.938940584915288</v>
      </c>
      <c r="W208" s="32">
        <f ca="1">_xll.DBRW($C$1,$C$2,$C$3,$C$4,$C$6,$C$5,$C$7,W$1,W$2,$A208)</f>
        <v>-0.91160211625249055</v>
      </c>
      <c r="X208" s="32">
        <f ca="1">_xll.DBRW($C$1,$C$2,$C$3,$C$4,$C$6,$C$5,$C$7,X$1,X$2,$A208)</f>
        <v>-3.8549875969813039</v>
      </c>
      <c r="Y208" s="32">
        <f ca="1">_xll.DBRW($C$1,$C$2,$C$3,$C$4,$C$6,$C$5,$C$7,Y$1,Y$2,$A208)</f>
        <v>-3.8549875969813039</v>
      </c>
      <c r="Z208" s="32">
        <f ca="1">_xll.DBRW($C$1,$C$2,$C$3,$C$4,$C$6,$C$5,$C$7,Z$1,Z$2,$A208)</f>
        <v>1.6336975229459596</v>
      </c>
      <c r="AA208" s="32">
        <f ca="1">_xll.DBRW($C$1,$C$2,$C$3,$C$4,$C$6,$C$5,$C$7,AA$1,AA$2,$A208)</f>
        <v>-0.64671332028419615</v>
      </c>
      <c r="AB208" s="32">
        <f ca="1">_xll.DBRW($C$1,$C$2,$C$3,$C$4,$C$6,$C$5,$C$7,AB$1,AB$2,$A208)</f>
        <v>-1.097484975893134</v>
      </c>
      <c r="AC208" s="32">
        <f ca="1">_xll.DBRW($C$1,$C$2,$C$3,$C$4,$C$6,$C$5,$C$7,AC$1,AC$2,$A208)</f>
        <v>-1.7344421495905724</v>
      </c>
      <c r="AD208" s="32">
        <f ca="1">_xll.DBRW($C$1,$C$2,$C$3,$C$4,$C$6,$C$5,$C$7,AD$1,AD$2,$A208)</f>
        <v>-1.0554265863164616</v>
      </c>
      <c r="AE208" s="32">
        <f ca="1">_xll.DBRW($C$1,$C$2,$C$3,$C$4,$C$6,$C$5,$C$7,AE$1,AE$2,$A208)</f>
        <v>-0.23958244549839858</v>
      </c>
      <c r="AF208" s="32">
        <f ca="1">_xll.DBRW($C$1,$C$2,$C$3,$C$4,$C$6,$C$5,$C$7,AF$1,AF$2,$A208)</f>
        <v>0.47032497069722257</v>
      </c>
      <c r="AG208" s="32">
        <f ca="1">_xll.DBRW($C$1,$C$2,$C$3,$C$4,$C$6,$C$5,$C$7,AG$1,AG$2,$A208)</f>
        <v>0.91961177774027192</v>
      </c>
      <c r="AH208" s="32">
        <f ca="1">_xll.DBRW($C$1,$C$2,$C$3,$C$4,$C$6,$C$5,$C$7,AH$1,AH$2,$A208)</f>
        <v>1.6171903841520783</v>
      </c>
      <c r="AI208" s="32">
        <f ca="1">_xll.DBRW($C$1,$C$2,$C$3,$C$4,$C$6,$C$5,$C$7,AI$1,AI$2,$A208)</f>
        <v>2.350389610741805</v>
      </c>
      <c r="AJ208" s="32">
        <f ca="1">_xll.DBRW($C$1,$C$2,$C$3,$C$4,$C$6,$C$5,$C$7,AJ$1,AJ$2,$A208)</f>
        <v>3.1727543073627431</v>
      </c>
      <c r="AK208" s="32">
        <f ca="1">_xll.DBRW($C$1,$C$2,$C$3,$C$4,$C$6,$C$5,$C$7,AK$1,AK$2,$A208)</f>
        <v>-6.7142231343081757</v>
      </c>
      <c r="AL208" s="32">
        <f ca="1">_xll.DBRW($C$1,$C$2,$C$3,$C$4,$C$6,$C$5,$C$7,AL$1,AL$2,$A208)</f>
        <v>-6.7142231343081757</v>
      </c>
      <c r="AM208" s="32">
        <f ca="1">_xll.DBRW($C$1,$C$2,$C$3,$C$4,$C$6,$C$5,$C$7,AM$1,AM$2,$A208)</f>
        <v>0.217891304072583</v>
      </c>
      <c r="AN208" s="32">
        <f ca="1">_xll.DBRW($C$1,$C$2,$C$3,$C$4,$C$6,$C$5,$C$7,AN$1,AN$2,$A208)</f>
        <v>2.0730784805238085</v>
      </c>
      <c r="AO208" s="32">
        <f ca="1">_xll.DBRW($C$1,$C$2,$C$3,$C$4,$C$6,$C$5,$C$7,AO$1,AO$2,$A208)</f>
        <v>5.1642085400000024</v>
      </c>
      <c r="AP208" s="32">
        <f ca="1">_xll.DBRW($C$1,$C$2,$C$3,$C$4,$C$6,$C$5,$C$7,AP$1,AP$2,$A208)</f>
        <v>5.1642085400000024</v>
      </c>
      <c r="AQ208" s="32">
        <f ca="1">_xll.DBRW($C$1,$C$2,$C$3,$C$4,$C$6,$C$5,$C$7,AQ$1,AQ$2,$A208)</f>
        <v>5.1642085400000024</v>
      </c>
      <c r="AR208" s="32">
        <f ca="1">_xll.DBRW($C$1,$C$2,$C$3,$C$4,$C$6,$C$5,$C$7,AR$1,AR$2,$A208)</f>
        <v>5.1642085400000024</v>
      </c>
      <c r="AS208" s="32">
        <f ca="1">_xll.DBRW($C$1,$C$2,$C$3,$C$4,$C$6,$C$5,$C$7,AS$1,AS$2,$A208)</f>
        <v>5.1642085400000024</v>
      </c>
      <c r="AT208" s="32">
        <f ca="1">_xll.DBRW($C$1,$C$2,$C$3,$C$4,$C$6,$C$5,$C$7,AT$1,AT$2,$A208)</f>
        <v>5.1642085400000024</v>
      </c>
      <c r="AU208" s="32">
        <f ca="1">_xll.DBRW($C$1,$C$2,$C$3,$C$4,$C$6,$C$5,$C$7,AU$1,AU$2,$A208)</f>
        <v>5.1642085400000024</v>
      </c>
      <c r="AV208" s="32">
        <f ca="1">_xll.DBRW($C$1,$C$2,$C$3,$C$4,$C$6,$C$5,$C$7,AV$1,AV$2,$A208)</f>
        <v>5.1642085400000024</v>
      </c>
      <c r="AW208" s="32">
        <f ca="1">_xll.DBRW($C$1,$C$2,$C$3,$C$4,$C$6,$C$5,$C$7,AW$1,AW$2,$A208)</f>
        <v>5.1642085400000024</v>
      </c>
      <c r="AX208" s="32">
        <f ca="1">_xll.DBRW($C$1,$C$2,$C$3,$C$4,$C$6,$C$5,$C$7,AX$1,AX$2,$A208)</f>
        <v>5.1642085400000024</v>
      </c>
      <c r="AY208" s="32">
        <f ca="1">_xll.DBRW($C$1,$C$2,$C$3,$C$4,$C$6,$C$5,$C$7,AY$1,AY$2,$A208)</f>
        <v>5.1642085400000024</v>
      </c>
    </row>
    <row r="209" spans="1:51" ht="15.75" hidden="1" customHeight="1" outlineLevel="1">
      <c r="A209" s="1" t="s">
        <v>296</v>
      </c>
      <c r="C209" s="104"/>
      <c r="E209" s="9" t="str">
        <f ca="1">_xll.DBRW(Server&amp;"}ElementAttributes_Indicator",A209,"code_English")</f>
        <v>PL1151_XX - Vector Reconciliation (TPL11) - Impact of change in revaluation rate on provisions for losses on LT contracts</v>
      </c>
      <c r="F209" s="32">
        <f ca="1">_xll.DBRW($C$1,$C$2,$C$3,$C$4,$C$6,$C$5,$C$7,F$1,F$2,$A209)</f>
        <v>0</v>
      </c>
      <c r="G209" s="32">
        <f ca="1">_xll.DBRW($C$1,$C$2,$C$3,$C$4,$C$6,$C$5,$C$7,G$1,G$2,$A209)</f>
        <v>0</v>
      </c>
      <c r="H209" s="32">
        <f ca="1">_xll.DBRW($C$1,$C$2,$C$3,$C$4,$C$6,$C$5,$C$7,H$1,H$2,$A209)</f>
        <v>0</v>
      </c>
      <c r="I209" s="32">
        <f ca="1">_xll.DBRW($C$1,$C$2,$C$3,$C$4,$C$6,$C$5,$C$7,I$1,I$2,$A209)</f>
        <v>0</v>
      </c>
      <c r="J209" s="32">
        <f ca="1">_xll.DBRW($C$1,$C$2,$C$3,$C$4,$C$6,$C$5,$C$7,J$1,J$2,$A209)</f>
        <v>0</v>
      </c>
      <c r="K209" s="32">
        <f ca="1">_xll.DBRW($C$1,$C$2,$C$3,$C$4,$C$6,$C$5,$C$7,K$1,K$2,$A209)</f>
        <v>0</v>
      </c>
      <c r="L209" s="32">
        <f ca="1">_xll.DBRW($C$1,$C$2,$C$3,$C$4,$C$6,$C$5,$C$7,L$1,L$2,$A209)</f>
        <v>0</v>
      </c>
      <c r="M209" s="32">
        <f ca="1">_xll.DBRW($C$1,$C$2,$C$3,$C$4,$C$6,$C$5,$C$7,M$1,M$2,$A209)</f>
        <v>0</v>
      </c>
      <c r="N209" s="32">
        <f ca="1">_xll.DBRW($C$1,$C$2,$C$3,$C$4,$C$6,$C$5,$C$7,N$1,N$2,$A209)</f>
        <v>0</v>
      </c>
      <c r="O209" s="32">
        <f ca="1">_xll.DBRW($C$1,$C$2,$C$3,$C$4,$C$6,$C$5,$C$7,O$1,O$2,$A209)</f>
        <v>0</v>
      </c>
      <c r="P209" s="32">
        <f ca="1">_xll.DBRW($C$1,$C$2,$C$3,$C$4,$C$6,$C$5,$C$7,P$1,P$2,$A209)</f>
        <v>0</v>
      </c>
      <c r="Q209" s="32">
        <f ca="1">_xll.DBRW($C$1,$C$2,$C$3,$C$4,$C$6,$C$5,$C$7,Q$1,Q$2,$A209)</f>
        <v>0</v>
      </c>
      <c r="R209" s="32">
        <f ca="1">_xll.DBRW($C$1,$C$2,$C$3,$C$4,$C$6,$C$5,$C$7,R$1,R$2,$A209)</f>
        <v>0</v>
      </c>
      <c r="S209" s="32">
        <f ca="1">_xll.DBRW($C$1,$C$2,$C$3,$C$4,$C$6,$C$5,$C$7,S$1,S$2,$A209)</f>
        <v>0</v>
      </c>
      <c r="T209" s="32">
        <f ca="1">_xll.DBRW($C$1,$C$2,$C$3,$C$4,$C$6,$C$5,$C$7,T$1,T$2,$A209)</f>
        <v>0</v>
      </c>
      <c r="U209" s="32">
        <f ca="1">_xll.DBRW($C$1,$C$2,$C$3,$C$4,$C$6,$C$5,$C$7,U$1,U$2,$A209)</f>
        <v>0</v>
      </c>
      <c r="V209" s="32">
        <f ca="1">_xll.DBRW($C$1,$C$2,$C$3,$C$4,$C$6,$C$5,$C$7,V$1,V$2,$A209)</f>
        <v>0</v>
      </c>
      <c r="W209" s="32">
        <f ca="1">_xll.DBRW($C$1,$C$2,$C$3,$C$4,$C$6,$C$5,$C$7,W$1,W$2,$A209)</f>
        <v>0</v>
      </c>
      <c r="X209" s="32">
        <f ca="1">_xll.DBRW($C$1,$C$2,$C$3,$C$4,$C$6,$C$5,$C$7,X$1,X$2,$A209)</f>
        <v>2.5289999999999999</v>
      </c>
      <c r="Y209" s="32">
        <f ca="1">_xll.DBRW($C$1,$C$2,$C$3,$C$4,$C$6,$C$5,$C$7,Y$1,Y$2,$A209)</f>
        <v>2.5289999999999999</v>
      </c>
      <c r="Z209" s="32">
        <f ca="1">_xll.DBRW($C$1,$C$2,$C$3,$C$4,$C$6,$C$5,$C$7,Z$1,Z$2,$A209)</f>
        <v>0</v>
      </c>
      <c r="AA209" s="32">
        <f ca="1">_xll.DBRW($C$1,$C$2,$C$3,$C$4,$C$6,$C$5,$C$7,AA$1,AA$2,$A209)</f>
        <v>0</v>
      </c>
      <c r="AB209" s="32">
        <f ca="1">_xll.DBRW($C$1,$C$2,$C$3,$C$4,$C$6,$C$5,$C$7,AB$1,AB$2,$A209)</f>
        <v>0</v>
      </c>
      <c r="AC209" s="32">
        <f ca="1">_xll.DBRW($C$1,$C$2,$C$3,$C$4,$C$6,$C$5,$C$7,AC$1,AC$2,$A209)</f>
        <v>0</v>
      </c>
      <c r="AD209" s="32">
        <f ca="1">_xll.DBRW($C$1,$C$2,$C$3,$C$4,$C$6,$C$5,$C$7,AD$1,AD$2,$A209)</f>
        <v>0</v>
      </c>
      <c r="AE209" s="32">
        <f ca="1">_xll.DBRW($C$1,$C$2,$C$3,$C$4,$C$6,$C$5,$C$7,AE$1,AE$2,$A209)</f>
        <v>0</v>
      </c>
      <c r="AF209" s="32">
        <f ca="1">_xll.DBRW($C$1,$C$2,$C$3,$C$4,$C$6,$C$5,$C$7,AF$1,AF$2,$A209)</f>
        <v>0</v>
      </c>
      <c r="AG209" s="32">
        <f ca="1">_xll.DBRW($C$1,$C$2,$C$3,$C$4,$C$6,$C$5,$C$7,AG$1,AG$2,$A209)</f>
        <v>0</v>
      </c>
      <c r="AH209" s="32">
        <f ca="1">_xll.DBRW($C$1,$C$2,$C$3,$C$4,$C$6,$C$5,$C$7,AH$1,AH$2,$A209)</f>
        <v>0</v>
      </c>
      <c r="AI209" s="32">
        <f ca="1">_xll.DBRW($C$1,$C$2,$C$3,$C$4,$C$6,$C$5,$C$7,AI$1,AI$2,$A209)</f>
        <v>0</v>
      </c>
      <c r="AJ209" s="32">
        <f ca="1">_xll.DBRW($C$1,$C$2,$C$3,$C$4,$C$6,$C$5,$C$7,AJ$1,AJ$2,$A209)</f>
        <v>0</v>
      </c>
      <c r="AK209" s="32">
        <f ca="1">_xll.DBRW($C$1,$C$2,$C$3,$C$4,$C$6,$C$5,$C$7,AK$1,AK$2,$A209)</f>
        <v>0</v>
      </c>
      <c r="AL209" s="32">
        <f ca="1">_xll.DBRW($C$1,$C$2,$C$3,$C$4,$C$6,$C$5,$C$7,AL$1,AL$2,$A209)</f>
        <v>0</v>
      </c>
      <c r="AM209" s="32">
        <f ca="1">_xll.DBRW($C$1,$C$2,$C$3,$C$4,$C$6,$C$5,$C$7,AM$1,AM$2,$A209)</f>
        <v>0</v>
      </c>
      <c r="AN209" s="32">
        <f ca="1">_xll.DBRW($C$1,$C$2,$C$3,$C$4,$C$6,$C$5,$C$7,AN$1,AN$2,$A209)</f>
        <v>0</v>
      </c>
      <c r="AO209" s="32">
        <f ca="1">_xll.DBRW($C$1,$C$2,$C$3,$C$4,$C$6,$C$5,$C$7,AO$1,AO$2,$A209)</f>
        <v>0</v>
      </c>
      <c r="AP209" s="32">
        <f ca="1">_xll.DBRW($C$1,$C$2,$C$3,$C$4,$C$6,$C$5,$C$7,AP$1,AP$2,$A209)</f>
        <v>0</v>
      </c>
      <c r="AQ209" s="32">
        <f ca="1">_xll.DBRW($C$1,$C$2,$C$3,$C$4,$C$6,$C$5,$C$7,AQ$1,AQ$2,$A209)</f>
        <v>0</v>
      </c>
      <c r="AR209" s="32">
        <f ca="1">_xll.DBRW($C$1,$C$2,$C$3,$C$4,$C$6,$C$5,$C$7,AR$1,AR$2,$A209)</f>
        <v>0</v>
      </c>
      <c r="AS209" s="32">
        <f ca="1">_xll.DBRW($C$1,$C$2,$C$3,$C$4,$C$6,$C$5,$C$7,AS$1,AS$2,$A209)</f>
        <v>0</v>
      </c>
      <c r="AT209" s="32">
        <f ca="1">_xll.DBRW($C$1,$C$2,$C$3,$C$4,$C$6,$C$5,$C$7,AT$1,AT$2,$A209)</f>
        <v>0</v>
      </c>
      <c r="AU209" s="32">
        <f ca="1">_xll.DBRW($C$1,$C$2,$C$3,$C$4,$C$6,$C$5,$C$7,AU$1,AU$2,$A209)</f>
        <v>0</v>
      </c>
      <c r="AV209" s="32">
        <f ca="1">_xll.DBRW($C$1,$C$2,$C$3,$C$4,$C$6,$C$5,$C$7,AV$1,AV$2,$A209)</f>
        <v>0</v>
      </c>
      <c r="AW209" s="32">
        <f ca="1">_xll.DBRW($C$1,$C$2,$C$3,$C$4,$C$6,$C$5,$C$7,AW$1,AW$2,$A209)</f>
        <v>0</v>
      </c>
      <c r="AX209" s="32">
        <f ca="1">_xll.DBRW($C$1,$C$2,$C$3,$C$4,$C$6,$C$5,$C$7,AX$1,AX$2,$A209)</f>
        <v>0</v>
      </c>
      <c r="AY209" s="32">
        <f ca="1">_xll.DBRW($C$1,$C$2,$C$3,$C$4,$C$6,$C$5,$C$7,AY$1,AY$2,$A209)</f>
        <v>0</v>
      </c>
    </row>
    <row r="210" spans="1:51" ht="15.75" hidden="1" customHeight="1" outlineLevel="1">
      <c r="A210" s="1" t="s">
        <v>297</v>
      </c>
      <c r="C210" s="104"/>
      <c r="E210" s="9" t="str">
        <f ca="1">_xll.DBRW(Server&amp;"}ElementAttributes_Indicator",A210,"code_English")</f>
        <v>PL1155_XX - Vector Reconciliation (TPL11) - Reinvoicing</v>
      </c>
      <c r="F210" s="32">
        <f ca="1">_xll.DBRW($C$1,$C$2,$C$3,$C$4,$C$6,$C$5,$C$7,F$1,F$2,$A210)</f>
        <v>-2.1831194025372396</v>
      </c>
      <c r="G210" s="32">
        <f ca="1">_xll.DBRW($C$1,$C$2,$C$3,$C$4,$C$6,$C$5,$C$7,G$1,G$2,$A210)</f>
        <v>-7.047372383354336</v>
      </c>
      <c r="H210" s="32">
        <f ca="1">_xll.DBRW($C$1,$C$2,$C$3,$C$4,$C$6,$C$5,$C$7,H$1,H$2,$A210)</f>
        <v>-8.5799748424915556</v>
      </c>
      <c r="I210" s="32">
        <f ca="1">_xll.DBRW($C$1,$C$2,$C$3,$C$4,$C$6,$C$5,$C$7,I$1,I$2,$A210)</f>
        <v>10.203783908191024</v>
      </c>
      <c r="J210" s="32">
        <f ca="1">_xll.DBRW($C$1,$C$2,$C$3,$C$4,$C$6,$C$5,$C$7,J$1,J$2,$A210)</f>
        <v>-0.23732747058311965</v>
      </c>
      <c r="K210" s="32">
        <f ca="1">_xll.DBRW($C$1,$C$2,$C$3,$C$4,$C$6,$C$5,$C$7,K$1,K$2,$A210)</f>
        <v>8.8956284674741859</v>
      </c>
      <c r="L210" s="32">
        <f ca="1">_xll.DBRW($C$1,$C$2,$C$3,$C$4,$C$6,$C$5,$C$7,L$1,L$2,$A210)</f>
        <v>3.4321234760630164</v>
      </c>
      <c r="M210" s="32">
        <f ca="1">_xll.DBRW($C$1,$C$2,$C$3,$C$4,$C$6,$C$5,$C$7,M$1,M$2,$A210)</f>
        <v>-0.32085929204435004</v>
      </c>
      <c r="N210" s="32">
        <f ca="1">_xll.DBRW($C$1,$C$2,$C$3,$C$4,$C$6,$C$5,$C$7,N$1,N$2,$A210)</f>
        <v>1.8027422285542682</v>
      </c>
      <c r="O210" s="32">
        <f ca="1">_xll.DBRW($C$1,$C$2,$C$3,$C$4,$C$6,$C$5,$C$7,O$1,O$2,$A210)</f>
        <v>2.1930165915266655</v>
      </c>
      <c r="P210" s="32">
        <f ca="1">_xll.DBRW($C$1,$C$2,$C$3,$C$4,$C$6,$C$5,$C$7,P$1,P$2,$A210)</f>
        <v>2.8563282067104634</v>
      </c>
      <c r="Q210" s="32">
        <f ca="1">_xll.DBRW($C$1,$C$2,$C$3,$C$4,$C$6,$C$5,$C$7,Q$1,Q$2,$A210)</f>
        <v>2.8162347807783656</v>
      </c>
      <c r="R210" s="32">
        <f ca="1">_xll.DBRW($C$1,$C$2,$C$3,$C$4,$C$6,$C$5,$C$7,R$1,R$2,$A210)</f>
        <v>3.1365865031424671</v>
      </c>
      <c r="S210" s="32">
        <f ca="1">_xll.DBRW($C$1,$C$2,$C$3,$C$4,$C$6,$C$5,$C$7,S$1,S$2,$A210)</f>
        <v>-3.887917751220372</v>
      </c>
      <c r="T210" s="32">
        <f ca="1">_xll.DBRW($C$1,$C$2,$C$3,$C$4,$C$6,$C$5,$C$7,T$1,T$2,$A210)</f>
        <v>4.0032877555746254</v>
      </c>
      <c r="U210" s="32">
        <f ca="1">_xll.DBRW($C$1,$C$2,$C$3,$C$4,$C$6,$C$5,$C$7,U$1,U$2,$A210)</f>
        <v>4.5770342822389489</v>
      </c>
      <c r="V210" s="32">
        <f ca="1">_xll.DBRW($C$1,$C$2,$C$3,$C$4,$C$6,$C$5,$C$7,V$1,V$2,$A210)</f>
        <v>-15.679317369241751</v>
      </c>
      <c r="W210" s="32">
        <f ca="1">_xll.DBRW($C$1,$C$2,$C$3,$C$4,$C$6,$C$5,$C$7,W$1,W$2,$A210)</f>
        <v>6.8399456344842067</v>
      </c>
      <c r="X210" s="32">
        <f ca="1">_xll.DBRW($C$1,$C$2,$C$3,$C$4,$C$6,$C$5,$C$7,X$1,X$2,$A210)</f>
        <v>7.809480156857914</v>
      </c>
      <c r="Y210" s="32">
        <f ca="1">_xll.DBRW($C$1,$C$2,$C$3,$C$4,$C$6,$C$5,$C$7,Y$1,Y$2,$A210)</f>
        <v>7.809480156857914</v>
      </c>
      <c r="Z210" s="32">
        <f ca="1">_xll.DBRW($C$1,$C$2,$C$3,$C$4,$C$6,$C$5,$C$7,Z$1,Z$2,$A210)</f>
        <v>0.37007602311372406</v>
      </c>
      <c r="AA210" s="32">
        <f ca="1">_xll.DBRW($C$1,$C$2,$C$3,$C$4,$C$6,$C$5,$C$7,AA$1,AA$2,$A210)</f>
        <v>1.1117773635582338</v>
      </c>
      <c r="AB210" s="32">
        <f ca="1">_xll.DBRW($C$1,$C$2,$C$3,$C$4,$C$6,$C$5,$C$7,AB$1,AB$2,$A210)</f>
        <v>1.6898595983152371</v>
      </c>
      <c r="AC210" s="32">
        <f ca="1">_xll.DBRW($C$1,$C$2,$C$3,$C$4,$C$6,$C$5,$C$7,AC$1,AC$2,$A210)</f>
        <v>2.2211428846238426</v>
      </c>
      <c r="AD210" s="32">
        <f ca="1">_xll.DBRW($C$1,$C$2,$C$3,$C$4,$C$6,$C$5,$C$7,AD$1,AD$2,$A210)</f>
        <v>2.7628118238707806</v>
      </c>
      <c r="AE210" s="32">
        <f ca="1">_xll.DBRW($C$1,$C$2,$C$3,$C$4,$C$6,$C$5,$C$7,AE$1,AE$2,$A210)</f>
        <v>3.3184201629006806</v>
      </c>
      <c r="AF210" s="32">
        <f ca="1">_xll.DBRW($C$1,$C$2,$C$3,$C$4,$C$6,$C$5,$C$7,AF$1,AF$2,$A210)</f>
        <v>3.5379180820572191</v>
      </c>
      <c r="AG210" s="32">
        <f ca="1">_xll.DBRW($C$1,$C$2,$C$3,$C$4,$C$6,$C$5,$C$7,AG$1,AG$2,$A210)</f>
        <v>4.0820448999323169</v>
      </c>
      <c r="AH210" s="32">
        <f ca="1">_xll.DBRW($C$1,$C$2,$C$3,$C$4,$C$6,$C$5,$C$7,AH$1,AH$2,$A210)</f>
        <v>4.6561763686252196</v>
      </c>
      <c r="AI210" s="32">
        <f ca="1">_xll.DBRW($C$1,$C$2,$C$3,$C$4,$C$6,$C$5,$C$7,AI$1,AI$2,$A210)</f>
        <v>5.2307295860232577</v>
      </c>
      <c r="AJ210" s="32">
        <f ca="1">_xll.DBRW($C$1,$C$2,$C$3,$C$4,$C$6,$C$5,$C$7,AJ$1,AJ$2,$A210)</f>
        <v>5.8192245075840443</v>
      </c>
      <c r="AK210" s="32">
        <f ca="1">_xll.DBRW($C$1,$C$2,$C$3,$C$4,$C$6,$C$5,$C$7,AK$1,AK$2,$A210)</f>
        <v>6.5165845978538748</v>
      </c>
      <c r="AL210" s="32">
        <f ca="1">_xll.DBRW($C$1,$C$2,$C$3,$C$4,$C$6,$C$5,$C$7,AL$1,AL$2,$A210)</f>
        <v>6.5165845978538748</v>
      </c>
      <c r="AM210" s="32">
        <f ca="1">_xll.DBRW($C$1,$C$2,$C$3,$C$4,$C$6,$C$5,$C$7,AM$1,AM$2,$A210)</f>
        <v>-0.18636590000000022</v>
      </c>
      <c r="AN210" s="32">
        <f ca="1">_xll.DBRW($C$1,$C$2,$C$3,$C$4,$C$6,$C$5,$C$7,AN$1,AN$2,$A210)</f>
        <v>1.4493825709999997</v>
      </c>
      <c r="AO210" s="32">
        <f ca="1">_xll.DBRW($C$1,$C$2,$C$3,$C$4,$C$6,$C$5,$C$7,AO$1,AO$2,$A210)</f>
        <v>4.8550000000000013</v>
      </c>
      <c r="AP210" s="32">
        <f ca="1">_xll.DBRW($C$1,$C$2,$C$3,$C$4,$C$6,$C$5,$C$7,AP$1,AP$2,$A210)</f>
        <v>4.8550000000000013</v>
      </c>
      <c r="AQ210" s="32">
        <f ca="1">_xll.DBRW($C$1,$C$2,$C$3,$C$4,$C$6,$C$5,$C$7,AQ$1,AQ$2,$A210)</f>
        <v>4.8550000000000013</v>
      </c>
      <c r="AR210" s="32">
        <f ca="1">_xll.DBRW($C$1,$C$2,$C$3,$C$4,$C$6,$C$5,$C$7,AR$1,AR$2,$A210)</f>
        <v>4.8550000000000013</v>
      </c>
      <c r="AS210" s="32">
        <f ca="1">_xll.DBRW($C$1,$C$2,$C$3,$C$4,$C$6,$C$5,$C$7,AS$1,AS$2,$A210)</f>
        <v>4.8550000000000013</v>
      </c>
      <c r="AT210" s="32">
        <f ca="1">_xll.DBRW($C$1,$C$2,$C$3,$C$4,$C$6,$C$5,$C$7,AT$1,AT$2,$A210)</f>
        <v>4.8550000000000013</v>
      </c>
      <c r="AU210" s="32">
        <f ca="1">_xll.DBRW($C$1,$C$2,$C$3,$C$4,$C$6,$C$5,$C$7,AU$1,AU$2,$A210)</f>
        <v>4.8550000000000013</v>
      </c>
      <c r="AV210" s="32">
        <f ca="1">_xll.DBRW($C$1,$C$2,$C$3,$C$4,$C$6,$C$5,$C$7,AV$1,AV$2,$A210)</f>
        <v>4.8550000000000013</v>
      </c>
      <c r="AW210" s="32">
        <f ca="1">_xll.DBRW($C$1,$C$2,$C$3,$C$4,$C$6,$C$5,$C$7,AW$1,AW$2,$A210)</f>
        <v>4.8550000000000013</v>
      </c>
      <c r="AX210" s="32">
        <f ca="1">_xll.DBRW($C$1,$C$2,$C$3,$C$4,$C$6,$C$5,$C$7,AX$1,AX$2,$A210)</f>
        <v>4.8550000000000013</v>
      </c>
      <c r="AY210" s="32">
        <f ca="1">_xll.DBRW($C$1,$C$2,$C$3,$C$4,$C$6,$C$5,$C$7,AY$1,AY$2,$A210)</f>
        <v>4.8550000000000013</v>
      </c>
    </row>
    <row r="211" spans="1:51" ht="15.75" hidden="1" customHeight="1" outlineLevel="1">
      <c r="A211" s="1" t="s">
        <v>298</v>
      </c>
      <c r="C211" s="104"/>
      <c r="E211" s="9" t="str">
        <f ca="1">_xll.DBRW(Server&amp;"}ElementAttributes_Indicator",A211,"code_English")</f>
        <v>PL1160_XX - Vector Reconciliation (TPL11) - Gains/losses on disposal of tangible &amp; intangible fixed assets</v>
      </c>
      <c r="F211" s="32">
        <f ca="1">_xll.DBRW($C$1,$C$2,$C$3,$C$4,$C$6,$C$5,$C$7,F$1,F$2,$A211)</f>
        <v>22.237998669926593</v>
      </c>
      <c r="G211" s="32">
        <f ca="1">_xll.DBRW($C$1,$C$2,$C$3,$C$4,$C$6,$C$5,$C$7,G$1,G$2,$A211)</f>
        <v>9.2808097481256056</v>
      </c>
      <c r="H211" s="32">
        <f ca="1">_xll.DBRW($C$1,$C$2,$C$3,$C$4,$C$6,$C$5,$C$7,H$1,H$2,$A211)</f>
        <v>3.0520892374073503</v>
      </c>
      <c r="I211" s="32">
        <f ca="1">_xll.DBRW($C$1,$C$2,$C$3,$C$4,$C$6,$C$5,$C$7,I$1,I$2,$A211)</f>
        <v>1.5444489718779133</v>
      </c>
      <c r="J211" s="32">
        <f ca="1">_xll.DBRW($C$1,$C$2,$C$3,$C$4,$C$6,$C$5,$C$7,J$1,J$2,$A211)</f>
        <v>14.475128998701368</v>
      </c>
      <c r="K211" s="32">
        <f ca="1">_xll.DBRW($C$1,$C$2,$C$3,$C$4,$C$6,$C$5,$C$7,K$1,K$2,$A211)</f>
        <v>31.831041433288249</v>
      </c>
      <c r="L211" s="32">
        <f ca="1">_xll.DBRW($C$1,$C$2,$C$3,$C$4,$C$6,$C$5,$C$7,L$1,L$2,$A211)</f>
        <v>22.269163270999996</v>
      </c>
      <c r="M211" s="32">
        <f ca="1">_xll.DBRW($C$1,$C$2,$C$3,$C$4,$C$6,$C$5,$C$7,M$1,M$2,$A211)</f>
        <v>1.4899427629994595</v>
      </c>
      <c r="N211" s="32">
        <f ca="1">_xll.DBRW($C$1,$C$2,$C$3,$C$4,$C$6,$C$5,$C$7,N$1,N$2,$A211)</f>
        <v>1.2937089982341681</v>
      </c>
      <c r="O211" s="32">
        <f ca="1">_xll.DBRW($C$1,$C$2,$C$3,$C$4,$C$6,$C$5,$C$7,O$1,O$2,$A211)</f>
        <v>3.2142980744363601</v>
      </c>
      <c r="P211" s="32">
        <f ca="1">_xll.DBRW($C$1,$C$2,$C$3,$C$4,$C$6,$C$5,$C$7,P$1,P$2,$A211)</f>
        <v>1.8420053924299722</v>
      </c>
      <c r="Q211" s="32">
        <f ca="1">_xll.DBRW($C$1,$C$2,$C$3,$C$4,$C$6,$C$5,$C$7,Q$1,Q$2,$A211)</f>
        <v>2.7398195668941865</v>
      </c>
      <c r="R211" s="32">
        <f ca="1">_xll.DBRW($C$1,$C$2,$C$3,$C$4,$C$6,$C$5,$C$7,R$1,R$2,$A211)</f>
        <v>4.6770271639981447</v>
      </c>
      <c r="S211" s="32">
        <f ca="1">_xll.DBRW($C$1,$C$2,$C$3,$C$4,$C$6,$C$5,$C$7,S$1,S$2,$A211)</f>
        <v>-0.5759643992459933</v>
      </c>
      <c r="T211" s="32">
        <f ca="1">_xll.DBRW($C$1,$C$2,$C$3,$C$4,$C$6,$C$5,$C$7,T$1,T$2,$A211)</f>
        <v>38.752224532891539</v>
      </c>
      <c r="U211" s="32">
        <f ca="1">_xll.DBRW($C$1,$C$2,$C$3,$C$4,$C$6,$C$5,$C$7,U$1,U$2,$A211)</f>
        <v>38.25298141110941</v>
      </c>
      <c r="V211" s="32">
        <f ca="1">_xll.DBRW($C$1,$C$2,$C$3,$C$4,$C$6,$C$5,$C$7,V$1,V$2,$A211)</f>
        <v>44.741692537249264</v>
      </c>
      <c r="W211" s="32">
        <f ca="1">_xll.DBRW($C$1,$C$2,$C$3,$C$4,$C$6,$C$5,$C$7,W$1,W$2,$A211)</f>
        <v>38.365965028090159</v>
      </c>
      <c r="X211" s="32">
        <f ca="1">_xll.DBRW($C$1,$C$2,$C$3,$C$4,$C$6,$C$5,$C$7,X$1,X$2,$A211)</f>
        <v>46.483365296185873</v>
      </c>
      <c r="Y211" s="32">
        <f ca="1">_xll.DBRW($C$1,$C$2,$C$3,$C$4,$C$6,$C$5,$C$7,Y$1,Y$2,$A211)</f>
        <v>46.483365296185873</v>
      </c>
      <c r="Z211" s="32">
        <f ca="1">_xll.DBRW($C$1,$C$2,$C$3,$C$4,$C$6,$C$5,$C$7,Z$1,Z$2,$A211)</f>
        <v>5.892750874499999</v>
      </c>
      <c r="AA211" s="32">
        <f ca="1">_xll.DBRW($C$1,$C$2,$C$3,$C$4,$C$6,$C$5,$C$7,AA$1,AA$2,$A211)</f>
        <v>5.8691049699999986</v>
      </c>
      <c r="AB211" s="32">
        <f ca="1">_xll.DBRW($C$1,$C$2,$C$3,$C$4,$C$6,$C$5,$C$7,AB$1,AB$2,$A211)</f>
        <v>5.8787590644999987</v>
      </c>
      <c r="AC211" s="32">
        <f ca="1">_xll.DBRW($C$1,$C$2,$C$3,$C$4,$C$6,$C$5,$C$7,AC$1,AC$2,$A211)</f>
        <v>6.1109201209999986</v>
      </c>
      <c r="AD211" s="32">
        <f ca="1">_xll.DBRW($C$1,$C$2,$C$3,$C$4,$C$6,$C$5,$C$7,AD$1,AD$2,$A211)</f>
        <v>6.125774215499999</v>
      </c>
      <c r="AE211" s="32">
        <f ca="1">_xll.DBRW($C$1,$C$2,$C$3,$C$4,$C$6,$C$5,$C$7,AE$1,AE$2,$A211)</f>
        <v>6.1372215919999986</v>
      </c>
      <c r="AF211" s="32">
        <f ca="1">_xll.DBRW($C$1,$C$2,$C$3,$C$4,$C$6,$C$5,$C$7,AF$1,AF$2,$A211)</f>
        <v>20.822094536499996</v>
      </c>
      <c r="AG211" s="32">
        <f ca="1">_xll.DBRW($C$1,$C$2,$C$3,$C$4,$C$6,$C$5,$C$7,AG$1,AG$2,$A211)</f>
        <v>21.075882091999997</v>
      </c>
      <c r="AH211" s="32">
        <f ca="1">_xll.DBRW($C$1,$C$2,$C$3,$C$4,$C$6,$C$5,$C$7,AH$1,AH$2,$A211)</f>
        <v>21.495995141499996</v>
      </c>
      <c r="AI211" s="32">
        <f ca="1">_xll.DBRW($C$1,$C$2,$C$3,$C$4,$C$6,$C$5,$C$7,AI$1,AI$2,$A211)</f>
        <v>21.512849236999998</v>
      </c>
      <c r="AJ211" s="32">
        <f ca="1">_xll.DBRW($C$1,$C$2,$C$3,$C$4,$C$6,$C$5,$C$7,AJ$1,AJ$2,$A211)</f>
        <v>21.528032190499996</v>
      </c>
      <c r="AK211" s="32">
        <f ca="1">_xll.DBRW($C$1,$C$2,$C$3,$C$4,$C$6,$C$5,$C$7,AK$1,AK$2,$A211)</f>
        <v>20.868965162999999</v>
      </c>
      <c r="AL211" s="32">
        <f ca="1">_xll.DBRW($C$1,$C$2,$C$3,$C$4,$C$6,$C$5,$C$7,AL$1,AL$2,$A211)</f>
        <v>20.868965162999999</v>
      </c>
      <c r="AM211" s="32">
        <f ca="1">_xll.DBRW($C$1,$C$2,$C$3,$C$4,$C$6,$C$5,$C$7,AM$1,AM$2,$A211)</f>
        <v>1.347180072692358</v>
      </c>
      <c r="AN211" s="32">
        <f ca="1">_xll.DBRW($C$1,$C$2,$C$3,$C$4,$C$6,$C$5,$C$7,AN$1,AN$2,$A211)</f>
        <v>0.35924903873489078</v>
      </c>
      <c r="AO211" s="32">
        <f ca="1">_xll.DBRW($C$1,$C$2,$C$3,$C$4,$C$6,$C$5,$C$7,AO$1,AO$2,$A211)</f>
        <v>0.90961893499999957</v>
      </c>
      <c r="AP211" s="32">
        <f ca="1">_xll.DBRW($C$1,$C$2,$C$3,$C$4,$C$6,$C$5,$C$7,AP$1,AP$2,$A211)</f>
        <v>0.90961893499999957</v>
      </c>
      <c r="AQ211" s="32">
        <f ca="1">_xll.DBRW($C$1,$C$2,$C$3,$C$4,$C$6,$C$5,$C$7,AQ$1,AQ$2,$A211)</f>
        <v>0.90961893499999957</v>
      </c>
      <c r="AR211" s="32">
        <f ca="1">_xll.DBRW($C$1,$C$2,$C$3,$C$4,$C$6,$C$5,$C$7,AR$1,AR$2,$A211)</f>
        <v>0.90961893499999957</v>
      </c>
      <c r="AS211" s="32">
        <f ca="1">_xll.DBRW($C$1,$C$2,$C$3,$C$4,$C$6,$C$5,$C$7,AS$1,AS$2,$A211)</f>
        <v>0.90961893499999957</v>
      </c>
      <c r="AT211" s="32">
        <f ca="1">_xll.DBRW($C$1,$C$2,$C$3,$C$4,$C$6,$C$5,$C$7,AT$1,AT$2,$A211)</f>
        <v>0.90961893499999957</v>
      </c>
      <c r="AU211" s="32">
        <f ca="1">_xll.DBRW($C$1,$C$2,$C$3,$C$4,$C$6,$C$5,$C$7,AU$1,AU$2,$A211)</f>
        <v>0.90961893499999957</v>
      </c>
      <c r="AV211" s="32">
        <f ca="1">_xll.DBRW($C$1,$C$2,$C$3,$C$4,$C$6,$C$5,$C$7,AV$1,AV$2,$A211)</f>
        <v>0.90961893499999957</v>
      </c>
      <c r="AW211" s="32">
        <f ca="1">_xll.DBRW($C$1,$C$2,$C$3,$C$4,$C$6,$C$5,$C$7,AW$1,AW$2,$A211)</f>
        <v>0.90961893499999957</v>
      </c>
      <c r="AX211" s="32">
        <f ca="1">_xll.DBRW($C$1,$C$2,$C$3,$C$4,$C$6,$C$5,$C$7,AX$1,AX$2,$A211)</f>
        <v>0.90961893499999957</v>
      </c>
      <c r="AY211" s="32">
        <f ca="1">_xll.DBRW($C$1,$C$2,$C$3,$C$4,$C$6,$C$5,$C$7,AY$1,AY$2,$A211)</f>
        <v>0.90961893499999957</v>
      </c>
    </row>
    <row r="212" spans="1:51" ht="15.75" hidden="1" customHeight="1" outlineLevel="1">
      <c r="A212" s="1" t="s">
        <v>299</v>
      </c>
      <c r="C212" s="104"/>
      <c r="E212" s="9" t="str">
        <f ca="1">_xll.DBRW(Server&amp;"}ElementAttributes_Indicator",A212,"code_English")</f>
        <v>PL1161_XX - Vector Reconciliation (TPL11) - Gains/losses on write-off of contract costs</v>
      </c>
      <c r="F212" s="32">
        <f ca="1">_xll.DBRW($C$1,$C$2,$C$3,$C$4,$C$6,$C$5,$C$7,F$1,F$2,$A212)</f>
        <v>0</v>
      </c>
      <c r="G212" s="32">
        <f ca="1">_xll.DBRW($C$1,$C$2,$C$3,$C$4,$C$6,$C$5,$C$7,G$1,G$2,$A212)</f>
        <v>0</v>
      </c>
      <c r="H212" s="32">
        <f ca="1">_xll.DBRW($C$1,$C$2,$C$3,$C$4,$C$6,$C$5,$C$7,H$1,H$2,$A212)</f>
        <v>-2E-3</v>
      </c>
      <c r="I212" s="32">
        <f ca="1">_xll.DBRW($C$1,$C$2,$C$3,$C$4,$C$6,$C$5,$C$7,I$1,I$2,$A212)</f>
        <v>0</v>
      </c>
      <c r="J212" s="32">
        <f ca="1">_xll.DBRW($C$1,$C$2,$C$3,$C$4,$C$6,$C$5,$C$7,J$1,J$2,$A212)</f>
        <v>0</v>
      </c>
      <c r="K212" s="32">
        <f ca="1">_xll.DBRW($C$1,$C$2,$C$3,$C$4,$C$6,$C$5,$C$7,K$1,K$2,$A212)</f>
        <v>0</v>
      </c>
      <c r="L212" s="32">
        <f ca="1">_xll.DBRW($C$1,$C$2,$C$3,$C$4,$C$6,$C$5,$C$7,L$1,L$2,$A212)</f>
        <v>0</v>
      </c>
      <c r="M212" s="32">
        <f ca="1">_xll.DBRW($C$1,$C$2,$C$3,$C$4,$C$6,$C$5,$C$7,M$1,M$2,$A212)</f>
        <v>0</v>
      </c>
      <c r="N212" s="32">
        <f ca="1">_xll.DBRW($C$1,$C$2,$C$3,$C$4,$C$6,$C$5,$C$7,N$1,N$2,$A212)</f>
        <v>0</v>
      </c>
      <c r="O212" s="32">
        <f ca="1">_xll.DBRW($C$1,$C$2,$C$3,$C$4,$C$6,$C$5,$C$7,O$1,O$2,$A212)</f>
        <v>0</v>
      </c>
      <c r="P212" s="32">
        <f ca="1">_xll.DBRW($C$1,$C$2,$C$3,$C$4,$C$6,$C$5,$C$7,P$1,P$2,$A212)</f>
        <v>0</v>
      </c>
      <c r="Q212" s="32">
        <f ca="1">_xll.DBRW($C$1,$C$2,$C$3,$C$4,$C$6,$C$5,$C$7,Q$1,Q$2,$A212)</f>
        <v>1.0999999999999999E-2</v>
      </c>
      <c r="R212" s="32">
        <f ca="1">_xll.DBRW($C$1,$C$2,$C$3,$C$4,$C$6,$C$5,$C$7,R$1,R$2,$A212)</f>
        <v>0</v>
      </c>
      <c r="S212" s="32">
        <f ca="1">_xll.DBRW($C$1,$C$2,$C$3,$C$4,$C$6,$C$5,$C$7,S$1,S$2,$A212)</f>
        <v>0</v>
      </c>
      <c r="T212" s="32">
        <f ca="1">_xll.DBRW($C$1,$C$2,$C$3,$C$4,$C$6,$C$5,$C$7,T$1,T$2,$A212)</f>
        <v>0</v>
      </c>
      <c r="U212" s="32">
        <f ca="1">_xll.DBRW($C$1,$C$2,$C$3,$C$4,$C$6,$C$5,$C$7,U$1,U$2,$A212)</f>
        <v>0</v>
      </c>
      <c r="V212" s="32">
        <f ca="1">_xll.DBRW($C$1,$C$2,$C$3,$C$4,$C$6,$C$5,$C$7,V$1,V$2,$A212)</f>
        <v>0</v>
      </c>
      <c r="W212" s="32">
        <f ca="1">_xll.DBRW($C$1,$C$2,$C$3,$C$4,$C$6,$C$5,$C$7,W$1,W$2,$A212)</f>
        <v>0</v>
      </c>
      <c r="X212" s="32">
        <f ca="1">_xll.DBRW($C$1,$C$2,$C$3,$C$4,$C$6,$C$5,$C$7,X$1,X$2,$A212)</f>
        <v>0</v>
      </c>
      <c r="Y212" s="32">
        <f ca="1">_xll.DBRW($C$1,$C$2,$C$3,$C$4,$C$6,$C$5,$C$7,Y$1,Y$2,$A212)</f>
        <v>0</v>
      </c>
      <c r="Z212" s="32">
        <f ca="1">_xll.DBRW($C$1,$C$2,$C$3,$C$4,$C$6,$C$5,$C$7,Z$1,Z$2,$A212)</f>
        <v>0</v>
      </c>
      <c r="AA212" s="32">
        <f ca="1">_xll.DBRW($C$1,$C$2,$C$3,$C$4,$C$6,$C$5,$C$7,AA$1,AA$2,$A212)</f>
        <v>0</v>
      </c>
      <c r="AB212" s="32">
        <f ca="1">_xll.DBRW($C$1,$C$2,$C$3,$C$4,$C$6,$C$5,$C$7,AB$1,AB$2,$A212)</f>
        <v>0</v>
      </c>
      <c r="AC212" s="32">
        <f ca="1">_xll.DBRW($C$1,$C$2,$C$3,$C$4,$C$6,$C$5,$C$7,AC$1,AC$2,$A212)</f>
        <v>0</v>
      </c>
      <c r="AD212" s="32">
        <f ca="1">_xll.DBRW($C$1,$C$2,$C$3,$C$4,$C$6,$C$5,$C$7,AD$1,AD$2,$A212)</f>
        <v>0</v>
      </c>
      <c r="AE212" s="32">
        <f ca="1">_xll.DBRW($C$1,$C$2,$C$3,$C$4,$C$6,$C$5,$C$7,AE$1,AE$2,$A212)</f>
        <v>0</v>
      </c>
      <c r="AF212" s="32">
        <f ca="1">_xll.DBRW($C$1,$C$2,$C$3,$C$4,$C$6,$C$5,$C$7,AF$1,AF$2,$A212)</f>
        <v>0</v>
      </c>
      <c r="AG212" s="32">
        <f ca="1">_xll.DBRW($C$1,$C$2,$C$3,$C$4,$C$6,$C$5,$C$7,AG$1,AG$2,$A212)</f>
        <v>0</v>
      </c>
      <c r="AH212" s="32">
        <f ca="1">_xll.DBRW($C$1,$C$2,$C$3,$C$4,$C$6,$C$5,$C$7,AH$1,AH$2,$A212)</f>
        <v>0</v>
      </c>
      <c r="AI212" s="32">
        <f ca="1">_xll.DBRW($C$1,$C$2,$C$3,$C$4,$C$6,$C$5,$C$7,AI$1,AI$2,$A212)</f>
        <v>0</v>
      </c>
      <c r="AJ212" s="32">
        <f ca="1">_xll.DBRW($C$1,$C$2,$C$3,$C$4,$C$6,$C$5,$C$7,AJ$1,AJ$2,$A212)</f>
        <v>0</v>
      </c>
      <c r="AK212" s="32">
        <f ca="1">_xll.DBRW($C$1,$C$2,$C$3,$C$4,$C$6,$C$5,$C$7,AK$1,AK$2,$A212)</f>
        <v>0</v>
      </c>
      <c r="AL212" s="32">
        <f ca="1">_xll.DBRW($C$1,$C$2,$C$3,$C$4,$C$6,$C$5,$C$7,AL$1,AL$2,$A212)</f>
        <v>0</v>
      </c>
      <c r="AM212" s="32">
        <f ca="1">_xll.DBRW($C$1,$C$2,$C$3,$C$4,$C$6,$C$5,$C$7,AM$1,AM$2,$A212)</f>
        <v>0</v>
      </c>
      <c r="AN212" s="32">
        <f ca="1">_xll.DBRW($C$1,$C$2,$C$3,$C$4,$C$6,$C$5,$C$7,AN$1,AN$2,$A212)</f>
        <v>0</v>
      </c>
      <c r="AO212" s="32">
        <f ca="1">_xll.DBRW($C$1,$C$2,$C$3,$C$4,$C$6,$C$5,$C$7,AO$1,AO$2,$A212)</f>
        <v>0</v>
      </c>
      <c r="AP212" s="32">
        <f ca="1">_xll.DBRW($C$1,$C$2,$C$3,$C$4,$C$6,$C$5,$C$7,AP$1,AP$2,$A212)</f>
        <v>0</v>
      </c>
      <c r="AQ212" s="32">
        <f ca="1">_xll.DBRW($C$1,$C$2,$C$3,$C$4,$C$6,$C$5,$C$7,AQ$1,AQ$2,$A212)</f>
        <v>0</v>
      </c>
      <c r="AR212" s="32">
        <f ca="1">_xll.DBRW($C$1,$C$2,$C$3,$C$4,$C$6,$C$5,$C$7,AR$1,AR$2,$A212)</f>
        <v>0</v>
      </c>
      <c r="AS212" s="32">
        <f ca="1">_xll.DBRW($C$1,$C$2,$C$3,$C$4,$C$6,$C$5,$C$7,AS$1,AS$2,$A212)</f>
        <v>0</v>
      </c>
      <c r="AT212" s="32">
        <f ca="1">_xll.DBRW($C$1,$C$2,$C$3,$C$4,$C$6,$C$5,$C$7,AT$1,AT$2,$A212)</f>
        <v>0</v>
      </c>
      <c r="AU212" s="32">
        <f ca="1">_xll.DBRW($C$1,$C$2,$C$3,$C$4,$C$6,$C$5,$C$7,AU$1,AU$2,$A212)</f>
        <v>0</v>
      </c>
      <c r="AV212" s="32">
        <f ca="1">_xll.DBRW($C$1,$C$2,$C$3,$C$4,$C$6,$C$5,$C$7,AV$1,AV$2,$A212)</f>
        <v>0</v>
      </c>
      <c r="AW212" s="32">
        <f ca="1">_xll.DBRW($C$1,$C$2,$C$3,$C$4,$C$6,$C$5,$C$7,AW$1,AW$2,$A212)</f>
        <v>0</v>
      </c>
      <c r="AX212" s="32">
        <f ca="1">_xll.DBRW($C$1,$C$2,$C$3,$C$4,$C$6,$C$5,$C$7,AX$1,AX$2,$A212)</f>
        <v>0</v>
      </c>
      <c r="AY212" s="32">
        <f ca="1">_xll.DBRW($C$1,$C$2,$C$3,$C$4,$C$6,$C$5,$C$7,AY$1,AY$2,$A212)</f>
        <v>0</v>
      </c>
    </row>
    <row r="213" spans="1:51" ht="15.75" hidden="1" customHeight="1" outlineLevel="1">
      <c r="A213" s="1" t="s">
        <v>300</v>
      </c>
      <c r="C213" s="104"/>
      <c r="E213" s="9" t="str">
        <f ca="1">_xll.DBRW(Server&amp;"}ElementAttributes_Indicator",A213,"code_English")</f>
        <v>PL1162_XX - Réconciliation Vector (TPL11) - COS - Gains/losses on disposal of right-of-use</v>
      </c>
      <c r="F213" s="32">
        <f ca="1">_xll.DBRW($C$1,$C$2,$C$3,$C$4,$C$6,$C$5,$C$7,F$1,F$2,$A213)</f>
        <v>0</v>
      </c>
      <c r="G213" s="32">
        <f ca="1">_xll.DBRW($C$1,$C$2,$C$3,$C$4,$C$6,$C$5,$C$7,G$1,G$2,$A213)</f>
        <v>0</v>
      </c>
      <c r="H213" s="32">
        <f ca="1">_xll.DBRW($C$1,$C$2,$C$3,$C$4,$C$6,$C$5,$C$7,H$1,H$2,$A213)</f>
        <v>0</v>
      </c>
      <c r="I213" s="32">
        <f ca="1">_xll.DBRW($C$1,$C$2,$C$3,$C$4,$C$6,$C$5,$C$7,I$1,I$2,$A213)</f>
        <v>-4.412199999999809E-4</v>
      </c>
      <c r="J213" s="32">
        <f ca="1">_xll.DBRW($C$1,$C$2,$C$3,$C$4,$C$6,$C$5,$C$7,J$1,J$2,$A213)</f>
        <v>-1.3129851847012177</v>
      </c>
      <c r="K213" s="32">
        <f ca="1">_xll.DBRW($C$1,$C$2,$C$3,$C$4,$C$6,$C$5,$C$7,K$1,K$2,$A213)</f>
        <v>-1.305986103</v>
      </c>
      <c r="L213" s="32">
        <f ca="1">_xll.DBRW($C$1,$C$2,$C$3,$C$4,$C$6,$C$5,$C$7,L$1,L$2,$A213)</f>
        <v>-3.6999999999999998E-2</v>
      </c>
      <c r="M213" s="32">
        <f ca="1">_xll.DBRW($C$1,$C$2,$C$3,$C$4,$C$6,$C$5,$C$7,M$1,M$2,$A213)</f>
        <v>0</v>
      </c>
      <c r="N213" s="32">
        <f ca="1">_xll.DBRW($C$1,$C$2,$C$3,$C$4,$C$6,$C$5,$C$7,N$1,N$2,$A213)</f>
        <v>0</v>
      </c>
      <c r="O213" s="32">
        <f ca="1">_xll.DBRW($C$1,$C$2,$C$3,$C$4,$C$6,$C$5,$C$7,O$1,O$2,$A213)</f>
        <v>0</v>
      </c>
      <c r="P213" s="32">
        <f ca="1">_xll.DBRW($C$1,$C$2,$C$3,$C$4,$C$6,$C$5,$C$7,P$1,P$2,$A213)</f>
        <v>0</v>
      </c>
      <c r="Q213" s="32">
        <f ca="1">_xll.DBRW($C$1,$C$2,$C$3,$C$4,$C$6,$C$5,$C$7,Q$1,Q$2,$A213)</f>
        <v>0</v>
      </c>
      <c r="R213" s="32">
        <f ca="1">_xll.DBRW($C$1,$C$2,$C$3,$C$4,$C$6,$C$5,$C$7,R$1,R$2,$A213)</f>
        <v>0</v>
      </c>
      <c r="S213" s="32">
        <f ca="1">_xll.DBRW($C$1,$C$2,$C$3,$C$4,$C$6,$C$5,$C$7,S$1,S$2,$A213)</f>
        <v>0</v>
      </c>
      <c r="T213" s="32">
        <f ca="1">_xll.DBRW($C$1,$C$2,$C$3,$C$4,$C$6,$C$5,$C$7,T$1,T$2,$A213)</f>
        <v>-0.01</v>
      </c>
      <c r="U213" s="32">
        <f ca="1">_xll.DBRW($C$1,$C$2,$C$3,$C$4,$C$6,$C$5,$C$7,U$1,U$2,$A213)</f>
        <v>-1.4E-2</v>
      </c>
      <c r="V213" s="32">
        <f ca="1">_xll.DBRW($C$1,$C$2,$C$3,$C$4,$C$6,$C$5,$C$7,V$1,V$2,$A213)</f>
        <v>-1.0589053559999999</v>
      </c>
      <c r="W213" s="32">
        <f ca="1">_xll.DBRW($C$1,$C$2,$C$3,$C$4,$C$6,$C$5,$C$7,W$1,W$2,$A213)</f>
        <v>-1.076252177</v>
      </c>
      <c r="X213" s="32">
        <f ca="1">_xll.DBRW($C$1,$C$2,$C$3,$C$4,$C$6,$C$5,$C$7,X$1,X$2,$A213)</f>
        <v>-1.0788988350000002</v>
      </c>
      <c r="Y213" s="32">
        <f ca="1">_xll.DBRW($C$1,$C$2,$C$3,$C$4,$C$6,$C$5,$C$7,Y$1,Y$2,$A213)</f>
        <v>-1.0788988350000002</v>
      </c>
      <c r="Z213" s="32">
        <f ca="1">_xll.DBRW($C$1,$C$2,$C$3,$C$4,$C$6,$C$5,$C$7,Z$1,Z$2,$A213)</f>
        <v>0</v>
      </c>
      <c r="AA213" s="32">
        <f ca="1">_xll.DBRW($C$1,$C$2,$C$3,$C$4,$C$6,$C$5,$C$7,AA$1,AA$2,$A213)</f>
        <v>0</v>
      </c>
      <c r="AB213" s="32">
        <f ca="1">_xll.DBRW($C$1,$C$2,$C$3,$C$4,$C$6,$C$5,$C$7,AB$1,AB$2,$A213)</f>
        <v>0</v>
      </c>
      <c r="AC213" s="32">
        <f ca="1">_xll.DBRW($C$1,$C$2,$C$3,$C$4,$C$6,$C$5,$C$7,AC$1,AC$2,$A213)</f>
        <v>0</v>
      </c>
      <c r="AD213" s="32">
        <f ca="1">_xll.DBRW($C$1,$C$2,$C$3,$C$4,$C$6,$C$5,$C$7,AD$1,AD$2,$A213)</f>
        <v>0</v>
      </c>
      <c r="AE213" s="32">
        <f ca="1">_xll.DBRW($C$1,$C$2,$C$3,$C$4,$C$6,$C$5,$C$7,AE$1,AE$2,$A213)</f>
        <v>0</v>
      </c>
      <c r="AF213" s="32">
        <f ca="1">_xll.DBRW($C$1,$C$2,$C$3,$C$4,$C$6,$C$5,$C$7,AF$1,AF$2,$A213)</f>
        <v>0</v>
      </c>
      <c r="AG213" s="32">
        <f ca="1">_xll.DBRW($C$1,$C$2,$C$3,$C$4,$C$6,$C$5,$C$7,AG$1,AG$2,$A213)</f>
        <v>0</v>
      </c>
      <c r="AH213" s="32">
        <f ca="1">_xll.DBRW($C$1,$C$2,$C$3,$C$4,$C$6,$C$5,$C$7,AH$1,AH$2,$A213)</f>
        <v>0</v>
      </c>
      <c r="AI213" s="32">
        <f ca="1">_xll.DBRW($C$1,$C$2,$C$3,$C$4,$C$6,$C$5,$C$7,AI$1,AI$2,$A213)</f>
        <v>0</v>
      </c>
      <c r="AJ213" s="32">
        <f ca="1">_xll.DBRW($C$1,$C$2,$C$3,$C$4,$C$6,$C$5,$C$7,AJ$1,AJ$2,$A213)</f>
        <v>0</v>
      </c>
      <c r="AK213" s="32">
        <f ca="1">_xll.DBRW($C$1,$C$2,$C$3,$C$4,$C$6,$C$5,$C$7,AK$1,AK$2,$A213)</f>
        <v>0</v>
      </c>
      <c r="AL213" s="32">
        <f ca="1">_xll.DBRW($C$1,$C$2,$C$3,$C$4,$C$6,$C$5,$C$7,AL$1,AL$2,$A213)</f>
        <v>0</v>
      </c>
      <c r="AM213" s="32">
        <f ca="1">_xll.DBRW($C$1,$C$2,$C$3,$C$4,$C$6,$C$5,$C$7,AM$1,AM$2,$A213)</f>
        <v>0</v>
      </c>
      <c r="AN213" s="32">
        <f ca="1">_xll.DBRW($C$1,$C$2,$C$3,$C$4,$C$6,$C$5,$C$7,AN$1,AN$2,$A213)</f>
        <v>-4.5899999999999999E-4</v>
      </c>
      <c r="AO213" s="32">
        <f ca="1">_xll.DBRW($C$1,$C$2,$C$3,$C$4,$C$6,$C$5,$C$7,AO$1,AO$2,$A213)</f>
        <v>5.9999999999999993E-3</v>
      </c>
      <c r="AP213" s="32">
        <f ca="1">_xll.DBRW($C$1,$C$2,$C$3,$C$4,$C$6,$C$5,$C$7,AP$1,AP$2,$A213)</f>
        <v>5.9999999999999993E-3</v>
      </c>
      <c r="AQ213" s="32">
        <f ca="1">_xll.DBRW($C$1,$C$2,$C$3,$C$4,$C$6,$C$5,$C$7,AQ$1,AQ$2,$A213)</f>
        <v>5.9999999999999993E-3</v>
      </c>
      <c r="AR213" s="32">
        <f ca="1">_xll.DBRW($C$1,$C$2,$C$3,$C$4,$C$6,$C$5,$C$7,AR$1,AR$2,$A213)</f>
        <v>5.9999999999999993E-3</v>
      </c>
      <c r="AS213" s="32">
        <f ca="1">_xll.DBRW($C$1,$C$2,$C$3,$C$4,$C$6,$C$5,$C$7,AS$1,AS$2,$A213)</f>
        <v>5.9999999999999993E-3</v>
      </c>
      <c r="AT213" s="32">
        <f ca="1">_xll.DBRW($C$1,$C$2,$C$3,$C$4,$C$6,$C$5,$C$7,AT$1,AT$2,$A213)</f>
        <v>5.9999999999999993E-3</v>
      </c>
      <c r="AU213" s="32">
        <f ca="1">_xll.DBRW($C$1,$C$2,$C$3,$C$4,$C$6,$C$5,$C$7,AU$1,AU$2,$A213)</f>
        <v>5.9999999999999993E-3</v>
      </c>
      <c r="AV213" s="32">
        <f ca="1">_xll.DBRW($C$1,$C$2,$C$3,$C$4,$C$6,$C$5,$C$7,AV$1,AV$2,$A213)</f>
        <v>5.9999999999999993E-3</v>
      </c>
      <c r="AW213" s="32">
        <f ca="1">_xll.DBRW($C$1,$C$2,$C$3,$C$4,$C$6,$C$5,$C$7,AW$1,AW$2,$A213)</f>
        <v>5.9999999999999993E-3</v>
      </c>
      <c r="AX213" s="32">
        <f ca="1">_xll.DBRW($C$1,$C$2,$C$3,$C$4,$C$6,$C$5,$C$7,AX$1,AX$2,$A213)</f>
        <v>5.9999999999999993E-3</v>
      </c>
      <c r="AY213" s="32">
        <f ca="1">_xll.DBRW($C$1,$C$2,$C$3,$C$4,$C$6,$C$5,$C$7,AY$1,AY$2,$A213)</f>
        <v>5.9999999999999993E-3</v>
      </c>
    </row>
    <row r="214" spans="1:51" ht="15.75" hidden="1" customHeight="1" outlineLevel="1">
      <c r="A214" s="1" t="s">
        <v>301</v>
      </c>
      <c r="C214" s="104"/>
      <c r="E214" s="9" t="str">
        <f ca="1">_xll.DBRW(Server&amp;"}ElementAttributes_Indicator",A214,"code_English")</f>
        <v>PL1165_XX - Vector Reconciliation (TPL11) - Restructuring costs</v>
      </c>
      <c r="F214" s="32">
        <f ca="1">_xll.DBRW($C$1,$C$2,$C$3,$C$4,$C$6,$C$5,$C$7,F$1,F$2,$A214)</f>
        <v>-3.9979449677731691</v>
      </c>
      <c r="G214" s="32">
        <f ca="1">_xll.DBRW($C$1,$C$2,$C$3,$C$4,$C$6,$C$5,$C$7,G$1,G$2,$A214)</f>
        <v>-3.2411875821131244</v>
      </c>
      <c r="H214" s="32">
        <f ca="1">_xll.DBRW($C$1,$C$2,$C$3,$C$4,$C$6,$C$5,$C$7,H$1,H$2,$A214)</f>
        <v>-3.3203272991354194</v>
      </c>
      <c r="I214" s="32">
        <f ca="1">_xll.DBRW($C$1,$C$2,$C$3,$C$4,$C$6,$C$5,$C$7,I$1,I$2,$A214)</f>
        <v>-9.6444934776585139E-3</v>
      </c>
      <c r="J214" s="32">
        <f ca="1">_xll.DBRW($C$1,$C$2,$C$3,$C$4,$C$6,$C$5,$C$7,J$1,J$2,$A214)</f>
        <v>-3.705950646846917</v>
      </c>
      <c r="K214" s="32">
        <f ca="1">_xll.DBRW($C$1,$C$2,$C$3,$C$4,$C$6,$C$5,$C$7,K$1,K$2,$A214)</f>
        <v>0.26711442648591621</v>
      </c>
      <c r="L214" s="32">
        <f ca="1">_xll.DBRW($C$1,$C$2,$C$3,$C$4,$C$6,$C$5,$C$7,L$1,L$2,$A214)</f>
        <v>-5.0686716156199996</v>
      </c>
      <c r="M214" s="32">
        <f ca="1">_xll.DBRW($C$1,$C$2,$C$3,$C$4,$C$6,$C$5,$C$7,M$1,M$2,$A214)</f>
        <v>4.6378784999999978E-2</v>
      </c>
      <c r="N214" s="32">
        <f ca="1">_xll.DBRW($C$1,$C$2,$C$3,$C$4,$C$6,$C$5,$C$7,N$1,N$2,$A214)</f>
        <v>3.0067208000000015E-2</v>
      </c>
      <c r="O214" s="32">
        <f ca="1">_xll.DBRW($C$1,$C$2,$C$3,$C$4,$C$6,$C$5,$C$7,O$1,O$2,$A214)</f>
        <v>-1.8243947000000021E-2</v>
      </c>
      <c r="P214" s="32">
        <f ca="1">_xll.DBRW($C$1,$C$2,$C$3,$C$4,$C$6,$C$5,$C$7,P$1,P$2,$A214)</f>
        <v>-1.8432970000000045E-2</v>
      </c>
      <c r="Q214" s="32">
        <f ca="1">_xll.DBRW($C$1,$C$2,$C$3,$C$4,$C$6,$C$5,$C$7,Q$1,Q$2,$A214)</f>
        <v>8.767521800000011E-2</v>
      </c>
      <c r="R214" s="32">
        <f ca="1">_xll.DBRW($C$1,$C$2,$C$3,$C$4,$C$6,$C$5,$C$7,R$1,R$2,$A214)</f>
        <v>0.28868972700000001</v>
      </c>
      <c r="S214" s="32">
        <f ca="1">_xll.DBRW($C$1,$C$2,$C$3,$C$4,$C$6,$C$5,$C$7,S$1,S$2,$A214)</f>
        <v>1.5837756279999999</v>
      </c>
      <c r="T214" s="32">
        <f ca="1">_xll.DBRW($C$1,$C$2,$C$3,$C$4,$C$6,$C$5,$C$7,T$1,T$2,$A214)</f>
        <v>0.19460757099999992</v>
      </c>
      <c r="U214" s="32">
        <f ca="1">_xll.DBRW($C$1,$C$2,$C$3,$C$4,$C$6,$C$5,$C$7,U$1,U$2,$A214)</f>
        <v>0.22152043899999985</v>
      </c>
      <c r="V214" s="32">
        <f ca="1">_xll.DBRW($C$1,$C$2,$C$3,$C$4,$C$6,$C$5,$C$7,V$1,V$2,$A214)</f>
        <v>2.9993910409999995</v>
      </c>
      <c r="W214" s="32">
        <f ca="1">_xll.DBRW($C$1,$C$2,$C$3,$C$4,$C$6,$C$5,$C$7,W$1,W$2,$A214)</f>
        <v>0.22786089999999959</v>
      </c>
      <c r="X214" s="32">
        <f ca="1">_xll.DBRW($C$1,$C$2,$C$3,$C$4,$C$6,$C$5,$C$7,X$1,X$2,$A214)</f>
        <v>0.2495083459999996</v>
      </c>
      <c r="Y214" s="32">
        <f ca="1">_xll.DBRW($C$1,$C$2,$C$3,$C$4,$C$6,$C$5,$C$7,Y$1,Y$2,$A214)</f>
        <v>0.2495083459999996</v>
      </c>
      <c r="Z214" s="32">
        <f ca="1">_xll.DBRW($C$1,$C$2,$C$3,$C$4,$C$6,$C$5,$C$7,Z$1,Z$2,$A214)</f>
        <v>-7.9380769999999982E-3</v>
      </c>
      <c r="AA214" s="32">
        <f ca="1">_xll.DBRW($C$1,$C$2,$C$3,$C$4,$C$6,$C$5,$C$7,AA$1,AA$2,$A214)</f>
        <v>-1.4826154999999997E-2</v>
      </c>
      <c r="AB214" s="32">
        <f ca="1">_xll.DBRW($C$1,$C$2,$C$3,$C$4,$C$6,$C$5,$C$7,AB$1,AB$2,$A214)</f>
        <v>-2.2536960000000002E-2</v>
      </c>
      <c r="AC214" s="32">
        <f ca="1">_xll.DBRW($C$1,$C$2,$C$3,$C$4,$C$6,$C$5,$C$7,AC$1,AC$2,$A214)</f>
        <v>-2.9475036999999996E-2</v>
      </c>
      <c r="AD214" s="32">
        <f ca="1">_xll.DBRW($C$1,$C$2,$C$3,$C$4,$C$6,$C$5,$C$7,AD$1,AD$2,$A214)</f>
        <v>-3.7062699000000005E-2</v>
      </c>
      <c r="AE214" s="32">
        <f ca="1">_xll.DBRW($C$1,$C$2,$C$3,$C$4,$C$6,$C$5,$C$7,AE$1,AE$2,$A214)</f>
        <v>-4.4000776000000005E-2</v>
      </c>
      <c r="AF214" s="32">
        <f ca="1">_xll.DBRW($C$1,$C$2,$C$3,$C$4,$C$6,$C$5,$C$7,AF$1,AF$2,$A214)</f>
        <v>-5.1556456199999996E-2</v>
      </c>
      <c r="AG214" s="32">
        <f ca="1">_xll.DBRW($C$1,$C$2,$C$3,$C$4,$C$6,$C$5,$C$7,AG$1,AG$2,$A214)</f>
        <v>-5.9494533199999998E-2</v>
      </c>
      <c r="AH214" s="32">
        <f ca="1">_xll.DBRW($C$1,$C$2,$C$3,$C$4,$C$6,$C$5,$C$7,AH$1,AH$2,$A214)</f>
        <v>-6.6432611200000005E-2</v>
      </c>
      <c r="AI214" s="32">
        <f ca="1">_xll.DBRW($C$1,$C$2,$C$3,$C$4,$C$6,$C$5,$C$7,AI$1,AI$2,$A214)</f>
        <v>-7.4265563399999998E-2</v>
      </c>
      <c r="AJ214" s="32">
        <f ca="1">_xll.DBRW($C$1,$C$2,$C$3,$C$4,$C$6,$C$5,$C$7,AJ$1,AJ$2,$A214)</f>
        <v>-8.0853722800000014E-2</v>
      </c>
      <c r="AK214" s="32">
        <f ca="1">_xll.DBRW($C$1,$C$2,$C$3,$C$4,$C$6,$C$5,$C$7,AK$1,AK$2,$A214)</f>
        <v>-0.29319965079999999</v>
      </c>
      <c r="AL214" s="32">
        <f ca="1">_xll.DBRW($C$1,$C$2,$C$3,$C$4,$C$6,$C$5,$C$7,AL$1,AL$2,$A214)</f>
        <v>-0.29319965079999999</v>
      </c>
      <c r="AM214" s="32">
        <f ca="1">_xll.DBRW($C$1,$C$2,$C$3,$C$4,$C$6,$C$5,$C$7,AM$1,AM$2,$A214)</f>
        <v>0</v>
      </c>
      <c r="AN214" s="32">
        <f ca="1">_xll.DBRW($C$1,$C$2,$C$3,$C$4,$C$6,$C$5,$C$7,AN$1,AN$2,$A214)</f>
        <v>6.2209267999999998E-2</v>
      </c>
      <c r="AO214" s="32">
        <f ca="1">_xll.DBRW($C$1,$C$2,$C$3,$C$4,$C$6,$C$5,$C$7,AO$1,AO$2,$A214)</f>
        <v>-5.7404732E-2</v>
      </c>
      <c r="AP214" s="32">
        <f ca="1">_xll.DBRW($C$1,$C$2,$C$3,$C$4,$C$6,$C$5,$C$7,AP$1,AP$2,$A214)</f>
        <v>-5.7404732E-2</v>
      </c>
      <c r="AQ214" s="32">
        <f ca="1">_xll.DBRW($C$1,$C$2,$C$3,$C$4,$C$6,$C$5,$C$7,AQ$1,AQ$2,$A214)</f>
        <v>-5.7404732E-2</v>
      </c>
      <c r="AR214" s="32">
        <f ca="1">_xll.DBRW($C$1,$C$2,$C$3,$C$4,$C$6,$C$5,$C$7,AR$1,AR$2,$A214)</f>
        <v>-5.7404732E-2</v>
      </c>
      <c r="AS214" s="32">
        <f ca="1">_xll.DBRW($C$1,$C$2,$C$3,$C$4,$C$6,$C$5,$C$7,AS$1,AS$2,$A214)</f>
        <v>-5.7404732E-2</v>
      </c>
      <c r="AT214" s="32">
        <f ca="1">_xll.DBRW($C$1,$C$2,$C$3,$C$4,$C$6,$C$5,$C$7,AT$1,AT$2,$A214)</f>
        <v>-5.7404732E-2</v>
      </c>
      <c r="AU214" s="32">
        <f ca="1">_xll.DBRW($C$1,$C$2,$C$3,$C$4,$C$6,$C$5,$C$7,AU$1,AU$2,$A214)</f>
        <v>-5.7404732E-2</v>
      </c>
      <c r="AV214" s="32">
        <f ca="1">_xll.DBRW($C$1,$C$2,$C$3,$C$4,$C$6,$C$5,$C$7,AV$1,AV$2,$A214)</f>
        <v>-5.7404732E-2</v>
      </c>
      <c r="AW214" s="32">
        <f ca="1">_xll.DBRW($C$1,$C$2,$C$3,$C$4,$C$6,$C$5,$C$7,AW$1,AW$2,$A214)</f>
        <v>-5.7404732E-2</v>
      </c>
      <c r="AX214" s="32">
        <f ca="1">_xll.DBRW($C$1,$C$2,$C$3,$C$4,$C$6,$C$5,$C$7,AX$1,AX$2,$A214)</f>
        <v>-5.7404732E-2</v>
      </c>
      <c r="AY214" s="32">
        <f ca="1">_xll.DBRW($C$1,$C$2,$C$3,$C$4,$C$6,$C$5,$C$7,AY$1,AY$2,$A214)</f>
        <v>-5.7404732E-2</v>
      </c>
    </row>
    <row r="215" spans="1:51" ht="15.75" hidden="1" customHeight="1" outlineLevel="1">
      <c r="A215" s="1" t="s">
        <v>302</v>
      </c>
      <c r="C215" s="104"/>
      <c r="E215" s="9" t="str">
        <f ca="1">_xll.DBRW(Server&amp;"}ElementAttributes_Indicator",A215,"code_English")</f>
        <v>PL1170_XX - Vector Reconciliation (TPL11) - Net provisions for restructuring costs</v>
      </c>
      <c r="F215" s="32">
        <f ca="1">_xll.DBRW($C$1,$C$2,$C$3,$C$4,$C$6,$C$5,$C$7,F$1,F$2,$A215)</f>
        <v>-1.0544682269999999</v>
      </c>
      <c r="G215" s="32">
        <f ca="1">_xll.DBRW($C$1,$C$2,$C$3,$C$4,$C$6,$C$5,$C$7,G$1,G$2,$A215)</f>
        <v>0.84541115999999983</v>
      </c>
      <c r="H215" s="32">
        <f ca="1">_xll.DBRW($C$1,$C$2,$C$3,$C$4,$C$6,$C$5,$C$7,H$1,H$2,$A215)</f>
        <v>-0.62135285899999992</v>
      </c>
      <c r="I215" s="32">
        <f ca="1">_xll.DBRW($C$1,$C$2,$C$3,$C$4,$C$6,$C$5,$C$7,I$1,I$2,$A215)</f>
        <v>4.0529999999984868E-5</v>
      </c>
      <c r="J215" s="32">
        <f ca="1">_xll.DBRW($C$1,$C$2,$C$3,$C$4,$C$6,$C$5,$C$7,J$1,J$2,$A215)</f>
        <v>0.82119634199999991</v>
      </c>
      <c r="K215" s="32">
        <f ca="1">_xll.DBRW($C$1,$C$2,$C$3,$C$4,$C$6,$C$5,$C$7,K$1,K$2,$A215)</f>
        <v>4.2922474719999997</v>
      </c>
      <c r="L215" s="32">
        <f ca="1">_xll.DBRW($C$1,$C$2,$C$3,$C$4,$C$6,$C$5,$C$7,L$1,L$2,$A215)</f>
        <v>5.0374615231390001</v>
      </c>
      <c r="M215" s="32">
        <f ca="1">_xll.DBRW($C$1,$C$2,$C$3,$C$4,$C$6,$C$5,$C$7,M$1,M$2,$A215)</f>
        <v>-4.8527964999999992E-2</v>
      </c>
      <c r="N215" s="32">
        <f ca="1">_xll.DBRW($C$1,$C$2,$C$3,$C$4,$C$6,$C$5,$C$7,N$1,N$2,$A215)</f>
        <v>-3.2301121780000002</v>
      </c>
      <c r="O215" s="32">
        <f ca="1">_xll.DBRW($C$1,$C$2,$C$3,$C$4,$C$6,$C$5,$C$7,O$1,O$2,$A215)</f>
        <v>-2.3177054530000003</v>
      </c>
      <c r="P215" s="32">
        <f ca="1">_xll.DBRW($C$1,$C$2,$C$3,$C$4,$C$6,$C$5,$C$7,P$1,P$2,$A215)</f>
        <v>-2.5102664300000002</v>
      </c>
      <c r="Q215" s="32">
        <f ca="1">_xll.DBRW($C$1,$C$2,$C$3,$C$4,$C$6,$C$5,$C$7,Q$1,Q$2,$A215)</f>
        <v>0.242919632</v>
      </c>
      <c r="R215" s="32">
        <f ca="1">_xll.DBRW($C$1,$C$2,$C$3,$C$4,$C$6,$C$5,$C$7,R$1,R$2,$A215)</f>
        <v>1.5910503530000004</v>
      </c>
      <c r="S215" s="32">
        <f ca="1">_xll.DBRW($C$1,$C$2,$C$3,$C$4,$C$6,$C$5,$C$7,S$1,S$2,$A215)</f>
        <v>-1.6233261979999996</v>
      </c>
      <c r="T215" s="32">
        <f ca="1">_xll.DBRW($C$1,$C$2,$C$3,$C$4,$C$6,$C$5,$C$7,T$1,T$2,$A215)</f>
        <v>2.3159103790000004</v>
      </c>
      <c r="U215" s="32">
        <f ca="1">_xll.DBRW($C$1,$C$2,$C$3,$C$4,$C$6,$C$5,$C$7,U$1,U$2,$A215)</f>
        <v>2.3232298610000002</v>
      </c>
      <c r="V215" s="32">
        <f ca="1">_xll.DBRW($C$1,$C$2,$C$3,$C$4,$C$6,$C$5,$C$7,V$1,V$2,$A215)</f>
        <v>-3.015981391</v>
      </c>
      <c r="W215" s="32">
        <f ca="1">_xll.DBRW($C$1,$C$2,$C$3,$C$4,$C$6,$C$5,$C$7,W$1,W$2,$A215)</f>
        <v>2.3146582599999994</v>
      </c>
      <c r="X215" s="32">
        <f ca="1">_xll.DBRW($C$1,$C$2,$C$3,$C$4,$C$6,$C$5,$C$7,X$1,X$2,$A215)</f>
        <v>2.6715223509999992</v>
      </c>
      <c r="Y215" s="32">
        <f ca="1">_xll.DBRW($C$1,$C$2,$C$3,$C$4,$C$6,$C$5,$C$7,Y$1,Y$2,$A215)</f>
        <v>2.6715223509999992</v>
      </c>
      <c r="Z215" s="32">
        <f ca="1">_xll.DBRW($C$1,$C$2,$C$3,$C$4,$C$6,$C$5,$C$7,Z$1,Z$2,$A215)</f>
        <v>2.4835319999999992E-3</v>
      </c>
      <c r="AA215" s="32">
        <f ca="1">_xll.DBRW($C$1,$C$2,$C$3,$C$4,$C$6,$C$5,$C$7,AA$1,AA$2,$A215)</f>
        <v>3.9170639999999987E-3</v>
      </c>
      <c r="AB215" s="32">
        <f ca="1">_xll.DBRW($C$1,$C$2,$C$3,$C$4,$C$6,$C$5,$C$7,AB$1,AB$2,$A215)</f>
        <v>6.4005960000000049E-3</v>
      </c>
      <c r="AC215" s="32">
        <f ca="1">_xll.DBRW($C$1,$C$2,$C$3,$C$4,$C$6,$C$5,$C$7,AC$1,AC$2,$A215)</f>
        <v>7.8841279999999972E-3</v>
      </c>
      <c r="AD215" s="32">
        <f ca="1">_xll.DBRW($C$1,$C$2,$C$3,$C$4,$C$6,$C$5,$C$7,AD$1,AD$2,$A215)</f>
        <v>1.0017244000000005E-2</v>
      </c>
      <c r="AE215" s="32">
        <f ca="1">_xll.DBRW($C$1,$C$2,$C$3,$C$4,$C$6,$C$5,$C$7,AE$1,AE$2,$A215)</f>
        <v>1.1500776000000013E-2</v>
      </c>
      <c r="AF215" s="32">
        <f ca="1">_xll.DBRW($C$1,$C$2,$C$3,$C$4,$C$6,$C$5,$C$7,AF$1,AF$2,$A215)</f>
        <v>1.3829183199999999E-2</v>
      </c>
      <c r="AG215" s="32">
        <f ca="1">_xll.DBRW($C$1,$C$2,$C$3,$C$4,$C$6,$C$5,$C$7,AG$1,AG$2,$A215)</f>
        <v>1.6312715200000008E-2</v>
      </c>
      <c r="AH215" s="32">
        <f ca="1">_xll.DBRW($C$1,$C$2,$C$3,$C$4,$C$6,$C$5,$C$7,AH$1,AH$2,$A215)</f>
        <v>1.7796247200000014E-2</v>
      </c>
      <c r="AI215" s="32">
        <f ca="1">_xll.DBRW($C$1,$C$2,$C$3,$C$4,$C$6,$C$5,$C$7,AI$1,AI$2,$A215)</f>
        <v>2.0174654400000002E-2</v>
      </c>
      <c r="AJ215" s="32">
        <f ca="1">_xll.DBRW($C$1,$C$2,$C$3,$C$4,$C$6,$C$5,$C$7,AJ$1,AJ$2,$A215)</f>
        <v>2.153554080000002E-2</v>
      </c>
      <c r="AK215" s="32">
        <f ca="1">_xll.DBRW($C$1,$C$2,$C$3,$C$4,$C$6,$C$5,$C$7,AK$1,AK$2,$A215)</f>
        <v>2.3881468799999975E-2</v>
      </c>
      <c r="AL215" s="32">
        <f ca="1">_xll.DBRW($C$1,$C$2,$C$3,$C$4,$C$6,$C$5,$C$7,AL$1,AL$2,$A215)</f>
        <v>2.3881468799999975E-2</v>
      </c>
      <c r="AM215" s="32">
        <f ca="1">_xll.DBRW($C$1,$C$2,$C$3,$C$4,$C$6,$C$5,$C$7,AM$1,AM$2,$A215)</f>
        <v>0</v>
      </c>
      <c r="AN215" s="32">
        <f ca="1">_xll.DBRW($C$1,$C$2,$C$3,$C$4,$C$6,$C$5,$C$7,AN$1,AN$2,$A215)</f>
        <v>-0.36531415</v>
      </c>
      <c r="AO215" s="32">
        <f ca="1">_xll.DBRW($C$1,$C$2,$C$3,$C$4,$C$6,$C$5,$C$7,AO$1,AO$2,$A215)</f>
        <v>3.0000000000000027E-3</v>
      </c>
      <c r="AP215" s="32">
        <f ca="1">_xll.DBRW($C$1,$C$2,$C$3,$C$4,$C$6,$C$5,$C$7,AP$1,AP$2,$A215)</f>
        <v>3.0000000000000027E-3</v>
      </c>
      <c r="AQ215" s="32">
        <f ca="1">_xll.DBRW($C$1,$C$2,$C$3,$C$4,$C$6,$C$5,$C$7,AQ$1,AQ$2,$A215)</f>
        <v>3.0000000000000027E-3</v>
      </c>
      <c r="AR215" s="32">
        <f ca="1">_xll.DBRW($C$1,$C$2,$C$3,$C$4,$C$6,$C$5,$C$7,AR$1,AR$2,$A215)</f>
        <v>3.0000000000000027E-3</v>
      </c>
      <c r="AS215" s="32">
        <f ca="1">_xll.DBRW($C$1,$C$2,$C$3,$C$4,$C$6,$C$5,$C$7,AS$1,AS$2,$A215)</f>
        <v>3.0000000000000027E-3</v>
      </c>
      <c r="AT215" s="32">
        <f ca="1">_xll.DBRW($C$1,$C$2,$C$3,$C$4,$C$6,$C$5,$C$7,AT$1,AT$2,$A215)</f>
        <v>3.0000000000000027E-3</v>
      </c>
      <c r="AU215" s="32">
        <f ca="1">_xll.DBRW($C$1,$C$2,$C$3,$C$4,$C$6,$C$5,$C$7,AU$1,AU$2,$A215)</f>
        <v>3.0000000000000027E-3</v>
      </c>
      <c r="AV215" s="32">
        <f ca="1">_xll.DBRW($C$1,$C$2,$C$3,$C$4,$C$6,$C$5,$C$7,AV$1,AV$2,$A215)</f>
        <v>3.0000000000000027E-3</v>
      </c>
      <c r="AW215" s="32">
        <f ca="1">_xll.DBRW($C$1,$C$2,$C$3,$C$4,$C$6,$C$5,$C$7,AW$1,AW$2,$A215)</f>
        <v>3.0000000000000027E-3</v>
      </c>
      <c r="AX215" s="32">
        <f ca="1">_xll.DBRW($C$1,$C$2,$C$3,$C$4,$C$6,$C$5,$C$7,AX$1,AX$2,$A215)</f>
        <v>3.0000000000000027E-3</v>
      </c>
      <c r="AY215" s="32">
        <f ca="1">_xll.DBRW($C$1,$C$2,$C$3,$C$4,$C$6,$C$5,$C$7,AY$1,AY$2,$A215)</f>
        <v>3.0000000000000027E-3</v>
      </c>
    </row>
    <row r="216" spans="1:51" ht="15.75" hidden="1" customHeight="1" outlineLevel="1">
      <c r="A216" s="1" t="s">
        <v>303</v>
      </c>
      <c r="C216" s="104"/>
      <c r="E216" s="9" t="str">
        <f ca="1">_xll.DBRW(Server&amp;"}ElementAttributes_Indicator",A216,"code_English")</f>
        <v>PL1175_XX - Vector Reconciliation (TPL11) - Impairment on goodwill (full and proportionate consol.)</v>
      </c>
      <c r="F216" s="32">
        <f ca="1">_xll.DBRW($C$1,$C$2,$C$3,$C$4,$C$6,$C$5,$C$7,F$1,F$2,$A216)</f>
        <v>-1.4828039999999996</v>
      </c>
      <c r="G216" s="32">
        <f ca="1">_xll.DBRW($C$1,$C$2,$C$3,$C$4,$C$6,$C$5,$C$7,G$1,G$2,$A216)</f>
        <v>1.2383297256076951</v>
      </c>
      <c r="H216" s="32">
        <f ca="1">_xll.DBRW($C$1,$C$2,$C$3,$C$4,$C$6,$C$5,$C$7,H$1,H$2,$A216)</f>
        <v>26.834241743911068</v>
      </c>
      <c r="I216" s="32">
        <f ca="1">_xll.DBRW($C$1,$C$2,$C$3,$C$4,$C$6,$C$5,$C$7,I$1,I$2,$A216)</f>
        <v>-1.740500000000029E-4</v>
      </c>
      <c r="J216" s="32">
        <f ca="1">_xll.DBRW($C$1,$C$2,$C$3,$C$4,$C$6,$C$5,$C$7,J$1,J$2,$A216)</f>
        <v>-5.5511151231257827E-17</v>
      </c>
      <c r="K216" s="32">
        <f ca="1">_xll.DBRW($C$1,$C$2,$C$3,$C$4,$C$6,$C$5,$C$7,K$1,K$2,$A216)</f>
        <v>-195.28102050000001</v>
      </c>
      <c r="L216" s="32">
        <f ca="1">_xll.DBRW($C$1,$C$2,$C$3,$C$4,$C$6,$C$5,$C$7,L$1,L$2,$A216)</f>
        <v>-5.5511151231257827E-17</v>
      </c>
      <c r="M216" s="32">
        <f ca="1">_xll.DBRW($C$1,$C$2,$C$3,$C$4,$C$6,$C$5,$C$7,M$1,M$2,$A216)</f>
        <v>0</v>
      </c>
      <c r="N216" s="32">
        <f ca="1">_xll.DBRW($C$1,$C$2,$C$3,$C$4,$C$6,$C$5,$C$7,N$1,N$2,$A216)</f>
        <v>0</v>
      </c>
      <c r="O216" s="32">
        <f ca="1">_xll.DBRW($C$1,$C$2,$C$3,$C$4,$C$6,$C$5,$C$7,O$1,O$2,$A216)</f>
        <v>0</v>
      </c>
      <c r="P216" s="32">
        <f ca="1">_xll.DBRW($C$1,$C$2,$C$3,$C$4,$C$6,$C$5,$C$7,P$1,P$2,$A216)</f>
        <v>0</v>
      </c>
      <c r="Q216" s="32">
        <f ca="1">_xll.DBRW($C$1,$C$2,$C$3,$C$4,$C$6,$C$5,$C$7,Q$1,Q$2,$A216)</f>
        <v>0</v>
      </c>
      <c r="R216" s="32">
        <f ca="1">_xll.DBRW($C$1,$C$2,$C$3,$C$4,$C$6,$C$5,$C$7,R$1,R$2,$A216)</f>
        <v>0</v>
      </c>
      <c r="S216" s="32">
        <f ca="1">_xll.DBRW($C$1,$C$2,$C$3,$C$4,$C$6,$C$5,$C$7,S$1,S$2,$A216)</f>
        <v>0</v>
      </c>
      <c r="T216" s="32">
        <f ca="1">_xll.DBRW($C$1,$C$2,$C$3,$C$4,$C$6,$C$5,$C$7,T$1,T$2,$A216)</f>
        <v>0</v>
      </c>
      <c r="U216" s="32">
        <f ca="1">_xll.DBRW($C$1,$C$2,$C$3,$C$4,$C$6,$C$5,$C$7,U$1,U$2,$A216)</f>
        <v>0</v>
      </c>
      <c r="V216" s="32">
        <f ca="1">_xll.DBRW($C$1,$C$2,$C$3,$C$4,$C$6,$C$5,$C$7,V$1,V$2,$A216)</f>
        <v>0</v>
      </c>
      <c r="W216" s="32">
        <f ca="1">_xll.DBRW($C$1,$C$2,$C$3,$C$4,$C$6,$C$5,$C$7,W$1,W$2,$A216)</f>
        <v>0</v>
      </c>
      <c r="X216" s="32">
        <f ca="1">_xll.DBRW($C$1,$C$2,$C$3,$C$4,$C$6,$C$5,$C$7,X$1,X$2,$A216)</f>
        <v>0.17265189999999997</v>
      </c>
      <c r="Y216" s="32">
        <f ca="1">_xll.DBRW($C$1,$C$2,$C$3,$C$4,$C$6,$C$5,$C$7,Y$1,Y$2,$A216)</f>
        <v>0.17265189999999997</v>
      </c>
      <c r="Z216" s="32">
        <f ca="1">_xll.DBRW($C$1,$C$2,$C$3,$C$4,$C$6,$C$5,$C$7,Z$1,Z$2,$A216)</f>
        <v>0</v>
      </c>
      <c r="AA216" s="32">
        <f ca="1">_xll.DBRW($C$1,$C$2,$C$3,$C$4,$C$6,$C$5,$C$7,AA$1,AA$2,$A216)</f>
        <v>0</v>
      </c>
      <c r="AB216" s="32">
        <f ca="1">_xll.DBRW($C$1,$C$2,$C$3,$C$4,$C$6,$C$5,$C$7,AB$1,AB$2,$A216)</f>
        <v>0</v>
      </c>
      <c r="AC216" s="32">
        <f ca="1">_xll.DBRW($C$1,$C$2,$C$3,$C$4,$C$6,$C$5,$C$7,AC$1,AC$2,$A216)</f>
        <v>0</v>
      </c>
      <c r="AD216" s="32">
        <f ca="1">_xll.DBRW($C$1,$C$2,$C$3,$C$4,$C$6,$C$5,$C$7,AD$1,AD$2,$A216)</f>
        <v>0</v>
      </c>
      <c r="AE216" s="32">
        <f ca="1">_xll.DBRW($C$1,$C$2,$C$3,$C$4,$C$6,$C$5,$C$7,AE$1,AE$2,$A216)</f>
        <v>0</v>
      </c>
      <c r="AF216" s="32">
        <f ca="1">_xll.DBRW($C$1,$C$2,$C$3,$C$4,$C$6,$C$5,$C$7,AF$1,AF$2,$A216)</f>
        <v>0</v>
      </c>
      <c r="AG216" s="32">
        <f ca="1">_xll.DBRW($C$1,$C$2,$C$3,$C$4,$C$6,$C$5,$C$7,AG$1,AG$2,$A216)</f>
        <v>0</v>
      </c>
      <c r="AH216" s="32">
        <f ca="1">_xll.DBRW($C$1,$C$2,$C$3,$C$4,$C$6,$C$5,$C$7,AH$1,AH$2,$A216)</f>
        <v>0</v>
      </c>
      <c r="AI216" s="32">
        <f ca="1">_xll.DBRW($C$1,$C$2,$C$3,$C$4,$C$6,$C$5,$C$7,AI$1,AI$2,$A216)</f>
        <v>0</v>
      </c>
      <c r="AJ216" s="32">
        <f ca="1">_xll.DBRW($C$1,$C$2,$C$3,$C$4,$C$6,$C$5,$C$7,AJ$1,AJ$2,$A216)</f>
        <v>0</v>
      </c>
      <c r="AK216" s="32">
        <f ca="1">_xll.DBRW($C$1,$C$2,$C$3,$C$4,$C$6,$C$5,$C$7,AK$1,AK$2,$A216)</f>
        <v>0</v>
      </c>
      <c r="AL216" s="32">
        <f ca="1">_xll.DBRW($C$1,$C$2,$C$3,$C$4,$C$6,$C$5,$C$7,AL$1,AL$2,$A216)</f>
        <v>0</v>
      </c>
      <c r="AM216" s="32">
        <f ca="1">_xll.DBRW($C$1,$C$2,$C$3,$C$4,$C$6,$C$5,$C$7,AM$1,AM$2,$A216)</f>
        <v>0</v>
      </c>
      <c r="AN216" s="32">
        <f ca="1">_xll.DBRW($C$1,$C$2,$C$3,$C$4,$C$6,$C$5,$C$7,AN$1,AN$2,$A216)</f>
        <v>0</v>
      </c>
      <c r="AO216" s="32">
        <f ca="1">_xll.DBRW($C$1,$C$2,$C$3,$C$4,$C$6,$C$5,$C$7,AO$1,AO$2,$A216)</f>
        <v>0</v>
      </c>
      <c r="AP216" s="32">
        <f ca="1">_xll.DBRW($C$1,$C$2,$C$3,$C$4,$C$6,$C$5,$C$7,AP$1,AP$2,$A216)</f>
        <v>0</v>
      </c>
      <c r="AQ216" s="32">
        <f ca="1">_xll.DBRW($C$1,$C$2,$C$3,$C$4,$C$6,$C$5,$C$7,AQ$1,AQ$2,$A216)</f>
        <v>0</v>
      </c>
      <c r="AR216" s="32">
        <f ca="1">_xll.DBRW($C$1,$C$2,$C$3,$C$4,$C$6,$C$5,$C$7,AR$1,AR$2,$A216)</f>
        <v>0</v>
      </c>
      <c r="AS216" s="32">
        <f ca="1">_xll.DBRW($C$1,$C$2,$C$3,$C$4,$C$6,$C$5,$C$7,AS$1,AS$2,$A216)</f>
        <v>0</v>
      </c>
      <c r="AT216" s="32">
        <f ca="1">_xll.DBRW($C$1,$C$2,$C$3,$C$4,$C$6,$C$5,$C$7,AT$1,AT$2,$A216)</f>
        <v>0</v>
      </c>
      <c r="AU216" s="32">
        <f ca="1">_xll.DBRW($C$1,$C$2,$C$3,$C$4,$C$6,$C$5,$C$7,AU$1,AU$2,$A216)</f>
        <v>0</v>
      </c>
      <c r="AV216" s="32">
        <f ca="1">_xll.DBRW($C$1,$C$2,$C$3,$C$4,$C$6,$C$5,$C$7,AV$1,AV$2,$A216)</f>
        <v>0</v>
      </c>
      <c r="AW216" s="32">
        <f ca="1">_xll.DBRW($C$1,$C$2,$C$3,$C$4,$C$6,$C$5,$C$7,AW$1,AW$2,$A216)</f>
        <v>0</v>
      </c>
      <c r="AX216" s="32">
        <f ca="1">_xll.DBRW($C$1,$C$2,$C$3,$C$4,$C$6,$C$5,$C$7,AX$1,AX$2,$A216)</f>
        <v>0</v>
      </c>
      <c r="AY216" s="32">
        <f ca="1">_xll.DBRW($C$1,$C$2,$C$3,$C$4,$C$6,$C$5,$C$7,AY$1,AY$2,$A216)</f>
        <v>0</v>
      </c>
    </row>
    <row r="217" spans="1:51" ht="15.75" hidden="1" customHeight="1" outlineLevel="1">
      <c r="A217" s="1" t="s">
        <v>304</v>
      </c>
      <c r="C217" s="104"/>
      <c r="E217" s="9" t="str">
        <f ca="1">_xll.DBRW(Server&amp;"}ElementAttributes_Indicator",A217,"code_English")</f>
        <v>PL1180_XX - Vector Reconciliation (TPL11) - Fair value gain/loss on deriv instr related to oper activ excl I12&amp;I4</v>
      </c>
      <c r="F217" s="32">
        <f ca="1">_xll.DBRW($C$1,$C$2,$C$3,$C$4,$C$6,$C$5,$C$7,F$1,F$2,$A217)</f>
        <v>8.3322554149999988</v>
      </c>
      <c r="G217" s="32">
        <f ca="1">_xll.DBRW($C$1,$C$2,$C$3,$C$4,$C$6,$C$5,$C$7,G$1,G$2,$A217)</f>
        <v>1.7642590449999991</v>
      </c>
      <c r="H217" s="32">
        <f ca="1">_xll.DBRW($C$1,$C$2,$C$3,$C$4,$C$6,$C$5,$C$7,H$1,H$2,$A217)</f>
        <v>-0.22107330100000031</v>
      </c>
      <c r="I217" s="32">
        <f ca="1">_xll.DBRW($C$1,$C$2,$C$3,$C$4,$C$6,$C$5,$C$7,I$1,I$2,$A217)</f>
        <v>-0.49246865400000006</v>
      </c>
      <c r="J217" s="32">
        <f ca="1">_xll.DBRW($C$1,$C$2,$C$3,$C$4,$C$6,$C$5,$C$7,J$1,J$2,$A217)</f>
        <v>4.713616708</v>
      </c>
      <c r="K217" s="32">
        <f ca="1">_xll.DBRW($C$1,$C$2,$C$3,$C$4,$C$6,$C$5,$C$7,K$1,K$2,$A217)</f>
        <v>-0.117441344</v>
      </c>
      <c r="L217" s="32">
        <f ca="1">_xll.DBRW($C$1,$C$2,$C$3,$C$4,$C$6,$C$5,$C$7,L$1,L$2,$A217)</f>
        <v>0</v>
      </c>
      <c r="M217" s="32">
        <f ca="1">_xll.DBRW($C$1,$C$2,$C$3,$C$4,$C$6,$C$5,$C$7,M$1,M$2,$A217)</f>
        <v>0</v>
      </c>
      <c r="N217" s="32">
        <f ca="1">_xll.DBRW($C$1,$C$2,$C$3,$C$4,$C$6,$C$5,$C$7,N$1,N$2,$A217)</f>
        <v>0</v>
      </c>
      <c r="O217" s="32">
        <f ca="1">_xll.DBRW($C$1,$C$2,$C$3,$C$4,$C$6,$C$5,$C$7,O$1,O$2,$A217)</f>
        <v>0</v>
      </c>
      <c r="P217" s="32">
        <f ca="1">_xll.DBRW($C$1,$C$2,$C$3,$C$4,$C$6,$C$5,$C$7,P$1,P$2,$A217)</f>
        <v>0</v>
      </c>
      <c r="Q217" s="32">
        <f ca="1">_xll.DBRW($C$1,$C$2,$C$3,$C$4,$C$6,$C$5,$C$7,Q$1,Q$2,$A217)</f>
        <v>0</v>
      </c>
      <c r="R217" s="32">
        <f ca="1">_xll.DBRW($C$1,$C$2,$C$3,$C$4,$C$6,$C$5,$C$7,R$1,R$2,$A217)</f>
        <v>0</v>
      </c>
      <c r="S217" s="32">
        <f ca="1">_xll.DBRW($C$1,$C$2,$C$3,$C$4,$C$6,$C$5,$C$7,S$1,S$2,$A217)</f>
        <v>0</v>
      </c>
      <c r="T217" s="32">
        <f ca="1">_xll.DBRW($C$1,$C$2,$C$3,$C$4,$C$6,$C$5,$C$7,T$1,T$2,$A217)</f>
        <v>0</v>
      </c>
      <c r="U217" s="32">
        <f ca="1">_xll.DBRW($C$1,$C$2,$C$3,$C$4,$C$6,$C$5,$C$7,U$1,U$2,$A217)</f>
        <v>0</v>
      </c>
      <c r="V217" s="32">
        <f ca="1">_xll.DBRW($C$1,$C$2,$C$3,$C$4,$C$6,$C$5,$C$7,V$1,V$2,$A217)</f>
        <v>0</v>
      </c>
      <c r="W217" s="32">
        <f ca="1">_xll.DBRW($C$1,$C$2,$C$3,$C$4,$C$6,$C$5,$C$7,W$1,W$2,$A217)</f>
        <v>0</v>
      </c>
      <c r="X217" s="32">
        <f ca="1">_xll.DBRW($C$1,$C$2,$C$3,$C$4,$C$6,$C$5,$C$7,X$1,X$2,$A217)</f>
        <v>0</v>
      </c>
      <c r="Y217" s="32">
        <f ca="1">_xll.DBRW($C$1,$C$2,$C$3,$C$4,$C$6,$C$5,$C$7,Y$1,Y$2,$A217)</f>
        <v>0</v>
      </c>
      <c r="Z217" s="32">
        <f ca="1">_xll.DBRW($C$1,$C$2,$C$3,$C$4,$C$6,$C$5,$C$7,Z$1,Z$2,$A217)</f>
        <v>0</v>
      </c>
      <c r="AA217" s="32">
        <f ca="1">_xll.DBRW($C$1,$C$2,$C$3,$C$4,$C$6,$C$5,$C$7,AA$1,AA$2,$A217)</f>
        <v>0</v>
      </c>
      <c r="AB217" s="32">
        <f ca="1">_xll.DBRW($C$1,$C$2,$C$3,$C$4,$C$6,$C$5,$C$7,AB$1,AB$2,$A217)</f>
        <v>0</v>
      </c>
      <c r="AC217" s="32">
        <f ca="1">_xll.DBRW($C$1,$C$2,$C$3,$C$4,$C$6,$C$5,$C$7,AC$1,AC$2,$A217)</f>
        <v>0</v>
      </c>
      <c r="AD217" s="32">
        <f ca="1">_xll.DBRW($C$1,$C$2,$C$3,$C$4,$C$6,$C$5,$C$7,AD$1,AD$2,$A217)</f>
        <v>0</v>
      </c>
      <c r="AE217" s="32">
        <f ca="1">_xll.DBRW($C$1,$C$2,$C$3,$C$4,$C$6,$C$5,$C$7,AE$1,AE$2,$A217)</f>
        <v>0</v>
      </c>
      <c r="AF217" s="32">
        <f ca="1">_xll.DBRW($C$1,$C$2,$C$3,$C$4,$C$6,$C$5,$C$7,AF$1,AF$2,$A217)</f>
        <v>0</v>
      </c>
      <c r="AG217" s="32">
        <f ca="1">_xll.DBRW($C$1,$C$2,$C$3,$C$4,$C$6,$C$5,$C$7,AG$1,AG$2,$A217)</f>
        <v>0</v>
      </c>
      <c r="AH217" s="32">
        <f ca="1">_xll.DBRW($C$1,$C$2,$C$3,$C$4,$C$6,$C$5,$C$7,AH$1,AH$2,$A217)</f>
        <v>0</v>
      </c>
      <c r="AI217" s="32">
        <f ca="1">_xll.DBRW($C$1,$C$2,$C$3,$C$4,$C$6,$C$5,$C$7,AI$1,AI$2,$A217)</f>
        <v>0</v>
      </c>
      <c r="AJ217" s="32">
        <f ca="1">_xll.DBRW($C$1,$C$2,$C$3,$C$4,$C$6,$C$5,$C$7,AJ$1,AJ$2,$A217)</f>
        <v>0</v>
      </c>
      <c r="AK217" s="32">
        <f ca="1">_xll.DBRW($C$1,$C$2,$C$3,$C$4,$C$6,$C$5,$C$7,AK$1,AK$2,$A217)</f>
        <v>0</v>
      </c>
      <c r="AL217" s="32">
        <f ca="1">_xll.DBRW($C$1,$C$2,$C$3,$C$4,$C$6,$C$5,$C$7,AL$1,AL$2,$A217)</f>
        <v>0</v>
      </c>
      <c r="AM217" s="32">
        <f ca="1">_xll.DBRW($C$1,$C$2,$C$3,$C$4,$C$6,$C$5,$C$7,AM$1,AM$2,$A217)</f>
        <v>0</v>
      </c>
      <c r="AN217" s="32">
        <f ca="1">_xll.DBRW($C$1,$C$2,$C$3,$C$4,$C$6,$C$5,$C$7,AN$1,AN$2,$A217)</f>
        <v>0</v>
      </c>
      <c r="AO217" s="32">
        <f ca="1">_xll.DBRW($C$1,$C$2,$C$3,$C$4,$C$6,$C$5,$C$7,AO$1,AO$2,$A217)</f>
        <v>0</v>
      </c>
      <c r="AP217" s="32">
        <f ca="1">_xll.DBRW($C$1,$C$2,$C$3,$C$4,$C$6,$C$5,$C$7,AP$1,AP$2,$A217)</f>
        <v>0</v>
      </c>
      <c r="AQ217" s="32">
        <f ca="1">_xll.DBRW($C$1,$C$2,$C$3,$C$4,$C$6,$C$5,$C$7,AQ$1,AQ$2,$A217)</f>
        <v>0</v>
      </c>
      <c r="AR217" s="32">
        <f ca="1">_xll.DBRW($C$1,$C$2,$C$3,$C$4,$C$6,$C$5,$C$7,AR$1,AR$2,$A217)</f>
        <v>0</v>
      </c>
      <c r="AS217" s="32">
        <f ca="1">_xll.DBRW($C$1,$C$2,$C$3,$C$4,$C$6,$C$5,$C$7,AS$1,AS$2,$A217)</f>
        <v>0</v>
      </c>
      <c r="AT217" s="32">
        <f ca="1">_xll.DBRW($C$1,$C$2,$C$3,$C$4,$C$6,$C$5,$C$7,AT$1,AT$2,$A217)</f>
        <v>0</v>
      </c>
      <c r="AU217" s="32">
        <f ca="1">_xll.DBRW($C$1,$C$2,$C$3,$C$4,$C$6,$C$5,$C$7,AU$1,AU$2,$A217)</f>
        <v>0</v>
      </c>
      <c r="AV217" s="32">
        <f ca="1">_xll.DBRW($C$1,$C$2,$C$3,$C$4,$C$6,$C$5,$C$7,AV$1,AV$2,$A217)</f>
        <v>0</v>
      </c>
      <c r="AW217" s="32">
        <f ca="1">_xll.DBRW($C$1,$C$2,$C$3,$C$4,$C$6,$C$5,$C$7,AW$1,AW$2,$A217)</f>
        <v>0</v>
      </c>
      <c r="AX217" s="32">
        <f ca="1">_xll.DBRW($C$1,$C$2,$C$3,$C$4,$C$6,$C$5,$C$7,AX$1,AX$2,$A217)</f>
        <v>0</v>
      </c>
      <c r="AY217" s="32">
        <f ca="1">_xll.DBRW($C$1,$C$2,$C$3,$C$4,$C$6,$C$5,$C$7,AY$1,AY$2,$A217)</f>
        <v>0</v>
      </c>
    </row>
    <row r="218" spans="1:51" ht="15.75" hidden="1" customHeight="1" outlineLevel="1">
      <c r="A218" s="1" t="s">
        <v>305</v>
      </c>
      <c r="C218" s="104"/>
      <c r="E218" s="9" t="str">
        <f ca="1">_xll.DBRW(Server&amp;"}ElementAttributes_Indicator",A218,"code_English")</f>
        <v>PL1181_XX - Vector Reconciliation (TPL11) - Fair value gain/loss on deriv instr related to oper activ I12 fin. Receivables &amp; I4</v>
      </c>
      <c r="F218" s="32">
        <f ca="1">_xll.DBRW($C$1,$C$2,$C$3,$C$4,$C$6,$C$5,$C$7,F$1,F$2,$A218)</f>
        <v>0</v>
      </c>
      <c r="G218" s="32">
        <f ca="1">_xll.DBRW($C$1,$C$2,$C$3,$C$4,$C$6,$C$5,$C$7,G$1,G$2,$A218)</f>
        <v>0</v>
      </c>
      <c r="H218" s="32">
        <f ca="1">_xll.DBRW($C$1,$C$2,$C$3,$C$4,$C$6,$C$5,$C$7,H$1,H$2,$A218)</f>
        <v>0</v>
      </c>
      <c r="I218" s="32">
        <f ca="1">_xll.DBRW($C$1,$C$2,$C$3,$C$4,$C$6,$C$5,$C$7,I$1,I$2,$A218)</f>
        <v>0</v>
      </c>
      <c r="J218" s="32">
        <f ca="1">_xll.DBRW($C$1,$C$2,$C$3,$C$4,$C$6,$C$5,$C$7,J$1,J$2,$A218)</f>
        <v>0</v>
      </c>
      <c r="K218" s="32">
        <f ca="1">_xll.DBRW($C$1,$C$2,$C$3,$C$4,$C$6,$C$5,$C$7,K$1,K$2,$A218)</f>
        <v>0</v>
      </c>
      <c r="L218" s="32">
        <f ca="1">_xll.DBRW($C$1,$C$2,$C$3,$C$4,$C$6,$C$5,$C$7,L$1,L$2,$A218)</f>
        <v>0</v>
      </c>
      <c r="M218" s="32">
        <f ca="1">_xll.DBRW($C$1,$C$2,$C$3,$C$4,$C$6,$C$5,$C$7,M$1,M$2,$A218)</f>
        <v>0</v>
      </c>
      <c r="N218" s="32">
        <f ca="1">_xll.DBRW($C$1,$C$2,$C$3,$C$4,$C$6,$C$5,$C$7,N$1,N$2,$A218)</f>
        <v>0</v>
      </c>
      <c r="O218" s="32">
        <f ca="1">_xll.DBRW($C$1,$C$2,$C$3,$C$4,$C$6,$C$5,$C$7,O$1,O$2,$A218)</f>
        <v>0</v>
      </c>
      <c r="P218" s="32">
        <f ca="1">_xll.DBRW($C$1,$C$2,$C$3,$C$4,$C$6,$C$5,$C$7,P$1,P$2,$A218)</f>
        <v>0</v>
      </c>
      <c r="Q218" s="32">
        <f ca="1">_xll.DBRW($C$1,$C$2,$C$3,$C$4,$C$6,$C$5,$C$7,Q$1,Q$2,$A218)</f>
        <v>0</v>
      </c>
      <c r="R218" s="32">
        <f ca="1">_xll.DBRW($C$1,$C$2,$C$3,$C$4,$C$6,$C$5,$C$7,R$1,R$2,$A218)</f>
        <v>0</v>
      </c>
      <c r="S218" s="32">
        <f ca="1">_xll.DBRW($C$1,$C$2,$C$3,$C$4,$C$6,$C$5,$C$7,S$1,S$2,$A218)</f>
        <v>0</v>
      </c>
      <c r="T218" s="32">
        <f ca="1">_xll.DBRW($C$1,$C$2,$C$3,$C$4,$C$6,$C$5,$C$7,T$1,T$2,$A218)</f>
        <v>0</v>
      </c>
      <c r="U218" s="32">
        <f ca="1">_xll.DBRW($C$1,$C$2,$C$3,$C$4,$C$6,$C$5,$C$7,U$1,U$2,$A218)</f>
        <v>0</v>
      </c>
      <c r="V218" s="32">
        <f ca="1">_xll.DBRW($C$1,$C$2,$C$3,$C$4,$C$6,$C$5,$C$7,V$1,V$2,$A218)</f>
        <v>0</v>
      </c>
      <c r="W218" s="32">
        <f ca="1">_xll.DBRW($C$1,$C$2,$C$3,$C$4,$C$6,$C$5,$C$7,W$1,W$2,$A218)</f>
        <v>0</v>
      </c>
      <c r="X218" s="32">
        <f ca="1">_xll.DBRW($C$1,$C$2,$C$3,$C$4,$C$6,$C$5,$C$7,X$1,X$2,$A218)</f>
        <v>0</v>
      </c>
      <c r="Y218" s="32">
        <f ca="1">_xll.DBRW($C$1,$C$2,$C$3,$C$4,$C$6,$C$5,$C$7,Y$1,Y$2,$A218)</f>
        <v>0</v>
      </c>
      <c r="Z218" s="32">
        <f ca="1">_xll.DBRW($C$1,$C$2,$C$3,$C$4,$C$6,$C$5,$C$7,Z$1,Z$2,$A218)</f>
        <v>0</v>
      </c>
      <c r="AA218" s="32">
        <f ca="1">_xll.DBRW($C$1,$C$2,$C$3,$C$4,$C$6,$C$5,$C$7,AA$1,AA$2,$A218)</f>
        <v>0</v>
      </c>
      <c r="AB218" s="32">
        <f ca="1">_xll.DBRW($C$1,$C$2,$C$3,$C$4,$C$6,$C$5,$C$7,AB$1,AB$2,$A218)</f>
        <v>0</v>
      </c>
      <c r="AC218" s="32">
        <f ca="1">_xll.DBRW($C$1,$C$2,$C$3,$C$4,$C$6,$C$5,$C$7,AC$1,AC$2,$A218)</f>
        <v>0</v>
      </c>
      <c r="AD218" s="32">
        <f ca="1">_xll.DBRW($C$1,$C$2,$C$3,$C$4,$C$6,$C$5,$C$7,AD$1,AD$2,$A218)</f>
        <v>0</v>
      </c>
      <c r="AE218" s="32">
        <f ca="1">_xll.DBRW($C$1,$C$2,$C$3,$C$4,$C$6,$C$5,$C$7,AE$1,AE$2,$A218)</f>
        <v>0</v>
      </c>
      <c r="AF218" s="32">
        <f ca="1">_xll.DBRW($C$1,$C$2,$C$3,$C$4,$C$6,$C$5,$C$7,AF$1,AF$2,$A218)</f>
        <v>0</v>
      </c>
      <c r="AG218" s="32">
        <f ca="1">_xll.DBRW($C$1,$C$2,$C$3,$C$4,$C$6,$C$5,$C$7,AG$1,AG$2,$A218)</f>
        <v>0</v>
      </c>
      <c r="AH218" s="32">
        <f ca="1">_xll.DBRW($C$1,$C$2,$C$3,$C$4,$C$6,$C$5,$C$7,AH$1,AH$2,$A218)</f>
        <v>0</v>
      </c>
      <c r="AI218" s="32">
        <f ca="1">_xll.DBRW($C$1,$C$2,$C$3,$C$4,$C$6,$C$5,$C$7,AI$1,AI$2,$A218)</f>
        <v>0</v>
      </c>
      <c r="AJ218" s="32">
        <f ca="1">_xll.DBRW($C$1,$C$2,$C$3,$C$4,$C$6,$C$5,$C$7,AJ$1,AJ$2,$A218)</f>
        <v>0</v>
      </c>
      <c r="AK218" s="32">
        <f ca="1">_xll.DBRW($C$1,$C$2,$C$3,$C$4,$C$6,$C$5,$C$7,AK$1,AK$2,$A218)</f>
        <v>0</v>
      </c>
      <c r="AL218" s="32">
        <f ca="1">_xll.DBRW($C$1,$C$2,$C$3,$C$4,$C$6,$C$5,$C$7,AL$1,AL$2,$A218)</f>
        <v>0</v>
      </c>
      <c r="AM218" s="32">
        <f ca="1">_xll.DBRW($C$1,$C$2,$C$3,$C$4,$C$6,$C$5,$C$7,AM$1,AM$2,$A218)</f>
        <v>0</v>
      </c>
      <c r="AN218" s="32">
        <f ca="1">_xll.DBRW($C$1,$C$2,$C$3,$C$4,$C$6,$C$5,$C$7,AN$1,AN$2,$A218)</f>
        <v>0</v>
      </c>
      <c r="AO218" s="32">
        <f ca="1">_xll.DBRW($C$1,$C$2,$C$3,$C$4,$C$6,$C$5,$C$7,AO$1,AO$2,$A218)</f>
        <v>0</v>
      </c>
      <c r="AP218" s="32">
        <f ca="1">_xll.DBRW($C$1,$C$2,$C$3,$C$4,$C$6,$C$5,$C$7,AP$1,AP$2,$A218)</f>
        <v>0</v>
      </c>
      <c r="AQ218" s="32">
        <f ca="1">_xll.DBRW($C$1,$C$2,$C$3,$C$4,$C$6,$C$5,$C$7,AQ$1,AQ$2,$A218)</f>
        <v>0</v>
      </c>
      <c r="AR218" s="32">
        <f ca="1">_xll.DBRW($C$1,$C$2,$C$3,$C$4,$C$6,$C$5,$C$7,AR$1,AR$2,$A218)</f>
        <v>0</v>
      </c>
      <c r="AS218" s="32">
        <f ca="1">_xll.DBRW($C$1,$C$2,$C$3,$C$4,$C$6,$C$5,$C$7,AS$1,AS$2,$A218)</f>
        <v>0</v>
      </c>
      <c r="AT218" s="32">
        <f ca="1">_xll.DBRW($C$1,$C$2,$C$3,$C$4,$C$6,$C$5,$C$7,AT$1,AT$2,$A218)</f>
        <v>0</v>
      </c>
      <c r="AU218" s="32">
        <f ca="1">_xll.DBRW($C$1,$C$2,$C$3,$C$4,$C$6,$C$5,$C$7,AU$1,AU$2,$A218)</f>
        <v>0</v>
      </c>
      <c r="AV218" s="32">
        <f ca="1">_xll.DBRW($C$1,$C$2,$C$3,$C$4,$C$6,$C$5,$C$7,AV$1,AV$2,$A218)</f>
        <v>0</v>
      </c>
      <c r="AW218" s="32">
        <f ca="1">_xll.DBRW($C$1,$C$2,$C$3,$C$4,$C$6,$C$5,$C$7,AW$1,AW$2,$A218)</f>
        <v>0</v>
      </c>
      <c r="AX218" s="32">
        <f ca="1">_xll.DBRW($C$1,$C$2,$C$3,$C$4,$C$6,$C$5,$C$7,AX$1,AX$2,$A218)</f>
        <v>0</v>
      </c>
      <c r="AY218" s="32">
        <f ca="1">_xll.DBRW($C$1,$C$2,$C$3,$C$4,$C$6,$C$5,$C$7,AY$1,AY$2,$A218)</f>
        <v>0</v>
      </c>
    </row>
    <row r="219" spans="1:51" ht="15.75" hidden="1" customHeight="1" outlineLevel="1">
      <c r="A219" s="1" t="s">
        <v>306</v>
      </c>
      <c r="C219" s="104"/>
      <c r="E219" s="9" t="str">
        <f ca="1">_xll.DBRW(Server&amp;"}ElementAttributes_Indicator",A219,"code_English")</f>
        <v>PL1182_XX - Vector Reconciliation (TPL11) - Non hedged fair value on derivatives related to operating activities excl.I4 and I12</v>
      </c>
      <c r="F219" s="32">
        <f ca="1">_xll.DBRW($C$1,$C$2,$C$3,$C$4,$C$6,$C$5,$C$7,F$1,F$2,$A219)</f>
        <v>0</v>
      </c>
      <c r="G219" s="32">
        <f ca="1">_xll.DBRW($C$1,$C$2,$C$3,$C$4,$C$6,$C$5,$C$7,G$1,G$2,$A219)</f>
        <v>0</v>
      </c>
      <c r="H219" s="32">
        <f ca="1">_xll.DBRW($C$1,$C$2,$C$3,$C$4,$C$6,$C$5,$C$7,H$1,H$2,$A219)</f>
        <v>0</v>
      </c>
      <c r="I219" s="32">
        <f ca="1">_xll.DBRW($C$1,$C$2,$C$3,$C$4,$C$6,$C$5,$C$7,I$1,I$2,$A219)</f>
        <v>0</v>
      </c>
      <c r="J219" s="32">
        <f ca="1">_xll.DBRW($C$1,$C$2,$C$3,$C$4,$C$6,$C$5,$C$7,J$1,J$2,$A219)</f>
        <v>0</v>
      </c>
      <c r="K219" s="32">
        <f ca="1">_xll.DBRW($C$1,$C$2,$C$3,$C$4,$C$6,$C$5,$C$7,K$1,K$2,$A219)</f>
        <v>0</v>
      </c>
      <c r="L219" s="32">
        <f ca="1">_xll.DBRW($C$1,$C$2,$C$3,$C$4,$C$6,$C$5,$C$7,L$1,L$2,$A219)</f>
        <v>0</v>
      </c>
      <c r="M219" s="32">
        <f ca="1">_xll.DBRW($C$1,$C$2,$C$3,$C$4,$C$6,$C$5,$C$7,M$1,M$2,$A219)</f>
        <v>0</v>
      </c>
      <c r="N219" s="32">
        <f ca="1">_xll.DBRW($C$1,$C$2,$C$3,$C$4,$C$6,$C$5,$C$7,N$1,N$2,$A219)</f>
        <v>0</v>
      </c>
      <c r="O219" s="32">
        <f ca="1">_xll.DBRW($C$1,$C$2,$C$3,$C$4,$C$6,$C$5,$C$7,O$1,O$2,$A219)</f>
        <v>0</v>
      </c>
      <c r="P219" s="32">
        <f ca="1">_xll.DBRW($C$1,$C$2,$C$3,$C$4,$C$6,$C$5,$C$7,P$1,P$2,$A219)</f>
        <v>0</v>
      </c>
      <c r="Q219" s="32">
        <f ca="1">_xll.DBRW($C$1,$C$2,$C$3,$C$4,$C$6,$C$5,$C$7,Q$1,Q$2,$A219)</f>
        <v>0</v>
      </c>
      <c r="R219" s="32">
        <f ca="1">_xll.DBRW($C$1,$C$2,$C$3,$C$4,$C$6,$C$5,$C$7,R$1,R$2,$A219)</f>
        <v>0</v>
      </c>
      <c r="S219" s="32">
        <f ca="1">_xll.DBRW($C$1,$C$2,$C$3,$C$4,$C$6,$C$5,$C$7,S$1,S$2,$A219)</f>
        <v>0</v>
      </c>
      <c r="T219" s="32">
        <f ca="1">_xll.DBRW($C$1,$C$2,$C$3,$C$4,$C$6,$C$5,$C$7,T$1,T$2,$A219)</f>
        <v>0</v>
      </c>
      <c r="U219" s="32">
        <f ca="1">_xll.DBRW($C$1,$C$2,$C$3,$C$4,$C$6,$C$5,$C$7,U$1,U$2,$A219)</f>
        <v>0</v>
      </c>
      <c r="V219" s="32">
        <f ca="1">_xll.DBRW($C$1,$C$2,$C$3,$C$4,$C$6,$C$5,$C$7,V$1,V$2,$A219)</f>
        <v>0</v>
      </c>
      <c r="W219" s="32">
        <f ca="1">_xll.DBRW($C$1,$C$2,$C$3,$C$4,$C$6,$C$5,$C$7,W$1,W$2,$A219)</f>
        <v>0</v>
      </c>
      <c r="X219" s="32">
        <f ca="1">_xll.DBRW($C$1,$C$2,$C$3,$C$4,$C$6,$C$5,$C$7,X$1,X$2,$A219)</f>
        <v>0</v>
      </c>
      <c r="Y219" s="32">
        <f ca="1">_xll.DBRW($C$1,$C$2,$C$3,$C$4,$C$6,$C$5,$C$7,Y$1,Y$2,$A219)</f>
        <v>0</v>
      </c>
      <c r="Z219" s="32">
        <f ca="1">_xll.DBRW($C$1,$C$2,$C$3,$C$4,$C$6,$C$5,$C$7,Z$1,Z$2,$A219)</f>
        <v>0</v>
      </c>
      <c r="AA219" s="32">
        <f ca="1">_xll.DBRW($C$1,$C$2,$C$3,$C$4,$C$6,$C$5,$C$7,AA$1,AA$2,$A219)</f>
        <v>0</v>
      </c>
      <c r="AB219" s="32">
        <f ca="1">_xll.DBRW($C$1,$C$2,$C$3,$C$4,$C$6,$C$5,$C$7,AB$1,AB$2,$A219)</f>
        <v>0</v>
      </c>
      <c r="AC219" s="32">
        <f ca="1">_xll.DBRW($C$1,$C$2,$C$3,$C$4,$C$6,$C$5,$C$7,AC$1,AC$2,$A219)</f>
        <v>0</v>
      </c>
      <c r="AD219" s="32">
        <f ca="1">_xll.DBRW($C$1,$C$2,$C$3,$C$4,$C$6,$C$5,$C$7,AD$1,AD$2,$A219)</f>
        <v>0</v>
      </c>
      <c r="AE219" s="32">
        <f ca="1">_xll.DBRW($C$1,$C$2,$C$3,$C$4,$C$6,$C$5,$C$7,AE$1,AE$2,$A219)</f>
        <v>0</v>
      </c>
      <c r="AF219" s="32">
        <f ca="1">_xll.DBRW($C$1,$C$2,$C$3,$C$4,$C$6,$C$5,$C$7,AF$1,AF$2,$A219)</f>
        <v>0</v>
      </c>
      <c r="AG219" s="32">
        <f ca="1">_xll.DBRW($C$1,$C$2,$C$3,$C$4,$C$6,$C$5,$C$7,AG$1,AG$2,$A219)</f>
        <v>0</v>
      </c>
      <c r="AH219" s="32">
        <f ca="1">_xll.DBRW($C$1,$C$2,$C$3,$C$4,$C$6,$C$5,$C$7,AH$1,AH$2,$A219)</f>
        <v>0</v>
      </c>
      <c r="AI219" s="32">
        <f ca="1">_xll.DBRW($C$1,$C$2,$C$3,$C$4,$C$6,$C$5,$C$7,AI$1,AI$2,$A219)</f>
        <v>0</v>
      </c>
      <c r="AJ219" s="32">
        <f ca="1">_xll.DBRW($C$1,$C$2,$C$3,$C$4,$C$6,$C$5,$C$7,AJ$1,AJ$2,$A219)</f>
        <v>0</v>
      </c>
      <c r="AK219" s="32">
        <f ca="1">_xll.DBRW($C$1,$C$2,$C$3,$C$4,$C$6,$C$5,$C$7,AK$1,AK$2,$A219)</f>
        <v>0</v>
      </c>
      <c r="AL219" s="32">
        <f ca="1">_xll.DBRW($C$1,$C$2,$C$3,$C$4,$C$6,$C$5,$C$7,AL$1,AL$2,$A219)</f>
        <v>0</v>
      </c>
      <c r="AM219" s="32">
        <f ca="1">_xll.DBRW($C$1,$C$2,$C$3,$C$4,$C$6,$C$5,$C$7,AM$1,AM$2,$A219)</f>
        <v>0</v>
      </c>
      <c r="AN219" s="32">
        <f ca="1">_xll.DBRW($C$1,$C$2,$C$3,$C$4,$C$6,$C$5,$C$7,AN$1,AN$2,$A219)</f>
        <v>0</v>
      </c>
      <c r="AO219" s="32">
        <f ca="1">_xll.DBRW($C$1,$C$2,$C$3,$C$4,$C$6,$C$5,$C$7,AO$1,AO$2,$A219)</f>
        <v>0</v>
      </c>
      <c r="AP219" s="32">
        <f ca="1">_xll.DBRW($C$1,$C$2,$C$3,$C$4,$C$6,$C$5,$C$7,AP$1,AP$2,$A219)</f>
        <v>0</v>
      </c>
      <c r="AQ219" s="32">
        <f ca="1">_xll.DBRW($C$1,$C$2,$C$3,$C$4,$C$6,$C$5,$C$7,AQ$1,AQ$2,$A219)</f>
        <v>0</v>
      </c>
      <c r="AR219" s="32">
        <f ca="1">_xll.DBRW($C$1,$C$2,$C$3,$C$4,$C$6,$C$5,$C$7,AR$1,AR$2,$A219)</f>
        <v>0</v>
      </c>
      <c r="AS219" s="32">
        <f ca="1">_xll.DBRW($C$1,$C$2,$C$3,$C$4,$C$6,$C$5,$C$7,AS$1,AS$2,$A219)</f>
        <v>0</v>
      </c>
      <c r="AT219" s="32">
        <f ca="1">_xll.DBRW($C$1,$C$2,$C$3,$C$4,$C$6,$C$5,$C$7,AT$1,AT$2,$A219)</f>
        <v>0</v>
      </c>
      <c r="AU219" s="32">
        <f ca="1">_xll.DBRW($C$1,$C$2,$C$3,$C$4,$C$6,$C$5,$C$7,AU$1,AU$2,$A219)</f>
        <v>0</v>
      </c>
      <c r="AV219" s="32">
        <f ca="1">_xll.DBRW($C$1,$C$2,$C$3,$C$4,$C$6,$C$5,$C$7,AV$1,AV$2,$A219)</f>
        <v>0</v>
      </c>
      <c r="AW219" s="32">
        <f ca="1">_xll.DBRW($C$1,$C$2,$C$3,$C$4,$C$6,$C$5,$C$7,AW$1,AW$2,$A219)</f>
        <v>0</v>
      </c>
      <c r="AX219" s="32">
        <f ca="1">_xll.DBRW($C$1,$C$2,$C$3,$C$4,$C$6,$C$5,$C$7,AX$1,AX$2,$A219)</f>
        <v>0</v>
      </c>
      <c r="AY219" s="32">
        <f ca="1">_xll.DBRW($C$1,$C$2,$C$3,$C$4,$C$6,$C$5,$C$7,AY$1,AY$2,$A219)</f>
        <v>0</v>
      </c>
    </row>
    <row r="220" spans="1:51" ht="15.75" hidden="1" customHeight="1" outlineLevel="1">
      <c r="A220" s="1" t="s">
        <v>307</v>
      </c>
      <c r="C220" s="104"/>
      <c r="E220" s="9" t="str">
        <f ca="1">_xll.DBRW(Server&amp;"}ElementAttributes_Indicator",A220,"code_English")</f>
        <v>PL1183_XX - Vector Reconciliation (TPL11) - Non hedged fair value on derivatives related to financial operating activities(I4 and I12)</v>
      </c>
      <c r="F220" s="32">
        <f ca="1">_xll.DBRW($C$1,$C$2,$C$3,$C$4,$C$6,$C$5,$C$7,F$1,F$2,$A220)</f>
        <v>0</v>
      </c>
      <c r="G220" s="32">
        <f ca="1">_xll.DBRW($C$1,$C$2,$C$3,$C$4,$C$6,$C$5,$C$7,G$1,G$2,$A220)</f>
        <v>0</v>
      </c>
      <c r="H220" s="32">
        <f ca="1">_xll.DBRW($C$1,$C$2,$C$3,$C$4,$C$6,$C$5,$C$7,H$1,H$2,$A220)</f>
        <v>0</v>
      </c>
      <c r="I220" s="32">
        <f ca="1">_xll.DBRW($C$1,$C$2,$C$3,$C$4,$C$6,$C$5,$C$7,I$1,I$2,$A220)</f>
        <v>0</v>
      </c>
      <c r="J220" s="32">
        <f ca="1">_xll.DBRW($C$1,$C$2,$C$3,$C$4,$C$6,$C$5,$C$7,J$1,J$2,$A220)</f>
        <v>0</v>
      </c>
      <c r="K220" s="32">
        <f ca="1">_xll.DBRW($C$1,$C$2,$C$3,$C$4,$C$6,$C$5,$C$7,K$1,K$2,$A220)</f>
        <v>0</v>
      </c>
      <c r="L220" s="32">
        <f ca="1">_xll.DBRW($C$1,$C$2,$C$3,$C$4,$C$6,$C$5,$C$7,L$1,L$2,$A220)</f>
        <v>0</v>
      </c>
      <c r="M220" s="32">
        <f ca="1">_xll.DBRW($C$1,$C$2,$C$3,$C$4,$C$6,$C$5,$C$7,M$1,M$2,$A220)</f>
        <v>0</v>
      </c>
      <c r="N220" s="32">
        <f ca="1">_xll.DBRW($C$1,$C$2,$C$3,$C$4,$C$6,$C$5,$C$7,N$1,N$2,$A220)</f>
        <v>0</v>
      </c>
      <c r="O220" s="32">
        <f ca="1">_xll.DBRW($C$1,$C$2,$C$3,$C$4,$C$6,$C$5,$C$7,O$1,O$2,$A220)</f>
        <v>0</v>
      </c>
      <c r="P220" s="32">
        <f ca="1">_xll.DBRW($C$1,$C$2,$C$3,$C$4,$C$6,$C$5,$C$7,P$1,P$2,$A220)</f>
        <v>0</v>
      </c>
      <c r="Q220" s="32">
        <f ca="1">_xll.DBRW($C$1,$C$2,$C$3,$C$4,$C$6,$C$5,$C$7,Q$1,Q$2,$A220)</f>
        <v>0</v>
      </c>
      <c r="R220" s="32">
        <f ca="1">_xll.DBRW($C$1,$C$2,$C$3,$C$4,$C$6,$C$5,$C$7,R$1,R$2,$A220)</f>
        <v>0</v>
      </c>
      <c r="S220" s="32">
        <f ca="1">_xll.DBRW($C$1,$C$2,$C$3,$C$4,$C$6,$C$5,$C$7,S$1,S$2,$A220)</f>
        <v>0</v>
      </c>
      <c r="T220" s="32">
        <f ca="1">_xll.DBRW($C$1,$C$2,$C$3,$C$4,$C$6,$C$5,$C$7,T$1,T$2,$A220)</f>
        <v>0</v>
      </c>
      <c r="U220" s="32">
        <f ca="1">_xll.DBRW($C$1,$C$2,$C$3,$C$4,$C$6,$C$5,$C$7,U$1,U$2,$A220)</f>
        <v>0</v>
      </c>
      <c r="V220" s="32">
        <f ca="1">_xll.DBRW($C$1,$C$2,$C$3,$C$4,$C$6,$C$5,$C$7,V$1,V$2,$A220)</f>
        <v>0</v>
      </c>
      <c r="W220" s="32">
        <f ca="1">_xll.DBRW($C$1,$C$2,$C$3,$C$4,$C$6,$C$5,$C$7,W$1,W$2,$A220)</f>
        <v>0</v>
      </c>
      <c r="X220" s="32">
        <f ca="1">_xll.DBRW($C$1,$C$2,$C$3,$C$4,$C$6,$C$5,$C$7,X$1,X$2,$A220)</f>
        <v>0</v>
      </c>
      <c r="Y220" s="32">
        <f ca="1">_xll.DBRW($C$1,$C$2,$C$3,$C$4,$C$6,$C$5,$C$7,Y$1,Y$2,$A220)</f>
        <v>0</v>
      </c>
      <c r="Z220" s="32">
        <f ca="1">_xll.DBRW($C$1,$C$2,$C$3,$C$4,$C$6,$C$5,$C$7,Z$1,Z$2,$A220)</f>
        <v>0</v>
      </c>
      <c r="AA220" s="32">
        <f ca="1">_xll.DBRW($C$1,$C$2,$C$3,$C$4,$C$6,$C$5,$C$7,AA$1,AA$2,$A220)</f>
        <v>0</v>
      </c>
      <c r="AB220" s="32">
        <f ca="1">_xll.DBRW($C$1,$C$2,$C$3,$C$4,$C$6,$C$5,$C$7,AB$1,AB$2,$A220)</f>
        <v>0</v>
      </c>
      <c r="AC220" s="32">
        <f ca="1">_xll.DBRW($C$1,$C$2,$C$3,$C$4,$C$6,$C$5,$C$7,AC$1,AC$2,$A220)</f>
        <v>0</v>
      </c>
      <c r="AD220" s="32">
        <f ca="1">_xll.DBRW($C$1,$C$2,$C$3,$C$4,$C$6,$C$5,$C$7,AD$1,AD$2,$A220)</f>
        <v>0</v>
      </c>
      <c r="AE220" s="32">
        <f ca="1">_xll.DBRW($C$1,$C$2,$C$3,$C$4,$C$6,$C$5,$C$7,AE$1,AE$2,$A220)</f>
        <v>0</v>
      </c>
      <c r="AF220" s="32">
        <f ca="1">_xll.DBRW($C$1,$C$2,$C$3,$C$4,$C$6,$C$5,$C$7,AF$1,AF$2,$A220)</f>
        <v>0</v>
      </c>
      <c r="AG220" s="32">
        <f ca="1">_xll.DBRW($C$1,$C$2,$C$3,$C$4,$C$6,$C$5,$C$7,AG$1,AG$2,$A220)</f>
        <v>0</v>
      </c>
      <c r="AH220" s="32">
        <f ca="1">_xll.DBRW($C$1,$C$2,$C$3,$C$4,$C$6,$C$5,$C$7,AH$1,AH$2,$A220)</f>
        <v>0</v>
      </c>
      <c r="AI220" s="32">
        <f ca="1">_xll.DBRW($C$1,$C$2,$C$3,$C$4,$C$6,$C$5,$C$7,AI$1,AI$2,$A220)</f>
        <v>0</v>
      </c>
      <c r="AJ220" s="32">
        <f ca="1">_xll.DBRW($C$1,$C$2,$C$3,$C$4,$C$6,$C$5,$C$7,AJ$1,AJ$2,$A220)</f>
        <v>0</v>
      </c>
      <c r="AK220" s="32">
        <f ca="1">_xll.DBRW($C$1,$C$2,$C$3,$C$4,$C$6,$C$5,$C$7,AK$1,AK$2,$A220)</f>
        <v>0</v>
      </c>
      <c r="AL220" s="32">
        <f ca="1">_xll.DBRW($C$1,$C$2,$C$3,$C$4,$C$6,$C$5,$C$7,AL$1,AL$2,$A220)</f>
        <v>0</v>
      </c>
      <c r="AM220" s="32">
        <f ca="1">_xll.DBRW($C$1,$C$2,$C$3,$C$4,$C$6,$C$5,$C$7,AM$1,AM$2,$A220)</f>
        <v>0</v>
      </c>
      <c r="AN220" s="32">
        <f ca="1">_xll.DBRW($C$1,$C$2,$C$3,$C$4,$C$6,$C$5,$C$7,AN$1,AN$2,$A220)</f>
        <v>0</v>
      </c>
      <c r="AO220" s="32">
        <f ca="1">_xll.DBRW($C$1,$C$2,$C$3,$C$4,$C$6,$C$5,$C$7,AO$1,AO$2,$A220)</f>
        <v>0</v>
      </c>
      <c r="AP220" s="32">
        <f ca="1">_xll.DBRW($C$1,$C$2,$C$3,$C$4,$C$6,$C$5,$C$7,AP$1,AP$2,$A220)</f>
        <v>0</v>
      </c>
      <c r="AQ220" s="32">
        <f ca="1">_xll.DBRW($C$1,$C$2,$C$3,$C$4,$C$6,$C$5,$C$7,AQ$1,AQ$2,$A220)</f>
        <v>0</v>
      </c>
      <c r="AR220" s="32">
        <f ca="1">_xll.DBRW($C$1,$C$2,$C$3,$C$4,$C$6,$C$5,$C$7,AR$1,AR$2,$A220)</f>
        <v>0</v>
      </c>
      <c r="AS220" s="32">
        <f ca="1">_xll.DBRW($C$1,$C$2,$C$3,$C$4,$C$6,$C$5,$C$7,AS$1,AS$2,$A220)</f>
        <v>0</v>
      </c>
      <c r="AT220" s="32">
        <f ca="1">_xll.DBRW($C$1,$C$2,$C$3,$C$4,$C$6,$C$5,$C$7,AT$1,AT$2,$A220)</f>
        <v>0</v>
      </c>
      <c r="AU220" s="32">
        <f ca="1">_xll.DBRW($C$1,$C$2,$C$3,$C$4,$C$6,$C$5,$C$7,AU$1,AU$2,$A220)</f>
        <v>0</v>
      </c>
      <c r="AV220" s="32">
        <f ca="1">_xll.DBRW($C$1,$C$2,$C$3,$C$4,$C$6,$C$5,$C$7,AV$1,AV$2,$A220)</f>
        <v>0</v>
      </c>
      <c r="AW220" s="32">
        <f ca="1">_xll.DBRW($C$1,$C$2,$C$3,$C$4,$C$6,$C$5,$C$7,AW$1,AW$2,$A220)</f>
        <v>0</v>
      </c>
      <c r="AX220" s="32">
        <f ca="1">_xll.DBRW($C$1,$C$2,$C$3,$C$4,$C$6,$C$5,$C$7,AX$1,AX$2,$A220)</f>
        <v>0</v>
      </c>
      <c r="AY220" s="32">
        <f ca="1">_xll.DBRW($C$1,$C$2,$C$3,$C$4,$C$6,$C$5,$C$7,AY$1,AY$2,$A220)</f>
        <v>0</v>
      </c>
    </row>
    <row r="221" spans="1:51" ht="15.75" hidden="1" customHeight="1" outlineLevel="1">
      <c r="A221" s="1" t="s">
        <v>308</v>
      </c>
      <c r="C221" s="104"/>
      <c r="E221" s="9" t="str">
        <f ca="1">_xll.DBRW(Server&amp;"}ElementAttributes_Indicator",A221,"code_English")</f>
        <v>PL1184_XX - Vector Reconciliation (TPL11) - Recycling from Fair value reserves to operating profit (CFH)</v>
      </c>
      <c r="F221" s="32">
        <f ca="1">_xll.DBRW($C$1,$C$2,$C$3,$C$4,$C$6,$C$5,$C$7,F$1,F$2,$A221)</f>
        <v>-8.332255414999997</v>
      </c>
      <c r="G221" s="32">
        <f ca="1">_xll.DBRW($C$1,$C$2,$C$3,$C$4,$C$6,$C$5,$C$7,G$1,G$2,$A221)</f>
        <v>-1.7642590449999995</v>
      </c>
      <c r="H221" s="32">
        <f ca="1">_xll.DBRW($C$1,$C$2,$C$3,$C$4,$C$6,$C$5,$C$7,H$1,H$2,$A221)</f>
        <v>0.22107330100000031</v>
      </c>
      <c r="I221" s="32">
        <f ca="1">_xll.DBRW($C$1,$C$2,$C$3,$C$4,$C$6,$C$5,$C$7,I$1,I$2,$A221)</f>
        <v>0.49246865400000006</v>
      </c>
      <c r="J221" s="32">
        <f ca="1">_xll.DBRW($C$1,$C$2,$C$3,$C$4,$C$6,$C$5,$C$7,J$1,J$2,$A221)</f>
        <v>-4.713616708</v>
      </c>
      <c r="K221" s="32">
        <f ca="1">_xll.DBRW($C$1,$C$2,$C$3,$C$4,$C$6,$C$5,$C$7,K$1,K$2,$A221)</f>
        <v>0.117441344</v>
      </c>
      <c r="L221" s="32">
        <f ca="1">_xll.DBRW($C$1,$C$2,$C$3,$C$4,$C$6,$C$5,$C$7,L$1,L$2,$A221)</f>
        <v>0</v>
      </c>
      <c r="M221" s="32">
        <f ca="1">_xll.DBRW($C$1,$C$2,$C$3,$C$4,$C$6,$C$5,$C$7,M$1,M$2,$A221)</f>
        <v>0</v>
      </c>
      <c r="N221" s="32">
        <f ca="1">_xll.DBRW($C$1,$C$2,$C$3,$C$4,$C$6,$C$5,$C$7,N$1,N$2,$A221)</f>
        <v>0</v>
      </c>
      <c r="O221" s="32">
        <f ca="1">_xll.DBRW($C$1,$C$2,$C$3,$C$4,$C$6,$C$5,$C$7,O$1,O$2,$A221)</f>
        <v>0</v>
      </c>
      <c r="P221" s="32">
        <f ca="1">_xll.DBRW($C$1,$C$2,$C$3,$C$4,$C$6,$C$5,$C$7,P$1,P$2,$A221)</f>
        <v>0</v>
      </c>
      <c r="Q221" s="32">
        <f ca="1">_xll.DBRW($C$1,$C$2,$C$3,$C$4,$C$6,$C$5,$C$7,Q$1,Q$2,$A221)</f>
        <v>0</v>
      </c>
      <c r="R221" s="32">
        <f ca="1">_xll.DBRW($C$1,$C$2,$C$3,$C$4,$C$6,$C$5,$C$7,R$1,R$2,$A221)</f>
        <v>0</v>
      </c>
      <c r="S221" s="32">
        <f ca="1">_xll.DBRW($C$1,$C$2,$C$3,$C$4,$C$6,$C$5,$C$7,S$1,S$2,$A221)</f>
        <v>0</v>
      </c>
      <c r="T221" s="32">
        <f ca="1">_xll.DBRW($C$1,$C$2,$C$3,$C$4,$C$6,$C$5,$C$7,T$1,T$2,$A221)</f>
        <v>0</v>
      </c>
      <c r="U221" s="32">
        <f ca="1">_xll.DBRW($C$1,$C$2,$C$3,$C$4,$C$6,$C$5,$C$7,U$1,U$2,$A221)</f>
        <v>0</v>
      </c>
      <c r="V221" s="32">
        <f ca="1">_xll.DBRW($C$1,$C$2,$C$3,$C$4,$C$6,$C$5,$C$7,V$1,V$2,$A221)</f>
        <v>0</v>
      </c>
      <c r="W221" s="32">
        <f ca="1">_xll.DBRW($C$1,$C$2,$C$3,$C$4,$C$6,$C$5,$C$7,W$1,W$2,$A221)</f>
        <v>0</v>
      </c>
      <c r="X221" s="32">
        <f ca="1">_xll.DBRW($C$1,$C$2,$C$3,$C$4,$C$6,$C$5,$C$7,X$1,X$2,$A221)</f>
        <v>0</v>
      </c>
      <c r="Y221" s="32">
        <f ca="1">_xll.DBRW($C$1,$C$2,$C$3,$C$4,$C$6,$C$5,$C$7,Y$1,Y$2,$A221)</f>
        <v>0</v>
      </c>
      <c r="Z221" s="32">
        <f ca="1">_xll.DBRW($C$1,$C$2,$C$3,$C$4,$C$6,$C$5,$C$7,Z$1,Z$2,$A221)</f>
        <v>0</v>
      </c>
      <c r="AA221" s="32">
        <f ca="1">_xll.DBRW($C$1,$C$2,$C$3,$C$4,$C$6,$C$5,$C$7,AA$1,AA$2,$A221)</f>
        <v>0</v>
      </c>
      <c r="AB221" s="32">
        <f ca="1">_xll.DBRW($C$1,$C$2,$C$3,$C$4,$C$6,$C$5,$C$7,AB$1,AB$2,$A221)</f>
        <v>0</v>
      </c>
      <c r="AC221" s="32">
        <f ca="1">_xll.DBRW($C$1,$C$2,$C$3,$C$4,$C$6,$C$5,$C$7,AC$1,AC$2,$A221)</f>
        <v>0</v>
      </c>
      <c r="AD221" s="32">
        <f ca="1">_xll.DBRW($C$1,$C$2,$C$3,$C$4,$C$6,$C$5,$C$7,AD$1,AD$2,$A221)</f>
        <v>0</v>
      </c>
      <c r="AE221" s="32">
        <f ca="1">_xll.DBRW($C$1,$C$2,$C$3,$C$4,$C$6,$C$5,$C$7,AE$1,AE$2,$A221)</f>
        <v>0</v>
      </c>
      <c r="AF221" s="32">
        <f ca="1">_xll.DBRW($C$1,$C$2,$C$3,$C$4,$C$6,$C$5,$C$7,AF$1,AF$2,$A221)</f>
        <v>0</v>
      </c>
      <c r="AG221" s="32">
        <f ca="1">_xll.DBRW($C$1,$C$2,$C$3,$C$4,$C$6,$C$5,$C$7,AG$1,AG$2,$A221)</f>
        <v>0</v>
      </c>
      <c r="AH221" s="32">
        <f ca="1">_xll.DBRW($C$1,$C$2,$C$3,$C$4,$C$6,$C$5,$C$7,AH$1,AH$2,$A221)</f>
        <v>0</v>
      </c>
      <c r="AI221" s="32">
        <f ca="1">_xll.DBRW($C$1,$C$2,$C$3,$C$4,$C$6,$C$5,$C$7,AI$1,AI$2,$A221)</f>
        <v>0</v>
      </c>
      <c r="AJ221" s="32">
        <f ca="1">_xll.DBRW($C$1,$C$2,$C$3,$C$4,$C$6,$C$5,$C$7,AJ$1,AJ$2,$A221)</f>
        <v>0</v>
      </c>
      <c r="AK221" s="32">
        <f ca="1">_xll.DBRW($C$1,$C$2,$C$3,$C$4,$C$6,$C$5,$C$7,AK$1,AK$2,$A221)</f>
        <v>0</v>
      </c>
      <c r="AL221" s="32">
        <f ca="1">_xll.DBRW($C$1,$C$2,$C$3,$C$4,$C$6,$C$5,$C$7,AL$1,AL$2,$A221)</f>
        <v>0</v>
      </c>
      <c r="AM221" s="32">
        <f ca="1">_xll.DBRW($C$1,$C$2,$C$3,$C$4,$C$6,$C$5,$C$7,AM$1,AM$2,$A221)</f>
        <v>0</v>
      </c>
      <c r="AN221" s="32">
        <f ca="1">_xll.DBRW($C$1,$C$2,$C$3,$C$4,$C$6,$C$5,$C$7,AN$1,AN$2,$A221)</f>
        <v>0</v>
      </c>
      <c r="AO221" s="32">
        <f ca="1">_xll.DBRW($C$1,$C$2,$C$3,$C$4,$C$6,$C$5,$C$7,AO$1,AO$2,$A221)</f>
        <v>0</v>
      </c>
      <c r="AP221" s="32">
        <f ca="1">_xll.DBRW($C$1,$C$2,$C$3,$C$4,$C$6,$C$5,$C$7,AP$1,AP$2,$A221)</f>
        <v>0</v>
      </c>
      <c r="AQ221" s="32">
        <f ca="1">_xll.DBRW($C$1,$C$2,$C$3,$C$4,$C$6,$C$5,$C$7,AQ$1,AQ$2,$A221)</f>
        <v>0</v>
      </c>
      <c r="AR221" s="32">
        <f ca="1">_xll.DBRW($C$1,$C$2,$C$3,$C$4,$C$6,$C$5,$C$7,AR$1,AR$2,$A221)</f>
        <v>0</v>
      </c>
      <c r="AS221" s="32">
        <f ca="1">_xll.DBRW($C$1,$C$2,$C$3,$C$4,$C$6,$C$5,$C$7,AS$1,AS$2,$A221)</f>
        <v>0</v>
      </c>
      <c r="AT221" s="32">
        <f ca="1">_xll.DBRW($C$1,$C$2,$C$3,$C$4,$C$6,$C$5,$C$7,AT$1,AT$2,$A221)</f>
        <v>0</v>
      </c>
      <c r="AU221" s="32">
        <f ca="1">_xll.DBRW($C$1,$C$2,$C$3,$C$4,$C$6,$C$5,$C$7,AU$1,AU$2,$A221)</f>
        <v>0</v>
      </c>
      <c r="AV221" s="32">
        <f ca="1">_xll.DBRW($C$1,$C$2,$C$3,$C$4,$C$6,$C$5,$C$7,AV$1,AV$2,$A221)</f>
        <v>0</v>
      </c>
      <c r="AW221" s="32">
        <f ca="1">_xll.DBRW($C$1,$C$2,$C$3,$C$4,$C$6,$C$5,$C$7,AW$1,AW$2,$A221)</f>
        <v>0</v>
      </c>
      <c r="AX221" s="32">
        <f ca="1">_xll.DBRW($C$1,$C$2,$C$3,$C$4,$C$6,$C$5,$C$7,AX$1,AX$2,$A221)</f>
        <v>0</v>
      </c>
      <c r="AY221" s="32">
        <f ca="1">_xll.DBRW($C$1,$C$2,$C$3,$C$4,$C$6,$C$5,$C$7,AY$1,AY$2,$A221)</f>
        <v>0</v>
      </c>
    </row>
    <row r="222" spans="1:51" ht="14.5" collapsed="1">
      <c r="A222" s="1" t="s">
        <v>142</v>
      </c>
      <c r="C222" s="104"/>
      <c r="E222" s="23" t="s">
        <v>43</v>
      </c>
      <c r="F222" s="36">
        <f t="shared" ref="F222:L222" ca="1" si="109">SUM(F191:F221)</f>
        <v>-578.86599936330254</v>
      </c>
      <c r="G222" s="36">
        <f t="shared" ca="1" si="109"/>
        <v>-669.21266931396497</v>
      </c>
      <c r="H222" s="36">
        <f t="shared" ca="1" si="109"/>
        <v>-682.01082237342916</v>
      </c>
      <c r="I222" s="36">
        <f t="shared" ca="1" si="109"/>
        <v>-1712.3237942905967</v>
      </c>
      <c r="J222" s="36">
        <f t="shared" ca="1" si="109"/>
        <v>-751.48499595416286</v>
      </c>
      <c r="K222" s="36">
        <f t="shared" ca="1" si="109"/>
        <v>-388.56274530767331</v>
      </c>
      <c r="L222" s="36">
        <f t="shared" ca="1" si="109"/>
        <v>-500.14637872944371</v>
      </c>
      <c r="M222" s="36">
        <f t="shared" ref="M222:X222" ca="1" si="110">SUM(M191:M221)</f>
        <v>114.01162293957978</v>
      </c>
      <c r="N222" s="36">
        <f t="shared" ca="1" si="110"/>
        <v>-56.891055636328595</v>
      </c>
      <c r="O222" s="36">
        <f t="shared" ca="1" si="110"/>
        <v>-62.994530233406486</v>
      </c>
      <c r="P222" s="36">
        <f t="shared" ca="1" si="110"/>
        <v>-124.05373370331887</v>
      </c>
      <c r="Q222" s="36">
        <f t="shared" ca="1" si="110"/>
        <v>-143.67442225394683</v>
      </c>
      <c r="R222" s="36">
        <f t="shared" ca="1" si="110"/>
        <v>-131.242038743861</v>
      </c>
      <c r="S222" s="36">
        <f t="shared" ca="1" si="110"/>
        <v>557.38993837978342</v>
      </c>
      <c r="T222" s="36">
        <f t="shared" ca="1" si="110"/>
        <v>-182.27163830051649</v>
      </c>
      <c r="U222" s="36">
        <f t="shared" ca="1" si="110"/>
        <v>-217.45528472056546</v>
      </c>
      <c r="V222" s="36">
        <f t="shared" ca="1" si="110"/>
        <v>2002.0706274942308</v>
      </c>
      <c r="W222" s="36">
        <f t="shared" ca="1" si="110"/>
        <v>-639.92477998597133</v>
      </c>
      <c r="X222" s="36">
        <f t="shared" ca="1" si="110"/>
        <v>-248.7512496666059</v>
      </c>
      <c r="Y222" s="36">
        <f ca="1">SUM(Y191:Y221)</f>
        <v>-248.7512496666059</v>
      </c>
      <c r="Z222" s="36">
        <f t="shared" ref="Z222:AK222" ca="1" si="111">SUM(Z191:Z221)</f>
        <v>-87.141059549174443</v>
      </c>
      <c r="AA222" s="36">
        <f t="shared" ca="1" si="111"/>
        <v>-85.891567654248163</v>
      </c>
      <c r="AB222" s="36">
        <f t="shared" ca="1" si="111"/>
        <v>-124.52673834198619</v>
      </c>
      <c r="AC222" s="36">
        <f t="shared" ca="1" si="111"/>
        <v>-168.00500136406316</v>
      </c>
      <c r="AD222" s="36">
        <f t="shared" ca="1" si="111"/>
        <v>-327.97436057581695</v>
      </c>
      <c r="AE222" s="36">
        <f t="shared" ca="1" si="111"/>
        <v>-486.47353985403311</v>
      </c>
      <c r="AF222" s="36">
        <f t="shared" ca="1" si="111"/>
        <v>-642.25947181074582</v>
      </c>
      <c r="AG222" s="36">
        <f t="shared" ca="1" si="111"/>
        <v>-803.14561454724594</v>
      </c>
      <c r="AH222" s="36">
        <f t="shared" ca="1" si="111"/>
        <v>-960.30420883423255</v>
      </c>
      <c r="AI222" s="36">
        <f t="shared" ca="1" si="111"/>
        <v>-1119.8595900721991</v>
      </c>
      <c r="AJ222" s="36">
        <f t="shared" ca="1" si="111"/>
        <v>-1279.1089639355648</v>
      </c>
      <c r="AK222" s="36">
        <f t="shared" ca="1" si="111"/>
        <v>-1445.8611914995815</v>
      </c>
      <c r="AL222" s="36">
        <f ca="1">SUM(AL191:AL221)</f>
        <v>-1445.8611914995815</v>
      </c>
      <c r="AM222" s="36">
        <f t="shared" ref="AM222:AX222" ca="1" si="112">SUM(AM191:AM221)</f>
        <v>250.12038344455416</v>
      </c>
      <c r="AN222" s="36">
        <f t="shared" ca="1" si="112"/>
        <v>-33.964100196394241</v>
      </c>
      <c r="AO222" s="36">
        <f t="shared" ca="1" si="112"/>
        <v>-1123.93179968</v>
      </c>
      <c r="AP222" s="36">
        <f t="shared" ca="1" si="112"/>
        <v>-1123.93179968</v>
      </c>
      <c r="AQ222" s="36">
        <f t="shared" ca="1" si="112"/>
        <v>-1123.93179968</v>
      </c>
      <c r="AR222" s="36">
        <f t="shared" ca="1" si="112"/>
        <v>-1123.93179968</v>
      </c>
      <c r="AS222" s="36">
        <f t="shared" ca="1" si="112"/>
        <v>-1123.93179968</v>
      </c>
      <c r="AT222" s="36">
        <f t="shared" ca="1" si="112"/>
        <v>-1123.93179968</v>
      </c>
      <c r="AU222" s="36">
        <f t="shared" ca="1" si="112"/>
        <v>-1123.93179968</v>
      </c>
      <c r="AV222" s="36">
        <f t="shared" ca="1" si="112"/>
        <v>-1123.93179968</v>
      </c>
      <c r="AW222" s="36">
        <f t="shared" ca="1" si="112"/>
        <v>-1123.93179968</v>
      </c>
      <c r="AX222" s="36">
        <f t="shared" ca="1" si="112"/>
        <v>-1123.93179968</v>
      </c>
      <c r="AY222" s="36">
        <f ca="1">SUM(AY191:AY221)</f>
        <v>-1123.93179968</v>
      </c>
    </row>
    <row r="223" spans="1:51" ht="15.5">
      <c r="A223" s="1" t="s">
        <v>142</v>
      </c>
      <c r="C223" s="104"/>
      <c r="E223" s="20" t="s">
        <v>44</v>
      </c>
      <c r="F223" s="37">
        <f t="shared" ref="F223:AY223" ca="1" si="113">F34+F45+F84+F102+F118+F190+F222</f>
        <v>-303.66860846168697</v>
      </c>
      <c r="G223" s="37">
        <f t="shared" ca="1" si="113"/>
        <v>-118.27031133462231</v>
      </c>
      <c r="H223" s="37">
        <f t="shared" ca="1" si="113"/>
        <v>-243.30975650332471</v>
      </c>
      <c r="I223" s="37">
        <f t="shared" ca="1" si="113"/>
        <v>59.335319040199693</v>
      </c>
      <c r="J223" s="37">
        <f t="shared" ca="1" si="113"/>
        <v>419.98524383208189</v>
      </c>
      <c r="K223" s="37">
        <f t="shared" ca="1" si="113"/>
        <v>230.49831120065625</v>
      </c>
      <c r="L223" s="37">
        <f t="shared" ca="1" si="113"/>
        <v>363.30734758238629</v>
      </c>
      <c r="M223" s="37">
        <f t="shared" ca="1" si="113"/>
        <v>-13.091878255906394</v>
      </c>
      <c r="N223" s="37">
        <f t="shared" ca="1" si="113"/>
        <v>44.897894478447505</v>
      </c>
      <c r="O223" s="37">
        <f t="shared" ca="1" si="113"/>
        <v>82.040649767940607</v>
      </c>
      <c r="P223" s="37">
        <f t="shared" ca="1" si="113"/>
        <v>94.998632239731194</v>
      </c>
      <c r="Q223" s="37">
        <f t="shared" ca="1" si="113"/>
        <v>135.3455111147361</v>
      </c>
      <c r="R223" s="37">
        <f t="shared" ca="1" si="113"/>
        <v>186.26300173956125</v>
      </c>
      <c r="S223" s="37">
        <f t="shared" ca="1" si="113"/>
        <v>-109.69488744288458</v>
      </c>
      <c r="T223" s="37">
        <f t="shared" ca="1" si="113"/>
        <v>233.04631677991057</v>
      </c>
      <c r="U223" s="37">
        <f t="shared" ca="1" si="113"/>
        <v>282.4801463863871</v>
      </c>
      <c r="V223" s="37">
        <f t="shared" ca="1" si="113"/>
        <v>-343.58257593927374</v>
      </c>
      <c r="W223" s="37">
        <f t="shared" ca="1" si="113"/>
        <v>463.80452352544535</v>
      </c>
      <c r="X223" s="37">
        <f t="shared" ca="1" si="113"/>
        <v>367.65379585649885</v>
      </c>
      <c r="Y223" s="37">
        <f t="shared" ca="1" si="113"/>
        <v>367.65379585649885</v>
      </c>
      <c r="Z223" s="37">
        <f t="shared" ca="1" si="113"/>
        <v>39.021673162356862</v>
      </c>
      <c r="AA223" s="37">
        <f t="shared" ca="1" si="113"/>
        <v>51.770898070944881</v>
      </c>
      <c r="AB223" s="37">
        <f t="shared" ca="1" si="113"/>
        <v>89.431098292920623</v>
      </c>
      <c r="AC223" s="37">
        <f t="shared" ca="1" si="113"/>
        <v>119.2642530206993</v>
      </c>
      <c r="AD223" s="37">
        <f t="shared" ca="1" si="113"/>
        <v>162.17051676718063</v>
      </c>
      <c r="AE223" s="37">
        <f t="shared" ca="1" si="113"/>
        <v>212.80865429684422</v>
      </c>
      <c r="AF223" s="37">
        <f t="shared" ca="1" si="113"/>
        <v>248.35779222387157</v>
      </c>
      <c r="AG223" s="37">
        <f t="shared" ca="1" si="113"/>
        <v>296.37634052317981</v>
      </c>
      <c r="AH223" s="37">
        <f t="shared" ca="1" si="113"/>
        <v>354.41482273398822</v>
      </c>
      <c r="AI223" s="37">
        <f t="shared" ca="1" si="113"/>
        <v>412.83725850819496</v>
      </c>
      <c r="AJ223" s="37">
        <f t="shared" ca="1" si="113"/>
        <v>458.23340545769884</v>
      </c>
      <c r="AK223" s="37">
        <f t="shared" ca="1" si="113"/>
        <v>513.23062253777607</v>
      </c>
      <c r="AL223" s="37">
        <f t="shared" ca="1" si="113"/>
        <v>513.23062253777607</v>
      </c>
      <c r="AM223" s="37">
        <f t="shared" ca="1" si="113"/>
        <v>-31.54312876246658</v>
      </c>
      <c r="AN223" s="37">
        <f t="shared" ca="1" si="113"/>
        <v>40.212600756553144</v>
      </c>
      <c r="AO223" s="37">
        <f t="shared" ca="1" si="113"/>
        <v>199.89000095099982</v>
      </c>
      <c r="AP223" s="37">
        <f t="shared" ca="1" si="113"/>
        <v>199.89000095099982</v>
      </c>
      <c r="AQ223" s="37">
        <f t="shared" ca="1" si="113"/>
        <v>199.89000095099982</v>
      </c>
      <c r="AR223" s="37">
        <f t="shared" ca="1" si="113"/>
        <v>199.89000095099982</v>
      </c>
      <c r="AS223" s="37">
        <f t="shared" ca="1" si="113"/>
        <v>199.89000095099982</v>
      </c>
      <c r="AT223" s="37">
        <f t="shared" ca="1" si="113"/>
        <v>199.89000095099982</v>
      </c>
      <c r="AU223" s="37">
        <f t="shared" ca="1" si="113"/>
        <v>199.89000095099982</v>
      </c>
      <c r="AV223" s="37">
        <f t="shared" ca="1" si="113"/>
        <v>199.89000095099982</v>
      </c>
      <c r="AW223" s="37">
        <f t="shared" ca="1" si="113"/>
        <v>199.89000095099982</v>
      </c>
      <c r="AX223" s="37">
        <f t="shared" ca="1" si="113"/>
        <v>199.89000095099982</v>
      </c>
      <c r="AY223" s="37">
        <f t="shared" ca="1" si="113"/>
        <v>199.89000095099982</v>
      </c>
    </row>
    <row r="224" spans="1:51" ht="9" customHeight="1">
      <c r="A224" s="1" t="s">
        <v>142</v>
      </c>
      <c r="C224" s="104"/>
      <c r="E224" s="7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25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29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</row>
    <row r="225" spans="1:51" ht="15.5">
      <c r="A225" s="1" t="s">
        <v>309</v>
      </c>
      <c r="C225" s="104"/>
      <c r="E225" s="20" t="s">
        <v>45</v>
      </c>
      <c r="F225" s="37">
        <f ca="1">F31+F223</f>
        <v>278.3361497526837</v>
      </c>
      <c r="G225" s="37">
        <f t="shared" ref="G225:AY225" ca="1" si="114">G31+G223</f>
        <v>363.95668173962855</v>
      </c>
      <c r="H225" s="37">
        <f t="shared" ca="1" si="114"/>
        <v>205.49281766393659</v>
      </c>
      <c r="I225" s="37">
        <f t="shared" ca="1" si="114"/>
        <v>416.91445155534575</v>
      </c>
      <c r="J225" s="37">
        <f t="shared" ca="1" si="114"/>
        <v>151.96706404022626</v>
      </c>
      <c r="K225" s="37">
        <f t="shared" ca="1" si="114"/>
        <v>103.75658301690794</v>
      </c>
      <c r="L225" s="37">
        <f t="shared" ca="1" si="114"/>
        <v>274.48454329449913</v>
      </c>
      <c r="M225" s="37">
        <f t="shared" ca="1" si="114"/>
        <v>-5.9231025226338403</v>
      </c>
      <c r="N225" s="37">
        <f t="shared" ca="1" si="114"/>
        <v>7.9270659823758081</v>
      </c>
      <c r="O225" s="37">
        <f t="shared" ca="1" si="114"/>
        <v>33.664852764701294</v>
      </c>
      <c r="P225" s="37">
        <f t="shared" ca="1" si="114"/>
        <v>31.115163273486615</v>
      </c>
      <c r="Q225" s="37">
        <f t="shared" ca="1" si="114"/>
        <v>64.158572400237006</v>
      </c>
      <c r="R225" s="37">
        <f t="shared" ca="1" si="114"/>
        <v>102.13564699574252</v>
      </c>
      <c r="S225" s="37">
        <f t="shared" ca="1" si="114"/>
        <v>-23.118260139688317</v>
      </c>
      <c r="T225" s="37">
        <f t="shared" ca="1" si="114"/>
        <v>132.28228214023807</v>
      </c>
      <c r="U225" s="37">
        <f t="shared" ca="1" si="114"/>
        <v>159.33547513724</v>
      </c>
      <c r="V225" s="37">
        <f t="shared" ca="1" si="114"/>
        <v>-103.86245234880604</v>
      </c>
      <c r="W225" s="37">
        <f t="shared" ca="1" si="114"/>
        <v>282.29807270172398</v>
      </c>
      <c r="X225" s="37">
        <f t="shared" ca="1" si="114"/>
        <v>206.88181521354159</v>
      </c>
      <c r="Y225" s="37">
        <f t="shared" ca="1" si="114"/>
        <v>206.88181521354159</v>
      </c>
      <c r="Z225" s="37">
        <f t="shared" ca="1" si="114"/>
        <v>22.758594892647679</v>
      </c>
      <c r="AA225" s="37">
        <f t="shared" ca="1" si="114"/>
        <v>25.569463715465659</v>
      </c>
      <c r="AB225" s="37">
        <f t="shared" ca="1" si="114"/>
        <v>50.483290006232707</v>
      </c>
      <c r="AC225" s="37">
        <f t="shared" ca="1" si="114"/>
        <v>71.815506192326765</v>
      </c>
      <c r="AD225" s="37">
        <f t="shared" ca="1" si="114"/>
        <v>105.08431811468779</v>
      </c>
      <c r="AE225" s="37">
        <f t="shared" ca="1" si="114"/>
        <v>146.52658533637478</v>
      </c>
      <c r="AF225" s="37">
        <f t="shared" ca="1" si="114"/>
        <v>177.23216982792681</v>
      </c>
      <c r="AG225" s="37">
        <f t="shared" ca="1" si="114"/>
        <v>216.77910230287006</v>
      </c>
      <c r="AH225" s="37">
        <f t="shared" ca="1" si="114"/>
        <v>260.87355803115418</v>
      </c>
      <c r="AI225" s="37">
        <f t="shared" ca="1" si="114"/>
        <v>308.90635034855148</v>
      </c>
      <c r="AJ225" s="37">
        <f t="shared" ca="1" si="114"/>
        <v>340.29091838747632</v>
      </c>
      <c r="AK225" s="37">
        <f t="shared" ca="1" si="114"/>
        <v>382.71635788193259</v>
      </c>
      <c r="AL225" s="37">
        <f t="shared" ca="1" si="114"/>
        <v>382.71635788193259</v>
      </c>
      <c r="AM225" s="37">
        <f t="shared" ca="1" si="114"/>
        <v>-12.965508030287602</v>
      </c>
      <c r="AN225" s="37">
        <f t="shared" ca="1" si="114"/>
        <v>15.209980408498467</v>
      </c>
      <c r="AO225" s="37">
        <f t="shared" ca="1" si="114"/>
        <v>110.25288750099982</v>
      </c>
      <c r="AP225" s="37">
        <f t="shared" ca="1" si="114"/>
        <v>110.25288750099982</v>
      </c>
      <c r="AQ225" s="37">
        <f t="shared" ca="1" si="114"/>
        <v>110.25288750099982</v>
      </c>
      <c r="AR225" s="37">
        <f t="shared" ca="1" si="114"/>
        <v>110.25288750099982</v>
      </c>
      <c r="AS225" s="37">
        <f t="shared" ca="1" si="114"/>
        <v>110.25288750099982</v>
      </c>
      <c r="AT225" s="37">
        <f t="shared" ca="1" si="114"/>
        <v>110.25288750099982</v>
      </c>
      <c r="AU225" s="37">
        <f t="shared" ca="1" si="114"/>
        <v>110.25288750099982</v>
      </c>
      <c r="AV225" s="37">
        <f t="shared" ca="1" si="114"/>
        <v>110.25288750099982</v>
      </c>
      <c r="AW225" s="37">
        <f t="shared" ca="1" si="114"/>
        <v>110.25288750099982</v>
      </c>
      <c r="AX225" s="37">
        <f t="shared" ca="1" si="114"/>
        <v>110.25288750099982</v>
      </c>
      <c r="AY225" s="37">
        <f t="shared" ca="1" si="114"/>
        <v>110.25288750099982</v>
      </c>
    </row>
    <row r="226" spans="1:51" ht="9" customHeight="1">
      <c r="A226" s="1" t="s">
        <v>142</v>
      </c>
      <c r="C226" s="104"/>
      <c r="E226" s="7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29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</row>
    <row r="227" spans="1:51" ht="15.75" hidden="1" customHeight="1" outlineLevel="1">
      <c r="A227" s="1" t="s">
        <v>310</v>
      </c>
      <c r="C227" s="104"/>
      <c r="E227" s="9" t="str">
        <f ca="1">_xll.DBRW(Server&amp;"}ElementAttributes_Indicator",A227,"code_English")</f>
        <v>PL0000_BD - Business development expenses (RESOP)</v>
      </c>
      <c r="F227" s="10">
        <f ca="1">_xll.DBRW($C$1,$C$2,$C$3,$C$4,$C$6,$C$5,$C$7,F$1,F$2,$A227)</f>
        <v>-50.618776917149738</v>
      </c>
      <c r="G227" s="10">
        <f ca="1">_xll.DBRW($C$1,$C$2,$C$3,$C$4,$C$6,$C$5,$C$7,G$1,G$2,$A227)</f>
        <v>-45.320327930087856</v>
      </c>
      <c r="H227" s="10">
        <f ca="1">_xll.DBRW($C$1,$C$2,$C$3,$C$4,$C$6,$C$5,$C$7,H$1,H$2,$A227)</f>
        <v>-64.337550776425189</v>
      </c>
      <c r="I227" s="10">
        <f ca="1">_xll.DBRW($C$1,$C$2,$C$3,$C$4,$C$6,$C$5,$C$7,I$1,I$2,$A227)</f>
        <v>-59.498912391994892</v>
      </c>
      <c r="J227" s="10">
        <f ca="1">_xll.DBRW($C$1,$C$2,$C$3,$C$4,$C$6,$C$5,$C$7,J$1,J$2,$A227)</f>
        <v>-39.526226704110385</v>
      </c>
      <c r="K227" s="10">
        <f ca="1">_xll.DBRW($C$1,$C$2,$C$3,$C$4,$C$6,$C$5,$C$7,K$1,K$2,$A227)</f>
        <v>-22.346621945177251</v>
      </c>
      <c r="L227" s="10">
        <f ca="1">_xll.DBRW($C$1,$C$2,$C$3,$C$4,$C$6,$C$5,$C$7,L$1,L$2,$A227)</f>
        <v>-24.58516013487559</v>
      </c>
      <c r="M227" s="10">
        <f ca="1">_xll.DBRW($C$1,$C$2,$C$3,$C$4,$C$6,$C$5,$C$7,M$1,M$2,$A227)</f>
        <v>-1.1791993687150724</v>
      </c>
      <c r="N227" s="10">
        <f ca="1">_xll.DBRW($C$1,$C$2,$C$3,$C$4,$C$6,$C$5,$C$7,N$1,N$2,$A227)</f>
        <v>-3.321178009725779</v>
      </c>
      <c r="O227" s="10">
        <f ca="1">_xll.DBRW($C$1,$C$2,$C$3,$C$4,$C$6,$C$5,$C$7,O$1,O$2,$A227)</f>
        <v>-5.6130408104781901</v>
      </c>
      <c r="P227" s="10">
        <f ca="1">_xll.DBRW($C$1,$C$2,$C$3,$C$4,$C$6,$C$5,$C$7,P$1,P$2,$A227)</f>
        <v>-7.4598366931446458</v>
      </c>
      <c r="Q227" s="10">
        <f ca="1">_xll.DBRW($C$1,$C$2,$C$3,$C$4,$C$6,$C$5,$C$7,Q$1,Q$2,$A227)</f>
        <v>-9.639990459358307</v>
      </c>
      <c r="R227" s="10">
        <f ca="1">_xll.DBRW($C$1,$C$2,$C$3,$C$4,$C$6,$C$5,$C$7,R$1,R$2,$A227)</f>
        <v>-10.804136974347699</v>
      </c>
      <c r="S227" s="10">
        <f ca="1">_xll.DBRW($C$1,$C$2,$C$3,$C$4,$C$6,$C$5,$C$7,S$1,S$2,$A227)</f>
        <v>-8.3909584378813822</v>
      </c>
      <c r="T227" s="10">
        <f ca="1">_xll.DBRW($C$1,$C$2,$C$3,$C$4,$C$6,$C$5,$C$7,T$1,T$2,$A227)</f>
        <v>-14.241797573556713</v>
      </c>
      <c r="U227" s="10">
        <f ca="1">_xll.DBRW($C$1,$C$2,$C$3,$C$4,$C$6,$C$5,$C$7,U$1,U$2,$A227)</f>
        <v>-15.911854399516059</v>
      </c>
      <c r="V227" s="10">
        <f ca="1">_xll.DBRW($C$1,$C$2,$C$3,$C$4,$C$6,$C$5,$C$7,V$1,V$2,$A227)</f>
        <v>-11.46180643975028</v>
      </c>
      <c r="W227" s="10">
        <f ca="1">_xll.DBRW($C$1,$C$2,$C$3,$C$4,$C$6,$C$5,$C$7,W$1,W$2,$A227)</f>
        <v>-19.466657856732688</v>
      </c>
      <c r="X227" s="10">
        <f ca="1">_xll.DBRW($C$1,$C$2,$C$3,$C$4,$C$6,$C$5,$C$7,X$1,X$2,$A227)</f>
        <v>-22.310919888740781</v>
      </c>
      <c r="Y227" s="10">
        <f ca="1">_xll.DBRW($C$1,$C$2,$C$3,$C$4,$C$6,$C$5,$C$7,Y$1,Y$2,$A227)</f>
        <v>-22.310919888740781</v>
      </c>
      <c r="Z227" s="10">
        <f ca="1">_xll.DBRW($C$1,$C$2,$C$3,$C$4,$C$6,$C$5,$C$7,Z$1,Z$2,$A227)</f>
        <v>-2.0388524317152976</v>
      </c>
      <c r="AA227" s="10">
        <f ca="1">_xll.DBRW($C$1,$C$2,$C$3,$C$4,$C$6,$C$5,$C$7,AA$1,AA$2,$A227)</f>
        <v>-4.2634124346656499</v>
      </c>
      <c r="AB227" s="10">
        <f ca="1">_xll.DBRW($C$1,$C$2,$C$3,$C$4,$C$6,$C$5,$C$7,AB$1,AB$2,$A227)</f>
        <v>-6.4241496898530421</v>
      </c>
      <c r="AC227" s="10">
        <f ca="1">_xll.DBRW($C$1,$C$2,$C$3,$C$4,$C$6,$C$5,$C$7,AC$1,AC$2,$A227)</f>
        <v>-8.5295908723711253</v>
      </c>
      <c r="AD227" s="10">
        <f ca="1">_xll.DBRW($C$1,$C$2,$C$3,$C$4,$C$6,$C$5,$C$7,AD$1,AD$2,$A227)</f>
        <v>-10.644782308498284</v>
      </c>
      <c r="AE227" s="10">
        <f ca="1">_xll.DBRW($C$1,$C$2,$C$3,$C$4,$C$6,$C$5,$C$7,AE$1,AE$2,$A227)</f>
        <v>-12.431303658227817</v>
      </c>
      <c r="AF227" s="10">
        <f ca="1">_xll.DBRW($C$1,$C$2,$C$3,$C$4,$C$6,$C$5,$C$7,AF$1,AF$2,$A227)</f>
        <v>-14.847332346819179</v>
      </c>
      <c r="AG227" s="10">
        <f ca="1">_xll.DBRW($C$1,$C$2,$C$3,$C$4,$C$6,$C$5,$C$7,AG$1,AG$2,$A227)</f>
        <v>-17.080266148672443</v>
      </c>
      <c r="AH227" s="10">
        <f ca="1">_xll.DBRW($C$1,$C$2,$C$3,$C$4,$C$6,$C$5,$C$7,AH$1,AH$2,$A227)</f>
        <v>-19.304720126641993</v>
      </c>
      <c r="AI227" s="10">
        <f ca="1">_xll.DBRW($C$1,$C$2,$C$3,$C$4,$C$6,$C$5,$C$7,AI$1,AI$2,$A227)</f>
        <v>-21.98010137905834</v>
      </c>
      <c r="AJ227" s="10">
        <f ca="1">_xll.DBRW($C$1,$C$2,$C$3,$C$4,$C$6,$C$5,$C$7,AJ$1,AJ$2,$A227)</f>
        <v>-24.270723789237181</v>
      </c>
      <c r="AK227" s="10">
        <f ca="1">_xll.DBRW($C$1,$C$2,$C$3,$C$4,$C$6,$C$5,$C$7,AK$1,AK$2,$A227)</f>
        <v>-26.205839372480654</v>
      </c>
      <c r="AL227" s="24">
        <f ca="1">_xll.DBRW($C$1,$C$2,$C$3,$C$4,$C$6,$C$5,$C$7,AL$1,AL$2,$A227)</f>
        <v>-26.205839372480654</v>
      </c>
      <c r="AM227" s="10">
        <f ca="1">_xll.DBRW($C$1,$C$2,$C$3,$C$4,$C$6,$C$5,$C$7,AM$1,AM$2,$A227)</f>
        <v>-1.3584673587718987</v>
      </c>
      <c r="AN227" s="10">
        <f ca="1">_xll.DBRW($C$1,$C$2,$C$3,$C$4,$C$6,$C$5,$C$7,AN$1,AN$2,$A227)</f>
        <v>-3.8850989163083351</v>
      </c>
      <c r="AO227" s="10">
        <f ca="1">_xll.DBRW($C$1,$C$2,$C$3,$C$4,$C$6,$C$5,$C$7,AO$1,AO$2,$A227)</f>
        <v>-1.9255430583342559E-16</v>
      </c>
      <c r="AP227" s="10">
        <f ca="1">_xll.DBRW($C$1,$C$2,$C$3,$C$4,$C$6,$C$5,$C$7,AP$1,AP$2,$A227)</f>
        <v>-1.9255430583342559E-16</v>
      </c>
      <c r="AQ227" s="10">
        <f ca="1">_xll.DBRW($C$1,$C$2,$C$3,$C$4,$C$6,$C$5,$C$7,AQ$1,AQ$2,$A227)</f>
        <v>-1.9255430583342559E-16</v>
      </c>
      <c r="AR227" s="10">
        <f ca="1">_xll.DBRW($C$1,$C$2,$C$3,$C$4,$C$6,$C$5,$C$7,AR$1,AR$2,$A227)</f>
        <v>-1.9255430583342559E-16</v>
      </c>
      <c r="AS227" s="10">
        <f ca="1">_xll.DBRW($C$1,$C$2,$C$3,$C$4,$C$6,$C$5,$C$7,AS$1,AS$2,$A227)</f>
        <v>-1.9255430583342559E-16</v>
      </c>
      <c r="AT227" s="10">
        <f ca="1">_xll.DBRW($C$1,$C$2,$C$3,$C$4,$C$6,$C$5,$C$7,AT$1,AT$2,$A227)</f>
        <v>-1.9255430583342559E-16</v>
      </c>
      <c r="AU227" s="10">
        <f ca="1">_xll.DBRW($C$1,$C$2,$C$3,$C$4,$C$6,$C$5,$C$7,AU$1,AU$2,$A227)</f>
        <v>-1.9255430583342559E-16</v>
      </c>
      <c r="AV227" s="10">
        <f ca="1">_xll.DBRW($C$1,$C$2,$C$3,$C$4,$C$6,$C$5,$C$7,AV$1,AV$2,$A227)</f>
        <v>-1.9255430583342559E-16</v>
      </c>
      <c r="AW227" s="10">
        <f ca="1">_xll.DBRW($C$1,$C$2,$C$3,$C$4,$C$6,$C$5,$C$7,AW$1,AW$2,$A227)</f>
        <v>-1.9255430583342559E-16</v>
      </c>
      <c r="AX227" s="10">
        <f ca="1">_xll.DBRW($C$1,$C$2,$C$3,$C$4,$C$6,$C$5,$C$7,AX$1,AX$2,$A227)</f>
        <v>-1.9255430583342559E-16</v>
      </c>
      <c r="AY227" s="10">
        <f ca="1">_xll.DBRW($C$1,$C$2,$C$3,$C$4,$C$6,$C$5,$C$7,AY$1,AY$2,$A227)</f>
        <v>-1.9255430583342559E-16</v>
      </c>
    </row>
    <row r="228" spans="1:51" ht="15.75" hidden="1" customHeight="1" outlineLevel="1">
      <c r="A228" s="1" t="s">
        <v>311</v>
      </c>
      <c r="C228" s="104"/>
      <c r="E228" s="9" t="str">
        <f ca="1">_xll.DBRW(Server&amp;"}ElementAttributes_Indicator",A228,"code_English")</f>
        <v>PL0000_TPL12 - Business development expenses - Vector Reconciliation</v>
      </c>
      <c r="F228" s="10">
        <f ca="1">_xll.DBRW($C$1,$C$2,$C$3,$C$4,$C$6,$C$5,$C$7,F$1,F$2,$A228)</f>
        <v>1.2802826041497788</v>
      </c>
      <c r="G228" s="10">
        <f ca="1">_xll.DBRW($C$1,$C$2,$C$3,$C$4,$C$6,$C$5,$C$7,G$1,G$2,$A228)</f>
        <v>-2.9936009559121501</v>
      </c>
      <c r="H228" s="10">
        <f ca="1">_xll.DBRW($C$1,$C$2,$C$3,$C$4,$C$6,$C$5,$C$7,H$1,H$2,$A228)</f>
        <v>-1.382674583574822</v>
      </c>
      <c r="I228" s="10">
        <f ca="1">_xll.DBRW($C$1,$C$2,$C$3,$C$4,$C$6,$C$5,$C$7,I$1,I$2,$A228)</f>
        <v>3.6405237479948838</v>
      </c>
      <c r="J228" s="10">
        <f ca="1">_xll.DBRW($C$1,$C$2,$C$3,$C$4,$C$6,$C$5,$C$7,J$1,J$2,$A228)</f>
        <v>0.20073904011037724</v>
      </c>
      <c r="K228" s="10">
        <f ca="1">_xll.DBRW($C$1,$C$2,$C$3,$C$4,$C$6,$C$5,$C$7,K$1,K$2,$A228)</f>
        <v>-4.2644211308227593</v>
      </c>
      <c r="L228" s="10">
        <f ca="1">_xll.DBRW($C$1,$C$2,$C$3,$C$4,$C$6,$C$5,$C$7,L$1,L$2,$A228)</f>
        <v>-12.72502188912441</v>
      </c>
      <c r="M228" s="10">
        <f ca="1">_xll.DBRW($C$1,$C$2,$C$3,$C$4,$C$6,$C$5,$C$7,M$1,M$2,$A228)</f>
        <v>0.55850734271507219</v>
      </c>
      <c r="N228" s="10">
        <f ca="1">_xll.DBRW($C$1,$C$2,$C$3,$C$4,$C$6,$C$5,$C$7,N$1,N$2,$A228)</f>
        <v>-0.78230370827422058</v>
      </c>
      <c r="O228" s="10">
        <f ca="1">_xll.DBRW($C$1,$C$2,$C$3,$C$4,$C$6,$C$5,$C$7,O$1,O$2,$A228)</f>
        <v>-0.77021514752180986</v>
      </c>
      <c r="P228" s="10">
        <f ca="1">_xll.DBRW($C$1,$C$2,$C$3,$C$4,$C$6,$C$5,$C$7,P$1,P$2,$A228)</f>
        <v>-0.91354421185535317</v>
      </c>
      <c r="Q228" s="10">
        <f ca="1">_xll.DBRW($C$1,$C$2,$C$3,$C$4,$C$6,$C$5,$C$7,Q$1,Q$2,$A228)</f>
        <v>-1.74331793364169</v>
      </c>
      <c r="R228" s="10">
        <f ca="1">_xll.DBRW($C$1,$C$2,$C$3,$C$4,$C$6,$C$5,$C$7,R$1,R$2,$A228)</f>
        <v>-2.5796861496522965</v>
      </c>
      <c r="S228" s="10">
        <f ca="1">_xll.DBRW($C$1,$C$2,$C$3,$C$4,$C$6,$C$5,$C$7,S$1,S$2,$A228)</f>
        <v>4.2011495908813883</v>
      </c>
      <c r="T228" s="10">
        <f ca="1">_xll.DBRW($C$1,$C$2,$C$3,$C$4,$C$6,$C$5,$C$7,T$1,T$2,$A228)</f>
        <v>-3.718581915443278</v>
      </c>
      <c r="U228" s="10">
        <f ca="1">_xll.DBRW($C$1,$C$2,$C$3,$C$4,$C$6,$C$5,$C$7,U$1,U$2,$A228)</f>
        <v>-4.154204157483929</v>
      </c>
      <c r="V228" s="10">
        <f ca="1">_xll.DBRW($C$1,$C$2,$C$3,$C$4,$C$6,$C$5,$C$7,V$1,V$2,$A228)</f>
        <v>7.0757239327502868</v>
      </c>
      <c r="W228" s="10">
        <f ca="1">_xll.DBRW($C$1,$C$2,$C$3,$C$4,$C$6,$C$5,$C$7,W$1,W$2,$A228)</f>
        <v>-6.0122024942673074</v>
      </c>
      <c r="X228" s="10">
        <f ca="1">_xll.DBRW($C$1,$C$2,$C$3,$C$4,$C$6,$C$5,$C$7,X$1,X$2,$A228)</f>
        <v>-6.2806412022592149</v>
      </c>
      <c r="Y228" s="10">
        <f ca="1">_xll.DBRW($C$1,$C$2,$C$3,$C$4,$C$6,$C$5,$C$7,Y$1,Y$2,$A228)</f>
        <v>-6.2806412022592149</v>
      </c>
      <c r="Z228" s="10">
        <f ca="1">_xll.DBRW($C$1,$C$2,$C$3,$C$4,$C$6,$C$5,$C$7,Z$1,Z$2,$A228)</f>
        <v>-1.2619288232847024</v>
      </c>
      <c r="AA228" s="10">
        <f ca="1">_xll.DBRW($C$1,$C$2,$C$3,$C$4,$C$6,$C$5,$C$7,AA$1,AA$2,$A228)</f>
        <v>-2.1146959603343496</v>
      </c>
      <c r="AB228" s="10">
        <f ca="1">_xll.DBRW($C$1,$C$2,$C$3,$C$4,$C$6,$C$5,$C$7,AB$1,AB$2,$A228)</f>
        <v>-3.074412464146957</v>
      </c>
      <c r="AC228" s="10">
        <f ca="1">_xll.DBRW($C$1,$C$2,$C$3,$C$4,$C$6,$C$5,$C$7,AC$1,AC$2,$A228)</f>
        <v>-4.0298877926288741</v>
      </c>
      <c r="AD228" s="10">
        <f ca="1">_xll.DBRW($C$1,$C$2,$C$3,$C$4,$C$6,$C$5,$C$7,AD$1,AD$2,$A228)</f>
        <v>-4.9835289585017151</v>
      </c>
      <c r="AE228" s="10">
        <f ca="1">_xll.DBRW($C$1,$C$2,$C$3,$C$4,$C$6,$C$5,$C$7,AE$1,AE$2,$A228)</f>
        <v>-5.9435427467721826</v>
      </c>
      <c r="AF228" s="10">
        <f ca="1">_xll.DBRW($C$1,$C$2,$C$3,$C$4,$C$6,$C$5,$C$7,AF$1,AF$2,$A228)</f>
        <v>-6.9318188661808211</v>
      </c>
      <c r="AG228" s="10">
        <f ca="1">_xll.DBRW($C$1,$C$2,$C$3,$C$4,$C$6,$C$5,$C$7,AG$1,AG$2,$A228)</f>
        <v>-7.8914993823275559</v>
      </c>
      <c r="AH228" s="10">
        <f ca="1">_xll.DBRW($C$1,$C$2,$C$3,$C$4,$C$6,$C$5,$C$7,AH$1,AH$2,$A228)</f>
        <v>-8.8557629303580043</v>
      </c>
      <c r="AI228" s="10">
        <f ca="1">_xll.DBRW($C$1,$C$2,$C$3,$C$4,$C$6,$C$5,$C$7,AI$1,AI$2,$A228)</f>
        <v>-9.7732929259416572</v>
      </c>
      <c r="AJ228" s="10">
        <f ca="1">_xll.DBRW($C$1,$C$2,$C$3,$C$4,$C$6,$C$5,$C$7,AJ$1,AJ$2,$A228)</f>
        <v>-10.692181748762817</v>
      </c>
      <c r="AK228" s="10">
        <f ca="1">_xll.DBRW($C$1,$C$2,$C$3,$C$4,$C$6,$C$5,$C$7,AK$1,AK$2,$A228)</f>
        <v>-11.694213761519343</v>
      </c>
      <c r="AL228" s="24">
        <f ca="1">_xll.DBRW($C$1,$C$2,$C$3,$C$4,$C$6,$C$5,$C$7,AL$1,AL$2,$A228)</f>
        <v>-11.694213761519343</v>
      </c>
      <c r="AM228" s="10">
        <f ca="1">_xll.DBRW($C$1,$C$2,$C$3,$C$4,$C$6,$C$5,$C$7,AM$1,AM$2,$A228)</f>
        <v>0.91645788677189854</v>
      </c>
      <c r="AN228" s="10">
        <f ca="1">_xll.DBRW($C$1,$C$2,$C$3,$C$4,$C$6,$C$5,$C$7,AN$1,AN$2,$A228)</f>
        <v>-0.1534448926916655</v>
      </c>
      <c r="AO228" s="10">
        <f ca="1">_xll.DBRW($C$1,$C$2,$C$3,$C$4,$C$6,$C$5,$C$7,AO$1,AO$2,$A228)</f>
        <v>-4.0385438090000001</v>
      </c>
      <c r="AP228" s="10">
        <f ca="1">_xll.DBRW($C$1,$C$2,$C$3,$C$4,$C$6,$C$5,$C$7,AP$1,AP$2,$A228)</f>
        <v>-4.0385438090000001</v>
      </c>
      <c r="AQ228" s="10">
        <f ca="1">_xll.DBRW($C$1,$C$2,$C$3,$C$4,$C$6,$C$5,$C$7,AQ$1,AQ$2,$A228)</f>
        <v>-4.0385438090000001</v>
      </c>
      <c r="AR228" s="10">
        <f ca="1">_xll.DBRW($C$1,$C$2,$C$3,$C$4,$C$6,$C$5,$C$7,AR$1,AR$2,$A228)</f>
        <v>-4.0385438090000001</v>
      </c>
      <c r="AS228" s="10">
        <f ca="1">_xll.DBRW($C$1,$C$2,$C$3,$C$4,$C$6,$C$5,$C$7,AS$1,AS$2,$A228)</f>
        <v>-4.0385438090000001</v>
      </c>
      <c r="AT228" s="10">
        <f ca="1">_xll.DBRW($C$1,$C$2,$C$3,$C$4,$C$6,$C$5,$C$7,AT$1,AT$2,$A228)</f>
        <v>-4.0385438090000001</v>
      </c>
      <c r="AU228" s="10">
        <f ca="1">_xll.DBRW($C$1,$C$2,$C$3,$C$4,$C$6,$C$5,$C$7,AU$1,AU$2,$A228)</f>
        <v>-4.0385438090000001</v>
      </c>
      <c r="AV228" s="10">
        <f ca="1">_xll.DBRW($C$1,$C$2,$C$3,$C$4,$C$6,$C$5,$C$7,AV$1,AV$2,$A228)</f>
        <v>-4.0385438090000001</v>
      </c>
      <c r="AW228" s="10">
        <f ca="1">_xll.DBRW($C$1,$C$2,$C$3,$C$4,$C$6,$C$5,$C$7,AW$1,AW$2,$A228)</f>
        <v>-4.0385438090000001</v>
      </c>
      <c r="AX228" s="10">
        <f ca="1">_xll.DBRW($C$1,$C$2,$C$3,$C$4,$C$6,$C$5,$C$7,AX$1,AX$2,$A228)</f>
        <v>-4.0385438090000001</v>
      </c>
      <c r="AY228" s="10">
        <f ca="1">_xll.DBRW($C$1,$C$2,$C$3,$C$4,$C$6,$C$5,$C$7,AY$1,AY$2,$A228)</f>
        <v>-4.0385438090000001</v>
      </c>
    </row>
    <row r="229" spans="1:51" ht="15.5" hidden="1" outlineLevel="1" collapsed="1">
      <c r="A229" s="1" t="s">
        <v>142</v>
      </c>
      <c r="C229" s="104"/>
      <c r="E229" s="14" t="s">
        <v>46</v>
      </c>
      <c r="F229" s="38">
        <f t="shared" ref="F229:L229" ca="1" si="115">F228+F227</f>
        <v>-49.338494312999956</v>
      </c>
      <c r="G229" s="38">
        <f t="shared" ca="1" si="115"/>
        <v>-48.313928886000006</v>
      </c>
      <c r="H229" s="38">
        <f t="shared" ca="1" si="115"/>
        <v>-65.720225360000015</v>
      </c>
      <c r="I229" s="38">
        <f t="shared" ca="1" si="115"/>
        <v>-55.858388644000009</v>
      </c>
      <c r="J229" s="38">
        <f t="shared" ca="1" si="115"/>
        <v>-39.325487664000008</v>
      </c>
      <c r="K229" s="38">
        <f t="shared" ca="1" si="115"/>
        <v>-26.611043076000009</v>
      </c>
      <c r="L229" s="38">
        <f t="shared" ca="1" si="115"/>
        <v>-37.310182024</v>
      </c>
      <c r="M229" s="38">
        <f t="shared" ref="M229:X229" ca="1" si="116">M228+M227</f>
        <v>-0.62069202600000017</v>
      </c>
      <c r="N229" s="38">
        <f t="shared" ca="1" si="116"/>
        <v>-4.1034817179999994</v>
      </c>
      <c r="O229" s="38">
        <f t="shared" ca="1" si="116"/>
        <v>-6.3832559580000003</v>
      </c>
      <c r="P229" s="38">
        <f t="shared" ca="1" si="116"/>
        <v>-8.3733809049999994</v>
      </c>
      <c r="Q229" s="38">
        <f t="shared" ca="1" si="116"/>
        <v>-11.383308392999997</v>
      </c>
      <c r="R229" s="38">
        <f t="shared" ca="1" si="116"/>
        <v>-13.383823123999996</v>
      </c>
      <c r="S229" s="38">
        <f t="shared" ca="1" si="116"/>
        <v>-4.1898088469999939</v>
      </c>
      <c r="T229" s="38">
        <f t="shared" ca="1" si="116"/>
        <v>-17.96037948899999</v>
      </c>
      <c r="U229" s="38">
        <f t="shared" ca="1" si="116"/>
        <v>-20.066058556999987</v>
      </c>
      <c r="V229" s="38">
        <f t="shared" ca="1" si="116"/>
        <v>-4.3860825069999931</v>
      </c>
      <c r="W229" s="38">
        <f t="shared" ca="1" si="116"/>
        <v>-25.478860350999994</v>
      </c>
      <c r="X229" s="38">
        <f t="shared" ca="1" si="116"/>
        <v>-28.591561090999996</v>
      </c>
      <c r="Y229" s="38">
        <f ca="1">Y228+Y227</f>
        <v>-28.591561090999996</v>
      </c>
      <c r="Z229" s="38">
        <f t="shared" ref="Z229:AK229" ca="1" si="117">Z228+Z227</f>
        <v>-3.300781255</v>
      </c>
      <c r="AA229" s="38">
        <f t="shared" ca="1" si="117"/>
        <v>-6.3781083949999999</v>
      </c>
      <c r="AB229" s="38">
        <f t="shared" ca="1" si="117"/>
        <v>-9.4985621539999983</v>
      </c>
      <c r="AC229" s="38">
        <f t="shared" ca="1" si="117"/>
        <v>-12.559478665</v>
      </c>
      <c r="AD229" s="38">
        <f t="shared" ca="1" si="117"/>
        <v>-15.628311266999999</v>
      </c>
      <c r="AE229" s="38">
        <f t="shared" ca="1" si="117"/>
        <v>-18.374846405</v>
      </c>
      <c r="AF229" s="38">
        <f t="shared" ca="1" si="117"/>
        <v>-21.779151212999999</v>
      </c>
      <c r="AG229" s="38">
        <f t="shared" ca="1" si="117"/>
        <v>-24.971765530999999</v>
      </c>
      <c r="AH229" s="38">
        <f t="shared" ca="1" si="117"/>
        <v>-28.160483056999997</v>
      </c>
      <c r="AI229" s="38">
        <f t="shared" ca="1" si="117"/>
        <v>-31.753394304999997</v>
      </c>
      <c r="AJ229" s="38">
        <f t="shared" ca="1" si="117"/>
        <v>-34.962905538000001</v>
      </c>
      <c r="AK229" s="38">
        <f t="shared" ca="1" si="117"/>
        <v>-37.900053133999997</v>
      </c>
      <c r="AL229" s="38">
        <f ca="1">AL228+AL227</f>
        <v>-37.900053133999997</v>
      </c>
      <c r="AM229" s="38">
        <f t="shared" ref="AM229:AX229" ca="1" si="118">AM228+AM227</f>
        <v>-0.44200947200000018</v>
      </c>
      <c r="AN229" s="38">
        <f t="shared" ca="1" si="118"/>
        <v>-4.038543809000001</v>
      </c>
      <c r="AO229" s="38">
        <f t="shared" ca="1" si="118"/>
        <v>-4.0385438090000001</v>
      </c>
      <c r="AP229" s="38">
        <f t="shared" ca="1" si="118"/>
        <v>-4.0385438090000001</v>
      </c>
      <c r="AQ229" s="38">
        <f t="shared" ca="1" si="118"/>
        <v>-4.0385438090000001</v>
      </c>
      <c r="AR229" s="38">
        <f t="shared" ca="1" si="118"/>
        <v>-4.0385438090000001</v>
      </c>
      <c r="AS229" s="38">
        <f t="shared" ca="1" si="118"/>
        <v>-4.0385438090000001</v>
      </c>
      <c r="AT229" s="38">
        <f t="shared" ca="1" si="118"/>
        <v>-4.0385438090000001</v>
      </c>
      <c r="AU229" s="38">
        <f t="shared" ca="1" si="118"/>
        <v>-4.0385438090000001</v>
      </c>
      <c r="AV229" s="38">
        <f t="shared" ca="1" si="118"/>
        <v>-4.0385438090000001</v>
      </c>
      <c r="AW229" s="38">
        <f t="shared" ca="1" si="118"/>
        <v>-4.0385438090000001</v>
      </c>
      <c r="AX229" s="38">
        <f t="shared" ca="1" si="118"/>
        <v>-4.0385438090000001</v>
      </c>
      <c r="AY229" s="38">
        <f ca="1">AY228+AY227</f>
        <v>-4.0385438090000001</v>
      </c>
    </row>
    <row r="230" spans="1:51" ht="15.75" hidden="1" customHeight="1" outlineLevel="2">
      <c r="A230" s="1" t="s">
        <v>312</v>
      </c>
      <c r="C230" s="104"/>
      <c r="E230" s="9" t="str">
        <f ca="1">_xll.DBRW(Server&amp;"}ElementAttributes_Indicator",A230,"code_English")</f>
        <v>PL0000_CO - Communication</v>
      </c>
      <c r="F230" s="33">
        <f ca="1">_xll.DBRW($C$1,$C$2,$C$3,$C$4,$C$6,$C$5,$C$7,F$1,F$2,$A230)</f>
        <v>-11.738240043757317</v>
      </c>
      <c r="G230" s="33">
        <f ca="1">_xll.DBRW($C$1,$C$2,$C$3,$C$4,$C$6,$C$5,$C$7,G$1,G$2,$A230)</f>
        <v>-12.236093063435293</v>
      </c>
      <c r="H230" s="33">
        <f ca="1">_xll.DBRW($C$1,$C$2,$C$3,$C$4,$C$6,$C$5,$C$7,H$1,H$2,$A230)</f>
        <v>-10.658315085311708</v>
      </c>
      <c r="I230" s="33">
        <f ca="1">_xll.DBRW($C$1,$C$2,$C$3,$C$4,$C$6,$C$5,$C$7,I$1,I$2,$A230)</f>
        <v>-12.147241855464591</v>
      </c>
      <c r="J230" s="33">
        <f ca="1">_xll.DBRW($C$1,$C$2,$C$3,$C$4,$C$6,$C$5,$C$7,J$1,J$2,$A230)</f>
        <v>-13.498279205659372</v>
      </c>
      <c r="K230" s="33">
        <f ca="1">_xll.DBRW($C$1,$C$2,$C$3,$C$4,$C$6,$C$5,$C$7,K$1,K$2,$A230)</f>
        <v>-8.4881131740031464</v>
      </c>
      <c r="L230" s="33">
        <f ca="1">_xll.DBRW($C$1,$C$2,$C$3,$C$4,$C$6,$C$5,$C$7,L$1,L$2,$A230)</f>
        <v>-10.376960053409466</v>
      </c>
      <c r="M230" s="33">
        <f ca="1">_xll.DBRW($C$1,$C$2,$C$3,$C$4,$C$6,$C$5,$C$7,M$1,M$2,$A230)</f>
        <v>-0.34742928759925751</v>
      </c>
      <c r="N230" s="33">
        <f ca="1">_xll.DBRW($C$1,$C$2,$C$3,$C$4,$C$6,$C$5,$C$7,N$1,N$2,$A230)</f>
        <v>-1.3661066571871696</v>
      </c>
      <c r="O230" s="33">
        <f ca="1">_xll.DBRW($C$1,$C$2,$C$3,$C$4,$C$6,$C$5,$C$7,O$1,O$2,$A230)</f>
        <v>-2.1666250403459677</v>
      </c>
      <c r="P230" s="33">
        <f ca="1">_xll.DBRW($C$1,$C$2,$C$3,$C$4,$C$6,$C$5,$C$7,P$1,P$2,$A230)</f>
        <v>-3.0356535477678284</v>
      </c>
      <c r="Q230" s="33">
        <f ca="1">_xll.DBRW($C$1,$C$2,$C$3,$C$4,$C$6,$C$5,$C$7,Q$1,Q$2,$A230)</f>
        <v>-3.7947252992493663</v>
      </c>
      <c r="R230" s="33">
        <f ca="1">_xll.DBRW($C$1,$C$2,$C$3,$C$4,$C$6,$C$5,$C$7,R$1,R$2,$A230)</f>
        <v>-4.5834219712801856</v>
      </c>
      <c r="S230" s="33">
        <f ca="1">_xll.DBRW($C$1,$C$2,$C$3,$C$4,$C$6,$C$5,$C$7,S$1,S$2,$A230)</f>
        <v>-2.5741181570103455</v>
      </c>
      <c r="T230" s="33">
        <f ca="1">_xll.DBRW($C$1,$C$2,$C$3,$C$4,$C$6,$C$5,$C$7,T$1,T$2,$A230)</f>
        <v>-6.3229533958392885</v>
      </c>
      <c r="U230" s="33">
        <f ca="1">_xll.DBRW($C$1,$C$2,$C$3,$C$4,$C$6,$C$5,$C$7,U$1,U$2,$A230)</f>
        <v>-7.0798273589442804</v>
      </c>
      <c r="V230" s="33">
        <f ca="1">_xll.DBRW($C$1,$C$2,$C$3,$C$4,$C$6,$C$5,$C$7,V$1,V$2,$A230)</f>
        <v>-4.0296248370344063</v>
      </c>
      <c r="W230" s="33">
        <f ca="1">_xll.DBRW($C$1,$C$2,$C$3,$C$4,$C$6,$C$5,$C$7,W$1,W$2,$A230)</f>
        <v>-8.2921927353007554</v>
      </c>
      <c r="X230" s="33">
        <f ca="1">_xll.DBRW($C$1,$C$2,$C$3,$C$4,$C$6,$C$5,$C$7,X$1,X$2,$A230)</f>
        <v>-9.4564267386282062</v>
      </c>
      <c r="Y230" s="33">
        <f ca="1">_xll.DBRW($C$1,$C$2,$C$3,$C$4,$C$6,$C$5,$C$7,Y$1,Y$2,$A230)</f>
        <v>-9.4564267386282062</v>
      </c>
      <c r="Z230" s="33">
        <f ca="1">_xll.DBRW($C$1,$C$2,$C$3,$C$4,$C$6,$C$5,$C$7,Z$1,Z$2,$A230)</f>
        <v>-0.74877476689018874</v>
      </c>
      <c r="AA230" s="33">
        <f ca="1">_xll.DBRW($C$1,$C$2,$C$3,$C$4,$C$6,$C$5,$C$7,AA$1,AA$2,$A230)</f>
        <v>-1.7778369417381561</v>
      </c>
      <c r="AB230" s="33">
        <f ca="1">_xll.DBRW($C$1,$C$2,$C$3,$C$4,$C$6,$C$5,$C$7,AB$1,AB$2,$A230)</f>
        <v>-2.6448707167446552</v>
      </c>
      <c r="AC230" s="33">
        <f ca="1">_xll.DBRW($C$1,$C$2,$C$3,$C$4,$C$6,$C$5,$C$7,AC$1,AC$2,$A230)</f>
        <v>-3.7105232981072329</v>
      </c>
      <c r="AD230" s="33">
        <f ca="1">_xll.DBRW($C$1,$C$2,$C$3,$C$4,$C$6,$C$5,$C$7,AD$1,AD$2,$A230)</f>
        <v>-4.7610633017728503</v>
      </c>
      <c r="AE230" s="33">
        <f ca="1">_xll.DBRW($C$1,$C$2,$C$3,$C$4,$C$6,$C$5,$C$7,AE$1,AE$2,$A230)</f>
        <v>-5.6586084216629393</v>
      </c>
      <c r="AF230" s="33">
        <f ca="1">_xll.DBRW($C$1,$C$2,$C$3,$C$4,$C$6,$C$5,$C$7,AF$1,AF$2,$A230)</f>
        <v>-6.6714903083465646</v>
      </c>
      <c r="AG230" s="33">
        <f ca="1">_xll.DBRW($C$1,$C$2,$C$3,$C$4,$C$6,$C$5,$C$7,AG$1,AG$2,$A230)</f>
        <v>-7.5469716720963493</v>
      </c>
      <c r="AH230" s="33">
        <f ca="1">_xll.DBRW($C$1,$C$2,$C$3,$C$4,$C$6,$C$5,$C$7,AH$1,AH$2,$A230)</f>
        <v>-8.5135312092496829</v>
      </c>
      <c r="AI230" s="33">
        <f ca="1">_xll.DBRW($C$1,$C$2,$C$3,$C$4,$C$6,$C$5,$C$7,AI$1,AI$2,$A230)</f>
        <v>-9.5086242521855446</v>
      </c>
      <c r="AJ230" s="33">
        <f ca="1">_xll.DBRW($C$1,$C$2,$C$3,$C$4,$C$6,$C$5,$C$7,AJ$1,AJ$2,$A230)</f>
        <v>-10.579049962418878</v>
      </c>
      <c r="AK230" s="33">
        <f ca="1">_xll.DBRW($C$1,$C$2,$C$3,$C$4,$C$6,$C$5,$C$7,AK$1,AK$2,$A230)</f>
        <v>-11.709043703455073</v>
      </c>
      <c r="AL230" s="33">
        <f ca="1">_xll.DBRW($C$1,$C$2,$C$3,$C$4,$C$6,$C$5,$C$7,AL$1,AL$2,$A230)</f>
        <v>-11.709043703455073</v>
      </c>
      <c r="AM230" s="33">
        <f ca="1">_xll.DBRW($C$1,$C$2,$C$3,$C$4,$C$6,$C$5,$C$7,AM$1,AM$2,$A230)</f>
        <v>-0.89705093179407425</v>
      </c>
      <c r="AN230" s="33">
        <f ca="1">_xll.DBRW($C$1,$C$2,$C$3,$C$4,$C$6,$C$5,$C$7,AN$1,AN$2,$A230)</f>
        <v>-2.7315989655911808</v>
      </c>
      <c r="AO230" s="33">
        <f ca="1">_xll.DBRW($C$1,$C$2,$C$3,$C$4,$C$6,$C$5,$C$7,AO$1,AO$2,$A230)</f>
        <v>-2.8189256484623115E-16</v>
      </c>
      <c r="AP230" s="33">
        <f ca="1">_xll.DBRW($C$1,$C$2,$C$3,$C$4,$C$6,$C$5,$C$7,AP$1,AP$2,$A230)</f>
        <v>-2.8189256484623115E-16</v>
      </c>
      <c r="AQ230" s="33">
        <f ca="1">_xll.DBRW($C$1,$C$2,$C$3,$C$4,$C$6,$C$5,$C$7,AQ$1,AQ$2,$A230)</f>
        <v>-2.8189256484623115E-16</v>
      </c>
      <c r="AR230" s="33">
        <f ca="1">_xll.DBRW($C$1,$C$2,$C$3,$C$4,$C$6,$C$5,$C$7,AR$1,AR$2,$A230)</f>
        <v>-2.8189256484623115E-16</v>
      </c>
      <c r="AS230" s="33">
        <f ca="1">_xll.DBRW($C$1,$C$2,$C$3,$C$4,$C$6,$C$5,$C$7,AS$1,AS$2,$A230)</f>
        <v>-2.8189256484623115E-16</v>
      </c>
      <c r="AT230" s="33">
        <f ca="1">_xll.DBRW($C$1,$C$2,$C$3,$C$4,$C$6,$C$5,$C$7,AT$1,AT$2,$A230)</f>
        <v>-2.8189256484623115E-16</v>
      </c>
      <c r="AU230" s="33">
        <f ca="1">_xll.DBRW($C$1,$C$2,$C$3,$C$4,$C$6,$C$5,$C$7,AU$1,AU$2,$A230)</f>
        <v>-2.8189256484623115E-16</v>
      </c>
      <c r="AV230" s="33">
        <f ca="1">_xll.DBRW($C$1,$C$2,$C$3,$C$4,$C$6,$C$5,$C$7,AV$1,AV$2,$A230)</f>
        <v>-2.8189256484623115E-16</v>
      </c>
      <c r="AW230" s="33">
        <f ca="1">_xll.DBRW($C$1,$C$2,$C$3,$C$4,$C$6,$C$5,$C$7,AW$1,AW$2,$A230)</f>
        <v>-2.8189256484623115E-16</v>
      </c>
      <c r="AX230" s="33">
        <f ca="1">_xll.DBRW($C$1,$C$2,$C$3,$C$4,$C$6,$C$5,$C$7,AX$1,AX$2,$A230)</f>
        <v>-2.8189256484623115E-16</v>
      </c>
      <c r="AY230" s="33">
        <f ca="1">_xll.DBRW($C$1,$C$2,$C$3,$C$4,$C$6,$C$5,$C$7,AY$1,AY$2,$A230)</f>
        <v>-2.8189256484623115E-16</v>
      </c>
    </row>
    <row r="231" spans="1:51" ht="15.5" hidden="1" outlineLevel="1" collapsed="1">
      <c r="A231" s="1" t="s">
        <v>142</v>
      </c>
      <c r="C231" s="104"/>
      <c r="E231" s="15" t="s">
        <v>47</v>
      </c>
      <c r="F231" s="39">
        <f t="shared" ref="F231:M231" ca="1" si="119">F230</f>
        <v>-11.738240043757317</v>
      </c>
      <c r="G231" s="39">
        <f t="shared" ca="1" si="119"/>
        <v>-12.236093063435293</v>
      </c>
      <c r="H231" s="39">
        <f t="shared" ca="1" si="119"/>
        <v>-10.658315085311708</v>
      </c>
      <c r="I231" s="39">
        <f t="shared" ca="1" si="119"/>
        <v>-12.147241855464591</v>
      </c>
      <c r="J231" s="39">
        <f t="shared" ca="1" si="119"/>
        <v>-13.498279205659372</v>
      </c>
      <c r="K231" s="39">
        <f t="shared" ca="1" si="119"/>
        <v>-8.4881131740031464</v>
      </c>
      <c r="L231" s="39">
        <f t="shared" ca="1" si="119"/>
        <v>-10.376960053409466</v>
      </c>
      <c r="M231" s="39">
        <f t="shared" ca="1" si="119"/>
        <v>-0.34742928759925751</v>
      </c>
      <c r="N231" s="39">
        <f t="shared" ref="N231:X231" ca="1" si="120">N230</f>
        <v>-1.3661066571871696</v>
      </c>
      <c r="O231" s="39">
        <f t="shared" ca="1" si="120"/>
        <v>-2.1666250403459677</v>
      </c>
      <c r="P231" s="39">
        <f t="shared" ca="1" si="120"/>
        <v>-3.0356535477678284</v>
      </c>
      <c r="Q231" s="39">
        <f t="shared" ca="1" si="120"/>
        <v>-3.7947252992493663</v>
      </c>
      <c r="R231" s="39">
        <f t="shared" ca="1" si="120"/>
        <v>-4.5834219712801856</v>
      </c>
      <c r="S231" s="39">
        <f t="shared" ca="1" si="120"/>
        <v>-2.5741181570103455</v>
      </c>
      <c r="T231" s="39">
        <f t="shared" ca="1" si="120"/>
        <v>-6.3229533958392885</v>
      </c>
      <c r="U231" s="39">
        <f t="shared" ca="1" si="120"/>
        <v>-7.0798273589442804</v>
      </c>
      <c r="V231" s="39">
        <f t="shared" ca="1" si="120"/>
        <v>-4.0296248370344063</v>
      </c>
      <c r="W231" s="39">
        <f t="shared" ca="1" si="120"/>
        <v>-8.2921927353007554</v>
      </c>
      <c r="X231" s="39">
        <f t="shared" ca="1" si="120"/>
        <v>-9.4564267386282062</v>
      </c>
      <c r="Y231" s="39">
        <f ca="1">Y230</f>
        <v>-9.4564267386282062</v>
      </c>
      <c r="Z231" s="39">
        <f ca="1">Z230</f>
        <v>-0.74877476689018874</v>
      </c>
      <c r="AA231" s="39">
        <f t="shared" ref="AA231:AK231" ca="1" si="121">AA230</f>
        <v>-1.7778369417381561</v>
      </c>
      <c r="AB231" s="39">
        <f t="shared" ca="1" si="121"/>
        <v>-2.6448707167446552</v>
      </c>
      <c r="AC231" s="39">
        <f t="shared" ca="1" si="121"/>
        <v>-3.7105232981072329</v>
      </c>
      <c r="AD231" s="39">
        <f t="shared" ca="1" si="121"/>
        <v>-4.7610633017728503</v>
      </c>
      <c r="AE231" s="39">
        <f t="shared" ca="1" si="121"/>
        <v>-5.6586084216629393</v>
      </c>
      <c r="AF231" s="39">
        <f t="shared" ca="1" si="121"/>
        <v>-6.6714903083465646</v>
      </c>
      <c r="AG231" s="39">
        <f t="shared" ca="1" si="121"/>
        <v>-7.5469716720963493</v>
      </c>
      <c r="AH231" s="39">
        <f t="shared" ca="1" si="121"/>
        <v>-8.5135312092496829</v>
      </c>
      <c r="AI231" s="39">
        <f t="shared" ca="1" si="121"/>
        <v>-9.5086242521855446</v>
      </c>
      <c r="AJ231" s="39">
        <f t="shared" ca="1" si="121"/>
        <v>-10.579049962418878</v>
      </c>
      <c r="AK231" s="39">
        <f t="shared" ca="1" si="121"/>
        <v>-11.709043703455073</v>
      </c>
      <c r="AL231" s="39">
        <f ca="1">AL230</f>
        <v>-11.709043703455073</v>
      </c>
      <c r="AM231" s="39">
        <f ca="1">AM230</f>
        <v>-0.89705093179407425</v>
      </c>
      <c r="AN231" s="39">
        <f t="shared" ref="AN231:AX231" ca="1" si="122">AN230</f>
        <v>-2.7315989655911808</v>
      </c>
      <c r="AO231" s="39">
        <f t="shared" ca="1" si="122"/>
        <v>-2.8189256484623115E-16</v>
      </c>
      <c r="AP231" s="39">
        <f t="shared" ca="1" si="122"/>
        <v>-2.8189256484623115E-16</v>
      </c>
      <c r="AQ231" s="39">
        <f t="shared" ca="1" si="122"/>
        <v>-2.8189256484623115E-16</v>
      </c>
      <c r="AR231" s="39">
        <f t="shared" ca="1" si="122"/>
        <v>-2.8189256484623115E-16</v>
      </c>
      <c r="AS231" s="39">
        <f t="shared" ca="1" si="122"/>
        <v>-2.8189256484623115E-16</v>
      </c>
      <c r="AT231" s="39">
        <f t="shared" ca="1" si="122"/>
        <v>-2.8189256484623115E-16</v>
      </c>
      <c r="AU231" s="39">
        <f t="shared" ca="1" si="122"/>
        <v>-2.8189256484623115E-16</v>
      </c>
      <c r="AV231" s="39">
        <f t="shared" ca="1" si="122"/>
        <v>-2.8189256484623115E-16</v>
      </c>
      <c r="AW231" s="39">
        <f t="shared" ca="1" si="122"/>
        <v>-2.8189256484623115E-16</v>
      </c>
      <c r="AX231" s="39">
        <f t="shared" ca="1" si="122"/>
        <v>-2.8189256484623115E-16</v>
      </c>
      <c r="AY231" s="39">
        <f ca="1">AY230</f>
        <v>-2.8189256484623115E-16</v>
      </c>
    </row>
    <row r="232" spans="1:51" ht="15.75" hidden="1" customHeight="1" outlineLevel="2">
      <c r="A232" s="1" t="s">
        <v>313</v>
      </c>
      <c r="C232" s="104"/>
      <c r="E232" s="9" t="str">
        <f ca="1">_xll.DBRW(Server&amp;"}ElementAttributes_Indicator",A232,"code_English")</f>
        <v>PL0000_FI - Finance</v>
      </c>
      <c r="F232" s="33">
        <f ca="1">_xll.DBRW($C$1,$C$2,$C$3,$C$4,$C$6,$C$5,$C$7,F$1,F$2,$A232)</f>
        <v>-35.362647953510006</v>
      </c>
      <c r="G232" s="33">
        <f ca="1">_xll.DBRW($C$1,$C$2,$C$3,$C$4,$C$6,$C$5,$C$7,G$1,G$2,$A232)</f>
        <v>-45.532478611715156</v>
      </c>
      <c r="H232" s="33">
        <f ca="1">_xll.DBRW($C$1,$C$2,$C$3,$C$4,$C$6,$C$5,$C$7,H$1,H$2,$A232)</f>
        <v>-39.143528016661847</v>
      </c>
      <c r="I232" s="33">
        <f ca="1">_xll.DBRW($C$1,$C$2,$C$3,$C$4,$C$6,$C$5,$C$7,I$1,I$2,$A232)</f>
        <v>-49.763700277139229</v>
      </c>
      <c r="J232" s="33">
        <f ca="1">_xll.DBRW($C$1,$C$2,$C$3,$C$4,$C$6,$C$5,$C$7,J$1,J$2,$A232)</f>
        <v>-48.187936928718955</v>
      </c>
      <c r="K232" s="33">
        <f ca="1">_xll.DBRW($C$1,$C$2,$C$3,$C$4,$C$6,$C$5,$C$7,K$1,K$2,$A232)</f>
        <v>-43.99116414993334</v>
      </c>
      <c r="L232" s="33">
        <f ca="1">_xll.DBRW($C$1,$C$2,$C$3,$C$4,$C$6,$C$5,$C$7,L$1,L$2,$A232)</f>
        <v>-38.801472312400932</v>
      </c>
      <c r="M232" s="33">
        <f ca="1">_xll.DBRW($C$1,$C$2,$C$3,$C$4,$C$6,$C$5,$C$7,M$1,M$2,$A232)</f>
        <v>-1.472841421532961</v>
      </c>
      <c r="N232" s="33">
        <f ca="1">_xll.DBRW($C$1,$C$2,$C$3,$C$4,$C$6,$C$5,$C$7,N$1,N$2,$A232)</f>
        <v>-7.1227414427411606</v>
      </c>
      <c r="O232" s="33">
        <f ca="1">_xll.DBRW($C$1,$C$2,$C$3,$C$4,$C$6,$C$5,$C$7,O$1,O$2,$A232)</f>
        <v>-10.642527057234975</v>
      </c>
      <c r="P232" s="33">
        <f ca="1">_xll.DBRW($C$1,$C$2,$C$3,$C$4,$C$6,$C$5,$C$7,P$1,P$2,$A232)</f>
        <v>-13.498289935794617</v>
      </c>
      <c r="Q232" s="33">
        <f ca="1">_xll.DBRW($C$1,$C$2,$C$3,$C$4,$C$6,$C$5,$C$7,Q$1,Q$2,$A232)</f>
        <v>-16.481226625473745</v>
      </c>
      <c r="R232" s="33">
        <f ca="1">_xll.DBRW($C$1,$C$2,$C$3,$C$4,$C$6,$C$5,$C$7,R$1,R$2,$A232)</f>
        <v>-21.018596710967554</v>
      </c>
      <c r="S232" s="33">
        <f ca="1">_xll.DBRW($C$1,$C$2,$C$3,$C$4,$C$6,$C$5,$C$7,S$1,S$2,$A232)</f>
        <v>-12.26724233392558</v>
      </c>
      <c r="T232" s="33">
        <f ca="1">_xll.DBRW($C$1,$C$2,$C$3,$C$4,$C$6,$C$5,$C$7,T$1,T$2,$A232)</f>
        <v>-27.045970580574227</v>
      </c>
      <c r="U232" s="33">
        <f ca="1">_xll.DBRW($C$1,$C$2,$C$3,$C$4,$C$6,$C$5,$C$7,U$1,U$2,$A232)</f>
        <v>-29.927768406298604</v>
      </c>
      <c r="V232" s="33">
        <f ca="1">_xll.DBRW($C$1,$C$2,$C$3,$C$4,$C$6,$C$5,$C$7,V$1,V$2,$A232)</f>
        <v>-17.949787437161675</v>
      </c>
      <c r="W232" s="33">
        <f ca="1">_xll.DBRW($C$1,$C$2,$C$3,$C$4,$C$6,$C$5,$C$7,W$1,W$2,$A232)</f>
        <v>-33.873613747765276</v>
      </c>
      <c r="X232" s="33">
        <f ca="1">_xll.DBRW($C$1,$C$2,$C$3,$C$4,$C$6,$C$5,$C$7,X$1,X$2,$A232)</f>
        <v>-44.705264109940913</v>
      </c>
      <c r="Y232" s="33">
        <f ca="1">_xll.DBRW($C$1,$C$2,$C$3,$C$4,$C$6,$C$5,$C$7,Y$1,Y$2,$A232)</f>
        <v>-44.705264109940913</v>
      </c>
      <c r="Z232" s="33">
        <f ca="1">_xll.DBRW($C$1,$C$2,$C$3,$C$4,$C$6,$C$5,$C$7,Z$1,Z$2,$A232)</f>
        <v>-3.463624743119043</v>
      </c>
      <c r="AA232" s="33">
        <f ca="1">_xll.DBRW($C$1,$C$2,$C$3,$C$4,$C$6,$C$5,$C$7,AA$1,AA$2,$A232)</f>
        <v>-7.7991911486527563</v>
      </c>
      <c r="AB232" s="33">
        <f ca="1">_xll.DBRW($C$1,$C$2,$C$3,$C$4,$C$6,$C$5,$C$7,AB$1,AB$2,$A232)</f>
        <v>-11.808085247211222</v>
      </c>
      <c r="AC232" s="33">
        <f ca="1">_xll.DBRW($C$1,$C$2,$C$3,$C$4,$C$6,$C$5,$C$7,AC$1,AC$2,$A232)</f>
        <v>-15.608051953875437</v>
      </c>
      <c r="AD232" s="33">
        <f ca="1">_xll.DBRW($C$1,$C$2,$C$3,$C$4,$C$6,$C$5,$C$7,AD$1,AD$2,$A232)</f>
        <v>-19.48425224281862</v>
      </c>
      <c r="AE232" s="33">
        <f ca="1">_xll.DBRW($C$1,$C$2,$C$3,$C$4,$C$6,$C$5,$C$7,AE$1,AE$2,$A232)</f>
        <v>-23.519638607903328</v>
      </c>
      <c r="AF232" s="33">
        <f ca="1">_xll.DBRW($C$1,$C$2,$C$3,$C$4,$C$6,$C$5,$C$7,AF$1,AF$2,$A232)</f>
        <v>-27.445440736825766</v>
      </c>
      <c r="AG232" s="33">
        <f ca="1">_xll.DBRW($C$1,$C$2,$C$3,$C$4,$C$6,$C$5,$C$7,AG$1,AG$2,$A232)</f>
        <v>-31.186431389374114</v>
      </c>
      <c r="AH232" s="33">
        <f ca="1">_xll.DBRW($C$1,$C$2,$C$3,$C$4,$C$6,$C$5,$C$7,AH$1,AH$2,$A232)</f>
        <v>-35.032629232414159</v>
      </c>
      <c r="AI232" s="33">
        <f ca="1">_xll.DBRW($C$1,$C$2,$C$3,$C$4,$C$6,$C$5,$C$7,AI$1,AI$2,$A232)</f>
        <v>-38.934439415393086</v>
      </c>
      <c r="AJ232" s="33">
        <f ca="1">_xll.DBRW($C$1,$C$2,$C$3,$C$4,$C$6,$C$5,$C$7,AJ$1,AJ$2,$A232)</f>
        <v>-42.946579445681472</v>
      </c>
      <c r="AK232" s="33">
        <f ca="1">_xll.DBRW($C$1,$C$2,$C$3,$C$4,$C$6,$C$5,$C$7,AK$1,AK$2,$A232)</f>
        <v>-47.009108469542454</v>
      </c>
      <c r="AL232" s="33">
        <f ca="1">_xll.DBRW($C$1,$C$2,$C$3,$C$4,$C$6,$C$5,$C$7,AL$1,AL$2,$A232)</f>
        <v>-47.009108469542454</v>
      </c>
      <c r="AM232" s="33">
        <f ca="1">_xll.DBRW($C$1,$C$2,$C$3,$C$4,$C$6,$C$5,$C$7,AM$1,AM$2,$A232)</f>
        <v>-1.8894524597116991</v>
      </c>
      <c r="AN232" s="33">
        <f ca="1">_xll.DBRW($C$1,$C$2,$C$3,$C$4,$C$6,$C$5,$C$7,AN$1,AN$2,$A232)</f>
        <v>-7.4785334776700623</v>
      </c>
      <c r="AO232" s="33">
        <f ca="1">_xll.DBRW($C$1,$C$2,$C$3,$C$4,$C$6,$C$5,$C$7,AO$1,AO$2,$A232)</f>
        <v>0</v>
      </c>
      <c r="AP232" s="33">
        <f ca="1">_xll.DBRW($C$1,$C$2,$C$3,$C$4,$C$6,$C$5,$C$7,AP$1,AP$2,$A232)</f>
        <v>0</v>
      </c>
      <c r="AQ232" s="33">
        <f ca="1">_xll.DBRW($C$1,$C$2,$C$3,$C$4,$C$6,$C$5,$C$7,AQ$1,AQ$2,$A232)</f>
        <v>0</v>
      </c>
      <c r="AR232" s="33">
        <f ca="1">_xll.DBRW($C$1,$C$2,$C$3,$C$4,$C$6,$C$5,$C$7,AR$1,AR$2,$A232)</f>
        <v>0</v>
      </c>
      <c r="AS232" s="33">
        <f ca="1">_xll.DBRW($C$1,$C$2,$C$3,$C$4,$C$6,$C$5,$C$7,AS$1,AS$2,$A232)</f>
        <v>0</v>
      </c>
      <c r="AT232" s="33">
        <f ca="1">_xll.DBRW($C$1,$C$2,$C$3,$C$4,$C$6,$C$5,$C$7,AT$1,AT$2,$A232)</f>
        <v>0</v>
      </c>
      <c r="AU232" s="33">
        <f ca="1">_xll.DBRW($C$1,$C$2,$C$3,$C$4,$C$6,$C$5,$C$7,AU$1,AU$2,$A232)</f>
        <v>0</v>
      </c>
      <c r="AV232" s="33">
        <f ca="1">_xll.DBRW($C$1,$C$2,$C$3,$C$4,$C$6,$C$5,$C$7,AV$1,AV$2,$A232)</f>
        <v>0</v>
      </c>
      <c r="AW232" s="33">
        <f ca="1">_xll.DBRW($C$1,$C$2,$C$3,$C$4,$C$6,$C$5,$C$7,AW$1,AW$2,$A232)</f>
        <v>0</v>
      </c>
      <c r="AX232" s="33">
        <f ca="1">_xll.DBRW($C$1,$C$2,$C$3,$C$4,$C$6,$C$5,$C$7,AX$1,AX$2,$A232)</f>
        <v>0</v>
      </c>
      <c r="AY232" s="33">
        <f ca="1">_xll.DBRW($C$1,$C$2,$C$3,$C$4,$C$6,$C$5,$C$7,AY$1,AY$2,$A232)</f>
        <v>0</v>
      </c>
    </row>
    <row r="233" spans="1:51" ht="15.5" hidden="1" outlineLevel="1" collapsed="1">
      <c r="A233" s="1" t="s">
        <v>313</v>
      </c>
      <c r="C233" s="104"/>
      <c r="E233" s="15" t="s">
        <v>48</v>
      </c>
      <c r="F233" s="39">
        <f t="shared" ref="F233:M233" ca="1" si="123">F232</f>
        <v>-35.362647953510006</v>
      </c>
      <c r="G233" s="39">
        <f t="shared" ca="1" si="123"/>
        <v>-45.532478611715156</v>
      </c>
      <c r="H233" s="39">
        <f t="shared" ca="1" si="123"/>
        <v>-39.143528016661847</v>
      </c>
      <c r="I233" s="39">
        <f t="shared" ca="1" si="123"/>
        <v>-49.763700277139229</v>
      </c>
      <c r="J233" s="39">
        <f t="shared" ca="1" si="123"/>
        <v>-48.187936928718955</v>
      </c>
      <c r="K233" s="39">
        <f t="shared" ca="1" si="123"/>
        <v>-43.99116414993334</v>
      </c>
      <c r="L233" s="39">
        <f t="shared" ca="1" si="123"/>
        <v>-38.801472312400932</v>
      </c>
      <c r="M233" s="39">
        <f t="shared" ca="1" si="123"/>
        <v>-1.472841421532961</v>
      </c>
      <c r="N233" s="39">
        <f t="shared" ref="N233:X233" ca="1" si="124">N232</f>
        <v>-7.1227414427411606</v>
      </c>
      <c r="O233" s="39">
        <f t="shared" ca="1" si="124"/>
        <v>-10.642527057234975</v>
      </c>
      <c r="P233" s="39">
        <f t="shared" ca="1" si="124"/>
        <v>-13.498289935794617</v>
      </c>
      <c r="Q233" s="39">
        <f t="shared" ca="1" si="124"/>
        <v>-16.481226625473745</v>
      </c>
      <c r="R233" s="39">
        <f t="shared" ca="1" si="124"/>
        <v>-21.018596710967554</v>
      </c>
      <c r="S233" s="39">
        <f t="shared" ca="1" si="124"/>
        <v>-12.26724233392558</v>
      </c>
      <c r="T233" s="39">
        <f t="shared" ca="1" si="124"/>
        <v>-27.045970580574227</v>
      </c>
      <c r="U233" s="39">
        <f t="shared" ca="1" si="124"/>
        <v>-29.927768406298604</v>
      </c>
      <c r="V233" s="39">
        <f t="shared" ca="1" si="124"/>
        <v>-17.949787437161675</v>
      </c>
      <c r="W233" s="39">
        <f t="shared" ca="1" si="124"/>
        <v>-33.873613747765276</v>
      </c>
      <c r="X233" s="39">
        <f t="shared" ca="1" si="124"/>
        <v>-44.705264109940913</v>
      </c>
      <c r="Y233" s="39">
        <f ca="1">Y232</f>
        <v>-44.705264109940913</v>
      </c>
      <c r="Z233" s="39">
        <f ca="1">Z232</f>
        <v>-3.463624743119043</v>
      </c>
      <c r="AA233" s="39">
        <f t="shared" ref="AA233:AK233" ca="1" si="125">AA232</f>
        <v>-7.7991911486527563</v>
      </c>
      <c r="AB233" s="39">
        <f t="shared" ca="1" si="125"/>
        <v>-11.808085247211222</v>
      </c>
      <c r="AC233" s="39">
        <f t="shared" ca="1" si="125"/>
        <v>-15.608051953875437</v>
      </c>
      <c r="AD233" s="39">
        <f t="shared" ca="1" si="125"/>
        <v>-19.48425224281862</v>
      </c>
      <c r="AE233" s="39">
        <f t="shared" ca="1" si="125"/>
        <v>-23.519638607903328</v>
      </c>
      <c r="AF233" s="39">
        <f t="shared" ca="1" si="125"/>
        <v>-27.445440736825766</v>
      </c>
      <c r="AG233" s="39">
        <f t="shared" ca="1" si="125"/>
        <v>-31.186431389374114</v>
      </c>
      <c r="AH233" s="39">
        <f t="shared" ca="1" si="125"/>
        <v>-35.032629232414159</v>
      </c>
      <c r="AI233" s="39">
        <f t="shared" ca="1" si="125"/>
        <v>-38.934439415393086</v>
      </c>
      <c r="AJ233" s="39">
        <f t="shared" ca="1" si="125"/>
        <v>-42.946579445681472</v>
      </c>
      <c r="AK233" s="39">
        <f t="shared" ca="1" si="125"/>
        <v>-47.009108469542454</v>
      </c>
      <c r="AL233" s="39">
        <f ca="1">AL232</f>
        <v>-47.009108469542454</v>
      </c>
      <c r="AM233" s="39">
        <f ca="1">AM232</f>
        <v>-1.8894524597116991</v>
      </c>
      <c r="AN233" s="39">
        <f t="shared" ref="AN233:AX233" ca="1" si="126">AN232</f>
        <v>-7.4785334776700623</v>
      </c>
      <c r="AO233" s="39">
        <f t="shared" ca="1" si="126"/>
        <v>0</v>
      </c>
      <c r="AP233" s="39">
        <f t="shared" ca="1" si="126"/>
        <v>0</v>
      </c>
      <c r="AQ233" s="39">
        <f t="shared" ca="1" si="126"/>
        <v>0</v>
      </c>
      <c r="AR233" s="39">
        <f t="shared" ca="1" si="126"/>
        <v>0</v>
      </c>
      <c r="AS233" s="39">
        <f t="shared" ca="1" si="126"/>
        <v>0</v>
      </c>
      <c r="AT233" s="39">
        <f t="shared" ca="1" si="126"/>
        <v>0</v>
      </c>
      <c r="AU233" s="39">
        <f t="shared" ca="1" si="126"/>
        <v>0</v>
      </c>
      <c r="AV233" s="39">
        <f t="shared" ca="1" si="126"/>
        <v>0</v>
      </c>
      <c r="AW233" s="39">
        <f t="shared" ca="1" si="126"/>
        <v>0</v>
      </c>
      <c r="AX233" s="39">
        <f t="shared" ca="1" si="126"/>
        <v>0</v>
      </c>
      <c r="AY233" s="39">
        <f ca="1">AY232</f>
        <v>0</v>
      </c>
    </row>
    <row r="234" spans="1:51" ht="15.75" hidden="1" customHeight="1" outlineLevel="2">
      <c r="A234" s="1" t="s">
        <v>314</v>
      </c>
      <c r="C234" s="104"/>
      <c r="E234" s="9" t="str">
        <f ca="1">_xll.DBRW(Server&amp;"}ElementAttributes_Indicator",A234,"code_English")</f>
        <v>PL0000_GM - General Management (RESOP)</v>
      </c>
      <c r="F234" s="33">
        <f ca="1">_xll.DBRW($C$1,$C$2,$C$3,$C$4,$C$6,$C$5,$C$7,F$1,F$2,$A234)</f>
        <v>-352.16787653311172</v>
      </c>
      <c r="G234" s="33">
        <f ca="1">_xll.DBRW($C$1,$C$2,$C$3,$C$4,$C$6,$C$5,$C$7,G$1,G$2,$A234)</f>
        <v>-325.70254611428828</v>
      </c>
      <c r="H234" s="33">
        <f ca="1">_xll.DBRW($C$1,$C$2,$C$3,$C$4,$C$6,$C$5,$C$7,H$1,H$2,$A234)</f>
        <v>-341.47405779910736</v>
      </c>
      <c r="I234" s="33">
        <f ca="1">_xll.DBRW($C$1,$C$2,$C$3,$C$4,$C$6,$C$5,$C$7,I$1,I$2,$A234)</f>
        <v>-405.62667263358259</v>
      </c>
      <c r="J234" s="33">
        <f ca="1">_xll.DBRW($C$1,$C$2,$C$3,$C$4,$C$6,$C$5,$C$7,J$1,J$2,$A234)</f>
        <v>-365.97318661262273</v>
      </c>
      <c r="K234" s="33">
        <f ca="1">_xll.DBRW($C$1,$C$2,$C$3,$C$4,$C$6,$C$5,$C$7,K$1,K$2,$A234)</f>
        <v>-407.73762562713273</v>
      </c>
      <c r="L234" s="33">
        <f ca="1">_xll.DBRW($C$1,$C$2,$C$3,$C$4,$C$6,$C$5,$C$7,L$1,L$2,$A234)</f>
        <v>-305.8826648097787</v>
      </c>
      <c r="M234" s="33">
        <f ca="1">_xll.DBRW($C$1,$C$2,$C$3,$C$4,$C$6,$C$5,$C$7,M$1,M$2,$A234)</f>
        <v>-32.501063103708645</v>
      </c>
      <c r="N234" s="33">
        <f ca="1">_xll.DBRW($C$1,$C$2,$C$3,$C$4,$C$6,$C$5,$C$7,N$1,N$2,$A234)</f>
        <v>-61.777642272590867</v>
      </c>
      <c r="O234" s="33">
        <f ca="1">_xll.DBRW($C$1,$C$2,$C$3,$C$4,$C$6,$C$5,$C$7,O$1,O$2,$A234)</f>
        <v>-97.708168684009863</v>
      </c>
      <c r="P234" s="33">
        <f ca="1">_xll.DBRW($C$1,$C$2,$C$3,$C$4,$C$6,$C$5,$C$7,P$1,P$2,$A234)</f>
        <v>-134.18558678850232</v>
      </c>
      <c r="Q234" s="33">
        <f ca="1">_xll.DBRW($C$1,$C$2,$C$3,$C$4,$C$6,$C$5,$C$7,Q$1,Q$2,$A234)</f>
        <v>-167.28530719409162</v>
      </c>
      <c r="R234" s="33">
        <f ca="1">_xll.DBRW($C$1,$C$2,$C$3,$C$4,$C$6,$C$5,$C$7,R$1,R$2,$A234)</f>
        <v>-218.22150283660446</v>
      </c>
      <c r="S234" s="33">
        <f ca="1">_xll.DBRW($C$1,$C$2,$C$3,$C$4,$C$6,$C$5,$C$7,S$1,S$2,$A234)</f>
        <v>-173.7364377299001</v>
      </c>
      <c r="T234" s="33">
        <f ca="1">_xll.DBRW($C$1,$C$2,$C$3,$C$4,$C$6,$C$5,$C$7,T$1,T$2,$A234)</f>
        <v>-240.13512152589965</v>
      </c>
      <c r="U234" s="33">
        <f ca="1">_xll.DBRW($C$1,$C$2,$C$3,$C$4,$C$6,$C$5,$C$7,U$1,U$2,$A234)</f>
        <v>-265.09895641555875</v>
      </c>
      <c r="V234" s="33">
        <f ca="1">_xll.DBRW($C$1,$C$2,$C$3,$C$4,$C$6,$C$5,$C$7,V$1,V$2,$A234)</f>
        <v>-239.46013715733642</v>
      </c>
      <c r="W234" s="33">
        <f ca="1">_xll.DBRW($C$1,$C$2,$C$3,$C$4,$C$6,$C$5,$C$7,W$1,W$2,$A234)</f>
        <v>-316.91277412225588</v>
      </c>
      <c r="X234" s="33">
        <f ca="1">_xll.DBRW($C$1,$C$2,$C$3,$C$4,$C$6,$C$5,$C$7,X$1,X$2,$A234)</f>
        <v>-370.39623053638161</v>
      </c>
      <c r="Y234" s="33">
        <f ca="1">_xll.DBRW($C$1,$C$2,$C$3,$C$4,$C$6,$C$5,$C$7,Y$1,Y$2,$A234)</f>
        <v>-370.39623053638161</v>
      </c>
      <c r="Z234" s="33">
        <f ca="1">_xll.DBRW($C$1,$C$2,$C$3,$C$4,$C$6,$C$5,$C$7,Z$1,Z$2,$A234)</f>
        <v>-25.598393438820572</v>
      </c>
      <c r="AA234" s="33">
        <f ca="1">_xll.DBRW($C$1,$C$2,$C$3,$C$4,$C$6,$C$5,$C$7,AA$1,AA$2,$A234)</f>
        <v>-52.485523232730912</v>
      </c>
      <c r="AB234" s="33">
        <f ca="1">_xll.DBRW($C$1,$C$2,$C$3,$C$4,$C$6,$C$5,$C$7,AB$1,AB$2,$A234)</f>
        <v>-79.42445273388293</v>
      </c>
      <c r="AC234" s="33">
        <f ca="1">_xll.DBRW($C$1,$C$2,$C$3,$C$4,$C$6,$C$5,$C$7,AC$1,AC$2,$A234)</f>
        <v>-105.54832737781004</v>
      </c>
      <c r="AD234" s="33">
        <f ca="1">_xll.DBRW($C$1,$C$2,$C$3,$C$4,$C$6,$C$5,$C$7,AD$1,AD$2,$A234)</f>
        <v>-131.72540175800088</v>
      </c>
      <c r="AE234" s="33">
        <f ca="1">_xll.DBRW($C$1,$C$2,$C$3,$C$4,$C$6,$C$5,$C$7,AE$1,AE$2,$A234)</f>
        <v>-157.82465062141708</v>
      </c>
      <c r="AF234" s="33">
        <f ca="1">_xll.DBRW($C$1,$C$2,$C$3,$C$4,$C$6,$C$5,$C$7,AF$1,AF$2,$A234)</f>
        <v>-183.73091401235712</v>
      </c>
      <c r="AG234" s="33">
        <f ca="1">_xll.DBRW($C$1,$C$2,$C$3,$C$4,$C$6,$C$5,$C$7,AG$1,AG$2,$A234)</f>
        <v>-209.83730878160358</v>
      </c>
      <c r="AH234" s="33">
        <f ca="1">_xll.DBRW($C$1,$C$2,$C$3,$C$4,$C$6,$C$5,$C$7,AH$1,AH$2,$A234)</f>
        <v>-235.55316987962277</v>
      </c>
      <c r="AI234" s="33">
        <f ca="1">_xll.DBRW($C$1,$C$2,$C$3,$C$4,$C$6,$C$5,$C$7,AI$1,AI$2,$A234)</f>
        <v>-262.29495713985671</v>
      </c>
      <c r="AJ234" s="33">
        <f ca="1">_xll.DBRW($C$1,$C$2,$C$3,$C$4,$C$6,$C$5,$C$7,AJ$1,AJ$2,$A234)</f>
        <v>-288.96264989647301</v>
      </c>
      <c r="AK234" s="33">
        <f ca="1">_xll.DBRW($C$1,$C$2,$C$3,$C$4,$C$6,$C$5,$C$7,AK$1,AK$2,$A234)</f>
        <v>-316.99417944068534</v>
      </c>
      <c r="AL234" s="33">
        <f ca="1">_xll.DBRW($C$1,$C$2,$C$3,$C$4,$C$6,$C$5,$C$7,AL$1,AL$2,$A234)</f>
        <v>-316.99417944068534</v>
      </c>
      <c r="AM234" s="33">
        <f ca="1">_xll.DBRW($C$1,$C$2,$C$3,$C$4,$C$6,$C$5,$C$7,AM$1,AM$2,$A234)</f>
        <v>-22.971940879681274</v>
      </c>
      <c r="AN234" s="33">
        <f ca="1">_xll.DBRW($C$1,$C$2,$C$3,$C$4,$C$6,$C$5,$C$7,AN$1,AN$2,$A234)</f>
        <v>-66.480226780452725</v>
      </c>
      <c r="AO234" s="33">
        <f ca="1">_xll.DBRW($C$1,$C$2,$C$3,$C$4,$C$6,$C$5,$C$7,AO$1,AO$2,$A234)</f>
        <v>-12.136138829989983</v>
      </c>
      <c r="AP234" s="33">
        <f ca="1">_xll.DBRW($C$1,$C$2,$C$3,$C$4,$C$6,$C$5,$C$7,AP$1,AP$2,$A234)</f>
        <v>-12.136138829989983</v>
      </c>
      <c r="AQ234" s="33">
        <f ca="1">_xll.DBRW($C$1,$C$2,$C$3,$C$4,$C$6,$C$5,$C$7,AQ$1,AQ$2,$A234)</f>
        <v>-12.136138829989983</v>
      </c>
      <c r="AR234" s="33">
        <f ca="1">_xll.DBRW($C$1,$C$2,$C$3,$C$4,$C$6,$C$5,$C$7,AR$1,AR$2,$A234)</f>
        <v>-12.136138829989983</v>
      </c>
      <c r="AS234" s="33">
        <f ca="1">_xll.DBRW($C$1,$C$2,$C$3,$C$4,$C$6,$C$5,$C$7,AS$1,AS$2,$A234)</f>
        <v>-12.136138829989983</v>
      </c>
      <c r="AT234" s="33">
        <f ca="1">_xll.DBRW($C$1,$C$2,$C$3,$C$4,$C$6,$C$5,$C$7,AT$1,AT$2,$A234)</f>
        <v>-12.136138829989983</v>
      </c>
      <c r="AU234" s="33">
        <f ca="1">_xll.DBRW($C$1,$C$2,$C$3,$C$4,$C$6,$C$5,$C$7,AU$1,AU$2,$A234)</f>
        <v>-12.136138829989983</v>
      </c>
      <c r="AV234" s="33">
        <f ca="1">_xll.DBRW($C$1,$C$2,$C$3,$C$4,$C$6,$C$5,$C$7,AV$1,AV$2,$A234)</f>
        <v>-12.136138829989983</v>
      </c>
      <c r="AW234" s="33">
        <f ca="1">_xll.DBRW($C$1,$C$2,$C$3,$C$4,$C$6,$C$5,$C$7,AW$1,AW$2,$A234)</f>
        <v>-12.136138829989983</v>
      </c>
      <c r="AX234" s="33">
        <f ca="1">_xll.DBRW($C$1,$C$2,$C$3,$C$4,$C$6,$C$5,$C$7,AX$1,AX$2,$A234)</f>
        <v>-12.136138829989983</v>
      </c>
      <c r="AY234" s="33">
        <f ca="1">_xll.DBRW($C$1,$C$2,$C$3,$C$4,$C$6,$C$5,$C$7,AY$1,AY$2,$A234)</f>
        <v>-12.136138829989983</v>
      </c>
    </row>
    <row r="235" spans="1:51" ht="15.5" hidden="1" outlineLevel="1" collapsed="1">
      <c r="A235" s="1" t="s">
        <v>142</v>
      </c>
      <c r="C235" s="104"/>
      <c r="E235" s="15" t="s">
        <v>49</v>
      </c>
      <c r="F235" s="39">
        <f t="shared" ref="F235:M235" ca="1" si="127">F234</f>
        <v>-352.16787653311172</v>
      </c>
      <c r="G235" s="39">
        <f t="shared" ca="1" si="127"/>
        <v>-325.70254611428828</v>
      </c>
      <c r="H235" s="39">
        <f t="shared" ca="1" si="127"/>
        <v>-341.47405779910736</v>
      </c>
      <c r="I235" s="39">
        <f t="shared" ca="1" si="127"/>
        <v>-405.62667263358259</v>
      </c>
      <c r="J235" s="39">
        <f t="shared" ca="1" si="127"/>
        <v>-365.97318661262273</v>
      </c>
      <c r="K235" s="39">
        <f t="shared" ca="1" si="127"/>
        <v>-407.73762562713273</v>
      </c>
      <c r="L235" s="39">
        <f t="shared" ca="1" si="127"/>
        <v>-305.8826648097787</v>
      </c>
      <c r="M235" s="39">
        <f t="shared" ca="1" si="127"/>
        <v>-32.501063103708645</v>
      </c>
      <c r="N235" s="39">
        <f t="shared" ref="N235:X235" ca="1" si="128">N234</f>
        <v>-61.777642272590867</v>
      </c>
      <c r="O235" s="39">
        <f t="shared" ca="1" si="128"/>
        <v>-97.708168684009863</v>
      </c>
      <c r="P235" s="39">
        <f t="shared" ca="1" si="128"/>
        <v>-134.18558678850232</v>
      </c>
      <c r="Q235" s="39">
        <f t="shared" ca="1" si="128"/>
        <v>-167.28530719409162</v>
      </c>
      <c r="R235" s="39">
        <f t="shared" ca="1" si="128"/>
        <v>-218.22150283660446</v>
      </c>
      <c r="S235" s="39">
        <f t="shared" ca="1" si="128"/>
        <v>-173.7364377299001</v>
      </c>
      <c r="T235" s="39">
        <f t="shared" ca="1" si="128"/>
        <v>-240.13512152589965</v>
      </c>
      <c r="U235" s="39">
        <f t="shared" ca="1" si="128"/>
        <v>-265.09895641555875</v>
      </c>
      <c r="V235" s="39">
        <f t="shared" ca="1" si="128"/>
        <v>-239.46013715733642</v>
      </c>
      <c r="W235" s="39">
        <f t="shared" ca="1" si="128"/>
        <v>-316.91277412225588</v>
      </c>
      <c r="X235" s="39">
        <f t="shared" ca="1" si="128"/>
        <v>-370.39623053638161</v>
      </c>
      <c r="Y235" s="39">
        <f ca="1">Y234</f>
        <v>-370.39623053638161</v>
      </c>
      <c r="Z235" s="39">
        <f ca="1">Z234</f>
        <v>-25.598393438820572</v>
      </c>
      <c r="AA235" s="39">
        <f t="shared" ref="AA235:AK235" ca="1" si="129">AA234</f>
        <v>-52.485523232730912</v>
      </c>
      <c r="AB235" s="39">
        <f t="shared" ca="1" si="129"/>
        <v>-79.42445273388293</v>
      </c>
      <c r="AC235" s="39">
        <f t="shared" ca="1" si="129"/>
        <v>-105.54832737781004</v>
      </c>
      <c r="AD235" s="39">
        <f t="shared" ca="1" si="129"/>
        <v>-131.72540175800088</v>
      </c>
      <c r="AE235" s="39">
        <f t="shared" ca="1" si="129"/>
        <v>-157.82465062141708</v>
      </c>
      <c r="AF235" s="39">
        <f t="shared" ca="1" si="129"/>
        <v>-183.73091401235712</v>
      </c>
      <c r="AG235" s="39">
        <f t="shared" ca="1" si="129"/>
        <v>-209.83730878160358</v>
      </c>
      <c r="AH235" s="39">
        <f t="shared" ca="1" si="129"/>
        <v>-235.55316987962277</v>
      </c>
      <c r="AI235" s="39">
        <f t="shared" ca="1" si="129"/>
        <v>-262.29495713985671</v>
      </c>
      <c r="AJ235" s="39">
        <f t="shared" ca="1" si="129"/>
        <v>-288.96264989647301</v>
      </c>
      <c r="AK235" s="39">
        <f t="shared" ca="1" si="129"/>
        <v>-316.99417944068534</v>
      </c>
      <c r="AL235" s="39">
        <f ca="1">AL234</f>
        <v>-316.99417944068534</v>
      </c>
      <c r="AM235" s="39">
        <f ca="1">AM234</f>
        <v>-22.971940879681274</v>
      </c>
      <c r="AN235" s="39">
        <f t="shared" ref="AN235:AX235" ca="1" si="130">AN234</f>
        <v>-66.480226780452725</v>
      </c>
      <c r="AO235" s="39">
        <f t="shared" ca="1" si="130"/>
        <v>-12.136138829989983</v>
      </c>
      <c r="AP235" s="39">
        <f t="shared" ca="1" si="130"/>
        <v>-12.136138829989983</v>
      </c>
      <c r="AQ235" s="39">
        <f t="shared" ca="1" si="130"/>
        <v>-12.136138829989983</v>
      </c>
      <c r="AR235" s="39">
        <f t="shared" ca="1" si="130"/>
        <v>-12.136138829989983</v>
      </c>
      <c r="AS235" s="39">
        <f t="shared" ca="1" si="130"/>
        <v>-12.136138829989983</v>
      </c>
      <c r="AT235" s="39">
        <f t="shared" ca="1" si="130"/>
        <v>-12.136138829989983</v>
      </c>
      <c r="AU235" s="39">
        <f t="shared" ca="1" si="130"/>
        <v>-12.136138829989983</v>
      </c>
      <c r="AV235" s="39">
        <f t="shared" ca="1" si="130"/>
        <v>-12.136138829989983</v>
      </c>
      <c r="AW235" s="39">
        <f t="shared" ca="1" si="130"/>
        <v>-12.136138829989983</v>
      </c>
      <c r="AX235" s="39">
        <f t="shared" ca="1" si="130"/>
        <v>-12.136138829989983</v>
      </c>
      <c r="AY235" s="39">
        <f ca="1">AY234</f>
        <v>-12.136138829989983</v>
      </c>
    </row>
    <row r="236" spans="1:51" ht="15.75" hidden="1" customHeight="1" outlineLevel="2">
      <c r="A236" s="1" t="s">
        <v>315</v>
      </c>
      <c r="C236" s="104"/>
      <c r="E236" s="9" t="str">
        <f ca="1">_xll.DBRW(Server&amp;"}ElementAttributes_Indicator",A236,"code_English")</f>
        <v>PL0000_GS - General Services</v>
      </c>
      <c r="F236" s="33">
        <f ca="1">_xll.DBRW($C$1,$C$2,$C$3,$C$4,$C$6,$C$5,$C$7,F$1,F$2,$A236)</f>
        <v>-39.128022530908545</v>
      </c>
      <c r="G236" s="33">
        <f ca="1">_xll.DBRW($C$1,$C$2,$C$3,$C$4,$C$6,$C$5,$C$7,G$1,G$2,$A236)</f>
        <v>-33.758495030799537</v>
      </c>
      <c r="H236" s="33">
        <f ca="1">_xll.DBRW($C$1,$C$2,$C$3,$C$4,$C$6,$C$5,$C$7,H$1,H$2,$A236)</f>
        <v>-28.557595925984373</v>
      </c>
      <c r="I236" s="33">
        <f ca="1">_xll.DBRW($C$1,$C$2,$C$3,$C$4,$C$6,$C$5,$C$7,I$1,I$2,$A236)</f>
        <v>-12.101681815181999</v>
      </c>
      <c r="J236" s="33">
        <f ca="1">_xll.DBRW($C$1,$C$2,$C$3,$C$4,$C$6,$C$5,$C$7,J$1,J$2,$A236)</f>
        <v>-21.595051648914826</v>
      </c>
      <c r="K236" s="33">
        <f ca="1">_xll.DBRW($C$1,$C$2,$C$3,$C$4,$C$6,$C$5,$C$7,K$1,K$2,$A236)</f>
        <v>-13.518203374844626</v>
      </c>
      <c r="L236" s="33">
        <f ca="1">_xll.DBRW($C$1,$C$2,$C$3,$C$4,$C$6,$C$5,$C$7,L$1,L$2,$A236)</f>
        <v>-7.4701505673133362</v>
      </c>
      <c r="M236" s="33">
        <f ca="1">_xll.DBRW($C$1,$C$2,$C$3,$C$4,$C$6,$C$5,$C$7,M$1,M$2,$A236)</f>
        <v>-0.12000157074783774</v>
      </c>
      <c r="N236" s="33">
        <f ca="1">_xll.DBRW($C$1,$C$2,$C$3,$C$4,$C$6,$C$5,$C$7,N$1,N$2,$A236)</f>
        <v>-1.8877949377151848</v>
      </c>
      <c r="O236" s="33">
        <f ca="1">_xll.DBRW($C$1,$C$2,$C$3,$C$4,$C$6,$C$5,$C$7,O$1,O$2,$A236)</f>
        <v>-2.4761152876724455</v>
      </c>
      <c r="P236" s="33">
        <f ca="1">_xll.DBRW($C$1,$C$2,$C$3,$C$4,$C$6,$C$5,$C$7,P$1,P$2,$A236)</f>
        <v>-3.325608988514535</v>
      </c>
      <c r="Q236" s="33">
        <f ca="1">_xll.DBRW($C$1,$C$2,$C$3,$C$4,$C$6,$C$5,$C$7,Q$1,Q$2,$A236)</f>
        <v>-4.064491573471896</v>
      </c>
      <c r="R236" s="33">
        <f ca="1">_xll.DBRW($C$1,$C$2,$C$3,$C$4,$C$6,$C$5,$C$7,R$1,R$2,$A236)</f>
        <v>-4.8195967096767331</v>
      </c>
      <c r="S236" s="33">
        <f ca="1">_xll.DBRW($C$1,$C$2,$C$3,$C$4,$C$6,$C$5,$C$7,S$1,S$2,$A236)</f>
        <v>-0.39013914266651417</v>
      </c>
      <c r="T236" s="33">
        <f ca="1">_xll.DBRW($C$1,$C$2,$C$3,$C$4,$C$6,$C$5,$C$7,T$1,T$2,$A236)</f>
        <v>-6.2901479142436418</v>
      </c>
      <c r="U236" s="33">
        <f ca="1">_xll.DBRW($C$1,$C$2,$C$3,$C$4,$C$6,$C$5,$C$7,U$1,U$2,$A236)</f>
        <v>-7.0536274337511049</v>
      </c>
      <c r="V236" s="33">
        <f ca="1">_xll.DBRW($C$1,$C$2,$C$3,$C$4,$C$6,$C$5,$C$7,V$1,V$2,$A236)</f>
        <v>-1.085085364055334</v>
      </c>
      <c r="W236" s="33">
        <f ca="1">_xll.DBRW($C$1,$C$2,$C$3,$C$4,$C$6,$C$5,$C$7,W$1,W$2,$A236)</f>
        <v>-9.3555292196835698</v>
      </c>
      <c r="X236" s="33">
        <f ca="1">_xll.DBRW($C$1,$C$2,$C$3,$C$4,$C$6,$C$5,$C$7,X$1,X$2,$A236)</f>
        <v>-10.752026647334668</v>
      </c>
      <c r="Y236" s="33">
        <f ca="1">_xll.DBRW($C$1,$C$2,$C$3,$C$4,$C$6,$C$5,$C$7,Y$1,Y$2,$A236)</f>
        <v>-10.752026647334668</v>
      </c>
      <c r="Z236" s="33">
        <f ca="1">_xll.DBRW($C$1,$C$2,$C$3,$C$4,$C$6,$C$5,$C$7,Z$1,Z$2,$A236)</f>
        <v>-0.82875192184459667</v>
      </c>
      <c r="AA236" s="33">
        <f ca="1">_xll.DBRW($C$1,$C$2,$C$3,$C$4,$C$6,$C$5,$C$7,AA$1,AA$2,$A236)</f>
        <v>-1.6502941717701447</v>
      </c>
      <c r="AB236" s="33">
        <f ca="1">_xll.DBRW($C$1,$C$2,$C$3,$C$4,$C$6,$C$5,$C$7,AB$1,AB$2,$A236)</f>
        <v>-2.5174532290693392</v>
      </c>
      <c r="AC236" s="33">
        <f ca="1">_xll.DBRW($C$1,$C$2,$C$3,$C$4,$C$6,$C$5,$C$7,AC$1,AC$2,$A236)</f>
        <v>-3.2339275286255007</v>
      </c>
      <c r="AD236" s="33">
        <f ca="1">_xll.DBRW($C$1,$C$2,$C$3,$C$4,$C$6,$C$5,$C$7,AD$1,AD$2,$A236)</f>
        <v>-4.0743574476111153</v>
      </c>
      <c r="AE236" s="33">
        <f ca="1">_xll.DBRW($C$1,$C$2,$C$3,$C$4,$C$6,$C$5,$C$7,AE$1,AE$2,$A236)</f>
        <v>-4.9208819284619718</v>
      </c>
      <c r="AF236" s="33">
        <f ca="1">_xll.DBRW($C$1,$C$2,$C$3,$C$4,$C$6,$C$5,$C$7,AF$1,AF$2,$A236)</f>
        <v>-5.7609277710176059</v>
      </c>
      <c r="AG236" s="33">
        <f ca="1">_xll.DBRW($C$1,$C$2,$C$3,$C$4,$C$6,$C$5,$C$7,AG$1,AG$2,$A236)</f>
        <v>-6.598216334451064</v>
      </c>
      <c r="AH236" s="33">
        <f ca="1">_xll.DBRW($C$1,$C$2,$C$3,$C$4,$C$6,$C$5,$C$7,AH$1,AH$2,$A236)</f>
        <v>-7.4463605491866973</v>
      </c>
      <c r="AI236" s="33">
        <f ca="1">_xll.DBRW($C$1,$C$2,$C$3,$C$4,$C$6,$C$5,$C$7,AI$1,AI$2,$A236)</f>
        <v>-8.2927725684143656</v>
      </c>
      <c r="AJ236" s="33">
        <f ca="1">_xll.DBRW($C$1,$C$2,$C$3,$C$4,$C$6,$C$5,$C$7,AJ$1,AJ$2,$A236)</f>
        <v>-9.1364013362036118</v>
      </c>
      <c r="AK236" s="33">
        <f ca="1">_xll.DBRW($C$1,$C$2,$C$3,$C$4,$C$6,$C$5,$C$7,AK$1,AK$2,$A236)</f>
        <v>-13.117224812951381</v>
      </c>
      <c r="AL236" s="33">
        <f ca="1">_xll.DBRW($C$1,$C$2,$C$3,$C$4,$C$6,$C$5,$C$7,AL$1,AL$2,$A236)</f>
        <v>-13.117224812951381</v>
      </c>
      <c r="AM236" s="33">
        <f ca="1">_xll.DBRW($C$1,$C$2,$C$3,$C$4,$C$6,$C$5,$C$7,AM$1,AM$2,$A236)</f>
        <v>-7.1599488210622342E-2</v>
      </c>
      <c r="AN236" s="33">
        <f ca="1">_xll.DBRW($C$1,$C$2,$C$3,$C$4,$C$6,$C$5,$C$7,AN$1,AN$2,$A236)</f>
        <v>-1.5875771092605842</v>
      </c>
      <c r="AO236" s="33">
        <f ca="1">_xll.DBRW($C$1,$C$2,$C$3,$C$4,$C$6,$C$5,$C$7,AO$1,AO$2,$A236)</f>
        <v>-2.8063829999999346E-2</v>
      </c>
      <c r="AP236" s="33">
        <f ca="1">_xll.DBRW($C$1,$C$2,$C$3,$C$4,$C$6,$C$5,$C$7,AP$1,AP$2,$A236)</f>
        <v>-2.8063829999999346E-2</v>
      </c>
      <c r="AQ236" s="33">
        <f ca="1">_xll.DBRW($C$1,$C$2,$C$3,$C$4,$C$6,$C$5,$C$7,AQ$1,AQ$2,$A236)</f>
        <v>-2.8063829999999346E-2</v>
      </c>
      <c r="AR236" s="33">
        <f ca="1">_xll.DBRW($C$1,$C$2,$C$3,$C$4,$C$6,$C$5,$C$7,AR$1,AR$2,$A236)</f>
        <v>-2.8063829999999346E-2</v>
      </c>
      <c r="AS236" s="33">
        <f ca="1">_xll.DBRW($C$1,$C$2,$C$3,$C$4,$C$6,$C$5,$C$7,AS$1,AS$2,$A236)</f>
        <v>-2.8063829999999346E-2</v>
      </c>
      <c r="AT236" s="33">
        <f ca="1">_xll.DBRW($C$1,$C$2,$C$3,$C$4,$C$6,$C$5,$C$7,AT$1,AT$2,$A236)</f>
        <v>-2.8063829999999346E-2</v>
      </c>
      <c r="AU236" s="33">
        <f ca="1">_xll.DBRW($C$1,$C$2,$C$3,$C$4,$C$6,$C$5,$C$7,AU$1,AU$2,$A236)</f>
        <v>-2.8063829999999346E-2</v>
      </c>
      <c r="AV236" s="33">
        <f ca="1">_xll.DBRW($C$1,$C$2,$C$3,$C$4,$C$6,$C$5,$C$7,AV$1,AV$2,$A236)</f>
        <v>-2.8063829999999346E-2</v>
      </c>
      <c r="AW236" s="33">
        <f ca="1">_xll.DBRW($C$1,$C$2,$C$3,$C$4,$C$6,$C$5,$C$7,AW$1,AW$2,$A236)</f>
        <v>-2.8063829999999346E-2</v>
      </c>
      <c r="AX236" s="33">
        <f ca="1">_xll.DBRW($C$1,$C$2,$C$3,$C$4,$C$6,$C$5,$C$7,AX$1,AX$2,$A236)</f>
        <v>-2.8063829999999346E-2</v>
      </c>
      <c r="AY236" s="33">
        <f ca="1">_xll.DBRW($C$1,$C$2,$C$3,$C$4,$C$6,$C$5,$C$7,AY$1,AY$2,$A236)</f>
        <v>-2.8063829999999346E-2</v>
      </c>
    </row>
    <row r="237" spans="1:51" ht="15.5" hidden="1" outlineLevel="1" collapsed="1">
      <c r="A237" s="1" t="s">
        <v>142</v>
      </c>
      <c r="C237" s="104"/>
      <c r="E237" s="15" t="s">
        <v>50</v>
      </c>
      <c r="F237" s="39">
        <f t="shared" ref="F237:M237" ca="1" si="131">F236</f>
        <v>-39.128022530908545</v>
      </c>
      <c r="G237" s="39">
        <f t="shared" ca="1" si="131"/>
        <v>-33.758495030799537</v>
      </c>
      <c r="H237" s="39">
        <f t="shared" ca="1" si="131"/>
        <v>-28.557595925984373</v>
      </c>
      <c r="I237" s="39">
        <f t="shared" ca="1" si="131"/>
        <v>-12.101681815181999</v>
      </c>
      <c r="J237" s="39">
        <f t="shared" ca="1" si="131"/>
        <v>-21.595051648914826</v>
      </c>
      <c r="K237" s="39">
        <f t="shared" ca="1" si="131"/>
        <v>-13.518203374844626</v>
      </c>
      <c r="L237" s="39">
        <f t="shared" ca="1" si="131"/>
        <v>-7.4701505673133362</v>
      </c>
      <c r="M237" s="39">
        <f t="shared" ca="1" si="131"/>
        <v>-0.12000157074783774</v>
      </c>
      <c r="N237" s="39">
        <f t="shared" ref="N237:X237" ca="1" si="132">N236</f>
        <v>-1.8877949377151848</v>
      </c>
      <c r="O237" s="39">
        <f t="shared" ca="1" si="132"/>
        <v>-2.4761152876724455</v>
      </c>
      <c r="P237" s="39">
        <f t="shared" ca="1" si="132"/>
        <v>-3.325608988514535</v>
      </c>
      <c r="Q237" s="39">
        <f t="shared" ca="1" si="132"/>
        <v>-4.064491573471896</v>
      </c>
      <c r="R237" s="39">
        <f t="shared" ca="1" si="132"/>
        <v>-4.8195967096767331</v>
      </c>
      <c r="S237" s="39">
        <f t="shared" ca="1" si="132"/>
        <v>-0.39013914266651417</v>
      </c>
      <c r="T237" s="39">
        <f t="shared" ca="1" si="132"/>
        <v>-6.2901479142436418</v>
      </c>
      <c r="U237" s="39">
        <f t="shared" ca="1" si="132"/>
        <v>-7.0536274337511049</v>
      </c>
      <c r="V237" s="39">
        <f t="shared" ca="1" si="132"/>
        <v>-1.085085364055334</v>
      </c>
      <c r="W237" s="39">
        <f t="shared" ca="1" si="132"/>
        <v>-9.3555292196835698</v>
      </c>
      <c r="X237" s="39">
        <f t="shared" ca="1" si="132"/>
        <v>-10.752026647334668</v>
      </c>
      <c r="Y237" s="39">
        <f ca="1">Y236</f>
        <v>-10.752026647334668</v>
      </c>
      <c r="Z237" s="39">
        <f ca="1">Z236</f>
        <v>-0.82875192184459667</v>
      </c>
      <c r="AA237" s="39">
        <f t="shared" ref="AA237:AK237" ca="1" si="133">AA236</f>
        <v>-1.6502941717701447</v>
      </c>
      <c r="AB237" s="39">
        <f t="shared" ca="1" si="133"/>
        <v>-2.5174532290693392</v>
      </c>
      <c r="AC237" s="39">
        <f t="shared" ca="1" si="133"/>
        <v>-3.2339275286255007</v>
      </c>
      <c r="AD237" s="39">
        <f t="shared" ca="1" si="133"/>
        <v>-4.0743574476111153</v>
      </c>
      <c r="AE237" s="39">
        <f t="shared" ca="1" si="133"/>
        <v>-4.9208819284619718</v>
      </c>
      <c r="AF237" s="39">
        <f t="shared" ca="1" si="133"/>
        <v>-5.7609277710176059</v>
      </c>
      <c r="AG237" s="39">
        <f t="shared" ca="1" si="133"/>
        <v>-6.598216334451064</v>
      </c>
      <c r="AH237" s="39">
        <f t="shared" ca="1" si="133"/>
        <v>-7.4463605491866973</v>
      </c>
      <c r="AI237" s="39">
        <f t="shared" ca="1" si="133"/>
        <v>-8.2927725684143656</v>
      </c>
      <c r="AJ237" s="39">
        <f t="shared" ca="1" si="133"/>
        <v>-9.1364013362036118</v>
      </c>
      <c r="AK237" s="39">
        <f t="shared" ca="1" si="133"/>
        <v>-13.117224812951381</v>
      </c>
      <c r="AL237" s="39">
        <f ca="1">AL236</f>
        <v>-13.117224812951381</v>
      </c>
      <c r="AM237" s="39">
        <f ca="1">AM236</f>
        <v>-7.1599488210622342E-2</v>
      </c>
      <c r="AN237" s="39">
        <f t="shared" ref="AN237:AX237" ca="1" si="134">AN236</f>
        <v>-1.5875771092605842</v>
      </c>
      <c r="AO237" s="39">
        <f t="shared" ca="1" si="134"/>
        <v>-2.8063829999999346E-2</v>
      </c>
      <c r="AP237" s="39">
        <f t="shared" ca="1" si="134"/>
        <v>-2.8063829999999346E-2</v>
      </c>
      <c r="AQ237" s="39">
        <f t="shared" ca="1" si="134"/>
        <v>-2.8063829999999346E-2</v>
      </c>
      <c r="AR237" s="39">
        <f t="shared" ca="1" si="134"/>
        <v>-2.8063829999999346E-2</v>
      </c>
      <c r="AS237" s="39">
        <f t="shared" ca="1" si="134"/>
        <v>-2.8063829999999346E-2</v>
      </c>
      <c r="AT237" s="39">
        <f t="shared" ca="1" si="134"/>
        <v>-2.8063829999999346E-2</v>
      </c>
      <c r="AU237" s="39">
        <f t="shared" ca="1" si="134"/>
        <v>-2.8063829999999346E-2</v>
      </c>
      <c r="AV237" s="39">
        <f t="shared" ca="1" si="134"/>
        <v>-2.8063829999999346E-2</v>
      </c>
      <c r="AW237" s="39">
        <f t="shared" ca="1" si="134"/>
        <v>-2.8063829999999346E-2</v>
      </c>
      <c r="AX237" s="39">
        <f t="shared" ca="1" si="134"/>
        <v>-2.8063829999999346E-2</v>
      </c>
      <c r="AY237" s="39">
        <f ca="1">AY236</f>
        <v>-2.8063829999999346E-2</v>
      </c>
    </row>
    <row r="238" spans="1:51" ht="15.75" hidden="1" customHeight="1" outlineLevel="2">
      <c r="A238" s="1" t="s">
        <v>316</v>
      </c>
      <c r="C238" s="104"/>
      <c r="E238" s="9" t="str">
        <f ca="1">_xll.DBRW(Server&amp;"}ElementAttributes_Indicator",A238,"code_English")</f>
        <v>PL0000_HR - HR department</v>
      </c>
      <c r="F238" s="33">
        <f ca="1">_xll.DBRW($C$1,$C$2,$C$3,$C$4,$C$6,$C$5,$C$7,F$1,F$2,$A238)</f>
        <v>-29.93021125677177</v>
      </c>
      <c r="G238" s="33">
        <f ca="1">_xll.DBRW($C$1,$C$2,$C$3,$C$4,$C$6,$C$5,$C$7,G$1,G$2,$A238)</f>
        <v>-44.67332972667996</v>
      </c>
      <c r="H238" s="33">
        <f ca="1">_xll.DBRW($C$1,$C$2,$C$3,$C$4,$C$6,$C$5,$C$7,H$1,H$2,$A238)</f>
        <v>-42.107509283909096</v>
      </c>
      <c r="I238" s="33">
        <f ca="1">_xll.DBRW($C$1,$C$2,$C$3,$C$4,$C$6,$C$5,$C$7,I$1,I$2,$A238)</f>
        <v>-44.155934865582424</v>
      </c>
      <c r="J238" s="33">
        <f ca="1">_xll.DBRW($C$1,$C$2,$C$3,$C$4,$C$6,$C$5,$C$7,J$1,J$2,$A238)</f>
        <v>-49.522259676484197</v>
      </c>
      <c r="K238" s="33">
        <f ca="1">_xll.DBRW($C$1,$C$2,$C$3,$C$4,$C$6,$C$5,$C$7,K$1,K$2,$A238)</f>
        <v>-39.731095950456961</v>
      </c>
      <c r="L238" s="33">
        <f ca="1">_xll.DBRW($C$1,$C$2,$C$3,$C$4,$C$6,$C$5,$C$7,L$1,L$2,$A238)</f>
        <v>-36.184381176820445</v>
      </c>
      <c r="M238" s="33">
        <f ca="1">_xll.DBRW($C$1,$C$2,$C$3,$C$4,$C$6,$C$5,$C$7,M$1,M$2,$A238)</f>
        <v>-1.3765049426008082</v>
      </c>
      <c r="N238" s="33">
        <f ca="1">_xll.DBRW($C$1,$C$2,$C$3,$C$4,$C$6,$C$5,$C$7,N$1,N$2,$A238)</f>
        <v>-5.8982014239767251</v>
      </c>
      <c r="O238" s="33">
        <f ca="1">_xll.DBRW($C$1,$C$2,$C$3,$C$4,$C$6,$C$5,$C$7,O$1,O$2,$A238)</f>
        <v>-9.4603806623832973</v>
      </c>
      <c r="P238" s="33">
        <f ca="1">_xll.DBRW($C$1,$C$2,$C$3,$C$4,$C$6,$C$5,$C$7,P$1,P$2,$A238)</f>
        <v>-12.68187755597112</v>
      </c>
      <c r="Q238" s="33">
        <f ca="1">_xll.DBRW($C$1,$C$2,$C$3,$C$4,$C$6,$C$5,$C$7,Q$1,Q$2,$A238)</f>
        <v>-15.998632682022013</v>
      </c>
      <c r="R238" s="33">
        <f ca="1">_xll.DBRW($C$1,$C$2,$C$3,$C$4,$C$6,$C$5,$C$7,R$1,R$2,$A238)</f>
        <v>-19.382483222286041</v>
      </c>
      <c r="S238" s="33">
        <f ca="1">_xll.DBRW($C$1,$C$2,$C$3,$C$4,$C$6,$C$5,$C$7,S$1,S$2,$A238)</f>
        <v>-9.8786116991756554</v>
      </c>
      <c r="T238" s="33">
        <f ca="1">_xll.DBRW($C$1,$C$2,$C$3,$C$4,$C$6,$C$5,$C$7,T$1,T$2,$A238)</f>
        <v>-28.142125286232648</v>
      </c>
      <c r="U238" s="33">
        <f ca="1">_xll.DBRW($C$1,$C$2,$C$3,$C$4,$C$6,$C$5,$C$7,U$1,U$2,$A238)</f>
        <v>-31.976472729693668</v>
      </c>
      <c r="V238" s="33">
        <f ca="1">_xll.DBRW($C$1,$C$2,$C$3,$C$4,$C$6,$C$5,$C$7,V$1,V$2,$A238)</f>
        <v>-17.798656981799759</v>
      </c>
      <c r="W238" s="33">
        <f ca="1">_xll.DBRW($C$1,$C$2,$C$3,$C$4,$C$6,$C$5,$C$7,W$1,W$2,$A238)</f>
        <v>-36.291485382945787</v>
      </c>
      <c r="X238" s="33">
        <f ca="1">_xll.DBRW($C$1,$C$2,$C$3,$C$4,$C$6,$C$5,$C$7,X$1,X$2,$A238)</f>
        <v>-43.104479765712398</v>
      </c>
      <c r="Y238" s="33">
        <f ca="1">_xll.DBRW($C$1,$C$2,$C$3,$C$4,$C$6,$C$5,$C$7,Y$1,Y$2,$A238)</f>
        <v>-43.104479765712398</v>
      </c>
      <c r="Z238" s="33">
        <f ca="1">_xll.DBRW($C$1,$C$2,$C$3,$C$4,$C$6,$C$5,$C$7,Z$1,Z$2,$A238)</f>
        <v>-3.2987847276083979</v>
      </c>
      <c r="AA238" s="33">
        <f ca="1">_xll.DBRW($C$1,$C$2,$C$3,$C$4,$C$6,$C$5,$C$7,AA$1,AA$2,$A238)</f>
        <v>-7.3248261248145061</v>
      </c>
      <c r="AB238" s="33">
        <f ca="1">_xll.DBRW($C$1,$C$2,$C$3,$C$4,$C$6,$C$5,$C$7,AB$1,AB$2,$A238)</f>
        <v>-11.155749860863329</v>
      </c>
      <c r="AC238" s="33">
        <f ca="1">_xll.DBRW($C$1,$C$2,$C$3,$C$4,$C$6,$C$5,$C$7,AC$1,AC$2,$A238)</f>
        <v>-14.759709617443496</v>
      </c>
      <c r="AD238" s="33">
        <f ca="1">_xll.DBRW($C$1,$C$2,$C$3,$C$4,$C$6,$C$5,$C$7,AD$1,AD$2,$A238)</f>
        <v>-18.472408109485585</v>
      </c>
      <c r="AE238" s="33">
        <f ca="1">_xll.DBRW($C$1,$C$2,$C$3,$C$4,$C$6,$C$5,$C$7,AE$1,AE$2,$A238)</f>
        <v>-22.152049460531686</v>
      </c>
      <c r="AF238" s="33">
        <f ca="1">_xll.DBRW($C$1,$C$2,$C$3,$C$4,$C$6,$C$5,$C$7,AF$1,AF$2,$A238)</f>
        <v>-25.790942977357318</v>
      </c>
      <c r="AG238" s="33">
        <f ca="1">_xll.DBRW($C$1,$C$2,$C$3,$C$4,$C$6,$C$5,$C$7,AG$1,AG$2,$A238)</f>
        <v>-29.349055295770079</v>
      </c>
      <c r="AH238" s="33">
        <f ca="1">_xll.DBRW($C$1,$C$2,$C$3,$C$4,$C$6,$C$5,$C$7,AH$1,AH$2,$A238)</f>
        <v>-32.963170787813183</v>
      </c>
      <c r="AI238" s="33">
        <f ca="1">_xll.DBRW($C$1,$C$2,$C$3,$C$4,$C$6,$C$5,$C$7,AI$1,AI$2,$A238)</f>
        <v>-36.704034605557815</v>
      </c>
      <c r="AJ238" s="33">
        <f ca="1">_xll.DBRW($C$1,$C$2,$C$3,$C$4,$C$6,$C$5,$C$7,AJ$1,AJ$2,$A238)</f>
        <v>-40.50913472136201</v>
      </c>
      <c r="AK238" s="33">
        <f ca="1">_xll.DBRW($C$1,$C$2,$C$3,$C$4,$C$6,$C$5,$C$7,AK$1,AK$2,$A238)</f>
        <v>-44.408049500100738</v>
      </c>
      <c r="AL238" s="33">
        <f ca="1">_xll.DBRW($C$1,$C$2,$C$3,$C$4,$C$6,$C$5,$C$7,AL$1,AL$2,$A238)</f>
        <v>-44.408049500100738</v>
      </c>
      <c r="AM238" s="33">
        <f ca="1">_xll.DBRW($C$1,$C$2,$C$3,$C$4,$C$6,$C$5,$C$7,AM$1,AM$2,$A238)</f>
        <v>-2.5908033555432217</v>
      </c>
      <c r="AN238" s="33">
        <f ca="1">_xll.DBRW($C$1,$C$2,$C$3,$C$4,$C$6,$C$5,$C$7,AN$1,AN$2,$A238)</f>
        <v>-6.7967920575949892</v>
      </c>
      <c r="AO238" s="33">
        <f ca="1">_xll.DBRW($C$1,$C$2,$C$3,$C$4,$C$6,$C$5,$C$7,AO$1,AO$2,$A238)</f>
        <v>-1.807581861967833E-15</v>
      </c>
      <c r="AP238" s="33">
        <f ca="1">_xll.DBRW($C$1,$C$2,$C$3,$C$4,$C$6,$C$5,$C$7,AP$1,AP$2,$A238)</f>
        <v>-1.807581861967833E-15</v>
      </c>
      <c r="AQ238" s="33">
        <f ca="1">_xll.DBRW($C$1,$C$2,$C$3,$C$4,$C$6,$C$5,$C$7,AQ$1,AQ$2,$A238)</f>
        <v>-1.807581861967833E-15</v>
      </c>
      <c r="AR238" s="33">
        <f ca="1">_xll.DBRW($C$1,$C$2,$C$3,$C$4,$C$6,$C$5,$C$7,AR$1,AR$2,$A238)</f>
        <v>-1.807581861967833E-15</v>
      </c>
      <c r="AS238" s="33">
        <f ca="1">_xll.DBRW($C$1,$C$2,$C$3,$C$4,$C$6,$C$5,$C$7,AS$1,AS$2,$A238)</f>
        <v>-1.807581861967833E-15</v>
      </c>
      <c r="AT238" s="33">
        <f ca="1">_xll.DBRW($C$1,$C$2,$C$3,$C$4,$C$6,$C$5,$C$7,AT$1,AT$2,$A238)</f>
        <v>-1.807581861967833E-15</v>
      </c>
      <c r="AU238" s="33">
        <f ca="1">_xll.DBRW($C$1,$C$2,$C$3,$C$4,$C$6,$C$5,$C$7,AU$1,AU$2,$A238)</f>
        <v>-1.807581861967833E-15</v>
      </c>
      <c r="AV238" s="33">
        <f ca="1">_xll.DBRW($C$1,$C$2,$C$3,$C$4,$C$6,$C$5,$C$7,AV$1,AV$2,$A238)</f>
        <v>-1.807581861967833E-15</v>
      </c>
      <c r="AW238" s="33">
        <f ca="1">_xll.DBRW($C$1,$C$2,$C$3,$C$4,$C$6,$C$5,$C$7,AW$1,AW$2,$A238)</f>
        <v>-1.807581861967833E-15</v>
      </c>
      <c r="AX238" s="33">
        <f ca="1">_xll.DBRW($C$1,$C$2,$C$3,$C$4,$C$6,$C$5,$C$7,AX$1,AX$2,$A238)</f>
        <v>-1.807581861967833E-15</v>
      </c>
      <c r="AY238" s="33">
        <f ca="1">_xll.DBRW($C$1,$C$2,$C$3,$C$4,$C$6,$C$5,$C$7,AY$1,AY$2,$A238)</f>
        <v>-1.807581861967833E-15</v>
      </c>
    </row>
    <row r="239" spans="1:51" ht="15.5" hidden="1" outlineLevel="1" collapsed="1">
      <c r="A239" s="1" t="s">
        <v>142</v>
      </c>
      <c r="C239" s="104"/>
      <c r="E239" s="15" t="s">
        <v>51</v>
      </c>
      <c r="F239" s="39">
        <f t="shared" ref="F239:M239" ca="1" si="135">F238</f>
        <v>-29.93021125677177</v>
      </c>
      <c r="G239" s="39">
        <f t="shared" ca="1" si="135"/>
        <v>-44.67332972667996</v>
      </c>
      <c r="H239" s="39">
        <f t="shared" ca="1" si="135"/>
        <v>-42.107509283909096</v>
      </c>
      <c r="I239" s="39">
        <f t="shared" ca="1" si="135"/>
        <v>-44.155934865582424</v>
      </c>
      <c r="J239" s="39">
        <f t="shared" ca="1" si="135"/>
        <v>-49.522259676484197</v>
      </c>
      <c r="K239" s="39">
        <f t="shared" ca="1" si="135"/>
        <v>-39.731095950456961</v>
      </c>
      <c r="L239" s="39">
        <f t="shared" ca="1" si="135"/>
        <v>-36.184381176820445</v>
      </c>
      <c r="M239" s="39">
        <f t="shared" ca="1" si="135"/>
        <v>-1.3765049426008082</v>
      </c>
      <c r="N239" s="39">
        <f t="shared" ref="N239:X239" ca="1" si="136">N238</f>
        <v>-5.8982014239767251</v>
      </c>
      <c r="O239" s="39">
        <f t="shared" ca="1" si="136"/>
        <v>-9.4603806623832973</v>
      </c>
      <c r="P239" s="39">
        <f t="shared" ca="1" si="136"/>
        <v>-12.68187755597112</v>
      </c>
      <c r="Q239" s="39">
        <f t="shared" ca="1" si="136"/>
        <v>-15.998632682022013</v>
      </c>
      <c r="R239" s="39">
        <f t="shared" ca="1" si="136"/>
        <v>-19.382483222286041</v>
      </c>
      <c r="S239" s="39">
        <f t="shared" ca="1" si="136"/>
        <v>-9.8786116991756554</v>
      </c>
      <c r="T239" s="39">
        <f t="shared" ca="1" si="136"/>
        <v>-28.142125286232648</v>
      </c>
      <c r="U239" s="39">
        <f t="shared" ca="1" si="136"/>
        <v>-31.976472729693668</v>
      </c>
      <c r="V239" s="39">
        <f t="shared" ca="1" si="136"/>
        <v>-17.798656981799759</v>
      </c>
      <c r="W239" s="39">
        <f t="shared" ca="1" si="136"/>
        <v>-36.291485382945787</v>
      </c>
      <c r="X239" s="39">
        <f t="shared" ca="1" si="136"/>
        <v>-43.104479765712398</v>
      </c>
      <c r="Y239" s="39">
        <f ca="1">Y238</f>
        <v>-43.104479765712398</v>
      </c>
      <c r="Z239" s="39">
        <f ca="1">Z238</f>
        <v>-3.2987847276083979</v>
      </c>
      <c r="AA239" s="39">
        <f t="shared" ref="AA239:AK239" ca="1" si="137">AA238</f>
        <v>-7.3248261248145061</v>
      </c>
      <c r="AB239" s="39">
        <f t="shared" ca="1" si="137"/>
        <v>-11.155749860863329</v>
      </c>
      <c r="AC239" s="39">
        <f t="shared" ca="1" si="137"/>
        <v>-14.759709617443496</v>
      </c>
      <c r="AD239" s="39">
        <f t="shared" ca="1" si="137"/>
        <v>-18.472408109485585</v>
      </c>
      <c r="AE239" s="39">
        <f t="shared" ca="1" si="137"/>
        <v>-22.152049460531686</v>
      </c>
      <c r="AF239" s="39">
        <f t="shared" ca="1" si="137"/>
        <v>-25.790942977357318</v>
      </c>
      <c r="AG239" s="39">
        <f t="shared" ca="1" si="137"/>
        <v>-29.349055295770079</v>
      </c>
      <c r="AH239" s="39">
        <f t="shared" ca="1" si="137"/>
        <v>-32.963170787813183</v>
      </c>
      <c r="AI239" s="39">
        <f t="shared" ca="1" si="137"/>
        <v>-36.704034605557815</v>
      </c>
      <c r="AJ239" s="39">
        <f t="shared" ca="1" si="137"/>
        <v>-40.50913472136201</v>
      </c>
      <c r="AK239" s="39">
        <f t="shared" ca="1" si="137"/>
        <v>-44.408049500100738</v>
      </c>
      <c r="AL239" s="39">
        <f ca="1">AL238</f>
        <v>-44.408049500100738</v>
      </c>
      <c r="AM239" s="39">
        <f ca="1">AM238</f>
        <v>-2.5908033555432217</v>
      </c>
      <c r="AN239" s="39">
        <f t="shared" ref="AN239:AX239" ca="1" si="138">AN238</f>
        <v>-6.7967920575949892</v>
      </c>
      <c r="AO239" s="39">
        <f t="shared" ca="1" si="138"/>
        <v>-1.807581861967833E-15</v>
      </c>
      <c r="AP239" s="39">
        <f t="shared" ca="1" si="138"/>
        <v>-1.807581861967833E-15</v>
      </c>
      <c r="AQ239" s="39">
        <f t="shared" ca="1" si="138"/>
        <v>-1.807581861967833E-15</v>
      </c>
      <c r="AR239" s="39">
        <f t="shared" ca="1" si="138"/>
        <v>-1.807581861967833E-15</v>
      </c>
      <c r="AS239" s="39">
        <f t="shared" ca="1" si="138"/>
        <v>-1.807581861967833E-15</v>
      </c>
      <c r="AT239" s="39">
        <f t="shared" ca="1" si="138"/>
        <v>-1.807581861967833E-15</v>
      </c>
      <c r="AU239" s="39">
        <f t="shared" ca="1" si="138"/>
        <v>-1.807581861967833E-15</v>
      </c>
      <c r="AV239" s="39">
        <f t="shared" ca="1" si="138"/>
        <v>-1.807581861967833E-15</v>
      </c>
      <c r="AW239" s="39">
        <f t="shared" ca="1" si="138"/>
        <v>-1.807581861967833E-15</v>
      </c>
      <c r="AX239" s="39">
        <f t="shared" ca="1" si="138"/>
        <v>-1.807581861967833E-15</v>
      </c>
      <c r="AY239" s="39">
        <f ca="1">AY238</f>
        <v>-1.807581861967833E-15</v>
      </c>
    </row>
    <row r="240" spans="1:51" ht="15.75" hidden="1" customHeight="1" outlineLevel="2">
      <c r="A240" s="1" t="s">
        <v>317</v>
      </c>
      <c r="C240" s="104"/>
      <c r="E240" s="9" t="str">
        <f ca="1">_xll.DBRW(Server&amp;"}ElementAttributes_Indicator",A240,"code_English")</f>
        <v>PL0000_IA - Internal audit</v>
      </c>
      <c r="F240" s="33">
        <f ca="1">_xll.DBRW($C$1,$C$2,$C$3,$C$4,$C$6,$C$5,$C$7,F$1,F$2,$A240)</f>
        <v>-0.87230193999999972</v>
      </c>
      <c r="G240" s="33">
        <f ca="1">_xll.DBRW($C$1,$C$2,$C$3,$C$4,$C$6,$C$5,$C$7,G$1,G$2,$A240)</f>
        <v>-0.85073798</v>
      </c>
      <c r="H240" s="33">
        <f ca="1">_xll.DBRW($C$1,$C$2,$C$3,$C$4,$C$6,$C$5,$C$7,H$1,H$2,$A240)</f>
        <v>-0.96629727659831688</v>
      </c>
      <c r="I240" s="33">
        <f ca="1">_xll.DBRW($C$1,$C$2,$C$3,$C$4,$C$6,$C$5,$C$7,I$1,I$2,$A240)</f>
        <v>-0.78111490512784898</v>
      </c>
      <c r="J240" s="33">
        <f ca="1">_xll.DBRW($C$1,$C$2,$C$3,$C$4,$C$6,$C$5,$C$7,J$1,J$2,$A240)</f>
        <v>-1.3708935427596012</v>
      </c>
      <c r="K240" s="33">
        <f ca="1">_xll.DBRW($C$1,$C$2,$C$3,$C$4,$C$6,$C$5,$C$7,K$1,K$2,$A240)</f>
        <v>-0.53108937000000001</v>
      </c>
      <c r="L240" s="33">
        <f ca="1">_xll.DBRW($C$1,$C$2,$C$3,$C$4,$C$6,$C$5,$C$7,L$1,L$2,$A240)</f>
        <v>-0.60088365134393862</v>
      </c>
      <c r="M240" s="33">
        <f ca="1">_xll.DBRW($C$1,$C$2,$C$3,$C$4,$C$6,$C$5,$C$7,M$1,M$2,$A240)</f>
        <v>-3.9885499999999996E-3</v>
      </c>
      <c r="N240" s="33">
        <f ca="1">_xll.DBRW($C$1,$C$2,$C$3,$C$4,$C$6,$C$5,$C$7,N$1,N$2,$A240)</f>
        <v>-7.8669159999999988E-2</v>
      </c>
      <c r="O240" s="33">
        <f ca="1">_xll.DBRW($C$1,$C$2,$C$3,$C$4,$C$6,$C$5,$C$7,O$1,O$2,$A240)</f>
        <v>-0.12806561</v>
      </c>
      <c r="P240" s="33">
        <f ca="1">_xll.DBRW($C$1,$C$2,$C$3,$C$4,$C$6,$C$5,$C$7,P$1,P$2,$A240)</f>
        <v>-0.15396135</v>
      </c>
      <c r="Q240" s="33">
        <f ca="1">_xll.DBRW($C$1,$C$2,$C$3,$C$4,$C$6,$C$5,$C$7,Q$1,Q$2,$A240)</f>
        <v>-0.19236704999999998</v>
      </c>
      <c r="R240" s="33">
        <f ca="1">_xll.DBRW($C$1,$C$2,$C$3,$C$4,$C$6,$C$5,$C$7,R$1,R$2,$A240)</f>
        <v>-0.226877975776381</v>
      </c>
      <c r="S240" s="33">
        <f ca="1">_xll.DBRW($C$1,$C$2,$C$3,$C$4,$C$6,$C$5,$C$7,S$1,S$2,$A240)</f>
        <v>-3.7566590074388416E-2</v>
      </c>
      <c r="T240" s="33">
        <f ca="1">_xll.DBRW($C$1,$C$2,$C$3,$C$4,$C$6,$C$5,$C$7,T$1,T$2,$A240)</f>
        <v>-0.30403047848967896</v>
      </c>
      <c r="U240" s="33">
        <f ca="1">_xll.DBRW($C$1,$C$2,$C$3,$C$4,$C$6,$C$5,$C$7,U$1,U$2,$A240)</f>
        <v>-0.34534614742013792</v>
      </c>
      <c r="V240" s="33">
        <f ca="1">_xll.DBRW($C$1,$C$2,$C$3,$C$4,$C$6,$C$5,$C$7,V$1,V$2,$A240)</f>
        <v>-3.9611040555633942E-2</v>
      </c>
      <c r="W240" s="33">
        <f ca="1">_xll.DBRW($C$1,$C$2,$C$3,$C$4,$C$6,$C$5,$C$7,W$1,W$2,$A240)</f>
        <v>-0.39678340167334647</v>
      </c>
      <c r="X240" s="33">
        <f ca="1">_xll.DBRW($C$1,$C$2,$C$3,$C$4,$C$6,$C$5,$C$7,X$1,X$2,$A240)</f>
        <v>-0.44340476980962679</v>
      </c>
      <c r="Y240" s="33">
        <f ca="1">_xll.DBRW($C$1,$C$2,$C$3,$C$4,$C$6,$C$5,$C$7,Y$1,Y$2,$A240)</f>
        <v>-0.44340476980962679</v>
      </c>
      <c r="Z240" s="33">
        <f ca="1">_xll.DBRW($C$1,$C$2,$C$3,$C$4,$C$6,$C$5,$C$7,Z$1,Z$2,$A240)</f>
        <v>-6.9988134152017906E-2</v>
      </c>
      <c r="AA240" s="33">
        <f ca="1">_xll.DBRW($C$1,$C$2,$C$3,$C$4,$C$6,$C$5,$C$7,AA$1,AA$2,$A240)</f>
        <v>-0.13986863672517841</v>
      </c>
      <c r="AB240" s="33">
        <f ca="1">_xll.DBRW($C$1,$C$2,$C$3,$C$4,$C$6,$C$5,$C$7,AB$1,AB$2,$A240)</f>
        <v>-0.20989542456143681</v>
      </c>
      <c r="AC240" s="33">
        <f ca="1">_xll.DBRW($C$1,$C$2,$C$3,$C$4,$C$6,$C$5,$C$7,AC$1,AC$2,$A240)</f>
        <v>-0.27612236644560523</v>
      </c>
      <c r="AD240" s="33">
        <f ca="1">_xll.DBRW($C$1,$C$2,$C$3,$C$4,$C$6,$C$5,$C$7,AD$1,AD$2,$A240)</f>
        <v>-0.34616847140899998</v>
      </c>
      <c r="AE240" s="33">
        <f ca="1">_xll.DBRW($C$1,$C$2,$C$3,$C$4,$C$6,$C$5,$C$7,AE$1,AE$2,$A240)</f>
        <v>-0.41615078222775781</v>
      </c>
      <c r="AF240" s="33">
        <f ca="1">_xll.DBRW($C$1,$C$2,$C$3,$C$4,$C$6,$C$5,$C$7,AF$1,AF$2,$A240)</f>
        <v>-0.48577877725694218</v>
      </c>
      <c r="AG240" s="33">
        <f ca="1">_xll.DBRW($C$1,$C$2,$C$3,$C$4,$C$6,$C$5,$C$7,AG$1,AG$2,$A240)</f>
        <v>-0.55749300722747419</v>
      </c>
      <c r="AH240" s="33">
        <f ca="1">_xll.DBRW($C$1,$C$2,$C$3,$C$4,$C$6,$C$5,$C$7,AH$1,AH$2,$A240)</f>
        <v>-0.62932717962517948</v>
      </c>
      <c r="AI240" s="33">
        <f ca="1">_xll.DBRW($C$1,$C$2,$C$3,$C$4,$C$6,$C$5,$C$7,AI$1,AI$2,$A240)</f>
        <v>-0.70140858000442285</v>
      </c>
      <c r="AJ240" s="33">
        <f ca="1">_xll.DBRW($C$1,$C$2,$C$3,$C$4,$C$6,$C$5,$C$7,AJ$1,AJ$2,$A240)</f>
        <v>-0.77326065713897019</v>
      </c>
      <c r="AK240" s="33">
        <f ca="1">_xll.DBRW($C$1,$C$2,$C$3,$C$4,$C$6,$C$5,$C$7,AK$1,AK$2,$A240)</f>
        <v>-0.84496535585236499</v>
      </c>
      <c r="AL240" s="33">
        <f ca="1">_xll.DBRW($C$1,$C$2,$C$3,$C$4,$C$6,$C$5,$C$7,AL$1,AL$2,$A240)</f>
        <v>-0.84496535585236499</v>
      </c>
      <c r="AM240" s="33">
        <f ca="1">_xll.DBRW($C$1,$C$2,$C$3,$C$4,$C$6,$C$5,$C$7,AM$1,AM$2,$A240)</f>
        <v>-2.036034712677528E-3</v>
      </c>
      <c r="AN240" s="33">
        <f ca="1">_xll.DBRW($C$1,$C$2,$C$3,$C$4,$C$6,$C$5,$C$7,AN$1,AN$2,$A240)</f>
        <v>-3.5252643221121406E-2</v>
      </c>
      <c r="AO240" s="33">
        <f ca="1">_xll.DBRW($C$1,$C$2,$C$3,$C$4,$C$6,$C$5,$C$7,AO$1,AO$2,$A240)</f>
        <v>-6.2883726004159257E-18</v>
      </c>
      <c r="AP240" s="33">
        <f ca="1">_xll.DBRW($C$1,$C$2,$C$3,$C$4,$C$6,$C$5,$C$7,AP$1,AP$2,$A240)</f>
        <v>-6.2883726004159257E-18</v>
      </c>
      <c r="AQ240" s="33">
        <f ca="1">_xll.DBRW($C$1,$C$2,$C$3,$C$4,$C$6,$C$5,$C$7,AQ$1,AQ$2,$A240)</f>
        <v>-6.2883726004159257E-18</v>
      </c>
      <c r="AR240" s="33">
        <f ca="1">_xll.DBRW($C$1,$C$2,$C$3,$C$4,$C$6,$C$5,$C$7,AR$1,AR$2,$A240)</f>
        <v>-6.2883726004159257E-18</v>
      </c>
      <c r="AS240" s="33">
        <f ca="1">_xll.DBRW($C$1,$C$2,$C$3,$C$4,$C$6,$C$5,$C$7,AS$1,AS$2,$A240)</f>
        <v>-6.2883726004159257E-18</v>
      </c>
      <c r="AT240" s="33">
        <f ca="1">_xll.DBRW($C$1,$C$2,$C$3,$C$4,$C$6,$C$5,$C$7,AT$1,AT$2,$A240)</f>
        <v>-6.2883726004159257E-18</v>
      </c>
      <c r="AU240" s="33">
        <f ca="1">_xll.DBRW($C$1,$C$2,$C$3,$C$4,$C$6,$C$5,$C$7,AU$1,AU$2,$A240)</f>
        <v>-6.2883726004159257E-18</v>
      </c>
      <c r="AV240" s="33">
        <f ca="1">_xll.DBRW($C$1,$C$2,$C$3,$C$4,$C$6,$C$5,$C$7,AV$1,AV$2,$A240)</f>
        <v>-6.2883726004159257E-18</v>
      </c>
      <c r="AW240" s="33">
        <f ca="1">_xll.DBRW($C$1,$C$2,$C$3,$C$4,$C$6,$C$5,$C$7,AW$1,AW$2,$A240)</f>
        <v>-6.2883726004159257E-18</v>
      </c>
      <c r="AX240" s="33">
        <f ca="1">_xll.DBRW($C$1,$C$2,$C$3,$C$4,$C$6,$C$5,$C$7,AX$1,AX$2,$A240)</f>
        <v>-6.2883726004159257E-18</v>
      </c>
      <c r="AY240" s="33">
        <f ca="1">_xll.DBRW($C$1,$C$2,$C$3,$C$4,$C$6,$C$5,$C$7,AY$1,AY$2,$A240)</f>
        <v>-6.2883726004159257E-18</v>
      </c>
    </row>
    <row r="241" spans="1:51" ht="15.5" hidden="1" outlineLevel="1" collapsed="1">
      <c r="C241" s="104"/>
      <c r="E241" s="84" t="s">
        <v>52</v>
      </c>
      <c r="F241" s="39">
        <f t="shared" ref="F241:M241" ca="1" si="139">F240</f>
        <v>-0.87230193999999972</v>
      </c>
      <c r="G241" s="39">
        <f t="shared" ca="1" si="139"/>
        <v>-0.85073798</v>
      </c>
      <c r="H241" s="39">
        <f t="shared" ca="1" si="139"/>
        <v>-0.96629727659831688</v>
      </c>
      <c r="I241" s="39">
        <f t="shared" ca="1" si="139"/>
        <v>-0.78111490512784898</v>
      </c>
      <c r="J241" s="39">
        <f t="shared" ca="1" si="139"/>
        <v>-1.3708935427596012</v>
      </c>
      <c r="K241" s="39">
        <f t="shared" ca="1" si="139"/>
        <v>-0.53108937000000001</v>
      </c>
      <c r="L241" s="39">
        <f t="shared" ca="1" si="139"/>
        <v>-0.60088365134393862</v>
      </c>
      <c r="M241" s="39">
        <f t="shared" ca="1" si="139"/>
        <v>-3.9885499999999996E-3</v>
      </c>
      <c r="N241" s="39">
        <f t="shared" ref="N241:X241" ca="1" si="140">N240</f>
        <v>-7.8669159999999988E-2</v>
      </c>
      <c r="O241" s="39">
        <f t="shared" ca="1" si="140"/>
        <v>-0.12806561</v>
      </c>
      <c r="P241" s="39">
        <f t="shared" ca="1" si="140"/>
        <v>-0.15396135</v>
      </c>
      <c r="Q241" s="39">
        <f t="shared" ca="1" si="140"/>
        <v>-0.19236704999999998</v>
      </c>
      <c r="R241" s="39">
        <f t="shared" ca="1" si="140"/>
        <v>-0.226877975776381</v>
      </c>
      <c r="S241" s="39">
        <f t="shared" ca="1" si="140"/>
        <v>-3.7566590074388416E-2</v>
      </c>
      <c r="T241" s="39">
        <f t="shared" ca="1" si="140"/>
        <v>-0.30403047848967896</v>
      </c>
      <c r="U241" s="39">
        <f t="shared" ca="1" si="140"/>
        <v>-0.34534614742013792</v>
      </c>
      <c r="V241" s="39">
        <f t="shared" ca="1" si="140"/>
        <v>-3.9611040555633942E-2</v>
      </c>
      <c r="W241" s="39">
        <f t="shared" ca="1" si="140"/>
        <v>-0.39678340167334647</v>
      </c>
      <c r="X241" s="39">
        <f t="shared" ca="1" si="140"/>
        <v>-0.44340476980962679</v>
      </c>
      <c r="Y241" s="39">
        <f ca="1">Y240</f>
        <v>-0.44340476980962679</v>
      </c>
      <c r="Z241" s="39">
        <f ca="1">Z240</f>
        <v>-6.9988134152017906E-2</v>
      </c>
      <c r="AA241" s="39">
        <f t="shared" ref="AA241:AK241" ca="1" si="141">AA240</f>
        <v>-0.13986863672517841</v>
      </c>
      <c r="AB241" s="39">
        <f t="shared" ca="1" si="141"/>
        <v>-0.20989542456143681</v>
      </c>
      <c r="AC241" s="39">
        <f t="shared" ca="1" si="141"/>
        <v>-0.27612236644560523</v>
      </c>
      <c r="AD241" s="39">
        <f t="shared" ca="1" si="141"/>
        <v>-0.34616847140899998</v>
      </c>
      <c r="AE241" s="39">
        <f t="shared" ca="1" si="141"/>
        <v>-0.41615078222775781</v>
      </c>
      <c r="AF241" s="39">
        <f t="shared" ca="1" si="141"/>
        <v>-0.48577877725694218</v>
      </c>
      <c r="AG241" s="39">
        <f t="shared" ca="1" si="141"/>
        <v>-0.55749300722747419</v>
      </c>
      <c r="AH241" s="39">
        <f t="shared" ca="1" si="141"/>
        <v>-0.62932717962517948</v>
      </c>
      <c r="AI241" s="39">
        <f t="shared" ca="1" si="141"/>
        <v>-0.70140858000442285</v>
      </c>
      <c r="AJ241" s="39">
        <f t="shared" ca="1" si="141"/>
        <v>-0.77326065713897019</v>
      </c>
      <c r="AK241" s="39">
        <f t="shared" ca="1" si="141"/>
        <v>-0.84496535585236499</v>
      </c>
      <c r="AL241" s="39">
        <f ca="1">AL240</f>
        <v>-0.84496535585236499</v>
      </c>
      <c r="AM241" s="39">
        <f ca="1">AM240</f>
        <v>-2.036034712677528E-3</v>
      </c>
      <c r="AN241" s="39">
        <f t="shared" ref="AN241:AX241" ca="1" si="142">AN240</f>
        <v>-3.5252643221121406E-2</v>
      </c>
      <c r="AO241" s="39">
        <f t="shared" ca="1" si="142"/>
        <v>-6.2883726004159257E-18</v>
      </c>
      <c r="AP241" s="39">
        <f t="shared" ca="1" si="142"/>
        <v>-6.2883726004159257E-18</v>
      </c>
      <c r="AQ241" s="39">
        <f t="shared" ca="1" si="142"/>
        <v>-6.2883726004159257E-18</v>
      </c>
      <c r="AR241" s="39">
        <f t="shared" ca="1" si="142"/>
        <v>-6.2883726004159257E-18</v>
      </c>
      <c r="AS241" s="39">
        <f t="shared" ca="1" si="142"/>
        <v>-6.2883726004159257E-18</v>
      </c>
      <c r="AT241" s="39">
        <f t="shared" ca="1" si="142"/>
        <v>-6.2883726004159257E-18</v>
      </c>
      <c r="AU241" s="39">
        <f t="shared" ca="1" si="142"/>
        <v>-6.2883726004159257E-18</v>
      </c>
      <c r="AV241" s="39">
        <f t="shared" ca="1" si="142"/>
        <v>-6.2883726004159257E-18</v>
      </c>
      <c r="AW241" s="39">
        <f t="shared" ca="1" si="142"/>
        <v>-6.2883726004159257E-18</v>
      </c>
      <c r="AX241" s="39">
        <f t="shared" ca="1" si="142"/>
        <v>-6.2883726004159257E-18</v>
      </c>
      <c r="AY241" s="39">
        <f ca="1">AY240</f>
        <v>-6.2883726004159257E-18</v>
      </c>
    </row>
    <row r="242" spans="1:51" ht="15.75" hidden="1" customHeight="1" outlineLevel="2">
      <c r="A242" s="1" t="s">
        <v>318</v>
      </c>
      <c r="C242" s="104"/>
      <c r="E242" s="9" t="str">
        <f ca="1">_xll.DBRW(Server&amp;"}ElementAttributes_Indicator",A242,"code_English")</f>
        <v>PL0000_IT - IT</v>
      </c>
      <c r="F242" s="33">
        <f ca="1">_xll.DBRW($C$1,$C$2,$C$3,$C$4,$C$6,$C$5,$C$7,F$1,F$2,$A242)</f>
        <v>-55.276216284361972</v>
      </c>
      <c r="G242" s="33">
        <f ca="1">_xll.DBRW($C$1,$C$2,$C$3,$C$4,$C$6,$C$5,$C$7,G$1,G$2,$A242)</f>
        <v>-58.498244570826031</v>
      </c>
      <c r="H242" s="33">
        <f ca="1">_xll.DBRW($C$1,$C$2,$C$3,$C$4,$C$6,$C$5,$C$7,H$1,H$2,$A242)</f>
        <v>-67.397485216380161</v>
      </c>
      <c r="I242" s="33">
        <f ca="1">_xll.DBRW($C$1,$C$2,$C$3,$C$4,$C$6,$C$5,$C$7,I$1,I$2,$A242)</f>
        <v>-46.700536603366771</v>
      </c>
      <c r="J242" s="33">
        <f ca="1">_xll.DBRW($C$1,$C$2,$C$3,$C$4,$C$6,$C$5,$C$7,J$1,J$2,$A242)</f>
        <v>-50.03857526458706</v>
      </c>
      <c r="K242" s="33">
        <f ca="1">_xll.DBRW($C$1,$C$2,$C$3,$C$4,$C$6,$C$5,$C$7,K$1,K$2,$A242)</f>
        <v>-50.054496801934512</v>
      </c>
      <c r="L242" s="33">
        <f ca="1">_xll.DBRW($C$1,$C$2,$C$3,$C$4,$C$6,$C$5,$C$7,L$1,L$2,$A242)</f>
        <v>-54.63355817200685</v>
      </c>
      <c r="M242" s="33">
        <f ca="1">_xll.DBRW($C$1,$C$2,$C$3,$C$4,$C$6,$C$5,$C$7,M$1,M$2,$A242)</f>
        <v>-3.6737184816861896</v>
      </c>
      <c r="N242" s="33">
        <f ca="1">_xll.DBRW($C$1,$C$2,$C$3,$C$4,$C$6,$C$5,$C$7,N$1,N$2,$A242)</f>
        <v>-11.593066828094541</v>
      </c>
      <c r="O242" s="33">
        <f ca="1">_xll.DBRW($C$1,$C$2,$C$3,$C$4,$C$6,$C$5,$C$7,O$1,O$2,$A242)</f>
        <v>-16.972017963524195</v>
      </c>
      <c r="P242" s="33">
        <f ca="1">_xll.DBRW($C$1,$C$2,$C$3,$C$4,$C$6,$C$5,$C$7,P$1,P$2,$A242)</f>
        <v>-23.8764771592469</v>
      </c>
      <c r="Q242" s="33">
        <f ca="1">_xll.DBRW($C$1,$C$2,$C$3,$C$4,$C$6,$C$5,$C$7,Q$1,Q$2,$A242)</f>
        <v>-29.415743029428988</v>
      </c>
      <c r="R242" s="33">
        <f ca="1">_xll.DBRW($C$1,$C$2,$C$3,$C$4,$C$6,$C$5,$C$7,R$1,R$2,$A242)</f>
        <v>-37.188121682741098</v>
      </c>
      <c r="S242" s="33">
        <f ca="1">_xll.DBRW($C$1,$C$2,$C$3,$C$4,$C$6,$C$5,$C$7,S$1,S$2,$A242)</f>
        <v>-23.919641189150468</v>
      </c>
      <c r="T242" s="33">
        <f ca="1">_xll.DBRW($C$1,$C$2,$C$3,$C$4,$C$6,$C$5,$C$7,T$1,T$2,$A242)</f>
        <v>-43.697600615292558</v>
      </c>
      <c r="U242" s="33">
        <f ca="1">_xll.DBRW($C$1,$C$2,$C$3,$C$4,$C$6,$C$5,$C$7,U$1,U$2,$A242)</f>
        <v>-46.021760242196436</v>
      </c>
      <c r="V242" s="33">
        <f ca="1">_xll.DBRW($C$1,$C$2,$C$3,$C$4,$C$6,$C$5,$C$7,V$1,V$2,$A242)</f>
        <v>-23.609786500556684</v>
      </c>
      <c r="W242" s="33">
        <f ca="1">_xll.DBRW($C$1,$C$2,$C$3,$C$4,$C$6,$C$5,$C$7,W$1,W$2,$A242)</f>
        <v>-45.173352736795721</v>
      </c>
      <c r="X242" s="33">
        <f ca="1">_xll.DBRW($C$1,$C$2,$C$3,$C$4,$C$6,$C$5,$C$7,X$1,X$2,$A242)</f>
        <v>-50.839543940588641</v>
      </c>
      <c r="Y242" s="33">
        <f ca="1">_xll.DBRW($C$1,$C$2,$C$3,$C$4,$C$6,$C$5,$C$7,Y$1,Y$2,$A242)</f>
        <v>-50.839543940588641</v>
      </c>
      <c r="Z242" s="33">
        <f ca="1">_xll.DBRW($C$1,$C$2,$C$3,$C$4,$C$6,$C$5,$C$7,Z$1,Z$2,$A242)</f>
        <v>-5.0173992856897884</v>
      </c>
      <c r="AA242" s="33">
        <f ca="1">_xll.DBRW($C$1,$C$2,$C$3,$C$4,$C$6,$C$5,$C$7,AA$1,AA$2,$A242)</f>
        <v>-9.8038156933062215</v>
      </c>
      <c r="AB242" s="33">
        <f ca="1">_xll.DBRW($C$1,$C$2,$C$3,$C$4,$C$6,$C$5,$C$7,AB$1,AB$2,$A242)</f>
        <v>-14.771383157656956</v>
      </c>
      <c r="AC242" s="33">
        <f ca="1">_xll.DBRW($C$1,$C$2,$C$3,$C$4,$C$6,$C$5,$C$7,AC$1,AC$2,$A242)</f>
        <v>-19.578939883541612</v>
      </c>
      <c r="AD242" s="33">
        <f ca="1">_xll.DBRW($C$1,$C$2,$C$3,$C$4,$C$6,$C$5,$C$7,AD$1,AD$2,$A242)</f>
        <v>-24.466193117869359</v>
      </c>
      <c r="AE242" s="33">
        <f ca="1">_xll.DBRW($C$1,$C$2,$C$3,$C$4,$C$6,$C$5,$C$7,AE$1,AE$2,$A242)</f>
        <v>-29.666460301224774</v>
      </c>
      <c r="AF242" s="33">
        <f ca="1">_xll.DBRW($C$1,$C$2,$C$3,$C$4,$C$6,$C$5,$C$7,AF$1,AF$2,$A242)</f>
        <v>-34.524520648246352</v>
      </c>
      <c r="AG242" s="33">
        <f ca="1">_xll.DBRW($C$1,$C$2,$C$3,$C$4,$C$6,$C$5,$C$7,AG$1,AG$2,$A242)</f>
        <v>-39.353496670823901</v>
      </c>
      <c r="AH242" s="33">
        <f ca="1">_xll.DBRW($C$1,$C$2,$C$3,$C$4,$C$6,$C$5,$C$7,AH$1,AH$2,$A242)</f>
        <v>-44.152829732919663</v>
      </c>
      <c r="AI242" s="33">
        <f ca="1">_xll.DBRW($C$1,$C$2,$C$3,$C$4,$C$6,$C$5,$C$7,AI$1,AI$2,$A242)</f>
        <v>-49.040810244524117</v>
      </c>
      <c r="AJ242" s="33">
        <f ca="1">_xll.DBRW($C$1,$C$2,$C$3,$C$4,$C$6,$C$5,$C$7,AJ$1,AJ$2,$A242)</f>
        <v>-53.908388832252129</v>
      </c>
      <c r="AK242" s="33">
        <f ca="1">_xll.DBRW($C$1,$C$2,$C$3,$C$4,$C$6,$C$5,$C$7,AK$1,AK$2,$A242)</f>
        <v>-58.290089503395265</v>
      </c>
      <c r="AL242" s="33">
        <f ca="1">_xll.DBRW($C$1,$C$2,$C$3,$C$4,$C$6,$C$5,$C$7,AL$1,AL$2,$A242)</f>
        <v>-58.290089503395265</v>
      </c>
      <c r="AM242" s="33">
        <f ca="1">_xll.DBRW($C$1,$C$2,$C$3,$C$4,$C$6,$C$5,$C$7,AM$1,AM$2,$A242)</f>
        <v>-3.9845696362525413</v>
      </c>
      <c r="AN242" s="33">
        <f ca="1">_xll.DBRW($C$1,$C$2,$C$3,$C$4,$C$6,$C$5,$C$7,AN$1,AN$2,$A242)</f>
        <v>-10.700940686266103</v>
      </c>
      <c r="AO242" s="33">
        <f ca="1">_xll.DBRW($C$1,$C$2,$C$3,$C$4,$C$6,$C$5,$C$7,AO$1,AO$2,$A242)</f>
        <v>1.8318679906315083E-15</v>
      </c>
      <c r="AP242" s="33">
        <f ca="1">_xll.DBRW($C$1,$C$2,$C$3,$C$4,$C$6,$C$5,$C$7,AP$1,AP$2,$A242)</f>
        <v>1.8318679906315083E-15</v>
      </c>
      <c r="AQ242" s="33">
        <f ca="1">_xll.DBRW($C$1,$C$2,$C$3,$C$4,$C$6,$C$5,$C$7,AQ$1,AQ$2,$A242)</f>
        <v>1.8318679906315083E-15</v>
      </c>
      <c r="AR242" s="33">
        <f ca="1">_xll.DBRW($C$1,$C$2,$C$3,$C$4,$C$6,$C$5,$C$7,AR$1,AR$2,$A242)</f>
        <v>1.8318679906315083E-15</v>
      </c>
      <c r="AS242" s="33">
        <f ca="1">_xll.DBRW($C$1,$C$2,$C$3,$C$4,$C$6,$C$5,$C$7,AS$1,AS$2,$A242)</f>
        <v>1.8318679906315083E-15</v>
      </c>
      <c r="AT242" s="33">
        <f ca="1">_xll.DBRW($C$1,$C$2,$C$3,$C$4,$C$6,$C$5,$C$7,AT$1,AT$2,$A242)</f>
        <v>1.8318679906315083E-15</v>
      </c>
      <c r="AU242" s="33">
        <f ca="1">_xll.DBRW($C$1,$C$2,$C$3,$C$4,$C$6,$C$5,$C$7,AU$1,AU$2,$A242)</f>
        <v>1.8318679906315083E-15</v>
      </c>
      <c r="AV242" s="33">
        <f ca="1">_xll.DBRW($C$1,$C$2,$C$3,$C$4,$C$6,$C$5,$C$7,AV$1,AV$2,$A242)</f>
        <v>1.8318679906315083E-15</v>
      </c>
      <c r="AW242" s="33">
        <f ca="1">_xll.DBRW($C$1,$C$2,$C$3,$C$4,$C$6,$C$5,$C$7,AW$1,AW$2,$A242)</f>
        <v>1.8318679906315083E-15</v>
      </c>
      <c r="AX242" s="33">
        <f ca="1">_xll.DBRW($C$1,$C$2,$C$3,$C$4,$C$6,$C$5,$C$7,AX$1,AX$2,$A242)</f>
        <v>1.8318679906315083E-15</v>
      </c>
      <c r="AY242" s="33">
        <f ca="1">_xll.DBRW($C$1,$C$2,$C$3,$C$4,$C$6,$C$5,$C$7,AY$1,AY$2,$A242)</f>
        <v>1.8318679906315083E-15</v>
      </c>
    </row>
    <row r="243" spans="1:51" ht="15.5" hidden="1" outlineLevel="1" collapsed="1">
      <c r="C243" s="104"/>
      <c r="E243" s="84" t="s">
        <v>53</v>
      </c>
      <c r="F243" s="39">
        <f t="shared" ref="F243:M243" ca="1" si="143">F242</f>
        <v>-55.276216284361972</v>
      </c>
      <c r="G243" s="39">
        <f t="shared" ca="1" si="143"/>
        <v>-58.498244570826031</v>
      </c>
      <c r="H243" s="39">
        <f t="shared" ca="1" si="143"/>
        <v>-67.397485216380161</v>
      </c>
      <c r="I243" s="39">
        <f t="shared" ca="1" si="143"/>
        <v>-46.700536603366771</v>
      </c>
      <c r="J243" s="39">
        <f t="shared" ca="1" si="143"/>
        <v>-50.03857526458706</v>
      </c>
      <c r="K243" s="39">
        <f t="shared" ca="1" si="143"/>
        <v>-50.054496801934512</v>
      </c>
      <c r="L243" s="39">
        <f t="shared" ca="1" si="143"/>
        <v>-54.63355817200685</v>
      </c>
      <c r="M243" s="39">
        <f t="shared" ca="1" si="143"/>
        <v>-3.6737184816861896</v>
      </c>
      <c r="N243" s="39">
        <f t="shared" ref="N243:X243" ca="1" si="144">N242</f>
        <v>-11.593066828094541</v>
      </c>
      <c r="O243" s="39">
        <f t="shared" ca="1" si="144"/>
        <v>-16.972017963524195</v>
      </c>
      <c r="P243" s="39">
        <f t="shared" ca="1" si="144"/>
        <v>-23.8764771592469</v>
      </c>
      <c r="Q243" s="39">
        <f t="shared" ca="1" si="144"/>
        <v>-29.415743029428988</v>
      </c>
      <c r="R243" s="39">
        <f t="shared" ca="1" si="144"/>
        <v>-37.188121682741098</v>
      </c>
      <c r="S243" s="39">
        <f t="shared" ca="1" si="144"/>
        <v>-23.919641189150468</v>
      </c>
      <c r="T243" s="39">
        <f t="shared" ca="1" si="144"/>
        <v>-43.697600615292558</v>
      </c>
      <c r="U243" s="39">
        <f t="shared" ca="1" si="144"/>
        <v>-46.021760242196436</v>
      </c>
      <c r="V243" s="39">
        <f t="shared" ca="1" si="144"/>
        <v>-23.609786500556684</v>
      </c>
      <c r="W243" s="39">
        <f t="shared" ca="1" si="144"/>
        <v>-45.173352736795721</v>
      </c>
      <c r="X243" s="39">
        <f t="shared" ca="1" si="144"/>
        <v>-50.839543940588641</v>
      </c>
      <c r="Y243" s="39">
        <f ca="1">Y242</f>
        <v>-50.839543940588641</v>
      </c>
      <c r="Z243" s="39">
        <f ca="1">Z242</f>
        <v>-5.0173992856897884</v>
      </c>
      <c r="AA243" s="39">
        <f t="shared" ref="AA243:AK243" ca="1" si="145">AA242</f>
        <v>-9.8038156933062215</v>
      </c>
      <c r="AB243" s="39">
        <f t="shared" ca="1" si="145"/>
        <v>-14.771383157656956</v>
      </c>
      <c r="AC243" s="39">
        <f t="shared" ca="1" si="145"/>
        <v>-19.578939883541612</v>
      </c>
      <c r="AD243" s="39">
        <f t="shared" ca="1" si="145"/>
        <v>-24.466193117869359</v>
      </c>
      <c r="AE243" s="39">
        <f t="shared" ca="1" si="145"/>
        <v>-29.666460301224774</v>
      </c>
      <c r="AF243" s="39">
        <f t="shared" ca="1" si="145"/>
        <v>-34.524520648246352</v>
      </c>
      <c r="AG243" s="39">
        <f t="shared" ca="1" si="145"/>
        <v>-39.353496670823901</v>
      </c>
      <c r="AH243" s="39">
        <f t="shared" ca="1" si="145"/>
        <v>-44.152829732919663</v>
      </c>
      <c r="AI243" s="39">
        <f t="shared" ca="1" si="145"/>
        <v>-49.040810244524117</v>
      </c>
      <c r="AJ243" s="39">
        <f t="shared" ca="1" si="145"/>
        <v>-53.908388832252129</v>
      </c>
      <c r="AK243" s="39">
        <f t="shared" ca="1" si="145"/>
        <v>-58.290089503395265</v>
      </c>
      <c r="AL243" s="39">
        <f ca="1">AL242</f>
        <v>-58.290089503395265</v>
      </c>
      <c r="AM243" s="39">
        <f ca="1">AM242</f>
        <v>-3.9845696362525413</v>
      </c>
      <c r="AN243" s="39">
        <f t="shared" ref="AN243:AX243" ca="1" si="146">AN242</f>
        <v>-10.700940686266103</v>
      </c>
      <c r="AO243" s="39">
        <f t="shared" ca="1" si="146"/>
        <v>1.8318679906315083E-15</v>
      </c>
      <c r="AP243" s="39">
        <f t="shared" ca="1" si="146"/>
        <v>1.8318679906315083E-15</v>
      </c>
      <c r="AQ243" s="39">
        <f t="shared" ca="1" si="146"/>
        <v>1.8318679906315083E-15</v>
      </c>
      <c r="AR243" s="39">
        <f t="shared" ca="1" si="146"/>
        <v>1.8318679906315083E-15</v>
      </c>
      <c r="AS243" s="39">
        <f t="shared" ca="1" si="146"/>
        <v>1.8318679906315083E-15</v>
      </c>
      <c r="AT243" s="39">
        <f t="shared" ca="1" si="146"/>
        <v>1.8318679906315083E-15</v>
      </c>
      <c r="AU243" s="39">
        <f t="shared" ca="1" si="146"/>
        <v>1.8318679906315083E-15</v>
      </c>
      <c r="AV243" s="39">
        <f t="shared" ca="1" si="146"/>
        <v>1.8318679906315083E-15</v>
      </c>
      <c r="AW243" s="39">
        <f t="shared" ca="1" si="146"/>
        <v>1.8318679906315083E-15</v>
      </c>
      <c r="AX243" s="39">
        <f t="shared" ca="1" si="146"/>
        <v>1.8318679906315083E-15</v>
      </c>
      <c r="AY243" s="39">
        <f ca="1">AY242</f>
        <v>1.8318679906315083E-15</v>
      </c>
    </row>
    <row r="244" spans="1:51" ht="15.75" hidden="1" customHeight="1" outlineLevel="2">
      <c r="A244" s="1" t="s">
        <v>319</v>
      </c>
      <c r="C244" s="104"/>
      <c r="E244" s="9" t="str">
        <f ca="1">_xll.DBRW(Server&amp;"}ElementAttributes_Indicator",A244,"code_English")</f>
        <v>PL0000_LE - Legal</v>
      </c>
      <c r="F244" s="33">
        <f ca="1">_xll.DBRW($C$1,$C$2,$C$3,$C$4,$C$6,$C$5,$C$7,F$1,F$2,$A244)</f>
        <v>-13.818310047071522</v>
      </c>
      <c r="G244" s="33">
        <f ca="1">_xll.DBRW($C$1,$C$2,$C$3,$C$4,$C$6,$C$5,$C$7,G$1,G$2,$A244)</f>
        <v>-16.743288240356179</v>
      </c>
      <c r="H244" s="33">
        <f ca="1">_xll.DBRW($C$1,$C$2,$C$3,$C$4,$C$6,$C$5,$C$7,H$1,H$2,$A244)</f>
        <v>-13.697154917903063</v>
      </c>
      <c r="I244" s="33">
        <f ca="1">_xll.DBRW($C$1,$C$2,$C$3,$C$4,$C$6,$C$5,$C$7,I$1,I$2,$A244)</f>
        <v>-29.411493071261432</v>
      </c>
      <c r="J244" s="33">
        <f ca="1">_xll.DBRW($C$1,$C$2,$C$3,$C$4,$C$6,$C$5,$C$7,J$1,J$2,$A244)</f>
        <v>-19.362441423182766</v>
      </c>
      <c r="K244" s="33">
        <f ca="1">_xll.DBRW($C$1,$C$2,$C$3,$C$4,$C$6,$C$5,$C$7,K$1,K$2,$A244)</f>
        <v>-14.054829421074135</v>
      </c>
      <c r="L244" s="33">
        <f ca="1">_xll.DBRW($C$1,$C$2,$C$3,$C$4,$C$6,$C$5,$C$7,L$1,L$2,$A244)</f>
        <v>-10.130265955499668</v>
      </c>
      <c r="M244" s="33">
        <f ca="1">_xll.DBRW($C$1,$C$2,$C$3,$C$4,$C$6,$C$5,$C$7,M$1,M$2,$A244)</f>
        <v>-0.36596539903842951</v>
      </c>
      <c r="N244" s="33">
        <f ca="1">_xll.DBRW($C$1,$C$2,$C$3,$C$4,$C$6,$C$5,$C$7,N$1,N$2,$A244)</f>
        <v>-2.0327848010382463</v>
      </c>
      <c r="O244" s="33">
        <f ca="1">_xll.DBRW($C$1,$C$2,$C$3,$C$4,$C$6,$C$5,$C$7,O$1,O$2,$A244)</f>
        <v>-3.0946670836109429</v>
      </c>
      <c r="P244" s="33">
        <f ca="1">_xll.DBRW($C$1,$C$2,$C$3,$C$4,$C$6,$C$5,$C$7,P$1,P$2,$A244)</f>
        <v>-4.9120487467179643</v>
      </c>
      <c r="Q244" s="33">
        <f ca="1">_xll.DBRW($C$1,$C$2,$C$3,$C$4,$C$6,$C$5,$C$7,Q$1,Q$2,$A244)</f>
        <v>-5.3157894372999142</v>
      </c>
      <c r="R244" s="33">
        <f ca="1">_xll.DBRW($C$1,$C$2,$C$3,$C$4,$C$6,$C$5,$C$7,R$1,R$2,$A244)</f>
        <v>-9.1321723271366473</v>
      </c>
      <c r="S244" s="33">
        <f ca="1">_xll.DBRW($C$1,$C$2,$C$3,$C$4,$C$6,$C$5,$C$7,S$1,S$2,$A244)</f>
        <v>-1.9932510805907273</v>
      </c>
      <c r="T244" s="33">
        <f ca="1">_xll.DBRW($C$1,$C$2,$C$3,$C$4,$C$6,$C$5,$C$7,T$1,T$2,$A244)</f>
        <v>-11.080917719300727</v>
      </c>
      <c r="U244" s="33">
        <f ca="1">_xll.DBRW($C$1,$C$2,$C$3,$C$4,$C$6,$C$5,$C$7,U$1,U$2,$A244)</f>
        <v>-12.528597407779024</v>
      </c>
      <c r="V244" s="33">
        <f ca="1">_xll.DBRW($C$1,$C$2,$C$3,$C$4,$C$6,$C$5,$C$7,V$1,V$2,$A244)</f>
        <v>-3.0071966782404775</v>
      </c>
      <c r="W244" s="33">
        <f ca="1">_xll.DBRW($C$1,$C$2,$C$3,$C$4,$C$6,$C$5,$C$7,W$1,W$2,$A244)</f>
        <v>-15.855770727193967</v>
      </c>
      <c r="X244" s="33">
        <f ca="1">_xll.DBRW($C$1,$C$2,$C$3,$C$4,$C$6,$C$5,$C$7,X$1,X$2,$A244)</f>
        <v>-18.755263577902319</v>
      </c>
      <c r="Y244" s="33">
        <f ca="1">_xll.DBRW($C$1,$C$2,$C$3,$C$4,$C$6,$C$5,$C$7,Y$1,Y$2,$A244)</f>
        <v>-18.755263577902319</v>
      </c>
      <c r="Z244" s="33">
        <f ca="1">_xll.DBRW($C$1,$C$2,$C$3,$C$4,$C$6,$C$5,$C$7,Z$1,Z$2,$A244)</f>
        <v>-1.0743621491493942</v>
      </c>
      <c r="AA244" s="33">
        <f ca="1">_xll.DBRW($C$1,$C$2,$C$3,$C$4,$C$6,$C$5,$C$7,AA$1,AA$2,$A244)</f>
        <v>-2.1937947191900293</v>
      </c>
      <c r="AB244" s="33">
        <f ca="1">_xll.DBRW($C$1,$C$2,$C$3,$C$4,$C$6,$C$5,$C$7,AB$1,AB$2,$A244)</f>
        <v>-3.3677900558267186</v>
      </c>
      <c r="AC244" s="33">
        <f ca="1">_xll.DBRW($C$1,$C$2,$C$3,$C$4,$C$6,$C$5,$C$7,AC$1,AC$2,$A244)</f>
        <v>-4.426908596482793</v>
      </c>
      <c r="AD244" s="33">
        <f ca="1">_xll.DBRW($C$1,$C$2,$C$3,$C$4,$C$6,$C$5,$C$7,AD$1,AD$2,$A244)</f>
        <v>-5.5135146163458355</v>
      </c>
      <c r="AE244" s="33">
        <f ca="1">_xll.DBRW($C$1,$C$2,$C$3,$C$4,$C$6,$C$5,$C$7,AE$1,AE$2,$A244)</f>
        <v>-6.6494699024147668</v>
      </c>
      <c r="AF244" s="33">
        <f ca="1">_xll.DBRW($C$1,$C$2,$C$3,$C$4,$C$6,$C$5,$C$7,AF$1,AF$2,$A244)</f>
        <v>-7.7168119693353781</v>
      </c>
      <c r="AG244" s="33">
        <f ca="1">_xll.DBRW($C$1,$C$2,$C$3,$C$4,$C$6,$C$5,$C$7,AG$1,AG$2,$A244)</f>
        <v>-8.7702151473976286</v>
      </c>
      <c r="AH244" s="33">
        <f ca="1">_xll.DBRW($C$1,$C$2,$C$3,$C$4,$C$6,$C$5,$C$7,AH$1,AH$2,$A244)</f>
        <v>-9.8385594755393839</v>
      </c>
      <c r="AI244" s="33">
        <f ca="1">_xll.DBRW($C$1,$C$2,$C$3,$C$4,$C$6,$C$5,$C$7,AI$1,AI$2,$A244)</f>
        <v>-10.900319365483478</v>
      </c>
      <c r="AJ244" s="33">
        <f ca="1">_xll.DBRW($C$1,$C$2,$C$3,$C$4,$C$6,$C$5,$C$7,AJ$1,AJ$2,$A244)</f>
        <v>-11.948270663487738</v>
      </c>
      <c r="AK244" s="33">
        <f ca="1">_xll.DBRW($C$1,$C$2,$C$3,$C$4,$C$6,$C$5,$C$7,AK$1,AK$2,$A244)</f>
        <v>-13.028673834142468</v>
      </c>
      <c r="AL244" s="33">
        <f ca="1">_xll.DBRW($C$1,$C$2,$C$3,$C$4,$C$6,$C$5,$C$7,AL$1,AL$2,$A244)</f>
        <v>-13.028673834142468</v>
      </c>
      <c r="AM244" s="33">
        <f ca="1">_xll.DBRW($C$1,$C$2,$C$3,$C$4,$C$6,$C$5,$C$7,AM$1,AM$2,$A244)</f>
        <v>-0.76642080649229427</v>
      </c>
      <c r="AN244" s="33">
        <f ca="1">_xll.DBRW($C$1,$C$2,$C$3,$C$4,$C$6,$C$5,$C$7,AN$1,AN$2,$A244)</f>
        <v>-2.9215192018256073</v>
      </c>
      <c r="AO244" s="33">
        <f ca="1">_xll.DBRW($C$1,$C$2,$C$3,$C$4,$C$6,$C$5,$C$7,AO$1,AO$2,$A244)</f>
        <v>1.0115606269289756E-15</v>
      </c>
      <c r="AP244" s="33">
        <f ca="1">_xll.DBRW($C$1,$C$2,$C$3,$C$4,$C$6,$C$5,$C$7,AP$1,AP$2,$A244)</f>
        <v>1.0115606269289756E-15</v>
      </c>
      <c r="AQ244" s="33">
        <f ca="1">_xll.DBRW($C$1,$C$2,$C$3,$C$4,$C$6,$C$5,$C$7,AQ$1,AQ$2,$A244)</f>
        <v>1.0115606269289756E-15</v>
      </c>
      <c r="AR244" s="33">
        <f ca="1">_xll.DBRW($C$1,$C$2,$C$3,$C$4,$C$6,$C$5,$C$7,AR$1,AR$2,$A244)</f>
        <v>1.0115606269289756E-15</v>
      </c>
      <c r="AS244" s="33">
        <f ca="1">_xll.DBRW($C$1,$C$2,$C$3,$C$4,$C$6,$C$5,$C$7,AS$1,AS$2,$A244)</f>
        <v>1.0115606269289756E-15</v>
      </c>
      <c r="AT244" s="33">
        <f ca="1">_xll.DBRW($C$1,$C$2,$C$3,$C$4,$C$6,$C$5,$C$7,AT$1,AT$2,$A244)</f>
        <v>1.0115606269289756E-15</v>
      </c>
      <c r="AU244" s="33">
        <f ca="1">_xll.DBRW($C$1,$C$2,$C$3,$C$4,$C$6,$C$5,$C$7,AU$1,AU$2,$A244)</f>
        <v>1.0115606269289756E-15</v>
      </c>
      <c r="AV244" s="33">
        <f ca="1">_xll.DBRW($C$1,$C$2,$C$3,$C$4,$C$6,$C$5,$C$7,AV$1,AV$2,$A244)</f>
        <v>1.0115606269289756E-15</v>
      </c>
      <c r="AW244" s="33">
        <f ca="1">_xll.DBRW($C$1,$C$2,$C$3,$C$4,$C$6,$C$5,$C$7,AW$1,AW$2,$A244)</f>
        <v>1.0115606269289756E-15</v>
      </c>
      <c r="AX244" s="33">
        <f ca="1">_xll.DBRW($C$1,$C$2,$C$3,$C$4,$C$6,$C$5,$C$7,AX$1,AX$2,$A244)</f>
        <v>1.0115606269289756E-15</v>
      </c>
      <c r="AY244" s="33">
        <f ca="1">_xll.DBRW($C$1,$C$2,$C$3,$C$4,$C$6,$C$5,$C$7,AY$1,AY$2,$A244)</f>
        <v>1.0115606269289756E-15</v>
      </c>
    </row>
    <row r="245" spans="1:51" ht="15.5" hidden="1" outlineLevel="1" collapsed="1">
      <c r="C245" s="104"/>
      <c r="E245" s="84" t="s">
        <v>54</v>
      </c>
      <c r="F245" s="39">
        <f t="shared" ref="F245:M245" ca="1" si="147">F244</f>
        <v>-13.818310047071522</v>
      </c>
      <c r="G245" s="39">
        <f t="shared" ca="1" si="147"/>
        <v>-16.743288240356179</v>
      </c>
      <c r="H245" s="39">
        <f t="shared" ca="1" si="147"/>
        <v>-13.697154917903063</v>
      </c>
      <c r="I245" s="39">
        <f t="shared" ca="1" si="147"/>
        <v>-29.411493071261432</v>
      </c>
      <c r="J245" s="39">
        <f t="shared" ca="1" si="147"/>
        <v>-19.362441423182766</v>
      </c>
      <c r="K245" s="39">
        <f t="shared" ca="1" si="147"/>
        <v>-14.054829421074135</v>
      </c>
      <c r="L245" s="39">
        <f t="shared" ca="1" si="147"/>
        <v>-10.130265955499668</v>
      </c>
      <c r="M245" s="39">
        <f t="shared" ca="1" si="147"/>
        <v>-0.36596539903842951</v>
      </c>
      <c r="N245" s="39">
        <f t="shared" ref="N245:X245" ca="1" si="148">N244</f>
        <v>-2.0327848010382463</v>
      </c>
      <c r="O245" s="39">
        <f t="shared" ca="1" si="148"/>
        <v>-3.0946670836109429</v>
      </c>
      <c r="P245" s="39">
        <f t="shared" ca="1" si="148"/>
        <v>-4.9120487467179643</v>
      </c>
      <c r="Q245" s="39">
        <f t="shared" ca="1" si="148"/>
        <v>-5.3157894372999142</v>
      </c>
      <c r="R245" s="39">
        <f t="shared" ca="1" si="148"/>
        <v>-9.1321723271366473</v>
      </c>
      <c r="S245" s="39">
        <f t="shared" ca="1" si="148"/>
        <v>-1.9932510805907273</v>
      </c>
      <c r="T245" s="39">
        <f t="shared" ca="1" si="148"/>
        <v>-11.080917719300727</v>
      </c>
      <c r="U245" s="39">
        <f t="shared" ca="1" si="148"/>
        <v>-12.528597407779024</v>
      </c>
      <c r="V245" s="39">
        <f t="shared" ca="1" si="148"/>
        <v>-3.0071966782404775</v>
      </c>
      <c r="W245" s="39">
        <f t="shared" ca="1" si="148"/>
        <v>-15.855770727193967</v>
      </c>
      <c r="X245" s="39">
        <f t="shared" ca="1" si="148"/>
        <v>-18.755263577902319</v>
      </c>
      <c r="Y245" s="39">
        <f ca="1">Y244</f>
        <v>-18.755263577902319</v>
      </c>
      <c r="Z245" s="39">
        <f ca="1">Z244</f>
        <v>-1.0743621491493942</v>
      </c>
      <c r="AA245" s="39">
        <f t="shared" ref="AA245:AK245" ca="1" si="149">AA244</f>
        <v>-2.1937947191900293</v>
      </c>
      <c r="AB245" s="39">
        <f t="shared" ca="1" si="149"/>
        <v>-3.3677900558267186</v>
      </c>
      <c r="AC245" s="39">
        <f t="shared" ca="1" si="149"/>
        <v>-4.426908596482793</v>
      </c>
      <c r="AD245" s="39">
        <f t="shared" ca="1" si="149"/>
        <v>-5.5135146163458355</v>
      </c>
      <c r="AE245" s="39">
        <f t="shared" ca="1" si="149"/>
        <v>-6.6494699024147668</v>
      </c>
      <c r="AF245" s="39">
        <f t="shared" ca="1" si="149"/>
        <v>-7.7168119693353781</v>
      </c>
      <c r="AG245" s="39">
        <f t="shared" ca="1" si="149"/>
        <v>-8.7702151473976286</v>
      </c>
      <c r="AH245" s="39">
        <f t="shared" ca="1" si="149"/>
        <v>-9.8385594755393839</v>
      </c>
      <c r="AI245" s="39">
        <f t="shared" ca="1" si="149"/>
        <v>-10.900319365483478</v>
      </c>
      <c r="AJ245" s="39">
        <f t="shared" ca="1" si="149"/>
        <v>-11.948270663487738</v>
      </c>
      <c r="AK245" s="39">
        <f t="shared" ca="1" si="149"/>
        <v>-13.028673834142468</v>
      </c>
      <c r="AL245" s="39">
        <f ca="1">AL244</f>
        <v>-13.028673834142468</v>
      </c>
      <c r="AM245" s="39">
        <f ca="1">AM244</f>
        <v>-0.76642080649229427</v>
      </c>
      <c r="AN245" s="39">
        <f t="shared" ref="AN245:AX245" ca="1" si="150">AN244</f>
        <v>-2.9215192018256073</v>
      </c>
      <c r="AO245" s="39">
        <f t="shared" ca="1" si="150"/>
        <v>1.0115606269289756E-15</v>
      </c>
      <c r="AP245" s="39">
        <f t="shared" ca="1" si="150"/>
        <v>1.0115606269289756E-15</v>
      </c>
      <c r="AQ245" s="39">
        <f t="shared" ca="1" si="150"/>
        <v>1.0115606269289756E-15</v>
      </c>
      <c r="AR245" s="39">
        <f t="shared" ca="1" si="150"/>
        <v>1.0115606269289756E-15</v>
      </c>
      <c r="AS245" s="39">
        <f t="shared" ca="1" si="150"/>
        <v>1.0115606269289756E-15</v>
      </c>
      <c r="AT245" s="39">
        <f t="shared" ca="1" si="150"/>
        <v>1.0115606269289756E-15</v>
      </c>
      <c r="AU245" s="39">
        <f t="shared" ca="1" si="150"/>
        <v>1.0115606269289756E-15</v>
      </c>
      <c r="AV245" s="39">
        <f t="shared" ca="1" si="150"/>
        <v>1.0115606269289756E-15</v>
      </c>
      <c r="AW245" s="39">
        <f t="shared" ca="1" si="150"/>
        <v>1.0115606269289756E-15</v>
      </c>
      <c r="AX245" s="39">
        <f t="shared" ca="1" si="150"/>
        <v>1.0115606269289756E-15</v>
      </c>
      <c r="AY245" s="39">
        <f ca="1">AY244</f>
        <v>1.0115606269289756E-15</v>
      </c>
    </row>
    <row r="246" spans="1:51" ht="15.75" hidden="1" customHeight="1" outlineLevel="2">
      <c r="A246" s="1" t="s">
        <v>320</v>
      </c>
      <c r="C246" s="104"/>
      <c r="E246" s="9" t="str">
        <f ca="1">_xll.DBRW(Server&amp;"}ElementAttributes_Indicator",A246,"code_English")</f>
        <v>PL0000_PU - Purchasing</v>
      </c>
      <c r="F246" s="33">
        <f ca="1">_xll.DBRW($C$1,$C$2,$C$3,$C$4,$C$6,$C$5,$C$7,F$1,F$2,$A246)</f>
        <v>-4.7502397957980182</v>
      </c>
      <c r="G246" s="33">
        <f ca="1">_xll.DBRW($C$1,$C$2,$C$3,$C$4,$C$6,$C$5,$C$7,G$1,G$2,$A246)</f>
        <v>-5.4203288789028363</v>
      </c>
      <c r="H246" s="33">
        <f ca="1">_xll.DBRW($C$1,$C$2,$C$3,$C$4,$C$6,$C$5,$C$7,H$1,H$2,$A246)</f>
        <v>-3.1166059401112842</v>
      </c>
      <c r="I246" s="33">
        <f ca="1">_xll.DBRW($C$1,$C$2,$C$3,$C$4,$C$6,$C$5,$C$7,I$1,I$2,$A246)</f>
        <v>-3.4779158678890321</v>
      </c>
      <c r="J246" s="33">
        <f ca="1">_xll.DBRW($C$1,$C$2,$C$3,$C$4,$C$6,$C$5,$C$7,J$1,J$2,$A246)</f>
        <v>-3.7364917459749485</v>
      </c>
      <c r="K246" s="33">
        <f ca="1">_xll.DBRW($C$1,$C$2,$C$3,$C$4,$C$6,$C$5,$C$7,K$1,K$2,$A246)</f>
        <v>-3.9347935599771451</v>
      </c>
      <c r="L246" s="33">
        <f ca="1">_xll.DBRW($C$1,$C$2,$C$3,$C$4,$C$6,$C$5,$C$7,L$1,L$2,$A246)</f>
        <v>-4.2413092595894915</v>
      </c>
      <c r="M246" s="33">
        <f ca="1">_xll.DBRW($C$1,$C$2,$C$3,$C$4,$C$6,$C$5,$C$7,M$1,M$2,$A246)</f>
        <v>-0.26755698261894983</v>
      </c>
      <c r="N246" s="33">
        <f ca="1">_xll.DBRW($C$1,$C$2,$C$3,$C$4,$C$6,$C$5,$C$7,N$1,N$2,$A246)</f>
        <v>-0.75858047491176794</v>
      </c>
      <c r="O246" s="33">
        <f ca="1">_xll.DBRW($C$1,$C$2,$C$3,$C$4,$C$6,$C$5,$C$7,O$1,O$2,$A246)</f>
        <v>-1.1407835224874825</v>
      </c>
      <c r="P246" s="33">
        <f ca="1">_xll.DBRW($C$1,$C$2,$C$3,$C$4,$C$6,$C$5,$C$7,P$1,P$2,$A246)</f>
        <v>-1.5581729205234249</v>
      </c>
      <c r="Q246" s="33">
        <f ca="1">_xll.DBRW($C$1,$C$2,$C$3,$C$4,$C$6,$C$5,$C$7,Q$1,Q$2,$A246)</f>
        <v>-2.0007006306080792</v>
      </c>
      <c r="R246" s="33">
        <f ca="1">_xll.DBRW($C$1,$C$2,$C$3,$C$4,$C$6,$C$5,$C$7,R$1,R$2,$A246)</f>
        <v>-2.3426122797389084</v>
      </c>
      <c r="S246" s="33">
        <f ca="1">_xll.DBRW($C$1,$C$2,$C$3,$C$4,$C$6,$C$5,$C$7,S$1,S$2,$A246)</f>
        <v>-1.5927670435610835</v>
      </c>
      <c r="T246" s="33">
        <f ca="1">_xll.DBRW($C$1,$C$2,$C$3,$C$4,$C$6,$C$5,$C$7,T$1,T$2,$A246)</f>
        <v>-2.8866777757151825</v>
      </c>
      <c r="U246" s="33">
        <f ca="1">_xll.DBRW($C$1,$C$2,$C$3,$C$4,$C$6,$C$5,$C$7,U$1,U$2,$A246)</f>
        <v>-2.7726075450977499</v>
      </c>
      <c r="V246" s="33">
        <f ca="1">_xll.DBRW($C$1,$C$2,$C$3,$C$4,$C$6,$C$5,$C$7,V$1,V$2,$A246)</f>
        <v>-1.6242922949202712</v>
      </c>
      <c r="W246" s="33">
        <f ca="1">_xll.DBRW($C$1,$C$2,$C$3,$C$4,$C$6,$C$5,$C$7,W$1,W$2,$A246)</f>
        <v>-2.9253983364396685</v>
      </c>
      <c r="X246" s="33">
        <f ca="1">_xll.DBRW($C$1,$C$2,$C$3,$C$4,$C$6,$C$5,$C$7,X$1,X$2,$A246)</f>
        <v>-3.5806414879149209</v>
      </c>
      <c r="Y246" s="33">
        <f ca="1">_xll.DBRW($C$1,$C$2,$C$3,$C$4,$C$6,$C$5,$C$7,Y$1,Y$2,$A246)</f>
        <v>-3.5806414879149209</v>
      </c>
      <c r="Z246" s="33">
        <f ca="1">_xll.DBRW($C$1,$C$2,$C$3,$C$4,$C$6,$C$5,$C$7,Z$1,Z$2,$A246)</f>
        <v>-0.32836747260020716</v>
      </c>
      <c r="AA246" s="33">
        <f ca="1">_xll.DBRW($C$1,$C$2,$C$3,$C$4,$C$6,$C$5,$C$7,AA$1,AA$2,$A246)</f>
        <v>-0.83323552966160686</v>
      </c>
      <c r="AB246" s="33">
        <f ca="1">_xll.DBRW($C$1,$C$2,$C$3,$C$4,$C$6,$C$5,$C$7,AB$1,AB$2,$A246)</f>
        <v>-1.2826203174788238</v>
      </c>
      <c r="AC246" s="33">
        <f ca="1">_xll.DBRW($C$1,$C$2,$C$3,$C$4,$C$6,$C$5,$C$7,AC$1,AC$2,$A246)</f>
        <v>-1.6959435911337943</v>
      </c>
      <c r="AD246" s="33">
        <f ca="1">_xll.DBRW($C$1,$C$2,$C$3,$C$4,$C$6,$C$5,$C$7,AD$1,AD$2,$A246)</f>
        <v>-2.1244822066542359</v>
      </c>
      <c r="AE246" s="33">
        <f ca="1">_xll.DBRW($C$1,$C$2,$C$3,$C$4,$C$6,$C$5,$C$7,AE$1,AE$2,$A246)</f>
        <v>-2.5566849356997849</v>
      </c>
      <c r="AF246" s="33">
        <f ca="1">_xll.DBRW($C$1,$C$2,$C$3,$C$4,$C$6,$C$5,$C$7,AF$1,AF$2,$A246)</f>
        <v>-2.9650375526427899</v>
      </c>
      <c r="AG246" s="33">
        <f ca="1">_xll.DBRW($C$1,$C$2,$C$3,$C$4,$C$6,$C$5,$C$7,AG$1,AG$2,$A246)</f>
        <v>-3.3605938511007731</v>
      </c>
      <c r="AH246" s="33">
        <f ca="1">_xll.DBRW($C$1,$C$2,$C$3,$C$4,$C$6,$C$5,$C$7,AH$1,AH$2,$A246)</f>
        <v>-3.7664583507452898</v>
      </c>
      <c r="AI246" s="33">
        <f ca="1">_xll.DBRW($C$1,$C$2,$C$3,$C$4,$C$6,$C$5,$C$7,AI$1,AI$2,$A246)</f>
        <v>-4.2086891916745826</v>
      </c>
      <c r="AJ246" s="33">
        <f ca="1">_xll.DBRW($C$1,$C$2,$C$3,$C$4,$C$6,$C$5,$C$7,AJ$1,AJ$2,$A246)</f>
        <v>-4.6541562566744341</v>
      </c>
      <c r="AK246" s="33">
        <f ca="1">_xll.DBRW($C$1,$C$2,$C$3,$C$4,$C$6,$C$5,$C$7,AK$1,AK$2,$A246)</f>
        <v>-5.0993886997336828</v>
      </c>
      <c r="AL246" s="33">
        <f ca="1">_xll.DBRW($C$1,$C$2,$C$3,$C$4,$C$6,$C$5,$C$7,AL$1,AL$2,$A246)</f>
        <v>-5.0993886997336828</v>
      </c>
      <c r="AM246" s="33">
        <f ca="1">_xll.DBRW($C$1,$C$2,$C$3,$C$4,$C$6,$C$5,$C$7,AM$1,AM$2,$A246)</f>
        <v>-0.25728384487181716</v>
      </c>
      <c r="AN246" s="33">
        <f ca="1">_xll.DBRW($C$1,$C$2,$C$3,$C$4,$C$6,$C$5,$C$7,AN$1,AN$2,$A246)</f>
        <v>-0.77910392335245304</v>
      </c>
      <c r="AO246" s="33">
        <f ca="1">_xll.DBRW($C$1,$C$2,$C$3,$C$4,$C$6,$C$5,$C$7,AO$1,AO$2,$A246)</f>
        <v>-1.5330618718945033E-16</v>
      </c>
      <c r="AP246" s="33">
        <f ca="1">_xll.DBRW($C$1,$C$2,$C$3,$C$4,$C$6,$C$5,$C$7,AP$1,AP$2,$A246)</f>
        <v>-1.5330618718945033E-16</v>
      </c>
      <c r="AQ246" s="33">
        <f ca="1">_xll.DBRW($C$1,$C$2,$C$3,$C$4,$C$6,$C$5,$C$7,AQ$1,AQ$2,$A246)</f>
        <v>-1.5330618718945033E-16</v>
      </c>
      <c r="AR246" s="33">
        <f ca="1">_xll.DBRW($C$1,$C$2,$C$3,$C$4,$C$6,$C$5,$C$7,AR$1,AR$2,$A246)</f>
        <v>-1.5330618718945033E-16</v>
      </c>
      <c r="AS246" s="33">
        <f ca="1">_xll.DBRW($C$1,$C$2,$C$3,$C$4,$C$6,$C$5,$C$7,AS$1,AS$2,$A246)</f>
        <v>-1.5330618718945033E-16</v>
      </c>
      <c r="AT246" s="33">
        <f ca="1">_xll.DBRW($C$1,$C$2,$C$3,$C$4,$C$6,$C$5,$C$7,AT$1,AT$2,$A246)</f>
        <v>-1.5330618718945033E-16</v>
      </c>
      <c r="AU246" s="33">
        <f ca="1">_xll.DBRW($C$1,$C$2,$C$3,$C$4,$C$6,$C$5,$C$7,AU$1,AU$2,$A246)</f>
        <v>-1.5330618718945033E-16</v>
      </c>
      <c r="AV246" s="33">
        <f ca="1">_xll.DBRW($C$1,$C$2,$C$3,$C$4,$C$6,$C$5,$C$7,AV$1,AV$2,$A246)</f>
        <v>-1.5330618718945033E-16</v>
      </c>
      <c r="AW246" s="33">
        <f ca="1">_xll.DBRW($C$1,$C$2,$C$3,$C$4,$C$6,$C$5,$C$7,AW$1,AW$2,$A246)</f>
        <v>-1.5330618718945033E-16</v>
      </c>
      <c r="AX246" s="33">
        <f ca="1">_xll.DBRW($C$1,$C$2,$C$3,$C$4,$C$6,$C$5,$C$7,AX$1,AX$2,$A246)</f>
        <v>-1.5330618718945033E-16</v>
      </c>
      <c r="AY246" s="33">
        <f ca="1">_xll.DBRW($C$1,$C$2,$C$3,$C$4,$C$6,$C$5,$C$7,AY$1,AY$2,$A246)</f>
        <v>-1.5330618718945033E-16</v>
      </c>
    </row>
    <row r="247" spans="1:51" ht="15.5" hidden="1" outlineLevel="1" collapsed="1">
      <c r="C247" s="104"/>
      <c r="E247" s="84" t="s">
        <v>55</v>
      </c>
      <c r="F247" s="39">
        <f t="shared" ref="F247:M247" ca="1" si="151">F246</f>
        <v>-4.7502397957980182</v>
      </c>
      <c r="G247" s="39">
        <f t="shared" ca="1" si="151"/>
        <v>-5.4203288789028363</v>
      </c>
      <c r="H247" s="39">
        <f t="shared" ca="1" si="151"/>
        <v>-3.1166059401112842</v>
      </c>
      <c r="I247" s="39">
        <f t="shared" ca="1" si="151"/>
        <v>-3.4779158678890321</v>
      </c>
      <c r="J247" s="39">
        <f t="shared" ca="1" si="151"/>
        <v>-3.7364917459749485</v>
      </c>
      <c r="K247" s="39">
        <f t="shared" ca="1" si="151"/>
        <v>-3.9347935599771451</v>
      </c>
      <c r="L247" s="39">
        <f t="shared" ca="1" si="151"/>
        <v>-4.2413092595894915</v>
      </c>
      <c r="M247" s="39">
        <f t="shared" ca="1" si="151"/>
        <v>-0.26755698261894983</v>
      </c>
      <c r="N247" s="39">
        <f t="shared" ref="N247:X247" ca="1" si="152">N246</f>
        <v>-0.75858047491176794</v>
      </c>
      <c r="O247" s="39">
        <f t="shared" ca="1" si="152"/>
        <v>-1.1407835224874825</v>
      </c>
      <c r="P247" s="39">
        <f t="shared" ca="1" si="152"/>
        <v>-1.5581729205234249</v>
      </c>
      <c r="Q247" s="39">
        <f t="shared" ca="1" si="152"/>
        <v>-2.0007006306080792</v>
      </c>
      <c r="R247" s="39">
        <f t="shared" ca="1" si="152"/>
        <v>-2.3426122797389084</v>
      </c>
      <c r="S247" s="39">
        <f t="shared" ca="1" si="152"/>
        <v>-1.5927670435610835</v>
      </c>
      <c r="T247" s="39">
        <f t="shared" ca="1" si="152"/>
        <v>-2.8866777757151825</v>
      </c>
      <c r="U247" s="39">
        <f t="shared" ca="1" si="152"/>
        <v>-2.7726075450977499</v>
      </c>
      <c r="V247" s="39">
        <f t="shared" ca="1" si="152"/>
        <v>-1.6242922949202712</v>
      </c>
      <c r="W247" s="39">
        <f t="shared" ca="1" si="152"/>
        <v>-2.9253983364396685</v>
      </c>
      <c r="X247" s="39">
        <f t="shared" ca="1" si="152"/>
        <v>-3.5806414879149209</v>
      </c>
      <c r="Y247" s="39">
        <f ca="1">Y246</f>
        <v>-3.5806414879149209</v>
      </c>
      <c r="Z247" s="39">
        <f ca="1">Z246</f>
        <v>-0.32836747260020716</v>
      </c>
      <c r="AA247" s="39">
        <f t="shared" ref="AA247:AK247" ca="1" si="153">AA246</f>
        <v>-0.83323552966160686</v>
      </c>
      <c r="AB247" s="39">
        <f t="shared" ca="1" si="153"/>
        <v>-1.2826203174788238</v>
      </c>
      <c r="AC247" s="39">
        <f t="shared" ca="1" si="153"/>
        <v>-1.6959435911337943</v>
      </c>
      <c r="AD247" s="39">
        <f t="shared" ca="1" si="153"/>
        <v>-2.1244822066542359</v>
      </c>
      <c r="AE247" s="39">
        <f t="shared" ca="1" si="153"/>
        <v>-2.5566849356997849</v>
      </c>
      <c r="AF247" s="39">
        <f t="shared" ca="1" si="153"/>
        <v>-2.9650375526427899</v>
      </c>
      <c r="AG247" s="39">
        <f t="shared" ca="1" si="153"/>
        <v>-3.3605938511007731</v>
      </c>
      <c r="AH247" s="39">
        <f t="shared" ca="1" si="153"/>
        <v>-3.7664583507452898</v>
      </c>
      <c r="AI247" s="39">
        <f t="shared" ca="1" si="153"/>
        <v>-4.2086891916745826</v>
      </c>
      <c r="AJ247" s="39">
        <f t="shared" ca="1" si="153"/>
        <v>-4.6541562566744341</v>
      </c>
      <c r="AK247" s="39">
        <f t="shared" ca="1" si="153"/>
        <v>-5.0993886997336828</v>
      </c>
      <c r="AL247" s="39">
        <f ca="1">AL246</f>
        <v>-5.0993886997336828</v>
      </c>
      <c r="AM247" s="39">
        <f ca="1">AM246</f>
        <v>-0.25728384487181716</v>
      </c>
      <c r="AN247" s="39">
        <f t="shared" ref="AN247:AX247" ca="1" si="154">AN246</f>
        <v>-0.77910392335245304</v>
      </c>
      <c r="AO247" s="39">
        <f t="shared" ca="1" si="154"/>
        <v>-1.5330618718945033E-16</v>
      </c>
      <c r="AP247" s="39">
        <f t="shared" ca="1" si="154"/>
        <v>-1.5330618718945033E-16</v>
      </c>
      <c r="AQ247" s="39">
        <f t="shared" ca="1" si="154"/>
        <v>-1.5330618718945033E-16</v>
      </c>
      <c r="AR247" s="39">
        <f t="shared" ca="1" si="154"/>
        <v>-1.5330618718945033E-16</v>
      </c>
      <c r="AS247" s="39">
        <f t="shared" ca="1" si="154"/>
        <v>-1.5330618718945033E-16</v>
      </c>
      <c r="AT247" s="39">
        <f t="shared" ca="1" si="154"/>
        <v>-1.5330618718945033E-16</v>
      </c>
      <c r="AU247" s="39">
        <f t="shared" ca="1" si="154"/>
        <v>-1.5330618718945033E-16</v>
      </c>
      <c r="AV247" s="39">
        <f t="shared" ca="1" si="154"/>
        <v>-1.5330618718945033E-16</v>
      </c>
      <c r="AW247" s="39">
        <f t="shared" ca="1" si="154"/>
        <v>-1.5330618718945033E-16</v>
      </c>
      <c r="AX247" s="39">
        <f t="shared" ca="1" si="154"/>
        <v>-1.5330618718945033E-16</v>
      </c>
      <c r="AY247" s="39">
        <f ca="1">AY246</f>
        <v>-1.5330618718945033E-16</v>
      </c>
    </row>
    <row r="248" spans="1:51" ht="15.75" hidden="1" customHeight="1" outlineLevel="2">
      <c r="A248" s="1" t="s">
        <v>321</v>
      </c>
      <c r="C248" s="104"/>
      <c r="E248" s="9" t="str">
        <f ca="1">_xll.DBRW(Server&amp;"}ElementAttributes_Indicator",A248,"code_English")</f>
        <v>PL0000_RD - R &amp; D</v>
      </c>
      <c r="F248" s="33">
        <f ca="1">_xll.DBRW($C$1,$C$2,$C$3,$C$4,$C$6,$C$5,$C$7,F$1,F$2,$A248)</f>
        <v>-4.1411087599999989</v>
      </c>
      <c r="G248" s="33">
        <f ca="1">_xll.DBRW($C$1,$C$2,$C$3,$C$4,$C$6,$C$5,$C$7,G$1,G$2,$A248)</f>
        <v>-4.4190611199999985</v>
      </c>
      <c r="H248" s="33">
        <f ca="1">_xll.DBRW($C$1,$C$2,$C$3,$C$4,$C$6,$C$5,$C$7,H$1,H$2,$A248)</f>
        <v>-3.54423705</v>
      </c>
      <c r="I248" s="33">
        <f ca="1">_xll.DBRW($C$1,$C$2,$C$3,$C$4,$C$6,$C$5,$C$7,I$1,I$2,$A248)</f>
        <v>-2.8018580936774606</v>
      </c>
      <c r="J248" s="33">
        <f ca="1">_xll.DBRW($C$1,$C$2,$C$3,$C$4,$C$6,$C$5,$C$7,J$1,J$2,$A248)</f>
        <v>-1.8950583083691024</v>
      </c>
      <c r="K248" s="33">
        <f ca="1">_xll.DBRW($C$1,$C$2,$C$3,$C$4,$C$6,$C$5,$C$7,K$1,K$2,$A248)</f>
        <v>-1.4732690184930375</v>
      </c>
      <c r="L248" s="33">
        <f ca="1">_xll.DBRW($C$1,$C$2,$C$3,$C$4,$C$6,$C$5,$C$7,L$1,L$2,$A248)</f>
        <v>-2.2206041362724607</v>
      </c>
      <c r="M248" s="33">
        <f ca="1">_xll.DBRW($C$1,$C$2,$C$3,$C$4,$C$6,$C$5,$C$7,M$1,M$2,$A248)</f>
        <v>-0.1204064278843316</v>
      </c>
      <c r="N248" s="33">
        <f ca="1">_xll.DBRW($C$1,$C$2,$C$3,$C$4,$C$6,$C$5,$C$7,N$1,N$2,$A248)</f>
        <v>-0.25761295534981909</v>
      </c>
      <c r="O248" s="33">
        <f ca="1">_xll.DBRW($C$1,$C$2,$C$3,$C$4,$C$6,$C$5,$C$7,O$1,O$2,$A248)</f>
        <v>-0.33545203796711026</v>
      </c>
      <c r="P248" s="33">
        <f ca="1">_xll.DBRW($C$1,$C$2,$C$3,$C$4,$C$6,$C$5,$C$7,P$1,P$2,$A248)</f>
        <v>-0.47229050400615613</v>
      </c>
      <c r="Q248" s="33">
        <f ca="1">_xll.DBRW($C$1,$C$2,$C$3,$C$4,$C$6,$C$5,$C$7,Q$1,Q$2,$A248)</f>
        <v>-0.58972775907235353</v>
      </c>
      <c r="R248" s="33">
        <f ca="1">_xll.DBRW($C$1,$C$2,$C$3,$C$4,$C$6,$C$5,$C$7,R$1,R$2,$A248)</f>
        <v>-0.70565254435428693</v>
      </c>
      <c r="S248" s="33">
        <f ca="1">_xll.DBRW($C$1,$C$2,$C$3,$C$4,$C$6,$C$5,$C$7,S$1,S$2,$A248)</f>
        <v>-0.89920081638480887</v>
      </c>
      <c r="T248" s="33">
        <f ca="1">_xll.DBRW($C$1,$C$2,$C$3,$C$4,$C$6,$C$5,$C$7,T$1,T$2,$A248)</f>
        <v>-0.98806736258884476</v>
      </c>
      <c r="U248" s="33">
        <f ca="1">_xll.DBRW($C$1,$C$2,$C$3,$C$4,$C$6,$C$5,$C$7,U$1,U$2,$A248)</f>
        <v>-1.0913185449827563</v>
      </c>
      <c r="V248" s="33">
        <f ca="1">_xll.DBRW($C$1,$C$2,$C$3,$C$4,$C$6,$C$5,$C$7,V$1,V$2,$A248)</f>
        <v>-1.1998530141145021</v>
      </c>
      <c r="W248" s="33">
        <f ca="1">_xll.DBRW($C$1,$C$2,$C$3,$C$4,$C$6,$C$5,$C$7,W$1,W$2,$A248)</f>
        <v>-1.3357420575177155</v>
      </c>
      <c r="X248" s="33">
        <f ca="1">_xll.DBRW($C$1,$C$2,$C$3,$C$4,$C$6,$C$5,$C$7,X$1,X$2,$A248)</f>
        <v>-1.4916547638791782</v>
      </c>
      <c r="Y248" s="33">
        <f ca="1">_xll.DBRW($C$1,$C$2,$C$3,$C$4,$C$6,$C$5,$C$7,Y$1,Y$2,$A248)</f>
        <v>-1.4916547638791782</v>
      </c>
      <c r="Z248" s="33">
        <f ca="1">_xll.DBRW($C$1,$C$2,$C$3,$C$4,$C$6,$C$5,$C$7,Z$1,Z$2,$A248)</f>
        <v>-0.14765305506410525</v>
      </c>
      <c r="AA248" s="33">
        <f ca="1">_xll.DBRW($C$1,$C$2,$C$3,$C$4,$C$6,$C$5,$C$7,AA$1,AA$2,$A248)</f>
        <v>-0.29389032075852634</v>
      </c>
      <c r="AB248" s="33">
        <f ca="1">_xll.DBRW($C$1,$C$2,$C$3,$C$4,$C$6,$C$5,$C$7,AB$1,AB$2,$A248)</f>
        <v>-0.44019495476700005</v>
      </c>
      <c r="AC248" s="33">
        <f ca="1">_xll.DBRW($C$1,$C$2,$C$3,$C$4,$C$6,$C$5,$C$7,AC$1,AC$2,$A248)</f>
        <v>-0.56499290466894747</v>
      </c>
      <c r="AD248" s="33">
        <f ca="1">_xll.DBRW($C$1,$C$2,$C$3,$C$4,$C$6,$C$5,$C$7,AD$1,AD$2,$A248)</f>
        <v>-0.6980013807756843</v>
      </c>
      <c r="AE248" s="33">
        <f ca="1">_xll.DBRW($C$1,$C$2,$C$3,$C$4,$C$6,$C$5,$C$7,AE$1,AE$2,$A248)</f>
        <v>-0.83083196225657896</v>
      </c>
      <c r="AF248" s="33">
        <f ca="1">_xll.DBRW($C$1,$C$2,$C$3,$C$4,$C$6,$C$5,$C$7,AF$1,AF$2,$A248)</f>
        <v>-0.96283517522542117</v>
      </c>
      <c r="AG248" s="33">
        <f ca="1">_xll.DBRW($C$1,$C$2,$C$3,$C$4,$C$6,$C$5,$C$7,AG$1,AG$2,$A248)</f>
        <v>-1.0938625988015791</v>
      </c>
      <c r="AH248" s="33">
        <f ca="1">_xll.DBRW($C$1,$C$2,$C$3,$C$4,$C$6,$C$5,$C$7,AH$1,AH$2,$A248)</f>
        <v>-1.2253373907077896</v>
      </c>
      <c r="AI248" s="33">
        <f ca="1">_xll.DBRW($C$1,$C$2,$C$3,$C$4,$C$6,$C$5,$C$7,AI$1,AI$2,$A248)</f>
        <v>-1.3574553401147369</v>
      </c>
      <c r="AJ248" s="33">
        <f ca="1">_xll.DBRW($C$1,$C$2,$C$3,$C$4,$C$6,$C$5,$C$7,AJ$1,AJ$2,$A248)</f>
        <v>-1.488378554061579</v>
      </c>
      <c r="AK248" s="33">
        <f ca="1">_xll.DBRW($C$1,$C$2,$C$3,$C$4,$C$6,$C$5,$C$7,AK$1,AK$2,$A248)</f>
        <v>-1.6199312407226316</v>
      </c>
      <c r="AL248" s="33">
        <f ca="1">_xll.DBRW($C$1,$C$2,$C$3,$C$4,$C$6,$C$5,$C$7,AL$1,AL$2,$A248)</f>
        <v>-1.6199312407226316</v>
      </c>
      <c r="AM248" s="33">
        <f ca="1">_xll.DBRW($C$1,$C$2,$C$3,$C$4,$C$6,$C$5,$C$7,AM$1,AM$2,$A248)</f>
        <v>-0.14650319073856963</v>
      </c>
      <c r="AN248" s="33">
        <f ca="1">_xll.DBRW($C$1,$C$2,$C$3,$C$4,$C$6,$C$5,$C$7,AN$1,AN$2,$A248)</f>
        <v>-0.29566024370295402</v>
      </c>
      <c r="AO248" s="33">
        <f ca="1">_xll.DBRW($C$1,$C$2,$C$3,$C$4,$C$6,$C$5,$C$7,AO$1,AO$2,$A248)</f>
        <v>2.1684043449710089E-17</v>
      </c>
      <c r="AP248" s="33">
        <f ca="1">_xll.DBRW($C$1,$C$2,$C$3,$C$4,$C$6,$C$5,$C$7,AP$1,AP$2,$A248)</f>
        <v>2.1684043449710089E-17</v>
      </c>
      <c r="AQ248" s="33">
        <f ca="1">_xll.DBRW($C$1,$C$2,$C$3,$C$4,$C$6,$C$5,$C$7,AQ$1,AQ$2,$A248)</f>
        <v>2.1684043449710089E-17</v>
      </c>
      <c r="AR248" s="33">
        <f ca="1">_xll.DBRW($C$1,$C$2,$C$3,$C$4,$C$6,$C$5,$C$7,AR$1,AR$2,$A248)</f>
        <v>2.1684043449710089E-17</v>
      </c>
      <c r="AS248" s="33">
        <f ca="1">_xll.DBRW($C$1,$C$2,$C$3,$C$4,$C$6,$C$5,$C$7,AS$1,AS$2,$A248)</f>
        <v>2.1684043449710089E-17</v>
      </c>
      <c r="AT248" s="33">
        <f ca="1">_xll.DBRW($C$1,$C$2,$C$3,$C$4,$C$6,$C$5,$C$7,AT$1,AT$2,$A248)</f>
        <v>2.1684043449710089E-17</v>
      </c>
      <c r="AU248" s="33">
        <f ca="1">_xll.DBRW($C$1,$C$2,$C$3,$C$4,$C$6,$C$5,$C$7,AU$1,AU$2,$A248)</f>
        <v>2.1684043449710089E-17</v>
      </c>
      <c r="AV248" s="33">
        <f ca="1">_xll.DBRW($C$1,$C$2,$C$3,$C$4,$C$6,$C$5,$C$7,AV$1,AV$2,$A248)</f>
        <v>2.1684043449710089E-17</v>
      </c>
      <c r="AW248" s="33">
        <f ca="1">_xll.DBRW($C$1,$C$2,$C$3,$C$4,$C$6,$C$5,$C$7,AW$1,AW$2,$A248)</f>
        <v>2.1684043449710089E-17</v>
      </c>
      <c r="AX248" s="33">
        <f ca="1">_xll.DBRW($C$1,$C$2,$C$3,$C$4,$C$6,$C$5,$C$7,AX$1,AX$2,$A248)</f>
        <v>2.1684043449710089E-17</v>
      </c>
      <c r="AY248" s="33">
        <f ca="1">_xll.DBRW($C$1,$C$2,$C$3,$C$4,$C$6,$C$5,$C$7,AY$1,AY$2,$A248)</f>
        <v>2.1684043449710089E-17</v>
      </c>
    </row>
    <row r="249" spans="1:51" ht="15.5" hidden="1" outlineLevel="1" collapsed="1">
      <c r="C249" s="104"/>
      <c r="E249" s="84" t="s">
        <v>56</v>
      </c>
      <c r="F249" s="39">
        <f t="shared" ref="F249:M249" ca="1" si="155">F248</f>
        <v>-4.1411087599999989</v>
      </c>
      <c r="G249" s="39">
        <f t="shared" ca="1" si="155"/>
        <v>-4.4190611199999985</v>
      </c>
      <c r="H249" s="39">
        <f t="shared" ca="1" si="155"/>
        <v>-3.54423705</v>
      </c>
      <c r="I249" s="39">
        <f t="shared" ca="1" si="155"/>
        <v>-2.8018580936774606</v>
      </c>
      <c r="J249" s="39">
        <f t="shared" ca="1" si="155"/>
        <v>-1.8950583083691024</v>
      </c>
      <c r="K249" s="39">
        <f t="shared" ca="1" si="155"/>
        <v>-1.4732690184930375</v>
      </c>
      <c r="L249" s="39">
        <f t="shared" ca="1" si="155"/>
        <v>-2.2206041362724607</v>
      </c>
      <c r="M249" s="39">
        <f t="shared" ca="1" si="155"/>
        <v>-0.1204064278843316</v>
      </c>
      <c r="N249" s="39">
        <f t="shared" ref="N249:X249" ca="1" si="156">N248</f>
        <v>-0.25761295534981909</v>
      </c>
      <c r="O249" s="39">
        <f t="shared" ca="1" si="156"/>
        <v>-0.33545203796711026</v>
      </c>
      <c r="P249" s="39">
        <f t="shared" ca="1" si="156"/>
        <v>-0.47229050400615613</v>
      </c>
      <c r="Q249" s="39">
        <f t="shared" ca="1" si="156"/>
        <v>-0.58972775907235353</v>
      </c>
      <c r="R249" s="39">
        <f t="shared" ca="1" si="156"/>
        <v>-0.70565254435428693</v>
      </c>
      <c r="S249" s="39">
        <f t="shared" ca="1" si="156"/>
        <v>-0.89920081638480887</v>
      </c>
      <c r="T249" s="39">
        <f t="shared" ca="1" si="156"/>
        <v>-0.98806736258884476</v>
      </c>
      <c r="U249" s="39">
        <f t="shared" ca="1" si="156"/>
        <v>-1.0913185449827563</v>
      </c>
      <c r="V249" s="39">
        <f t="shared" ca="1" si="156"/>
        <v>-1.1998530141145021</v>
      </c>
      <c r="W249" s="39">
        <f t="shared" ca="1" si="156"/>
        <v>-1.3357420575177155</v>
      </c>
      <c r="X249" s="39">
        <f t="shared" ca="1" si="156"/>
        <v>-1.4916547638791782</v>
      </c>
      <c r="Y249" s="39">
        <f ca="1">Y248</f>
        <v>-1.4916547638791782</v>
      </c>
      <c r="Z249" s="39">
        <f ca="1">Z248</f>
        <v>-0.14765305506410525</v>
      </c>
      <c r="AA249" s="39">
        <f t="shared" ref="AA249:AK249" ca="1" si="157">AA248</f>
        <v>-0.29389032075852634</v>
      </c>
      <c r="AB249" s="39">
        <f t="shared" ca="1" si="157"/>
        <v>-0.44019495476700005</v>
      </c>
      <c r="AC249" s="39">
        <f t="shared" ca="1" si="157"/>
        <v>-0.56499290466894747</v>
      </c>
      <c r="AD249" s="39">
        <f t="shared" ca="1" si="157"/>
        <v>-0.6980013807756843</v>
      </c>
      <c r="AE249" s="39">
        <f t="shared" ca="1" si="157"/>
        <v>-0.83083196225657896</v>
      </c>
      <c r="AF249" s="39">
        <f t="shared" ca="1" si="157"/>
        <v>-0.96283517522542117</v>
      </c>
      <c r="AG249" s="39">
        <f t="shared" ca="1" si="157"/>
        <v>-1.0938625988015791</v>
      </c>
      <c r="AH249" s="39">
        <f t="shared" ca="1" si="157"/>
        <v>-1.2253373907077896</v>
      </c>
      <c r="AI249" s="39">
        <f t="shared" ca="1" si="157"/>
        <v>-1.3574553401147369</v>
      </c>
      <c r="AJ249" s="39">
        <f t="shared" ca="1" si="157"/>
        <v>-1.488378554061579</v>
      </c>
      <c r="AK249" s="39">
        <f t="shared" ca="1" si="157"/>
        <v>-1.6199312407226316</v>
      </c>
      <c r="AL249" s="39">
        <f ca="1">AL248</f>
        <v>-1.6199312407226316</v>
      </c>
      <c r="AM249" s="39">
        <f ca="1">AM248</f>
        <v>-0.14650319073856963</v>
      </c>
      <c r="AN249" s="39">
        <f t="shared" ref="AN249:AX249" ca="1" si="158">AN248</f>
        <v>-0.29566024370295402</v>
      </c>
      <c r="AO249" s="39">
        <f t="shared" ca="1" si="158"/>
        <v>2.1684043449710089E-17</v>
      </c>
      <c r="AP249" s="39">
        <f t="shared" ca="1" si="158"/>
        <v>2.1684043449710089E-17</v>
      </c>
      <c r="AQ249" s="39">
        <f t="shared" ca="1" si="158"/>
        <v>2.1684043449710089E-17</v>
      </c>
      <c r="AR249" s="39">
        <f t="shared" ca="1" si="158"/>
        <v>2.1684043449710089E-17</v>
      </c>
      <c r="AS249" s="39">
        <f t="shared" ca="1" si="158"/>
        <v>2.1684043449710089E-17</v>
      </c>
      <c r="AT249" s="39">
        <f t="shared" ca="1" si="158"/>
        <v>2.1684043449710089E-17</v>
      </c>
      <c r="AU249" s="39">
        <f t="shared" ca="1" si="158"/>
        <v>2.1684043449710089E-17</v>
      </c>
      <c r="AV249" s="39">
        <f t="shared" ca="1" si="158"/>
        <v>2.1684043449710089E-17</v>
      </c>
      <c r="AW249" s="39">
        <f t="shared" ca="1" si="158"/>
        <v>2.1684043449710089E-17</v>
      </c>
      <c r="AX249" s="39">
        <f t="shared" ca="1" si="158"/>
        <v>2.1684043449710089E-17</v>
      </c>
      <c r="AY249" s="39">
        <f ca="1">AY248</f>
        <v>2.1684043449710089E-17</v>
      </c>
    </row>
    <row r="250" spans="1:51" ht="15.75" hidden="1" customHeight="1" outlineLevel="2">
      <c r="A250" s="1" t="s">
        <v>322</v>
      </c>
      <c r="C250" s="104"/>
      <c r="E250" s="9" t="str">
        <f ca="1">_xll.DBRW(Server&amp;"}ElementAttributes_Indicator",A250,"code_English")</f>
        <v>PL0000_RM - Risk management</v>
      </c>
      <c r="F250" s="33">
        <f ca="1">_xll.DBRW($C$1,$C$2,$C$3,$C$4,$C$6,$C$5,$C$7,F$1,F$2,$A250)</f>
        <v>-3.4987109680115838</v>
      </c>
      <c r="G250" s="33">
        <f ca="1">_xll.DBRW($C$1,$C$2,$C$3,$C$4,$C$6,$C$5,$C$7,G$1,G$2,$A250)</f>
        <v>-3.7328285336615279</v>
      </c>
      <c r="H250" s="33">
        <f ca="1">_xll.DBRW($C$1,$C$2,$C$3,$C$4,$C$6,$C$5,$C$7,H$1,H$2,$A250)</f>
        <v>-3.8951678450962852</v>
      </c>
      <c r="I250" s="33">
        <f ca="1">_xll.DBRW($C$1,$C$2,$C$3,$C$4,$C$6,$C$5,$C$7,I$1,I$2,$A250)</f>
        <v>-3.4772079502198938</v>
      </c>
      <c r="J250" s="33">
        <f ca="1">_xll.DBRW($C$1,$C$2,$C$3,$C$4,$C$6,$C$5,$C$7,J$1,J$2,$A250)</f>
        <v>-4.2854970673631883</v>
      </c>
      <c r="K250" s="33">
        <f ca="1">_xll.DBRW($C$1,$C$2,$C$3,$C$4,$C$6,$C$5,$C$7,K$1,K$2,$A250)</f>
        <v>-0.91546987306792271</v>
      </c>
      <c r="L250" s="33">
        <f ca="1">_xll.DBRW($C$1,$C$2,$C$3,$C$4,$C$6,$C$5,$C$7,L$1,L$2,$A250)</f>
        <v>-1.1523397749000002</v>
      </c>
      <c r="M250" s="33">
        <f ca="1">_xll.DBRW($C$1,$C$2,$C$3,$C$4,$C$6,$C$5,$C$7,M$1,M$2,$A250)</f>
        <v>-3.8735719999999994E-2</v>
      </c>
      <c r="N250" s="33">
        <f ca="1">_xll.DBRW($C$1,$C$2,$C$3,$C$4,$C$6,$C$5,$C$7,N$1,N$2,$A250)</f>
        <v>-0.16873893790994621</v>
      </c>
      <c r="O250" s="33">
        <f ca="1">_xll.DBRW($C$1,$C$2,$C$3,$C$4,$C$6,$C$5,$C$7,O$1,O$2,$A250)</f>
        <v>-0.30547095804769009</v>
      </c>
      <c r="P250" s="33">
        <f ca="1">_xll.DBRW($C$1,$C$2,$C$3,$C$4,$C$6,$C$5,$C$7,P$1,P$2,$A250)</f>
        <v>-0.37119007912367374</v>
      </c>
      <c r="Q250" s="33">
        <f ca="1">_xll.DBRW($C$1,$C$2,$C$3,$C$4,$C$6,$C$5,$C$7,Q$1,Q$2,$A250)</f>
        <v>-0.49040931003820909</v>
      </c>
      <c r="R250" s="33">
        <f ca="1">_xll.DBRW($C$1,$C$2,$C$3,$C$4,$C$6,$C$5,$C$7,R$1,R$2,$A250)</f>
        <v>-0.58402140666150326</v>
      </c>
      <c r="S250" s="33">
        <f ca="1">_xll.DBRW($C$1,$C$2,$C$3,$C$4,$C$6,$C$5,$C$7,S$1,S$2,$A250)</f>
        <v>-0.30420811999999992</v>
      </c>
      <c r="T250" s="33">
        <f ca="1">_xll.DBRW($C$1,$C$2,$C$3,$C$4,$C$6,$C$5,$C$7,T$1,T$2,$A250)</f>
        <v>-0.76028836140416556</v>
      </c>
      <c r="U250" s="33">
        <f ca="1">_xll.DBRW($C$1,$C$2,$C$3,$C$4,$C$6,$C$5,$C$7,U$1,U$2,$A250)</f>
        <v>-0.78896869400315583</v>
      </c>
      <c r="V250" s="33">
        <f ca="1">_xll.DBRW($C$1,$C$2,$C$3,$C$4,$C$6,$C$5,$C$7,V$1,V$2,$A250)</f>
        <v>-0.37822155000000002</v>
      </c>
      <c r="W250" s="33">
        <f ca="1">_xll.DBRW($C$1,$C$2,$C$3,$C$4,$C$6,$C$5,$C$7,W$1,W$2,$A250)</f>
        <v>-0.95981174281822113</v>
      </c>
      <c r="X250" s="33">
        <f ca="1">_xll.DBRW($C$1,$C$2,$C$3,$C$4,$C$6,$C$5,$C$7,X$1,X$2,$A250)</f>
        <v>-1.0440158702079256</v>
      </c>
      <c r="Y250" s="33">
        <f ca="1">_xll.DBRW($C$1,$C$2,$C$3,$C$4,$C$6,$C$5,$C$7,Y$1,Y$2,$A250)</f>
        <v>-1.0440158702079256</v>
      </c>
      <c r="Z250" s="33">
        <f ca="1">_xll.DBRW($C$1,$C$2,$C$3,$C$4,$C$6,$C$5,$C$7,Z$1,Z$2,$A250)</f>
        <v>-0.16359723121999997</v>
      </c>
      <c r="AA250" s="33">
        <f ca="1">_xll.DBRW($C$1,$C$2,$C$3,$C$4,$C$6,$C$5,$C$7,AA$1,AA$2,$A250)</f>
        <v>-0.32416697239999992</v>
      </c>
      <c r="AB250" s="33">
        <f ca="1">_xll.DBRW($C$1,$C$2,$C$3,$C$4,$C$6,$C$5,$C$7,AB$1,AB$2,$A250)</f>
        <v>-0.49313833369999988</v>
      </c>
      <c r="AC250" s="33">
        <f ca="1">_xll.DBRW($C$1,$C$2,$C$3,$C$4,$C$6,$C$5,$C$7,AC$1,AC$2,$A250)</f>
        <v>-0.65090836489999981</v>
      </c>
      <c r="AD250" s="33">
        <f ca="1">_xll.DBRW($C$1,$C$2,$C$3,$C$4,$C$6,$C$5,$C$7,AD$1,AD$2,$A250)</f>
        <v>-0.81453012609999975</v>
      </c>
      <c r="AE250" s="33">
        <f ca="1">_xll.DBRW($C$1,$C$2,$C$3,$C$4,$C$6,$C$5,$C$7,AE$1,AE$2,$A250)</f>
        <v>-0.97735532729999974</v>
      </c>
      <c r="AF250" s="33">
        <f ca="1">_xll.DBRW($C$1,$C$2,$C$3,$C$4,$C$6,$C$5,$C$7,AF$1,AF$2,$A250)</f>
        <v>-1.1300439110999998</v>
      </c>
      <c r="AG250" s="33">
        <f ca="1">_xll.DBRW($C$1,$C$2,$C$3,$C$4,$C$6,$C$5,$C$7,AG$1,AG$2,$A250)</f>
        <v>-1.2872274447999996</v>
      </c>
      <c r="AH250" s="33">
        <f ca="1">_xll.DBRW($C$1,$C$2,$C$3,$C$4,$C$6,$C$5,$C$7,AH$1,AH$2,$A250)</f>
        <v>-1.4422320984999997</v>
      </c>
      <c r="AI250" s="33">
        <f ca="1">_xll.DBRW($C$1,$C$2,$C$3,$C$4,$C$6,$C$5,$C$7,AI$1,AI$2,$A250)</f>
        <v>-1.5948009321999996</v>
      </c>
      <c r="AJ250" s="33">
        <f ca="1">_xll.DBRW($C$1,$C$2,$C$3,$C$4,$C$6,$C$5,$C$7,AJ$1,AJ$2,$A250)</f>
        <v>-1.7492631359999997</v>
      </c>
      <c r="AK250" s="33">
        <f ca="1">_xll.DBRW($C$1,$C$2,$C$3,$C$4,$C$6,$C$5,$C$7,AK$1,AK$2,$A250)</f>
        <v>-1.9027804496999994</v>
      </c>
      <c r="AL250" s="33">
        <f ca="1">_xll.DBRW($C$1,$C$2,$C$3,$C$4,$C$6,$C$5,$C$7,AL$1,AL$2,$A250)</f>
        <v>-1.9027804496999994</v>
      </c>
      <c r="AM250" s="33">
        <f ca="1">_xll.DBRW($C$1,$C$2,$C$3,$C$4,$C$6,$C$5,$C$7,AM$1,AM$2,$A250)</f>
        <v>-9.0876598682328905E-2</v>
      </c>
      <c r="AN250" s="33">
        <f ca="1">_xll.DBRW($C$1,$C$2,$C$3,$C$4,$C$6,$C$5,$C$7,AN$1,AN$2,$A250)</f>
        <v>-0.18126470970689951</v>
      </c>
      <c r="AO250" s="33">
        <f ca="1">_xll.DBRW($C$1,$C$2,$C$3,$C$4,$C$6,$C$5,$C$7,AO$1,AO$2,$A250)</f>
        <v>-7.8062556418956319E-18</v>
      </c>
      <c r="AP250" s="33">
        <f ca="1">_xll.DBRW($C$1,$C$2,$C$3,$C$4,$C$6,$C$5,$C$7,AP$1,AP$2,$A250)</f>
        <v>-7.8062556418956319E-18</v>
      </c>
      <c r="AQ250" s="33">
        <f ca="1">_xll.DBRW($C$1,$C$2,$C$3,$C$4,$C$6,$C$5,$C$7,AQ$1,AQ$2,$A250)</f>
        <v>-7.8062556418956319E-18</v>
      </c>
      <c r="AR250" s="33">
        <f ca="1">_xll.DBRW($C$1,$C$2,$C$3,$C$4,$C$6,$C$5,$C$7,AR$1,AR$2,$A250)</f>
        <v>-7.8062556418956319E-18</v>
      </c>
      <c r="AS250" s="33">
        <f ca="1">_xll.DBRW($C$1,$C$2,$C$3,$C$4,$C$6,$C$5,$C$7,AS$1,AS$2,$A250)</f>
        <v>-7.8062556418956319E-18</v>
      </c>
      <c r="AT250" s="33">
        <f ca="1">_xll.DBRW($C$1,$C$2,$C$3,$C$4,$C$6,$C$5,$C$7,AT$1,AT$2,$A250)</f>
        <v>-7.8062556418956319E-18</v>
      </c>
      <c r="AU250" s="33">
        <f ca="1">_xll.DBRW($C$1,$C$2,$C$3,$C$4,$C$6,$C$5,$C$7,AU$1,AU$2,$A250)</f>
        <v>-7.8062556418956319E-18</v>
      </c>
      <c r="AV250" s="33">
        <f ca="1">_xll.DBRW($C$1,$C$2,$C$3,$C$4,$C$6,$C$5,$C$7,AV$1,AV$2,$A250)</f>
        <v>-7.8062556418956319E-18</v>
      </c>
      <c r="AW250" s="33">
        <f ca="1">_xll.DBRW($C$1,$C$2,$C$3,$C$4,$C$6,$C$5,$C$7,AW$1,AW$2,$A250)</f>
        <v>-7.8062556418956319E-18</v>
      </c>
      <c r="AX250" s="33">
        <f ca="1">_xll.DBRW($C$1,$C$2,$C$3,$C$4,$C$6,$C$5,$C$7,AX$1,AX$2,$A250)</f>
        <v>-7.8062556418956319E-18</v>
      </c>
      <c r="AY250" s="33">
        <f ca="1">_xll.DBRW($C$1,$C$2,$C$3,$C$4,$C$6,$C$5,$C$7,AY$1,AY$2,$A250)</f>
        <v>-7.8062556418956319E-18</v>
      </c>
    </row>
    <row r="251" spans="1:51" ht="15.5" hidden="1" outlineLevel="1" collapsed="1">
      <c r="C251" s="104"/>
      <c r="E251" s="84" t="s">
        <v>57</v>
      </c>
      <c r="F251" s="39">
        <f t="shared" ref="F251:M251" ca="1" si="159">F250</f>
        <v>-3.4987109680115838</v>
      </c>
      <c r="G251" s="39">
        <f t="shared" ca="1" si="159"/>
        <v>-3.7328285336615279</v>
      </c>
      <c r="H251" s="39">
        <f t="shared" ca="1" si="159"/>
        <v>-3.8951678450962852</v>
      </c>
      <c r="I251" s="39">
        <f t="shared" ca="1" si="159"/>
        <v>-3.4772079502198938</v>
      </c>
      <c r="J251" s="39">
        <f t="shared" ca="1" si="159"/>
        <v>-4.2854970673631883</v>
      </c>
      <c r="K251" s="39">
        <f t="shared" ca="1" si="159"/>
        <v>-0.91546987306792271</v>
      </c>
      <c r="L251" s="39">
        <f t="shared" ca="1" si="159"/>
        <v>-1.1523397749000002</v>
      </c>
      <c r="M251" s="39">
        <f t="shared" ca="1" si="159"/>
        <v>-3.8735719999999994E-2</v>
      </c>
      <c r="N251" s="39">
        <f t="shared" ref="N251:X251" ca="1" si="160">N250</f>
        <v>-0.16873893790994621</v>
      </c>
      <c r="O251" s="39">
        <f t="shared" ca="1" si="160"/>
        <v>-0.30547095804769009</v>
      </c>
      <c r="P251" s="39">
        <f t="shared" ca="1" si="160"/>
        <v>-0.37119007912367374</v>
      </c>
      <c r="Q251" s="39">
        <f t="shared" ca="1" si="160"/>
        <v>-0.49040931003820909</v>
      </c>
      <c r="R251" s="39">
        <f t="shared" ca="1" si="160"/>
        <v>-0.58402140666150326</v>
      </c>
      <c r="S251" s="39">
        <f t="shared" ca="1" si="160"/>
        <v>-0.30420811999999992</v>
      </c>
      <c r="T251" s="39">
        <f t="shared" ca="1" si="160"/>
        <v>-0.76028836140416556</v>
      </c>
      <c r="U251" s="39">
        <f t="shared" ca="1" si="160"/>
        <v>-0.78896869400315583</v>
      </c>
      <c r="V251" s="39">
        <f t="shared" ca="1" si="160"/>
        <v>-0.37822155000000002</v>
      </c>
      <c r="W251" s="39">
        <f t="shared" ca="1" si="160"/>
        <v>-0.95981174281822113</v>
      </c>
      <c r="X251" s="39">
        <f t="shared" ca="1" si="160"/>
        <v>-1.0440158702079256</v>
      </c>
      <c r="Y251" s="39">
        <f ca="1">Y250</f>
        <v>-1.0440158702079256</v>
      </c>
      <c r="Z251" s="39">
        <f ca="1">Z250</f>
        <v>-0.16359723121999997</v>
      </c>
      <c r="AA251" s="39">
        <f t="shared" ref="AA251:AK251" ca="1" si="161">AA250</f>
        <v>-0.32416697239999992</v>
      </c>
      <c r="AB251" s="39">
        <f t="shared" ca="1" si="161"/>
        <v>-0.49313833369999988</v>
      </c>
      <c r="AC251" s="39">
        <f t="shared" ca="1" si="161"/>
        <v>-0.65090836489999981</v>
      </c>
      <c r="AD251" s="39">
        <f t="shared" ca="1" si="161"/>
        <v>-0.81453012609999975</v>
      </c>
      <c r="AE251" s="39">
        <f t="shared" ca="1" si="161"/>
        <v>-0.97735532729999974</v>
      </c>
      <c r="AF251" s="39">
        <f t="shared" ca="1" si="161"/>
        <v>-1.1300439110999998</v>
      </c>
      <c r="AG251" s="39">
        <f t="shared" ca="1" si="161"/>
        <v>-1.2872274447999996</v>
      </c>
      <c r="AH251" s="39">
        <f t="shared" ca="1" si="161"/>
        <v>-1.4422320984999997</v>
      </c>
      <c r="AI251" s="39">
        <f t="shared" ca="1" si="161"/>
        <v>-1.5948009321999996</v>
      </c>
      <c r="AJ251" s="39">
        <f t="shared" ca="1" si="161"/>
        <v>-1.7492631359999997</v>
      </c>
      <c r="AK251" s="39">
        <f t="shared" ca="1" si="161"/>
        <v>-1.9027804496999994</v>
      </c>
      <c r="AL251" s="39">
        <f ca="1">AL250</f>
        <v>-1.9027804496999994</v>
      </c>
      <c r="AM251" s="39">
        <f ca="1">AM250</f>
        <v>-9.0876598682328905E-2</v>
      </c>
      <c r="AN251" s="39">
        <f t="shared" ref="AN251:AX251" ca="1" si="162">AN250</f>
        <v>-0.18126470970689951</v>
      </c>
      <c r="AO251" s="39">
        <f t="shared" ca="1" si="162"/>
        <v>-7.8062556418956319E-18</v>
      </c>
      <c r="AP251" s="39">
        <f t="shared" ca="1" si="162"/>
        <v>-7.8062556418956319E-18</v>
      </c>
      <c r="AQ251" s="39">
        <f t="shared" ca="1" si="162"/>
        <v>-7.8062556418956319E-18</v>
      </c>
      <c r="AR251" s="39">
        <f t="shared" ca="1" si="162"/>
        <v>-7.8062556418956319E-18</v>
      </c>
      <c r="AS251" s="39">
        <f t="shared" ca="1" si="162"/>
        <v>-7.8062556418956319E-18</v>
      </c>
      <c r="AT251" s="39">
        <f t="shared" ca="1" si="162"/>
        <v>-7.8062556418956319E-18</v>
      </c>
      <c r="AU251" s="39">
        <f t="shared" ca="1" si="162"/>
        <v>-7.8062556418956319E-18</v>
      </c>
      <c r="AV251" s="39">
        <f t="shared" ca="1" si="162"/>
        <v>-7.8062556418956319E-18</v>
      </c>
      <c r="AW251" s="39">
        <f t="shared" ca="1" si="162"/>
        <v>-7.8062556418956319E-18</v>
      </c>
      <c r="AX251" s="39">
        <f t="shared" ca="1" si="162"/>
        <v>-7.8062556418956319E-18</v>
      </c>
      <c r="AY251" s="39">
        <f ca="1">AY250</f>
        <v>-7.8062556418956319E-18</v>
      </c>
    </row>
    <row r="252" spans="1:51" ht="15.75" hidden="1" customHeight="1" outlineLevel="2">
      <c r="A252" s="1" t="s">
        <v>323</v>
      </c>
      <c r="C252" s="104"/>
      <c r="E252" s="9" t="str">
        <f ca="1">_xll.DBRW(Server&amp;"}ElementAttributes_Indicator",A252,"code_English")</f>
        <v>PL0000_SE - QHSE</v>
      </c>
      <c r="F252" s="33">
        <f ca="1">_xll.DBRW($C$1,$C$2,$C$3,$C$4,$C$6,$C$5,$C$7,F$1,F$2,$A252)</f>
        <v>-4.638538597954569</v>
      </c>
      <c r="G252" s="33">
        <f ca="1">_xll.DBRW($C$1,$C$2,$C$3,$C$4,$C$6,$C$5,$C$7,G$1,G$2,$A252)</f>
        <v>-7.297850453610085</v>
      </c>
      <c r="H252" s="33">
        <f ca="1">_xll.DBRW($C$1,$C$2,$C$3,$C$4,$C$6,$C$5,$C$7,H$1,H$2,$A252)</f>
        <v>-8.3949326476636656</v>
      </c>
      <c r="I252" s="33">
        <f ca="1">_xll.DBRW($C$1,$C$2,$C$3,$C$4,$C$6,$C$5,$C$7,I$1,I$2,$A252)</f>
        <v>-10.060351596660499</v>
      </c>
      <c r="J252" s="33">
        <f ca="1">_xll.DBRW($C$1,$C$2,$C$3,$C$4,$C$6,$C$5,$C$7,J$1,J$2,$A252)</f>
        <v>-9.6584057619457404</v>
      </c>
      <c r="K252" s="33">
        <f ca="1">_xll.DBRW($C$1,$C$2,$C$3,$C$4,$C$6,$C$5,$C$7,K$1,K$2,$A252)</f>
        <v>-11.062676746147389</v>
      </c>
      <c r="L252" s="33">
        <f ca="1">_xll.DBRW($C$1,$C$2,$C$3,$C$4,$C$6,$C$5,$C$7,L$1,L$2,$A252)</f>
        <v>-10.087153622283513</v>
      </c>
      <c r="M252" s="33">
        <f ca="1">_xll.DBRW($C$1,$C$2,$C$3,$C$4,$C$6,$C$5,$C$7,M$1,M$2,$A252)</f>
        <v>-0.42603349258021506</v>
      </c>
      <c r="N252" s="33">
        <f ca="1">_xll.DBRW($C$1,$C$2,$C$3,$C$4,$C$6,$C$5,$C$7,N$1,N$2,$A252)</f>
        <v>-1.6580009237878732</v>
      </c>
      <c r="O252" s="33">
        <f ca="1">_xll.DBRW($C$1,$C$2,$C$3,$C$4,$C$6,$C$5,$C$7,O$1,O$2,$A252)</f>
        <v>-2.666440342993702</v>
      </c>
      <c r="P252" s="33">
        <f ca="1">_xll.DBRW($C$1,$C$2,$C$3,$C$4,$C$6,$C$5,$C$7,P$1,P$2,$A252)</f>
        <v>-3.5806034699337168</v>
      </c>
      <c r="Q252" s="33">
        <f ca="1">_xll.DBRW($C$1,$C$2,$C$3,$C$4,$C$6,$C$5,$C$7,Q$1,Q$2,$A252)</f>
        <v>-4.4953399670126348</v>
      </c>
      <c r="R252" s="33">
        <f ca="1">_xll.DBRW($C$1,$C$2,$C$3,$C$4,$C$6,$C$5,$C$7,R$1,R$2,$A252)</f>
        <v>-5.3025863805041524</v>
      </c>
      <c r="S252" s="33">
        <f ca="1">_xll.DBRW($C$1,$C$2,$C$3,$C$4,$C$6,$C$5,$C$7,S$1,S$2,$A252)</f>
        <v>-3.1651409162299187</v>
      </c>
      <c r="T252" s="33">
        <f ca="1">_xll.DBRW($C$1,$C$2,$C$3,$C$4,$C$6,$C$5,$C$7,T$1,T$2,$A252)</f>
        <v>-7.1331255681196044</v>
      </c>
      <c r="U252" s="33">
        <f ca="1">_xll.DBRW($C$1,$C$2,$C$3,$C$4,$C$6,$C$5,$C$7,U$1,U$2,$A252)</f>
        <v>-8.1316340398283451</v>
      </c>
      <c r="V252" s="33">
        <f ca="1">_xll.DBRW($C$1,$C$2,$C$3,$C$4,$C$6,$C$5,$C$7,V$1,V$2,$A252)</f>
        <v>-4.5708985453211106</v>
      </c>
      <c r="W252" s="33">
        <f ca="1">_xll.DBRW($C$1,$C$2,$C$3,$C$4,$C$6,$C$5,$C$7,W$1,W$2,$A252)</f>
        <v>-9.1545570805515979</v>
      </c>
      <c r="X252" s="33">
        <f ca="1">_xll.DBRW($C$1,$C$2,$C$3,$C$4,$C$6,$C$5,$C$7,X$1,X$2,$A252)</f>
        <v>-11.268016938900393</v>
      </c>
      <c r="Y252" s="33">
        <f ca="1">_xll.DBRW($C$1,$C$2,$C$3,$C$4,$C$6,$C$5,$C$7,Y$1,Y$2,$A252)</f>
        <v>-11.268016938900393</v>
      </c>
      <c r="Z252" s="33">
        <f ca="1">_xll.DBRW($C$1,$C$2,$C$3,$C$4,$C$6,$C$5,$C$7,Z$1,Z$2,$A252)</f>
        <v>-0.96197917546620682</v>
      </c>
      <c r="AA252" s="33">
        <f ca="1">_xll.DBRW($C$1,$C$2,$C$3,$C$4,$C$6,$C$5,$C$7,AA$1,AA$2,$A252)</f>
        <v>-2.1195375434264121</v>
      </c>
      <c r="AB252" s="33">
        <f ca="1">_xll.DBRW($C$1,$C$2,$C$3,$C$4,$C$6,$C$5,$C$7,AB$1,AB$2,$A252)</f>
        <v>-3.2554990990905797</v>
      </c>
      <c r="AC252" s="33">
        <f ca="1">_xll.DBRW($C$1,$C$2,$C$3,$C$4,$C$6,$C$5,$C$7,AC$1,AC$2,$A252)</f>
        <v>-4.3305664373772039</v>
      </c>
      <c r="AD252" s="33">
        <f ca="1">_xll.DBRW($C$1,$C$2,$C$3,$C$4,$C$6,$C$5,$C$7,AD$1,AD$2,$A252)</f>
        <v>-5.4193170277313065</v>
      </c>
      <c r="AE252" s="33">
        <f ca="1">_xll.DBRW($C$1,$C$2,$C$3,$C$4,$C$6,$C$5,$C$7,AE$1,AE$2,$A252)</f>
        <v>-6.4882406035240123</v>
      </c>
      <c r="AF252" s="33">
        <f ca="1">_xll.DBRW($C$1,$C$2,$C$3,$C$4,$C$6,$C$5,$C$7,AF$1,AF$2,$A252)</f>
        <v>-7.5129938106119489</v>
      </c>
      <c r="AG252" s="33">
        <f ca="1">_xll.DBRW($C$1,$C$2,$C$3,$C$4,$C$6,$C$5,$C$7,AG$1,AG$2,$A252)</f>
        <v>-8.5003120983699425</v>
      </c>
      <c r="AH252" s="33">
        <f ca="1">_xll.DBRW($C$1,$C$2,$C$3,$C$4,$C$6,$C$5,$C$7,AH$1,AH$2,$A252)</f>
        <v>-9.5406763643297747</v>
      </c>
      <c r="AI252" s="33">
        <f ca="1">_xll.DBRW($C$1,$C$2,$C$3,$C$4,$C$6,$C$5,$C$7,AI$1,AI$2,$A252)</f>
        <v>-10.622917754991658</v>
      </c>
      <c r="AJ252" s="33">
        <f ca="1">_xll.DBRW($C$1,$C$2,$C$3,$C$4,$C$6,$C$5,$C$7,AJ$1,AJ$2,$A252)</f>
        <v>-11.670243364257001</v>
      </c>
      <c r="AK252" s="33">
        <f ca="1">_xll.DBRW($C$1,$C$2,$C$3,$C$4,$C$6,$C$5,$C$7,AK$1,AK$2,$A252)</f>
        <v>-12.825706680785622</v>
      </c>
      <c r="AL252" s="33">
        <f ca="1">_xll.DBRW($C$1,$C$2,$C$3,$C$4,$C$6,$C$5,$C$7,AL$1,AL$2,$A252)</f>
        <v>-12.825706680785622</v>
      </c>
      <c r="AM252" s="33">
        <f ca="1">_xll.DBRW($C$1,$C$2,$C$3,$C$4,$C$6,$C$5,$C$7,AM$1,AM$2,$A252)</f>
        <v>-0.69041091074534611</v>
      </c>
      <c r="AN252" s="33">
        <f ca="1">_xll.DBRW($C$1,$C$2,$C$3,$C$4,$C$6,$C$5,$C$7,AN$1,AN$2,$A252)</f>
        <v>-2.0131593143748434</v>
      </c>
      <c r="AO252" s="33">
        <f ca="1">_xll.DBRW($C$1,$C$2,$C$3,$C$4,$C$6,$C$5,$C$7,AO$1,AO$2,$A252)</f>
        <v>3.660266534311063E-16</v>
      </c>
      <c r="AP252" s="33">
        <f ca="1">_xll.DBRW($C$1,$C$2,$C$3,$C$4,$C$6,$C$5,$C$7,AP$1,AP$2,$A252)</f>
        <v>3.660266534311063E-16</v>
      </c>
      <c r="AQ252" s="33">
        <f ca="1">_xll.DBRW($C$1,$C$2,$C$3,$C$4,$C$6,$C$5,$C$7,AQ$1,AQ$2,$A252)</f>
        <v>3.660266534311063E-16</v>
      </c>
      <c r="AR252" s="33">
        <f ca="1">_xll.DBRW($C$1,$C$2,$C$3,$C$4,$C$6,$C$5,$C$7,AR$1,AR$2,$A252)</f>
        <v>3.660266534311063E-16</v>
      </c>
      <c r="AS252" s="33">
        <f ca="1">_xll.DBRW($C$1,$C$2,$C$3,$C$4,$C$6,$C$5,$C$7,AS$1,AS$2,$A252)</f>
        <v>3.660266534311063E-16</v>
      </c>
      <c r="AT252" s="33">
        <f ca="1">_xll.DBRW($C$1,$C$2,$C$3,$C$4,$C$6,$C$5,$C$7,AT$1,AT$2,$A252)</f>
        <v>3.660266534311063E-16</v>
      </c>
      <c r="AU252" s="33">
        <f ca="1">_xll.DBRW($C$1,$C$2,$C$3,$C$4,$C$6,$C$5,$C$7,AU$1,AU$2,$A252)</f>
        <v>3.660266534311063E-16</v>
      </c>
      <c r="AV252" s="33">
        <f ca="1">_xll.DBRW($C$1,$C$2,$C$3,$C$4,$C$6,$C$5,$C$7,AV$1,AV$2,$A252)</f>
        <v>3.660266534311063E-16</v>
      </c>
      <c r="AW252" s="33">
        <f ca="1">_xll.DBRW($C$1,$C$2,$C$3,$C$4,$C$6,$C$5,$C$7,AW$1,AW$2,$A252)</f>
        <v>3.660266534311063E-16</v>
      </c>
      <c r="AX252" s="33">
        <f ca="1">_xll.DBRW($C$1,$C$2,$C$3,$C$4,$C$6,$C$5,$C$7,AX$1,AX$2,$A252)</f>
        <v>3.660266534311063E-16</v>
      </c>
      <c r="AY252" s="33">
        <f ca="1">_xll.DBRW($C$1,$C$2,$C$3,$C$4,$C$6,$C$5,$C$7,AY$1,AY$2,$A252)</f>
        <v>3.660266534311063E-16</v>
      </c>
    </row>
    <row r="253" spans="1:51" ht="15.5" hidden="1" outlineLevel="1" collapsed="1">
      <c r="C253" s="104"/>
      <c r="E253" s="84" t="s">
        <v>58</v>
      </c>
      <c r="F253" s="39">
        <f t="shared" ref="F253:M253" ca="1" si="163">F252</f>
        <v>-4.638538597954569</v>
      </c>
      <c r="G253" s="39">
        <f t="shared" ca="1" si="163"/>
        <v>-7.297850453610085</v>
      </c>
      <c r="H253" s="39">
        <f t="shared" ca="1" si="163"/>
        <v>-8.3949326476636656</v>
      </c>
      <c r="I253" s="39">
        <f t="shared" ca="1" si="163"/>
        <v>-10.060351596660499</v>
      </c>
      <c r="J253" s="39">
        <f t="shared" ca="1" si="163"/>
        <v>-9.6584057619457404</v>
      </c>
      <c r="K253" s="39">
        <f t="shared" ca="1" si="163"/>
        <v>-11.062676746147389</v>
      </c>
      <c r="L253" s="39">
        <f t="shared" ca="1" si="163"/>
        <v>-10.087153622283513</v>
      </c>
      <c r="M253" s="39">
        <f t="shared" ca="1" si="163"/>
        <v>-0.42603349258021506</v>
      </c>
      <c r="N253" s="39">
        <f t="shared" ref="N253:X253" ca="1" si="164">N252</f>
        <v>-1.6580009237878732</v>
      </c>
      <c r="O253" s="39">
        <f t="shared" ca="1" si="164"/>
        <v>-2.666440342993702</v>
      </c>
      <c r="P253" s="39">
        <f t="shared" ca="1" si="164"/>
        <v>-3.5806034699337168</v>
      </c>
      <c r="Q253" s="39">
        <f t="shared" ca="1" si="164"/>
        <v>-4.4953399670126348</v>
      </c>
      <c r="R253" s="39">
        <f t="shared" ca="1" si="164"/>
        <v>-5.3025863805041524</v>
      </c>
      <c r="S253" s="39">
        <f t="shared" ca="1" si="164"/>
        <v>-3.1651409162299187</v>
      </c>
      <c r="T253" s="39">
        <f t="shared" ca="1" si="164"/>
        <v>-7.1331255681196044</v>
      </c>
      <c r="U253" s="39">
        <f t="shared" ca="1" si="164"/>
        <v>-8.1316340398283451</v>
      </c>
      <c r="V253" s="39">
        <f t="shared" ca="1" si="164"/>
        <v>-4.5708985453211106</v>
      </c>
      <c r="W253" s="39">
        <f t="shared" ca="1" si="164"/>
        <v>-9.1545570805515979</v>
      </c>
      <c r="X253" s="39">
        <f t="shared" ca="1" si="164"/>
        <v>-11.268016938900393</v>
      </c>
      <c r="Y253" s="39">
        <f ca="1">Y252</f>
        <v>-11.268016938900393</v>
      </c>
      <c r="Z253" s="39">
        <f ca="1">Z252</f>
        <v>-0.96197917546620682</v>
      </c>
      <c r="AA253" s="39">
        <f t="shared" ref="AA253:AK253" ca="1" si="165">AA252</f>
        <v>-2.1195375434264121</v>
      </c>
      <c r="AB253" s="39">
        <f t="shared" ca="1" si="165"/>
        <v>-3.2554990990905797</v>
      </c>
      <c r="AC253" s="39">
        <f t="shared" ca="1" si="165"/>
        <v>-4.3305664373772039</v>
      </c>
      <c r="AD253" s="39">
        <f t="shared" ca="1" si="165"/>
        <v>-5.4193170277313065</v>
      </c>
      <c r="AE253" s="39">
        <f t="shared" ca="1" si="165"/>
        <v>-6.4882406035240123</v>
      </c>
      <c r="AF253" s="39">
        <f t="shared" ca="1" si="165"/>
        <v>-7.5129938106119489</v>
      </c>
      <c r="AG253" s="39">
        <f t="shared" ca="1" si="165"/>
        <v>-8.5003120983699425</v>
      </c>
      <c r="AH253" s="39">
        <f t="shared" ca="1" si="165"/>
        <v>-9.5406763643297747</v>
      </c>
      <c r="AI253" s="39">
        <f t="shared" ca="1" si="165"/>
        <v>-10.622917754991658</v>
      </c>
      <c r="AJ253" s="39">
        <f t="shared" ca="1" si="165"/>
        <v>-11.670243364257001</v>
      </c>
      <c r="AK253" s="39">
        <f t="shared" ca="1" si="165"/>
        <v>-12.825706680785622</v>
      </c>
      <c r="AL253" s="39">
        <f ca="1">AL252</f>
        <v>-12.825706680785622</v>
      </c>
      <c r="AM253" s="39">
        <f ca="1">AM252</f>
        <v>-0.69041091074534611</v>
      </c>
      <c r="AN253" s="39">
        <f t="shared" ref="AN253:AX253" ca="1" si="166">AN252</f>
        <v>-2.0131593143748434</v>
      </c>
      <c r="AO253" s="39">
        <f t="shared" ca="1" si="166"/>
        <v>3.660266534311063E-16</v>
      </c>
      <c r="AP253" s="39">
        <f t="shared" ca="1" si="166"/>
        <v>3.660266534311063E-16</v>
      </c>
      <c r="AQ253" s="39">
        <f t="shared" ca="1" si="166"/>
        <v>3.660266534311063E-16</v>
      </c>
      <c r="AR253" s="39">
        <f t="shared" ca="1" si="166"/>
        <v>3.660266534311063E-16</v>
      </c>
      <c r="AS253" s="39">
        <f t="shared" ca="1" si="166"/>
        <v>3.660266534311063E-16</v>
      </c>
      <c r="AT253" s="39">
        <f t="shared" ca="1" si="166"/>
        <v>3.660266534311063E-16</v>
      </c>
      <c r="AU253" s="39">
        <f t="shared" ca="1" si="166"/>
        <v>3.660266534311063E-16</v>
      </c>
      <c r="AV253" s="39">
        <f t="shared" ca="1" si="166"/>
        <v>3.660266534311063E-16</v>
      </c>
      <c r="AW253" s="39">
        <f t="shared" ca="1" si="166"/>
        <v>3.660266534311063E-16</v>
      </c>
      <c r="AX253" s="39">
        <f t="shared" ca="1" si="166"/>
        <v>3.660266534311063E-16</v>
      </c>
      <c r="AY253" s="39">
        <f ca="1">AY252</f>
        <v>3.660266534311063E-16</v>
      </c>
    </row>
    <row r="254" spans="1:51" ht="15.75" hidden="1" customHeight="1" outlineLevel="2">
      <c r="A254" s="1" t="s">
        <v>324</v>
      </c>
      <c r="C254" s="104"/>
      <c r="E254" s="9" t="str">
        <f ca="1">_xll.DBRW(Server&amp;"}ElementAttributes_Indicator",A254,"code_English")</f>
        <v>PL0000_TD - Technical department</v>
      </c>
      <c r="F254" s="33">
        <f ca="1">_xll.DBRW($C$1,$C$2,$C$3,$C$4,$C$6,$C$5,$C$7,F$1,F$2,$A254)</f>
        <v>-1.2737583677966788</v>
      </c>
      <c r="G254" s="33">
        <f ca="1">_xll.DBRW($C$1,$C$2,$C$3,$C$4,$C$6,$C$5,$C$7,G$1,G$2,$A254)</f>
        <v>-5.8221579944902837</v>
      </c>
      <c r="H254" s="33">
        <f ca="1">_xll.DBRW($C$1,$C$2,$C$3,$C$4,$C$6,$C$5,$C$7,H$1,H$2,$A254)</f>
        <v>-5.3216188884153173</v>
      </c>
      <c r="I254" s="33">
        <f ca="1">_xll.DBRW($C$1,$C$2,$C$3,$C$4,$C$6,$C$5,$C$7,I$1,I$2,$A254)</f>
        <v>-5.7034010208135246</v>
      </c>
      <c r="J254" s="33">
        <f ca="1">_xll.DBRW($C$1,$C$2,$C$3,$C$4,$C$6,$C$5,$C$7,J$1,J$2,$A254)</f>
        <v>-7.0146387533132311</v>
      </c>
      <c r="K254" s="33">
        <f ca="1">_xll.DBRW($C$1,$C$2,$C$3,$C$4,$C$6,$C$5,$C$7,K$1,K$2,$A254)</f>
        <v>-7.4110187972579888</v>
      </c>
      <c r="L254" s="33">
        <f ca="1">_xll.DBRW($C$1,$C$2,$C$3,$C$4,$C$6,$C$5,$C$7,L$1,L$2,$A254)</f>
        <v>-7.4435865759999995</v>
      </c>
      <c r="M254" s="33">
        <f ca="1">_xll.DBRW($C$1,$C$2,$C$3,$C$4,$C$6,$C$5,$C$7,M$1,M$2,$A254)</f>
        <v>-1.2302768708349452</v>
      </c>
      <c r="N254" s="33">
        <f ca="1">_xll.DBRW($C$1,$C$2,$C$3,$C$4,$C$6,$C$5,$C$7,N$1,N$2,$A254)</f>
        <v>-3.0252932466060867</v>
      </c>
      <c r="O254" s="33">
        <f ca="1">_xll.DBRW($C$1,$C$2,$C$3,$C$4,$C$6,$C$5,$C$7,O$1,O$2,$A254)</f>
        <v>-3.6655184141827069</v>
      </c>
      <c r="P254" s="33">
        <f ca="1">_xll.DBRW($C$1,$C$2,$C$3,$C$4,$C$6,$C$5,$C$7,P$1,P$2,$A254)</f>
        <v>-5.1913122626198724</v>
      </c>
      <c r="Q254" s="33">
        <f ca="1">_xll.DBRW($C$1,$C$2,$C$3,$C$4,$C$6,$C$5,$C$7,Q$1,Q$2,$A254)</f>
        <v>-6.5338522762132465</v>
      </c>
      <c r="R254" s="33">
        <f ca="1">_xll.DBRW($C$1,$C$2,$C$3,$C$4,$C$6,$C$5,$C$7,R$1,R$2,$A254)</f>
        <v>-8.0513079379892627</v>
      </c>
      <c r="S254" s="33">
        <f ca="1">_xll.DBRW($C$1,$C$2,$C$3,$C$4,$C$6,$C$5,$C$7,S$1,S$2,$A254)</f>
        <v>-4.6891968599999982</v>
      </c>
      <c r="T254" s="33">
        <f ca="1">_xll.DBRW($C$1,$C$2,$C$3,$C$4,$C$6,$C$5,$C$7,T$1,T$2,$A254)</f>
        <v>-9.7345586753143074</v>
      </c>
      <c r="U254" s="33">
        <f ca="1">_xll.DBRW($C$1,$C$2,$C$3,$C$4,$C$6,$C$5,$C$7,U$1,U$2,$A254)</f>
        <v>-10.32325674597586</v>
      </c>
      <c r="V254" s="33">
        <f ca="1">_xll.DBRW($C$1,$C$2,$C$3,$C$4,$C$6,$C$5,$C$7,V$1,V$2,$A254)</f>
        <v>-5.2560793919501583</v>
      </c>
      <c r="W254" s="33">
        <f ca="1">_xll.DBRW($C$1,$C$2,$C$3,$C$4,$C$6,$C$5,$C$7,W$1,W$2,$A254)</f>
        <v>-10.550834046117636</v>
      </c>
      <c r="X254" s="33">
        <f ca="1">_xll.DBRW($C$1,$C$2,$C$3,$C$4,$C$6,$C$5,$C$7,X$1,X$2,$A254)</f>
        <v>-12.768557141728897</v>
      </c>
      <c r="Y254" s="33">
        <f ca="1">_xll.DBRW($C$1,$C$2,$C$3,$C$4,$C$6,$C$5,$C$7,Y$1,Y$2,$A254)</f>
        <v>-12.768557141728897</v>
      </c>
      <c r="Z254" s="33">
        <f ca="1">_xll.DBRW($C$1,$C$2,$C$3,$C$4,$C$6,$C$5,$C$7,Z$1,Z$2,$A254)</f>
        <v>-0.62218889422857671</v>
      </c>
      <c r="AA254" s="33">
        <f ca="1">_xll.DBRW($C$1,$C$2,$C$3,$C$4,$C$6,$C$5,$C$7,AA$1,AA$2,$A254)</f>
        <v>-1.5364811535879377</v>
      </c>
      <c r="AB254" s="33">
        <f ca="1">_xll.DBRW($C$1,$C$2,$C$3,$C$4,$C$6,$C$5,$C$7,AB$1,AB$2,$A254)</f>
        <v>-2.4032821741110086</v>
      </c>
      <c r="AC254" s="33">
        <f ca="1">_xll.DBRW($C$1,$C$2,$C$3,$C$4,$C$6,$C$5,$C$7,AC$1,AC$2,$A254)</f>
        <v>-3.1930875125368381</v>
      </c>
      <c r="AD254" s="33">
        <f ca="1">_xll.DBRW($C$1,$C$2,$C$3,$C$4,$C$6,$C$5,$C$7,AD$1,AD$2,$A254)</f>
        <v>-4.0003693676303342</v>
      </c>
      <c r="AE254" s="33">
        <f ca="1">_xll.DBRW($C$1,$C$2,$C$3,$C$4,$C$6,$C$5,$C$7,AE$1,AE$2,$A254)</f>
        <v>-4.8145033490973406</v>
      </c>
      <c r="AF254" s="33">
        <f ca="1">_xll.DBRW($C$1,$C$2,$C$3,$C$4,$C$6,$C$5,$C$7,AF$1,AF$2,$A254)</f>
        <v>-5.6133577810385127</v>
      </c>
      <c r="AG254" s="33">
        <f ca="1">_xll.DBRW($C$1,$C$2,$C$3,$C$4,$C$6,$C$5,$C$7,AG$1,AG$2,$A254)</f>
        <v>-6.3711290770974021</v>
      </c>
      <c r="AH254" s="33">
        <f ca="1">_xll.DBRW($C$1,$C$2,$C$3,$C$4,$C$6,$C$5,$C$7,AH$1,AH$2,$A254)</f>
        <v>-7.1656060445278591</v>
      </c>
      <c r="AI254" s="33">
        <f ca="1">_xll.DBRW($C$1,$C$2,$C$3,$C$4,$C$6,$C$5,$C$7,AI$1,AI$2,$A254)</f>
        <v>-7.9654167145083168</v>
      </c>
      <c r="AJ254" s="33">
        <f ca="1">_xll.DBRW($C$1,$C$2,$C$3,$C$4,$C$6,$C$5,$C$7,AJ$1,AJ$2,$A254)</f>
        <v>-8.7910387354691668</v>
      </c>
      <c r="AK254" s="33">
        <f ca="1">_xll.DBRW($C$1,$C$2,$C$3,$C$4,$C$6,$C$5,$C$7,AK$1,AK$2,$A254)</f>
        <v>-9.6180933354485436</v>
      </c>
      <c r="AL254" s="33">
        <f ca="1">_xll.DBRW($C$1,$C$2,$C$3,$C$4,$C$6,$C$5,$C$7,AL$1,AL$2,$A254)</f>
        <v>-9.6180933354485436</v>
      </c>
      <c r="AM254" s="33">
        <f ca="1">_xll.DBRW($C$1,$C$2,$C$3,$C$4,$C$6,$C$5,$C$7,AM$1,AM$2,$A254)</f>
        <v>-0.54627083171654778</v>
      </c>
      <c r="AN254" s="33">
        <f ca="1">_xll.DBRW($C$1,$C$2,$C$3,$C$4,$C$6,$C$5,$C$7,AN$1,AN$2,$A254)</f>
        <v>-1.4634083781516274</v>
      </c>
      <c r="AO254" s="33">
        <f ca="1">_xll.DBRW($C$1,$C$2,$C$3,$C$4,$C$6,$C$5,$C$7,AO$1,AO$2,$A254)</f>
        <v>-2.8189256484623115E-17</v>
      </c>
      <c r="AP254" s="33">
        <f ca="1">_xll.DBRW($C$1,$C$2,$C$3,$C$4,$C$6,$C$5,$C$7,AP$1,AP$2,$A254)</f>
        <v>-2.8189256484623115E-17</v>
      </c>
      <c r="AQ254" s="33">
        <f ca="1">_xll.DBRW($C$1,$C$2,$C$3,$C$4,$C$6,$C$5,$C$7,AQ$1,AQ$2,$A254)</f>
        <v>-2.8189256484623115E-17</v>
      </c>
      <c r="AR254" s="33">
        <f ca="1">_xll.DBRW($C$1,$C$2,$C$3,$C$4,$C$6,$C$5,$C$7,AR$1,AR$2,$A254)</f>
        <v>-2.8189256484623115E-17</v>
      </c>
      <c r="AS254" s="33">
        <f ca="1">_xll.DBRW($C$1,$C$2,$C$3,$C$4,$C$6,$C$5,$C$7,AS$1,AS$2,$A254)</f>
        <v>-2.8189256484623115E-17</v>
      </c>
      <c r="AT254" s="33">
        <f ca="1">_xll.DBRW($C$1,$C$2,$C$3,$C$4,$C$6,$C$5,$C$7,AT$1,AT$2,$A254)</f>
        <v>-2.8189256484623115E-17</v>
      </c>
      <c r="AU254" s="33">
        <f ca="1">_xll.DBRW($C$1,$C$2,$C$3,$C$4,$C$6,$C$5,$C$7,AU$1,AU$2,$A254)</f>
        <v>-2.8189256484623115E-17</v>
      </c>
      <c r="AV254" s="33">
        <f ca="1">_xll.DBRW($C$1,$C$2,$C$3,$C$4,$C$6,$C$5,$C$7,AV$1,AV$2,$A254)</f>
        <v>-2.8189256484623115E-17</v>
      </c>
      <c r="AW254" s="33">
        <f ca="1">_xll.DBRW($C$1,$C$2,$C$3,$C$4,$C$6,$C$5,$C$7,AW$1,AW$2,$A254)</f>
        <v>-2.8189256484623115E-17</v>
      </c>
      <c r="AX254" s="33">
        <f ca="1">_xll.DBRW($C$1,$C$2,$C$3,$C$4,$C$6,$C$5,$C$7,AX$1,AX$2,$A254)</f>
        <v>-2.8189256484623115E-17</v>
      </c>
      <c r="AY254" s="33">
        <f ca="1">_xll.DBRW($C$1,$C$2,$C$3,$C$4,$C$6,$C$5,$C$7,AY$1,AY$2,$A254)</f>
        <v>-2.8189256484623115E-17</v>
      </c>
    </row>
    <row r="255" spans="1:51" ht="15.5" hidden="1" outlineLevel="1" collapsed="1">
      <c r="C255" s="104"/>
      <c r="E255" s="84" t="s">
        <v>59</v>
      </c>
      <c r="F255" s="39">
        <f t="shared" ref="F255:M255" ca="1" si="167">F254</f>
        <v>-1.2737583677966788</v>
      </c>
      <c r="G255" s="39">
        <f t="shared" ca="1" si="167"/>
        <v>-5.8221579944902837</v>
      </c>
      <c r="H255" s="39">
        <f t="shared" ca="1" si="167"/>
        <v>-5.3216188884153173</v>
      </c>
      <c r="I255" s="39">
        <f t="shared" ca="1" si="167"/>
        <v>-5.7034010208135246</v>
      </c>
      <c r="J255" s="39">
        <f t="shared" ca="1" si="167"/>
        <v>-7.0146387533132311</v>
      </c>
      <c r="K255" s="39">
        <f t="shared" ca="1" si="167"/>
        <v>-7.4110187972579888</v>
      </c>
      <c r="L255" s="39">
        <f t="shared" ca="1" si="167"/>
        <v>-7.4435865759999995</v>
      </c>
      <c r="M255" s="39">
        <f t="shared" ca="1" si="167"/>
        <v>-1.2302768708349452</v>
      </c>
      <c r="N255" s="39">
        <f t="shared" ref="N255:X255" ca="1" si="168">N254</f>
        <v>-3.0252932466060867</v>
      </c>
      <c r="O255" s="39">
        <f t="shared" ca="1" si="168"/>
        <v>-3.6655184141827069</v>
      </c>
      <c r="P255" s="39">
        <f t="shared" ca="1" si="168"/>
        <v>-5.1913122626198724</v>
      </c>
      <c r="Q255" s="39">
        <f t="shared" ca="1" si="168"/>
        <v>-6.5338522762132465</v>
      </c>
      <c r="R255" s="39">
        <f t="shared" ca="1" si="168"/>
        <v>-8.0513079379892627</v>
      </c>
      <c r="S255" s="39">
        <f t="shared" ca="1" si="168"/>
        <v>-4.6891968599999982</v>
      </c>
      <c r="T255" s="39">
        <f t="shared" ca="1" si="168"/>
        <v>-9.7345586753143074</v>
      </c>
      <c r="U255" s="39">
        <f t="shared" ca="1" si="168"/>
        <v>-10.32325674597586</v>
      </c>
      <c r="V255" s="39">
        <f t="shared" ca="1" si="168"/>
        <v>-5.2560793919501583</v>
      </c>
      <c r="W255" s="39">
        <f t="shared" ca="1" si="168"/>
        <v>-10.550834046117636</v>
      </c>
      <c r="X255" s="39">
        <f t="shared" ca="1" si="168"/>
        <v>-12.768557141728897</v>
      </c>
      <c r="Y255" s="39">
        <f ca="1">Y254</f>
        <v>-12.768557141728897</v>
      </c>
      <c r="Z255" s="39">
        <f ca="1">Z254</f>
        <v>-0.62218889422857671</v>
      </c>
      <c r="AA255" s="39">
        <f t="shared" ref="AA255:AK255" ca="1" si="169">AA254</f>
        <v>-1.5364811535879377</v>
      </c>
      <c r="AB255" s="39">
        <f t="shared" ca="1" si="169"/>
        <v>-2.4032821741110086</v>
      </c>
      <c r="AC255" s="39">
        <f t="shared" ca="1" si="169"/>
        <v>-3.1930875125368381</v>
      </c>
      <c r="AD255" s="39">
        <f t="shared" ca="1" si="169"/>
        <v>-4.0003693676303342</v>
      </c>
      <c r="AE255" s="39">
        <f t="shared" ca="1" si="169"/>
        <v>-4.8145033490973406</v>
      </c>
      <c r="AF255" s="39">
        <f t="shared" ca="1" si="169"/>
        <v>-5.6133577810385127</v>
      </c>
      <c r="AG255" s="39">
        <f t="shared" ca="1" si="169"/>
        <v>-6.3711290770974021</v>
      </c>
      <c r="AH255" s="39">
        <f t="shared" ca="1" si="169"/>
        <v>-7.1656060445278591</v>
      </c>
      <c r="AI255" s="39">
        <f t="shared" ca="1" si="169"/>
        <v>-7.9654167145083168</v>
      </c>
      <c r="AJ255" s="39">
        <f t="shared" ca="1" si="169"/>
        <v>-8.7910387354691668</v>
      </c>
      <c r="AK255" s="39">
        <f t="shared" ca="1" si="169"/>
        <v>-9.6180933354485436</v>
      </c>
      <c r="AL255" s="39">
        <f ca="1">AL254</f>
        <v>-9.6180933354485436</v>
      </c>
      <c r="AM255" s="39">
        <f ca="1">AM254</f>
        <v>-0.54627083171654778</v>
      </c>
      <c r="AN255" s="39">
        <f t="shared" ref="AN255:AX255" ca="1" si="170">AN254</f>
        <v>-1.4634083781516274</v>
      </c>
      <c r="AO255" s="39">
        <f t="shared" ca="1" si="170"/>
        <v>-2.8189256484623115E-17</v>
      </c>
      <c r="AP255" s="39">
        <f t="shared" ca="1" si="170"/>
        <v>-2.8189256484623115E-17</v>
      </c>
      <c r="AQ255" s="39">
        <f t="shared" ca="1" si="170"/>
        <v>-2.8189256484623115E-17</v>
      </c>
      <c r="AR255" s="39">
        <f t="shared" ca="1" si="170"/>
        <v>-2.8189256484623115E-17</v>
      </c>
      <c r="AS255" s="39">
        <f t="shared" ca="1" si="170"/>
        <v>-2.8189256484623115E-17</v>
      </c>
      <c r="AT255" s="39">
        <f t="shared" ca="1" si="170"/>
        <v>-2.8189256484623115E-17</v>
      </c>
      <c r="AU255" s="39">
        <f t="shared" ca="1" si="170"/>
        <v>-2.8189256484623115E-17</v>
      </c>
      <c r="AV255" s="39">
        <f t="shared" ca="1" si="170"/>
        <v>-2.8189256484623115E-17</v>
      </c>
      <c r="AW255" s="39">
        <f t="shared" ca="1" si="170"/>
        <v>-2.8189256484623115E-17</v>
      </c>
      <c r="AX255" s="39">
        <f t="shared" ca="1" si="170"/>
        <v>-2.8189256484623115E-17</v>
      </c>
      <c r="AY255" s="39">
        <f ca="1">AY254</f>
        <v>-2.8189256484623115E-17</v>
      </c>
    </row>
    <row r="256" spans="1:51" ht="15.75" hidden="1" customHeight="1" outlineLevel="2">
      <c r="A256" s="1" t="s">
        <v>325</v>
      </c>
      <c r="C256" s="104"/>
      <c r="E256" s="9" t="str">
        <f ca="1">_xll.DBRW(Server&amp;"}ElementAttributes_Indicator",A256,"code_English")</f>
        <v>PL0000_TM - Tax Management</v>
      </c>
      <c r="F256" s="33">
        <f ca="1">_xll.DBRW($C$1,$C$2,$C$3,$C$4,$C$6,$C$5,$C$7,F$1,F$2,$A256)</f>
        <v>-5.4518801449326783E-2</v>
      </c>
      <c r="G256" s="33">
        <f ca="1">_xll.DBRW($C$1,$C$2,$C$3,$C$4,$C$6,$C$5,$C$7,G$1,G$2,$A256)</f>
        <v>-4.2489632208981408E-2</v>
      </c>
      <c r="H256" s="33">
        <f ca="1">_xll.DBRW($C$1,$C$2,$C$3,$C$4,$C$6,$C$5,$C$7,H$1,H$2,$A256)</f>
        <v>-0.11566023864627681</v>
      </c>
      <c r="I256" s="33">
        <f ca="1">_xll.DBRW($C$1,$C$2,$C$3,$C$4,$C$6,$C$5,$C$7,I$1,I$2,$A256)</f>
        <v>-7.0914921017137839E-2</v>
      </c>
      <c r="J256" s="33">
        <f ca="1">_xll.DBRW($C$1,$C$2,$C$3,$C$4,$C$6,$C$5,$C$7,J$1,J$2,$A256)</f>
        <v>-0.24364700304499207</v>
      </c>
      <c r="K256" s="33">
        <f ca="1">_xll.DBRW($C$1,$C$2,$C$3,$C$4,$C$6,$C$5,$C$7,K$1,K$2,$A256)</f>
        <v>-0.3206369062825255</v>
      </c>
      <c r="L256" s="33">
        <f ca="1">_xll.DBRW($C$1,$C$2,$C$3,$C$4,$C$6,$C$5,$C$7,L$1,L$2,$A256)</f>
        <v>-0.44094530999960002</v>
      </c>
      <c r="M256" s="33">
        <f ca="1">_xll.DBRW($C$1,$C$2,$C$3,$C$4,$C$6,$C$5,$C$7,M$1,M$2,$A256)</f>
        <v>-6.3326999999999991E-4</v>
      </c>
      <c r="N256" s="33">
        <f ca="1">_xll.DBRW($C$1,$C$2,$C$3,$C$4,$C$6,$C$5,$C$7,N$1,N$2,$A256)</f>
        <v>-6.5061729999999998E-2</v>
      </c>
      <c r="O256" s="33">
        <f ca="1">_xll.DBRW($C$1,$C$2,$C$3,$C$4,$C$6,$C$5,$C$7,O$1,O$2,$A256)</f>
        <v>-9.9174380000000006E-2</v>
      </c>
      <c r="P256" s="33">
        <f ca="1">_xll.DBRW($C$1,$C$2,$C$3,$C$4,$C$6,$C$5,$C$7,P$1,P$2,$A256)</f>
        <v>-0.13788801000000001</v>
      </c>
      <c r="Q256" s="33">
        <f ca="1">_xll.DBRW($C$1,$C$2,$C$3,$C$4,$C$6,$C$5,$C$7,Q$1,Q$2,$A256)</f>
        <v>-0.16679745000000001</v>
      </c>
      <c r="R256" s="33">
        <f ca="1">_xll.DBRW($C$1,$C$2,$C$3,$C$4,$C$6,$C$5,$C$7,R$1,R$2,$A256)</f>
        <v>-0.19904148999999999</v>
      </c>
      <c r="S256" s="33">
        <f ca="1">_xll.DBRW($C$1,$C$2,$C$3,$C$4,$C$6,$C$5,$C$7,S$1,S$2,$A256)</f>
        <v>-1.6206299999999979E-3</v>
      </c>
      <c r="T256" s="33">
        <f ca="1">_xll.DBRW($C$1,$C$2,$C$3,$C$4,$C$6,$C$5,$C$7,T$1,T$2,$A256)</f>
        <v>-0.26420455999999998</v>
      </c>
      <c r="U256" s="33">
        <f ca="1">_xll.DBRW($C$1,$C$2,$C$3,$C$4,$C$6,$C$5,$C$7,U$1,U$2,$A256)</f>
        <v>-0.27301226000000006</v>
      </c>
      <c r="V256" s="33">
        <f ca="1">_xll.DBRW($C$1,$C$2,$C$3,$C$4,$C$6,$C$5,$C$7,V$1,V$2,$A256)</f>
        <v>-5.3047877713663025E-3</v>
      </c>
      <c r="W256" s="33">
        <f ca="1">_xll.DBRW($C$1,$C$2,$C$3,$C$4,$C$6,$C$5,$C$7,W$1,W$2,$A256)</f>
        <v>-0.3533854329138239</v>
      </c>
      <c r="X256" s="33">
        <f ca="1">_xll.DBRW($C$1,$C$2,$C$3,$C$4,$C$6,$C$5,$C$7,X$1,X$2,$A256)</f>
        <v>-0.35082132147098183</v>
      </c>
      <c r="Y256" s="33">
        <f ca="1">_xll.DBRW($C$1,$C$2,$C$3,$C$4,$C$6,$C$5,$C$7,Y$1,Y$2,$A256)</f>
        <v>-0.35082132147098183</v>
      </c>
      <c r="Z256" s="33">
        <f ca="1">_xll.DBRW($C$1,$C$2,$C$3,$C$4,$C$6,$C$5,$C$7,Z$1,Z$2,$A256)</f>
        <v>-3.42865906075E-2</v>
      </c>
      <c r="AA256" s="33">
        <f ca="1">_xll.DBRW($C$1,$C$2,$C$3,$C$4,$C$6,$C$5,$C$7,AA$1,AA$2,$A256)</f>
        <v>-6.8573181214999987E-2</v>
      </c>
      <c r="AB256" s="33">
        <f ca="1">_xll.DBRW($C$1,$C$2,$C$3,$C$4,$C$6,$C$5,$C$7,AB$1,AB$2,$A256)</f>
        <v>-0.10285977182249999</v>
      </c>
      <c r="AC256" s="33">
        <f ca="1">_xll.DBRW($C$1,$C$2,$C$3,$C$4,$C$6,$C$5,$C$7,AC$1,AC$2,$A256)</f>
        <v>-0.13335330242999999</v>
      </c>
      <c r="AD256" s="33">
        <f ca="1">_xll.DBRW($C$1,$C$2,$C$3,$C$4,$C$6,$C$5,$C$7,AD$1,AD$2,$A256)</f>
        <v>-0.16763989303749999</v>
      </c>
      <c r="AE256" s="33">
        <f ca="1">_xll.DBRW($C$1,$C$2,$C$3,$C$4,$C$6,$C$5,$C$7,AE$1,AE$2,$A256)</f>
        <v>-0.20192648364499996</v>
      </c>
      <c r="AF256" s="33">
        <f ca="1">_xll.DBRW($C$1,$C$2,$C$3,$C$4,$C$6,$C$5,$C$7,AF$1,AF$2,$A256)</f>
        <v>-0.23654640758579998</v>
      </c>
      <c r="AG256" s="33">
        <f ca="1">_xll.DBRW($C$1,$C$2,$C$3,$C$4,$C$6,$C$5,$C$7,AG$1,AG$2,$A256)</f>
        <v>-0.29866633152659994</v>
      </c>
      <c r="AH256" s="33">
        <f ca="1">_xll.DBRW($C$1,$C$2,$C$3,$C$4,$C$6,$C$5,$C$7,AH$1,AH$2,$A256)</f>
        <v>-0.34076610546739994</v>
      </c>
      <c r="AI256" s="33">
        <f ca="1">_xll.DBRW($C$1,$C$2,$C$3,$C$4,$C$6,$C$5,$C$7,AI$1,AI$2,$A256)</f>
        <v>-0.38286587940819999</v>
      </c>
      <c r="AJ256" s="33">
        <f ca="1">_xll.DBRW($C$1,$C$2,$C$3,$C$4,$C$6,$C$5,$C$7,AJ$1,AJ$2,$A256)</f>
        <v>-0.42496565334899994</v>
      </c>
      <c r="AK256" s="33">
        <f ca="1">_xll.DBRW($C$1,$C$2,$C$3,$C$4,$C$6,$C$5,$C$7,AK$1,AK$2,$A256)</f>
        <v>-0.48206542728979995</v>
      </c>
      <c r="AL256" s="33">
        <f ca="1">_xll.DBRW($C$1,$C$2,$C$3,$C$4,$C$6,$C$5,$C$7,AL$1,AL$2,$A256)</f>
        <v>-0.48206542728979995</v>
      </c>
      <c r="AM256" s="33">
        <f ca="1">_xll.DBRW($C$1,$C$2,$C$3,$C$4,$C$6,$C$5,$C$7,AM$1,AM$2,$A256)</f>
        <v>-6.1806999999999997E-4</v>
      </c>
      <c r="AN256" s="33">
        <f ca="1">_xll.DBRW($C$1,$C$2,$C$3,$C$4,$C$6,$C$5,$C$7,AN$1,AN$2,$A256)</f>
        <v>-6.3854746257475586E-2</v>
      </c>
      <c r="AO256" s="33">
        <f ca="1">_xll.DBRW($C$1,$C$2,$C$3,$C$4,$C$6,$C$5,$C$7,AO$1,AO$2,$A256)</f>
        <v>8.1315162936412833E-19</v>
      </c>
      <c r="AP256" s="33">
        <f ca="1">_xll.DBRW($C$1,$C$2,$C$3,$C$4,$C$6,$C$5,$C$7,AP$1,AP$2,$A256)</f>
        <v>8.1315162936412833E-19</v>
      </c>
      <c r="AQ256" s="33">
        <f ca="1">_xll.DBRW($C$1,$C$2,$C$3,$C$4,$C$6,$C$5,$C$7,AQ$1,AQ$2,$A256)</f>
        <v>8.1315162936412833E-19</v>
      </c>
      <c r="AR256" s="33">
        <f ca="1">_xll.DBRW($C$1,$C$2,$C$3,$C$4,$C$6,$C$5,$C$7,AR$1,AR$2,$A256)</f>
        <v>8.1315162936412833E-19</v>
      </c>
      <c r="AS256" s="33">
        <f ca="1">_xll.DBRW($C$1,$C$2,$C$3,$C$4,$C$6,$C$5,$C$7,AS$1,AS$2,$A256)</f>
        <v>8.1315162936412833E-19</v>
      </c>
      <c r="AT256" s="33">
        <f ca="1">_xll.DBRW($C$1,$C$2,$C$3,$C$4,$C$6,$C$5,$C$7,AT$1,AT$2,$A256)</f>
        <v>8.1315162936412833E-19</v>
      </c>
      <c r="AU256" s="33">
        <f ca="1">_xll.DBRW($C$1,$C$2,$C$3,$C$4,$C$6,$C$5,$C$7,AU$1,AU$2,$A256)</f>
        <v>8.1315162936412833E-19</v>
      </c>
      <c r="AV256" s="33">
        <f ca="1">_xll.DBRW($C$1,$C$2,$C$3,$C$4,$C$6,$C$5,$C$7,AV$1,AV$2,$A256)</f>
        <v>8.1315162936412833E-19</v>
      </c>
      <c r="AW256" s="33">
        <f ca="1">_xll.DBRW($C$1,$C$2,$C$3,$C$4,$C$6,$C$5,$C$7,AW$1,AW$2,$A256)</f>
        <v>8.1315162936412833E-19</v>
      </c>
      <c r="AX256" s="33">
        <f ca="1">_xll.DBRW($C$1,$C$2,$C$3,$C$4,$C$6,$C$5,$C$7,AX$1,AX$2,$A256)</f>
        <v>8.1315162936412833E-19</v>
      </c>
      <c r="AY256" s="33">
        <f ca="1">_xll.DBRW($C$1,$C$2,$C$3,$C$4,$C$6,$C$5,$C$7,AY$1,AY$2,$A256)</f>
        <v>8.1315162936412833E-19</v>
      </c>
    </row>
    <row r="257" spans="1:51" ht="15.5" hidden="1" outlineLevel="1" collapsed="1">
      <c r="C257" s="104"/>
      <c r="E257" s="84" t="s">
        <v>60</v>
      </c>
      <c r="F257" s="39">
        <f t="shared" ref="F257:M257" ca="1" si="171">F256</f>
        <v>-5.4518801449326783E-2</v>
      </c>
      <c r="G257" s="39">
        <f t="shared" ca="1" si="171"/>
        <v>-4.2489632208981408E-2</v>
      </c>
      <c r="H257" s="39">
        <f t="shared" ca="1" si="171"/>
        <v>-0.11566023864627681</v>
      </c>
      <c r="I257" s="39">
        <f t="shared" ca="1" si="171"/>
        <v>-7.0914921017137839E-2</v>
      </c>
      <c r="J257" s="39">
        <f t="shared" ca="1" si="171"/>
        <v>-0.24364700304499207</v>
      </c>
      <c r="K257" s="39">
        <f t="shared" ca="1" si="171"/>
        <v>-0.3206369062825255</v>
      </c>
      <c r="L257" s="39">
        <f t="shared" ca="1" si="171"/>
        <v>-0.44094530999960002</v>
      </c>
      <c r="M257" s="39">
        <f t="shared" ca="1" si="171"/>
        <v>-6.3326999999999991E-4</v>
      </c>
      <c r="N257" s="39">
        <f t="shared" ref="N257:X257" ca="1" si="172">N256</f>
        <v>-6.5061729999999998E-2</v>
      </c>
      <c r="O257" s="39">
        <f t="shared" ca="1" si="172"/>
        <v>-9.9174380000000006E-2</v>
      </c>
      <c r="P257" s="39">
        <f t="shared" ca="1" si="172"/>
        <v>-0.13788801000000001</v>
      </c>
      <c r="Q257" s="39">
        <f t="shared" ca="1" si="172"/>
        <v>-0.16679745000000001</v>
      </c>
      <c r="R257" s="39">
        <f t="shared" ca="1" si="172"/>
        <v>-0.19904148999999999</v>
      </c>
      <c r="S257" s="39">
        <f t="shared" ca="1" si="172"/>
        <v>-1.6206299999999979E-3</v>
      </c>
      <c r="T257" s="39">
        <f t="shared" ca="1" si="172"/>
        <v>-0.26420455999999998</v>
      </c>
      <c r="U257" s="39">
        <f t="shared" ca="1" si="172"/>
        <v>-0.27301226000000006</v>
      </c>
      <c r="V257" s="39">
        <f t="shared" ca="1" si="172"/>
        <v>-5.3047877713663025E-3</v>
      </c>
      <c r="W257" s="39">
        <f t="shared" ca="1" si="172"/>
        <v>-0.3533854329138239</v>
      </c>
      <c r="X257" s="39">
        <f t="shared" ca="1" si="172"/>
        <v>-0.35082132147098183</v>
      </c>
      <c r="Y257" s="39">
        <f ca="1">Y256</f>
        <v>-0.35082132147098183</v>
      </c>
      <c r="Z257" s="39">
        <f ca="1">Z256</f>
        <v>-3.42865906075E-2</v>
      </c>
      <c r="AA257" s="39">
        <f t="shared" ref="AA257:AK257" ca="1" si="173">AA256</f>
        <v>-6.8573181214999987E-2</v>
      </c>
      <c r="AB257" s="39">
        <f t="shared" ca="1" si="173"/>
        <v>-0.10285977182249999</v>
      </c>
      <c r="AC257" s="39">
        <f t="shared" ca="1" si="173"/>
        <v>-0.13335330242999999</v>
      </c>
      <c r="AD257" s="39">
        <f t="shared" ca="1" si="173"/>
        <v>-0.16763989303749999</v>
      </c>
      <c r="AE257" s="39">
        <f t="shared" ca="1" si="173"/>
        <v>-0.20192648364499996</v>
      </c>
      <c r="AF257" s="39">
        <f t="shared" ca="1" si="173"/>
        <v>-0.23654640758579998</v>
      </c>
      <c r="AG257" s="39">
        <f t="shared" ca="1" si="173"/>
        <v>-0.29866633152659994</v>
      </c>
      <c r="AH257" s="39">
        <f t="shared" ca="1" si="173"/>
        <v>-0.34076610546739994</v>
      </c>
      <c r="AI257" s="39">
        <f t="shared" ca="1" si="173"/>
        <v>-0.38286587940819999</v>
      </c>
      <c r="AJ257" s="39">
        <f t="shared" ca="1" si="173"/>
        <v>-0.42496565334899994</v>
      </c>
      <c r="AK257" s="39">
        <f t="shared" ca="1" si="173"/>
        <v>-0.48206542728979995</v>
      </c>
      <c r="AL257" s="39">
        <f ca="1">AL256</f>
        <v>-0.48206542728979995</v>
      </c>
      <c r="AM257" s="39">
        <f ca="1">AM256</f>
        <v>-6.1806999999999997E-4</v>
      </c>
      <c r="AN257" s="39">
        <f t="shared" ref="AN257:AX257" ca="1" si="174">AN256</f>
        <v>-6.3854746257475586E-2</v>
      </c>
      <c r="AO257" s="39">
        <f t="shared" ca="1" si="174"/>
        <v>8.1315162936412833E-19</v>
      </c>
      <c r="AP257" s="39">
        <f t="shared" ca="1" si="174"/>
        <v>8.1315162936412833E-19</v>
      </c>
      <c r="AQ257" s="39">
        <f t="shared" ca="1" si="174"/>
        <v>8.1315162936412833E-19</v>
      </c>
      <c r="AR257" s="39">
        <f t="shared" ca="1" si="174"/>
        <v>8.1315162936412833E-19</v>
      </c>
      <c r="AS257" s="39">
        <f t="shared" ca="1" si="174"/>
        <v>8.1315162936412833E-19</v>
      </c>
      <c r="AT257" s="39">
        <f t="shared" ca="1" si="174"/>
        <v>8.1315162936412833E-19</v>
      </c>
      <c r="AU257" s="39">
        <f t="shared" ca="1" si="174"/>
        <v>8.1315162936412833E-19</v>
      </c>
      <c r="AV257" s="39">
        <f t="shared" ca="1" si="174"/>
        <v>8.1315162936412833E-19</v>
      </c>
      <c r="AW257" s="39">
        <f t="shared" ca="1" si="174"/>
        <v>8.1315162936412833E-19</v>
      </c>
      <c r="AX257" s="39">
        <f t="shared" ca="1" si="174"/>
        <v>8.1315162936412833E-19</v>
      </c>
      <c r="AY257" s="39">
        <f ca="1">AY256</f>
        <v>8.1315162936412833E-19</v>
      </c>
    </row>
    <row r="258" spans="1:51" ht="15.75" hidden="1" customHeight="1" outlineLevel="2">
      <c r="A258" s="1" t="s">
        <v>326</v>
      </c>
      <c r="C258" s="104"/>
      <c r="E258" s="9" t="str">
        <f ca="1">_xll.DBRW(Server&amp;"}ElementAttributes_Indicator",A258,"code_English")</f>
        <v>PL0000_MGF - Management fees</v>
      </c>
      <c r="F258" s="33">
        <f ca="1">_xll.DBRW($C$1,$C$2,$C$3,$C$4,$C$6,$C$5,$C$7,F$1,F$2,$A258)</f>
        <v>-1.3695657460944286</v>
      </c>
      <c r="G258" s="33">
        <f ca="1">_xll.DBRW($C$1,$C$2,$C$3,$C$4,$C$6,$C$5,$C$7,G$1,G$2,$A258)</f>
        <v>-9.7726730757876474</v>
      </c>
      <c r="H258" s="33">
        <f ca="1">_xll.DBRW($C$1,$C$2,$C$3,$C$4,$C$6,$C$5,$C$7,H$1,H$2,$A258)</f>
        <v>-7.4220487025125657</v>
      </c>
      <c r="I258" s="33">
        <f ca="1">_xll.DBRW($C$1,$C$2,$C$3,$C$4,$C$6,$C$5,$C$7,I$1,I$2,$A258)</f>
        <v>1.9771960615967767</v>
      </c>
      <c r="J258" s="33">
        <f ca="1">_xll.DBRW($C$1,$C$2,$C$3,$C$4,$C$6,$C$5,$C$7,J$1,J$2,$A258)</f>
        <v>10.533373071817122</v>
      </c>
      <c r="K258" s="33">
        <f ca="1">_xll.DBRW($C$1,$C$2,$C$3,$C$4,$C$6,$C$5,$C$7,K$1,K$2,$A258)</f>
        <v>-1.9658352223475575</v>
      </c>
      <c r="L258" s="33">
        <f ca="1">_xll.DBRW($C$1,$C$2,$C$3,$C$4,$C$6,$C$5,$C$7,L$1,L$2,$A258)</f>
        <v>-28.58581006321316</v>
      </c>
      <c r="M258" s="33">
        <f ca="1">_xll.DBRW($C$1,$C$2,$C$3,$C$4,$C$6,$C$5,$C$7,M$1,M$2,$A258)</f>
        <v>0.23609759527326135</v>
      </c>
      <c r="N258" s="33">
        <f ca="1">_xll.DBRW($C$1,$C$2,$C$3,$C$4,$C$6,$C$5,$C$7,N$1,N$2,$A258)</f>
        <v>0.54510358429730399</v>
      </c>
      <c r="O258" s="33">
        <f ca="1">_xll.DBRW($C$1,$C$2,$C$3,$C$4,$C$6,$C$5,$C$7,O$1,O$2,$A258)</f>
        <v>0.3237401536188349</v>
      </c>
      <c r="P258" s="33">
        <f ca="1">_xll.DBRW($C$1,$C$2,$C$3,$C$4,$C$6,$C$5,$C$7,P$1,P$2,$A258)</f>
        <v>-0.53210473746178311</v>
      </c>
      <c r="Q258" s="33">
        <f ca="1">_xll.DBRW($C$1,$C$2,$C$3,$C$4,$C$6,$C$5,$C$7,Q$1,Q$2,$A258)</f>
        <v>1.0737997200259373</v>
      </c>
      <c r="R258" s="33">
        <f ca="1">_xll.DBRW($C$1,$C$2,$C$3,$C$4,$C$6,$C$5,$C$7,R$1,R$2,$A258)</f>
        <v>1.7532430717199721</v>
      </c>
      <c r="S258" s="33">
        <f ca="1">_xll.DBRW($C$1,$C$2,$C$3,$C$4,$C$6,$C$5,$C$7,S$1,S$2,$A258)</f>
        <v>3.8365407017174444</v>
      </c>
      <c r="T258" s="33">
        <f ca="1">_xll.DBRW($C$1,$C$2,$C$3,$C$4,$C$6,$C$5,$C$7,T$1,T$2,$A258)</f>
        <v>2.0878735071618495</v>
      </c>
      <c r="U258" s="33">
        <f ca="1">_xll.DBRW($C$1,$C$2,$C$3,$C$4,$C$6,$C$5,$C$7,U$1,U$2,$A258)</f>
        <v>3.3940903147679689</v>
      </c>
      <c r="V258" s="33">
        <f ca="1">_xll.DBRW($C$1,$C$2,$C$3,$C$4,$C$6,$C$5,$C$7,V$1,V$2,$A258)</f>
        <v>6.4286115755948092</v>
      </c>
      <c r="W258" s="33">
        <f ca="1">_xll.DBRW($C$1,$C$2,$C$3,$C$4,$C$6,$C$5,$C$7,W$1,W$2,$A258)</f>
        <v>8.4243070251456444</v>
      </c>
      <c r="X258" s="33">
        <f ca="1">_xll.DBRW($C$1,$C$2,$C$3,$C$4,$C$6,$C$5,$C$7,X$1,X$2,$A258)</f>
        <v>6.5809675876843059</v>
      </c>
      <c r="Y258" s="33">
        <f ca="1">_xll.DBRW($C$1,$C$2,$C$3,$C$4,$C$6,$C$5,$C$7,Y$1,Y$2,$A258)</f>
        <v>6.5809675876843059</v>
      </c>
      <c r="Z258" s="33">
        <f ca="1">_xll.DBRW($C$1,$C$2,$C$3,$C$4,$C$6,$C$5,$C$7,Z$1,Z$2,$A258)</f>
        <v>-2.0687018226197722</v>
      </c>
      <c r="AA258" s="33">
        <f ca="1">_xll.DBRW($C$1,$C$2,$C$3,$C$4,$C$6,$C$5,$C$7,AA$1,AA$2,$A258)</f>
        <v>-4.9203454207867754</v>
      </c>
      <c r="AB258" s="33">
        <f ca="1">_xll.DBRW($C$1,$C$2,$C$3,$C$4,$C$6,$C$5,$C$7,AB$1,AB$2,$A258)</f>
        <v>-7.3805191018594254</v>
      </c>
      <c r="AC258" s="33">
        <f ca="1">_xll.DBRW($C$1,$C$2,$C$3,$C$4,$C$6,$C$5,$C$7,AC$1,AC$2,$A258)</f>
        <v>-9.8406915093814966</v>
      </c>
      <c r="AD258" s="33">
        <f ca="1">_xll.DBRW($C$1,$C$2,$C$3,$C$4,$C$6,$C$5,$C$7,AD$1,AD$2,$A258)</f>
        <v>-12.300864519313203</v>
      </c>
      <c r="AE258" s="33">
        <f ca="1">_xll.DBRW($C$1,$C$2,$C$3,$C$4,$C$6,$C$5,$C$7,AE$1,AE$2,$A258)</f>
        <v>-14.761038200385846</v>
      </c>
      <c r="AF258" s="33">
        <f ca="1">_xll.DBRW($C$1,$C$2,$C$3,$C$4,$C$6,$C$5,$C$7,AF$1,AF$2,$A258)</f>
        <v>-17.221210607907913</v>
      </c>
      <c r="AG258" s="33">
        <f ca="1">_xll.DBRW($C$1,$C$2,$C$3,$C$4,$C$6,$C$5,$C$7,AG$1,AG$2,$A258)</f>
        <v>-19.51670661783961</v>
      </c>
      <c r="AH258" s="33">
        <f ca="1">_xll.DBRW($C$1,$C$2,$C$3,$C$4,$C$6,$C$5,$C$7,AH$1,AH$2,$A258)</f>
        <v>-21.812203901321901</v>
      </c>
      <c r="AI258" s="33">
        <f ca="1">_xll.DBRW($C$1,$C$2,$C$3,$C$4,$C$6,$C$5,$C$7,AI$1,AI$2,$A258)</f>
        <v>-24.107699911253604</v>
      </c>
      <c r="AJ258" s="33">
        <f ca="1">_xll.DBRW($C$1,$C$2,$C$3,$C$4,$C$6,$C$5,$C$7,AJ$1,AJ$2,$A258)</f>
        <v>-26.403197194735895</v>
      </c>
      <c r="AK258" s="33">
        <f ca="1">_xll.DBRW($C$1,$C$2,$C$3,$C$4,$C$6,$C$5,$C$7,AK$1,AK$2,$A258)</f>
        <v>-28.698580807077235</v>
      </c>
      <c r="AL258" s="33">
        <f ca="1">_xll.DBRW($C$1,$C$2,$C$3,$C$4,$C$6,$C$5,$C$7,AL$1,AL$2,$A258)</f>
        <v>-28.698580807077235</v>
      </c>
      <c r="AM258" s="33">
        <f ca="1">_xll.DBRW($C$1,$C$2,$C$3,$C$4,$C$6,$C$5,$C$7,AM$1,AM$2,$A258)</f>
        <v>0.11133613561574807</v>
      </c>
      <c r="AN258" s="33">
        <f ca="1">_xll.DBRW($C$1,$C$2,$C$3,$C$4,$C$6,$C$5,$C$7,AN$1,AN$2,$A258)</f>
        <v>-6.4046103757445128E-2</v>
      </c>
      <c r="AO258" s="33">
        <f ca="1">_xll.DBRW($C$1,$C$2,$C$3,$C$4,$C$6,$C$5,$C$7,AO$1,AO$2,$A258)</f>
        <v>10.268002000000005</v>
      </c>
      <c r="AP258" s="33">
        <f ca="1">_xll.DBRW($C$1,$C$2,$C$3,$C$4,$C$6,$C$5,$C$7,AP$1,AP$2,$A258)</f>
        <v>10.268002000000005</v>
      </c>
      <c r="AQ258" s="33">
        <f ca="1">_xll.DBRW($C$1,$C$2,$C$3,$C$4,$C$6,$C$5,$C$7,AQ$1,AQ$2,$A258)</f>
        <v>10.268002000000005</v>
      </c>
      <c r="AR258" s="33">
        <f ca="1">_xll.DBRW($C$1,$C$2,$C$3,$C$4,$C$6,$C$5,$C$7,AR$1,AR$2,$A258)</f>
        <v>10.268002000000005</v>
      </c>
      <c r="AS258" s="33">
        <f ca="1">_xll.DBRW($C$1,$C$2,$C$3,$C$4,$C$6,$C$5,$C$7,AS$1,AS$2,$A258)</f>
        <v>10.268002000000005</v>
      </c>
      <c r="AT258" s="33">
        <f ca="1">_xll.DBRW($C$1,$C$2,$C$3,$C$4,$C$6,$C$5,$C$7,AT$1,AT$2,$A258)</f>
        <v>10.268002000000005</v>
      </c>
      <c r="AU258" s="33">
        <f ca="1">_xll.DBRW($C$1,$C$2,$C$3,$C$4,$C$6,$C$5,$C$7,AU$1,AU$2,$A258)</f>
        <v>10.268002000000005</v>
      </c>
      <c r="AV258" s="33">
        <f ca="1">_xll.DBRW($C$1,$C$2,$C$3,$C$4,$C$6,$C$5,$C$7,AV$1,AV$2,$A258)</f>
        <v>10.268002000000005</v>
      </c>
      <c r="AW258" s="33">
        <f ca="1">_xll.DBRW($C$1,$C$2,$C$3,$C$4,$C$6,$C$5,$C$7,AW$1,AW$2,$A258)</f>
        <v>10.268002000000005</v>
      </c>
      <c r="AX258" s="33">
        <f ca="1">_xll.DBRW($C$1,$C$2,$C$3,$C$4,$C$6,$C$5,$C$7,AX$1,AX$2,$A258)</f>
        <v>10.268002000000005</v>
      </c>
      <c r="AY258" s="33">
        <f ca="1">_xll.DBRW($C$1,$C$2,$C$3,$C$4,$C$6,$C$5,$C$7,AY$1,AY$2,$A258)</f>
        <v>10.268002000000005</v>
      </c>
    </row>
    <row r="259" spans="1:51" ht="15.5" hidden="1" outlineLevel="1" collapsed="1">
      <c r="C259" s="104"/>
      <c r="E259" s="84" t="s">
        <v>61</v>
      </c>
      <c r="F259" s="39">
        <f t="shared" ref="F259:M259" ca="1" si="175">F258</f>
        <v>-1.3695657460944286</v>
      </c>
      <c r="G259" s="39">
        <f t="shared" ca="1" si="175"/>
        <v>-9.7726730757876474</v>
      </c>
      <c r="H259" s="39">
        <f t="shared" ca="1" si="175"/>
        <v>-7.4220487025125657</v>
      </c>
      <c r="I259" s="39">
        <f t="shared" ca="1" si="175"/>
        <v>1.9771960615967767</v>
      </c>
      <c r="J259" s="39">
        <f t="shared" ca="1" si="175"/>
        <v>10.533373071817122</v>
      </c>
      <c r="K259" s="39">
        <f t="shared" ca="1" si="175"/>
        <v>-1.9658352223475575</v>
      </c>
      <c r="L259" s="39">
        <f t="shared" ca="1" si="175"/>
        <v>-28.58581006321316</v>
      </c>
      <c r="M259" s="39">
        <f t="shared" ca="1" si="175"/>
        <v>0.23609759527326135</v>
      </c>
      <c r="N259" s="39">
        <f t="shared" ref="N259:X259" ca="1" si="176">N258</f>
        <v>0.54510358429730399</v>
      </c>
      <c r="O259" s="39">
        <f t="shared" ca="1" si="176"/>
        <v>0.3237401536188349</v>
      </c>
      <c r="P259" s="39">
        <f t="shared" ca="1" si="176"/>
        <v>-0.53210473746178311</v>
      </c>
      <c r="Q259" s="39">
        <f t="shared" ca="1" si="176"/>
        <v>1.0737997200259373</v>
      </c>
      <c r="R259" s="39">
        <f t="shared" ca="1" si="176"/>
        <v>1.7532430717199721</v>
      </c>
      <c r="S259" s="39">
        <f t="shared" ca="1" si="176"/>
        <v>3.8365407017174444</v>
      </c>
      <c r="T259" s="39">
        <f t="shared" ca="1" si="176"/>
        <v>2.0878735071618495</v>
      </c>
      <c r="U259" s="39">
        <f t="shared" ca="1" si="176"/>
        <v>3.3940903147679689</v>
      </c>
      <c r="V259" s="39">
        <f t="shared" ca="1" si="176"/>
        <v>6.4286115755948092</v>
      </c>
      <c r="W259" s="39">
        <f t="shared" ca="1" si="176"/>
        <v>8.4243070251456444</v>
      </c>
      <c r="X259" s="39">
        <f t="shared" ca="1" si="176"/>
        <v>6.5809675876843059</v>
      </c>
      <c r="Y259" s="39">
        <f ca="1">Y258</f>
        <v>6.5809675876843059</v>
      </c>
      <c r="Z259" s="39">
        <f ca="1">Z258</f>
        <v>-2.0687018226197722</v>
      </c>
      <c r="AA259" s="39">
        <f t="shared" ref="AA259:AK259" ca="1" si="177">AA258</f>
        <v>-4.9203454207867754</v>
      </c>
      <c r="AB259" s="39">
        <f t="shared" ca="1" si="177"/>
        <v>-7.3805191018594254</v>
      </c>
      <c r="AC259" s="39">
        <f t="shared" ca="1" si="177"/>
        <v>-9.8406915093814966</v>
      </c>
      <c r="AD259" s="39">
        <f t="shared" ca="1" si="177"/>
        <v>-12.300864519313203</v>
      </c>
      <c r="AE259" s="39">
        <f t="shared" ca="1" si="177"/>
        <v>-14.761038200385846</v>
      </c>
      <c r="AF259" s="39">
        <f t="shared" ca="1" si="177"/>
        <v>-17.221210607907913</v>
      </c>
      <c r="AG259" s="39">
        <f t="shared" ca="1" si="177"/>
        <v>-19.51670661783961</v>
      </c>
      <c r="AH259" s="39">
        <f t="shared" ca="1" si="177"/>
        <v>-21.812203901321901</v>
      </c>
      <c r="AI259" s="39">
        <f t="shared" ca="1" si="177"/>
        <v>-24.107699911253604</v>
      </c>
      <c r="AJ259" s="39">
        <f t="shared" ca="1" si="177"/>
        <v>-26.403197194735895</v>
      </c>
      <c r="AK259" s="39">
        <f t="shared" ca="1" si="177"/>
        <v>-28.698580807077235</v>
      </c>
      <c r="AL259" s="39">
        <f ca="1">AL258</f>
        <v>-28.698580807077235</v>
      </c>
      <c r="AM259" s="39">
        <f ca="1">AM258</f>
        <v>0.11133613561574807</v>
      </c>
      <c r="AN259" s="39">
        <f t="shared" ref="AN259:AX259" ca="1" si="178">AN258</f>
        <v>-6.4046103757445128E-2</v>
      </c>
      <c r="AO259" s="39">
        <f t="shared" ca="1" si="178"/>
        <v>10.268002000000005</v>
      </c>
      <c r="AP259" s="39">
        <f t="shared" ca="1" si="178"/>
        <v>10.268002000000005</v>
      </c>
      <c r="AQ259" s="39">
        <f t="shared" ca="1" si="178"/>
        <v>10.268002000000005</v>
      </c>
      <c r="AR259" s="39">
        <f t="shared" ca="1" si="178"/>
        <v>10.268002000000005</v>
      </c>
      <c r="AS259" s="39">
        <f t="shared" ca="1" si="178"/>
        <v>10.268002000000005</v>
      </c>
      <c r="AT259" s="39">
        <f t="shared" ca="1" si="178"/>
        <v>10.268002000000005</v>
      </c>
      <c r="AU259" s="39">
        <f t="shared" ca="1" si="178"/>
        <v>10.268002000000005</v>
      </c>
      <c r="AV259" s="39">
        <f t="shared" ca="1" si="178"/>
        <v>10.268002000000005</v>
      </c>
      <c r="AW259" s="39">
        <f t="shared" ca="1" si="178"/>
        <v>10.268002000000005</v>
      </c>
      <c r="AX259" s="39">
        <f t="shared" ca="1" si="178"/>
        <v>10.268002000000005</v>
      </c>
      <c r="AY259" s="39">
        <f ca="1">AY258</f>
        <v>10.268002000000005</v>
      </c>
    </row>
    <row r="260" spans="1:51" ht="15.75" hidden="1" customHeight="1" outlineLevel="2">
      <c r="A260" s="1" t="s">
        <v>327</v>
      </c>
      <c r="C260" s="104"/>
      <c r="E260" s="9" t="str">
        <f ca="1">_xll.DBRW(Server&amp;"}ElementAttributes_Indicator",A260,"code_English")</f>
        <v>PL0000_TPL13 - G&amp;A Overhead costs - Vector Reconciliation</v>
      </c>
      <c r="F260" s="33">
        <f ca="1">_xll.DBRW($C$1,$C$2,$C$3,$C$4,$C$6,$C$5,$C$7,F$1,F$2,$A260)</f>
        <v>-37.454170437402794</v>
      </c>
      <c r="G260" s="33">
        <f ca="1">_xll.DBRW($C$1,$C$2,$C$3,$C$4,$C$6,$C$5,$C$7,G$1,G$2,$A260)</f>
        <v>-15.214490183238127</v>
      </c>
      <c r="H260" s="33">
        <f ca="1">_xll.DBRW($C$1,$C$2,$C$3,$C$4,$C$6,$C$5,$C$7,H$1,H$2,$A260)</f>
        <v>-17.86497652169848</v>
      </c>
      <c r="I260" s="33">
        <f ca="1">_xll.DBRW($C$1,$C$2,$C$3,$C$4,$C$6,$C$5,$C$7,I$1,I$2,$A260)</f>
        <v>-10.745689386612838</v>
      </c>
      <c r="J260" s="33">
        <f ca="1">_xll.DBRW($C$1,$C$2,$C$3,$C$4,$C$6,$C$5,$C$7,J$1,J$2,$A260)</f>
        <v>-92.032971669876417</v>
      </c>
      <c r="K260" s="33">
        <f ca="1">_xll.DBRW($C$1,$C$2,$C$3,$C$4,$C$6,$C$5,$C$7,K$1,K$2,$A260)</f>
        <v>-33.509631876046683</v>
      </c>
      <c r="L260" s="33">
        <f ca="1">_xll.DBRW($C$1,$C$2,$C$3,$C$4,$C$6,$C$5,$C$7,L$1,L$2,$A260)</f>
        <v>-115.20886291316845</v>
      </c>
      <c r="M260" s="33">
        <f ca="1">_xll.DBRW($C$1,$C$2,$C$3,$C$4,$C$6,$C$5,$C$7,M$1,M$2,$A260)</f>
        <v>28.274943575559305</v>
      </c>
      <c r="N260" s="33">
        <f ca="1">_xll.DBRW($C$1,$C$2,$C$3,$C$4,$C$6,$C$5,$C$7,N$1,N$2,$A260)</f>
        <v>-6.9879608743879089</v>
      </c>
      <c r="O260" s="33">
        <f ca="1">_xll.DBRW($C$1,$C$2,$C$3,$C$4,$C$6,$C$5,$C$7,O$1,O$2,$A260)</f>
        <v>-10.308021724158445</v>
      </c>
      <c r="P260" s="33">
        <f ca="1">_xll.DBRW($C$1,$C$2,$C$3,$C$4,$C$6,$C$5,$C$7,P$1,P$2,$A260)</f>
        <v>13.174445483183955</v>
      </c>
      <c r="Q260" s="33">
        <f ca="1">_xll.DBRW($C$1,$C$2,$C$3,$C$4,$C$6,$C$5,$C$7,Q$1,Q$2,$A260)</f>
        <v>-11.448213579043797</v>
      </c>
      <c r="R260" s="33">
        <f ca="1">_xll.DBRW($C$1,$C$2,$C$3,$C$4,$C$6,$C$5,$C$7,R$1,R$2,$A260)</f>
        <v>3.0134466449973196</v>
      </c>
      <c r="S260" s="33">
        <f ca="1">_xll.DBRW($C$1,$C$2,$C$3,$C$4,$C$6,$C$5,$C$7,S$1,S$2,$A260)</f>
        <v>132.29289542895228</v>
      </c>
      <c r="T260" s="33">
        <f ca="1">_xll.DBRW($C$1,$C$2,$C$3,$C$4,$C$6,$C$5,$C$7,T$1,T$2,$A260)</f>
        <v>-44.625396984147216</v>
      </c>
      <c r="U260" s="33">
        <f ca="1">_xll.DBRW($C$1,$C$2,$C$3,$C$4,$C$6,$C$5,$C$7,U$1,U$2,$A260)</f>
        <v>-62.409226881238027</v>
      </c>
      <c r="V260" s="33">
        <f ca="1">_xll.DBRW($C$1,$C$2,$C$3,$C$4,$C$6,$C$5,$C$7,V$1,V$2,$A260)</f>
        <v>248.85004656922314</v>
      </c>
      <c r="W260" s="33">
        <f ca="1">_xll.DBRW($C$1,$C$2,$C$3,$C$4,$C$6,$C$5,$C$7,W$1,W$2,$A260)</f>
        <v>-115.97197719517243</v>
      </c>
      <c r="X260" s="33">
        <f ca="1">_xll.DBRW($C$1,$C$2,$C$3,$C$4,$C$6,$C$5,$C$7,X$1,X$2,$A260)</f>
        <v>-98.801469417283414</v>
      </c>
      <c r="Y260" s="33">
        <f ca="1">_xll.DBRW($C$1,$C$2,$C$3,$C$4,$C$6,$C$5,$C$7,Y$1,Y$2,$A260)</f>
        <v>-98.801469417283414</v>
      </c>
      <c r="Z260" s="33">
        <f ca="1">_xll.DBRW($C$1,$C$2,$C$3,$C$4,$C$6,$C$5,$C$7,Z$1,Z$2,$A260)</f>
        <v>-15.636133191919617</v>
      </c>
      <c r="AA260" s="33">
        <f ca="1">_xll.DBRW($C$1,$C$2,$C$3,$C$4,$C$6,$C$5,$C$7,AA$1,AA$2,$A260)</f>
        <v>-27.430762451235825</v>
      </c>
      <c r="AB260" s="33">
        <f ca="1">_xll.DBRW($C$1,$C$2,$C$3,$C$4,$C$6,$C$5,$C$7,AB$1,AB$2,$A260)</f>
        <v>-40.603501828354077</v>
      </c>
      <c r="AC260" s="33">
        <f ca="1">_xll.DBRW($C$1,$C$2,$C$3,$C$4,$C$6,$C$5,$C$7,AC$1,AC$2,$A260)</f>
        <v>-53.347755216240003</v>
      </c>
      <c r="AD260" s="33">
        <f ca="1">_xll.DBRW($C$1,$C$2,$C$3,$C$4,$C$6,$C$5,$C$7,AD$1,AD$2,$A260)</f>
        <v>-83.036921918444477</v>
      </c>
      <c r="AE260" s="33">
        <f ca="1">_xll.DBRW($C$1,$C$2,$C$3,$C$4,$C$6,$C$5,$C$7,AE$1,AE$2,$A260)</f>
        <v>-104.19913067324713</v>
      </c>
      <c r="AF260" s="33">
        <f ca="1">_xll.DBRW($C$1,$C$2,$C$3,$C$4,$C$6,$C$5,$C$7,AF$1,AF$2,$A260)</f>
        <v>-123.99146972614454</v>
      </c>
      <c r="AG260" s="33">
        <f ca="1">_xll.DBRW($C$1,$C$2,$C$3,$C$4,$C$6,$C$5,$C$7,AG$1,AG$2,$A260)</f>
        <v>-143.5205209147199</v>
      </c>
      <c r="AH260" s="33">
        <f ca="1">_xll.DBRW($C$1,$C$2,$C$3,$C$4,$C$6,$C$5,$C$7,AH$1,AH$2,$A260)</f>
        <v>-163.65765517502928</v>
      </c>
      <c r="AI260" s="33">
        <f ca="1">_xll.DBRW($C$1,$C$2,$C$3,$C$4,$C$6,$C$5,$C$7,AI$1,AI$2,$A260)</f>
        <v>-183.40704951442927</v>
      </c>
      <c r="AJ260" s="33">
        <f ca="1">_xll.DBRW($C$1,$C$2,$C$3,$C$4,$C$6,$C$5,$C$7,AJ$1,AJ$2,$A260)</f>
        <v>-203.53144334743507</v>
      </c>
      <c r="AK260" s="33">
        <f ca="1">_xll.DBRW($C$1,$C$2,$C$3,$C$4,$C$6,$C$5,$C$7,AK$1,AK$2,$A260)</f>
        <v>-224.14157123211734</v>
      </c>
      <c r="AL260" s="33">
        <f ca="1">_xll.DBRW($C$1,$C$2,$C$3,$C$4,$C$6,$C$5,$C$7,AL$1,AL$2,$A260)</f>
        <v>-224.14157123211734</v>
      </c>
      <c r="AM260" s="33">
        <f ca="1">_xll.DBRW($C$1,$C$2,$C$3,$C$4,$C$6,$C$5,$C$7,AM$1,AM$2,$A260)</f>
        <v>28.441079043537265</v>
      </c>
      <c r="AN260" s="33">
        <f ca="1">_xll.DBRW($C$1,$C$2,$C$3,$C$4,$C$6,$C$5,$C$7,AN$1,AN$2,$A260)</f>
        <v>-15.648442565813953</v>
      </c>
      <c r="AO260" s="33">
        <f ca="1">_xll.DBRW($C$1,$C$2,$C$3,$C$4,$C$6,$C$5,$C$7,AO$1,AO$2,$A260)</f>
        <v>-117.34518024701006</v>
      </c>
      <c r="AP260" s="33">
        <f ca="1">_xll.DBRW($C$1,$C$2,$C$3,$C$4,$C$6,$C$5,$C$7,AP$1,AP$2,$A260)</f>
        <v>-117.34518024701006</v>
      </c>
      <c r="AQ260" s="33">
        <f ca="1">_xll.DBRW($C$1,$C$2,$C$3,$C$4,$C$6,$C$5,$C$7,AQ$1,AQ$2,$A260)</f>
        <v>-117.34518024701006</v>
      </c>
      <c r="AR260" s="33">
        <f ca="1">_xll.DBRW($C$1,$C$2,$C$3,$C$4,$C$6,$C$5,$C$7,AR$1,AR$2,$A260)</f>
        <v>-117.34518024701006</v>
      </c>
      <c r="AS260" s="33">
        <f ca="1">_xll.DBRW($C$1,$C$2,$C$3,$C$4,$C$6,$C$5,$C$7,AS$1,AS$2,$A260)</f>
        <v>-117.34518024701006</v>
      </c>
      <c r="AT260" s="33">
        <f ca="1">_xll.DBRW($C$1,$C$2,$C$3,$C$4,$C$6,$C$5,$C$7,AT$1,AT$2,$A260)</f>
        <v>-117.34518024701006</v>
      </c>
      <c r="AU260" s="33">
        <f ca="1">_xll.DBRW($C$1,$C$2,$C$3,$C$4,$C$6,$C$5,$C$7,AU$1,AU$2,$A260)</f>
        <v>-117.34518024701006</v>
      </c>
      <c r="AV260" s="33">
        <f ca="1">_xll.DBRW($C$1,$C$2,$C$3,$C$4,$C$6,$C$5,$C$7,AV$1,AV$2,$A260)</f>
        <v>-117.34518024701006</v>
      </c>
      <c r="AW260" s="33">
        <f ca="1">_xll.DBRW($C$1,$C$2,$C$3,$C$4,$C$6,$C$5,$C$7,AW$1,AW$2,$A260)</f>
        <v>-117.34518024701006</v>
      </c>
      <c r="AX260" s="33">
        <f ca="1">_xll.DBRW($C$1,$C$2,$C$3,$C$4,$C$6,$C$5,$C$7,AX$1,AX$2,$A260)</f>
        <v>-117.34518024701006</v>
      </c>
      <c r="AY260" s="33">
        <f ca="1">_xll.DBRW($C$1,$C$2,$C$3,$C$4,$C$6,$C$5,$C$7,AY$1,AY$2,$A260)</f>
        <v>-117.34518024701006</v>
      </c>
    </row>
    <row r="261" spans="1:51" ht="14.5" hidden="1" outlineLevel="1" collapsed="1">
      <c r="A261" s="1" t="s">
        <v>142</v>
      </c>
      <c r="C261" s="104"/>
      <c r="E261" s="23" t="s">
        <v>62</v>
      </c>
      <c r="F261" s="36">
        <f t="shared" ref="F261:L261" ca="1" si="179">F260</f>
        <v>-37.454170437402794</v>
      </c>
      <c r="G261" s="36">
        <f t="shared" ca="1" si="179"/>
        <v>-15.214490183238127</v>
      </c>
      <c r="H261" s="36">
        <f t="shared" ca="1" si="179"/>
        <v>-17.86497652169848</v>
      </c>
      <c r="I261" s="36">
        <f t="shared" ca="1" si="179"/>
        <v>-10.745689386612838</v>
      </c>
      <c r="J261" s="36">
        <f t="shared" ca="1" si="179"/>
        <v>-92.032971669876417</v>
      </c>
      <c r="K261" s="36">
        <f t="shared" ca="1" si="179"/>
        <v>-33.509631876046683</v>
      </c>
      <c r="L261" s="36">
        <f t="shared" ca="1" si="179"/>
        <v>-115.20886291316845</v>
      </c>
      <c r="M261" s="36">
        <f t="shared" ref="M261:X261" ca="1" si="180">M260</f>
        <v>28.274943575559305</v>
      </c>
      <c r="N261" s="36">
        <f t="shared" ca="1" si="180"/>
        <v>-6.9879608743879089</v>
      </c>
      <c r="O261" s="36">
        <f t="shared" ca="1" si="180"/>
        <v>-10.308021724158445</v>
      </c>
      <c r="P261" s="36">
        <f t="shared" ca="1" si="180"/>
        <v>13.174445483183955</v>
      </c>
      <c r="Q261" s="36">
        <f t="shared" ca="1" si="180"/>
        <v>-11.448213579043797</v>
      </c>
      <c r="R261" s="36">
        <f t="shared" ca="1" si="180"/>
        <v>3.0134466449973196</v>
      </c>
      <c r="S261" s="36">
        <f t="shared" ca="1" si="180"/>
        <v>132.29289542895228</v>
      </c>
      <c r="T261" s="36">
        <f t="shared" ca="1" si="180"/>
        <v>-44.625396984147216</v>
      </c>
      <c r="U261" s="36">
        <f t="shared" ca="1" si="180"/>
        <v>-62.409226881238027</v>
      </c>
      <c r="V261" s="36">
        <f t="shared" ca="1" si="180"/>
        <v>248.85004656922314</v>
      </c>
      <c r="W261" s="36">
        <f t="shared" ca="1" si="180"/>
        <v>-115.97197719517243</v>
      </c>
      <c r="X261" s="36">
        <f t="shared" ca="1" si="180"/>
        <v>-98.801469417283414</v>
      </c>
      <c r="Y261" s="36">
        <f ca="1">Y260</f>
        <v>-98.801469417283414</v>
      </c>
      <c r="Z261" s="36">
        <f t="shared" ref="Z261:AK261" ca="1" si="181">Z260</f>
        <v>-15.636133191919617</v>
      </c>
      <c r="AA261" s="36">
        <f t="shared" ca="1" si="181"/>
        <v>-27.430762451235825</v>
      </c>
      <c r="AB261" s="36">
        <f t="shared" ca="1" si="181"/>
        <v>-40.603501828354077</v>
      </c>
      <c r="AC261" s="36">
        <f t="shared" ca="1" si="181"/>
        <v>-53.347755216240003</v>
      </c>
      <c r="AD261" s="36">
        <f t="shared" ca="1" si="181"/>
        <v>-83.036921918444477</v>
      </c>
      <c r="AE261" s="36">
        <f t="shared" ca="1" si="181"/>
        <v>-104.19913067324713</v>
      </c>
      <c r="AF261" s="36">
        <f t="shared" ca="1" si="181"/>
        <v>-123.99146972614454</v>
      </c>
      <c r="AG261" s="36">
        <f t="shared" ca="1" si="181"/>
        <v>-143.5205209147199</v>
      </c>
      <c r="AH261" s="36">
        <f t="shared" ca="1" si="181"/>
        <v>-163.65765517502928</v>
      </c>
      <c r="AI261" s="36">
        <f t="shared" ca="1" si="181"/>
        <v>-183.40704951442927</v>
      </c>
      <c r="AJ261" s="36">
        <f t="shared" ca="1" si="181"/>
        <v>-203.53144334743507</v>
      </c>
      <c r="AK261" s="36">
        <f t="shared" ca="1" si="181"/>
        <v>-224.14157123211734</v>
      </c>
      <c r="AL261" s="36">
        <f ca="1">AL260</f>
        <v>-224.14157123211734</v>
      </c>
      <c r="AM261" s="36">
        <f t="shared" ref="AM261:AX261" ca="1" si="182">AM260</f>
        <v>28.441079043537265</v>
      </c>
      <c r="AN261" s="36">
        <f t="shared" ca="1" si="182"/>
        <v>-15.648442565813953</v>
      </c>
      <c r="AO261" s="36">
        <f t="shared" ca="1" si="182"/>
        <v>-117.34518024701006</v>
      </c>
      <c r="AP261" s="36">
        <f t="shared" ca="1" si="182"/>
        <v>-117.34518024701006</v>
      </c>
      <c r="AQ261" s="36">
        <f t="shared" ca="1" si="182"/>
        <v>-117.34518024701006</v>
      </c>
      <c r="AR261" s="36">
        <f t="shared" ca="1" si="182"/>
        <v>-117.34518024701006</v>
      </c>
      <c r="AS261" s="36">
        <f t="shared" ca="1" si="182"/>
        <v>-117.34518024701006</v>
      </c>
      <c r="AT261" s="36">
        <f t="shared" ca="1" si="182"/>
        <v>-117.34518024701006</v>
      </c>
      <c r="AU261" s="36">
        <f t="shared" ca="1" si="182"/>
        <v>-117.34518024701006</v>
      </c>
      <c r="AV261" s="36">
        <f t="shared" ca="1" si="182"/>
        <v>-117.34518024701006</v>
      </c>
      <c r="AW261" s="36">
        <f t="shared" ca="1" si="182"/>
        <v>-117.34518024701006</v>
      </c>
      <c r="AX261" s="36">
        <f t="shared" ca="1" si="182"/>
        <v>-117.34518024701006</v>
      </c>
      <c r="AY261" s="36">
        <f ca="1">AY260</f>
        <v>-117.34518024701006</v>
      </c>
    </row>
    <row r="262" spans="1:51" ht="15.5" collapsed="1">
      <c r="A262" s="1" t="s">
        <v>63</v>
      </c>
      <c r="C262" s="104"/>
      <c r="E262" s="11" t="s">
        <v>63</v>
      </c>
      <c r="F262" s="35">
        <f ca="1">F229+F231+F233+F235+F237+F239+F241+F243+F245+F247+F249+F251+F253+F255+F257+F259+F261</f>
        <v>-644.81293237700027</v>
      </c>
      <c r="G262" s="35">
        <f t="shared" ref="G262:L262" ca="1" si="183">G229+G231+G233+G235+G237+G239+G241+G243+G245+G247+G249+G251+G253+G255+G257+G259+G261</f>
        <v>-638.03102209600002</v>
      </c>
      <c r="H262" s="35">
        <f t="shared" ca="1" si="183"/>
        <v>-659.39741671599973</v>
      </c>
      <c r="I262" s="35">
        <f t="shared" ca="1" si="183"/>
        <v>-690.90690744600056</v>
      </c>
      <c r="J262" s="35">
        <f t="shared" ca="1" si="183"/>
        <v>-717.20744920499988</v>
      </c>
      <c r="K262" s="35">
        <f t="shared" ca="1" si="183"/>
        <v>-665.31099294499973</v>
      </c>
      <c r="L262" s="35">
        <f t="shared" ca="1" si="183"/>
        <v>-670.77113037800007</v>
      </c>
      <c r="M262" s="35">
        <f t="shared" ref="M262:X262" ca="1" si="184">M229+M231+M233+M235+M237+M239+M241+M243+M245+M247+M249+M251+M253+M255+M257+M259+M261</f>
        <v>-14.054806376000002</v>
      </c>
      <c r="N262" s="35">
        <f t="shared" ca="1" si="184"/>
        <v>-108.23663479999998</v>
      </c>
      <c r="O262" s="35">
        <f t="shared" ca="1" si="184"/>
        <v>-167.22894457299995</v>
      </c>
      <c r="P262" s="35">
        <f t="shared" ca="1" si="184"/>
        <v>-202.71200147799999</v>
      </c>
      <c r="Q262" s="35">
        <f t="shared" ca="1" si="184"/>
        <v>-278.5828325359999</v>
      </c>
      <c r="R262" s="35">
        <f t="shared" ca="1" si="184"/>
        <v>-340.37512888299995</v>
      </c>
      <c r="S262" s="35">
        <f t="shared" ca="1" si="184"/>
        <v>-103.5095150249999</v>
      </c>
      <c r="T262" s="35">
        <f t="shared" ca="1" si="184"/>
        <v>-445.28369278499974</v>
      </c>
      <c r="U262" s="35">
        <f t="shared" ca="1" si="184"/>
        <v>-502.49434909499985</v>
      </c>
      <c r="V262" s="35">
        <f t="shared" ca="1" si="184"/>
        <v>-69.121959942999808</v>
      </c>
      <c r="W262" s="35">
        <f t="shared" ca="1" si="184"/>
        <v>-624.45776129099966</v>
      </c>
      <c r="X262" s="35">
        <f t="shared" ca="1" si="184"/>
        <v>-699.76841053099974</v>
      </c>
      <c r="Y262" s="35">
        <f ca="1">Y229+Y231+Y233+Y235+Y237+Y239+Y241+Y243+Y245+Y247+Y249+Y251+Y253+Y255+Y257+Y259+Y261</f>
        <v>-699.76841053099974</v>
      </c>
      <c r="Z262" s="35">
        <f t="shared" ref="Z262:AK262" ca="1" si="185">Z229+Z231+Z233+Z235+Z237+Z239+Z241+Z243+Z245+Z247+Z249+Z251+Z253+Z255+Z257+Z259+Z261</f>
        <v>-63.363767855999996</v>
      </c>
      <c r="AA262" s="35">
        <f t="shared" ca="1" si="185"/>
        <v>-127.08025163699998</v>
      </c>
      <c r="AB262" s="35">
        <f t="shared" ca="1" si="185"/>
        <v>-191.35985816100001</v>
      </c>
      <c r="AC262" s="35">
        <f t="shared" ca="1" si="185"/>
        <v>-253.45928812599999</v>
      </c>
      <c r="AD262" s="35">
        <f t="shared" ca="1" si="185"/>
        <v>-333.03379677199996</v>
      </c>
      <c r="AE262" s="35">
        <f t="shared" ca="1" si="185"/>
        <v>-404.01246796599992</v>
      </c>
      <c r="AF262" s="35">
        <f t="shared" ca="1" si="185"/>
        <v>-473.53947338599994</v>
      </c>
      <c r="AG262" s="35">
        <f t="shared" ca="1" si="185"/>
        <v>-542.11997276400007</v>
      </c>
      <c r="AH262" s="35">
        <f t="shared" ca="1" si="185"/>
        <v>-611.24099653400003</v>
      </c>
      <c r="AI262" s="35">
        <f t="shared" ca="1" si="185"/>
        <v>-681.77765571499981</v>
      </c>
      <c r="AJ262" s="35">
        <f t="shared" ca="1" si="185"/>
        <v>-752.43932729499988</v>
      </c>
      <c r="AK262" s="35">
        <f t="shared" ca="1" si="185"/>
        <v>-827.68950562700013</v>
      </c>
      <c r="AL262" s="35">
        <f ca="1">AL229+AL231+AL233+AL235+AL237+AL239+AL241+AL243+AL245+AL247+AL249+AL251+AL253+AL255+AL257+AL259+AL261</f>
        <v>-827.68950562700013</v>
      </c>
      <c r="AM262" s="35">
        <f t="shared" ref="AM262:AX262" ca="1" si="186">AM229+AM231+AM233+AM235+AM237+AM239+AM241+AM243+AM245+AM247+AM249+AM251+AM253+AM255+AM257+AM259+AM261</f>
        <v>-6.7954313319999997</v>
      </c>
      <c r="AN262" s="35">
        <f t="shared" ca="1" si="186"/>
        <v>-123.27992471600002</v>
      </c>
      <c r="AO262" s="35">
        <f t="shared" ca="1" si="186"/>
        <v>-123.27992471600004</v>
      </c>
      <c r="AP262" s="35">
        <f t="shared" ca="1" si="186"/>
        <v>-123.27992471600004</v>
      </c>
      <c r="AQ262" s="35">
        <f t="shared" ca="1" si="186"/>
        <v>-123.27992471600004</v>
      </c>
      <c r="AR262" s="35">
        <f t="shared" ca="1" si="186"/>
        <v>-123.27992471600004</v>
      </c>
      <c r="AS262" s="35">
        <f t="shared" ca="1" si="186"/>
        <v>-123.27992471600004</v>
      </c>
      <c r="AT262" s="35">
        <f t="shared" ca="1" si="186"/>
        <v>-123.27992471600004</v>
      </c>
      <c r="AU262" s="35">
        <f t="shared" ca="1" si="186"/>
        <v>-123.27992471600004</v>
      </c>
      <c r="AV262" s="35">
        <f t="shared" ca="1" si="186"/>
        <v>-123.27992471600004</v>
      </c>
      <c r="AW262" s="35">
        <f t="shared" ca="1" si="186"/>
        <v>-123.27992471600004</v>
      </c>
      <c r="AX262" s="35">
        <f t="shared" ca="1" si="186"/>
        <v>-123.27992471600004</v>
      </c>
      <c r="AY262" s="35">
        <f ca="1">AY229+AY231+AY233+AY235+AY237+AY239+AY241+AY243+AY245+AY247+AY249+AY251+AY253+AY255+AY257+AY259+AY261</f>
        <v>-123.27992471600004</v>
      </c>
    </row>
    <row r="263" spans="1:51" ht="15.75" hidden="1" customHeight="1" outlineLevel="1">
      <c r="A263" s="1" t="s">
        <v>328</v>
      </c>
      <c r="C263" s="104"/>
      <c r="E263" s="9" t="str">
        <f ca="1">_xll.DBRW(Server&amp;"}ElementAttributes_Indicator",A263,"code_English")</f>
        <v>PL0000_OO - Other operating rev. &amp; exp.</v>
      </c>
      <c r="F263" s="32">
        <f ca="1">_xll.DBRW($C$1,$C$2,$C$3,$C$4,$C$6,$C$5,$C$7,F$1,F$2,$A263)</f>
        <v>249.08218784513227</v>
      </c>
      <c r="G263" s="32">
        <f ca="1">_xll.DBRW($C$1,$C$2,$C$3,$C$4,$C$6,$C$5,$C$7,G$1,G$2,$A263)</f>
        <v>42.401929442694986</v>
      </c>
      <c r="H263" s="32">
        <f ca="1">_xll.DBRW($C$1,$C$2,$C$3,$C$4,$C$6,$C$5,$C$7,H$1,H$2,$A263)</f>
        <v>41.243804360461645</v>
      </c>
      <c r="I263" s="32">
        <f ca="1">_xll.DBRW($C$1,$C$2,$C$3,$C$4,$C$6,$C$5,$C$7,I$1,I$2,$A263)</f>
        <v>12.921187713948495</v>
      </c>
      <c r="J263" s="32">
        <f ca="1">_xll.DBRW($C$1,$C$2,$C$3,$C$4,$C$6,$C$5,$C$7,J$1,J$2,$A263)</f>
        <v>-246.39509086811412</v>
      </c>
      <c r="K263" s="32">
        <f ca="1">_xll.DBRW($C$1,$C$2,$C$3,$C$4,$C$6,$C$5,$C$7,K$1,K$2,$A263)</f>
        <v>33.733566157474236</v>
      </c>
      <c r="L263" s="32">
        <f ca="1">_xll.DBRW($C$1,$C$2,$C$3,$C$4,$C$6,$C$5,$C$7,L$1,L$2,$A263)</f>
        <v>-118.02390411443182</v>
      </c>
      <c r="M263" s="32">
        <f ca="1">_xll.DBRW($C$1,$C$2,$C$3,$C$4,$C$6,$C$5,$C$7,M$1,M$2,$A263)</f>
        <v>21.945929292629344</v>
      </c>
      <c r="N263" s="32">
        <f ca="1">_xll.DBRW($C$1,$C$2,$C$3,$C$4,$C$6,$C$5,$C$7,N$1,N$2,$A263)</f>
        <v>9.8285119615476564</v>
      </c>
      <c r="O263" s="32">
        <f ca="1">_xll.DBRW($C$1,$C$2,$C$3,$C$4,$C$6,$C$5,$C$7,O$1,O$2,$A263)</f>
        <v>8.5209762364598536</v>
      </c>
      <c r="P263" s="32">
        <f ca="1">_xll.DBRW($C$1,$C$2,$C$3,$C$4,$C$6,$C$5,$C$7,P$1,P$2,$A263)</f>
        <v>9.7488643613515187</v>
      </c>
      <c r="Q263" s="32">
        <f ca="1">_xll.DBRW($C$1,$C$2,$C$3,$C$4,$C$6,$C$5,$C$7,Q$1,Q$2,$A263)</f>
        <v>15.592158871894934</v>
      </c>
      <c r="R263" s="32">
        <f ca="1">_xll.DBRW($C$1,$C$2,$C$3,$C$4,$C$6,$C$5,$C$7,R$1,R$2,$A263)</f>
        <v>21.628970017410282</v>
      </c>
      <c r="S263" s="32">
        <f ca="1">_xll.DBRW($C$1,$C$2,$C$3,$C$4,$C$6,$C$5,$C$7,S$1,S$2,$A263)</f>
        <v>51.36893136665865</v>
      </c>
      <c r="T263" s="32">
        <f ca="1">_xll.DBRW($C$1,$C$2,$C$3,$C$4,$C$6,$C$5,$C$7,T$1,T$2,$A263)</f>
        <v>9.3322697899066966</v>
      </c>
      <c r="U263" s="32">
        <f ca="1">_xll.DBRW($C$1,$C$2,$C$3,$C$4,$C$6,$C$5,$C$7,U$1,U$2,$A263)</f>
        <v>0.17182150348786962</v>
      </c>
      <c r="V263" s="32">
        <f ca="1">_xll.DBRW($C$1,$C$2,$C$3,$C$4,$C$6,$C$5,$C$7,V$1,V$2,$A263)</f>
        <v>-4.9119761238949238</v>
      </c>
      <c r="W263" s="32">
        <f ca="1">_xll.DBRW($C$1,$C$2,$C$3,$C$4,$C$6,$C$5,$C$7,W$1,W$2,$A263)</f>
        <v>-49.92123234409015</v>
      </c>
      <c r="X263" s="32">
        <f ca="1">_xll.DBRW($C$1,$C$2,$C$3,$C$4,$C$6,$C$5,$C$7,X$1,X$2,$A263)</f>
        <v>-63.414509079396694</v>
      </c>
      <c r="Y263" s="32">
        <f ca="1">_xll.DBRW($C$1,$C$2,$C$3,$C$4,$C$6,$C$5,$C$7,Y$1,Y$2,$A263)</f>
        <v>-63.414509079396694</v>
      </c>
      <c r="Z263" s="32">
        <f ca="1">_xll.DBRW($C$1,$C$2,$C$3,$C$4,$C$6,$C$5,$C$7,Z$1,Z$2,$A263)</f>
        <v>-14.640873679985889</v>
      </c>
      <c r="AA263" s="32">
        <f ca="1">_xll.DBRW($C$1,$C$2,$C$3,$C$4,$C$6,$C$5,$C$7,AA$1,AA$2,$A263)</f>
        <v>-29.784028335311092</v>
      </c>
      <c r="AB263" s="32">
        <f ca="1">_xll.DBRW($C$1,$C$2,$C$3,$C$4,$C$6,$C$5,$C$7,AB$1,AB$2,$A263)</f>
        <v>-45.254294724990672</v>
      </c>
      <c r="AC263" s="32">
        <f ca="1">_xll.DBRW($C$1,$C$2,$C$3,$C$4,$C$6,$C$5,$C$7,AC$1,AC$2,$A263)</f>
        <v>-60.05505246564406</v>
      </c>
      <c r="AD263" s="32">
        <f ca="1">_xll.DBRW($C$1,$C$2,$C$3,$C$4,$C$6,$C$5,$C$7,AD$1,AD$2,$A263)</f>
        <v>-74.825750386266861</v>
      </c>
      <c r="AE263" s="32">
        <f ca="1">_xll.DBRW($C$1,$C$2,$C$3,$C$4,$C$6,$C$5,$C$7,AE$1,AE$2,$A263)</f>
        <v>-90.049960155508785</v>
      </c>
      <c r="AF263" s="32">
        <f ca="1">_xll.DBRW($C$1,$C$2,$C$3,$C$4,$C$6,$C$5,$C$7,AF$1,AF$2,$A263)</f>
        <v>-111.47851529300186</v>
      </c>
      <c r="AG263" s="32">
        <f ca="1">_xll.DBRW($C$1,$C$2,$C$3,$C$4,$C$6,$C$5,$C$7,AG$1,AG$2,$A263)</f>
        <v>-125.77509610725662</v>
      </c>
      <c r="AH263" s="32">
        <f ca="1">_xll.DBRW($C$1,$C$2,$C$3,$C$4,$C$6,$C$5,$C$7,AH$1,AH$2,$A263)</f>
        <v>-140.35778241728389</v>
      </c>
      <c r="AI263" s="32">
        <f ca="1">_xll.DBRW($C$1,$C$2,$C$3,$C$4,$C$6,$C$5,$C$7,AI$1,AI$2,$A263)</f>
        <v>-154.9799056776385</v>
      </c>
      <c r="AJ263" s="32">
        <f ca="1">_xll.DBRW($C$1,$C$2,$C$3,$C$4,$C$6,$C$5,$C$7,AJ$1,AJ$2,$A263)</f>
        <v>-169.48586436661051</v>
      </c>
      <c r="AK263" s="32">
        <f ca="1">_xll.DBRW($C$1,$C$2,$C$3,$C$4,$C$6,$C$5,$C$7,AK$1,AK$2,$A263)</f>
        <v>-185.82843683798802</v>
      </c>
      <c r="AL263" s="32">
        <f ca="1">_xll.DBRW($C$1,$C$2,$C$3,$C$4,$C$6,$C$5,$C$7,AL$1,AL$2,$A263)</f>
        <v>-185.82843683798802</v>
      </c>
      <c r="AM263" s="32">
        <f ca="1">_xll.DBRW($C$1,$C$2,$C$3,$C$4,$C$6,$C$5,$C$7,AM$1,AM$2,$A263)</f>
        <v>11.247272471147685</v>
      </c>
      <c r="AN263" s="32">
        <f ca="1">_xll.DBRW($C$1,$C$2,$C$3,$C$4,$C$6,$C$5,$C$7,AN$1,AN$2,$A263)</f>
        <v>-13.146598797332228</v>
      </c>
      <c r="AO263" s="32">
        <f ca="1">_xll.DBRW($C$1,$C$2,$C$3,$C$4,$C$6,$C$5,$C$7,AO$1,AO$2,$A263)</f>
        <v>2.310651670001107E-14</v>
      </c>
      <c r="AP263" s="32">
        <f ca="1">_xll.DBRW($C$1,$C$2,$C$3,$C$4,$C$6,$C$5,$C$7,AP$1,AP$2,$A263)</f>
        <v>2.310651670001107E-14</v>
      </c>
      <c r="AQ263" s="32">
        <f ca="1">_xll.DBRW($C$1,$C$2,$C$3,$C$4,$C$6,$C$5,$C$7,AQ$1,AQ$2,$A263)</f>
        <v>2.310651670001107E-14</v>
      </c>
      <c r="AR263" s="32">
        <f ca="1">_xll.DBRW($C$1,$C$2,$C$3,$C$4,$C$6,$C$5,$C$7,AR$1,AR$2,$A263)</f>
        <v>2.310651670001107E-14</v>
      </c>
      <c r="AS263" s="32">
        <f ca="1">_xll.DBRW($C$1,$C$2,$C$3,$C$4,$C$6,$C$5,$C$7,AS$1,AS$2,$A263)</f>
        <v>2.310651670001107E-14</v>
      </c>
      <c r="AT263" s="32">
        <f ca="1">_xll.DBRW($C$1,$C$2,$C$3,$C$4,$C$6,$C$5,$C$7,AT$1,AT$2,$A263)</f>
        <v>2.310651670001107E-14</v>
      </c>
      <c r="AU263" s="32">
        <f ca="1">_xll.DBRW($C$1,$C$2,$C$3,$C$4,$C$6,$C$5,$C$7,AU$1,AU$2,$A263)</f>
        <v>2.310651670001107E-14</v>
      </c>
      <c r="AV263" s="32">
        <f ca="1">_xll.DBRW($C$1,$C$2,$C$3,$C$4,$C$6,$C$5,$C$7,AV$1,AV$2,$A263)</f>
        <v>2.310651670001107E-14</v>
      </c>
      <c r="AW263" s="32">
        <f ca="1">_xll.DBRW($C$1,$C$2,$C$3,$C$4,$C$6,$C$5,$C$7,AW$1,AW$2,$A263)</f>
        <v>2.310651670001107E-14</v>
      </c>
      <c r="AX263" s="32">
        <f ca="1">_xll.DBRW($C$1,$C$2,$C$3,$C$4,$C$6,$C$5,$C$7,AX$1,AX$2,$A263)</f>
        <v>2.310651670001107E-14</v>
      </c>
      <c r="AY263" s="32">
        <f ca="1">_xll.DBRW($C$1,$C$2,$C$3,$C$4,$C$6,$C$5,$C$7,AY$1,AY$2,$A263)</f>
        <v>2.310651670001107E-14</v>
      </c>
    </row>
    <row r="264" spans="1:51" ht="15.75" hidden="1" customHeight="1" outlineLevel="1">
      <c r="A264" s="1" t="s">
        <v>329</v>
      </c>
      <c r="C264" s="104"/>
      <c r="E264" s="9" t="str">
        <f ca="1">_xll.DBRW(Server&amp;"}ElementAttributes_Indicator",A264,"code_English")</f>
        <v>PL0000_TPL14 - Other operating rev. &amp; exp. - Vector Reconciliation</v>
      </c>
      <c r="F264" s="32">
        <f ca="1">_xll.DBRW($C$1,$C$2,$C$3,$C$4,$C$6,$C$5,$C$7,F$1,F$2,$A264)</f>
        <v>-238.14140918713221</v>
      </c>
      <c r="G264" s="32">
        <f ca="1">_xll.DBRW($C$1,$C$2,$C$3,$C$4,$C$6,$C$5,$C$7,G$1,G$2,$A264)</f>
        <v>-39.647183611694778</v>
      </c>
      <c r="H264" s="32">
        <f ca="1">_xll.DBRW($C$1,$C$2,$C$3,$C$4,$C$6,$C$5,$C$7,H$1,H$2,$A264)</f>
        <v>-39.429683897461231</v>
      </c>
      <c r="I264" s="32">
        <f ca="1">_xll.DBRW($C$1,$C$2,$C$3,$C$4,$C$6,$C$5,$C$7,I$1,I$2,$A264)</f>
        <v>43.558588037051344</v>
      </c>
      <c r="J264" s="32">
        <f ca="1">_xll.DBRW($C$1,$C$2,$C$3,$C$4,$C$6,$C$5,$C$7,J$1,J$2,$A264)</f>
        <v>346.53500484011391</v>
      </c>
      <c r="K264" s="32">
        <f ca="1">_xll.DBRW($C$1,$C$2,$C$3,$C$4,$C$6,$C$5,$C$7,K$1,K$2,$A264)</f>
        <v>-33.180784138474479</v>
      </c>
      <c r="L264" s="32">
        <f ca="1">_xll.DBRW($C$1,$C$2,$C$3,$C$4,$C$6,$C$5,$C$7,L$1,L$2,$A264)</f>
        <v>118.02490411543172</v>
      </c>
      <c r="M264" s="32">
        <f ca="1">_xll.DBRW($C$1,$C$2,$C$3,$C$4,$C$6,$C$5,$C$7,M$1,M$2,$A264)</f>
        <v>-21.945929292629344</v>
      </c>
      <c r="N264" s="32">
        <f ca="1">_xll.DBRW($C$1,$C$2,$C$3,$C$4,$C$6,$C$5,$C$7,N$1,N$2,$A264)</f>
        <v>0.59848803745233115</v>
      </c>
      <c r="O264" s="32">
        <f ca="1">_xll.DBRW($C$1,$C$2,$C$3,$C$4,$C$6,$C$5,$C$7,O$1,O$2,$A264)</f>
        <v>1.8810004695401257</v>
      </c>
      <c r="P264" s="32">
        <f ca="1">_xll.DBRW($C$1,$C$2,$C$3,$C$4,$C$6,$C$5,$C$7,P$1,P$2,$A264)</f>
        <v>0.8358508806484487</v>
      </c>
      <c r="Q264" s="32">
        <f ca="1">_xll.DBRW($C$1,$C$2,$C$3,$C$4,$C$6,$C$5,$C$7,Q$1,Q$2,$A264)</f>
        <v>-5.189632914894986</v>
      </c>
      <c r="R264" s="32">
        <f ca="1">_xll.DBRW($C$1,$C$2,$C$3,$C$4,$C$6,$C$5,$C$7,R$1,R$2,$A264)</f>
        <v>-11.226578658410345</v>
      </c>
      <c r="S264" s="32">
        <f ca="1">_xll.DBRW($C$1,$C$2,$C$3,$C$4,$C$6,$C$5,$C$7,S$1,S$2,$A264)</f>
        <v>-53.323540004658724</v>
      </c>
      <c r="T264" s="32">
        <f ca="1">_xll.DBRW($C$1,$C$2,$C$3,$C$4,$C$6,$C$5,$C$7,T$1,T$2,$A264)</f>
        <v>1.0697449260933354</v>
      </c>
      <c r="U264" s="32">
        <f ca="1">_xll.DBRW($C$1,$C$2,$C$3,$C$4,$C$6,$C$5,$C$7,U$1,U$2,$A264)</f>
        <v>10.231077987512137</v>
      </c>
      <c r="V264" s="32">
        <f ca="1">_xll.DBRW($C$1,$C$2,$C$3,$C$4,$C$6,$C$5,$C$7,V$1,V$2,$A264)</f>
        <v>4.9119761218948241</v>
      </c>
      <c r="W264" s="32">
        <f ca="1">_xll.DBRW($C$1,$C$2,$C$3,$C$4,$C$6,$C$5,$C$7,W$1,W$2,$A264)</f>
        <v>61.564514818090188</v>
      </c>
      <c r="X264" s="32">
        <f ca="1">_xll.DBRW($C$1,$C$2,$C$3,$C$4,$C$6,$C$5,$C$7,X$1,X$2,$A264)</f>
        <v>75.005579704396766</v>
      </c>
      <c r="Y264" s="32">
        <f ca="1">_xll.DBRW($C$1,$C$2,$C$3,$C$4,$C$6,$C$5,$C$7,Y$1,Y$2,$A264)</f>
        <v>75.005579704396766</v>
      </c>
      <c r="Z264" s="32">
        <f ca="1">_xll.DBRW($C$1,$C$2,$C$3,$C$4,$C$6,$C$5,$C$7,Z$1,Z$2,$A264)</f>
        <v>14.640873679985893</v>
      </c>
      <c r="AA264" s="32">
        <f ca="1">_xll.DBRW($C$1,$C$2,$C$3,$C$4,$C$6,$C$5,$C$7,AA$1,AA$2,$A264)</f>
        <v>29.784028336311117</v>
      </c>
      <c r="AB264" s="32">
        <f ca="1">_xll.DBRW($C$1,$C$2,$C$3,$C$4,$C$6,$C$5,$C$7,AB$1,AB$2,$A264)</f>
        <v>45.254294719990725</v>
      </c>
      <c r="AC264" s="32">
        <f ca="1">_xll.DBRW($C$1,$C$2,$C$3,$C$4,$C$6,$C$5,$C$7,AC$1,AC$2,$A264)</f>
        <v>60.055052461644124</v>
      </c>
      <c r="AD264" s="32">
        <f ca="1">_xll.DBRW($C$1,$C$2,$C$3,$C$4,$C$6,$C$5,$C$7,AD$1,AD$2,$A264)</f>
        <v>74.825750386266918</v>
      </c>
      <c r="AE264" s="32">
        <f ca="1">_xll.DBRW($C$1,$C$2,$C$3,$C$4,$C$6,$C$5,$C$7,AE$1,AE$2,$A264)</f>
        <v>90.049960153508849</v>
      </c>
      <c r="AF264" s="32">
        <f ca="1">_xll.DBRW($C$1,$C$2,$C$3,$C$4,$C$6,$C$5,$C$7,AF$1,AF$2,$A264)</f>
        <v>111.4785152920019</v>
      </c>
      <c r="AG264" s="32">
        <f ca="1">_xll.DBRW($C$1,$C$2,$C$3,$C$4,$C$6,$C$5,$C$7,AG$1,AG$2,$A264)</f>
        <v>125.77509611125666</v>
      </c>
      <c r="AH264" s="32">
        <f ca="1">_xll.DBRW($C$1,$C$2,$C$3,$C$4,$C$6,$C$5,$C$7,AH$1,AH$2,$A264)</f>
        <v>140.35778241928395</v>
      </c>
      <c r="AI264" s="32">
        <f ca="1">_xll.DBRW($C$1,$C$2,$C$3,$C$4,$C$6,$C$5,$C$7,AI$1,AI$2,$A264)</f>
        <v>154.97990568063855</v>
      </c>
      <c r="AJ264" s="32">
        <f ca="1">_xll.DBRW($C$1,$C$2,$C$3,$C$4,$C$6,$C$5,$C$7,AJ$1,AJ$2,$A264)</f>
        <v>169.48586436461053</v>
      </c>
      <c r="AK264" s="32">
        <f ca="1">_xll.DBRW($C$1,$C$2,$C$3,$C$4,$C$6,$C$5,$C$7,AK$1,AK$2,$A264)</f>
        <v>185.82843683898807</v>
      </c>
      <c r="AL264" s="32">
        <f ca="1">_xll.DBRW($C$1,$C$2,$C$3,$C$4,$C$6,$C$5,$C$7,AL$1,AL$2,$A264)</f>
        <v>185.82843683898807</v>
      </c>
      <c r="AM264" s="32">
        <f ca="1">_xll.DBRW($C$1,$C$2,$C$3,$C$4,$C$6,$C$5,$C$7,AM$1,AM$2,$A264)</f>
        <v>-11.247272471147699</v>
      </c>
      <c r="AN264" s="32">
        <f ca="1">_xll.DBRW($C$1,$C$2,$C$3,$C$4,$C$6,$C$5,$C$7,AN$1,AN$2,$A264)</f>
        <v>13.569857356332214</v>
      </c>
      <c r="AO264" s="32">
        <f ca="1">_xll.DBRW($C$1,$C$2,$C$3,$C$4,$C$6,$C$5,$C$7,AO$1,AO$2,$A264)</f>
        <v>0.42325855900002018</v>
      </c>
      <c r="AP264" s="32">
        <f ca="1">_xll.DBRW($C$1,$C$2,$C$3,$C$4,$C$6,$C$5,$C$7,AP$1,AP$2,$A264)</f>
        <v>0.42325855900002018</v>
      </c>
      <c r="AQ264" s="32">
        <f ca="1">_xll.DBRW($C$1,$C$2,$C$3,$C$4,$C$6,$C$5,$C$7,AQ$1,AQ$2,$A264)</f>
        <v>0.42325855900002018</v>
      </c>
      <c r="AR264" s="32">
        <f ca="1">_xll.DBRW($C$1,$C$2,$C$3,$C$4,$C$6,$C$5,$C$7,AR$1,AR$2,$A264)</f>
        <v>0.42325855900002018</v>
      </c>
      <c r="AS264" s="32">
        <f ca="1">_xll.DBRW($C$1,$C$2,$C$3,$C$4,$C$6,$C$5,$C$7,AS$1,AS$2,$A264)</f>
        <v>0.42325855900002018</v>
      </c>
      <c r="AT264" s="32">
        <f ca="1">_xll.DBRW($C$1,$C$2,$C$3,$C$4,$C$6,$C$5,$C$7,AT$1,AT$2,$A264)</f>
        <v>0.42325855900002018</v>
      </c>
      <c r="AU264" s="32">
        <f ca="1">_xll.DBRW($C$1,$C$2,$C$3,$C$4,$C$6,$C$5,$C$7,AU$1,AU$2,$A264)</f>
        <v>0.42325855900002018</v>
      </c>
      <c r="AV264" s="32">
        <f ca="1">_xll.DBRW($C$1,$C$2,$C$3,$C$4,$C$6,$C$5,$C$7,AV$1,AV$2,$A264)</f>
        <v>0.42325855900002018</v>
      </c>
      <c r="AW264" s="32">
        <f ca="1">_xll.DBRW($C$1,$C$2,$C$3,$C$4,$C$6,$C$5,$C$7,AW$1,AW$2,$A264)</f>
        <v>0.42325855900002018</v>
      </c>
      <c r="AX264" s="32">
        <f ca="1">_xll.DBRW($C$1,$C$2,$C$3,$C$4,$C$6,$C$5,$C$7,AX$1,AX$2,$A264)</f>
        <v>0.42325855900002018</v>
      </c>
      <c r="AY264" s="32">
        <f ca="1">_xll.DBRW($C$1,$C$2,$C$3,$C$4,$C$6,$C$5,$C$7,AY$1,AY$2,$A264)</f>
        <v>0.42325855900002018</v>
      </c>
    </row>
    <row r="265" spans="1:51" ht="15.5" collapsed="1">
      <c r="A265" s="1" t="s">
        <v>142</v>
      </c>
      <c r="C265" s="104"/>
      <c r="E265" s="11" t="s">
        <v>64</v>
      </c>
      <c r="F265" s="35">
        <f t="shared" ref="F265:L265" ca="1" si="187">F263+F264</f>
        <v>10.940778658000056</v>
      </c>
      <c r="G265" s="35">
        <f t="shared" ca="1" si="187"/>
        <v>2.7547458310002071</v>
      </c>
      <c r="H265" s="35">
        <f t="shared" ca="1" si="187"/>
        <v>1.814120463000414</v>
      </c>
      <c r="I265" s="35">
        <f t="shared" ca="1" si="187"/>
        <v>56.479775750999835</v>
      </c>
      <c r="J265" s="35">
        <f t="shared" ca="1" si="187"/>
        <v>100.13991397199979</v>
      </c>
      <c r="K265" s="35">
        <f t="shared" ca="1" si="187"/>
        <v>0.55278201899975699</v>
      </c>
      <c r="L265" s="35">
        <f t="shared" ca="1" si="187"/>
        <v>1.0000009999089343E-3</v>
      </c>
      <c r="M265" s="35">
        <f t="shared" ref="M265:X265" ca="1" si="188">M263+M264</f>
        <v>0</v>
      </c>
      <c r="N265" s="35">
        <f t="shared" ca="1" si="188"/>
        <v>10.426999998999987</v>
      </c>
      <c r="O265" s="35">
        <f t="shared" ca="1" si="188"/>
        <v>10.40197670599998</v>
      </c>
      <c r="P265" s="35">
        <f t="shared" ca="1" si="188"/>
        <v>10.584715241999968</v>
      </c>
      <c r="Q265" s="35">
        <f t="shared" ca="1" si="188"/>
        <v>10.402525956999948</v>
      </c>
      <c r="R265" s="35">
        <f t="shared" ca="1" si="188"/>
        <v>10.402391358999937</v>
      </c>
      <c r="S265" s="35">
        <f t="shared" ca="1" si="188"/>
        <v>-1.9546086380000744</v>
      </c>
      <c r="T265" s="35">
        <f t="shared" ca="1" si="188"/>
        <v>10.402014716000032</v>
      </c>
      <c r="U265" s="35">
        <f t="shared" ca="1" si="188"/>
        <v>10.402899491000007</v>
      </c>
      <c r="V265" s="35">
        <f t="shared" ca="1" si="188"/>
        <v>-2.0000996414637484E-9</v>
      </c>
      <c r="W265" s="35">
        <f t="shared" ca="1" si="188"/>
        <v>11.643282474000038</v>
      </c>
      <c r="X265" s="35">
        <f t="shared" ca="1" si="188"/>
        <v>11.591070625000071</v>
      </c>
      <c r="Y265" s="35">
        <f ca="1">Y263+Y264</f>
        <v>11.591070625000071</v>
      </c>
      <c r="Z265" s="35">
        <f t="shared" ref="Z265:AK265" ca="1" si="189">Z263+Z264</f>
        <v>0</v>
      </c>
      <c r="AA265" s="35">
        <f t="shared" ca="1" si="189"/>
        <v>1.0000249517361226E-9</v>
      </c>
      <c r="AB265" s="35">
        <f t="shared" ca="1" si="189"/>
        <v>-4.999947122996673E-9</v>
      </c>
      <c r="AC265" s="35">
        <f t="shared" ca="1" si="189"/>
        <v>-3.9999363821152656E-9</v>
      </c>
      <c r="AD265" s="35">
        <f t="shared" ca="1" si="189"/>
        <v>0</v>
      </c>
      <c r="AE265" s="35">
        <f t="shared" ca="1" si="189"/>
        <v>-1.9999362166345236E-9</v>
      </c>
      <c r="AF265" s="35">
        <f t="shared" ca="1" si="189"/>
        <v>-9.9996100288990419E-10</v>
      </c>
      <c r="AG265" s="35">
        <f t="shared" ca="1" si="189"/>
        <v>4.0000429635256296E-9</v>
      </c>
      <c r="AH265" s="35">
        <f t="shared" ca="1" si="189"/>
        <v>2.0000641143269604E-9</v>
      </c>
      <c r="AI265" s="35">
        <f t="shared" ca="1" si="189"/>
        <v>3.000053538926295E-9</v>
      </c>
      <c r="AJ265" s="35">
        <f t="shared" ca="1" si="189"/>
        <v>-1.9999788491986692E-9</v>
      </c>
      <c r="AK265" s="35">
        <f t="shared" ca="1" si="189"/>
        <v>1.0000462680181954E-9</v>
      </c>
      <c r="AL265" s="35">
        <f ca="1">AL263+AL264</f>
        <v>1.0000462680181954E-9</v>
      </c>
      <c r="AM265" s="35">
        <f t="shared" ref="AM265:AX265" ca="1" si="190">AM263+AM264</f>
        <v>-1.4210854715202004E-14</v>
      </c>
      <c r="AN265" s="35">
        <f t="shared" ca="1" si="190"/>
        <v>0.42325855899998643</v>
      </c>
      <c r="AO265" s="35">
        <f t="shared" ca="1" si="190"/>
        <v>0.42325855900004328</v>
      </c>
      <c r="AP265" s="35">
        <f t="shared" ca="1" si="190"/>
        <v>0.42325855900004328</v>
      </c>
      <c r="AQ265" s="35">
        <f t="shared" ca="1" si="190"/>
        <v>0.42325855900004328</v>
      </c>
      <c r="AR265" s="35">
        <f t="shared" ca="1" si="190"/>
        <v>0.42325855900004328</v>
      </c>
      <c r="AS265" s="35">
        <f t="shared" ca="1" si="190"/>
        <v>0.42325855900004328</v>
      </c>
      <c r="AT265" s="35">
        <f t="shared" ca="1" si="190"/>
        <v>0.42325855900004328</v>
      </c>
      <c r="AU265" s="35">
        <f t="shared" ca="1" si="190"/>
        <v>0.42325855900004328</v>
      </c>
      <c r="AV265" s="35">
        <f t="shared" ca="1" si="190"/>
        <v>0.42325855900004328</v>
      </c>
      <c r="AW265" s="35">
        <f t="shared" ca="1" si="190"/>
        <v>0.42325855900004328</v>
      </c>
      <c r="AX265" s="35">
        <f t="shared" ca="1" si="190"/>
        <v>0.42325855900004328</v>
      </c>
      <c r="AY265" s="35">
        <f ca="1">AY263+AY264</f>
        <v>0.42325855900004328</v>
      </c>
    </row>
    <row r="266" spans="1:51" ht="15.75" hidden="1" customHeight="1" outlineLevel="1">
      <c r="A266" s="1" t="s">
        <v>330</v>
      </c>
      <c r="C266" s="104"/>
      <c r="E266" s="9" t="str">
        <f ca="1">_xll.DBRW(Server&amp;"}ElementAttributes_Indicator",A266,"code_English")</f>
        <v>PL1500_JV - P&amp;L JV - Share in profit or loss of joint ventures (from 2013)</v>
      </c>
      <c r="F266" s="32">
        <f ca="1">_xll.DBRW($C$1,$C$2,$C$3,$C$4,$C$6,$C$5,$C$7,F$1,F$2,$A266)</f>
        <v>5.5723676927083146</v>
      </c>
      <c r="G266" s="32">
        <f ca="1">_xll.DBRW($C$1,$C$2,$C$3,$C$4,$C$6,$C$5,$C$7,G$1,G$2,$A266)</f>
        <v>-0.69178525203557972</v>
      </c>
      <c r="H266" s="32">
        <f ca="1">_xll.DBRW($C$1,$C$2,$C$3,$C$4,$C$6,$C$5,$C$7,H$1,H$2,$A266)</f>
        <v>4.9622891711044179</v>
      </c>
      <c r="I266" s="32">
        <f ca="1">_xll.DBRW($C$1,$C$2,$C$3,$C$4,$C$6,$C$5,$C$7,I$1,I$2,$A266)</f>
        <v>-14.758336567202296</v>
      </c>
      <c r="J266" s="32">
        <f ca="1">_xll.DBRW($C$1,$C$2,$C$3,$C$4,$C$6,$C$5,$C$7,J$1,J$2,$A266)</f>
        <v>6.5345398360374034</v>
      </c>
      <c r="K266" s="32">
        <f ca="1">_xll.DBRW($C$1,$C$2,$C$3,$C$4,$C$6,$C$5,$C$7,K$1,K$2,$A266)</f>
        <v>5.4020675510870912</v>
      </c>
      <c r="L266" s="32">
        <f ca="1">_xll.DBRW($C$1,$C$2,$C$3,$C$4,$C$6,$C$5,$C$7,L$1,L$2,$A266)</f>
        <v>3.3428539797047616</v>
      </c>
      <c r="M266" s="32">
        <f ca="1">_xll.DBRW($C$1,$C$2,$C$3,$C$4,$C$6,$C$5,$C$7,M$1,M$2,$A266)</f>
        <v>0</v>
      </c>
      <c r="N266" s="32">
        <f ca="1">_xll.DBRW($C$1,$C$2,$C$3,$C$4,$C$6,$C$5,$C$7,N$1,N$2,$A266)</f>
        <v>0.19249424014350835</v>
      </c>
      <c r="O266" s="32">
        <f ca="1">_xll.DBRW($C$1,$C$2,$C$3,$C$4,$C$6,$C$5,$C$7,O$1,O$2,$A266)</f>
        <v>-0.14797773272822656</v>
      </c>
      <c r="P266" s="32">
        <f ca="1">_xll.DBRW($C$1,$C$2,$C$3,$C$4,$C$6,$C$5,$C$7,P$1,P$2,$A266)</f>
        <v>0.99535999580709777</v>
      </c>
      <c r="Q266" s="32">
        <f ca="1">_xll.DBRW($C$1,$C$2,$C$3,$C$4,$C$6,$C$5,$C$7,Q$1,Q$2,$A266)</f>
        <v>1.3387899534330641</v>
      </c>
      <c r="R266" s="32">
        <f ca="1">_xll.DBRW($C$1,$C$2,$C$3,$C$4,$C$6,$C$5,$C$7,R$1,R$2,$A266)</f>
        <v>3.3174317245091576</v>
      </c>
      <c r="S266" s="32">
        <f ca="1">_xll.DBRW($C$1,$C$2,$C$3,$C$4,$C$6,$C$5,$C$7,S$1,S$2,$A266)</f>
        <v>2.6977959697091585</v>
      </c>
      <c r="T266" s="32">
        <f ca="1">_xll.DBRW($C$1,$C$2,$C$3,$C$4,$C$6,$C$5,$C$7,T$1,T$2,$A266)</f>
        <v>2.528955532180742</v>
      </c>
      <c r="U266" s="32">
        <f ca="1">_xll.DBRW($C$1,$C$2,$C$3,$C$4,$C$6,$C$5,$C$7,U$1,U$2,$A266)</f>
        <v>6.0787925254620401</v>
      </c>
      <c r="V266" s="32">
        <f ca="1">_xll.DBRW($C$1,$C$2,$C$3,$C$4,$C$6,$C$5,$C$7,V$1,V$2,$A266)</f>
        <v>6.0787925254620401</v>
      </c>
      <c r="W266" s="32">
        <f ca="1">_xll.DBRW($C$1,$C$2,$C$3,$C$4,$C$6,$C$5,$C$7,W$1,W$2,$A266)</f>
        <v>7.7763636787678507</v>
      </c>
      <c r="X266" s="32">
        <f ca="1">_xll.DBRW($C$1,$C$2,$C$3,$C$4,$C$6,$C$5,$C$7,X$1,X$2,$A266)</f>
        <v>9.1223612065472235</v>
      </c>
      <c r="Y266" s="32">
        <f ca="1">_xll.DBRW($C$1,$C$2,$C$3,$C$4,$C$6,$C$5,$C$7,Y$1,Y$2,$A266)</f>
        <v>9.1223612065472235</v>
      </c>
      <c r="Z266" s="32">
        <f ca="1">_xll.DBRW($C$1,$C$2,$C$3,$C$4,$C$6,$C$5,$C$7,Z$1,Z$2,$A266)</f>
        <v>0.2868193070545455</v>
      </c>
      <c r="AA266" s="32">
        <f ca="1">_xll.DBRW($C$1,$C$2,$C$3,$C$4,$C$6,$C$5,$C$7,AA$1,AA$2,$A266)</f>
        <v>0.35733528549999977</v>
      </c>
      <c r="AB266" s="32">
        <f ca="1">_xll.DBRW($C$1,$C$2,$C$3,$C$4,$C$6,$C$5,$C$7,AB$1,AB$2,$A266)</f>
        <v>0.81476329619090893</v>
      </c>
      <c r="AC266" s="32">
        <f ca="1">_xll.DBRW($C$1,$C$2,$C$3,$C$4,$C$6,$C$5,$C$7,AC$1,AC$2,$A266)</f>
        <v>0.97208537699999931</v>
      </c>
      <c r="AD266" s="32">
        <f ca="1">_xll.DBRW($C$1,$C$2,$C$3,$C$4,$C$6,$C$5,$C$7,AD$1,AD$2,$A266)</f>
        <v>1.0830027519272729</v>
      </c>
      <c r="AE266" s="32">
        <f ca="1">_xll.DBRW($C$1,$C$2,$C$3,$C$4,$C$6,$C$5,$C$7,AE$1,AE$2,$A266)</f>
        <v>1.4324255800090926</v>
      </c>
      <c r="AF266" s="32">
        <f ca="1">_xll.DBRW($C$1,$C$2,$C$3,$C$4,$C$6,$C$5,$C$7,AF$1,AF$2,$A266)</f>
        <v>1.5980290880909087</v>
      </c>
      <c r="AG266" s="32">
        <f ca="1">_xll.DBRW($C$1,$C$2,$C$3,$C$4,$C$6,$C$5,$C$7,AG$1,AG$2,$A266)</f>
        <v>1.7575902048363634</v>
      </c>
      <c r="AH266" s="32">
        <f ca="1">_xll.DBRW($C$1,$C$2,$C$3,$C$4,$C$6,$C$5,$C$7,AH$1,AH$2,$A266)</f>
        <v>2.1064767647363634</v>
      </c>
      <c r="AI266" s="32">
        <f ca="1">_xll.DBRW($C$1,$C$2,$C$3,$C$4,$C$6,$C$5,$C$7,AI$1,AI$2,$A266)</f>
        <v>2.423166772700001</v>
      </c>
      <c r="AJ266" s="32">
        <f ca="1">_xll.DBRW($C$1,$C$2,$C$3,$C$4,$C$6,$C$5,$C$7,AJ$1,AJ$2,$A266)</f>
        <v>2.2859354343818175</v>
      </c>
      <c r="AK266" s="32">
        <f ca="1">_xll.DBRW($C$1,$C$2,$C$3,$C$4,$C$6,$C$5,$C$7,AK$1,AK$2,$A266)</f>
        <v>2.3569583939636365</v>
      </c>
      <c r="AL266" s="32">
        <f ca="1">_xll.DBRW($C$1,$C$2,$C$3,$C$4,$C$6,$C$5,$C$7,AL$1,AL$2,$A266)</f>
        <v>2.3569583939636365</v>
      </c>
      <c r="AM266" s="32">
        <f ca="1">_xll.DBRW($C$1,$C$2,$C$3,$C$4,$C$6,$C$5,$C$7,AM$1,AM$2,$A266)</f>
        <v>0</v>
      </c>
      <c r="AN266" s="32">
        <f ca="1">_xll.DBRW($C$1,$C$2,$C$3,$C$4,$C$6,$C$5,$C$7,AN$1,AN$2,$A266)</f>
        <v>1.3097376259228368</v>
      </c>
      <c r="AO266" s="32">
        <f ca="1">_xll.DBRW($C$1,$C$2,$C$3,$C$4,$C$6,$C$5,$C$7,AO$1,AO$2,$A266)</f>
        <v>1.3097376259228368</v>
      </c>
      <c r="AP266" s="32">
        <f ca="1">_xll.DBRW($C$1,$C$2,$C$3,$C$4,$C$6,$C$5,$C$7,AP$1,AP$2,$A266)</f>
        <v>1.3097376259228368</v>
      </c>
      <c r="AQ266" s="32">
        <f ca="1">_xll.DBRW($C$1,$C$2,$C$3,$C$4,$C$6,$C$5,$C$7,AQ$1,AQ$2,$A266)</f>
        <v>1.3097376259228368</v>
      </c>
      <c r="AR266" s="32">
        <f ca="1">_xll.DBRW($C$1,$C$2,$C$3,$C$4,$C$6,$C$5,$C$7,AR$1,AR$2,$A266)</f>
        <v>1.3097376259228368</v>
      </c>
      <c r="AS266" s="32">
        <f ca="1">_xll.DBRW($C$1,$C$2,$C$3,$C$4,$C$6,$C$5,$C$7,AS$1,AS$2,$A266)</f>
        <v>1.3097376259228368</v>
      </c>
      <c r="AT266" s="32">
        <f ca="1">_xll.DBRW($C$1,$C$2,$C$3,$C$4,$C$6,$C$5,$C$7,AT$1,AT$2,$A266)</f>
        <v>1.3097376259228368</v>
      </c>
      <c r="AU266" s="32">
        <f ca="1">_xll.DBRW($C$1,$C$2,$C$3,$C$4,$C$6,$C$5,$C$7,AU$1,AU$2,$A266)</f>
        <v>1.3097376259228368</v>
      </c>
      <c r="AV266" s="32">
        <f ca="1">_xll.DBRW($C$1,$C$2,$C$3,$C$4,$C$6,$C$5,$C$7,AV$1,AV$2,$A266)</f>
        <v>1.3097376259228368</v>
      </c>
      <c r="AW266" s="32">
        <f ca="1">_xll.DBRW($C$1,$C$2,$C$3,$C$4,$C$6,$C$5,$C$7,AW$1,AW$2,$A266)</f>
        <v>1.3097376259228368</v>
      </c>
      <c r="AX266" s="32">
        <f ca="1">_xll.DBRW($C$1,$C$2,$C$3,$C$4,$C$6,$C$5,$C$7,AX$1,AX$2,$A266)</f>
        <v>1.3097376259228368</v>
      </c>
      <c r="AY266" s="32">
        <f ca="1">_xll.DBRW($C$1,$C$2,$C$3,$C$4,$C$6,$C$5,$C$7,AY$1,AY$2,$A266)</f>
        <v>1.3097376259228368</v>
      </c>
    </row>
    <row r="267" spans="1:51" ht="15.75" hidden="1" customHeight="1" outlineLevel="1">
      <c r="A267" s="1" t="s">
        <v>331</v>
      </c>
      <c r="C267" s="104"/>
      <c r="E267" s="9" t="str">
        <f ca="1">_xll.DBRW(Server&amp;"}ElementAttributes_Indicator",A267,"code_English")</f>
        <v>PL1500_XX - Vector Reconciliation (TPL15) - Share in profit or loss of joint ventures (from 2013)</v>
      </c>
      <c r="F267" s="32">
        <f ca="1">_xll.DBRW($C$1,$C$2,$C$3,$C$4,$C$6,$C$5,$C$7,F$1,F$2,$A267)</f>
        <v>-1.7030889137083129</v>
      </c>
      <c r="G267" s="32">
        <f ca="1">_xll.DBRW($C$1,$C$2,$C$3,$C$4,$C$6,$C$5,$C$7,G$1,G$2,$A267)</f>
        <v>-1.9861692859644184</v>
      </c>
      <c r="H267" s="32">
        <f ca="1">_xll.DBRW($C$1,$C$2,$C$3,$C$4,$C$6,$C$5,$C$7,H$1,H$2,$A267)</f>
        <v>-3.0679825131044165</v>
      </c>
      <c r="I267" s="32">
        <f ca="1">_xll.DBRW($C$1,$C$2,$C$3,$C$4,$C$6,$C$5,$C$7,I$1,I$2,$A267)</f>
        <v>18.035145302202292</v>
      </c>
      <c r="J267" s="32">
        <f ca="1">_xll.DBRW($C$1,$C$2,$C$3,$C$4,$C$6,$C$5,$C$7,J$1,J$2,$A267)</f>
        <v>-6.2093138060374038</v>
      </c>
      <c r="K267" s="32">
        <f ca="1">_xll.DBRW($C$1,$C$2,$C$3,$C$4,$C$6,$C$5,$C$7,K$1,K$2,$A267)</f>
        <v>-4.7152534710870908</v>
      </c>
      <c r="L267" s="32">
        <f ca="1">_xll.DBRW($C$1,$C$2,$C$3,$C$4,$C$6,$C$5,$C$7,L$1,L$2,$A267)</f>
        <v>1.0708661482952389</v>
      </c>
      <c r="M267" s="32">
        <f ca="1">_xll.DBRW($C$1,$C$2,$C$3,$C$4,$C$6,$C$5,$C$7,M$1,M$2,$A267)</f>
        <v>0</v>
      </c>
      <c r="N267" s="32">
        <f ca="1">_xll.DBRW($C$1,$C$2,$C$3,$C$4,$C$6,$C$5,$C$7,N$1,N$2,$A267)</f>
        <v>-4.7577114143508403E-2</v>
      </c>
      <c r="O267" s="32">
        <f ca="1">_xll.DBRW($C$1,$C$2,$C$3,$C$4,$C$6,$C$5,$C$7,O$1,O$2,$A267)</f>
        <v>0.14899309772822672</v>
      </c>
      <c r="P267" s="32">
        <f ca="1">_xll.DBRW($C$1,$C$2,$C$3,$C$4,$C$6,$C$5,$C$7,P$1,P$2,$A267)</f>
        <v>-0.31010219080709794</v>
      </c>
      <c r="Q267" s="32">
        <f ca="1">_xll.DBRW($C$1,$C$2,$C$3,$C$4,$C$6,$C$5,$C$7,Q$1,Q$2,$A267)</f>
        <v>4.130510256693587E-2</v>
      </c>
      <c r="R267" s="32">
        <f ca="1">_xll.DBRW($C$1,$C$2,$C$3,$C$4,$C$6,$C$5,$C$7,R$1,R$2,$A267)</f>
        <v>0.11367215349084281</v>
      </c>
      <c r="S267" s="32">
        <f ca="1">_xll.DBRW($C$1,$C$2,$C$3,$C$4,$C$6,$C$5,$C$7,S$1,S$2,$A267)</f>
        <v>-2.1040759697091582</v>
      </c>
      <c r="T267" s="32">
        <f ca="1">_xll.DBRW($C$1,$C$2,$C$3,$C$4,$C$6,$C$5,$C$7,T$1,T$2,$A267)</f>
        <v>1.118528549819259</v>
      </c>
      <c r="U267" s="32">
        <f ca="1">_xll.DBRW($C$1,$C$2,$C$3,$C$4,$C$6,$C$5,$C$7,U$1,U$2,$A267)</f>
        <v>-0.82643997946203895</v>
      </c>
      <c r="V267" s="32">
        <f ca="1">_xll.DBRW($C$1,$C$2,$C$3,$C$4,$C$6,$C$5,$C$7,V$1,V$2,$A267)</f>
        <v>-6.0787925254620392</v>
      </c>
      <c r="W267" s="32">
        <f ca="1">_xll.DBRW($C$1,$C$2,$C$3,$C$4,$C$6,$C$5,$C$7,W$1,W$2,$A267)</f>
        <v>-2.6952679607678505</v>
      </c>
      <c r="X267" s="32">
        <f ca="1">_xll.DBRW($C$1,$C$2,$C$3,$C$4,$C$6,$C$5,$C$7,X$1,X$2,$A267)</f>
        <v>-2.7028645665472233</v>
      </c>
      <c r="Y267" s="32">
        <f ca="1">_xll.DBRW($C$1,$C$2,$C$3,$C$4,$C$6,$C$5,$C$7,Y$1,Y$2,$A267)</f>
        <v>-2.7028645665472233</v>
      </c>
      <c r="Z267" s="32">
        <f ca="1">_xll.DBRW($C$1,$C$2,$C$3,$C$4,$C$6,$C$5,$C$7,Z$1,Z$2,$A267)</f>
        <v>0.18245671394545454</v>
      </c>
      <c r="AA267" s="32">
        <f ca="1">_xll.DBRW($C$1,$C$2,$C$3,$C$4,$C$6,$C$5,$C$7,AA$1,AA$2,$A267)</f>
        <v>0.39940720950000025</v>
      </c>
      <c r="AB267" s="32">
        <f ca="1">_xll.DBRW($C$1,$C$2,$C$3,$C$4,$C$6,$C$5,$C$7,AB$1,AB$2,$A267)</f>
        <v>0.49923529080909101</v>
      </c>
      <c r="AC267" s="32">
        <f ca="1">_xll.DBRW($C$1,$C$2,$C$3,$C$4,$C$6,$C$5,$C$7,AC$1,AC$2,$A267)</f>
        <v>0.42953941000000051</v>
      </c>
      <c r="AD267" s="32">
        <f ca="1">_xll.DBRW($C$1,$C$2,$C$3,$C$4,$C$6,$C$5,$C$7,AD$1,AD$2,$A267)</f>
        <v>0.61410451307272695</v>
      </c>
      <c r="AE267" s="32">
        <f ca="1">_xll.DBRW($C$1,$C$2,$C$3,$C$4,$C$6,$C$5,$C$7,AE$1,AE$2,$A267)</f>
        <v>0.38997180999090736</v>
      </c>
      <c r="AF267" s="32">
        <f ca="1">_xll.DBRW($C$1,$C$2,$C$3,$C$4,$C$6,$C$5,$C$7,AF$1,AF$2,$A267)</f>
        <v>0.48796588190909135</v>
      </c>
      <c r="AG267" s="32">
        <f ca="1">_xll.DBRW($C$1,$C$2,$C$3,$C$4,$C$6,$C$5,$C$7,AG$1,AG$2,$A267)</f>
        <v>0.62963636016363678</v>
      </c>
      <c r="AH267" s="32">
        <f ca="1">_xll.DBRW($C$1,$C$2,$C$3,$C$4,$C$6,$C$5,$C$7,AH$1,AH$2,$A267)</f>
        <v>0.41866378326363674</v>
      </c>
      <c r="AI267" s="32">
        <f ca="1">_xll.DBRW($C$1,$C$2,$C$3,$C$4,$C$6,$C$5,$C$7,AI$1,AI$2,$A267)</f>
        <v>0.98998825529999879</v>
      </c>
      <c r="AJ267" s="32">
        <f ca="1">_xll.DBRW($C$1,$C$2,$C$3,$C$4,$C$6,$C$5,$C$7,AJ$1,AJ$2,$A267)</f>
        <v>1.1010392186181823</v>
      </c>
      <c r="AK267" s="32">
        <f ca="1">_xll.DBRW($C$1,$C$2,$C$3,$C$4,$C$6,$C$5,$C$7,AK$1,AK$2,$A267)</f>
        <v>0.59003875603636324</v>
      </c>
      <c r="AL267" s="32">
        <f ca="1">_xll.DBRW($C$1,$C$2,$C$3,$C$4,$C$6,$C$5,$C$7,AL$1,AL$2,$A267)</f>
        <v>0.59003875603636324</v>
      </c>
      <c r="AM267" s="32">
        <f ca="1">_xll.DBRW($C$1,$C$2,$C$3,$C$4,$C$6,$C$5,$C$7,AM$1,AM$2,$A267)</f>
        <v>0</v>
      </c>
      <c r="AN267" s="32">
        <f ca="1">_xll.DBRW($C$1,$C$2,$C$3,$C$4,$C$6,$C$5,$C$7,AN$1,AN$2,$A267)</f>
        <v>-0.34682204392283683</v>
      </c>
      <c r="AO267" s="32">
        <f ca="1">_xll.DBRW($C$1,$C$2,$C$3,$C$4,$C$6,$C$5,$C$7,AO$1,AO$2,$A267)</f>
        <v>-0.34682204392283683</v>
      </c>
      <c r="AP267" s="32">
        <f ca="1">_xll.DBRW($C$1,$C$2,$C$3,$C$4,$C$6,$C$5,$C$7,AP$1,AP$2,$A267)</f>
        <v>-0.34682204392283683</v>
      </c>
      <c r="AQ267" s="32">
        <f ca="1">_xll.DBRW($C$1,$C$2,$C$3,$C$4,$C$6,$C$5,$C$7,AQ$1,AQ$2,$A267)</f>
        <v>-0.34682204392283683</v>
      </c>
      <c r="AR267" s="32">
        <f ca="1">_xll.DBRW($C$1,$C$2,$C$3,$C$4,$C$6,$C$5,$C$7,AR$1,AR$2,$A267)</f>
        <v>-0.34682204392283683</v>
      </c>
      <c r="AS267" s="32">
        <f ca="1">_xll.DBRW($C$1,$C$2,$C$3,$C$4,$C$6,$C$5,$C$7,AS$1,AS$2,$A267)</f>
        <v>-0.34682204392283683</v>
      </c>
      <c r="AT267" s="32">
        <f ca="1">_xll.DBRW($C$1,$C$2,$C$3,$C$4,$C$6,$C$5,$C$7,AT$1,AT$2,$A267)</f>
        <v>-0.34682204392283683</v>
      </c>
      <c r="AU267" s="32">
        <f ca="1">_xll.DBRW($C$1,$C$2,$C$3,$C$4,$C$6,$C$5,$C$7,AU$1,AU$2,$A267)</f>
        <v>-0.34682204392283683</v>
      </c>
      <c r="AV267" s="32">
        <f ca="1">_xll.DBRW($C$1,$C$2,$C$3,$C$4,$C$6,$C$5,$C$7,AV$1,AV$2,$A267)</f>
        <v>-0.34682204392283683</v>
      </c>
      <c r="AW267" s="32">
        <f ca="1">_xll.DBRW($C$1,$C$2,$C$3,$C$4,$C$6,$C$5,$C$7,AW$1,AW$2,$A267)</f>
        <v>-0.34682204392283683</v>
      </c>
      <c r="AX267" s="32">
        <f ca="1">_xll.DBRW($C$1,$C$2,$C$3,$C$4,$C$6,$C$5,$C$7,AX$1,AX$2,$A267)</f>
        <v>-0.34682204392283683</v>
      </c>
      <c r="AY267" s="32">
        <f ca="1">_xll.DBRW($C$1,$C$2,$C$3,$C$4,$C$6,$C$5,$C$7,AY$1,AY$2,$A267)</f>
        <v>-0.34682204392283683</v>
      </c>
    </row>
    <row r="268" spans="1:51" ht="15.75" hidden="1" customHeight="1" outlineLevel="1">
      <c r="A268" s="1" t="s">
        <v>332</v>
      </c>
      <c r="C268" s="104"/>
      <c r="E268" s="9" t="str">
        <f ca="1">_xll.DBRW(Server&amp;"}ElementAttributes_Indicator",A268,"code_English")</f>
        <v>PL1520_JV - P&amp;L JV - Impairment - Goodwill (joint ventures)  (from 2013)</v>
      </c>
      <c r="F268" s="32">
        <f ca="1">_xll.DBRW($C$1,$C$2,$C$3,$C$4,$C$6,$C$5,$C$7,F$1,F$2,$A268)</f>
        <v>0</v>
      </c>
      <c r="G268" s="32">
        <f ca="1">_xll.DBRW($C$1,$C$2,$C$3,$C$4,$C$6,$C$5,$C$7,G$1,G$2,$A268)</f>
        <v>0</v>
      </c>
      <c r="H268" s="32">
        <f ca="1">_xll.DBRW($C$1,$C$2,$C$3,$C$4,$C$6,$C$5,$C$7,H$1,H$2,$A268)</f>
        <v>0</v>
      </c>
      <c r="I268" s="32">
        <f ca="1">_xll.DBRW($C$1,$C$2,$C$3,$C$4,$C$6,$C$5,$C$7,I$1,I$2,$A268)</f>
        <v>0</v>
      </c>
      <c r="J268" s="32">
        <f ca="1">_xll.DBRW($C$1,$C$2,$C$3,$C$4,$C$6,$C$5,$C$7,J$1,J$2,$A268)</f>
        <v>0</v>
      </c>
      <c r="K268" s="32">
        <f ca="1">_xll.DBRW($C$1,$C$2,$C$3,$C$4,$C$6,$C$5,$C$7,K$1,K$2,$A268)</f>
        <v>0</v>
      </c>
      <c r="L268" s="32">
        <f ca="1">_xll.DBRW($C$1,$C$2,$C$3,$C$4,$C$6,$C$5,$C$7,L$1,L$2,$A268)</f>
        <v>0</v>
      </c>
      <c r="M268" s="32">
        <f ca="1">_xll.DBRW($C$1,$C$2,$C$3,$C$4,$C$6,$C$5,$C$7,M$1,M$2,$A268)</f>
        <v>0</v>
      </c>
      <c r="N268" s="32">
        <f ca="1">_xll.DBRW($C$1,$C$2,$C$3,$C$4,$C$6,$C$5,$C$7,N$1,N$2,$A268)</f>
        <v>0</v>
      </c>
      <c r="O268" s="32">
        <f ca="1">_xll.DBRW($C$1,$C$2,$C$3,$C$4,$C$6,$C$5,$C$7,O$1,O$2,$A268)</f>
        <v>0</v>
      </c>
      <c r="P268" s="32">
        <f ca="1">_xll.DBRW($C$1,$C$2,$C$3,$C$4,$C$6,$C$5,$C$7,P$1,P$2,$A268)</f>
        <v>0</v>
      </c>
      <c r="Q268" s="32">
        <f ca="1">_xll.DBRW($C$1,$C$2,$C$3,$C$4,$C$6,$C$5,$C$7,Q$1,Q$2,$A268)</f>
        <v>0</v>
      </c>
      <c r="R268" s="32">
        <f ca="1">_xll.DBRW($C$1,$C$2,$C$3,$C$4,$C$6,$C$5,$C$7,R$1,R$2,$A268)</f>
        <v>0</v>
      </c>
      <c r="S268" s="32">
        <f ca="1">_xll.DBRW($C$1,$C$2,$C$3,$C$4,$C$6,$C$5,$C$7,S$1,S$2,$A268)</f>
        <v>0</v>
      </c>
      <c r="T268" s="32">
        <f ca="1">_xll.DBRW($C$1,$C$2,$C$3,$C$4,$C$6,$C$5,$C$7,T$1,T$2,$A268)</f>
        <v>0</v>
      </c>
      <c r="U268" s="32">
        <f ca="1">_xll.DBRW($C$1,$C$2,$C$3,$C$4,$C$6,$C$5,$C$7,U$1,U$2,$A268)</f>
        <v>0</v>
      </c>
      <c r="V268" s="32">
        <f ca="1">_xll.DBRW($C$1,$C$2,$C$3,$C$4,$C$6,$C$5,$C$7,V$1,V$2,$A268)</f>
        <v>0</v>
      </c>
      <c r="W268" s="32">
        <f ca="1">_xll.DBRW($C$1,$C$2,$C$3,$C$4,$C$6,$C$5,$C$7,W$1,W$2,$A268)</f>
        <v>0</v>
      </c>
      <c r="X268" s="32">
        <f ca="1">_xll.DBRW($C$1,$C$2,$C$3,$C$4,$C$6,$C$5,$C$7,X$1,X$2,$A268)</f>
        <v>0</v>
      </c>
      <c r="Y268" s="32">
        <f ca="1">_xll.DBRW($C$1,$C$2,$C$3,$C$4,$C$6,$C$5,$C$7,Y$1,Y$2,$A268)</f>
        <v>0</v>
      </c>
      <c r="Z268" s="32">
        <f ca="1">_xll.DBRW($C$1,$C$2,$C$3,$C$4,$C$6,$C$5,$C$7,Z$1,Z$2,$A268)</f>
        <v>0</v>
      </c>
      <c r="AA268" s="32">
        <f ca="1">_xll.DBRW($C$1,$C$2,$C$3,$C$4,$C$6,$C$5,$C$7,AA$1,AA$2,$A268)</f>
        <v>0</v>
      </c>
      <c r="AB268" s="32">
        <f ca="1">_xll.DBRW($C$1,$C$2,$C$3,$C$4,$C$6,$C$5,$C$7,AB$1,AB$2,$A268)</f>
        <v>0</v>
      </c>
      <c r="AC268" s="32">
        <f ca="1">_xll.DBRW($C$1,$C$2,$C$3,$C$4,$C$6,$C$5,$C$7,AC$1,AC$2,$A268)</f>
        <v>0</v>
      </c>
      <c r="AD268" s="32">
        <f ca="1">_xll.DBRW($C$1,$C$2,$C$3,$C$4,$C$6,$C$5,$C$7,AD$1,AD$2,$A268)</f>
        <v>0</v>
      </c>
      <c r="AE268" s="32">
        <f ca="1">_xll.DBRW($C$1,$C$2,$C$3,$C$4,$C$6,$C$5,$C$7,AE$1,AE$2,$A268)</f>
        <v>0</v>
      </c>
      <c r="AF268" s="32">
        <f ca="1">_xll.DBRW($C$1,$C$2,$C$3,$C$4,$C$6,$C$5,$C$7,AF$1,AF$2,$A268)</f>
        <v>0</v>
      </c>
      <c r="AG268" s="32">
        <f ca="1">_xll.DBRW($C$1,$C$2,$C$3,$C$4,$C$6,$C$5,$C$7,AG$1,AG$2,$A268)</f>
        <v>0</v>
      </c>
      <c r="AH268" s="32">
        <f ca="1">_xll.DBRW($C$1,$C$2,$C$3,$C$4,$C$6,$C$5,$C$7,AH$1,AH$2,$A268)</f>
        <v>0</v>
      </c>
      <c r="AI268" s="32">
        <f ca="1">_xll.DBRW($C$1,$C$2,$C$3,$C$4,$C$6,$C$5,$C$7,AI$1,AI$2,$A268)</f>
        <v>0</v>
      </c>
      <c r="AJ268" s="32">
        <f ca="1">_xll.DBRW($C$1,$C$2,$C$3,$C$4,$C$6,$C$5,$C$7,AJ$1,AJ$2,$A268)</f>
        <v>0</v>
      </c>
      <c r="AK268" s="32">
        <f ca="1">_xll.DBRW($C$1,$C$2,$C$3,$C$4,$C$6,$C$5,$C$7,AK$1,AK$2,$A268)</f>
        <v>0</v>
      </c>
      <c r="AL268" s="32">
        <f ca="1">_xll.DBRW($C$1,$C$2,$C$3,$C$4,$C$6,$C$5,$C$7,AL$1,AL$2,$A268)</f>
        <v>0</v>
      </c>
      <c r="AM268" s="32">
        <f ca="1">_xll.DBRW($C$1,$C$2,$C$3,$C$4,$C$6,$C$5,$C$7,AM$1,AM$2,$A268)</f>
        <v>0</v>
      </c>
      <c r="AN268" s="32">
        <f ca="1">_xll.DBRW($C$1,$C$2,$C$3,$C$4,$C$6,$C$5,$C$7,AN$1,AN$2,$A268)</f>
        <v>0</v>
      </c>
      <c r="AO268" s="32">
        <f ca="1">_xll.DBRW($C$1,$C$2,$C$3,$C$4,$C$6,$C$5,$C$7,AO$1,AO$2,$A268)</f>
        <v>0</v>
      </c>
      <c r="AP268" s="32">
        <f ca="1">_xll.DBRW($C$1,$C$2,$C$3,$C$4,$C$6,$C$5,$C$7,AP$1,AP$2,$A268)</f>
        <v>0</v>
      </c>
      <c r="AQ268" s="32">
        <f ca="1">_xll.DBRW($C$1,$C$2,$C$3,$C$4,$C$6,$C$5,$C$7,AQ$1,AQ$2,$A268)</f>
        <v>0</v>
      </c>
      <c r="AR268" s="32">
        <f ca="1">_xll.DBRW($C$1,$C$2,$C$3,$C$4,$C$6,$C$5,$C$7,AR$1,AR$2,$A268)</f>
        <v>0</v>
      </c>
      <c r="AS268" s="32">
        <f ca="1">_xll.DBRW($C$1,$C$2,$C$3,$C$4,$C$6,$C$5,$C$7,AS$1,AS$2,$A268)</f>
        <v>0</v>
      </c>
      <c r="AT268" s="32">
        <f ca="1">_xll.DBRW($C$1,$C$2,$C$3,$C$4,$C$6,$C$5,$C$7,AT$1,AT$2,$A268)</f>
        <v>0</v>
      </c>
      <c r="AU268" s="32">
        <f ca="1">_xll.DBRW($C$1,$C$2,$C$3,$C$4,$C$6,$C$5,$C$7,AU$1,AU$2,$A268)</f>
        <v>0</v>
      </c>
      <c r="AV268" s="32">
        <f ca="1">_xll.DBRW($C$1,$C$2,$C$3,$C$4,$C$6,$C$5,$C$7,AV$1,AV$2,$A268)</f>
        <v>0</v>
      </c>
      <c r="AW268" s="32">
        <f ca="1">_xll.DBRW($C$1,$C$2,$C$3,$C$4,$C$6,$C$5,$C$7,AW$1,AW$2,$A268)</f>
        <v>0</v>
      </c>
      <c r="AX268" s="32">
        <f ca="1">_xll.DBRW($C$1,$C$2,$C$3,$C$4,$C$6,$C$5,$C$7,AX$1,AX$2,$A268)</f>
        <v>0</v>
      </c>
      <c r="AY268" s="32">
        <f ca="1">_xll.DBRW($C$1,$C$2,$C$3,$C$4,$C$6,$C$5,$C$7,AY$1,AY$2,$A268)</f>
        <v>0</v>
      </c>
    </row>
    <row r="269" spans="1:51" ht="15.75" hidden="1" customHeight="1" outlineLevel="1">
      <c r="A269" s="1" t="s">
        <v>333</v>
      </c>
      <c r="C269" s="104"/>
      <c r="E269" s="9" t="str">
        <f ca="1">_xll.DBRW(Server&amp;"}ElementAttributes_Indicator",A269,"code_English")</f>
        <v>PL1520_XX - Vector Reconciliation (TPL15) - Impairment - Goodwill (joint ventures)  (from 2013)</v>
      </c>
      <c r="F269" s="32">
        <f ca="1">_xll.DBRW($C$1,$C$2,$C$3,$C$4,$C$6,$C$5,$C$7,F$1,F$2,$A269)</f>
        <v>0</v>
      </c>
      <c r="G269" s="32">
        <f ca="1">_xll.DBRW($C$1,$C$2,$C$3,$C$4,$C$6,$C$5,$C$7,G$1,G$2,$A269)</f>
        <v>-2.542E-4</v>
      </c>
      <c r="H269" s="32">
        <f ca="1">_xll.DBRW($C$1,$C$2,$C$3,$C$4,$C$6,$C$5,$C$7,H$1,H$2,$A269)</f>
        <v>0</v>
      </c>
      <c r="I269" s="32">
        <f ca="1">_xll.DBRW($C$1,$C$2,$C$3,$C$4,$C$6,$C$5,$C$7,I$1,I$2,$A269)</f>
        <v>0</v>
      </c>
      <c r="J269" s="32">
        <f ca="1">_xll.DBRW($C$1,$C$2,$C$3,$C$4,$C$6,$C$5,$C$7,J$1,J$2,$A269)</f>
        <v>0</v>
      </c>
      <c r="K269" s="32">
        <f ca="1">_xll.DBRW($C$1,$C$2,$C$3,$C$4,$C$6,$C$5,$C$7,K$1,K$2,$A269)</f>
        <v>0</v>
      </c>
      <c r="L269" s="32">
        <f ca="1">_xll.DBRW($C$1,$C$2,$C$3,$C$4,$C$6,$C$5,$C$7,L$1,L$2,$A269)</f>
        <v>0</v>
      </c>
      <c r="M269" s="32">
        <f ca="1">_xll.DBRW($C$1,$C$2,$C$3,$C$4,$C$6,$C$5,$C$7,M$1,M$2,$A269)</f>
        <v>0</v>
      </c>
      <c r="N269" s="32">
        <f ca="1">_xll.DBRW($C$1,$C$2,$C$3,$C$4,$C$6,$C$5,$C$7,N$1,N$2,$A269)</f>
        <v>0</v>
      </c>
      <c r="O269" s="32">
        <f ca="1">_xll.DBRW($C$1,$C$2,$C$3,$C$4,$C$6,$C$5,$C$7,O$1,O$2,$A269)</f>
        <v>0</v>
      </c>
      <c r="P269" s="32">
        <f ca="1">_xll.DBRW($C$1,$C$2,$C$3,$C$4,$C$6,$C$5,$C$7,P$1,P$2,$A269)</f>
        <v>0</v>
      </c>
      <c r="Q269" s="32">
        <f ca="1">_xll.DBRW($C$1,$C$2,$C$3,$C$4,$C$6,$C$5,$C$7,Q$1,Q$2,$A269)</f>
        <v>0</v>
      </c>
      <c r="R269" s="32">
        <f ca="1">_xll.DBRW($C$1,$C$2,$C$3,$C$4,$C$6,$C$5,$C$7,R$1,R$2,$A269)</f>
        <v>0</v>
      </c>
      <c r="S269" s="32">
        <f ca="1">_xll.DBRW($C$1,$C$2,$C$3,$C$4,$C$6,$C$5,$C$7,S$1,S$2,$A269)</f>
        <v>0</v>
      </c>
      <c r="T269" s="32">
        <f ca="1">_xll.DBRW($C$1,$C$2,$C$3,$C$4,$C$6,$C$5,$C$7,T$1,T$2,$A269)</f>
        <v>0</v>
      </c>
      <c r="U269" s="32">
        <f ca="1">_xll.DBRW($C$1,$C$2,$C$3,$C$4,$C$6,$C$5,$C$7,U$1,U$2,$A269)</f>
        <v>0</v>
      </c>
      <c r="V269" s="32">
        <f ca="1">_xll.DBRW($C$1,$C$2,$C$3,$C$4,$C$6,$C$5,$C$7,V$1,V$2,$A269)</f>
        <v>0</v>
      </c>
      <c r="W269" s="32">
        <f ca="1">_xll.DBRW($C$1,$C$2,$C$3,$C$4,$C$6,$C$5,$C$7,W$1,W$2,$A269)</f>
        <v>0</v>
      </c>
      <c r="X269" s="32">
        <f ca="1">_xll.DBRW($C$1,$C$2,$C$3,$C$4,$C$6,$C$5,$C$7,X$1,X$2,$A269)</f>
        <v>0</v>
      </c>
      <c r="Y269" s="32">
        <f ca="1">_xll.DBRW($C$1,$C$2,$C$3,$C$4,$C$6,$C$5,$C$7,Y$1,Y$2,$A269)</f>
        <v>0</v>
      </c>
      <c r="Z269" s="32">
        <f ca="1">_xll.DBRW($C$1,$C$2,$C$3,$C$4,$C$6,$C$5,$C$7,Z$1,Z$2,$A269)</f>
        <v>0</v>
      </c>
      <c r="AA269" s="32">
        <f ca="1">_xll.DBRW($C$1,$C$2,$C$3,$C$4,$C$6,$C$5,$C$7,AA$1,AA$2,$A269)</f>
        <v>0</v>
      </c>
      <c r="AB269" s="32">
        <f ca="1">_xll.DBRW($C$1,$C$2,$C$3,$C$4,$C$6,$C$5,$C$7,AB$1,AB$2,$A269)</f>
        <v>0</v>
      </c>
      <c r="AC269" s="32">
        <f ca="1">_xll.DBRW($C$1,$C$2,$C$3,$C$4,$C$6,$C$5,$C$7,AC$1,AC$2,$A269)</f>
        <v>0</v>
      </c>
      <c r="AD269" s="32">
        <f ca="1">_xll.DBRW($C$1,$C$2,$C$3,$C$4,$C$6,$C$5,$C$7,AD$1,AD$2,$A269)</f>
        <v>0</v>
      </c>
      <c r="AE269" s="32">
        <f ca="1">_xll.DBRW($C$1,$C$2,$C$3,$C$4,$C$6,$C$5,$C$7,AE$1,AE$2,$A269)</f>
        <v>0</v>
      </c>
      <c r="AF269" s="32">
        <f ca="1">_xll.DBRW($C$1,$C$2,$C$3,$C$4,$C$6,$C$5,$C$7,AF$1,AF$2,$A269)</f>
        <v>0</v>
      </c>
      <c r="AG269" s="32">
        <f ca="1">_xll.DBRW($C$1,$C$2,$C$3,$C$4,$C$6,$C$5,$C$7,AG$1,AG$2,$A269)</f>
        <v>0</v>
      </c>
      <c r="AH269" s="32">
        <f ca="1">_xll.DBRW($C$1,$C$2,$C$3,$C$4,$C$6,$C$5,$C$7,AH$1,AH$2,$A269)</f>
        <v>0</v>
      </c>
      <c r="AI269" s="32">
        <f ca="1">_xll.DBRW($C$1,$C$2,$C$3,$C$4,$C$6,$C$5,$C$7,AI$1,AI$2,$A269)</f>
        <v>0</v>
      </c>
      <c r="AJ269" s="32">
        <f ca="1">_xll.DBRW($C$1,$C$2,$C$3,$C$4,$C$6,$C$5,$C$7,AJ$1,AJ$2,$A269)</f>
        <v>0</v>
      </c>
      <c r="AK269" s="32">
        <f ca="1">_xll.DBRW($C$1,$C$2,$C$3,$C$4,$C$6,$C$5,$C$7,AK$1,AK$2,$A269)</f>
        <v>0</v>
      </c>
      <c r="AL269" s="32">
        <f ca="1">_xll.DBRW($C$1,$C$2,$C$3,$C$4,$C$6,$C$5,$C$7,AL$1,AL$2,$A269)</f>
        <v>0</v>
      </c>
      <c r="AM269" s="32">
        <f ca="1">_xll.DBRW($C$1,$C$2,$C$3,$C$4,$C$6,$C$5,$C$7,AM$1,AM$2,$A269)</f>
        <v>0</v>
      </c>
      <c r="AN269" s="32">
        <f ca="1">_xll.DBRW($C$1,$C$2,$C$3,$C$4,$C$6,$C$5,$C$7,AN$1,AN$2,$A269)</f>
        <v>0</v>
      </c>
      <c r="AO269" s="32">
        <f ca="1">_xll.DBRW($C$1,$C$2,$C$3,$C$4,$C$6,$C$5,$C$7,AO$1,AO$2,$A269)</f>
        <v>0</v>
      </c>
      <c r="AP269" s="32">
        <f ca="1">_xll.DBRW($C$1,$C$2,$C$3,$C$4,$C$6,$C$5,$C$7,AP$1,AP$2,$A269)</f>
        <v>0</v>
      </c>
      <c r="AQ269" s="32">
        <f ca="1">_xll.DBRW($C$1,$C$2,$C$3,$C$4,$C$6,$C$5,$C$7,AQ$1,AQ$2,$A269)</f>
        <v>0</v>
      </c>
      <c r="AR269" s="32">
        <f ca="1">_xll.DBRW($C$1,$C$2,$C$3,$C$4,$C$6,$C$5,$C$7,AR$1,AR$2,$A269)</f>
        <v>0</v>
      </c>
      <c r="AS269" s="32">
        <f ca="1">_xll.DBRW($C$1,$C$2,$C$3,$C$4,$C$6,$C$5,$C$7,AS$1,AS$2,$A269)</f>
        <v>0</v>
      </c>
      <c r="AT269" s="32">
        <f ca="1">_xll.DBRW($C$1,$C$2,$C$3,$C$4,$C$6,$C$5,$C$7,AT$1,AT$2,$A269)</f>
        <v>0</v>
      </c>
      <c r="AU269" s="32">
        <f ca="1">_xll.DBRW($C$1,$C$2,$C$3,$C$4,$C$6,$C$5,$C$7,AU$1,AU$2,$A269)</f>
        <v>0</v>
      </c>
      <c r="AV269" s="32">
        <f ca="1">_xll.DBRW($C$1,$C$2,$C$3,$C$4,$C$6,$C$5,$C$7,AV$1,AV$2,$A269)</f>
        <v>0</v>
      </c>
      <c r="AW269" s="32">
        <f ca="1">_xll.DBRW($C$1,$C$2,$C$3,$C$4,$C$6,$C$5,$C$7,AW$1,AW$2,$A269)</f>
        <v>0</v>
      </c>
      <c r="AX269" s="32">
        <f ca="1">_xll.DBRW($C$1,$C$2,$C$3,$C$4,$C$6,$C$5,$C$7,AX$1,AX$2,$A269)</f>
        <v>0</v>
      </c>
      <c r="AY269" s="32">
        <f ca="1">_xll.DBRW($C$1,$C$2,$C$3,$C$4,$C$6,$C$5,$C$7,AY$1,AY$2,$A269)</f>
        <v>0</v>
      </c>
    </row>
    <row r="270" spans="1:51" ht="15.5" hidden="1" outlineLevel="1" collapsed="1">
      <c r="A270" s="1" t="s">
        <v>142</v>
      </c>
      <c r="C270" s="104"/>
      <c r="E270" s="11" t="s">
        <v>65</v>
      </c>
      <c r="F270" s="35">
        <f ca="1">SUM(F266:F269)</f>
        <v>3.8692787790000018</v>
      </c>
      <c r="G270" s="35">
        <f ca="1">SUM(G266:G269)</f>
        <v>-2.6782087379999981</v>
      </c>
      <c r="H270" s="35">
        <f ca="1">SUM(H266:H269)</f>
        <v>1.8943066580000014</v>
      </c>
      <c r="I270" s="35">
        <f ca="1">SUM(I266:I269)</f>
        <v>3.2768087349999959</v>
      </c>
      <c r="J270" s="35">
        <f ca="1">SUM(J266:J269)</f>
        <v>0.32522602999999961</v>
      </c>
      <c r="K270" s="35">
        <f t="shared" ref="K270:AY270" ca="1" si="191">SUM(K266:K269)</f>
        <v>0.68681408000000044</v>
      </c>
      <c r="L270" s="35">
        <f t="shared" ca="1" si="191"/>
        <v>4.4137201280000005</v>
      </c>
      <c r="M270" s="35">
        <f t="shared" ca="1" si="191"/>
        <v>0</v>
      </c>
      <c r="N270" s="35">
        <f t="shared" ca="1" si="191"/>
        <v>0.14491712599999995</v>
      </c>
      <c r="O270" s="35">
        <f t="shared" ca="1" si="191"/>
        <v>1.0153650000001568E-3</v>
      </c>
      <c r="P270" s="35">
        <f t="shared" ca="1" si="191"/>
        <v>0.68525780499999978</v>
      </c>
      <c r="Q270" s="35">
        <f t="shared" ca="1" si="191"/>
        <v>1.380095056</v>
      </c>
      <c r="R270" s="35">
        <f t="shared" ca="1" si="191"/>
        <v>3.4311038780000005</v>
      </c>
      <c r="S270" s="35">
        <f t="shared" ca="1" si="191"/>
        <v>0.59372000000000025</v>
      </c>
      <c r="T270" s="35">
        <f t="shared" ca="1" si="191"/>
        <v>3.647484082000001</v>
      </c>
      <c r="U270" s="35">
        <f t="shared" ca="1" si="191"/>
        <v>5.2523525460000009</v>
      </c>
      <c r="V270" s="35">
        <f t="shared" ca="1" si="191"/>
        <v>8.8817841970012523E-16</v>
      </c>
      <c r="W270" s="35">
        <f t="shared" ca="1" si="191"/>
        <v>5.0810957180000003</v>
      </c>
      <c r="X270" s="35">
        <f t="shared" ca="1" si="191"/>
        <v>6.4194966400000002</v>
      </c>
      <c r="Y270" s="35">
        <f t="shared" ca="1" si="191"/>
        <v>6.4194966400000002</v>
      </c>
      <c r="Z270" s="35">
        <f t="shared" ca="1" si="191"/>
        <v>0.46927602100000004</v>
      </c>
      <c r="AA270" s="35">
        <f t="shared" ca="1" si="191"/>
        <v>0.75674249500000002</v>
      </c>
      <c r="AB270" s="35">
        <f t="shared" ca="1" si="191"/>
        <v>1.3139985869999999</v>
      </c>
      <c r="AC270" s="35">
        <f t="shared" ca="1" si="191"/>
        <v>1.4016247869999998</v>
      </c>
      <c r="AD270" s="35">
        <f t="shared" ca="1" si="191"/>
        <v>1.6971072649999999</v>
      </c>
      <c r="AE270" s="35">
        <f t="shared" ca="1" si="191"/>
        <v>1.8223973899999999</v>
      </c>
      <c r="AF270" s="35">
        <f t="shared" ca="1" si="191"/>
        <v>2.0859949700000002</v>
      </c>
      <c r="AG270" s="35">
        <f t="shared" ca="1" si="191"/>
        <v>2.3872265650000002</v>
      </c>
      <c r="AH270" s="35">
        <f t="shared" ca="1" si="191"/>
        <v>2.525140548</v>
      </c>
      <c r="AI270" s="35">
        <f t="shared" ca="1" si="191"/>
        <v>3.4131550279999998</v>
      </c>
      <c r="AJ270" s="35">
        <f t="shared" ca="1" si="191"/>
        <v>3.3869746529999998</v>
      </c>
      <c r="AK270" s="35">
        <f t="shared" ca="1" si="191"/>
        <v>2.9469971499999996</v>
      </c>
      <c r="AL270" s="35">
        <f t="shared" ca="1" si="191"/>
        <v>2.9469971499999996</v>
      </c>
      <c r="AM270" s="35">
        <f t="shared" ca="1" si="191"/>
        <v>0</v>
      </c>
      <c r="AN270" s="35">
        <f t="shared" ca="1" si="191"/>
        <v>0.96291558199999994</v>
      </c>
      <c r="AO270" s="35">
        <f t="shared" ca="1" si="191"/>
        <v>0.96291558199999994</v>
      </c>
      <c r="AP270" s="35">
        <f t="shared" ca="1" si="191"/>
        <v>0.96291558199999994</v>
      </c>
      <c r="AQ270" s="35">
        <f t="shared" ca="1" si="191"/>
        <v>0.96291558199999994</v>
      </c>
      <c r="AR270" s="35">
        <f t="shared" ca="1" si="191"/>
        <v>0.96291558199999994</v>
      </c>
      <c r="AS270" s="35">
        <f t="shared" ca="1" si="191"/>
        <v>0.96291558199999994</v>
      </c>
      <c r="AT270" s="35">
        <f t="shared" ca="1" si="191"/>
        <v>0.96291558199999994</v>
      </c>
      <c r="AU270" s="35">
        <f t="shared" ca="1" si="191"/>
        <v>0.96291558199999994</v>
      </c>
      <c r="AV270" s="35">
        <f t="shared" ca="1" si="191"/>
        <v>0.96291558199999994</v>
      </c>
      <c r="AW270" s="35">
        <f t="shared" ca="1" si="191"/>
        <v>0.96291558199999994</v>
      </c>
      <c r="AX270" s="35">
        <f t="shared" ca="1" si="191"/>
        <v>0.96291558199999994</v>
      </c>
      <c r="AY270" s="35">
        <f t="shared" ca="1" si="191"/>
        <v>0.96291558199999994</v>
      </c>
    </row>
    <row r="271" spans="1:51" ht="15.75" hidden="1" customHeight="1" outlineLevel="2">
      <c r="A271" s="1" t="s">
        <v>334</v>
      </c>
      <c r="C271" s="104"/>
      <c r="E271" s="9" t="str">
        <f ca="1">_xll.DBRW(Server&amp;"}ElementAttributes_Indicator",A271,"code_English")</f>
        <v>PL1600_AS - P&amp;L AS - Share in profit or loss of associates (from 2013)</v>
      </c>
      <c r="F271" s="32">
        <f ca="1">_xll.DBRW($C$1,$C$2,$C$3,$C$4,$C$6,$C$5,$C$7,F$1,F$2,$A271)</f>
        <v>0.10666502815601159</v>
      </c>
      <c r="G271" s="32">
        <f ca="1">_xll.DBRW($C$1,$C$2,$C$3,$C$4,$C$6,$C$5,$C$7,G$1,G$2,$A271)</f>
        <v>3.504391755579944</v>
      </c>
      <c r="H271" s="32">
        <f ca="1">_xll.DBRW($C$1,$C$2,$C$3,$C$4,$C$6,$C$5,$C$7,H$1,H$2,$A271)</f>
        <v>-0.49290297076688905</v>
      </c>
      <c r="I271" s="32">
        <f ca="1">_xll.DBRW($C$1,$C$2,$C$3,$C$4,$C$6,$C$5,$C$7,I$1,I$2,$A271)</f>
        <v>13.126446016141278</v>
      </c>
      <c r="J271" s="32">
        <f ca="1">_xll.DBRW($C$1,$C$2,$C$3,$C$4,$C$6,$C$5,$C$7,J$1,J$2,$A271)</f>
        <v>-4.9350501761302947</v>
      </c>
      <c r="K271" s="32">
        <f ca="1">_xll.DBRW($C$1,$C$2,$C$3,$C$4,$C$6,$C$5,$C$7,K$1,K$2,$A271)</f>
        <v>-1.574327103134515</v>
      </c>
      <c r="L271" s="32">
        <f ca="1">_xll.DBRW($C$1,$C$2,$C$3,$C$4,$C$6,$C$5,$C$7,L$1,L$2,$A271)</f>
        <v>0</v>
      </c>
      <c r="M271" s="32">
        <f ca="1">_xll.DBRW($C$1,$C$2,$C$3,$C$4,$C$6,$C$5,$C$7,M$1,M$2,$A271)</f>
        <v>-6.4803789999998878E-3</v>
      </c>
      <c r="N271" s="32">
        <f ca="1">_xll.DBRW($C$1,$C$2,$C$3,$C$4,$C$6,$C$5,$C$7,N$1,N$2,$A271)</f>
        <v>-6.4803789999998878E-3</v>
      </c>
      <c r="O271" s="32">
        <f ca="1">_xll.DBRW($C$1,$C$2,$C$3,$C$4,$C$6,$C$5,$C$7,O$1,O$2,$A271)</f>
        <v>-6.4803789999998878E-3</v>
      </c>
      <c r="P271" s="32">
        <f ca="1">_xll.DBRW($C$1,$C$2,$C$3,$C$4,$C$6,$C$5,$C$7,P$1,P$2,$A271)</f>
        <v>-6.4803789999998878E-3</v>
      </c>
      <c r="Q271" s="32">
        <f ca="1">_xll.DBRW($C$1,$C$2,$C$3,$C$4,$C$6,$C$5,$C$7,Q$1,Q$2,$A271)</f>
        <v>-6.4803789999998878E-3</v>
      </c>
      <c r="R271" s="32">
        <f ca="1">_xll.DBRW($C$1,$C$2,$C$3,$C$4,$C$6,$C$5,$C$7,R$1,R$2,$A271)</f>
        <v>-6.4803789999998878E-3</v>
      </c>
      <c r="S271" s="32">
        <f ca="1">_xll.DBRW($C$1,$C$2,$C$3,$C$4,$C$6,$C$5,$C$7,S$1,S$2,$A271)</f>
        <v>-2.6717546059424171</v>
      </c>
      <c r="T271" s="32">
        <f ca="1">_xll.DBRW($C$1,$C$2,$C$3,$C$4,$C$6,$C$5,$C$7,T$1,T$2,$A271)</f>
        <v>-2.6717546059424171</v>
      </c>
      <c r="U271" s="32">
        <f ca="1">_xll.DBRW($C$1,$C$2,$C$3,$C$4,$C$6,$C$5,$C$7,U$1,U$2,$A271)</f>
        <v>-2.6717546059424171</v>
      </c>
      <c r="V271" s="32">
        <f ca="1">_xll.DBRW($C$1,$C$2,$C$3,$C$4,$C$6,$C$5,$C$7,V$1,V$2,$A271)</f>
        <v>-7.8680162976952985</v>
      </c>
      <c r="W271" s="32">
        <f ca="1">_xll.DBRW($C$1,$C$2,$C$3,$C$4,$C$6,$C$5,$C$7,W$1,W$2,$A271)</f>
        <v>-7.8680162976952985</v>
      </c>
      <c r="X271" s="32">
        <f ca="1">_xll.DBRW($C$1,$C$2,$C$3,$C$4,$C$6,$C$5,$C$7,X$1,X$2,$A271)</f>
        <v>-7.8680162976952985</v>
      </c>
      <c r="Y271" s="32">
        <f ca="1">_xll.DBRW($C$1,$C$2,$C$3,$C$4,$C$6,$C$5,$C$7,Y$1,Y$2,$A271)</f>
        <v>-7.8680162976952985</v>
      </c>
      <c r="Z271" s="32">
        <f ca="1">_xll.DBRW($C$1,$C$2,$C$3,$C$4,$C$6,$C$5,$C$7,Z$1,Z$2,$A271)</f>
        <v>2.1500000000000009E-2</v>
      </c>
      <c r="AA271" s="32">
        <f ca="1">_xll.DBRW($C$1,$C$2,$C$3,$C$4,$C$6,$C$5,$C$7,AA$1,AA$2,$A271)</f>
        <v>4.8000000000000001E-2</v>
      </c>
      <c r="AB271" s="32">
        <f ca="1">_xll.DBRW($C$1,$C$2,$C$3,$C$4,$C$6,$C$5,$C$7,AB$1,AB$2,$A271)</f>
        <v>3.7500000000000033E-2</v>
      </c>
      <c r="AC271" s="32">
        <f ca="1">_xll.DBRW($C$1,$C$2,$C$3,$C$4,$C$6,$C$5,$C$7,AC$1,AC$2,$A271)</f>
        <v>6.3499999999999987E-2</v>
      </c>
      <c r="AD271" s="32">
        <f ca="1">_xll.DBRW($C$1,$C$2,$C$3,$C$4,$C$6,$C$5,$C$7,AD$1,AD$2,$A271)</f>
        <v>8.0999999999999989E-2</v>
      </c>
      <c r="AE271" s="32">
        <f ca="1">_xll.DBRW($C$1,$C$2,$C$3,$C$4,$C$6,$C$5,$C$7,AE$1,AE$2,$A271)</f>
        <v>8.299999999999999E-2</v>
      </c>
      <c r="AF271" s="32">
        <f ca="1">_xll.DBRW($C$1,$C$2,$C$3,$C$4,$C$6,$C$5,$C$7,AF$1,AF$2,$A271)</f>
        <v>0.10049999999999998</v>
      </c>
      <c r="AG271" s="32">
        <f ca="1">_xll.DBRW($C$1,$C$2,$C$3,$C$4,$C$6,$C$5,$C$7,AG$1,AG$2,$A271)</f>
        <v>0.12049999999999997</v>
      </c>
      <c r="AH271" s="32">
        <f ca="1">_xll.DBRW($C$1,$C$2,$C$3,$C$4,$C$6,$C$5,$C$7,AH$1,AH$2,$A271)</f>
        <v>0.17539112729999998</v>
      </c>
      <c r="AI271" s="32">
        <f ca="1">_xll.DBRW($C$1,$C$2,$C$3,$C$4,$C$6,$C$5,$C$7,AI$1,AI$2,$A271)</f>
        <v>0.23327396769999997</v>
      </c>
      <c r="AJ271" s="32">
        <f ca="1">_xll.DBRW($C$1,$C$2,$C$3,$C$4,$C$6,$C$5,$C$7,AJ$1,AJ$2,$A271)</f>
        <v>0.30040670149999993</v>
      </c>
      <c r="AK271" s="32">
        <f ca="1">_xll.DBRW($C$1,$C$2,$C$3,$C$4,$C$6,$C$5,$C$7,AK$1,AK$2,$A271)</f>
        <v>0.32862854880000003</v>
      </c>
      <c r="AL271" s="32">
        <f ca="1">_xll.DBRW($C$1,$C$2,$C$3,$C$4,$C$6,$C$5,$C$7,AL$1,AL$2,$A271)</f>
        <v>0.32862854880000003</v>
      </c>
      <c r="AM271" s="32">
        <f ca="1">_xll.DBRW($C$1,$C$2,$C$3,$C$4,$C$6,$C$5,$C$7,AM$1,AM$2,$A271)</f>
        <v>-0.105540316</v>
      </c>
      <c r="AN271" s="32">
        <f ca="1">_xll.DBRW($C$1,$C$2,$C$3,$C$4,$C$6,$C$5,$C$7,AN$1,AN$2,$A271)</f>
        <v>-0.105540316</v>
      </c>
      <c r="AO271" s="32">
        <f ca="1">_xll.DBRW($C$1,$C$2,$C$3,$C$4,$C$6,$C$5,$C$7,AO$1,AO$2,$A271)</f>
        <v>-0.105540316</v>
      </c>
      <c r="AP271" s="32">
        <f ca="1">_xll.DBRW($C$1,$C$2,$C$3,$C$4,$C$6,$C$5,$C$7,AP$1,AP$2,$A271)</f>
        <v>-0.105540316</v>
      </c>
      <c r="AQ271" s="32">
        <f ca="1">_xll.DBRW($C$1,$C$2,$C$3,$C$4,$C$6,$C$5,$C$7,AQ$1,AQ$2,$A271)</f>
        <v>-0.105540316</v>
      </c>
      <c r="AR271" s="32">
        <f ca="1">_xll.DBRW($C$1,$C$2,$C$3,$C$4,$C$6,$C$5,$C$7,AR$1,AR$2,$A271)</f>
        <v>-0.105540316</v>
      </c>
      <c r="AS271" s="32">
        <f ca="1">_xll.DBRW($C$1,$C$2,$C$3,$C$4,$C$6,$C$5,$C$7,AS$1,AS$2,$A271)</f>
        <v>-0.105540316</v>
      </c>
      <c r="AT271" s="32">
        <f ca="1">_xll.DBRW($C$1,$C$2,$C$3,$C$4,$C$6,$C$5,$C$7,AT$1,AT$2,$A271)</f>
        <v>-0.105540316</v>
      </c>
      <c r="AU271" s="32">
        <f ca="1">_xll.DBRW($C$1,$C$2,$C$3,$C$4,$C$6,$C$5,$C$7,AU$1,AU$2,$A271)</f>
        <v>-0.105540316</v>
      </c>
      <c r="AV271" s="32">
        <f ca="1">_xll.DBRW($C$1,$C$2,$C$3,$C$4,$C$6,$C$5,$C$7,AV$1,AV$2,$A271)</f>
        <v>-0.105540316</v>
      </c>
      <c r="AW271" s="32">
        <f ca="1">_xll.DBRW($C$1,$C$2,$C$3,$C$4,$C$6,$C$5,$C$7,AW$1,AW$2,$A271)</f>
        <v>-0.105540316</v>
      </c>
      <c r="AX271" s="32">
        <f ca="1">_xll.DBRW($C$1,$C$2,$C$3,$C$4,$C$6,$C$5,$C$7,AX$1,AX$2,$A271)</f>
        <v>-0.105540316</v>
      </c>
      <c r="AY271" s="32">
        <f ca="1">_xll.DBRW($C$1,$C$2,$C$3,$C$4,$C$6,$C$5,$C$7,AY$1,AY$2,$A271)</f>
        <v>-0.105540316</v>
      </c>
    </row>
    <row r="272" spans="1:51" ht="15.75" hidden="1" customHeight="1" outlineLevel="2">
      <c r="A272" s="1" t="s">
        <v>335</v>
      </c>
      <c r="C272" s="104"/>
      <c r="E272" s="9" t="str">
        <f ca="1">_xll.DBRW(Server&amp;"}ElementAttributes_Indicator",A272,"code_English")</f>
        <v>PL1600_XX - Vector Reconciliation (TPL16) - Share in profit or loss of associates (from 2013)</v>
      </c>
      <c r="F272" s="32">
        <f ca="1">_xll.DBRW($C$1,$C$2,$C$3,$C$4,$C$6,$C$5,$C$7,F$1,F$2,$A272)</f>
        <v>-5.0738750241560133</v>
      </c>
      <c r="G272" s="32">
        <f ca="1">_xll.DBRW($C$1,$C$2,$C$3,$C$4,$C$6,$C$5,$C$7,G$1,G$2,$A272)</f>
        <v>1.3186611634200589</v>
      </c>
      <c r="H272" s="32">
        <f ca="1">_xll.DBRW($C$1,$C$2,$C$3,$C$4,$C$6,$C$5,$C$7,H$1,H$2,$A272)</f>
        <v>3.9041202437668892</v>
      </c>
      <c r="I272" s="32">
        <f ca="1">_xll.DBRW($C$1,$C$2,$C$3,$C$4,$C$6,$C$5,$C$7,I$1,I$2,$A272)</f>
        <v>-9.7210157961412804</v>
      </c>
      <c r="J272" s="32">
        <f ca="1">_xll.DBRW($C$1,$C$2,$C$3,$C$4,$C$6,$C$5,$C$7,J$1,J$2,$A272)</f>
        <v>6.460549948130291</v>
      </c>
      <c r="K272" s="32">
        <f ca="1">_xll.DBRW($C$1,$C$2,$C$3,$C$4,$C$6,$C$5,$C$7,K$1,K$2,$A272)</f>
        <v>1.4930761341345145</v>
      </c>
      <c r="L272" s="32">
        <f ca="1">_xll.DBRW($C$1,$C$2,$C$3,$C$4,$C$6,$C$5,$C$7,L$1,L$2,$A272)</f>
        <v>-3.5493221999999998E-2</v>
      </c>
      <c r="M272" s="32">
        <f ca="1">_xll.DBRW($C$1,$C$2,$C$3,$C$4,$C$6,$C$5,$C$7,M$1,M$2,$A272)</f>
        <v>8.9490378999999926E-2</v>
      </c>
      <c r="N272" s="32">
        <f ca="1">_xll.DBRW($C$1,$C$2,$C$3,$C$4,$C$6,$C$5,$C$7,N$1,N$2,$A272)</f>
        <v>0.23712393799999995</v>
      </c>
      <c r="O272" s="32">
        <f ca="1">_xll.DBRW($C$1,$C$2,$C$3,$C$4,$C$6,$C$5,$C$7,O$1,O$2,$A272)</f>
        <v>0.23712394000000009</v>
      </c>
      <c r="P272" s="32">
        <f ca="1">_xll.DBRW($C$1,$C$2,$C$3,$C$4,$C$6,$C$5,$C$7,P$1,P$2,$A272)</f>
        <v>0.23712393900000012</v>
      </c>
      <c r="Q272" s="32">
        <f ca="1">_xll.DBRW($C$1,$C$2,$C$3,$C$4,$C$6,$C$5,$C$7,Q$1,Q$2,$A272)</f>
        <v>0.50437255699999972</v>
      </c>
      <c r="R272" s="32">
        <f ca="1">_xll.DBRW($C$1,$C$2,$C$3,$C$4,$C$6,$C$5,$C$7,R$1,R$2,$A272)</f>
        <v>0.40917425399999985</v>
      </c>
      <c r="S272" s="32">
        <f ca="1">_xll.DBRW($C$1,$C$2,$C$3,$C$4,$C$6,$C$5,$C$7,S$1,S$2,$A272)</f>
        <v>2.9023981669424166</v>
      </c>
      <c r="T272" s="32">
        <f ca="1">_xll.DBRW($C$1,$C$2,$C$3,$C$4,$C$6,$C$5,$C$7,T$1,T$2,$A272)</f>
        <v>3.0744484779424162</v>
      </c>
      <c r="U272" s="32">
        <f ca="1">_xll.DBRW($C$1,$C$2,$C$3,$C$4,$C$6,$C$5,$C$7,U$1,U$2,$A272)</f>
        <v>3.0744484809424169</v>
      </c>
      <c r="V272" s="32">
        <f ca="1">_xll.DBRW($C$1,$C$2,$C$3,$C$4,$C$6,$C$5,$C$7,V$1,V$2,$A272)</f>
        <v>8.2018650586953008</v>
      </c>
      <c r="W272" s="32">
        <f ca="1">_xll.DBRW($C$1,$C$2,$C$3,$C$4,$C$6,$C$5,$C$7,W$1,W$2,$A272)</f>
        <v>7.6952101696953008</v>
      </c>
      <c r="X272" s="32">
        <f ca="1">_xll.DBRW($C$1,$C$2,$C$3,$C$4,$C$6,$C$5,$C$7,X$1,X$2,$A272)</f>
        <v>7.6673301736952997</v>
      </c>
      <c r="Y272" s="32">
        <f ca="1">_xll.DBRW($C$1,$C$2,$C$3,$C$4,$C$6,$C$5,$C$7,Y$1,Y$2,$A272)</f>
        <v>7.6673301736952997</v>
      </c>
      <c r="Z272" s="32">
        <f ca="1">_xll.DBRW($C$1,$C$2,$C$3,$C$4,$C$6,$C$5,$C$7,Z$1,Z$2,$A272)</f>
        <v>-8.5000000000000145E-3</v>
      </c>
      <c r="AA272" s="32">
        <f ca="1">_xll.DBRW($C$1,$C$2,$C$3,$C$4,$C$6,$C$5,$C$7,AA$1,AA$2,$A272)</f>
        <v>-1.9000000000000013E-2</v>
      </c>
      <c r="AB272" s="32">
        <f ca="1">_xll.DBRW($C$1,$C$2,$C$3,$C$4,$C$6,$C$5,$C$7,AB$1,AB$2,$A272)</f>
        <v>-1.5000000000000041E-2</v>
      </c>
      <c r="AC272" s="32">
        <f ca="1">_xll.DBRW($C$1,$C$2,$C$3,$C$4,$C$6,$C$5,$C$7,AC$1,AC$2,$A272)</f>
        <v>-2.5000000000000005E-2</v>
      </c>
      <c r="AD272" s="32">
        <f ca="1">_xll.DBRW($C$1,$C$2,$C$3,$C$4,$C$6,$C$5,$C$7,AD$1,AD$2,$A272)</f>
        <v>-3.2000000000000001E-2</v>
      </c>
      <c r="AE272" s="32">
        <f ca="1">_xll.DBRW($C$1,$C$2,$C$3,$C$4,$C$6,$C$5,$C$7,AE$1,AE$2,$A272)</f>
        <v>-6.7993221999999992E-2</v>
      </c>
      <c r="AF272" s="32">
        <f ca="1">_xll.DBRW($C$1,$C$2,$C$3,$C$4,$C$6,$C$5,$C$7,AF$1,AF$2,$A272)</f>
        <v>-7.4993221999999984E-2</v>
      </c>
      <c r="AG272" s="32">
        <f ca="1">_xll.DBRW($C$1,$C$2,$C$3,$C$4,$C$6,$C$5,$C$7,AG$1,AG$2,$A272)</f>
        <v>-8.2993221999999978E-2</v>
      </c>
      <c r="AH272" s="32">
        <f ca="1">_xll.DBRW($C$1,$C$2,$C$3,$C$4,$C$6,$C$5,$C$7,AH$1,AH$2,$A272)</f>
        <v>-8.4364349299999988E-2</v>
      </c>
      <c r="AI272" s="32">
        <f ca="1">_xll.DBRW($C$1,$C$2,$C$3,$C$4,$C$6,$C$5,$C$7,AI$1,AI$2,$A272)</f>
        <v>-9.1567189699999982E-2</v>
      </c>
      <c r="AJ272" s="32">
        <f ca="1">_xll.DBRW($C$1,$C$2,$C$3,$C$4,$C$6,$C$5,$C$7,AJ$1,AJ$2,$A272)</f>
        <v>-0.10110992349999992</v>
      </c>
      <c r="AK272" s="32">
        <f ca="1">_xll.DBRW($C$1,$C$2,$C$3,$C$4,$C$6,$C$5,$C$7,AK$1,AK$2,$A272)</f>
        <v>-0.13993177080000002</v>
      </c>
      <c r="AL272" s="32">
        <f ca="1">_xll.DBRW($C$1,$C$2,$C$3,$C$4,$C$6,$C$5,$C$7,AL$1,AL$2,$A272)</f>
        <v>-0.13993177080000002</v>
      </c>
      <c r="AM272" s="32">
        <f ca="1">_xll.DBRW($C$1,$C$2,$C$3,$C$4,$C$6,$C$5,$C$7,AM$1,AM$2,$A272)</f>
        <v>0.105540316</v>
      </c>
      <c r="AN272" s="32">
        <f ca="1">_xll.DBRW($C$1,$C$2,$C$3,$C$4,$C$6,$C$5,$C$7,AN$1,AN$2,$A272)</f>
        <v>0.224829536</v>
      </c>
      <c r="AO272" s="32">
        <f ca="1">_xll.DBRW($C$1,$C$2,$C$3,$C$4,$C$6,$C$5,$C$7,AO$1,AO$2,$A272)</f>
        <v>0.224829536</v>
      </c>
      <c r="AP272" s="32">
        <f ca="1">_xll.DBRW($C$1,$C$2,$C$3,$C$4,$C$6,$C$5,$C$7,AP$1,AP$2,$A272)</f>
        <v>0.224829536</v>
      </c>
      <c r="AQ272" s="32">
        <f ca="1">_xll.DBRW($C$1,$C$2,$C$3,$C$4,$C$6,$C$5,$C$7,AQ$1,AQ$2,$A272)</f>
        <v>0.224829536</v>
      </c>
      <c r="AR272" s="32">
        <f ca="1">_xll.DBRW($C$1,$C$2,$C$3,$C$4,$C$6,$C$5,$C$7,AR$1,AR$2,$A272)</f>
        <v>0.224829536</v>
      </c>
      <c r="AS272" s="32">
        <f ca="1">_xll.DBRW($C$1,$C$2,$C$3,$C$4,$C$6,$C$5,$C$7,AS$1,AS$2,$A272)</f>
        <v>0.224829536</v>
      </c>
      <c r="AT272" s="32">
        <f ca="1">_xll.DBRW($C$1,$C$2,$C$3,$C$4,$C$6,$C$5,$C$7,AT$1,AT$2,$A272)</f>
        <v>0.224829536</v>
      </c>
      <c r="AU272" s="32">
        <f ca="1">_xll.DBRW($C$1,$C$2,$C$3,$C$4,$C$6,$C$5,$C$7,AU$1,AU$2,$A272)</f>
        <v>0.224829536</v>
      </c>
      <c r="AV272" s="32">
        <f ca="1">_xll.DBRW($C$1,$C$2,$C$3,$C$4,$C$6,$C$5,$C$7,AV$1,AV$2,$A272)</f>
        <v>0.224829536</v>
      </c>
      <c r="AW272" s="32">
        <f ca="1">_xll.DBRW($C$1,$C$2,$C$3,$C$4,$C$6,$C$5,$C$7,AW$1,AW$2,$A272)</f>
        <v>0.224829536</v>
      </c>
      <c r="AX272" s="32">
        <f ca="1">_xll.DBRW($C$1,$C$2,$C$3,$C$4,$C$6,$C$5,$C$7,AX$1,AX$2,$A272)</f>
        <v>0.224829536</v>
      </c>
      <c r="AY272" s="32">
        <f ca="1">_xll.DBRW($C$1,$C$2,$C$3,$C$4,$C$6,$C$5,$C$7,AY$1,AY$2,$A272)</f>
        <v>0.224829536</v>
      </c>
    </row>
    <row r="273" spans="1:51" ht="15.75" hidden="1" customHeight="1" outlineLevel="2">
      <c r="A273" s="1" t="s">
        <v>336</v>
      </c>
      <c r="C273" s="104"/>
      <c r="E273" s="9" t="str">
        <f ca="1">_xll.DBRW(Server&amp;"}ElementAttributes_Indicator",A273,"code_English")</f>
        <v>PL1620_AS - P&amp;L AS - Impairment - Goodwill (Associates) (from 2013)</v>
      </c>
      <c r="F273" s="32">
        <f ca="1">_xll.DBRW($C$1,$C$2,$C$3,$C$4,$C$6,$C$5,$C$7,F$1,F$2,$A273)</f>
        <v>0</v>
      </c>
      <c r="G273" s="32">
        <f ca="1">_xll.DBRW($C$1,$C$2,$C$3,$C$4,$C$6,$C$5,$C$7,G$1,G$2,$A273)</f>
        <v>0</v>
      </c>
      <c r="H273" s="32">
        <f ca="1">_xll.DBRW($C$1,$C$2,$C$3,$C$4,$C$6,$C$5,$C$7,H$1,H$2,$A273)</f>
        <v>0</v>
      </c>
      <c r="I273" s="32">
        <f ca="1">_xll.DBRW($C$1,$C$2,$C$3,$C$4,$C$6,$C$5,$C$7,I$1,I$2,$A273)</f>
        <v>0</v>
      </c>
      <c r="J273" s="32">
        <f ca="1">_xll.DBRW($C$1,$C$2,$C$3,$C$4,$C$6,$C$5,$C$7,J$1,J$2,$A273)</f>
        <v>0</v>
      </c>
      <c r="K273" s="32">
        <f ca="1">_xll.DBRW($C$1,$C$2,$C$3,$C$4,$C$6,$C$5,$C$7,K$1,K$2,$A273)</f>
        <v>0</v>
      </c>
      <c r="L273" s="32">
        <f ca="1">_xll.DBRW($C$1,$C$2,$C$3,$C$4,$C$6,$C$5,$C$7,L$1,L$2,$A273)</f>
        <v>0</v>
      </c>
      <c r="M273" s="32">
        <f ca="1">_xll.DBRW($C$1,$C$2,$C$3,$C$4,$C$6,$C$5,$C$7,M$1,M$2,$A273)</f>
        <v>0</v>
      </c>
      <c r="N273" s="32">
        <f ca="1">_xll.DBRW($C$1,$C$2,$C$3,$C$4,$C$6,$C$5,$C$7,N$1,N$2,$A273)</f>
        <v>0</v>
      </c>
      <c r="O273" s="32">
        <f ca="1">_xll.DBRW($C$1,$C$2,$C$3,$C$4,$C$6,$C$5,$C$7,O$1,O$2,$A273)</f>
        <v>0</v>
      </c>
      <c r="P273" s="32">
        <f ca="1">_xll.DBRW($C$1,$C$2,$C$3,$C$4,$C$6,$C$5,$C$7,P$1,P$2,$A273)</f>
        <v>0</v>
      </c>
      <c r="Q273" s="32">
        <f ca="1">_xll.DBRW($C$1,$C$2,$C$3,$C$4,$C$6,$C$5,$C$7,Q$1,Q$2,$A273)</f>
        <v>0</v>
      </c>
      <c r="R273" s="32">
        <f ca="1">_xll.DBRW($C$1,$C$2,$C$3,$C$4,$C$6,$C$5,$C$7,R$1,R$2,$A273)</f>
        <v>0</v>
      </c>
      <c r="S273" s="32">
        <f ca="1">_xll.DBRW($C$1,$C$2,$C$3,$C$4,$C$6,$C$5,$C$7,S$1,S$2,$A273)</f>
        <v>0</v>
      </c>
      <c r="T273" s="32">
        <f ca="1">_xll.DBRW($C$1,$C$2,$C$3,$C$4,$C$6,$C$5,$C$7,T$1,T$2,$A273)</f>
        <v>0</v>
      </c>
      <c r="U273" s="32">
        <f ca="1">_xll.DBRW($C$1,$C$2,$C$3,$C$4,$C$6,$C$5,$C$7,U$1,U$2,$A273)</f>
        <v>0</v>
      </c>
      <c r="V273" s="32">
        <f ca="1">_xll.DBRW($C$1,$C$2,$C$3,$C$4,$C$6,$C$5,$C$7,V$1,V$2,$A273)</f>
        <v>0</v>
      </c>
      <c r="W273" s="32">
        <f ca="1">_xll.DBRW($C$1,$C$2,$C$3,$C$4,$C$6,$C$5,$C$7,W$1,W$2,$A273)</f>
        <v>0</v>
      </c>
      <c r="X273" s="32">
        <f ca="1">_xll.DBRW($C$1,$C$2,$C$3,$C$4,$C$6,$C$5,$C$7,X$1,X$2,$A273)</f>
        <v>0</v>
      </c>
      <c r="Y273" s="32">
        <f ca="1">_xll.DBRW($C$1,$C$2,$C$3,$C$4,$C$6,$C$5,$C$7,Y$1,Y$2,$A273)</f>
        <v>0</v>
      </c>
      <c r="Z273" s="32">
        <f ca="1">_xll.DBRW($C$1,$C$2,$C$3,$C$4,$C$6,$C$5,$C$7,Z$1,Z$2,$A273)</f>
        <v>0</v>
      </c>
      <c r="AA273" s="32">
        <f ca="1">_xll.DBRW($C$1,$C$2,$C$3,$C$4,$C$6,$C$5,$C$7,AA$1,AA$2,$A273)</f>
        <v>0</v>
      </c>
      <c r="AB273" s="32">
        <f ca="1">_xll.DBRW($C$1,$C$2,$C$3,$C$4,$C$6,$C$5,$C$7,AB$1,AB$2,$A273)</f>
        <v>0</v>
      </c>
      <c r="AC273" s="32">
        <f ca="1">_xll.DBRW($C$1,$C$2,$C$3,$C$4,$C$6,$C$5,$C$7,AC$1,AC$2,$A273)</f>
        <v>0</v>
      </c>
      <c r="AD273" s="32">
        <f ca="1">_xll.DBRW($C$1,$C$2,$C$3,$C$4,$C$6,$C$5,$C$7,AD$1,AD$2,$A273)</f>
        <v>0</v>
      </c>
      <c r="AE273" s="32">
        <f ca="1">_xll.DBRW($C$1,$C$2,$C$3,$C$4,$C$6,$C$5,$C$7,AE$1,AE$2,$A273)</f>
        <v>0</v>
      </c>
      <c r="AF273" s="32">
        <f ca="1">_xll.DBRW($C$1,$C$2,$C$3,$C$4,$C$6,$C$5,$C$7,AF$1,AF$2,$A273)</f>
        <v>0</v>
      </c>
      <c r="AG273" s="32">
        <f ca="1">_xll.DBRW($C$1,$C$2,$C$3,$C$4,$C$6,$C$5,$C$7,AG$1,AG$2,$A273)</f>
        <v>0</v>
      </c>
      <c r="AH273" s="32">
        <f ca="1">_xll.DBRW($C$1,$C$2,$C$3,$C$4,$C$6,$C$5,$C$7,AH$1,AH$2,$A273)</f>
        <v>0</v>
      </c>
      <c r="AI273" s="32">
        <f ca="1">_xll.DBRW($C$1,$C$2,$C$3,$C$4,$C$6,$C$5,$C$7,AI$1,AI$2,$A273)</f>
        <v>0</v>
      </c>
      <c r="AJ273" s="32">
        <f ca="1">_xll.DBRW($C$1,$C$2,$C$3,$C$4,$C$6,$C$5,$C$7,AJ$1,AJ$2,$A273)</f>
        <v>0</v>
      </c>
      <c r="AK273" s="32">
        <f ca="1">_xll.DBRW($C$1,$C$2,$C$3,$C$4,$C$6,$C$5,$C$7,AK$1,AK$2,$A273)</f>
        <v>0</v>
      </c>
      <c r="AL273" s="32">
        <f ca="1">_xll.DBRW($C$1,$C$2,$C$3,$C$4,$C$6,$C$5,$C$7,AL$1,AL$2,$A273)</f>
        <v>0</v>
      </c>
      <c r="AM273" s="32">
        <f ca="1">_xll.DBRW($C$1,$C$2,$C$3,$C$4,$C$6,$C$5,$C$7,AM$1,AM$2,$A273)</f>
        <v>0</v>
      </c>
      <c r="AN273" s="32">
        <f ca="1">_xll.DBRW($C$1,$C$2,$C$3,$C$4,$C$6,$C$5,$C$7,AN$1,AN$2,$A273)</f>
        <v>0</v>
      </c>
      <c r="AO273" s="32">
        <f ca="1">_xll.DBRW($C$1,$C$2,$C$3,$C$4,$C$6,$C$5,$C$7,AO$1,AO$2,$A273)</f>
        <v>0</v>
      </c>
      <c r="AP273" s="32">
        <f ca="1">_xll.DBRW($C$1,$C$2,$C$3,$C$4,$C$6,$C$5,$C$7,AP$1,AP$2,$A273)</f>
        <v>0</v>
      </c>
      <c r="AQ273" s="32">
        <f ca="1">_xll.DBRW($C$1,$C$2,$C$3,$C$4,$C$6,$C$5,$C$7,AQ$1,AQ$2,$A273)</f>
        <v>0</v>
      </c>
      <c r="AR273" s="32">
        <f ca="1">_xll.DBRW($C$1,$C$2,$C$3,$C$4,$C$6,$C$5,$C$7,AR$1,AR$2,$A273)</f>
        <v>0</v>
      </c>
      <c r="AS273" s="32">
        <f ca="1">_xll.DBRW($C$1,$C$2,$C$3,$C$4,$C$6,$C$5,$C$7,AS$1,AS$2,$A273)</f>
        <v>0</v>
      </c>
      <c r="AT273" s="32">
        <f ca="1">_xll.DBRW($C$1,$C$2,$C$3,$C$4,$C$6,$C$5,$C$7,AT$1,AT$2,$A273)</f>
        <v>0</v>
      </c>
      <c r="AU273" s="32">
        <f ca="1">_xll.DBRW($C$1,$C$2,$C$3,$C$4,$C$6,$C$5,$C$7,AU$1,AU$2,$A273)</f>
        <v>0</v>
      </c>
      <c r="AV273" s="32">
        <f ca="1">_xll.DBRW($C$1,$C$2,$C$3,$C$4,$C$6,$C$5,$C$7,AV$1,AV$2,$A273)</f>
        <v>0</v>
      </c>
      <c r="AW273" s="32">
        <f ca="1">_xll.DBRW($C$1,$C$2,$C$3,$C$4,$C$6,$C$5,$C$7,AW$1,AW$2,$A273)</f>
        <v>0</v>
      </c>
      <c r="AX273" s="32">
        <f ca="1">_xll.DBRW($C$1,$C$2,$C$3,$C$4,$C$6,$C$5,$C$7,AX$1,AX$2,$A273)</f>
        <v>0</v>
      </c>
      <c r="AY273" s="32">
        <f ca="1">_xll.DBRW($C$1,$C$2,$C$3,$C$4,$C$6,$C$5,$C$7,AY$1,AY$2,$A273)</f>
        <v>0</v>
      </c>
    </row>
    <row r="274" spans="1:51" ht="15.75" hidden="1" customHeight="1" outlineLevel="2">
      <c r="A274" s="1" t="s">
        <v>337</v>
      </c>
      <c r="C274" s="104"/>
      <c r="E274" s="9" t="str">
        <f ca="1">_xll.DBRW(Server&amp;"}ElementAttributes_Indicator",A274,"code_English")</f>
        <v>PL1620_XX - Vector Reconciliation (TPL16) - Impairment - Goodwill (Associates) (from 2013)</v>
      </c>
      <c r="F274" s="32">
        <f ca="1">_xll.DBRW($C$1,$C$2,$C$3,$C$4,$C$6,$C$5,$C$7,F$1,F$2,$A274)</f>
        <v>1.3732394E-2</v>
      </c>
      <c r="G274" s="32">
        <f ca="1">_xll.DBRW($C$1,$C$2,$C$3,$C$4,$C$6,$C$5,$C$7,G$1,G$2,$A274)</f>
        <v>0</v>
      </c>
      <c r="H274" s="32">
        <f ca="1">_xll.DBRW($C$1,$C$2,$C$3,$C$4,$C$6,$C$5,$C$7,H$1,H$2,$A274)</f>
        <v>0</v>
      </c>
      <c r="I274" s="32">
        <f ca="1">_xll.DBRW($C$1,$C$2,$C$3,$C$4,$C$6,$C$5,$C$7,I$1,I$2,$A274)</f>
        <v>0</v>
      </c>
      <c r="J274" s="32">
        <f ca="1">_xll.DBRW($C$1,$C$2,$C$3,$C$4,$C$6,$C$5,$C$7,J$1,J$2,$A274)</f>
        <v>0</v>
      </c>
      <c r="K274" s="32">
        <f ca="1">_xll.DBRW($C$1,$C$2,$C$3,$C$4,$C$6,$C$5,$C$7,K$1,K$2,$A274)</f>
        <v>0</v>
      </c>
      <c r="L274" s="32">
        <f ca="1">_xll.DBRW($C$1,$C$2,$C$3,$C$4,$C$6,$C$5,$C$7,L$1,L$2,$A274)</f>
        <v>0</v>
      </c>
      <c r="M274" s="32">
        <f ca="1">_xll.DBRW($C$1,$C$2,$C$3,$C$4,$C$6,$C$5,$C$7,M$1,M$2,$A274)</f>
        <v>0</v>
      </c>
      <c r="N274" s="32">
        <f ca="1">_xll.DBRW($C$1,$C$2,$C$3,$C$4,$C$6,$C$5,$C$7,N$1,N$2,$A274)</f>
        <v>0</v>
      </c>
      <c r="O274" s="32">
        <f ca="1">_xll.DBRW($C$1,$C$2,$C$3,$C$4,$C$6,$C$5,$C$7,O$1,O$2,$A274)</f>
        <v>0</v>
      </c>
      <c r="P274" s="32">
        <f ca="1">_xll.DBRW($C$1,$C$2,$C$3,$C$4,$C$6,$C$5,$C$7,P$1,P$2,$A274)</f>
        <v>0</v>
      </c>
      <c r="Q274" s="32">
        <f ca="1">_xll.DBRW($C$1,$C$2,$C$3,$C$4,$C$6,$C$5,$C$7,Q$1,Q$2,$A274)</f>
        <v>0</v>
      </c>
      <c r="R274" s="32">
        <f ca="1">_xll.DBRW($C$1,$C$2,$C$3,$C$4,$C$6,$C$5,$C$7,R$1,R$2,$A274)</f>
        <v>0</v>
      </c>
      <c r="S274" s="32">
        <f ca="1">_xll.DBRW($C$1,$C$2,$C$3,$C$4,$C$6,$C$5,$C$7,S$1,S$2,$A274)</f>
        <v>0</v>
      </c>
      <c r="T274" s="32">
        <f ca="1">_xll.DBRW($C$1,$C$2,$C$3,$C$4,$C$6,$C$5,$C$7,T$1,T$2,$A274)</f>
        <v>0</v>
      </c>
      <c r="U274" s="32">
        <f ca="1">_xll.DBRW($C$1,$C$2,$C$3,$C$4,$C$6,$C$5,$C$7,U$1,U$2,$A274)</f>
        <v>0</v>
      </c>
      <c r="V274" s="32">
        <f ca="1">_xll.DBRW($C$1,$C$2,$C$3,$C$4,$C$6,$C$5,$C$7,V$1,V$2,$A274)</f>
        <v>0</v>
      </c>
      <c r="W274" s="32">
        <f ca="1">_xll.DBRW($C$1,$C$2,$C$3,$C$4,$C$6,$C$5,$C$7,W$1,W$2,$A274)</f>
        <v>0</v>
      </c>
      <c r="X274" s="32">
        <f ca="1">_xll.DBRW($C$1,$C$2,$C$3,$C$4,$C$6,$C$5,$C$7,X$1,X$2,$A274)</f>
        <v>0</v>
      </c>
      <c r="Y274" s="32">
        <f ca="1">_xll.DBRW($C$1,$C$2,$C$3,$C$4,$C$6,$C$5,$C$7,Y$1,Y$2,$A274)</f>
        <v>0</v>
      </c>
      <c r="Z274" s="32">
        <f ca="1">_xll.DBRW($C$1,$C$2,$C$3,$C$4,$C$6,$C$5,$C$7,Z$1,Z$2,$A274)</f>
        <v>0</v>
      </c>
      <c r="AA274" s="32">
        <f ca="1">_xll.DBRW($C$1,$C$2,$C$3,$C$4,$C$6,$C$5,$C$7,AA$1,AA$2,$A274)</f>
        <v>0</v>
      </c>
      <c r="AB274" s="32">
        <f ca="1">_xll.DBRW($C$1,$C$2,$C$3,$C$4,$C$6,$C$5,$C$7,AB$1,AB$2,$A274)</f>
        <v>0</v>
      </c>
      <c r="AC274" s="32">
        <f ca="1">_xll.DBRW($C$1,$C$2,$C$3,$C$4,$C$6,$C$5,$C$7,AC$1,AC$2,$A274)</f>
        <v>0</v>
      </c>
      <c r="AD274" s="32">
        <f ca="1">_xll.DBRW($C$1,$C$2,$C$3,$C$4,$C$6,$C$5,$C$7,AD$1,AD$2,$A274)</f>
        <v>0</v>
      </c>
      <c r="AE274" s="32">
        <f ca="1">_xll.DBRW($C$1,$C$2,$C$3,$C$4,$C$6,$C$5,$C$7,AE$1,AE$2,$A274)</f>
        <v>0</v>
      </c>
      <c r="AF274" s="32">
        <f ca="1">_xll.DBRW($C$1,$C$2,$C$3,$C$4,$C$6,$C$5,$C$7,AF$1,AF$2,$A274)</f>
        <v>0</v>
      </c>
      <c r="AG274" s="32">
        <f ca="1">_xll.DBRW($C$1,$C$2,$C$3,$C$4,$C$6,$C$5,$C$7,AG$1,AG$2,$A274)</f>
        <v>0</v>
      </c>
      <c r="AH274" s="32">
        <f ca="1">_xll.DBRW($C$1,$C$2,$C$3,$C$4,$C$6,$C$5,$C$7,AH$1,AH$2,$A274)</f>
        <v>0</v>
      </c>
      <c r="AI274" s="32">
        <f ca="1">_xll.DBRW($C$1,$C$2,$C$3,$C$4,$C$6,$C$5,$C$7,AI$1,AI$2,$A274)</f>
        <v>0</v>
      </c>
      <c r="AJ274" s="32">
        <f ca="1">_xll.DBRW($C$1,$C$2,$C$3,$C$4,$C$6,$C$5,$C$7,AJ$1,AJ$2,$A274)</f>
        <v>0</v>
      </c>
      <c r="AK274" s="32">
        <f ca="1">_xll.DBRW($C$1,$C$2,$C$3,$C$4,$C$6,$C$5,$C$7,AK$1,AK$2,$A274)</f>
        <v>0</v>
      </c>
      <c r="AL274" s="32">
        <f ca="1">_xll.DBRW($C$1,$C$2,$C$3,$C$4,$C$6,$C$5,$C$7,AL$1,AL$2,$A274)</f>
        <v>0</v>
      </c>
      <c r="AM274" s="32">
        <f ca="1">_xll.DBRW($C$1,$C$2,$C$3,$C$4,$C$6,$C$5,$C$7,AM$1,AM$2,$A274)</f>
        <v>0</v>
      </c>
      <c r="AN274" s="32">
        <f ca="1">_xll.DBRW($C$1,$C$2,$C$3,$C$4,$C$6,$C$5,$C$7,AN$1,AN$2,$A274)</f>
        <v>0</v>
      </c>
      <c r="AO274" s="32">
        <f ca="1">_xll.DBRW($C$1,$C$2,$C$3,$C$4,$C$6,$C$5,$C$7,AO$1,AO$2,$A274)</f>
        <v>0</v>
      </c>
      <c r="AP274" s="32">
        <f ca="1">_xll.DBRW($C$1,$C$2,$C$3,$C$4,$C$6,$C$5,$C$7,AP$1,AP$2,$A274)</f>
        <v>0</v>
      </c>
      <c r="AQ274" s="32">
        <f ca="1">_xll.DBRW($C$1,$C$2,$C$3,$C$4,$C$6,$C$5,$C$7,AQ$1,AQ$2,$A274)</f>
        <v>0</v>
      </c>
      <c r="AR274" s="32">
        <f ca="1">_xll.DBRW($C$1,$C$2,$C$3,$C$4,$C$6,$C$5,$C$7,AR$1,AR$2,$A274)</f>
        <v>0</v>
      </c>
      <c r="AS274" s="32">
        <f ca="1">_xll.DBRW($C$1,$C$2,$C$3,$C$4,$C$6,$C$5,$C$7,AS$1,AS$2,$A274)</f>
        <v>0</v>
      </c>
      <c r="AT274" s="32">
        <f ca="1">_xll.DBRW($C$1,$C$2,$C$3,$C$4,$C$6,$C$5,$C$7,AT$1,AT$2,$A274)</f>
        <v>0</v>
      </c>
      <c r="AU274" s="32">
        <f ca="1">_xll.DBRW($C$1,$C$2,$C$3,$C$4,$C$6,$C$5,$C$7,AU$1,AU$2,$A274)</f>
        <v>0</v>
      </c>
      <c r="AV274" s="32">
        <f ca="1">_xll.DBRW($C$1,$C$2,$C$3,$C$4,$C$6,$C$5,$C$7,AV$1,AV$2,$A274)</f>
        <v>0</v>
      </c>
      <c r="AW274" s="32">
        <f ca="1">_xll.DBRW($C$1,$C$2,$C$3,$C$4,$C$6,$C$5,$C$7,AW$1,AW$2,$A274)</f>
        <v>0</v>
      </c>
      <c r="AX274" s="32">
        <f ca="1">_xll.DBRW($C$1,$C$2,$C$3,$C$4,$C$6,$C$5,$C$7,AX$1,AX$2,$A274)</f>
        <v>0</v>
      </c>
      <c r="AY274" s="32">
        <f ca="1">_xll.DBRW($C$1,$C$2,$C$3,$C$4,$C$6,$C$5,$C$7,AY$1,AY$2,$A274)</f>
        <v>0</v>
      </c>
    </row>
    <row r="275" spans="1:51" ht="15.5" hidden="1" outlineLevel="1" collapsed="1">
      <c r="A275" s="1" t="s">
        <v>338</v>
      </c>
      <c r="C275" s="104"/>
      <c r="E275" s="11" t="s">
        <v>66</v>
      </c>
      <c r="F275" s="35">
        <f t="shared" ref="F275:K275" ca="1" si="192">SUM(F271:F274)</f>
        <v>-4.9534776020000022</v>
      </c>
      <c r="G275" s="35">
        <f t="shared" ca="1" si="192"/>
        <v>4.8230529190000029</v>
      </c>
      <c r="H275" s="35">
        <f t="shared" ca="1" si="192"/>
        <v>3.4112172730000001</v>
      </c>
      <c r="I275" s="35">
        <f t="shared" ca="1" si="192"/>
        <v>3.4054302199999977</v>
      </c>
      <c r="J275" s="35">
        <f t="shared" ca="1" si="192"/>
        <v>1.5254997719999963</v>
      </c>
      <c r="K275" s="35">
        <f t="shared" ca="1" si="192"/>
        <v>-8.1250969000000506E-2</v>
      </c>
      <c r="L275" s="35">
        <f t="shared" ref="L275:AY275" ca="1" si="193">SUM(L271:L274)</f>
        <v>-3.5493221999999998E-2</v>
      </c>
      <c r="M275" s="35">
        <f t="shared" ca="1" si="193"/>
        <v>8.3010000000000042E-2</v>
      </c>
      <c r="N275" s="35">
        <f t="shared" ca="1" si="193"/>
        <v>0.23064355900000005</v>
      </c>
      <c r="O275" s="35">
        <f t="shared" ca="1" si="193"/>
        <v>0.23064356100000019</v>
      </c>
      <c r="P275" s="35">
        <f t="shared" ca="1" si="193"/>
        <v>0.23064356000000022</v>
      </c>
      <c r="Q275" s="35">
        <f t="shared" ca="1" si="193"/>
        <v>0.49789217799999985</v>
      </c>
      <c r="R275" s="35">
        <f t="shared" ca="1" si="193"/>
        <v>0.40269387499999998</v>
      </c>
      <c r="S275" s="35">
        <f t="shared" ca="1" si="193"/>
        <v>0.2306435609999995</v>
      </c>
      <c r="T275" s="35">
        <f t="shared" ca="1" si="193"/>
        <v>0.40269387199999906</v>
      </c>
      <c r="U275" s="35">
        <f t="shared" ca="1" si="193"/>
        <v>0.40269387499999976</v>
      </c>
      <c r="V275" s="35">
        <f t="shared" ca="1" si="193"/>
        <v>0.33384876100000227</v>
      </c>
      <c r="W275" s="35">
        <f t="shared" ca="1" si="193"/>
        <v>-0.17280612799999773</v>
      </c>
      <c r="X275" s="35">
        <f t="shared" ca="1" si="193"/>
        <v>-0.20068612399999886</v>
      </c>
      <c r="Y275" s="35">
        <f t="shared" ca="1" si="193"/>
        <v>-0.20068612399999886</v>
      </c>
      <c r="Z275" s="35">
        <f t="shared" ca="1" si="193"/>
        <v>1.2999999999999994E-2</v>
      </c>
      <c r="AA275" s="35">
        <f t="shared" ca="1" si="193"/>
        <v>2.8999999999999988E-2</v>
      </c>
      <c r="AB275" s="35">
        <f t="shared" ca="1" si="193"/>
        <v>2.2499999999999992E-2</v>
      </c>
      <c r="AC275" s="35">
        <f t="shared" ca="1" si="193"/>
        <v>3.8499999999999979E-2</v>
      </c>
      <c r="AD275" s="35">
        <f t="shared" ca="1" si="193"/>
        <v>4.8999999999999988E-2</v>
      </c>
      <c r="AE275" s="35">
        <f t="shared" ca="1" si="193"/>
        <v>1.5006777999999998E-2</v>
      </c>
      <c r="AF275" s="35">
        <f t="shared" ca="1" si="193"/>
        <v>2.5506777999999994E-2</v>
      </c>
      <c r="AG275" s="35">
        <f t="shared" ca="1" si="193"/>
        <v>3.7506777999999991E-2</v>
      </c>
      <c r="AH275" s="35">
        <f t="shared" ca="1" si="193"/>
        <v>9.1026777999999989E-2</v>
      </c>
      <c r="AI275" s="35">
        <f t="shared" ca="1" si="193"/>
        <v>0.14170677799999998</v>
      </c>
      <c r="AJ275" s="35">
        <f t="shared" ca="1" si="193"/>
        <v>0.19929677800000001</v>
      </c>
      <c r="AK275" s="35">
        <f t="shared" ca="1" si="193"/>
        <v>0.18869677800000001</v>
      </c>
      <c r="AL275" s="35">
        <f t="shared" ca="1" si="193"/>
        <v>0.18869677800000001</v>
      </c>
      <c r="AM275" s="35">
        <f t="shared" ca="1" si="193"/>
        <v>0</v>
      </c>
      <c r="AN275" s="35">
        <f t="shared" ca="1" si="193"/>
        <v>0.11928922</v>
      </c>
      <c r="AO275" s="35">
        <f t="shared" ca="1" si="193"/>
        <v>0.11928922</v>
      </c>
      <c r="AP275" s="35">
        <f t="shared" ca="1" si="193"/>
        <v>0.11928922</v>
      </c>
      <c r="AQ275" s="35">
        <f t="shared" ca="1" si="193"/>
        <v>0.11928922</v>
      </c>
      <c r="AR275" s="35">
        <f t="shared" ca="1" si="193"/>
        <v>0.11928922</v>
      </c>
      <c r="AS275" s="35">
        <f t="shared" ca="1" si="193"/>
        <v>0.11928922</v>
      </c>
      <c r="AT275" s="35">
        <f t="shared" ca="1" si="193"/>
        <v>0.11928922</v>
      </c>
      <c r="AU275" s="35">
        <f t="shared" ca="1" si="193"/>
        <v>0.11928922</v>
      </c>
      <c r="AV275" s="35">
        <f t="shared" ca="1" si="193"/>
        <v>0.11928922</v>
      </c>
      <c r="AW275" s="35">
        <f t="shared" ca="1" si="193"/>
        <v>0.11928922</v>
      </c>
      <c r="AX275" s="35">
        <f t="shared" ca="1" si="193"/>
        <v>0.11928922</v>
      </c>
      <c r="AY275" s="35">
        <f t="shared" ca="1" si="193"/>
        <v>0.11928922</v>
      </c>
    </row>
    <row r="276" spans="1:51" ht="15.5" hidden="1" outlineLevel="1">
      <c r="A276" s="1" t="s">
        <v>339</v>
      </c>
      <c r="C276" s="104"/>
      <c r="E276" s="9" t="str">
        <f ca="1">_xll.DBRW(Server&amp;"}ElementAttributes_Indicator",A276,"code_English")</f>
        <v>RESOP_bef_mgmt_fees - OPERATING PROFIT bef. Mgmt &amp; Brand fees</v>
      </c>
      <c r="F276" s="32">
        <f ca="1">_xll.DBRW($C$1,$C$2,$C$3,$C$4,$C$6,$C$5,$C$7,F$1,F$2,$A276)</f>
        <v>77.646987560999889</v>
      </c>
      <c r="G276" s="32">
        <f ca="1">_xll.DBRW($C$1,$C$2,$C$3,$C$4,$C$6,$C$5,$C$7,G$1,G$2,$A276)</f>
        <v>101.83953495799949</v>
      </c>
      <c r="H276" s="32">
        <f ca="1">_xll.DBRW($C$1,$C$2,$C$3,$C$4,$C$6,$C$5,$C$7,H$1,H$2,$A276)</f>
        <v>-62.457009182999926</v>
      </c>
      <c r="I276" s="32">
        <f ca="1">_xll.DBRW($C$1,$C$2,$C$3,$C$4,$C$6,$C$5,$C$7,I$1,I$2,$A276)</f>
        <v>142.30305648099983</v>
      </c>
      <c r="J276" s="32">
        <f ca="1">_xll.DBRW($C$1,$C$2,$C$3,$C$4,$C$6,$C$5,$C$7,J$1,J$2,$A276)</f>
        <v>-55.946365816000053</v>
      </c>
      <c r="K276" s="32">
        <f ca="1">_xll.DBRW($C$1,$C$2,$C$3,$C$4,$C$6,$C$5,$C$7,K$1,K$2,$A276)</f>
        <v>-86.744367429999897</v>
      </c>
      <c r="L276" s="32">
        <f ca="1">_xll.DBRW($C$1,$C$2,$C$3,$C$4,$C$6,$C$5,$C$7,L$1,L$2,$A276)</f>
        <v>70.248708388000011</v>
      </c>
      <c r="M276" s="32">
        <f ca="1">_xll.DBRW($C$1,$C$2,$C$3,$C$4,$C$6,$C$5,$C$7,M$1,M$2,$A276)</f>
        <v>-4.7744563419999704</v>
      </c>
      <c r="N276" s="32">
        <f ca="1">_xll.DBRW($C$1,$C$2,$C$3,$C$4,$C$6,$C$5,$C$7,N$1,N$2,$A276)</f>
        <v>-6.8600602209999559</v>
      </c>
      <c r="O276" s="32">
        <f ca="1">_xll.DBRW($C$1,$C$2,$C$3,$C$4,$C$6,$C$5,$C$7,O$1,O$2,$A276)</f>
        <v>9.9743211270000938</v>
      </c>
      <c r="P276" s="32">
        <f ca="1">_xll.DBRW($C$1,$C$2,$C$3,$C$4,$C$6,$C$5,$C$7,P$1,P$2,$A276)</f>
        <v>13.764996047000023</v>
      </c>
      <c r="Q276" s="32">
        <f ca="1">_xll.DBRW($C$1,$C$2,$C$3,$C$4,$C$6,$C$5,$C$7,Q$1,Q$2,$A276)</f>
        <v>21.518077819000048</v>
      </c>
      <c r="R276" s="32">
        <f ca="1">_xll.DBRW($C$1,$C$2,$C$3,$C$4,$C$6,$C$5,$C$7,R$1,R$2,$A276)</f>
        <v>49.540614857999984</v>
      </c>
      <c r="S276" s="32">
        <f ca="1">_xll.DBRW($C$1,$C$2,$C$3,$C$4,$C$6,$C$5,$C$7,S$1,S$2,$A276)</f>
        <v>22.382496516999794</v>
      </c>
      <c r="T276" s="32">
        <f ca="1">_xll.DBRW($C$1,$C$2,$C$3,$C$4,$C$6,$C$5,$C$7,T$1,T$2,$A276)</f>
        <v>55.091658072999742</v>
      </c>
      <c r="U276" s="32">
        <f ca="1">_xll.DBRW($C$1,$C$2,$C$3,$C$4,$C$6,$C$5,$C$7,U$1,U$2,$A276)</f>
        <v>82.818434621999756</v>
      </c>
      <c r="V276" s="32">
        <f ca="1">_xll.DBRW($C$1,$C$2,$C$3,$C$4,$C$6,$C$5,$C$7,V$1,V$2,$A276)</f>
        <v>38.994662772999909</v>
      </c>
      <c r="W276" s="32">
        <f ca="1">_xll.DBRW($C$1,$C$2,$C$3,$C$4,$C$6,$C$5,$C$7,W$1,W$2,$A276)</f>
        <v>90.345633462999672</v>
      </c>
      <c r="X276" s="32">
        <f ca="1">_xll.DBRW($C$1,$C$2,$C$3,$C$4,$C$6,$C$5,$C$7,X$1,X$2,$A276)</f>
        <v>81.687676030999711</v>
      </c>
      <c r="Y276" s="32">
        <f ca="1">_xll.DBRW($C$1,$C$2,$C$3,$C$4,$C$6,$C$5,$C$7,Y$1,Y$2,$A276)</f>
        <v>81.687676030999754</v>
      </c>
      <c r="Z276" s="32">
        <f ca="1">_xll.DBRW($C$1,$C$2,$C$3,$C$4,$C$6,$C$5,$C$7,Z$1,Z$2,$A276)</f>
        <v>-1.000138533999974</v>
      </c>
      <c r="AA276" s="32">
        <f ca="1">_xll.DBRW($C$1,$C$2,$C$3,$C$4,$C$6,$C$5,$C$7,AA$1,AA$2,$A276)</f>
        <v>-11.55222186799994</v>
      </c>
      <c r="AB276" s="32">
        <f ca="1">_xll.DBRW($C$1,$C$2,$C$3,$C$4,$C$6,$C$5,$C$7,AB$1,AB$2,$A276)</f>
        <v>-0.69049944800001439</v>
      </c>
      <c r="AC276" s="32">
        <f ca="1">_xll.DBRW($C$1,$C$2,$C$3,$C$4,$C$6,$C$5,$C$7,AC$1,AC$2,$A276)</f>
        <v>0.8027063529999463</v>
      </c>
      <c r="AD276" s="32">
        <f ca="1">_xll.DBRW($C$1,$C$2,$C$3,$C$4,$C$6,$C$5,$C$7,AD$1,AD$2,$A276)</f>
        <v>1.2483221330000311</v>
      </c>
      <c r="AE276" s="32">
        <f ca="1">_xll.DBRW($C$1,$C$2,$C$3,$C$4,$C$6,$C$5,$C$7,AE$1,AE$2,$A276)</f>
        <v>19.819209300000004</v>
      </c>
      <c r="AF276" s="32">
        <f ca="1">_xll.DBRW($C$1,$C$2,$C$3,$C$4,$C$6,$C$5,$C$7,AF$1,AF$2,$A276)</f>
        <v>21.792145638000001</v>
      </c>
      <c r="AG276" s="32">
        <f ca="1">_xll.DBRW($C$1,$C$2,$C$3,$C$4,$C$6,$C$5,$C$7,AG$1,AG$2,$A276)</f>
        <v>33.247432246000109</v>
      </c>
      <c r="AH276" s="32">
        <f ca="1">_xll.DBRW($C$1,$C$2,$C$3,$C$4,$C$6,$C$5,$C$7,AH$1,AH$2,$A276)</f>
        <v>56.417457959999972</v>
      </c>
      <c r="AI276" s="32">
        <f ca="1">_xll.DBRW($C$1,$C$2,$C$3,$C$4,$C$6,$C$5,$C$7,AI$1,AI$2,$A276)</f>
        <v>78.846994470000098</v>
      </c>
      <c r="AJ276" s="32">
        <f ca="1">_xll.DBRW($C$1,$C$2,$C$3,$C$4,$C$6,$C$5,$C$7,AJ$1,AJ$2,$A276)</f>
        <v>85.968626659999885</v>
      </c>
      <c r="AK276" s="32">
        <f ca="1">_xll.DBRW($C$1,$C$2,$C$3,$C$4,$C$6,$C$5,$C$7,AK$1,AK$2,$A276)</f>
        <v>96.994037745999805</v>
      </c>
      <c r="AL276" s="32">
        <f ca="1">_xll.DBRW($C$1,$C$2,$C$3,$C$4,$C$6,$C$5,$C$7,AL$1,AL$2,$A276)</f>
        <v>96.994037745999819</v>
      </c>
      <c r="AM276" s="32">
        <f ca="1">_xll.DBRW($C$1,$C$2,$C$3,$C$4,$C$6,$C$5,$C$7,AM$1,AM$2,$A276)</f>
        <v>-2.0911876709999886</v>
      </c>
      <c r="AN276" s="32">
        <f ca="1">_xll.DBRW($C$1,$C$2,$C$3,$C$4,$C$6,$C$5,$C$7,AN$1,AN$2,$A276)</f>
        <v>-11.408983302000038</v>
      </c>
      <c r="AO276" s="32">
        <f ca="1">_xll.DBRW($C$1,$C$2,$C$3,$C$4,$C$6,$C$5,$C$7,AO$1,AO$2,$A276)</f>
        <v>-11.40898330200006</v>
      </c>
      <c r="AP276" s="32">
        <f ca="1">_xll.DBRW($C$1,$C$2,$C$3,$C$4,$C$6,$C$5,$C$7,AP$1,AP$2,$A276)</f>
        <v>-11.40898330200006</v>
      </c>
      <c r="AQ276" s="32">
        <f ca="1">_xll.DBRW($C$1,$C$2,$C$3,$C$4,$C$6,$C$5,$C$7,AQ$1,AQ$2,$A276)</f>
        <v>-11.40898330200006</v>
      </c>
      <c r="AR276" s="32">
        <f ca="1">_xll.DBRW($C$1,$C$2,$C$3,$C$4,$C$6,$C$5,$C$7,AR$1,AR$2,$A276)</f>
        <v>-11.408983302000063</v>
      </c>
      <c r="AS276" s="32">
        <f ca="1">_xll.DBRW($C$1,$C$2,$C$3,$C$4,$C$6,$C$5,$C$7,AS$1,AS$2,$A276)</f>
        <v>-11.408983302000063</v>
      </c>
      <c r="AT276" s="32">
        <f ca="1">_xll.DBRW($C$1,$C$2,$C$3,$C$4,$C$6,$C$5,$C$7,AT$1,AT$2,$A276)</f>
        <v>-11.408983302000063</v>
      </c>
      <c r="AU276" s="32">
        <f ca="1">_xll.DBRW($C$1,$C$2,$C$3,$C$4,$C$6,$C$5,$C$7,AU$1,AU$2,$A276)</f>
        <v>-11.408983302000063</v>
      </c>
      <c r="AV276" s="32">
        <f ca="1">_xll.DBRW($C$1,$C$2,$C$3,$C$4,$C$6,$C$5,$C$7,AV$1,AV$2,$A276)</f>
        <v>-11.408983302000063</v>
      </c>
      <c r="AW276" s="32">
        <f ca="1">_xll.DBRW($C$1,$C$2,$C$3,$C$4,$C$6,$C$5,$C$7,AW$1,AW$2,$A276)</f>
        <v>-11.40898330200006</v>
      </c>
      <c r="AX276" s="32">
        <f ca="1">_xll.DBRW($C$1,$C$2,$C$3,$C$4,$C$6,$C$5,$C$7,AX$1,AX$2,$A276)</f>
        <v>-11.40898330200006</v>
      </c>
      <c r="AY276" s="32">
        <f ca="1">_xll.DBRW($C$1,$C$2,$C$3,$C$4,$C$6,$C$5,$C$7,AY$1,AY$2,$A276)</f>
        <v>-11.408983302000069</v>
      </c>
    </row>
    <row r="277" spans="1:51" ht="15.5" collapsed="1">
      <c r="A277" s="1" t="s">
        <v>142</v>
      </c>
      <c r="C277" s="104"/>
      <c r="E277" s="20" t="s">
        <v>68</v>
      </c>
      <c r="F277" s="37">
        <f ca="1">F276</f>
        <v>77.646987560999889</v>
      </c>
      <c r="G277" s="37">
        <f t="shared" ref="G277:AY277" ca="1" si="194">G276</f>
        <v>101.83953495799949</v>
      </c>
      <c r="H277" s="37">
        <f t="shared" ca="1" si="194"/>
        <v>-62.457009182999926</v>
      </c>
      <c r="I277" s="37">
        <f t="shared" ca="1" si="194"/>
        <v>142.30305648099983</v>
      </c>
      <c r="J277" s="37">
        <f t="shared" ca="1" si="194"/>
        <v>-55.946365816000053</v>
      </c>
      <c r="K277" s="37">
        <f ca="1">K276</f>
        <v>-86.744367429999897</v>
      </c>
      <c r="L277" s="37">
        <f t="shared" ca="1" si="194"/>
        <v>70.248708388000011</v>
      </c>
      <c r="M277" s="37">
        <f t="shared" ca="1" si="194"/>
        <v>-4.7744563419999704</v>
      </c>
      <c r="N277" s="37">
        <f t="shared" ca="1" si="194"/>
        <v>-6.8600602209999559</v>
      </c>
      <c r="O277" s="37">
        <f t="shared" ca="1" si="194"/>
        <v>9.9743211270000938</v>
      </c>
      <c r="P277" s="37">
        <f t="shared" ca="1" si="194"/>
        <v>13.764996047000023</v>
      </c>
      <c r="Q277" s="37">
        <f t="shared" ca="1" si="194"/>
        <v>21.518077819000048</v>
      </c>
      <c r="R277" s="37">
        <f t="shared" ca="1" si="194"/>
        <v>49.540614857999984</v>
      </c>
      <c r="S277" s="37">
        <f t="shared" ca="1" si="194"/>
        <v>22.382496516999794</v>
      </c>
      <c r="T277" s="37">
        <f t="shared" ca="1" si="194"/>
        <v>55.091658072999742</v>
      </c>
      <c r="U277" s="37">
        <f t="shared" ca="1" si="194"/>
        <v>82.818434621999756</v>
      </c>
      <c r="V277" s="37">
        <f t="shared" ca="1" si="194"/>
        <v>38.994662772999909</v>
      </c>
      <c r="W277" s="37">
        <f t="shared" ca="1" si="194"/>
        <v>90.345633462999672</v>
      </c>
      <c r="X277" s="37">
        <f t="shared" ca="1" si="194"/>
        <v>81.687676030999711</v>
      </c>
      <c r="Y277" s="37">
        <f t="shared" ca="1" si="194"/>
        <v>81.687676030999754</v>
      </c>
      <c r="Z277" s="37">
        <f t="shared" ca="1" si="194"/>
        <v>-1.000138533999974</v>
      </c>
      <c r="AA277" s="37">
        <f t="shared" ca="1" si="194"/>
        <v>-11.55222186799994</v>
      </c>
      <c r="AB277" s="37">
        <f t="shared" ca="1" si="194"/>
        <v>-0.69049944800001439</v>
      </c>
      <c r="AC277" s="37">
        <f t="shared" ca="1" si="194"/>
        <v>0.8027063529999463</v>
      </c>
      <c r="AD277" s="37">
        <f t="shared" ca="1" si="194"/>
        <v>1.2483221330000311</v>
      </c>
      <c r="AE277" s="37">
        <f t="shared" ca="1" si="194"/>
        <v>19.819209300000004</v>
      </c>
      <c r="AF277" s="37">
        <f t="shared" ca="1" si="194"/>
        <v>21.792145638000001</v>
      </c>
      <c r="AG277" s="37">
        <f t="shared" ca="1" si="194"/>
        <v>33.247432246000109</v>
      </c>
      <c r="AH277" s="37">
        <f t="shared" ca="1" si="194"/>
        <v>56.417457959999972</v>
      </c>
      <c r="AI277" s="37">
        <f t="shared" ca="1" si="194"/>
        <v>78.846994470000098</v>
      </c>
      <c r="AJ277" s="37">
        <f t="shared" ca="1" si="194"/>
        <v>85.968626659999885</v>
      </c>
      <c r="AK277" s="37">
        <f t="shared" ca="1" si="194"/>
        <v>96.994037745999805</v>
      </c>
      <c r="AL277" s="37">
        <f t="shared" ca="1" si="194"/>
        <v>96.994037745999819</v>
      </c>
      <c r="AM277" s="37">
        <f t="shared" ca="1" si="194"/>
        <v>-2.0911876709999886</v>
      </c>
      <c r="AN277" s="37">
        <f t="shared" ca="1" si="194"/>
        <v>-11.408983302000038</v>
      </c>
      <c r="AO277" s="37">
        <f t="shared" ca="1" si="194"/>
        <v>-11.40898330200006</v>
      </c>
      <c r="AP277" s="37">
        <f t="shared" ca="1" si="194"/>
        <v>-11.40898330200006</v>
      </c>
      <c r="AQ277" s="37">
        <f t="shared" ca="1" si="194"/>
        <v>-11.40898330200006</v>
      </c>
      <c r="AR277" s="37">
        <f t="shared" ca="1" si="194"/>
        <v>-11.408983302000063</v>
      </c>
      <c r="AS277" s="37">
        <f t="shared" ca="1" si="194"/>
        <v>-11.408983302000063</v>
      </c>
      <c r="AT277" s="37">
        <f t="shared" ca="1" si="194"/>
        <v>-11.408983302000063</v>
      </c>
      <c r="AU277" s="37">
        <f t="shared" ca="1" si="194"/>
        <v>-11.408983302000063</v>
      </c>
      <c r="AV277" s="37">
        <f t="shared" ca="1" si="194"/>
        <v>-11.408983302000063</v>
      </c>
      <c r="AW277" s="37">
        <f t="shared" ca="1" si="194"/>
        <v>-11.40898330200006</v>
      </c>
      <c r="AX277" s="37">
        <f t="shared" ca="1" si="194"/>
        <v>-11.40898330200006</v>
      </c>
      <c r="AY277" s="37">
        <f t="shared" ca="1" si="194"/>
        <v>-11.408983302000069</v>
      </c>
    </row>
    <row r="278" spans="1:51" ht="15.5" hidden="1" outlineLevel="1">
      <c r="A278" s="1" t="s">
        <v>340</v>
      </c>
      <c r="C278" s="104"/>
      <c r="E278" s="9" t="str">
        <f ca="1">_xll.DBRW(Server&amp;"}ElementAttributes_Indicator",A278,"code_English")</f>
        <v>TPL1_nat - OPERATING PROFIT (by nature)</v>
      </c>
      <c r="F278" s="32">
        <f ca="1">_xll.DBRW($C$1,$C$2,$C$3,$C$4,$C$6,$C$5,$C$7,F$1,F$2,$A278)</f>
        <v>77.648400616001155</v>
      </c>
      <c r="G278" s="32">
        <f ca="1">_xll.DBRW($C$1,$C$2,$C$3,$C$4,$C$6,$C$5,$C$7,G$1,G$2,$A278)</f>
        <v>101.84053495799776</v>
      </c>
      <c r="H278" s="32">
        <f ca="1">_xll.DBRW($C$1,$C$2,$C$3,$C$4,$C$6,$C$5,$C$7,H$1,H$2,$A278)</f>
        <v>-62.462009183002351</v>
      </c>
      <c r="I278" s="32">
        <f ca="1">_xll.DBRW($C$1,$C$2,$C$3,$C$4,$C$6,$C$5,$C$7,I$1,I$2,$A278)</f>
        <v>141.98063463099462</v>
      </c>
      <c r="J278" s="32">
        <f ca="1">_xll.DBRW($C$1,$C$2,$C$3,$C$4,$C$6,$C$5,$C$7,J$1,J$2,$A278)</f>
        <v>-55.944365816003582</v>
      </c>
      <c r="K278" s="32">
        <f ca="1">_xll.DBRW($C$1,$C$2,$C$3,$C$4,$C$6,$C$5,$C$7,K$1,K$2,$A278)</f>
        <v>-86.750367430004019</v>
      </c>
      <c r="L278" s="32">
        <f ca="1">_xll.DBRW($C$1,$C$2,$C$3,$C$4,$C$6,$C$5,$C$7,L$1,L$2,$A278)</f>
        <v>69.799708387998663</v>
      </c>
      <c r="M278" s="32">
        <f ca="1">_xll.DBRW($C$1,$C$2,$C$3,$C$4,$C$6,$C$5,$C$7,M$1,M$2,$A278)</f>
        <v>-4.7894563420000065</v>
      </c>
      <c r="N278" s="32">
        <f ca="1">_xll.DBRW($C$1,$C$2,$C$3,$C$4,$C$6,$C$5,$C$7,N$1,N$2,$A278)</f>
        <v>-6.936155950999833</v>
      </c>
      <c r="O278" s="32">
        <f ca="1">_xll.DBRW($C$1,$C$2,$C$3,$C$4,$C$6,$C$5,$C$7,O$1,O$2,$A278)</f>
        <v>9.8596235400002143</v>
      </c>
      <c r="P278" s="32">
        <f ca="1">_xll.DBRW($C$1,$C$2,$C$3,$C$4,$C$6,$C$5,$C$7,P$1,P$2,$A278)</f>
        <v>13.547091841999809</v>
      </c>
      <c r="Q278" s="32">
        <f ca="1">_xll.DBRW($C$1,$C$2,$C$3,$C$4,$C$6,$C$5,$C$7,Q$1,Q$2,$A278)</f>
        <v>21.23717348999973</v>
      </c>
      <c r="R278" s="32">
        <f ca="1">_xll.DBRW($C$1,$C$2,$C$3,$C$4,$C$6,$C$5,$C$7,R$1,R$2,$A278)</f>
        <v>49.202519395999843</v>
      </c>
      <c r="S278" s="32">
        <f ca="1">_xll.DBRW($C$1,$C$2,$C$3,$C$4,$C$6,$C$5,$C$7,S$1,S$2,$A278)</f>
        <v>22.15249651699941</v>
      </c>
      <c r="T278" s="32">
        <f ca="1">_xll.DBRW($C$1,$C$2,$C$3,$C$4,$C$6,$C$5,$C$7,T$1,T$2,$A278)</f>
        <v>54.638658072999647</v>
      </c>
      <c r="U278" s="32">
        <f ca="1">_xll.DBRW($C$1,$C$2,$C$3,$C$4,$C$6,$C$5,$C$7,U$1,U$2,$A278)</f>
        <v>82.305434621999652</v>
      </c>
      <c r="V278" s="32">
        <f ca="1">_xll.DBRW($C$1,$C$2,$C$3,$C$4,$C$6,$C$5,$C$7,V$1,V$2,$A278)</f>
        <v>38.994662773000172</v>
      </c>
      <c r="W278" s="32">
        <f ca="1">_xll.DBRW($C$1,$C$2,$C$3,$C$4,$C$6,$C$5,$C$7,W$1,W$2,$A278)</f>
        <v>89.721633463000458</v>
      </c>
      <c r="X278" s="32">
        <f ca="1">_xll.DBRW($C$1,$C$2,$C$3,$C$4,$C$6,$C$5,$C$7,X$1,X$2,$A278)</f>
        <v>80.998567790000891</v>
      </c>
      <c r="Y278" s="32">
        <f ca="1">_xll.DBRW($C$1,$C$2,$C$3,$C$4,$C$6,$C$5,$C$7,Y$1,Y$2,$A278)</f>
        <v>80.998567790000891</v>
      </c>
      <c r="Z278" s="32">
        <f ca="1">_xll.DBRW($C$1,$C$2,$C$3,$C$4,$C$6,$C$5,$C$7,Z$1,Z$2,$A278)</f>
        <v>-1.056097717999672</v>
      </c>
      <c r="AA278" s="32">
        <f ca="1">_xll.DBRW($C$1,$C$2,$C$3,$C$4,$C$6,$C$5,$C$7,AA$1,AA$2,$A278)</f>
        <v>-11.665221867999337</v>
      </c>
      <c r="AB278" s="32">
        <f ca="1">_xll.DBRW($C$1,$C$2,$C$3,$C$4,$C$6,$C$5,$C$7,AB$1,AB$2,$A278)</f>
        <v>-0.85849944799968758</v>
      </c>
      <c r="AC278" s="32">
        <f ca="1">_xll.DBRW($C$1,$C$2,$C$3,$C$4,$C$6,$C$5,$C$7,AC$1,AC$2,$A278)</f>
        <v>0.57870635300021334</v>
      </c>
      <c r="AD278" s="32">
        <f ca="1">_xll.DBRW($C$1,$C$2,$C$3,$C$4,$C$6,$C$5,$C$7,AD$1,AD$2,$A278)</f>
        <v>0.96732213300045722</v>
      </c>
      <c r="AE278" s="32">
        <f ca="1">_xll.DBRW($C$1,$C$2,$C$3,$C$4,$C$6,$C$5,$C$7,AE$1,AE$2,$A278)</f>
        <v>19.484209300000469</v>
      </c>
      <c r="AF278" s="32">
        <f ca="1">_xll.DBRW($C$1,$C$2,$C$3,$C$4,$C$6,$C$5,$C$7,AF$1,AF$2,$A278)</f>
        <v>21.399145638000331</v>
      </c>
      <c r="AG278" s="32">
        <f ca="1">_xll.DBRW($C$1,$C$2,$C$3,$C$4,$C$6,$C$5,$C$7,AG$1,AG$2,$A278)</f>
        <v>32.796432246000478</v>
      </c>
      <c r="AH278" s="32">
        <f ca="1">_xll.DBRW($C$1,$C$2,$C$3,$C$4,$C$6,$C$5,$C$7,AH$1,AH$2,$A278)</f>
        <v>55.914457960000533</v>
      </c>
      <c r="AI278" s="32">
        <f ca="1">_xll.DBRW($C$1,$C$2,$C$3,$C$4,$C$6,$C$5,$C$7,AI$1,AI$2,$A278)</f>
        <v>78.287994470000342</v>
      </c>
      <c r="AJ278" s="32">
        <f ca="1">_xll.DBRW($C$1,$C$2,$C$3,$C$4,$C$6,$C$5,$C$7,AJ$1,AJ$2,$A278)</f>
        <v>85.350626660000501</v>
      </c>
      <c r="AK278" s="32">
        <f ca="1">_xll.DBRW($C$1,$C$2,$C$3,$C$4,$C$6,$C$5,$C$7,AK$1,AK$2,$A278)</f>
        <v>96.317037746000935</v>
      </c>
      <c r="AL278" s="32">
        <f ca="1">_xll.DBRW($C$1,$C$2,$C$3,$C$4,$C$6,$C$5,$C$7,AL$1,AL$2,$A278)</f>
        <v>96.317037746000935</v>
      </c>
      <c r="AM278" s="32">
        <f ca="1">_xll.DBRW($C$1,$C$2,$C$3,$C$4,$C$6,$C$5,$C$7,AM$1,AM$2,$A278)</f>
        <v>-2.0911876709999206</v>
      </c>
      <c r="AN278" s="32">
        <f ca="1">_xll.DBRW($C$1,$C$2,$C$3,$C$4,$C$6,$C$5,$C$7,AN$1,AN$2,$A278)</f>
        <v>-11.521573854000446</v>
      </c>
      <c r="AO278" s="32">
        <f ca="1">_xll.DBRW($C$1,$C$2,$C$3,$C$4,$C$6,$C$5,$C$7,AO$1,AO$2,$A278)</f>
        <v>-11.521573854000156</v>
      </c>
      <c r="AP278" s="32">
        <f ca="1">_xll.DBRW($C$1,$C$2,$C$3,$C$4,$C$6,$C$5,$C$7,AP$1,AP$2,$A278)</f>
        <v>-11.521573854000156</v>
      </c>
      <c r="AQ278" s="32">
        <f ca="1">_xll.DBRW($C$1,$C$2,$C$3,$C$4,$C$6,$C$5,$C$7,AQ$1,AQ$2,$A278)</f>
        <v>-11.521573854000156</v>
      </c>
      <c r="AR278" s="32">
        <f ca="1">_xll.DBRW($C$1,$C$2,$C$3,$C$4,$C$6,$C$5,$C$7,AR$1,AR$2,$A278)</f>
        <v>-11.521573854000156</v>
      </c>
      <c r="AS278" s="32">
        <f ca="1">_xll.DBRW($C$1,$C$2,$C$3,$C$4,$C$6,$C$5,$C$7,AS$1,AS$2,$A278)</f>
        <v>-11.521573854000156</v>
      </c>
      <c r="AT278" s="32">
        <f ca="1">_xll.DBRW($C$1,$C$2,$C$3,$C$4,$C$6,$C$5,$C$7,AT$1,AT$2,$A278)</f>
        <v>-11.521573854000156</v>
      </c>
      <c r="AU278" s="32">
        <f ca="1">_xll.DBRW($C$1,$C$2,$C$3,$C$4,$C$6,$C$5,$C$7,AU$1,AU$2,$A278)</f>
        <v>-11.521573854000156</v>
      </c>
      <c r="AV278" s="32">
        <f ca="1">_xll.DBRW($C$1,$C$2,$C$3,$C$4,$C$6,$C$5,$C$7,AV$1,AV$2,$A278)</f>
        <v>-11.521573854000156</v>
      </c>
      <c r="AW278" s="32">
        <f ca="1">_xll.DBRW($C$1,$C$2,$C$3,$C$4,$C$6,$C$5,$C$7,AW$1,AW$2,$A278)</f>
        <v>-11.521573854000156</v>
      </c>
      <c r="AX278" s="32">
        <f ca="1">_xll.DBRW($C$1,$C$2,$C$3,$C$4,$C$6,$C$5,$C$7,AX$1,AX$2,$A278)</f>
        <v>-11.521573854000156</v>
      </c>
      <c r="AY278" s="32">
        <f ca="1">_xll.DBRW($C$1,$C$2,$C$3,$C$4,$C$6,$C$5,$C$7,AY$1,AY$2,$A278)</f>
        <v>-11.521573854000156</v>
      </c>
    </row>
    <row r="279" spans="1:51" ht="15.5" collapsed="1">
      <c r="A279" s="1" t="s">
        <v>142</v>
      </c>
      <c r="C279" s="104"/>
      <c r="E279" s="20" t="s">
        <v>69</v>
      </c>
      <c r="F279" s="37">
        <f ca="1">F278</f>
        <v>77.648400616001155</v>
      </c>
      <c r="G279" s="37">
        <f t="shared" ref="G279:AY279" ca="1" si="195">G278</f>
        <v>101.84053495799776</v>
      </c>
      <c r="H279" s="37">
        <f t="shared" ca="1" si="195"/>
        <v>-62.462009183002351</v>
      </c>
      <c r="I279" s="37">
        <f t="shared" ca="1" si="195"/>
        <v>141.98063463099462</v>
      </c>
      <c r="J279" s="37">
        <f t="shared" ca="1" si="195"/>
        <v>-55.944365816003582</v>
      </c>
      <c r="K279" s="37">
        <f t="shared" ca="1" si="195"/>
        <v>-86.750367430004019</v>
      </c>
      <c r="L279" s="37">
        <f t="shared" ca="1" si="195"/>
        <v>69.799708387998663</v>
      </c>
      <c r="M279" s="37">
        <f t="shared" ca="1" si="195"/>
        <v>-4.7894563420000065</v>
      </c>
      <c r="N279" s="37">
        <f t="shared" ca="1" si="195"/>
        <v>-6.936155950999833</v>
      </c>
      <c r="O279" s="37">
        <f t="shared" ca="1" si="195"/>
        <v>9.8596235400002143</v>
      </c>
      <c r="P279" s="37">
        <f t="shared" ca="1" si="195"/>
        <v>13.547091841999809</v>
      </c>
      <c r="Q279" s="37">
        <f t="shared" ca="1" si="195"/>
        <v>21.23717348999973</v>
      </c>
      <c r="R279" s="37">
        <f t="shared" ca="1" si="195"/>
        <v>49.202519395999843</v>
      </c>
      <c r="S279" s="37">
        <f t="shared" ca="1" si="195"/>
        <v>22.15249651699941</v>
      </c>
      <c r="T279" s="37">
        <f t="shared" ca="1" si="195"/>
        <v>54.638658072999647</v>
      </c>
      <c r="U279" s="37">
        <f t="shared" ca="1" si="195"/>
        <v>82.305434621999652</v>
      </c>
      <c r="V279" s="37">
        <f t="shared" ca="1" si="195"/>
        <v>38.994662773000172</v>
      </c>
      <c r="W279" s="37">
        <f t="shared" ca="1" si="195"/>
        <v>89.721633463000458</v>
      </c>
      <c r="X279" s="37">
        <f t="shared" ca="1" si="195"/>
        <v>80.998567790000891</v>
      </c>
      <c r="Y279" s="37">
        <f t="shared" ca="1" si="195"/>
        <v>80.998567790000891</v>
      </c>
      <c r="Z279" s="37">
        <f t="shared" ca="1" si="195"/>
        <v>-1.056097717999672</v>
      </c>
      <c r="AA279" s="37">
        <f t="shared" ca="1" si="195"/>
        <v>-11.665221867999337</v>
      </c>
      <c r="AB279" s="37">
        <f t="shared" ca="1" si="195"/>
        <v>-0.85849944799968758</v>
      </c>
      <c r="AC279" s="37">
        <f t="shared" ca="1" si="195"/>
        <v>0.57870635300021334</v>
      </c>
      <c r="AD279" s="37">
        <f t="shared" ca="1" si="195"/>
        <v>0.96732213300045722</v>
      </c>
      <c r="AE279" s="37">
        <f t="shared" ca="1" si="195"/>
        <v>19.484209300000469</v>
      </c>
      <c r="AF279" s="37">
        <f t="shared" ca="1" si="195"/>
        <v>21.399145638000331</v>
      </c>
      <c r="AG279" s="37">
        <f t="shared" ca="1" si="195"/>
        <v>32.796432246000478</v>
      </c>
      <c r="AH279" s="37">
        <f t="shared" ca="1" si="195"/>
        <v>55.914457960000533</v>
      </c>
      <c r="AI279" s="37">
        <f t="shared" ca="1" si="195"/>
        <v>78.287994470000342</v>
      </c>
      <c r="AJ279" s="37">
        <f t="shared" ca="1" si="195"/>
        <v>85.350626660000501</v>
      </c>
      <c r="AK279" s="37">
        <f t="shared" ca="1" si="195"/>
        <v>96.317037746000935</v>
      </c>
      <c r="AL279" s="37">
        <f t="shared" ca="1" si="195"/>
        <v>96.317037746000935</v>
      </c>
      <c r="AM279" s="37">
        <f t="shared" ca="1" si="195"/>
        <v>-2.0911876709999206</v>
      </c>
      <c r="AN279" s="37">
        <f t="shared" ca="1" si="195"/>
        <v>-11.521573854000446</v>
      </c>
      <c r="AO279" s="37">
        <f t="shared" ca="1" si="195"/>
        <v>-11.521573854000156</v>
      </c>
      <c r="AP279" s="37">
        <f t="shared" ca="1" si="195"/>
        <v>-11.521573854000156</v>
      </c>
      <c r="AQ279" s="37">
        <f t="shared" ca="1" si="195"/>
        <v>-11.521573854000156</v>
      </c>
      <c r="AR279" s="37">
        <f t="shared" ca="1" si="195"/>
        <v>-11.521573854000156</v>
      </c>
      <c r="AS279" s="37">
        <f t="shared" ca="1" si="195"/>
        <v>-11.521573854000156</v>
      </c>
      <c r="AT279" s="37">
        <f t="shared" ca="1" si="195"/>
        <v>-11.521573854000156</v>
      </c>
      <c r="AU279" s="37">
        <f t="shared" ca="1" si="195"/>
        <v>-11.521573854000156</v>
      </c>
      <c r="AV279" s="37">
        <f t="shared" ca="1" si="195"/>
        <v>-11.521573854000156</v>
      </c>
      <c r="AW279" s="37">
        <f t="shared" ca="1" si="195"/>
        <v>-11.521573854000156</v>
      </c>
      <c r="AX279" s="37">
        <f t="shared" ca="1" si="195"/>
        <v>-11.521573854000156</v>
      </c>
      <c r="AY279" s="37">
        <f t="shared" ca="1" si="195"/>
        <v>-11.521573854000156</v>
      </c>
    </row>
    <row r="280" spans="1:51" ht="14.5">
      <c r="A280" s="1" t="s">
        <v>142</v>
      </c>
      <c r="C280" s="104"/>
      <c r="E280" s="21" t="s">
        <v>70</v>
      </c>
      <c r="F280" s="22">
        <f ca="1">IFERROR(F279/F25,"-")</f>
        <v>1.164214677920032E-2</v>
      </c>
      <c r="G280" s="22">
        <f t="shared" ref="G280:AY280" ca="1" si="196">IFERROR(G279/G25,"-")</f>
        <v>1.5330139113876333E-2</v>
      </c>
      <c r="H280" s="22">
        <f t="shared" ca="1" si="196"/>
        <v>-8.9899738053956114E-3</v>
      </c>
      <c r="I280" s="22">
        <f t="shared" ca="1" si="196"/>
        <v>1.9146421399653536E-2</v>
      </c>
      <c r="J280" s="22">
        <f t="shared" ca="1" si="196"/>
        <v>-8.2811279476163718E-3</v>
      </c>
      <c r="K280" s="22">
        <f t="shared" ca="1" si="196"/>
        <v>-1.2373641123660684E-2</v>
      </c>
      <c r="L280" s="22">
        <f t="shared" ca="1" si="196"/>
        <v>9.8564285017575491E-3</v>
      </c>
      <c r="M280" s="22">
        <f t="shared" ca="1" si="196"/>
        <v>-2.9570063384492348E-2</v>
      </c>
      <c r="N280" s="22">
        <f t="shared" ca="1" si="196"/>
        <v>-5.9322365816238095E-3</v>
      </c>
      <c r="O280" s="22">
        <f t="shared" ca="1" si="196"/>
        <v>5.4482489123280067E-3</v>
      </c>
      <c r="P280" s="22">
        <f t="shared" ca="1" si="196"/>
        <v>5.6006173507606649E-3</v>
      </c>
      <c r="Q280" s="22">
        <f t="shared" ca="1" si="196"/>
        <v>6.9141295767435407E-3</v>
      </c>
      <c r="R280" s="22">
        <f t="shared" ca="1" si="196"/>
        <v>1.3142584519589011E-2</v>
      </c>
      <c r="S280" s="22">
        <f t="shared" ca="1" si="196"/>
        <v>1.3756694421956581E-2</v>
      </c>
      <c r="T280" s="22">
        <f t="shared" ca="1" si="196"/>
        <v>1.1011593344521904E-2</v>
      </c>
      <c r="U280" s="22">
        <f t="shared" ca="1" si="196"/>
        <v>1.4585642875503896E-2</v>
      </c>
      <c r="V280" s="22">
        <f t="shared" ca="1" si="196"/>
        <v>3.6935832178109078E-2</v>
      </c>
      <c r="W280" s="22">
        <f t="shared" ca="1" si="196"/>
        <v>1.2835231217586283E-2</v>
      </c>
      <c r="X280" s="22">
        <f t="shared" ca="1" si="196"/>
        <v>1.0509448186869304E-2</v>
      </c>
      <c r="Y280" s="22">
        <f t="shared" ca="1" si="196"/>
        <v>1.0509448186869304E-2</v>
      </c>
      <c r="Z280" s="22">
        <f t="shared" ca="1" si="196"/>
        <v>-1.5143652233887812E-3</v>
      </c>
      <c r="AA280" s="22">
        <f t="shared" ca="1" si="196"/>
        <v>-8.5876896281316412E-3</v>
      </c>
      <c r="AB280" s="22">
        <f t="shared" ca="1" si="196"/>
        <v>-4.1262369224409775E-4</v>
      </c>
      <c r="AC280" s="22">
        <f t="shared" ca="1" si="196"/>
        <v>2.0946941550158561E-4</v>
      </c>
      <c r="AD280" s="22">
        <f t="shared" ca="1" si="196"/>
        <v>2.6898027601560066E-4</v>
      </c>
      <c r="AE280" s="22">
        <f t="shared" ca="1" si="196"/>
        <v>4.3859757348207601E-3</v>
      </c>
      <c r="AF280" s="22">
        <f t="shared" ca="1" si="196"/>
        <v>4.0851144701004195E-3</v>
      </c>
      <c r="AG280" s="22">
        <f t="shared" ca="1" si="196"/>
        <v>5.4416895454572171E-3</v>
      </c>
      <c r="AH280" s="22">
        <f t="shared" ca="1" si="196"/>
        <v>8.1565630936363404E-3</v>
      </c>
      <c r="AI280" s="22">
        <f t="shared" ca="1" si="196"/>
        <v>1.0184062138140833E-2</v>
      </c>
      <c r="AJ280" s="22">
        <f t="shared" ca="1" si="196"/>
        <v>1.0030483645881185E-2</v>
      </c>
      <c r="AK280" s="22">
        <f t="shared" ca="1" si="196"/>
        <v>1.0316334379582745E-2</v>
      </c>
      <c r="AL280" s="22">
        <f t="shared" ca="1" si="196"/>
        <v>1.0316334379582745E-2</v>
      </c>
      <c r="AM280" s="22">
        <f t="shared" ca="1" si="196"/>
        <v>-2.1412746887315603E-2</v>
      </c>
      <c r="AN280" s="22">
        <f t="shared" ca="1" si="196"/>
        <v>-8.7032664430429282E-3</v>
      </c>
      <c r="AO280" s="22">
        <f t="shared" ca="1" si="196"/>
        <v>-8.7032664430427079E-3</v>
      </c>
      <c r="AP280" s="22">
        <f t="shared" ca="1" si="196"/>
        <v>-8.7032664430427079E-3</v>
      </c>
      <c r="AQ280" s="22">
        <f t="shared" ca="1" si="196"/>
        <v>-8.7032664430427079E-3</v>
      </c>
      <c r="AR280" s="22">
        <f t="shared" ca="1" si="196"/>
        <v>-8.7032664430427079E-3</v>
      </c>
      <c r="AS280" s="22">
        <f t="shared" ca="1" si="196"/>
        <v>-8.7032664430427079E-3</v>
      </c>
      <c r="AT280" s="22">
        <f t="shared" ca="1" si="196"/>
        <v>-8.7032664430427079E-3</v>
      </c>
      <c r="AU280" s="22">
        <f t="shared" ca="1" si="196"/>
        <v>-8.7032664430427079E-3</v>
      </c>
      <c r="AV280" s="22">
        <f t="shared" ca="1" si="196"/>
        <v>-8.7032664430427079E-3</v>
      </c>
      <c r="AW280" s="22">
        <f t="shared" ca="1" si="196"/>
        <v>-8.7032664430427079E-3</v>
      </c>
      <c r="AX280" s="22">
        <f t="shared" ca="1" si="196"/>
        <v>-8.7032664430427079E-3</v>
      </c>
      <c r="AY280" s="22">
        <f t="shared" ca="1" si="196"/>
        <v>-8.7032664430427079E-3</v>
      </c>
    </row>
    <row r="281" spans="1:51" ht="14.5">
      <c r="A281" s="1" t="s">
        <v>142</v>
      </c>
      <c r="C281" s="26"/>
      <c r="E281" s="27"/>
      <c r="F281" s="52">
        <f ca="1">ROUND(F279-F225-F262-F265-F270-F275,4)</f>
        <v>434.26859999999999</v>
      </c>
      <c r="G281" s="52">
        <f t="shared" ref="G281:AY281" ca="1" si="197">ROUND(G279-G225-G262-G265-G270-G275,4)</f>
        <v>371.01530000000002</v>
      </c>
      <c r="H281" s="52">
        <f ca="1">ROUND(H279-H225-H262-H265-H270-H275,4)</f>
        <v>384.3229</v>
      </c>
      <c r="I281" s="52">
        <f t="shared" ca="1" si="197"/>
        <v>352.81110000000001</v>
      </c>
      <c r="J281" s="52">
        <f ca="1">ROUND(J279-J225-J262-J265-J270-J275,4)</f>
        <v>407.30540000000002</v>
      </c>
      <c r="K281" s="52">
        <f t="shared" ca="1" si="197"/>
        <v>473.64569999999998</v>
      </c>
      <c r="L281" s="52">
        <f t="shared" ca="1" si="197"/>
        <v>461.70710000000003</v>
      </c>
      <c r="M281" s="52">
        <f t="shared" ca="1" si="197"/>
        <v>15.105399999999999</v>
      </c>
      <c r="N281" s="52">
        <f t="shared" ca="1" si="197"/>
        <v>82.570899999999995</v>
      </c>
      <c r="O281" s="52">
        <f t="shared" ca="1" si="197"/>
        <v>132.7901</v>
      </c>
      <c r="P281" s="52">
        <f t="shared" ca="1" si="197"/>
        <v>173.64330000000001</v>
      </c>
      <c r="Q281" s="52">
        <f t="shared" ca="1" si="197"/>
        <v>223.3809</v>
      </c>
      <c r="R281" s="52">
        <f t="shared" ca="1" si="197"/>
        <v>273.20580000000001</v>
      </c>
      <c r="S281" s="52">
        <f t="shared" ca="1" si="197"/>
        <v>149.91050000000001</v>
      </c>
      <c r="T281" s="52">
        <f t="shared" ca="1" si="197"/>
        <v>353.18790000000001</v>
      </c>
      <c r="U281" s="52">
        <f t="shared" ca="1" si="197"/>
        <v>409.40640000000002</v>
      </c>
      <c r="V281" s="52">
        <f t="shared" ca="1" si="197"/>
        <v>211.64519999999999</v>
      </c>
      <c r="W281" s="52">
        <f t="shared" ca="1" si="197"/>
        <v>415.3297</v>
      </c>
      <c r="X281" s="52">
        <f t="shared" ca="1" si="197"/>
        <v>556.07529999999997</v>
      </c>
      <c r="Y281" s="52">
        <f t="shared" ca="1" si="197"/>
        <v>556.07529999999997</v>
      </c>
      <c r="Z281" s="52">
        <f t="shared" ca="1" si="197"/>
        <v>39.066800000000001</v>
      </c>
      <c r="AA281" s="52">
        <f t="shared" ca="1" si="197"/>
        <v>89.059799999999996</v>
      </c>
      <c r="AB281" s="52">
        <f t="shared" ca="1" si="197"/>
        <v>138.6816</v>
      </c>
      <c r="AC281" s="52">
        <f t="shared" ca="1" si="197"/>
        <v>180.7824</v>
      </c>
      <c r="AD281" s="52">
        <f t="shared" ca="1" si="197"/>
        <v>227.17070000000001</v>
      </c>
      <c r="AE281" s="52">
        <f t="shared" ca="1" si="197"/>
        <v>275.1327</v>
      </c>
      <c r="AF281" s="52">
        <f t="shared" ca="1" si="197"/>
        <v>315.5949</v>
      </c>
      <c r="AG281" s="52">
        <f t="shared" ca="1" si="197"/>
        <v>355.71260000000001</v>
      </c>
      <c r="AH281" s="52">
        <f t="shared" ca="1" si="197"/>
        <v>403.66570000000002</v>
      </c>
      <c r="AI281" s="52">
        <f t="shared" ca="1" si="197"/>
        <v>447.6044</v>
      </c>
      <c r="AJ281" s="52">
        <f t="shared" ca="1" si="197"/>
        <v>493.9128</v>
      </c>
      <c r="AK281" s="52">
        <f t="shared" ca="1" si="197"/>
        <v>538.15449999999998</v>
      </c>
      <c r="AL281" s="52">
        <f t="shared" ca="1" si="197"/>
        <v>538.15449999999998</v>
      </c>
      <c r="AM281" s="52">
        <f t="shared" ca="1" si="197"/>
        <v>17.669799999999999</v>
      </c>
      <c r="AN281" s="52">
        <f t="shared" ca="1" si="197"/>
        <v>95.042900000000003</v>
      </c>
      <c r="AO281" s="52">
        <f t="shared" ca="1" si="197"/>
        <v>0</v>
      </c>
      <c r="AP281" s="52">
        <f t="shared" ca="1" si="197"/>
        <v>0</v>
      </c>
      <c r="AQ281" s="52">
        <f t="shared" ca="1" si="197"/>
        <v>0</v>
      </c>
      <c r="AR281" s="52">
        <f t="shared" ca="1" si="197"/>
        <v>0</v>
      </c>
      <c r="AS281" s="52">
        <f t="shared" ca="1" si="197"/>
        <v>0</v>
      </c>
      <c r="AT281" s="52">
        <f t="shared" ca="1" si="197"/>
        <v>0</v>
      </c>
      <c r="AU281" s="52">
        <f t="shared" ca="1" si="197"/>
        <v>0</v>
      </c>
      <c r="AV281" s="52">
        <f t="shared" ca="1" si="197"/>
        <v>0</v>
      </c>
      <c r="AW281" s="52">
        <f t="shared" ca="1" si="197"/>
        <v>0</v>
      </c>
      <c r="AX281" s="52">
        <f t="shared" ca="1" si="197"/>
        <v>0</v>
      </c>
      <c r="AY281" s="52">
        <f t="shared" ca="1" si="197"/>
        <v>0</v>
      </c>
    </row>
    <row r="282" spans="1:51" ht="15.5">
      <c r="A282" s="1" t="s">
        <v>142</v>
      </c>
      <c r="E282" s="7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28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</row>
    <row r="283" spans="1:51" ht="15.5" hidden="1" outlineLevel="1">
      <c r="A283" s="1" t="s">
        <v>341</v>
      </c>
      <c r="E283" s="9" t="str">
        <f ca="1">_xll.DBRW(Server&amp;"}ElementAttributes_Indicator",A283,"code_English")</f>
        <v>CAPEX_RS - Gross industrial CAPEX - Rolling stock</v>
      </c>
      <c r="F283" s="10">
        <f ca="1">_xll.DBRW($C$1,$C$2,$C$3,$C$4,$C$6,$C$5,$C$7,F$1,F$2,$A283)</f>
        <v>-258.97854908300002</v>
      </c>
      <c r="G283" s="10">
        <f ca="1">_xll.DBRW($C$1,$C$2,$C$3,$C$4,$C$6,$C$5,$C$7,G$1,G$2,$A283)</f>
        <v>-158.64535911600004</v>
      </c>
      <c r="H283" s="10">
        <f ca="1">_xll.DBRW($C$1,$C$2,$C$3,$C$4,$C$6,$C$5,$C$7,H$1,H$2,$A283)</f>
        <v>-166.93889400500001</v>
      </c>
      <c r="I283" s="10">
        <f ca="1">_xll.DBRW($C$1,$C$2,$C$3,$C$4,$C$6,$C$5,$C$7,I$1,I$2,$A283)</f>
        <v>-210.72573769099995</v>
      </c>
      <c r="J283" s="10">
        <f ca="1">_xll.DBRW($C$1,$C$2,$C$3,$C$4,$C$6,$C$5,$C$7,J$1,J$2,$A283)</f>
        <v>-218.42335238699999</v>
      </c>
      <c r="K283" s="10">
        <f ca="1">_xll.DBRW($C$1,$C$2,$C$3,$C$4,$C$6,$C$5,$C$7,K$1,K$2,$A283)</f>
        <v>-185.51379459899994</v>
      </c>
      <c r="L283" s="10">
        <f ca="1">_xll.DBRW($C$1,$C$2,$C$3,$C$4,$C$6,$C$5,$C$7,L$1,L$2,$A283)</f>
        <v>0</v>
      </c>
      <c r="M283" s="10">
        <f ca="1">_xll.DBRW($C$1,$C$2,$C$3,$C$4,$C$6,$C$5,$C$7,M$1,M$2,$A283)</f>
        <v>-2.1979021349999996</v>
      </c>
      <c r="N283" s="10">
        <f ca="1">_xll.DBRW($C$1,$C$2,$C$3,$C$4,$C$6,$C$5,$C$7,N$1,N$2,$A283)</f>
        <v>-14.728345468999997</v>
      </c>
      <c r="O283" s="10">
        <f ca="1">_xll.DBRW($C$1,$C$2,$C$3,$C$4,$C$6,$C$5,$C$7,O$1,O$2,$A283)</f>
        <v>-18.271974209999996</v>
      </c>
      <c r="P283" s="10">
        <f ca="1">_xll.DBRW($C$1,$C$2,$C$3,$C$4,$C$6,$C$5,$C$7,P$1,P$2,$A283)</f>
        <v>-32.987707715999996</v>
      </c>
      <c r="Q283" s="10">
        <f ca="1">_xll.DBRW($C$1,$C$2,$C$3,$C$4,$C$6,$C$5,$C$7,Q$1,Q$2,$A283)</f>
        <v>-41.812109891999995</v>
      </c>
      <c r="R283" s="10">
        <f ca="1">_xll.DBRW($C$1,$C$2,$C$3,$C$4,$C$6,$C$5,$C$7,R$1,R$2,$A283)</f>
        <v>-66.021444236000008</v>
      </c>
      <c r="S283" s="10">
        <f ca="1">_xll.DBRW($C$1,$C$2,$C$3,$C$4,$C$6,$C$5,$C$7,S$1,S$2,$A283)</f>
        <v>-15.325372398999988</v>
      </c>
      <c r="T283" s="10">
        <f ca="1">_xll.DBRW($C$1,$C$2,$C$3,$C$4,$C$6,$C$5,$C$7,T$1,T$2,$A283)</f>
        <v>-132.89484880800001</v>
      </c>
      <c r="U283" s="10">
        <f ca="1">_xll.DBRW($C$1,$C$2,$C$3,$C$4,$C$6,$C$5,$C$7,U$1,U$2,$A283)</f>
        <v>-175.47621911699997</v>
      </c>
      <c r="V283" s="10">
        <f ca="1">_xll.DBRW($C$1,$C$2,$C$3,$C$4,$C$6,$C$5,$C$7,V$1,V$2,$A283)</f>
        <v>-15.038268342999984</v>
      </c>
      <c r="W283" s="10">
        <f ca="1">_xll.DBRW($C$1,$C$2,$C$3,$C$4,$C$6,$C$5,$C$7,W$1,W$2,$A283)</f>
        <v>-232.41165950499999</v>
      </c>
      <c r="X283" s="10">
        <f ca="1">_xll.DBRW($C$1,$C$2,$C$3,$C$4,$C$6,$C$5,$C$7,X$1,X$2,$A283)</f>
        <v>-255.20224060299998</v>
      </c>
      <c r="Y283" s="10">
        <f ca="1">_xll.DBRW($C$1,$C$2,$C$3,$C$4,$C$6,$C$5,$C$7,Y$1,Y$2,$A283)</f>
        <v>-255.20224060299998</v>
      </c>
      <c r="Z283" s="10">
        <f ca="1">_xll.DBRW($C$1,$C$2,$C$3,$C$4,$C$6,$C$5,$C$7,Z$1,Z$2,$A283)</f>
        <v>0</v>
      </c>
      <c r="AA283" s="10">
        <f ca="1">_xll.DBRW($C$1,$C$2,$C$3,$C$4,$C$6,$C$5,$C$7,AA$1,AA$2,$A283)</f>
        <v>0</v>
      </c>
      <c r="AB283" s="10">
        <f ca="1">_xll.DBRW($C$1,$C$2,$C$3,$C$4,$C$6,$C$5,$C$7,AB$1,AB$2,$A283)</f>
        <v>0</v>
      </c>
      <c r="AC283" s="10">
        <f ca="1">_xll.DBRW($C$1,$C$2,$C$3,$C$4,$C$6,$C$5,$C$7,AC$1,AC$2,$A283)</f>
        <v>0</v>
      </c>
      <c r="AD283" s="10">
        <f ca="1">_xll.DBRW($C$1,$C$2,$C$3,$C$4,$C$6,$C$5,$C$7,AD$1,AD$2,$A283)</f>
        <v>0</v>
      </c>
      <c r="AE283" s="10">
        <f ca="1">_xll.DBRW($C$1,$C$2,$C$3,$C$4,$C$6,$C$5,$C$7,AE$1,AE$2,$A283)</f>
        <v>0</v>
      </c>
      <c r="AF283" s="10">
        <f ca="1">_xll.DBRW($C$1,$C$2,$C$3,$C$4,$C$6,$C$5,$C$7,AF$1,AF$2,$A283)</f>
        <v>0</v>
      </c>
      <c r="AG283" s="10">
        <f ca="1">_xll.DBRW($C$1,$C$2,$C$3,$C$4,$C$6,$C$5,$C$7,AG$1,AG$2,$A283)</f>
        <v>0</v>
      </c>
      <c r="AH283" s="10">
        <f ca="1">_xll.DBRW($C$1,$C$2,$C$3,$C$4,$C$6,$C$5,$C$7,AH$1,AH$2,$A283)</f>
        <v>0</v>
      </c>
      <c r="AI283" s="10">
        <f ca="1">_xll.DBRW($C$1,$C$2,$C$3,$C$4,$C$6,$C$5,$C$7,AI$1,AI$2,$A283)</f>
        <v>0</v>
      </c>
      <c r="AJ283" s="10">
        <f ca="1">_xll.DBRW($C$1,$C$2,$C$3,$C$4,$C$6,$C$5,$C$7,AJ$1,AJ$2,$A283)</f>
        <v>0</v>
      </c>
      <c r="AK283" s="10">
        <f ca="1">_xll.DBRW($C$1,$C$2,$C$3,$C$4,$C$6,$C$5,$C$7,AK$1,AK$2,$A283)</f>
        <v>0</v>
      </c>
      <c r="AL283" s="10">
        <f ca="1">_xll.DBRW($C$1,$C$2,$C$3,$C$4,$C$6,$C$5,$C$7,AL$1,AL$2,$A283)</f>
        <v>0</v>
      </c>
      <c r="AM283" s="10">
        <f ca="1">_xll.DBRW($C$1,$C$2,$C$3,$C$4,$C$6,$C$5,$C$7,AM$1,AM$2,$A283)</f>
        <v>0</v>
      </c>
      <c r="AN283" s="10">
        <f ca="1">_xll.DBRW($C$1,$C$2,$C$3,$C$4,$C$6,$C$5,$C$7,AN$1,AN$2,$A283)</f>
        <v>-21.470584289999998</v>
      </c>
      <c r="AO283" s="10">
        <f ca="1">_xll.DBRW($C$1,$C$2,$C$3,$C$4,$C$6,$C$5,$C$7,AO$1,AO$2,$A283)</f>
        <v>-21.470584289999998</v>
      </c>
      <c r="AP283" s="10">
        <f ca="1">_xll.DBRW($C$1,$C$2,$C$3,$C$4,$C$6,$C$5,$C$7,AP$1,AP$2,$A283)</f>
        <v>-21.470584289999998</v>
      </c>
      <c r="AQ283" s="10">
        <f ca="1">_xll.DBRW($C$1,$C$2,$C$3,$C$4,$C$6,$C$5,$C$7,AQ$1,AQ$2,$A283)</f>
        <v>-21.470584289999998</v>
      </c>
      <c r="AR283" s="10">
        <f ca="1">_xll.DBRW($C$1,$C$2,$C$3,$C$4,$C$6,$C$5,$C$7,AR$1,AR$2,$A283)</f>
        <v>-21.470584289999998</v>
      </c>
      <c r="AS283" s="10">
        <f ca="1">_xll.DBRW($C$1,$C$2,$C$3,$C$4,$C$6,$C$5,$C$7,AS$1,AS$2,$A283)</f>
        <v>-21.470584289999998</v>
      </c>
      <c r="AT283" s="10">
        <f ca="1">_xll.DBRW($C$1,$C$2,$C$3,$C$4,$C$6,$C$5,$C$7,AT$1,AT$2,$A283)</f>
        <v>-21.470584289999998</v>
      </c>
      <c r="AU283" s="10">
        <f ca="1">_xll.DBRW($C$1,$C$2,$C$3,$C$4,$C$6,$C$5,$C$7,AU$1,AU$2,$A283)</f>
        <v>-21.470584289999998</v>
      </c>
      <c r="AV283" s="10">
        <f ca="1">_xll.DBRW($C$1,$C$2,$C$3,$C$4,$C$6,$C$5,$C$7,AV$1,AV$2,$A283)</f>
        <v>-21.470584289999998</v>
      </c>
      <c r="AW283" s="10">
        <f ca="1">_xll.DBRW($C$1,$C$2,$C$3,$C$4,$C$6,$C$5,$C$7,AW$1,AW$2,$A283)</f>
        <v>-21.470584289999998</v>
      </c>
      <c r="AX283" s="10">
        <f ca="1">_xll.DBRW($C$1,$C$2,$C$3,$C$4,$C$6,$C$5,$C$7,AX$1,AX$2,$A283)</f>
        <v>-21.470584289999998</v>
      </c>
      <c r="AY283" s="10">
        <f ca="1">_xll.DBRW($C$1,$C$2,$C$3,$C$4,$C$6,$C$5,$C$7,AY$1,AY$2,$A283)</f>
        <v>-21.470584289999998</v>
      </c>
    </row>
    <row r="284" spans="1:51" ht="15.5" hidden="1" outlineLevel="1">
      <c r="A284" s="1" t="s">
        <v>342</v>
      </c>
      <c r="E284" s="9" t="str">
        <f ca="1">_xll.DBRW(Server&amp;"}ElementAttributes_Indicator",A284,"code_English")</f>
        <v>DISP_RS - Industrial Disposals - Rolling stock</v>
      </c>
      <c r="F284" s="10">
        <f ca="1">_xll.DBRW($C$1,$C$2,$C$3,$C$4,$C$6,$C$5,$C$7,F$1,F$2,$A284)</f>
        <v>68.166430099999999</v>
      </c>
      <c r="G284" s="10">
        <f ca="1">_xll.DBRW($C$1,$C$2,$C$3,$C$4,$C$6,$C$5,$C$7,G$1,G$2,$A284)</f>
        <v>26.260128126999994</v>
      </c>
      <c r="H284" s="10">
        <f ca="1">_xll.DBRW($C$1,$C$2,$C$3,$C$4,$C$6,$C$5,$C$7,H$1,H$2,$A284)</f>
        <v>30.114252452999995</v>
      </c>
      <c r="I284" s="10">
        <f ca="1">_xll.DBRW($C$1,$C$2,$C$3,$C$4,$C$6,$C$5,$C$7,I$1,I$2,$A284)</f>
        <v>45.177220483999996</v>
      </c>
      <c r="J284" s="10">
        <f ca="1">_xll.DBRW($C$1,$C$2,$C$3,$C$4,$C$6,$C$5,$C$7,J$1,J$2,$A284)</f>
        <v>44.819303046999998</v>
      </c>
      <c r="K284" s="10">
        <f ca="1">_xll.DBRW($C$1,$C$2,$C$3,$C$4,$C$6,$C$5,$C$7,K$1,K$2,$A284)</f>
        <v>37.931951505000015</v>
      </c>
      <c r="L284" s="10">
        <f ca="1">_xll.DBRW($C$1,$C$2,$C$3,$C$4,$C$6,$C$5,$C$7,L$1,L$2,$A284)</f>
        <v>0</v>
      </c>
      <c r="M284" s="10">
        <f ca="1">_xll.DBRW($C$1,$C$2,$C$3,$C$4,$C$6,$C$5,$C$7,M$1,M$2,$A284)</f>
        <v>0.16099999999999998</v>
      </c>
      <c r="N284" s="10">
        <f ca="1">_xll.DBRW($C$1,$C$2,$C$3,$C$4,$C$6,$C$5,$C$7,N$1,N$2,$A284)</f>
        <v>5.1650251189999983</v>
      </c>
      <c r="O284" s="10">
        <f ca="1">_xll.DBRW($C$1,$C$2,$C$3,$C$4,$C$6,$C$5,$C$7,O$1,O$2,$A284)</f>
        <v>2.2905417639999981</v>
      </c>
      <c r="P284" s="10">
        <f ca="1">_xll.DBRW($C$1,$C$2,$C$3,$C$4,$C$6,$C$5,$C$7,P$1,P$2,$A284)</f>
        <v>5.7781634799999981</v>
      </c>
      <c r="Q284" s="10">
        <f ca="1">_xll.DBRW($C$1,$C$2,$C$3,$C$4,$C$6,$C$5,$C$7,Q$1,Q$2,$A284)</f>
        <v>6.473152706999997</v>
      </c>
      <c r="R284" s="10">
        <f ca="1">_xll.DBRW($C$1,$C$2,$C$3,$C$4,$C$6,$C$5,$C$7,R$1,R$2,$A284)</f>
        <v>4.3346310259999967</v>
      </c>
      <c r="S284" s="10">
        <f ca="1">_xll.DBRW($C$1,$C$2,$C$3,$C$4,$C$6,$C$5,$C$7,S$1,S$2,$A284)</f>
        <v>-0.32054309600000153</v>
      </c>
      <c r="T284" s="10">
        <f ca="1">_xll.DBRW($C$1,$C$2,$C$3,$C$4,$C$6,$C$5,$C$7,T$1,T$2,$A284)</f>
        <v>5.9847719539999726</v>
      </c>
      <c r="U284" s="10">
        <f ca="1">_xll.DBRW($C$1,$C$2,$C$3,$C$4,$C$6,$C$5,$C$7,U$1,U$2,$A284)</f>
        <v>7.3570375829999666</v>
      </c>
      <c r="V284" s="10">
        <f ca="1">_xll.DBRW($C$1,$C$2,$C$3,$C$4,$C$6,$C$5,$C$7,V$1,V$2,$A284)</f>
        <v>6.0446703000007318E-2</v>
      </c>
      <c r="W284" s="10">
        <f ca="1">_xll.DBRW($C$1,$C$2,$C$3,$C$4,$C$6,$C$5,$C$7,W$1,W$2,$A284)</f>
        <v>12.864422352999989</v>
      </c>
      <c r="X284" s="10">
        <f ca="1">_xll.DBRW($C$1,$C$2,$C$3,$C$4,$C$6,$C$5,$C$7,X$1,X$2,$A284)</f>
        <v>31.28665663999999</v>
      </c>
      <c r="Y284" s="10">
        <f ca="1">_xll.DBRW($C$1,$C$2,$C$3,$C$4,$C$6,$C$5,$C$7,Y$1,Y$2,$A284)</f>
        <v>31.28665663999999</v>
      </c>
      <c r="Z284" s="10">
        <f ca="1">_xll.DBRW($C$1,$C$2,$C$3,$C$4,$C$6,$C$5,$C$7,Z$1,Z$2,$A284)</f>
        <v>0</v>
      </c>
      <c r="AA284" s="10">
        <f ca="1">_xll.DBRW($C$1,$C$2,$C$3,$C$4,$C$6,$C$5,$C$7,AA$1,AA$2,$A284)</f>
        <v>0</v>
      </c>
      <c r="AB284" s="10">
        <f ca="1">_xll.DBRW($C$1,$C$2,$C$3,$C$4,$C$6,$C$5,$C$7,AB$1,AB$2,$A284)</f>
        <v>0</v>
      </c>
      <c r="AC284" s="10">
        <f ca="1">_xll.DBRW($C$1,$C$2,$C$3,$C$4,$C$6,$C$5,$C$7,AC$1,AC$2,$A284)</f>
        <v>0</v>
      </c>
      <c r="AD284" s="10">
        <f ca="1">_xll.DBRW($C$1,$C$2,$C$3,$C$4,$C$6,$C$5,$C$7,AD$1,AD$2,$A284)</f>
        <v>0</v>
      </c>
      <c r="AE284" s="10">
        <f ca="1">_xll.DBRW($C$1,$C$2,$C$3,$C$4,$C$6,$C$5,$C$7,AE$1,AE$2,$A284)</f>
        <v>0</v>
      </c>
      <c r="AF284" s="10">
        <f ca="1">_xll.DBRW($C$1,$C$2,$C$3,$C$4,$C$6,$C$5,$C$7,AF$1,AF$2,$A284)</f>
        <v>0</v>
      </c>
      <c r="AG284" s="10">
        <f ca="1">_xll.DBRW($C$1,$C$2,$C$3,$C$4,$C$6,$C$5,$C$7,AG$1,AG$2,$A284)</f>
        <v>0</v>
      </c>
      <c r="AH284" s="10">
        <f ca="1">_xll.DBRW($C$1,$C$2,$C$3,$C$4,$C$6,$C$5,$C$7,AH$1,AH$2,$A284)</f>
        <v>0</v>
      </c>
      <c r="AI284" s="10">
        <f ca="1">_xll.DBRW($C$1,$C$2,$C$3,$C$4,$C$6,$C$5,$C$7,AI$1,AI$2,$A284)</f>
        <v>0</v>
      </c>
      <c r="AJ284" s="10">
        <f ca="1">_xll.DBRW($C$1,$C$2,$C$3,$C$4,$C$6,$C$5,$C$7,AJ$1,AJ$2,$A284)</f>
        <v>0</v>
      </c>
      <c r="AK284" s="10">
        <f ca="1">_xll.DBRW($C$1,$C$2,$C$3,$C$4,$C$6,$C$5,$C$7,AK$1,AK$2,$A284)</f>
        <v>0</v>
      </c>
      <c r="AL284" s="10">
        <f ca="1">_xll.DBRW($C$1,$C$2,$C$3,$C$4,$C$6,$C$5,$C$7,AL$1,AL$2,$A284)</f>
        <v>0</v>
      </c>
      <c r="AM284" s="10">
        <f ca="1">_xll.DBRW($C$1,$C$2,$C$3,$C$4,$C$6,$C$5,$C$7,AM$1,AM$2,$A284)</f>
        <v>0</v>
      </c>
      <c r="AN284" s="10">
        <f ca="1">_xll.DBRW($C$1,$C$2,$C$3,$C$4,$C$6,$C$5,$C$7,AN$1,AN$2,$A284)</f>
        <v>1.9093373429999998</v>
      </c>
      <c r="AO284" s="10">
        <f ca="1">_xll.DBRW($C$1,$C$2,$C$3,$C$4,$C$6,$C$5,$C$7,AO$1,AO$2,$A284)</f>
        <v>1.9093373429999998</v>
      </c>
      <c r="AP284" s="10">
        <f ca="1">_xll.DBRW($C$1,$C$2,$C$3,$C$4,$C$6,$C$5,$C$7,AP$1,AP$2,$A284)</f>
        <v>1.9093373429999998</v>
      </c>
      <c r="AQ284" s="10">
        <f ca="1">_xll.DBRW($C$1,$C$2,$C$3,$C$4,$C$6,$C$5,$C$7,AQ$1,AQ$2,$A284)</f>
        <v>1.9093373429999998</v>
      </c>
      <c r="AR284" s="10">
        <f ca="1">_xll.DBRW($C$1,$C$2,$C$3,$C$4,$C$6,$C$5,$C$7,AR$1,AR$2,$A284)</f>
        <v>1.9093373429999998</v>
      </c>
      <c r="AS284" s="10">
        <f ca="1">_xll.DBRW($C$1,$C$2,$C$3,$C$4,$C$6,$C$5,$C$7,AS$1,AS$2,$A284)</f>
        <v>1.9093373429999998</v>
      </c>
      <c r="AT284" s="10">
        <f ca="1">_xll.DBRW($C$1,$C$2,$C$3,$C$4,$C$6,$C$5,$C$7,AT$1,AT$2,$A284)</f>
        <v>1.9093373429999998</v>
      </c>
      <c r="AU284" s="10">
        <f ca="1">_xll.DBRW($C$1,$C$2,$C$3,$C$4,$C$6,$C$5,$C$7,AU$1,AU$2,$A284)</f>
        <v>1.9093373429999998</v>
      </c>
      <c r="AV284" s="10">
        <f ca="1">_xll.DBRW($C$1,$C$2,$C$3,$C$4,$C$6,$C$5,$C$7,AV$1,AV$2,$A284)</f>
        <v>1.9093373429999998</v>
      </c>
      <c r="AW284" s="10">
        <f ca="1">_xll.DBRW($C$1,$C$2,$C$3,$C$4,$C$6,$C$5,$C$7,AW$1,AW$2,$A284)</f>
        <v>1.9093373429999998</v>
      </c>
      <c r="AX284" s="10">
        <f ca="1">_xll.DBRW($C$1,$C$2,$C$3,$C$4,$C$6,$C$5,$C$7,AX$1,AX$2,$A284)</f>
        <v>1.9093373429999998</v>
      </c>
      <c r="AY284" s="10">
        <f ca="1">_xll.DBRW($C$1,$C$2,$C$3,$C$4,$C$6,$C$5,$C$7,AY$1,AY$2,$A284)</f>
        <v>1.9093373429999998</v>
      </c>
    </row>
    <row r="285" spans="1:51" ht="15.75" customHeight="1" collapsed="1">
      <c r="C285" s="104" t="s">
        <v>71</v>
      </c>
      <c r="E285" s="86" t="s">
        <v>72</v>
      </c>
      <c r="F285" s="40">
        <f t="shared" ref="F285:L285" ca="1" si="198">SUM(F283:F284)</f>
        <v>-190.812118983</v>
      </c>
      <c r="G285" s="40">
        <f t="shared" ca="1" si="198"/>
        <v>-132.38523098900004</v>
      </c>
      <c r="H285" s="40">
        <f t="shared" ca="1" si="198"/>
        <v>-136.824641552</v>
      </c>
      <c r="I285" s="40">
        <f t="shared" ca="1" si="198"/>
        <v>-165.54851720699995</v>
      </c>
      <c r="J285" s="40">
        <f t="shared" ca="1" si="198"/>
        <v>-173.60404933999999</v>
      </c>
      <c r="K285" s="40">
        <f t="shared" ca="1" si="198"/>
        <v>-147.58184309399991</v>
      </c>
      <c r="L285" s="40">
        <f t="shared" ca="1" si="198"/>
        <v>0</v>
      </c>
      <c r="M285" s="40">
        <f t="shared" ref="M285:X285" ca="1" si="199">SUM(M283:M284)</f>
        <v>-2.0369021349999996</v>
      </c>
      <c r="N285" s="40">
        <f t="shared" ca="1" si="199"/>
        <v>-9.5633203499999979</v>
      </c>
      <c r="O285" s="40">
        <f t="shared" ca="1" si="199"/>
        <v>-15.981432445999998</v>
      </c>
      <c r="P285" s="40">
        <f t="shared" ca="1" si="199"/>
        <v>-27.209544235999999</v>
      </c>
      <c r="Q285" s="40">
        <f t="shared" ca="1" si="199"/>
        <v>-35.338957184999998</v>
      </c>
      <c r="R285" s="40">
        <f t="shared" ca="1" si="199"/>
        <v>-61.686813210000011</v>
      </c>
      <c r="S285" s="40">
        <f t="shared" ca="1" si="199"/>
        <v>-15.64591549499999</v>
      </c>
      <c r="T285" s="40">
        <f t="shared" ca="1" si="199"/>
        <v>-126.91007685400004</v>
      </c>
      <c r="U285" s="40">
        <f t="shared" ca="1" si="199"/>
        <v>-168.11918153400001</v>
      </c>
      <c r="V285" s="40">
        <f t="shared" ca="1" si="199"/>
        <v>-14.977821639999977</v>
      </c>
      <c r="W285" s="40">
        <f t="shared" ca="1" si="199"/>
        <v>-219.54723715200001</v>
      </c>
      <c r="X285" s="40">
        <f t="shared" ca="1" si="199"/>
        <v>-223.91558396299999</v>
      </c>
      <c r="Y285" s="40">
        <f ca="1">SUM(Y283:Y284)</f>
        <v>-223.91558396299999</v>
      </c>
      <c r="Z285" s="40">
        <f t="shared" ref="Z285:AK285" ca="1" si="200">SUM(Z283:Z284)</f>
        <v>0</v>
      </c>
      <c r="AA285" s="40">
        <f t="shared" ca="1" si="200"/>
        <v>0</v>
      </c>
      <c r="AB285" s="40">
        <f t="shared" ca="1" si="200"/>
        <v>0</v>
      </c>
      <c r="AC285" s="40">
        <f t="shared" ca="1" si="200"/>
        <v>0</v>
      </c>
      <c r="AD285" s="40">
        <f t="shared" ca="1" si="200"/>
        <v>0</v>
      </c>
      <c r="AE285" s="40">
        <f t="shared" ca="1" si="200"/>
        <v>0</v>
      </c>
      <c r="AF285" s="40">
        <f t="shared" ca="1" si="200"/>
        <v>0</v>
      </c>
      <c r="AG285" s="40">
        <f t="shared" ca="1" si="200"/>
        <v>0</v>
      </c>
      <c r="AH285" s="40">
        <f t="shared" ca="1" si="200"/>
        <v>0</v>
      </c>
      <c r="AI285" s="40">
        <f t="shared" ca="1" si="200"/>
        <v>0</v>
      </c>
      <c r="AJ285" s="40">
        <f t="shared" ca="1" si="200"/>
        <v>0</v>
      </c>
      <c r="AK285" s="40">
        <f t="shared" ca="1" si="200"/>
        <v>0</v>
      </c>
      <c r="AL285" s="40">
        <f ca="1">SUM(AL283:AL284)</f>
        <v>0</v>
      </c>
      <c r="AM285" s="40">
        <f t="shared" ref="AM285:AX285" ca="1" si="201">SUM(AM283:AM284)</f>
        <v>0</v>
      </c>
      <c r="AN285" s="40">
        <f t="shared" ca="1" si="201"/>
        <v>-19.561246946999997</v>
      </c>
      <c r="AO285" s="40">
        <f t="shared" ca="1" si="201"/>
        <v>-19.561246946999997</v>
      </c>
      <c r="AP285" s="40">
        <f t="shared" ca="1" si="201"/>
        <v>-19.561246946999997</v>
      </c>
      <c r="AQ285" s="40">
        <f t="shared" ca="1" si="201"/>
        <v>-19.561246946999997</v>
      </c>
      <c r="AR285" s="40">
        <f t="shared" ca="1" si="201"/>
        <v>-19.561246946999997</v>
      </c>
      <c r="AS285" s="40">
        <f t="shared" ca="1" si="201"/>
        <v>-19.561246946999997</v>
      </c>
      <c r="AT285" s="40">
        <f t="shared" ca="1" si="201"/>
        <v>-19.561246946999997</v>
      </c>
      <c r="AU285" s="40">
        <f t="shared" ca="1" si="201"/>
        <v>-19.561246946999997</v>
      </c>
      <c r="AV285" s="40">
        <f t="shared" ca="1" si="201"/>
        <v>-19.561246946999997</v>
      </c>
      <c r="AW285" s="40">
        <f t="shared" ca="1" si="201"/>
        <v>-19.561246946999997</v>
      </c>
      <c r="AX285" s="40">
        <f t="shared" ca="1" si="201"/>
        <v>-19.561246946999997</v>
      </c>
      <c r="AY285" s="40">
        <f ca="1">SUM(AY283:AY284)</f>
        <v>-19.561246946999997</v>
      </c>
    </row>
    <row r="286" spans="1:51" ht="15.75" hidden="1" customHeight="1" outlineLevel="1">
      <c r="A286" s="1" t="s">
        <v>343</v>
      </c>
      <c r="C286" s="104"/>
      <c r="E286" s="9" t="str">
        <f ca="1">_xll.DBRW(Server&amp;"}ElementAttributes_Indicator",A286,"code_English")</f>
        <v>CAPEX_BE - Gross industrial CAPEX - Buildings plants &amp; equipment</v>
      </c>
      <c r="F286" s="33">
        <f ca="1">_xll.DBRW($C$1,$C$2,$C$3,$C$4,$C$6,$C$5,$C$7,F$1,F$2,$A286)</f>
        <v>-67.521765090999978</v>
      </c>
      <c r="G286" s="33">
        <f ca="1">_xll.DBRW($C$1,$C$2,$C$3,$C$4,$C$6,$C$5,$C$7,G$1,G$2,$A286)</f>
        <v>-90.277783203999988</v>
      </c>
      <c r="H286" s="33">
        <f ca="1">_xll.DBRW($C$1,$C$2,$C$3,$C$4,$C$6,$C$5,$C$7,H$1,H$2,$A286)</f>
        <v>-77.056067815999981</v>
      </c>
      <c r="I286" s="33">
        <f ca="1">_xll.DBRW($C$1,$C$2,$C$3,$C$4,$C$6,$C$5,$C$7,I$1,I$2,$A286)</f>
        <v>-50.876162348999969</v>
      </c>
      <c r="J286" s="33">
        <f ca="1">_xll.DBRW($C$1,$C$2,$C$3,$C$4,$C$6,$C$5,$C$7,J$1,J$2,$A286)</f>
        <v>-66.670780269000005</v>
      </c>
      <c r="K286" s="33">
        <f ca="1">_xll.DBRW($C$1,$C$2,$C$3,$C$4,$C$6,$C$5,$C$7,K$1,K$2,$A286)</f>
        <v>-66.518663907000018</v>
      </c>
      <c r="L286" s="33">
        <f ca="1">_xll.DBRW($C$1,$C$2,$C$3,$C$4,$C$6,$C$5,$C$7,L$1,L$2,$A286)</f>
        <v>0</v>
      </c>
      <c r="M286" s="33">
        <f ca="1">_xll.DBRW($C$1,$C$2,$C$3,$C$4,$C$6,$C$5,$C$7,M$1,M$2,$A286)</f>
        <v>-1.310116088</v>
      </c>
      <c r="N286" s="33">
        <f ca="1">_xll.DBRW($C$1,$C$2,$C$3,$C$4,$C$6,$C$5,$C$7,N$1,N$2,$A286)</f>
        <v>-10.830507364999999</v>
      </c>
      <c r="O286" s="33">
        <f ca="1">_xll.DBRW($C$1,$C$2,$C$3,$C$4,$C$6,$C$5,$C$7,O$1,O$2,$A286)</f>
        <v>-17.330608895999998</v>
      </c>
      <c r="P286" s="33">
        <f ca="1">_xll.DBRW($C$1,$C$2,$C$3,$C$4,$C$6,$C$5,$C$7,P$1,P$2,$A286)</f>
        <v>-23.281101795999998</v>
      </c>
      <c r="Q286" s="33">
        <f ca="1">_xll.DBRW($C$1,$C$2,$C$3,$C$4,$C$6,$C$5,$C$7,Q$1,Q$2,$A286)</f>
        <v>-35.090885474000004</v>
      </c>
      <c r="R286" s="33">
        <f ca="1">_xll.DBRW($C$1,$C$2,$C$3,$C$4,$C$6,$C$5,$C$7,R$1,R$2,$A286)</f>
        <v>-38.048596610000004</v>
      </c>
      <c r="S286" s="33">
        <f ca="1">_xll.DBRW($C$1,$C$2,$C$3,$C$4,$C$6,$C$5,$C$7,S$1,S$2,$A286)</f>
        <v>-17.190153948000003</v>
      </c>
      <c r="T286" s="33">
        <f ca="1">_xll.DBRW($C$1,$C$2,$C$3,$C$4,$C$6,$C$5,$C$7,T$1,T$2,$A286)</f>
        <v>-66.397068594999993</v>
      </c>
      <c r="U286" s="33">
        <f ca="1">_xll.DBRW($C$1,$C$2,$C$3,$C$4,$C$6,$C$5,$C$7,U$1,U$2,$A286)</f>
        <v>-78.993749210999994</v>
      </c>
      <c r="V286" s="33">
        <f ca="1">_xll.DBRW($C$1,$C$2,$C$3,$C$4,$C$6,$C$5,$C$7,V$1,V$2,$A286)</f>
        <v>-0.95993255399999811</v>
      </c>
      <c r="W286" s="33">
        <f ca="1">_xll.DBRW($C$1,$C$2,$C$3,$C$4,$C$6,$C$5,$C$7,W$1,W$2,$A286)</f>
        <v>-58.103458940999992</v>
      </c>
      <c r="X286" s="33">
        <f ca="1">_xll.DBRW($C$1,$C$2,$C$3,$C$4,$C$6,$C$5,$C$7,X$1,X$2,$A286)</f>
        <v>-73.083376896999994</v>
      </c>
      <c r="Y286" s="33">
        <f ca="1">_xll.DBRW($C$1,$C$2,$C$3,$C$4,$C$6,$C$5,$C$7,Y$1,Y$2,$A286)</f>
        <v>-73.083376896999994</v>
      </c>
      <c r="Z286" s="33">
        <f ca="1">_xll.DBRW($C$1,$C$2,$C$3,$C$4,$C$6,$C$5,$C$7,Z$1,Z$2,$A286)</f>
        <v>0</v>
      </c>
      <c r="AA286" s="33">
        <f ca="1">_xll.DBRW($C$1,$C$2,$C$3,$C$4,$C$6,$C$5,$C$7,AA$1,AA$2,$A286)</f>
        <v>0</v>
      </c>
      <c r="AB286" s="33">
        <f ca="1">_xll.DBRW($C$1,$C$2,$C$3,$C$4,$C$6,$C$5,$C$7,AB$1,AB$2,$A286)</f>
        <v>0</v>
      </c>
      <c r="AC286" s="33">
        <f ca="1">_xll.DBRW($C$1,$C$2,$C$3,$C$4,$C$6,$C$5,$C$7,AC$1,AC$2,$A286)</f>
        <v>0</v>
      </c>
      <c r="AD286" s="33">
        <f ca="1">_xll.DBRW($C$1,$C$2,$C$3,$C$4,$C$6,$C$5,$C$7,AD$1,AD$2,$A286)</f>
        <v>0</v>
      </c>
      <c r="AE286" s="33">
        <f ca="1">_xll.DBRW($C$1,$C$2,$C$3,$C$4,$C$6,$C$5,$C$7,AE$1,AE$2,$A286)</f>
        <v>0</v>
      </c>
      <c r="AF286" s="33">
        <f ca="1">_xll.DBRW($C$1,$C$2,$C$3,$C$4,$C$6,$C$5,$C$7,AF$1,AF$2,$A286)</f>
        <v>0</v>
      </c>
      <c r="AG286" s="33">
        <f ca="1">_xll.DBRW($C$1,$C$2,$C$3,$C$4,$C$6,$C$5,$C$7,AG$1,AG$2,$A286)</f>
        <v>0</v>
      </c>
      <c r="AH286" s="33">
        <f ca="1">_xll.DBRW($C$1,$C$2,$C$3,$C$4,$C$6,$C$5,$C$7,AH$1,AH$2,$A286)</f>
        <v>0</v>
      </c>
      <c r="AI286" s="33">
        <f ca="1">_xll.DBRW($C$1,$C$2,$C$3,$C$4,$C$6,$C$5,$C$7,AI$1,AI$2,$A286)</f>
        <v>0</v>
      </c>
      <c r="AJ286" s="33">
        <f ca="1">_xll.DBRW($C$1,$C$2,$C$3,$C$4,$C$6,$C$5,$C$7,AJ$1,AJ$2,$A286)</f>
        <v>0</v>
      </c>
      <c r="AK286" s="33">
        <f ca="1">_xll.DBRW($C$1,$C$2,$C$3,$C$4,$C$6,$C$5,$C$7,AK$1,AK$2,$A286)</f>
        <v>0</v>
      </c>
      <c r="AL286" s="33">
        <f ca="1">_xll.DBRW($C$1,$C$2,$C$3,$C$4,$C$6,$C$5,$C$7,AL$1,AL$2,$A286)</f>
        <v>0</v>
      </c>
      <c r="AM286" s="33">
        <f ca="1">_xll.DBRW($C$1,$C$2,$C$3,$C$4,$C$6,$C$5,$C$7,AM$1,AM$2,$A286)</f>
        <v>-7.4287309999999992E-3</v>
      </c>
      <c r="AN286" s="33">
        <f ca="1">_xll.DBRW($C$1,$C$2,$C$3,$C$4,$C$6,$C$5,$C$7,AN$1,AN$2,$A286)</f>
        <v>-15.151782059999999</v>
      </c>
      <c r="AO286" s="33">
        <f ca="1">_xll.DBRW($C$1,$C$2,$C$3,$C$4,$C$6,$C$5,$C$7,AO$1,AO$2,$A286)</f>
        <v>-15.151782059999999</v>
      </c>
      <c r="AP286" s="33">
        <f ca="1">_xll.DBRW($C$1,$C$2,$C$3,$C$4,$C$6,$C$5,$C$7,AP$1,AP$2,$A286)</f>
        <v>-15.151782059999999</v>
      </c>
      <c r="AQ286" s="33">
        <f ca="1">_xll.DBRW($C$1,$C$2,$C$3,$C$4,$C$6,$C$5,$C$7,AQ$1,AQ$2,$A286)</f>
        <v>-15.151782059999999</v>
      </c>
      <c r="AR286" s="33">
        <f ca="1">_xll.DBRW($C$1,$C$2,$C$3,$C$4,$C$6,$C$5,$C$7,AR$1,AR$2,$A286)</f>
        <v>-15.151782059999999</v>
      </c>
      <c r="AS286" s="33">
        <f ca="1">_xll.DBRW($C$1,$C$2,$C$3,$C$4,$C$6,$C$5,$C$7,AS$1,AS$2,$A286)</f>
        <v>-15.151782059999999</v>
      </c>
      <c r="AT286" s="33">
        <f ca="1">_xll.DBRW($C$1,$C$2,$C$3,$C$4,$C$6,$C$5,$C$7,AT$1,AT$2,$A286)</f>
        <v>-15.151782059999999</v>
      </c>
      <c r="AU286" s="33">
        <f ca="1">_xll.DBRW($C$1,$C$2,$C$3,$C$4,$C$6,$C$5,$C$7,AU$1,AU$2,$A286)</f>
        <v>-15.151782059999999</v>
      </c>
      <c r="AV286" s="33">
        <f ca="1">_xll.DBRW($C$1,$C$2,$C$3,$C$4,$C$6,$C$5,$C$7,AV$1,AV$2,$A286)</f>
        <v>-15.151782059999999</v>
      </c>
      <c r="AW286" s="33">
        <f ca="1">_xll.DBRW($C$1,$C$2,$C$3,$C$4,$C$6,$C$5,$C$7,AW$1,AW$2,$A286)</f>
        <v>-15.151782059999999</v>
      </c>
      <c r="AX286" s="33">
        <f ca="1">_xll.DBRW($C$1,$C$2,$C$3,$C$4,$C$6,$C$5,$C$7,AX$1,AX$2,$A286)</f>
        <v>-15.151782059999999</v>
      </c>
      <c r="AY286" s="33">
        <f ca="1">_xll.DBRW($C$1,$C$2,$C$3,$C$4,$C$6,$C$5,$C$7,AY$1,AY$2,$A286)</f>
        <v>-15.151782059999999</v>
      </c>
    </row>
    <row r="287" spans="1:51" ht="15.75" hidden="1" customHeight="1" outlineLevel="1">
      <c r="A287" s="1" t="s">
        <v>344</v>
      </c>
      <c r="C287" s="104"/>
      <c r="E287" s="9" t="s">
        <v>381</v>
      </c>
      <c r="F287" s="33">
        <f ca="1">_xll.DBRW($C$1,$C$2,$C$3,$C$4,$C$6,$C$5,$C$7,F$1,F$2,$A287)</f>
        <v>4.1279401560000011</v>
      </c>
      <c r="G287" s="33">
        <f ca="1">_xll.DBRW($C$1,$C$2,$C$3,$C$4,$C$6,$C$5,$C$7,G$1,G$2,$A287)</f>
        <v>5.7015881949999994</v>
      </c>
      <c r="H287" s="33">
        <f ca="1">_xll.DBRW($C$1,$C$2,$C$3,$C$4,$C$6,$C$5,$C$7,H$1,H$2,$A287)</f>
        <v>4.777335967</v>
      </c>
      <c r="I287" s="33">
        <f ca="1">_xll.DBRW($C$1,$C$2,$C$3,$C$4,$C$6,$C$5,$C$7,I$1,I$2,$A287)</f>
        <v>3.7138077210000002</v>
      </c>
      <c r="J287" s="33">
        <f ca="1">_xll.DBRW($C$1,$C$2,$C$3,$C$4,$C$6,$C$5,$C$7,J$1,J$2,$A287)</f>
        <v>13.411331895</v>
      </c>
      <c r="K287" s="33">
        <f ca="1">_xll.DBRW($C$1,$C$2,$C$3,$C$4,$C$6,$C$5,$C$7,K$1,K$2,$A287)</f>
        <v>15.639930568</v>
      </c>
      <c r="L287" s="33">
        <f ca="1">_xll.DBRW($C$1,$C$2,$C$3,$C$4,$C$6,$C$5,$C$7,L$1,L$2,$A287)</f>
        <v>0</v>
      </c>
      <c r="M287" s="33">
        <f ca="1">_xll.DBRW($C$1,$C$2,$C$3,$C$4,$C$6,$C$5,$C$7,M$1,M$2,$A287)</f>
        <v>8.8382399999999996E-4</v>
      </c>
      <c r="N287" s="33">
        <f ca="1">_xll.DBRW($C$1,$C$2,$C$3,$C$4,$C$6,$C$5,$C$7,N$1,N$2,$A287)</f>
        <v>-2.3232871910000004</v>
      </c>
      <c r="O287" s="33">
        <f ca="1">_xll.DBRW($C$1,$C$2,$C$3,$C$4,$C$6,$C$5,$C$7,O$1,O$2,$A287)</f>
        <v>0.73757287299999996</v>
      </c>
      <c r="P287" s="33">
        <f ca="1">_xll.DBRW($C$1,$C$2,$C$3,$C$4,$C$6,$C$5,$C$7,P$1,P$2,$A287)</f>
        <v>-2.4944677529999999</v>
      </c>
      <c r="Q287" s="33">
        <f ca="1">_xll.DBRW($C$1,$C$2,$C$3,$C$4,$C$6,$C$5,$C$7,Q$1,Q$2,$A287)</f>
        <v>0.87757812400000024</v>
      </c>
      <c r="R287" s="33">
        <f ca="1">_xll.DBRW($C$1,$C$2,$C$3,$C$4,$C$6,$C$5,$C$7,R$1,R$2,$A287)</f>
        <v>0.97903456200000027</v>
      </c>
      <c r="S287" s="33">
        <f ca="1">_xll.DBRW($C$1,$C$2,$C$3,$C$4,$C$6,$C$5,$C$7,S$1,S$2,$A287)</f>
        <v>1.8148997000000389E-2</v>
      </c>
      <c r="T287" s="33">
        <f ca="1">_xll.DBRW($C$1,$C$2,$C$3,$C$4,$C$6,$C$5,$C$7,T$1,T$2,$A287)</f>
        <v>5.4735063329999996</v>
      </c>
      <c r="U287" s="33">
        <f ca="1">_xll.DBRW($C$1,$C$2,$C$3,$C$4,$C$6,$C$5,$C$7,U$1,U$2,$A287)</f>
        <v>5.576899942999999</v>
      </c>
      <c r="V287" s="33">
        <f ca="1">_xll.DBRW($C$1,$C$2,$C$3,$C$4,$C$6,$C$5,$C$7,V$1,V$2,$A287)</f>
        <v>-3.413456999999287E-3</v>
      </c>
      <c r="W287" s="33">
        <f ca="1">_xll.DBRW($C$1,$C$2,$C$3,$C$4,$C$6,$C$5,$C$7,W$1,W$2,$A287)</f>
        <v>6.8153976220000025</v>
      </c>
      <c r="X287" s="33">
        <f ca="1">_xll.DBRW($C$1,$C$2,$C$3,$C$4,$C$6,$C$5,$C$7,X$1,X$2,$A287)</f>
        <v>9.0072357470000028</v>
      </c>
      <c r="Y287" s="33">
        <f ca="1">_xll.DBRW($C$1,$C$2,$C$3,$C$4,$C$6,$C$5,$C$7,Y$1,Y$2,$A287)</f>
        <v>9.0072357470000028</v>
      </c>
      <c r="Z287" s="33">
        <f ca="1">_xll.DBRW($C$1,$C$2,$C$3,$C$4,$C$6,$C$5,$C$7,Z$1,Z$2,$A287)</f>
        <v>0</v>
      </c>
      <c r="AA287" s="33">
        <f ca="1">_xll.DBRW($C$1,$C$2,$C$3,$C$4,$C$6,$C$5,$C$7,AA$1,AA$2,$A287)</f>
        <v>0</v>
      </c>
      <c r="AB287" s="33">
        <f ca="1">_xll.DBRW($C$1,$C$2,$C$3,$C$4,$C$6,$C$5,$C$7,AB$1,AB$2,$A287)</f>
        <v>0</v>
      </c>
      <c r="AC287" s="33">
        <f ca="1">_xll.DBRW($C$1,$C$2,$C$3,$C$4,$C$6,$C$5,$C$7,AC$1,AC$2,$A287)</f>
        <v>0</v>
      </c>
      <c r="AD287" s="33">
        <f ca="1">_xll.DBRW($C$1,$C$2,$C$3,$C$4,$C$6,$C$5,$C$7,AD$1,AD$2,$A287)</f>
        <v>0</v>
      </c>
      <c r="AE287" s="33">
        <f ca="1">_xll.DBRW($C$1,$C$2,$C$3,$C$4,$C$6,$C$5,$C$7,AE$1,AE$2,$A287)</f>
        <v>0</v>
      </c>
      <c r="AF287" s="33">
        <f ca="1">_xll.DBRW($C$1,$C$2,$C$3,$C$4,$C$6,$C$5,$C$7,AF$1,AF$2,$A287)</f>
        <v>0</v>
      </c>
      <c r="AG287" s="33">
        <f ca="1">_xll.DBRW($C$1,$C$2,$C$3,$C$4,$C$6,$C$5,$C$7,AG$1,AG$2,$A287)</f>
        <v>0</v>
      </c>
      <c r="AH287" s="33">
        <f ca="1">_xll.DBRW($C$1,$C$2,$C$3,$C$4,$C$6,$C$5,$C$7,AH$1,AH$2,$A287)</f>
        <v>0</v>
      </c>
      <c r="AI287" s="33">
        <f ca="1">_xll.DBRW($C$1,$C$2,$C$3,$C$4,$C$6,$C$5,$C$7,AI$1,AI$2,$A287)</f>
        <v>0</v>
      </c>
      <c r="AJ287" s="33">
        <f ca="1">_xll.DBRW($C$1,$C$2,$C$3,$C$4,$C$6,$C$5,$C$7,AJ$1,AJ$2,$A287)</f>
        <v>0</v>
      </c>
      <c r="AK287" s="33">
        <f ca="1">_xll.DBRW($C$1,$C$2,$C$3,$C$4,$C$6,$C$5,$C$7,AK$1,AK$2,$A287)</f>
        <v>0</v>
      </c>
      <c r="AL287" s="33">
        <f ca="1">_xll.DBRW($C$1,$C$2,$C$3,$C$4,$C$6,$C$5,$C$7,AL$1,AL$2,$A287)</f>
        <v>0</v>
      </c>
      <c r="AM287" s="33">
        <f ca="1">_xll.DBRW($C$1,$C$2,$C$3,$C$4,$C$6,$C$5,$C$7,AM$1,AM$2,$A287)</f>
        <v>1.5786053000000012E-2</v>
      </c>
      <c r="AN287" s="33">
        <f ca="1">_xll.DBRW($C$1,$C$2,$C$3,$C$4,$C$6,$C$5,$C$7,AN$1,AN$2,$A287)</f>
        <v>7.3447573999999946E-2</v>
      </c>
      <c r="AO287" s="33">
        <f ca="1">_xll.DBRW($C$1,$C$2,$C$3,$C$4,$C$6,$C$5,$C$7,AO$1,AO$2,$A287)</f>
        <v>7.3447573999999946E-2</v>
      </c>
      <c r="AP287" s="33">
        <f ca="1">_xll.DBRW($C$1,$C$2,$C$3,$C$4,$C$6,$C$5,$C$7,AP$1,AP$2,$A287)</f>
        <v>7.3447573999999946E-2</v>
      </c>
      <c r="AQ287" s="33">
        <f ca="1">_xll.DBRW($C$1,$C$2,$C$3,$C$4,$C$6,$C$5,$C$7,AQ$1,AQ$2,$A287)</f>
        <v>7.3447573999999946E-2</v>
      </c>
      <c r="AR287" s="33">
        <f ca="1">_xll.DBRW($C$1,$C$2,$C$3,$C$4,$C$6,$C$5,$C$7,AR$1,AR$2,$A287)</f>
        <v>7.3447573999999946E-2</v>
      </c>
      <c r="AS287" s="33">
        <f ca="1">_xll.DBRW($C$1,$C$2,$C$3,$C$4,$C$6,$C$5,$C$7,AS$1,AS$2,$A287)</f>
        <v>7.3447573999999946E-2</v>
      </c>
      <c r="AT287" s="33">
        <f ca="1">_xll.DBRW($C$1,$C$2,$C$3,$C$4,$C$6,$C$5,$C$7,AT$1,AT$2,$A287)</f>
        <v>7.3447573999999946E-2</v>
      </c>
      <c r="AU287" s="33">
        <f ca="1">_xll.DBRW($C$1,$C$2,$C$3,$C$4,$C$6,$C$5,$C$7,AU$1,AU$2,$A287)</f>
        <v>7.3447573999999946E-2</v>
      </c>
      <c r="AV287" s="33">
        <f ca="1">_xll.DBRW($C$1,$C$2,$C$3,$C$4,$C$6,$C$5,$C$7,AV$1,AV$2,$A287)</f>
        <v>7.3447573999999946E-2</v>
      </c>
      <c r="AW287" s="33">
        <f ca="1">_xll.DBRW($C$1,$C$2,$C$3,$C$4,$C$6,$C$5,$C$7,AW$1,AW$2,$A287)</f>
        <v>7.3447573999999946E-2</v>
      </c>
      <c r="AX287" s="33">
        <f ca="1">_xll.DBRW($C$1,$C$2,$C$3,$C$4,$C$6,$C$5,$C$7,AX$1,AX$2,$A287)</f>
        <v>7.3447573999999946E-2</v>
      </c>
      <c r="AY287" s="33">
        <f ca="1">_xll.DBRW($C$1,$C$2,$C$3,$C$4,$C$6,$C$5,$C$7,AY$1,AY$2,$A287)</f>
        <v>7.3447573999999946E-2</v>
      </c>
    </row>
    <row r="288" spans="1:51" ht="15.5" collapsed="1">
      <c r="C288" s="104"/>
      <c r="E288" s="84" t="s">
        <v>73</v>
      </c>
      <c r="F288" s="39">
        <f t="shared" ref="F288:L288" ca="1" si="202">SUM(F286:F287)</f>
        <v>-63.393824934999977</v>
      </c>
      <c r="G288" s="39">
        <f t="shared" ca="1" si="202"/>
        <v>-84.576195008999989</v>
      </c>
      <c r="H288" s="39">
        <f t="shared" ca="1" si="202"/>
        <v>-72.278731848999982</v>
      </c>
      <c r="I288" s="39">
        <f t="shared" ca="1" si="202"/>
        <v>-47.162354627999967</v>
      </c>
      <c r="J288" s="39">
        <f t="shared" ca="1" si="202"/>
        <v>-53.259448374000002</v>
      </c>
      <c r="K288" s="39">
        <f t="shared" ca="1" si="202"/>
        <v>-50.878733339000021</v>
      </c>
      <c r="L288" s="39">
        <f t="shared" ca="1" si="202"/>
        <v>0</v>
      </c>
      <c r="M288" s="39">
        <f t="shared" ref="M288:X288" ca="1" si="203">SUM(M286:M287)</f>
        <v>-1.309232264</v>
      </c>
      <c r="N288" s="39">
        <f t="shared" ca="1" si="203"/>
        <v>-13.153794555999999</v>
      </c>
      <c r="O288" s="39">
        <f t="shared" ca="1" si="203"/>
        <v>-16.593036022999996</v>
      </c>
      <c r="P288" s="39">
        <f t="shared" ca="1" si="203"/>
        <v>-25.775569548999997</v>
      </c>
      <c r="Q288" s="39">
        <f t="shared" ca="1" si="203"/>
        <v>-34.213307350000001</v>
      </c>
      <c r="R288" s="39">
        <f t="shared" ca="1" si="203"/>
        <v>-37.069562048000002</v>
      </c>
      <c r="S288" s="39">
        <f t="shared" ca="1" si="203"/>
        <v>-17.172004951000002</v>
      </c>
      <c r="T288" s="39">
        <f t="shared" ca="1" si="203"/>
        <v>-60.92356226199999</v>
      </c>
      <c r="U288" s="39">
        <f t="shared" ca="1" si="203"/>
        <v>-73.416849267999993</v>
      </c>
      <c r="V288" s="39">
        <f t="shared" ca="1" si="203"/>
        <v>-0.96334601099999739</v>
      </c>
      <c r="W288" s="39">
        <f t="shared" ca="1" si="203"/>
        <v>-51.288061318999993</v>
      </c>
      <c r="X288" s="39">
        <f t="shared" ca="1" si="203"/>
        <v>-64.076141149999984</v>
      </c>
      <c r="Y288" s="39">
        <f ca="1">SUM(Y286:Y287)</f>
        <v>-64.076141149999984</v>
      </c>
      <c r="Z288" s="39">
        <f t="shared" ref="Z288:AK288" ca="1" si="204">SUM(Z286:Z287)</f>
        <v>0</v>
      </c>
      <c r="AA288" s="39">
        <f t="shared" ca="1" si="204"/>
        <v>0</v>
      </c>
      <c r="AB288" s="39">
        <f t="shared" ca="1" si="204"/>
        <v>0</v>
      </c>
      <c r="AC288" s="39">
        <f t="shared" ca="1" si="204"/>
        <v>0</v>
      </c>
      <c r="AD288" s="39">
        <f t="shared" ca="1" si="204"/>
        <v>0</v>
      </c>
      <c r="AE288" s="39">
        <f t="shared" ca="1" si="204"/>
        <v>0</v>
      </c>
      <c r="AF288" s="39">
        <f t="shared" ca="1" si="204"/>
        <v>0</v>
      </c>
      <c r="AG288" s="39">
        <f t="shared" ca="1" si="204"/>
        <v>0</v>
      </c>
      <c r="AH288" s="39">
        <f t="shared" ca="1" si="204"/>
        <v>0</v>
      </c>
      <c r="AI288" s="39">
        <f t="shared" ca="1" si="204"/>
        <v>0</v>
      </c>
      <c r="AJ288" s="39">
        <f t="shared" ca="1" si="204"/>
        <v>0</v>
      </c>
      <c r="AK288" s="39">
        <f t="shared" ca="1" si="204"/>
        <v>0</v>
      </c>
      <c r="AL288" s="39">
        <f ca="1">SUM(AL286:AL287)</f>
        <v>0</v>
      </c>
      <c r="AM288" s="39">
        <f t="shared" ref="AM288:AX288" ca="1" si="205">SUM(AM286:AM287)</f>
        <v>8.3573220000000125E-3</v>
      </c>
      <c r="AN288" s="39">
        <f t="shared" ca="1" si="205"/>
        <v>-15.078334485999999</v>
      </c>
      <c r="AO288" s="39">
        <f t="shared" ca="1" si="205"/>
        <v>-15.078334485999999</v>
      </c>
      <c r="AP288" s="39">
        <f t="shared" ca="1" si="205"/>
        <v>-15.078334485999999</v>
      </c>
      <c r="AQ288" s="39">
        <f t="shared" ca="1" si="205"/>
        <v>-15.078334485999999</v>
      </c>
      <c r="AR288" s="39">
        <f t="shared" ca="1" si="205"/>
        <v>-15.078334485999999</v>
      </c>
      <c r="AS288" s="39">
        <f t="shared" ca="1" si="205"/>
        <v>-15.078334485999999</v>
      </c>
      <c r="AT288" s="39">
        <f t="shared" ca="1" si="205"/>
        <v>-15.078334485999999</v>
      </c>
      <c r="AU288" s="39">
        <f t="shared" ca="1" si="205"/>
        <v>-15.078334485999999</v>
      </c>
      <c r="AV288" s="39">
        <f t="shared" ca="1" si="205"/>
        <v>-15.078334485999999</v>
      </c>
      <c r="AW288" s="39">
        <f t="shared" ca="1" si="205"/>
        <v>-15.078334485999999</v>
      </c>
      <c r="AX288" s="39">
        <f t="shared" ca="1" si="205"/>
        <v>-15.078334485999999</v>
      </c>
      <c r="AY288" s="39">
        <f ca="1">SUM(AY286:AY287)</f>
        <v>-15.078334485999999</v>
      </c>
    </row>
    <row r="289" spans="1:51" ht="15.75" hidden="1" customHeight="1" outlineLevel="1">
      <c r="A289" s="1" t="s">
        <v>368</v>
      </c>
      <c r="C289" s="104"/>
      <c r="E289" s="9" t="str">
        <f ca="1">_xll.DBRW(Server&amp;"}ElementAttributes_Indicator",A289,"code_English")</f>
        <v>*KEY_ERR</v>
      </c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</row>
    <row r="290" spans="1:51" ht="15.75" hidden="1" customHeight="1" outlineLevel="1">
      <c r="A290" s="1" t="s">
        <v>369</v>
      </c>
      <c r="C290" s="104"/>
      <c r="E290" s="9" t="str">
        <f ca="1">_xll.DBRW(Server&amp;"}ElementAttributes_Indicator",A290,"code_English")</f>
        <v>*KEY_ERR</v>
      </c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</row>
    <row r="291" spans="1:51" ht="15.5" collapsed="1">
      <c r="C291" s="104"/>
      <c r="E291" s="84" t="s">
        <v>74</v>
      </c>
      <c r="F291" s="39">
        <f>SUM(F289:F290)</f>
        <v>0</v>
      </c>
      <c r="G291" s="39">
        <f t="shared" ref="G291:AY291" si="206">SUM(G289:G290)</f>
        <v>0</v>
      </c>
      <c r="H291" s="39">
        <f t="shared" si="206"/>
        <v>0</v>
      </c>
      <c r="I291" s="39">
        <f t="shared" si="206"/>
        <v>0</v>
      </c>
      <c r="J291" s="39">
        <f t="shared" si="206"/>
        <v>0</v>
      </c>
      <c r="K291" s="39">
        <f t="shared" si="206"/>
        <v>0</v>
      </c>
      <c r="L291" s="39">
        <f t="shared" si="206"/>
        <v>0</v>
      </c>
      <c r="M291" s="39">
        <f t="shared" si="206"/>
        <v>0</v>
      </c>
      <c r="N291" s="39">
        <f t="shared" si="206"/>
        <v>0</v>
      </c>
      <c r="O291" s="39">
        <f t="shared" si="206"/>
        <v>0</v>
      </c>
      <c r="P291" s="39">
        <f t="shared" si="206"/>
        <v>0</v>
      </c>
      <c r="Q291" s="39">
        <f t="shared" si="206"/>
        <v>0</v>
      </c>
      <c r="R291" s="39">
        <f t="shared" si="206"/>
        <v>0</v>
      </c>
      <c r="S291" s="39">
        <f t="shared" si="206"/>
        <v>0</v>
      </c>
      <c r="T291" s="39">
        <f t="shared" si="206"/>
        <v>0</v>
      </c>
      <c r="U291" s="39">
        <f t="shared" si="206"/>
        <v>0</v>
      </c>
      <c r="V291" s="39">
        <f t="shared" si="206"/>
        <v>0</v>
      </c>
      <c r="W291" s="39">
        <f t="shared" si="206"/>
        <v>0</v>
      </c>
      <c r="X291" s="39">
        <f t="shared" si="206"/>
        <v>0</v>
      </c>
      <c r="Y291" s="39">
        <f t="shared" si="206"/>
        <v>0</v>
      </c>
      <c r="Z291" s="39">
        <f t="shared" si="206"/>
        <v>0</v>
      </c>
      <c r="AA291" s="39">
        <f t="shared" si="206"/>
        <v>0</v>
      </c>
      <c r="AB291" s="39">
        <f t="shared" si="206"/>
        <v>0</v>
      </c>
      <c r="AC291" s="39">
        <f t="shared" si="206"/>
        <v>0</v>
      </c>
      <c r="AD291" s="39">
        <f t="shared" si="206"/>
        <v>0</v>
      </c>
      <c r="AE291" s="39">
        <f t="shared" si="206"/>
        <v>0</v>
      </c>
      <c r="AF291" s="39">
        <f t="shared" si="206"/>
        <v>0</v>
      </c>
      <c r="AG291" s="39">
        <f t="shared" si="206"/>
        <v>0</v>
      </c>
      <c r="AH291" s="39">
        <f t="shared" si="206"/>
        <v>0</v>
      </c>
      <c r="AI291" s="39">
        <f t="shared" si="206"/>
        <v>0</v>
      </c>
      <c r="AJ291" s="39">
        <f t="shared" si="206"/>
        <v>0</v>
      </c>
      <c r="AK291" s="39">
        <f t="shared" si="206"/>
        <v>0</v>
      </c>
      <c r="AL291" s="39">
        <f t="shared" si="206"/>
        <v>0</v>
      </c>
      <c r="AM291" s="39">
        <f t="shared" si="206"/>
        <v>0</v>
      </c>
      <c r="AN291" s="39">
        <f t="shared" si="206"/>
        <v>0</v>
      </c>
      <c r="AO291" s="39">
        <f t="shared" si="206"/>
        <v>0</v>
      </c>
      <c r="AP291" s="39">
        <f t="shared" si="206"/>
        <v>0</v>
      </c>
      <c r="AQ291" s="39">
        <f t="shared" si="206"/>
        <v>0</v>
      </c>
      <c r="AR291" s="39">
        <f t="shared" si="206"/>
        <v>0</v>
      </c>
      <c r="AS291" s="39">
        <f t="shared" si="206"/>
        <v>0</v>
      </c>
      <c r="AT291" s="39">
        <f t="shared" si="206"/>
        <v>0</v>
      </c>
      <c r="AU291" s="39">
        <f t="shared" si="206"/>
        <v>0</v>
      </c>
      <c r="AV291" s="39">
        <f t="shared" si="206"/>
        <v>0</v>
      </c>
      <c r="AW291" s="39">
        <f t="shared" si="206"/>
        <v>0</v>
      </c>
      <c r="AX291" s="39">
        <f t="shared" si="206"/>
        <v>0</v>
      </c>
      <c r="AY291" s="39">
        <f t="shared" si="206"/>
        <v>0</v>
      </c>
    </row>
    <row r="292" spans="1:51" ht="15.75" hidden="1" customHeight="1" outlineLevel="1">
      <c r="A292" s="1" t="s">
        <v>345</v>
      </c>
      <c r="C292" s="104"/>
      <c r="E292" s="9" t="str">
        <f ca="1">_xll.DBRW(Server&amp;"}ElementAttributes_Indicator",A292,"code_English")</f>
        <v>CAPEX_Other - Gross industrial CAPEX - Other</v>
      </c>
      <c r="F292" s="33">
        <f ca="1">_xll.DBRW($C$1,$C$2,$C$3,$C$4,$C$6,$C$5,$C$7,F$1,F$2,$A292)</f>
        <v>-6.156302889999882</v>
      </c>
      <c r="G292" s="33">
        <f ca="1">_xll.DBRW($C$1,$C$2,$C$3,$C$4,$C$6,$C$5,$C$7,G$1,G$2,$A292)</f>
        <v>-29.283995203999993</v>
      </c>
      <c r="H292" s="33">
        <f ca="1">_xll.DBRW($C$1,$C$2,$C$3,$C$4,$C$6,$C$5,$C$7,H$1,H$2,$A292)</f>
        <v>-131.05515328700005</v>
      </c>
      <c r="I292" s="33">
        <f ca="1">_xll.DBRW($C$1,$C$2,$C$3,$C$4,$C$6,$C$5,$C$7,I$1,I$2,$A292)</f>
        <v>-113.33431505999994</v>
      </c>
      <c r="J292" s="33">
        <f ca="1">_xll.DBRW($C$1,$C$2,$C$3,$C$4,$C$6,$C$5,$C$7,J$1,J$2,$A292)</f>
        <v>-79.671257376000028</v>
      </c>
      <c r="K292" s="33">
        <f ca="1">_xll.DBRW($C$1,$C$2,$C$3,$C$4,$C$6,$C$5,$C$7,K$1,K$2,$A292)</f>
        <v>-52.096828703999975</v>
      </c>
      <c r="L292" s="33">
        <f ca="1">_xll.DBRW($C$1,$C$2,$C$3,$C$4,$C$6,$C$5,$C$7,L$1,L$2,$A292)</f>
        <v>0</v>
      </c>
      <c r="M292" s="33">
        <f ca="1">_xll.DBRW($C$1,$C$2,$C$3,$C$4,$C$6,$C$5,$C$7,M$1,M$2,$A292)</f>
        <v>-21.241191670999999</v>
      </c>
      <c r="N292" s="33">
        <f ca="1">_xll.DBRW($C$1,$C$2,$C$3,$C$4,$C$6,$C$5,$C$7,N$1,N$2,$A292)</f>
        <v>-52.10257682200001</v>
      </c>
      <c r="O292" s="33">
        <f ca="1">_xll.DBRW($C$1,$C$2,$C$3,$C$4,$C$6,$C$5,$C$7,O$1,O$2,$A292)</f>
        <v>-60.617859386000013</v>
      </c>
      <c r="P292" s="33">
        <f ca="1">_xll.DBRW($C$1,$C$2,$C$3,$C$4,$C$6,$C$5,$C$7,P$1,P$2,$A292)</f>
        <v>-66.512509383000008</v>
      </c>
      <c r="Q292" s="33">
        <f ca="1">_xll.DBRW($C$1,$C$2,$C$3,$C$4,$C$6,$C$5,$C$7,Q$1,Q$2,$A292)</f>
        <v>-61.982009457000011</v>
      </c>
      <c r="R292" s="33">
        <f ca="1">_xll.DBRW($C$1,$C$2,$C$3,$C$4,$C$6,$C$5,$C$7,R$1,R$2,$A292)</f>
        <v>-62.221215395000023</v>
      </c>
      <c r="S292" s="33">
        <f ca="1">_xll.DBRW($C$1,$C$2,$C$3,$C$4,$C$6,$C$5,$C$7,S$1,S$2,$A292)</f>
        <v>-36.179110524000016</v>
      </c>
      <c r="T292" s="33">
        <f ca="1">_xll.DBRW($C$1,$C$2,$C$3,$C$4,$C$6,$C$5,$C$7,T$1,T$2,$A292)</f>
        <v>-50.835321128000011</v>
      </c>
      <c r="U292" s="33">
        <f ca="1">_xll.DBRW($C$1,$C$2,$C$3,$C$4,$C$6,$C$5,$C$7,U$1,U$2,$A292)</f>
        <v>-53.031280579000011</v>
      </c>
      <c r="V292" s="33">
        <f ca="1">_xll.DBRW($C$1,$C$2,$C$3,$C$4,$C$6,$C$5,$C$7,V$1,V$2,$A292)</f>
        <v>-10.965460618000026</v>
      </c>
      <c r="W292" s="33">
        <f ca="1">_xll.DBRW($C$1,$C$2,$C$3,$C$4,$C$6,$C$5,$C$7,W$1,W$2,$A292)</f>
        <v>-67.360046391999987</v>
      </c>
      <c r="X292" s="33">
        <f ca="1">_xll.DBRW($C$1,$C$2,$C$3,$C$4,$C$6,$C$5,$C$7,X$1,X$2,$A292)</f>
        <v>-74.250741088999987</v>
      </c>
      <c r="Y292" s="33">
        <f ca="1">_xll.DBRW($C$1,$C$2,$C$3,$C$4,$C$6,$C$5,$C$7,Y$1,Y$2,$A292)</f>
        <v>-74.250741088999987</v>
      </c>
      <c r="Z292" s="33">
        <f ca="1">_xll.DBRW($C$1,$C$2,$C$3,$C$4,$C$6,$C$5,$C$7,Z$1,Z$2,$A292)</f>
        <v>0</v>
      </c>
      <c r="AA292" s="33">
        <f ca="1">_xll.DBRW($C$1,$C$2,$C$3,$C$4,$C$6,$C$5,$C$7,AA$1,AA$2,$A292)</f>
        <v>0</v>
      </c>
      <c r="AB292" s="33">
        <f ca="1">_xll.DBRW($C$1,$C$2,$C$3,$C$4,$C$6,$C$5,$C$7,AB$1,AB$2,$A292)</f>
        <v>0</v>
      </c>
      <c r="AC292" s="33">
        <f ca="1">_xll.DBRW($C$1,$C$2,$C$3,$C$4,$C$6,$C$5,$C$7,AC$1,AC$2,$A292)</f>
        <v>0</v>
      </c>
      <c r="AD292" s="33">
        <f ca="1">_xll.DBRW($C$1,$C$2,$C$3,$C$4,$C$6,$C$5,$C$7,AD$1,AD$2,$A292)</f>
        <v>0</v>
      </c>
      <c r="AE292" s="33">
        <f ca="1">_xll.DBRW($C$1,$C$2,$C$3,$C$4,$C$6,$C$5,$C$7,AE$1,AE$2,$A292)</f>
        <v>0</v>
      </c>
      <c r="AF292" s="33">
        <f ca="1">_xll.DBRW($C$1,$C$2,$C$3,$C$4,$C$6,$C$5,$C$7,AF$1,AF$2,$A292)</f>
        <v>0</v>
      </c>
      <c r="AG292" s="33">
        <f ca="1">_xll.DBRW($C$1,$C$2,$C$3,$C$4,$C$6,$C$5,$C$7,AG$1,AG$2,$A292)</f>
        <v>0</v>
      </c>
      <c r="AH292" s="33">
        <f ca="1">_xll.DBRW($C$1,$C$2,$C$3,$C$4,$C$6,$C$5,$C$7,AH$1,AH$2,$A292)</f>
        <v>0</v>
      </c>
      <c r="AI292" s="33">
        <f ca="1">_xll.DBRW($C$1,$C$2,$C$3,$C$4,$C$6,$C$5,$C$7,AI$1,AI$2,$A292)</f>
        <v>0</v>
      </c>
      <c r="AJ292" s="33">
        <f ca="1">_xll.DBRW($C$1,$C$2,$C$3,$C$4,$C$6,$C$5,$C$7,AJ$1,AJ$2,$A292)</f>
        <v>0</v>
      </c>
      <c r="AK292" s="33">
        <f ca="1">_xll.DBRW($C$1,$C$2,$C$3,$C$4,$C$6,$C$5,$C$7,AK$1,AK$2,$A292)</f>
        <v>0</v>
      </c>
      <c r="AL292" s="33">
        <f ca="1">_xll.DBRW($C$1,$C$2,$C$3,$C$4,$C$6,$C$5,$C$7,AL$1,AL$2,$A292)</f>
        <v>0</v>
      </c>
      <c r="AM292" s="33">
        <f ca="1">_xll.DBRW($C$1,$C$2,$C$3,$C$4,$C$6,$C$5,$C$7,AM$1,AM$2,$A292)</f>
        <v>-3.2500695999999996E-2</v>
      </c>
      <c r="AN292" s="33">
        <f ca="1">_xll.DBRW($C$1,$C$2,$C$3,$C$4,$C$6,$C$5,$C$7,AN$1,AN$2,$A292)</f>
        <v>-52.224257864000023</v>
      </c>
      <c r="AO292" s="33">
        <f ca="1">_xll.DBRW($C$1,$C$2,$C$3,$C$4,$C$6,$C$5,$C$7,AO$1,AO$2,$A292)</f>
        <v>-52.224257864000023</v>
      </c>
      <c r="AP292" s="33">
        <f ca="1">_xll.DBRW($C$1,$C$2,$C$3,$C$4,$C$6,$C$5,$C$7,AP$1,AP$2,$A292)</f>
        <v>-52.224257864000023</v>
      </c>
      <c r="AQ292" s="33">
        <f ca="1">_xll.DBRW($C$1,$C$2,$C$3,$C$4,$C$6,$C$5,$C$7,AQ$1,AQ$2,$A292)</f>
        <v>-52.224257864000023</v>
      </c>
      <c r="AR292" s="33">
        <f ca="1">_xll.DBRW($C$1,$C$2,$C$3,$C$4,$C$6,$C$5,$C$7,AR$1,AR$2,$A292)</f>
        <v>-52.224257864000023</v>
      </c>
      <c r="AS292" s="33">
        <f ca="1">_xll.DBRW($C$1,$C$2,$C$3,$C$4,$C$6,$C$5,$C$7,AS$1,AS$2,$A292)</f>
        <v>-52.224257864000023</v>
      </c>
      <c r="AT292" s="33">
        <f ca="1">_xll.DBRW($C$1,$C$2,$C$3,$C$4,$C$6,$C$5,$C$7,AT$1,AT$2,$A292)</f>
        <v>-52.224257864000023</v>
      </c>
      <c r="AU292" s="33">
        <f ca="1">_xll.DBRW($C$1,$C$2,$C$3,$C$4,$C$6,$C$5,$C$7,AU$1,AU$2,$A292)</f>
        <v>-52.224257864000023</v>
      </c>
      <c r="AV292" s="33">
        <f ca="1">_xll.DBRW($C$1,$C$2,$C$3,$C$4,$C$6,$C$5,$C$7,AV$1,AV$2,$A292)</f>
        <v>-52.224257864000023</v>
      </c>
      <c r="AW292" s="33">
        <f ca="1">_xll.DBRW($C$1,$C$2,$C$3,$C$4,$C$6,$C$5,$C$7,AW$1,AW$2,$A292)</f>
        <v>-52.224257864000023</v>
      </c>
      <c r="AX292" s="33">
        <f ca="1">_xll.DBRW($C$1,$C$2,$C$3,$C$4,$C$6,$C$5,$C$7,AX$1,AX$2,$A292)</f>
        <v>-52.224257864000023</v>
      </c>
      <c r="AY292" s="33">
        <f ca="1">_xll.DBRW($C$1,$C$2,$C$3,$C$4,$C$6,$C$5,$C$7,AY$1,AY$2,$A292)</f>
        <v>-52.224257864000023</v>
      </c>
    </row>
    <row r="293" spans="1:51" ht="15.75" hidden="1" customHeight="1" outlineLevel="1">
      <c r="A293" s="1" t="s">
        <v>346</v>
      </c>
      <c r="C293" s="104"/>
      <c r="E293" s="9" t="str">
        <f ca="1">_xll.DBRW(Server&amp;"}ElementAttributes_Indicator",A293,"code_English")</f>
        <v>DISP_Other - Industrial Disposals - Other</v>
      </c>
      <c r="F293" s="33">
        <f ca="1">_xll.DBRW($C$1,$C$2,$C$3,$C$4,$C$6,$C$5,$C$7,F$1,F$2,$A293)</f>
        <v>6.8266630090000735</v>
      </c>
      <c r="G293" s="33">
        <f ca="1">_xll.DBRW($C$1,$C$2,$C$3,$C$4,$C$6,$C$5,$C$7,G$1,G$2,$A293)</f>
        <v>52.635265385000018</v>
      </c>
      <c r="H293" s="33">
        <f ca="1">_xll.DBRW($C$1,$C$2,$C$3,$C$4,$C$6,$C$5,$C$7,H$1,H$2,$A293)</f>
        <v>60.278325371999998</v>
      </c>
      <c r="I293" s="33">
        <f ca="1">_xll.DBRW($C$1,$C$2,$C$3,$C$4,$C$6,$C$5,$C$7,I$1,I$2,$A293)</f>
        <v>50.024912991999983</v>
      </c>
      <c r="J293" s="33">
        <f ca="1">_xll.DBRW($C$1,$C$2,$C$3,$C$4,$C$6,$C$5,$C$7,J$1,J$2,$A293)</f>
        <v>49.163430661999989</v>
      </c>
      <c r="K293" s="33">
        <f ca="1">_xll.DBRW($C$1,$C$2,$C$3,$C$4,$C$6,$C$5,$C$7,K$1,K$2,$A293)</f>
        <v>80.616487636000016</v>
      </c>
      <c r="L293" s="33">
        <f ca="1">_xll.DBRW($C$1,$C$2,$C$3,$C$4,$C$6,$C$5,$C$7,L$1,L$2,$A293)</f>
        <v>5.409536471000008</v>
      </c>
      <c r="M293" s="33">
        <f ca="1">_xll.DBRW($C$1,$C$2,$C$3,$C$4,$C$6,$C$5,$C$7,M$1,M$2,$A293)</f>
        <v>0.32900000000000001</v>
      </c>
      <c r="N293" s="33">
        <f ca="1">_xll.DBRW($C$1,$C$2,$C$3,$C$4,$C$6,$C$5,$C$7,N$1,N$2,$A293)</f>
        <v>38.250526608999998</v>
      </c>
      <c r="O293" s="33">
        <f ca="1">_xll.DBRW($C$1,$C$2,$C$3,$C$4,$C$6,$C$5,$C$7,O$1,O$2,$A293)</f>
        <v>41.364275737999996</v>
      </c>
      <c r="P293" s="33">
        <f ca="1">_xll.DBRW($C$1,$C$2,$C$3,$C$4,$C$6,$C$5,$C$7,P$1,P$2,$A293)</f>
        <v>44.721645329999994</v>
      </c>
      <c r="Q293" s="33">
        <f ca="1">_xll.DBRW($C$1,$C$2,$C$3,$C$4,$C$6,$C$5,$C$7,Q$1,Q$2,$A293)</f>
        <v>46.542034316999995</v>
      </c>
      <c r="R293" s="33">
        <f ca="1">_xll.DBRW($C$1,$C$2,$C$3,$C$4,$C$6,$C$5,$C$7,R$1,R$2,$A293)</f>
        <v>53.628165202999995</v>
      </c>
      <c r="S293" s="33">
        <f ca="1">_xll.DBRW($C$1,$C$2,$C$3,$C$4,$C$6,$C$5,$C$7,S$1,S$2,$A293)</f>
        <v>0.63170562499998795</v>
      </c>
      <c r="T293" s="33">
        <f ca="1">_xll.DBRW($C$1,$C$2,$C$3,$C$4,$C$6,$C$5,$C$7,T$1,T$2,$A293)</f>
        <v>67.726297703</v>
      </c>
      <c r="U293" s="33">
        <f ca="1">_xll.DBRW($C$1,$C$2,$C$3,$C$4,$C$6,$C$5,$C$7,U$1,U$2,$A293)</f>
        <v>76.834389157000004</v>
      </c>
      <c r="V293" s="33">
        <f ca="1">_xll.DBRW($C$1,$C$2,$C$3,$C$4,$C$6,$C$5,$C$7,V$1,V$2,$A293)</f>
        <v>0.24683437700002031</v>
      </c>
      <c r="W293" s="33">
        <f ca="1">_xll.DBRW($C$1,$C$2,$C$3,$C$4,$C$6,$C$5,$C$7,W$1,W$2,$A293)</f>
        <v>84.593301854000003</v>
      </c>
      <c r="X293" s="33">
        <f ca="1">_xll.DBRW($C$1,$C$2,$C$3,$C$4,$C$6,$C$5,$C$7,X$1,X$2,$A293)</f>
        <v>153.57050451399999</v>
      </c>
      <c r="Y293" s="33">
        <f ca="1">_xll.DBRW($C$1,$C$2,$C$3,$C$4,$C$6,$C$5,$C$7,Y$1,Y$2,$A293)</f>
        <v>153.57050451399999</v>
      </c>
      <c r="Z293" s="33">
        <f ca="1">_xll.DBRW($C$1,$C$2,$C$3,$C$4,$C$6,$C$5,$C$7,Z$1,Z$2,$A293)</f>
        <v>-1.2793691280000008</v>
      </c>
      <c r="AA293" s="33">
        <f ca="1">_xll.DBRW($C$1,$C$2,$C$3,$C$4,$C$6,$C$5,$C$7,AA$1,AA$2,$A293)</f>
        <v>-1.1917382550000009</v>
      </c>
      <c r="AB293" s="33">
        <f ca="1">_xll.DBRW($C$1,$C$2,$C$3,$C$4,$C$6,$C$5,$C$7,AB$1,AB$2,$A293)</f>
        <v>-1.1001073830000008</v>
      </c>
      <c r="AC293" s="33">
        <f ca="1">_xll.DBRW($C$1,$C$2,$C$3,$C$4,$C$6,$C$5,$C$7,AC$1,AC$2,$A293)</f>
        <v>-0.7871695490000008</v>
      </c>
      <c r="AD293" s="33">
        <f ca="1">_xll.DBRW($C$1,$C$2,$C$3,$C$4,$C$6,$C$5,$C$7,AD$1,AD$2,$A293)</f>
        <v>-0.70053867700000083</v>
      </c>
      <c r="AE293" s="33">
        <f ca="1">_xll.DBRW($C$1,$C$2,$C$3,$C$4,$C$6,$C$5,$C$7,AE$1,AE$2,$A293)</f>
        <v>-0.26123666300000081</v>
      </c>
      <c r="AF293" s="33">
        <f ca="1">_xll.DBRW($C$1,$C$2,$C$3,$C$4,$C$6,$C$5,$C$7,AF$1,AF$2,$A293)</f>
        <v>-0.75260579099999869</v>
      </c>
      <c r="AG293" s="33">
        <f ca="1">_xll.DBRW($C$1,$C$2,$C$3,$C$4,$C$6,$C$5,$C$7,AG$1,AG$2,$A293)</f>
        <v>-0.4879749179999987</v>
      </c>
      <c r="AH293" s="33">
        <f ca="1">_xll.DBRW($C$1,$C$2,$C$3,$C$4,$C$6,$C$5,$C$7,AH$1,AH$2,$A293)</f>
        <v>0.37781921900000137</v>
      </c>
      <c r="AI293" s="33">
        <f ca="1">_xll.DBRW($C$1,$C$2,$C$3,$C$4,$C$6,$C$5,$C$7,AI$1,AI$2,$A293)</f>
        <v>0.53145009200000126</v>
      </c>
      <c r="AJ293" s="33">
        <f ca="1">_xll.DBRW($C$1,$C$2,$C$3,$C$4,$C$6,$C$5,$C$7,AJ$1,AJ$2,$A293)</f>
        <v>0.78040982300000128</v>
      </c>
      <c r="AK293" s="33">
        <f ca="1">_xll.DBRW($C$1,$C$2,$C$3,$C$4,$C$6,$C$5,$C$7,AK$1,AK$2,$A293)</f>
        <v>1.3010272730000012</v>
      </c>
      <c r="AL293" s="33">
        <f ca="1">_xll.DBRW($C$1,$C$2,$C$3,$C$4,$C$6,$C$5,$C$7,AL$1,AL$2,$A293)</f>
        <v>1.3010272730000012</v>
      </c>
      <c r="AM293" s="33">
        <f ca="1">_xll.DBRW($C$1,$C$2,$C$3,$C$4,$C$6,$C$5,$C$7,AM$1,AM$2,$A293)</f>
        <v>6.5929983999999997E-2</v>
      </c>
      <c r="AN293" s="33">
        <f ca="1">_xll.DBRW($C$1,$C$2,$C$3,$C$4,$C$6,$C$5,$C$7,AN$1,AN$2,$A293)</f>
        <v>12.112706340999999</v>
      </c>
      <c r="AO293" s="33">
        <f ca="1">_xll.DBRW($C$1,$C$2,$C$3,$C$4,$C$6,$C$5,$C$7,AO$1,AO$2,$A293)</f>
        <v>12.112706340999999</v>
      </c>
      <c r="AP293" s="33">
        <f ca="1">_xll.DBRW($C$1,$C$2,$C$3,$C$4,$C$6,$C$5,$C$7,AP$1,AP$2,$A293)</f>
        <v>12.112706340999999</v>
      </c>
      <c r="AQ293" s="33">
        <f ca="1">_xll.DBRW($C$1,$C$2,$C$3,$C$4,$C$6,$C$5,$C$7,AQ$1,AQ$2,$A293)</f>
        <v>12.112706340999999</v>
      </c>
      <c r="AR293" s="33">
        <f ca="1">_xll.DBRW($C$1,$C$2,$C$3,$C$4,$C$6,$C$5,$C$7,AR$1,AR$2,$A293)</f>
        <v>12.112706340999999</v>
      </c>
      <c r="AS293" s="33">
        <f ca="1">_xll.DBRW($C$1,$C$2,$C$3,$C$4,$C$6,$C$5,$C$7,AS$1,AS$2,$A293)</f>
        <v>12.112706340999999</v>
      </c>
      <c r="AT293" s="33">
        <f ca="1">_xll.DBRW($C$1,$C$2,$C$3,$C$4,$C$6,$C$5,$C$7,AT$1,AT$2,$A293)</f>
        <v>12.112706340999999</v>
      </c>
      <c r="AU293" s="33">
        <f ca="1">_xll.DBRW($C$1,$C$2,$C$3,$C$4,$C$6,$C$5,$C$7,AU$1,AU$2,$A293)</f>
        <v>12.112706340999999</v>
      </c>
      <c r="AV293" s="33">
        <f ca="1">_xll.DBRW($C$1,$C$2,$C$3,$C$4,$C$6,$C$5,$C$7,AV$1,AV$2,$A293)</f>
        <v>12.112706340999999</v>
      </c>
      <c r="AW293" s="33">
        <f ca="1">_xll.DBRW($C$1,$C$2,$C$3,$C$4,$C$6,$C$5,$C$7,AW$1,AW$2,$A293)</f>
        <v>12.112706340999999</v>
      </c>
      <c r="AX293" s="33">
        <f ca="1">_xll.DBRW($C$1,$C$2,$C$3,$C$4,$C$6,$C$5,$C$7,AX$1,AX$2,$A293)</f>
        <v>12.112706340999999</v>
      </c>
      <c r="AY293" s="33">
        <f ca="1">_xll.DBRW($C$1,$C$2,$C$3,$C$4,$C$6,$C$5,$C$7,AY$1,AY$2,$A293)</f>
        <v>12.112706340999999</v>
      </c>
    </row>
    <row r="294" spans="1:51" ht="15.5" collapsed="1">
      <c r="C294" s="104"/>
      <c r="E294" s="87" t="s">
        <v>75</v>
      </c>
      <c r="F294" s="41">
        <f t="shared" ref="F294:L294" ca="1" si="207">SUM(F292:F293)</f>
        <v>0.67036011900019155</v>
      </c>
      <c r="G294" s="41">
        <f t="shared" ca="1" si="207"/>
        <v>23.351270181000025</v>
      </c>
      <c r="H294" s="41">
        <f t="shared" ca="1" si="207"/>
        <v>-70.776827915000055</v>
      </c>
      <c r="I294" s="41">
        <f t="shared" ca="1" si="207"/>
        <v>-63.309402067999955</v>
      </c>
      <c r="J294" s="41">
        <f t="shared" ca="1" si="207"/>
        <v>-30.507826714000039</v>
      </c>
      <c r="K294" s="41">
        <f t="shared" ca="1" si="207"/>
        <v>28.519658932000041</v>
      </c>
      <c r="L294" s="41">
        <f t="shared" ca="1" si="207"/>
        <v>5.409536471000008</v>
      </c>
      <c r="M294" s="41">
        <f t="shared" ref="M294:X294" ca="1" si="208">SUM(M292:M293)</f>
        <v>-20.912191670999999</v>
      </c>
      <c r="N294" s="41">
        <f t="shared" ca="1" si="208"/>
        <v>-13.852050213000012</v>
      </c>
      <c r="O294" s="41">
        <f t="shared" ca="1" si="208"/>
        <v>-19.253583648000017</v>
      </c>
      <c r="P294" s="41">
        <f t="shared" ca="1" si="208"/>
        <v>-21.790864053000014</v>
      </c>
      <c r="Q294" s="41">
        <f t="shared" ca="1" si="208"/>
        <v>-15.439975140000016</v>
      </c>
      <c r="R294" s="41">
        <f t="shared" ca="1" si="208"/>
        <v>-8.5930501920000282</v>
      </c>
      <c r="S294" s="41">
        <f t="shared" ca="1" si="208"/>
        <v>-35.547404899000028</v>
      </c>
      <c r="T294" s="41">
        <f t="shared" ca="1" si="208"/>
        <v>16.890976574999989</v>
      </c>
      <c r="U294" s="41">
        <f t="shared" ca="1" si="208"/>
        <v>23.803108577999993</v>
      </c>
      <c r="V294" s="41">
        <f t="shared" ca="1" si="208"/>
        <v>-10.718626241000006</v>
      </c>
      <c r="W294" s="41">
        <f t="shared" ca="1" si="208"/>
        <v>17.233255462000017</v>
      </c>
      <c r="X294" s="41">
        <f t="shared" ca="1" si="208"/>
        <v>79.319763425000005</v>
      </c>
      <c r="Y294" s="41">
        <f ca="1">SUM(Y292:Y293)</f>
        <v>79.319763425000005</v>
      </c>
      <c r="Z294" s="41">
        <f t="shared" ref="Z294:AK294" ca="1" si="209">SUM(Z292:Z293)</f>
        <v>-1.2793691280000008</v>
      </c>
      <c r="AA294" s="41">
        <f t="shared" ca="1" si="209"/>
        <v>-1.1917382550000009</v>
      </c>
      <c r="AB294" s="41">
        <f t="shared" ca="1" si="209"/>
        <v>-1.1001073830000008</v>
      </c>
      <c r="AC294" s="41">
        <f t="shared" ca="1" si="209"/>
        <v>-0.7871695490000008</v>
      </c>
      <c r="AD294" s="41">
        <f t="shared" ca="1" si="209"/>
        <v>-0.70053867700000083</v>
      </c>
      <c r="AE294" s="41">
        <f t="shared" ca="1" si="209"/>
        <v>-0.26123666300000081</v>
      </c>
      <c r="AF294" s="41">
        <f t="shared" ca="1" si="209"/>
        <v>-0.75260579099999869</v>
      </c>
      <c r="AG294" s="41">
        <f t="shared" ca="1" si="209"/>
        <v>-0.4879749179999987</v>
      </c>
      <c r="AH294" s="41">
        <f t="shared" ca="1" si="209"/>
        <v>0.37781921900000137</v>
      </c>
      <c r="AI294" s="41">
        <f t="shared" ca="1" si="209"/>
        <v>0.53145009200000126</v>
      </c>
      <c r="AJ294" s="41">
        <f t="shared" ca="1" si="209"/>
        <v>0.78040982300000128</v>
      </c>
      <c r="AK294" s="41">
        <f t="shared" ca="1" si="209"/>
        <v>1.3010272730000012</v>
      </c>
      <c r="AL294" s="41">
        <f ca="1">SUM(AL292:AL293)</f>
        <v>1.3010272730000012</v>
      </c>
      <c r="AM294" s="41">
        <f t="shared" ref="AM294:AX294" ca="1" si="210">SUM(AM292:AM293)</f>
        <v>3.3429288000000001E-2</v>
      </c>
      <c r="AN294" s="41">
        <f t="shared" ca="1" si="210"/>
        <v>-40.111551523000024</v>
      </c>
      <c r="AO294" s="41">
        <f t="shared" ca="1" si="210"/>
        <v>-40.111551523000024</v>
      </c>
      <c r="AP294" s="41">
        <f t="shared" ca="1" si="210"/>
        <v>-40.111551523000024</v>
      </c>
      <c r="AQ294" s="41">
        <f t="shared" ca="1" si="210"/>
        <v>-40.111551523000024</v>
      </c>
      <c r="AR294" s="41">
        <f t="shared" ca="1" si="210"/>
        <v>-40.111551523000024</v>
      </c>
      <c r="AS294" s="41">
        <f t="shared" ca="1" si="210"/>
        <v>-40.111551523000024</v>
      </c>
      <c r="AT294" s="41">
        <f t="shared" ca="1" si="210"/>
        <v>-40.111551523000024</v>
      </c>
      <c r="AU294" s="41">
        <f t="shared" ca="1" si="210"/>
        <v>-40.111551523000024</v>
      </c>
      <c r="AV294" s="41">
        <f t="shared" ca="1" si="210"/>
        <v>-40.111551523000024</v>
      </c>
      <c r="AW294" s="41">
        <f t="shared" ca="1" si="210"/>
        <v>-40.111551523000024</v>
      </c>
      <c r="AX294" s="41">
        <f t="shared" ca="1" si="210"/>
        <v>-40.111551523000024</v>
      </c>
      <c r="AY294" s="41">
        <f ca="1">SUM(AY292:AY293)</f>
        <v>-40.111551523000024</v>
      </c>
    </row>
    <row r="295" spans="1:51" ht="15.5">
      <c r="A295" s="1" t="s">
        <v>142</v>
      </c>
      <c r="C295" s="104"/>
      <c r="E295" s="11" t="s">
        <v>76</v>
      </c>
      <c r="F295" s="35">
        <f t="shared" ref="F295:L295" ca="1" si="211">F285+F288+F294</f>
        <v>-253.5355837989998</v>
      </c>
      <c r="G295" s="35">
        <f t="shared" ca="1" si="211"/>
        <v>-193.61015581700002</v>
      </c>
      <c r="H295" s="35">
        <f t="shared" ca="1" si="211"/>
        <v>-279.88020131600007</v>
      </c>
      <c r="I295" s="35">
        <f t="shared" ca="1" si="211"/>
        <v>-276.02027390299986</v>
      </c>
      <c r="J295" s="35">
        <f t="shared" ca="1" si="211"/>
        <v>-257.37132442800004</v>
      </c>
      <c r="K295" s="35">
        <f t="shared" ca="1" si="211"/>
        <v>-169.94091750099989</v>
      </c>
      <c r="L295" s="35">
        <f t="shared" ca="1" si="211"/>
        <v>5.409536471000008</v>
      </c>
      <c r="M295" s="35">
        <f t="shared" ref="M295:X295" ca="1" si="212">M285+M288+M294</f>
        <v>-24.258326069999999</v>
      </c>
      <c r="N295" s="35">
        <f t="shared" ca="1" si="212"/>
        <v>-36.569165119000012</v>
      </c>
      <c r="O295" s="35">
        <f t="shared" ca="1" si="212"/>
        <v>-51.828052117000013</v>
      </c>
      <c r="P295" s="35">
        <f t="shared" ca="1" si="212"/>
        <v>-74.775977838000017</v>
      </c>
      <c r="Q295" s="35">
        <f t="shared" ca="1" si="212"/>
        <v>-84.992239675000022</v>
      </c>
      <c r="R295" s="35">
        <f t="shared" ca="1" si="212"/>
        <v>-107.34942545000004</v>
      </c>
      <c r="S295" s="35">
        <f t="shared" ca="1" si="212"/>
        <v>-68.365325345000016</v>
      </c>
      <c r="T295" s="35">
        <f t="shared" ca="1" si="212"/>
        <v>-170.94266254100003</v>
      </c>
      <c r="U295" s="35">
        <f t="shared" ca="1" si="212"/>
        <v>-217.73292222399999</v>
      </c>
      <c r="V295" s="35">
        <f t="shared" ca="1" si="212"/>
        <v>-26.659793891999982</v>
      </c>
      <c r="W295" s="35">
        <f t="shared" ca="1" si="212"/>
        <v>-253.60204300899997</v>
      </c>
      <c r="X295" s="35">
        <f t="shared" ca="1" si="212"/>
        <v>-208.67196168799995</v>
      </c>
      <c r="Y295" s="35">
        <f ca="1">Y285+Y288+Y294</f>
        <v>-208.67196168799995</v>
      </c>
      <c r="Z295" s="35">
        <f t="shared" ref="Z295:AK295" ca="1" si="213">Z285+Z288+Z294</f>
        <v>-1.2793691280000008</v>
      </c>
      <c r="AA295" s="35">
        <f t="shared" ca="1" si="213"/>
        <v>-1.1917382550000009</v>
      </c>
      <c r="AB295" s="35">
        <f t="shared" ca="1" si="213"/>
        <v>-1.1001073830000008</v>
      </c>
      <c r="AC295" s="35">
        <f t="shared" ca="1" si="213"/>
        <v>-0.7871695490000008</v>
      </c>
      <c r="AD295" s="35">
        <f t="shared" ca="1" si="213"/>
        <v>-0.70053867700000083</v>
      </c>
      <c r="AE295" s="35">
        <f t="shared" ca="1" si="213"/>
        <v>-0.26123666300000081</v>
      </c>
      <c r="AF295" s="35">
        <f t="shared" ca="1" si="213"/>
        <v>-0.75260579099999869</v>
      </c>
      <c r="AG295" s="35">
        <f t="shared" ca="1" si="213"/>
        <v>-0.4879749179999987</v>
      </c>
      <c r="AH295" s="35">
        <f t="shared" ca="1" si="213"/>
        <v>0.37781921900000137</v>
      </c>
      <c r="AI295" s="35">
        <f t="shared" ca="1" si="213"/>
        <v>0.53145009200000126</v>
      </c>
      <c r="AJ295" s="35">
        <f t="shared" ca="1" si="213"/>
        <v>0.78040982300000128</v>
      </c>
      <c r="AK295" s="35">
        <f t="shared" ca="1" si="213"/>
        <v>1.3010272730000012</v>
      </c>
      <c r="AL295" s="35">
        <f ca="1">AL285+AL288+AL294</f>
        <v>1.3010272730000012</v>
      </c>
      <c r="AM295" s="35">
        <f t="shared" ref="AM295:AX295" ca="1" si="214">AM285+AM288+AM294</f>
        <v>4.1786610000000016E-2</v>
      </c>
      <c r="AN295" s="35">
        <f t="shared" ca="1" si="214"/>
        <v>-74.751132956000021</v>
      </c>
      <c r="AO295" s="35">
        <f t="shared" ca="1" si="214"/>
        <v>-74.751132956000021</v>
      </c>
      <c r="AP295" s="35">
        <f t="shared" ca="1" si="214"/>
        <v>-74.751132956000021</v>
      </c>
      <c r="AQ295" s="35">
        <f t="shared" ca="1" si="214"/>
        <v>-74.751132956000021</v>
      </c>
      <c r="AR295" s="35">
        <f t="shared" ca="1" si="214"/>
        <v>-74.751132956000021</v>
      </c>
      <c r="AS295" s="35">
        <f t="shared" ca="1" si="214"/>
        <v>-74.751132956000021</v>
      </c>
      <c r="AT295" s="35">
        <f t="shared" ca="1" si="214"/>
        <v>-74.751132956000021</v>
      </c>
      <c r="AU295" s="35">
        <f t="shared" ca="1" si="214"/>
        <v>-74.751132956000021</v>
      </c>
      <c r="AV295" s="35">
        <f t="shared" ca="1" si="214"/>
        <v>-74.751132956000021</v>
      </c>
      <c r="AW295" s="35">
        <f t="shared" ca="1" si="214"/>
        <v>-74.751132956000021</v>
      </c>
      <c r="AX295" s="35">
        <f t="shared" ca="1" si="214"/>
        <v>-74.751132956000021</v>
      </c>
      <c r="AY295" s="35">
        <f ca="1">AY285+AY288+AY294</f>
        <v>-74.751132956000021</v>
      </c>
    </row>
    <row r="296" spans="1:51" ht="9" customHeight="1">
      <c r="A296" s="1" t="s">
        <v>142</v>
      </c>
      <c r="C296" s="104"/>
      <c r="E296" s="7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</row>
    <row r="297" spans="1:51" ht="15.75" hidden="1" customHeight="1" outlineLevel="1">
      <c r="A297" s="1" t="s">
        <v>142</v>
      </c>
      <c r="C297" s="104"/>
      <c r="E297" s="7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</row>
    <row r="298" spans="1:51" ht="15.75" hidden="1" customHeight="1" outlineLevel="1">
      <c r="A298" s="1" t="s">
        <v>339</v>
      </c>
      <c r="C298" s="104"/>
      <c r="E298" s="84" t="s">
        <v>67</v>
      </c>
      <c r="F298" s="39">
        <f ca="1">_xll.DBRW($C$1,$C$2,$C$3,$C$4,$C$6,$C$5,$C$7,F$1,F$2,$A298)</f>
        <v>77.646987560999889</v>
      </c>
      <c r="G298" s="39">
        <f ca="1">_xll.DBRW($C$1,$C$2,$C$3,$C$4,$C$6,$C$5,$C$7,G$1,G$2,$A298)</f>
        <v>101.83953495799949</v>
      </c>
      <c r="H298" s="39">
        <f ca="1">_xll.DBRW($C$1,$C$2,$C$3,$C$4,$C$6,$C$5,$C$7,H$1,H$2,$A298)</f>
        <v>-62.457009182999926</v>
      </c>
      <c r="I298" s="39">
        <f ca="1">_xll.DBRW($C$1,$C$2,$C$3,$C$4,$C$6,$C$5,$C$7,I$1,I$2,$A298)</f>
        <v>142.30305648099983</v>
      </c>
      <c r="J298" s="39">
        <f ca="1">_xll.DBRW($C$1,$C$2,$C$3,$C$4,$C$6,$C$5,$C$7,J$1,J$2,$A298)</f>
        <v>-55.946365816000053</v>
      </c>
      <c r="K298" s="39">
        <f ca="1">_xll.DBRW($C$1,$C$2,$C$3,$C$4,$C$6,$C$5,$C$7,K$1,K$2,$A298)</f>
        <v>-86.744367429999897</v>
      </c>
      <c r="L298" s="39">
        <f ca="1">_xll.DBRW($C$1,$C$2,$C$3,$C$4,$C$6,$C$5,$C$7,L$1,L$2,$A298)</f>
        <v>70.248708388000011</v>
      </c>
      <c r="M298" s="39">
        <f ca="1">_xll.DBRW($C$1,$C$2,$C$3,$C$4,$C$6,$C$5,$C$7,M$1,M$2,$A298)</f>
        <v>-4.7744563419999704</v>
      </c>
      <c r="N298" s="39">
        <f ca="1">_xll.DBRW($C$1,$C$2,$C$3,$C$4,$C$6,$C$5,$C$7,N$1,N$2,$A298)</f>
        <v>-6.8600602209999559</v>
      </c>
      <c r="O298" s="39">
        <f ca="1">_xll.DBRW($C$1,$C$2,$C$3,$C$4,$C$6,$C$5,$C$7,O$1,O$2,$A298)</f>
        <v>9.9743211270000938</v>
      </c>
      <c r="P298" s="39">
        <f ca="1">_xll.DBRW($C$1,$C$2,$C$3,$C$4,$C$6,$C$5,$C$7,P$1,P$2,$A298)</f>
        <v>13.764996047000023</v>
      </c>
      <c r="Q298" s="39">
        <f ca="1">_xll.DBRW($C$1,$C$2,$C$3,$C$4,$C$6,$C$5,$C$7,Q$1,Q$2,$A298)</f>
        <v>21.518077819000048</v>
      </c>
      <c r="R298" s="39">
        <f ca="1">_xll.DBRW($C$1,$C$2,$C$3,$C$4,$C$6,$C$5,$C$7,R$1,R$2,$A298)</f>
        <v>49.540614857999984</v>
      </c>
      <c r="S298" s="39">
        <f ca="1">_xll.DBRW($C$1,$C$2,$C$3,$C$4,$C$6,$C$5,$C$7,S$1,S$2,$A298)</f>
        <v>22.382496516999794</v>
      </c>
      <c r="T298" s="39">
        <f ca="1">_xll.DBRW($C$1,$C$2,$C$3,$C$4,$C$6,$C$5,$C$7,T$1,T$2,$A298)</f>
        <v>55.091658072999742</v>
      </c>
      <c r="U298" s="39">
        <f ca="1">_xll.DBRW($C$1,$C$2,$C$3,$C$4,$C$6,$C$5,$C$7,U$1,U$2,$A298)</f>
        <v>82.818434621999756</v>
      </c>
      <c r="V298" s="39">
        <f ca="1">_xll.DBRW($C$1,$C$2,$C$3,$C$4,$C$6,$C$5,$C$7,V$1,V$2,$A298)</f>
        <v>38.994662772999909</v>
      </c>
      <c r="W298" s="39">
        <f ca="1">_xll.DBRW($C$1,$C$2,$C$3,$C$4,$C$6,$C$5,$C$7,W$1,W$2,$A298)</f>
        <v>90.345633462999672</v>
      </c>
      <c r="X298" s="39">
        <f ca="1">_xll.DBRW($C$1,$C$2,$C$3,$C$4,$C$6,$C$5,$C$7,X$1,X$2,$A298)</f>
        <v>81.687676030999711</v>
      </c>
      <c r="Y298" s="39">
        <f ca="1">_xll.DBRW($C$1,$C$2,$C$3,$C$4,$C$6,$C$5,$C$7,Y$1,Y$2,$A298)</f>
        <v>81.687676030999754</v>
      </c>
      <c r="Z298" s="39">
        <f ca="1">_xll.DBRW($C$1,$C$2,$C$3,$C$4,$C$6,$C$5,$C$7,Z$1,Z$2,$A298)</f>
        <v>-1.000138533999974</v>
      </c>
      <c r="AA298" s="39">
        <f ca="1">_xll.DBRW($C$1,$C$2,$C$3,$C$4,$C$6,$C$5,$C$7,AA$1,AA$2,$A298)</f>
        <v>-11.55222186799994</v>
      </c>
      <c r="AB298" s="39">
        <f ca="1">_xll.DBRW($C$1,$C$2,$C$3,$C$4,$C$6,$C$5,$C$7,AB$1,AB$2,$A298)</f>
        <v>-0.69049944800001439</v>
      </c>
      <c r="AC298" s="39">
        <f ca="1">_xll.DBRW($C$1,$C$2,$C$3,$C$4,$C$6,$C$5,$C$7,AC$1,AC$2,$A298)</f>
        <v>0.8027063529999463</v>
      </c>
      <c r="AD298" s="39">
        <f ca="1">_xll.DBRW($C$1,$C$2,$C$3,$C$4,$C$6,$C$5,$C$7,AD$1,AD$2,$A298)</f>
        <v>1.2483221330000311</v>
      </c>
      <c r="AE298" s="39">
        <f ca="1">_xll.DBRW($C$1,$C$2,$C$3,$C$4,$C$6,$C$5,$C$7,AE$1,AE$2,$A298)</f>
        <v>19.819209300000004</v>
      </c>
      <c r="AF298" s="39">
        <f ca="1">_xll.DBRW($C$1,$C$2,$C$3,$C$4,$C$6,$C$5,$C$7,AF$1,AF$2,$A298)</f>
        <v>21.792145638000001</v>
      </c>
      <c r="AG298" s="39">
        <f ca="1">_xll.DBRW($C$1,$C$2,$C$3,$C$4,$C$6,$C$5,$C$7,AG$1,AG$2,$A298)</f>
        <v>33.247432246000109</v>
      </c>
      <c r="AH298" s="39">
        <f ca="1">_xll.DBRW($C$1,$C$2,$C$3,$C$4,$C$6,$C$5,$C$7,AH$1,AH$2,$A298)</f>
        <v>56.417457959999972</v>
      </c>
      <c r="AI298" s="39">
        <f ca="1">_xll.DBRW($C$1,$C$2,$C$3,$C$4,$C$6,$C$5,$C$7,AI$1,AI$2,$A298)</f>
        <v>78.846994470000098</v>
      </c>
      <c r="AJ298" s="39">
        <f ca="1">_xll.DBRW($C$1,$C$2,$C$3,$C$4,$C$6,$C$5,$C$7,AJ$1,AJ$2,$A298)</f>
        <v>85.968626659999885</v>
      </c>
      <c r="AK298" s="39">
        <f ca="1">_xll.DBRW($C$1,$C$2,$C$3,$C$4,$C$6,$C$5,$C$7,AK$1,AK$2,$A298)</f>
        <v>96.994037745999805</v>
      </c>
      <c r="AL298" s="39">
        <f ca="1">_xll.DBRW($C$1,$C$2,$C$3,$C$4,$C$6,$C$5,$C$7,AL$1,AL$2,$A298)</f>
        <v>96.994037745999819</v>
      </c>
      <c r="AM298" s="39">
        <f ca="1">_xll.DBRW($C$1,$C$2,$C$3,$C$4,$C$6,$C$5,$C$7,AM$1,AM$2,$A298)</f>
        <v>-2.0911876709999886</v>
      </c>
      <c r="AN298" s="39">
        <f ca="1">_xll.DBRW($C$1,$C$2,$C$3,$C$4,$C$6,$C$5,$C$7,AN$1,AN$2,$A298)</f>
        <v>-11.408983302000038</v>
      </c>
      <c r="AO298" s="39">
        <f ca="1">_xll.DBRW($C$1,$C$2,$C$3,$C$4,$C$6,$C$5,$C$7,AO$1,AO$2,$A298)</f>
        <v>-11.40898330200006</v>
      </c>
      <c r="AP298" s="39">
        <f ca="1">_xll.DBRW($C$1,$C$2,$C$3,$C$4,$C$6,$C$5,$C$7,AP$1,AP$2,$A298)</f>
        <v>-11.40898330200006</v>
      </c>
      <c r="AQ298" s="39">
        <f ca="1">_xll.DBRW($C$1,$C$2,$C$3,$C$4,$C$6,$C$5,$C$7,AQ$1,AQ$2,$A298)</f>
        <v>-11.40898330200006</v>
      </c>
      <c r="AR298" s="39">
        <f ca="1">_xll.DBRW($C$1,$C$2,$C$3,$C$4,$C$6,$C$5,$C$7,AR$1,AR$2,$A298)</f>
        <v>-11.408983302000063</v>
      </c>
      <c r="AS298" s="39">
        <f ca="1">_xll.DBRW($C$1,$C$2,$C$3,$C$4,$C$6,$C$5,$C$7,AS$1,AS$2,$A298)</f>
        <v>-11.408983302000063</v>
      </c>
      <c r="AT298" s="39">
        <f ca="1">_xll.DBRW($C$1,$C$2,$C$3,$C$4,$C$6,$C$5,$C$7,AT$1,AT$2,$A298)</f>
        <v>-11.408983302000063</v>
      </c>
      <c r="AU298" s="39">
        <f ca="1">_xll.DBRW($C$1,$C$2,$C$3,$C$4,$C$6,$C$5,$C$7,AU$1,AU$2,$A298)</f>
        <v>-11.408983302000063</v>
      </c>
      <c r="AV298" s="39">
        <f ca="1">_xll.DBRW($C$1,$C$2,$C$3,$C$4,$C$6,$C$5,$C$7,AV$1,AV$2,$A298)</f>
        <v>-11.408983302000063</v>
      </c>
      <c r="AW298" s="39">
        <f ca="1">_xll.DBRW($C$1,$C$2,$C$3,$C$4,$C$6,$C$5,$C$7,AW$1,AW$2,$A298)</f>
        <v>-11.40898330200006</v>
      </c>
      <c r="AX298" s="39">
        <f ca="1">_xll.DBRW($C$1,$C$2,$C$3,$C$4,$C$6,$C$5,$C$7,AX$1,AX$2,$A298)</f>
        <v>-11.40898330200006</v>
      </c>
      <c r="AY298" s="39">
        <f ca="1">_xll.DBRW($C$1,$C$2,$C$3,$C$4,$C$6,$C$5,$C$7,AY$1,AY$2,$A298)</f>
        <v>-11.408983302000069</v>
      </c>
    </row>
    <row r="299" spans="1:51" ht="15.75" hidden="1" customHeight="1" outlineLevel="1">
      <c r="A299" s="1" t="s">
        <v>347</v>
      </c>
      <c r="C299" s="104"/>
      <c r="E299" s="84" t="s">
        <v>77</v>
      </c>
      <c r="F299" s="39">
        <f ca="1">_xll.DBRW($C$1,$C$2,$C$3,$C$4,$C$6,$C$5,$C$7,F$1,F$2,$A299)</f>
        <v>15.276013132000003</v>
      </c>
      <c r="G299" s="39">
        <f ca="1">_xll.DBRW($C$1,$C$2,$C$3,$C$4,$C$6,$C$5,$C$7,G$1,G$2,$A299)</f>
        <v>11.762623683999999</v>
      </c>
      <c r="H299" s="39">
        <f ca="1">_xll.DBRW($C$1,$C$2,$C$3,$C$4,$C$6,$C$5,$C$7,H$1,H$2,$A299)</f>
        <v>12.313567623999996</v>
      </c>
      <c r="I299" s="39">
        <f ca="1">_xll.DBRW($C$1,$C$2,$C$3,$C$4,$C$6,$C$5,$C$7,I$1,I$2,$A299)</f>
        <v>12.518665641000002</v>
      </c>
      <c r="J299" s="39">
        <f ca="1">_xll.DBRW($C$1,$C$2,$C$3,$C$4,$C$6,$C$5,$C$7,J$1,J$2,$A299)</f>
        <v>11.485690961999996</v>
      </c>
      <c r="K299" s="39">
        <f ca="1">_xll.DBRW($C$1,$C$2,$C$3,$C$4,$C$6,$C$5,$C$7,K$1,K$2,$A299)</f>
        <v>12.319102692</v>
      </c>
      <c r="L299" s="39">
        <f ca="1">_xll.DBRW($C$1,$C$2,$C$3,$C$4,$C$6,$C$5,$C$7,L$1,L$2,$A299)</f>
        <v>8.0546666669999993</v>
      </c>
      <c r="M299" s="39">
        <f ca="1">_xll.DBRW($C$1,$C$2,$C$3,$C$4,$C$6,$C$5,$C$7,M$1,M$2,$A299)</f>
        <v>0</v>
      </c>
      <c r="N299" s="39">
        <f ca="1">_xll.DBRW($C$1,$C$2,$C$3,$C$4,$C$6,$C$5,$C$7,N$1,N$2,$A299)</f>
        <v>2.2061690089999999</v>
      </c>
      <c r="O299" s="39">
        <f ca="1">_xll.DBRW($C$1,$C$2,$C$3,$C$4,$C$6,$C$5,$C$7,O$1,O$2,$A299)</f>
        <v>3.371733721</v>
      </c>
      <c r="P299" s="39">
        <f ca="1">_xll.DBRW($C$1,$C$2,$C$3,$C$4,$C$6,$C$5,$C$7,P$1,P$2,$A299)</f>
        <v>3.8847840840000001</v>
      </c>
      <c r="Q299" s="39">
        <f ca="1">_xll.DBRW($C$1,$C$2,$C$3,$C$4,$C$6,$C$5,$C$7,Q$1,Q$2,$A299)</f>
        <v>5.3320288120000008</v>
      </c>
      <c r="R299" s="39">
        <f ca="1">_xll.DBRW($C$1,$C$2,$C$3,$C$4,$C$6,$C$5,$C$7,R$1,R$2,$A299)</f>
        <v>6.8324757209999998</v>
      </c>
      <c r="S299" s="39">
        <f ca="1">_xll.DBRW($C$1,$C$2,$C$3,$C$4,$C$6,$C$5,$C$7,S$1,S$2,$A299)</f>
        <v>-8.8817841970012523E-16</v>
      </c>
      <c r="T299" s="39">
        <f ca="1">_xll.DBRW($C$1,$C$2,$C$3,$C$4,$C$6,$C$5,$C$7,T$1,T$2,$A299)</f>
        <v>9.1733493589999995</v>
      </c>
      <c r="U299" s="39">
        <f ca="1">_xll.DBRW($C$1,$C$2,$C$3,$C$4,$C$6,$C$5,$C$7,U$1,U$2,$A299)</f>
        <v>10.207201318999999</v>
      </c>
      <c r="V299" s="39">
        <f ca="1">_xll.DBRW($C$1,$C$2,$C$3,$C$4,$C$6,$C$5,$C$7,V$1,V$2,$A299)</f>
        <v>-8.8817841970012523E-16</v>
      </c>
      <c r="W299" s="39">
        <f ca="1">_xll.DBRW($C$1,$C$2,$C$3,$C$4,$C$6,$C$5,$C$7,W$1,W$2,$A299)</f>
        <v>12.396034319999998</v>
      </c>
      <c r="X299" s="39">
        <f ca="1">_xll.DBRW($C$1,$C$2,$C$3,$C$4,$C$6,$C$5,$C$7,X$1,X$2,$A299)</f>
        <v>7.6602983759999992</v>
      </c>
      <c r="Y299" s="39">
        <f ca="1">_xll.DBRW($C$1,$C$2,$C$3,$C$4,$C$6,$C$5,$C$7,Y$1,Y$2,$A299)</f>
        <v>7.6602983759999992</v>
      </c>
      <c r="Z299" s="39">
        <f ca="1">_xll.DBRW($C$1,$C$2,$C$3,$C$4,$C$6,$C$5,$C$7,Z$1,Z$2,$A299)</f>
        <v>0.72471164100000007</v>
      </c>
      <c r="AA299" s="39">
        <f ca="1">_xll.DBRW($C$1,$C$2,$C$3,$C$4,$C$6,$C$5,$C$7,AA$1,AA$2,$A299)</f>
        <v>1.302081</v>
      </c>
      <c r="AB299" s="39">
        <f ca="1">_xll.DBRW($C$1,$C$2,$C$3,$C$4,$C$6,$C$5,$C$7,AB$1,AB$2,$A299)</f>
        <v>1.8797492090000001</v>
      </c>
      <c r="AC299" s="39">
        <f ca="1">_xll.DBRW($C$1,$C$2,$C$3,$C$4,$C$6,$C$5,$C$7,AC$1,AC$2,$A299)</f>
        <v>2.4677776740000001</v>
      </c>
      <c r="AD299" s="39">
        <f ca="1">_xll.DBRW($C$1,$C$2,$C$3,$C$4,$C$6,$C$5,$C$7,AD$1,AD$2,$A299)</f>
        <v>3.0594172640000004</v>
      </c>
      <c r="AE299" s="39">
        <f ca="1">_xll.DBRW($C$1,$C$2,$C$3,$C$4,$C$6,$C$5,$C$7,AE$1,AE$2,$A299)</f>
        <v>3.6086389720000005</v>
      </c>
      <c r="AF299" s="39">
        <f ca="1">_xll.DBRW($C$1,$C$2,$C$3,$C$4,$C$6,$C$5,$C$7,AF$1,AF$2,$A299)</f>
        <v>4.231724678</v>
      </c>
      <c r="AG299" s="39">
        <f ca="1">_xll.DBRW($C$1,$C$2,$C$3,$C$4,$C$6,$C$5,$C$7,AG$1,AG$2,$A299)</f>
        <v>4.7232886680000004</v>
      </c>
      <c r="AH299" s="39">
        <f ca="1">_xll.DBRW($C$1,$C$2,$C$3,$C$4,$C$6,$C$5,$C$7,AH$1,AH$2,$A299)</f>
        <v>5.1108392340000002</v>
      </c>
      <c r="AI299" s="39">
        <f ca="1">_xll.DBRW($C$1,$C$2,$C$3,$C$4,$C$6,$C$5,$C$7,AI$1,AI$2,$A299)</f>
        <v>5.5153311729999999</v>
      </c>
      <c r="AJ299" s="39">
        <f ca="1">_xll.DBRW($C$1,$C$2,$C$3,$C$4,$C$6,$C$5,$C$7,AJ$1,AJ$2,$A299)</f>
        <v>5.9195242610000003</v>
      </c>
      <c r="AK299" s="39">
        <f ca="1">_xll.DBRW($C$1,$C$2,$C$3,$C$4,$C$6,$C$5,$C$7,AK$1,AK$2,$A299)</f>
        <v>6.3188533509999996</v>
      </c>
      <c r="AL299" s="39">
        <f ca="1">_xll.DBRW($C$1,$C$2,$C$3,$C$4,$C$6,$C$5,$C$7,AL$1,AL$2,$A299)</f>
        <v>6.3188533509999996</v>
      </c>
      <c r="AM299" s="39">
        <f ca="1">_xll.DBRW($C$1,$C$2,$C$3,$C$4,$C$6,$C$5,$C$7,AM$1,AM$2,$A299)</f>
        <v>-2.7755575615628914E-17</v>
      </c>
      <c r="AN299" s="39">
        <f ca="1">_xll.DBRW($C$1,$C$2,$C$3,$C$4,$C$6,$C$5,$C$7,AN$1,AN$2,$A299)</f>
        <v>0.96978089799999989</v>
      </c>
      <c r="AO299" s="39">
        <f ca="1">_xll.DBRW($C$1,$C$2,$C$3,$C$4,$C$6,$C$5,$C$7,AO$1,AO$2,$A299)</f>
        <v>0.96978089799999978</v>
      </c>
      <c r="AP299" s="39">
        <f ca="1">_xll.DBRW($C$1,$C$2,$C$3,$C$4,$C$6,$C$5,$C$7,AP$1,AP$2,$A299)</f>
        <v>0.96978089799999978</v>
      </c>
      <c r="AQ299" s="39">
        <f ca="1">_xll.DBRW($C$1,$C$2,$C$3,$C$4,$C$6,$C$5,$C$7,AQ$1,AQ$2,$A299)</f>
        <v>0.96978089799999978</v>
      </c>
      <c r="AR299" s="39">
        <f ca="1">_xll.DBRW($C$1,$C$2,$C$3,$C$4,$C$6,$C$5,$C$7,AR$1,AR$2,$A299)</f>
        <v>0.96978089799999978</v>
      </c>
      <c r="AS299" s="39">
        <f ca="1">_xll.DBRW($C$1,$C$2,$C$3,$C$4,$C$6,$C$5,$C$7,AS$1,AS$2,$A299)</f>
        <v>0.96978089799999978</v>
      </c>
      <c r="AT299" s="39">
        <f ca="1">_xll.DBRW($C$1,$C$2,$C$3,$C$4,$C$6,$C$5,$C$7,AT$1,AT$2,$A299)</f>
        <v>0.96978089799999978</v>
      </c>
      <c r="AU299" s="39">
        <f ca="1">_xll.DBRW($C$1,$C$2,$C$3,$C$4,$C$6,$C$5,$C$7,AU$1,AU$2,$A299)</f>
        <v>0.96978089799999978</v>
      </c>
      <c r="AV299" s="39">
        <f ca="1">_xll.DBRW($C$1,$C$2,$C$3,$C$4,$C$6,$C$5,$C$7,AV$1,AV$2,$A299)</f>
        <v>0.96978089799999978</v>
      </c>
      <c r="AW299" s="39">
        <f ca="1">_xll.DBRW($C$1,$C$2,$C$3,$C$4,$C$6,$C$5,$C$7,AW$1,AW$2,$A299)</f>
        <v>0.96978089799999978</v>
      </c>
      <c r="AX299" s="39">
        <f ca="1">_xll.DBRW($C$1,$C$2,$C$3,$C$4,$C$6,$C$5,$C$7,AX$1,AX$2,$A299)</f>
        <v>0.96978089799999978</v>
      </c>
      <c r="AY299" s="39">
        <f ca="1">_xll.DBRW($C$1,$C$2,$C$3,$C$4,$C$6,$C$5,$C$7,AY$1,AY$2,$A299)</f>
        <v>0.96978089799999978</v>
      </c>
    </row>
    <row r="300" spans="1:51" ht="15.75" hidden="1" customHeight="1" outlineLevel="1">
      <c r="A300" s="1" t="s">
        <v>142</v>
      </c>
      <c r="C300" s="104"/>
      <c r="E300" s="15" t="s">
        <v>78</v>
      </c>
      <c r="F300" s="39">
        <f ca="1">(-F25+F299)*0.8%</f>
        <v>-53.234549605456017</v>
      </c>
      <c r="G300" s="39">
        <f t="shared" ref="G300:AY300" ca="1" si="215">(-G25+G299)*0.8%</f>
        <v>-53.051162312575975</v>
      </c>
      <c r="H300" s="39">
        <f t="shared" ca="1" si="215"/>
        <v>-55.485198851359996</v>
      </c>
      <c r="I300" s="39">
        <f t="shared" ca="1" si="215"/>
        <v>-59.223995554943983</v>
      </c>
      <c r="J300" s="39">
        <f t="shared" ca="1" si="215"/>
        <v>-53.953279498023981</v>
      </c>
      <c r="K300" s="39">
        <f t="shared" ca="1" si="215"/>
        <v>-55.988651624127975</v>
      </c>
      <c r="L300" s="39">
        <f t="shared" ca="1" si="215"/>
        <v>-56.588707059120019</v>
      </c>
      <c r="M300" s="39">
        <f t="shared" ca="1" si="215"/>
        <v>-1.2957581537039999</v>
      </c>
      <c r="N300" s="39">
        <f t="shared" ca="1" si="215"/>
        <v>-9.3362000510160001</v>
      </c>
      <c r="O300" s="39">
        <f t="shared" ca="1" si="215"/>
        <v>-14.450519649576</v>
      </c>
      <c r="P300" s="39">
        <f t="shared" ca="1" si="215"/>
        <v>-19.319776811415998</v>
      </c>
      <c r="Q300" s="39">
        <f t="shared" ca="1" si="215"/>
        <v>-24.529834931871999</v>
      </c>
      <c r="R300" s="39">
        <f t="shared" ca="1" si="215"/>
        <v>-29.895321081272005</v>
      </c>
      <c r="S300" s="39">
        <f t="shared" ca="1" si="215"/>
        <v>-12.88245320424801</v>
      </c>
      <c r="T300" s="39">
        <f t="shared" ca="1" si="215"/>
        <v>-39.621982522544016</v>
      </c>
      <c r="U300" s="39">
        <f t="shared" ca="1" si="215"/>
        <v>-45.061602963984022</v>
      </c>
      <c r="V300" s="39">
        <f t="shared" ca="1" si="215"/>
        <v>-8.4459259149680257</v>
      </c>
      <c r="W300" s="39">
        <f t="shared" ca="1" si="215"/>
        <v>-55.822930481288033</v>
      </c>
      <c r="X300" s="39">
        <f t="shared" ca="1" si="215"/>
        <v>-61.596430824768035</v>
      </c>
      <c r="Y300" s="39">
        <f t="shared" ca="1" si="215"/>
        <v>-61.596430824768035</v>
      </c>
      <c r="Z300" s="39">
        <f t="shared" ca="1" si="215"/>
        <v>-5.5732935416080016</v>
      </c>
      <c r="AA300" s="39">
        <f t="shared" ca="1" si="215"/>
        <v>-10.856507866632001</v>
      </c>
      <c r="AB300" s="39">
        <f t="shared" ca="1" si="215"/>
        <v>-16.629657192504002</v>
      </c>
      <c r="AC300" s="39">
        <f t="shared" ca="1" si="215"/>
        <v>-22.082056329559997</v>
      </c>
      <c r="AD300" s="39">
        <f t="shared" ca="1" si="215"/>
        <v>-28.745578654823998</v>
      </c>
      <c r="AE300" s="39">
        <f t="shared" ca="1" si="215"/>
        <v>-35.510240957279997</v>
      </c>
      <c r="AF300" s="39">
        <f t="shared" ca="1" si="215"/>
        <v>-41.872723449551998</v>
      </c>
      <c r="AG300" s="39">
        <f t="shared" ca="1" si="215"/>
        <v>-48.177286560264008</v>
      </c>
      <c r="AH300" s="39">
        <f t="shared" ca="1" si="215"/>
        <v>-54.800307860960011</v>
      </c>
      <c r="AI300" s="39">
        <f t="shared" ca="1" si="215"/>
        <v>-61.454319452064006</v>
      </c>
      <c r="AJ300" s="39">
        <f t="shared" ca="1" si="215"/>
        <v>-68.025633841680019</v>
      </c>
      <c r="AK300" s="39">
        <f t="shared" ca="1" si="215"/>
        <v>-74.640349411264026</v>
      </c>
      <c r="AL300" s="39">
        <f t="shared" ca="1" si="215"/>
        <v>-74.640349411264026</v>
      </c>
      <c r="AM300" s="39">
        <f t="shared" ca="1" si="215"/>
        <v>-0.78128702758400048</v>
      </c>
      <c r="AN300" s="39">
        <f t="shared" ca="1" si="215"/>
        <v>-10.582816157863999</v>
      </c>
      <c r="AO300" s="39">
        <f t="shared" ca="1" si="215"/>
        <v>-10.582816157864</v>
      </c>
      <c r="AP300" s="39">
        <f t="shared" ca="1" si="215"/>
        <v>-10.582816157864</v>
      </c>
      <c r="AQ300" s="39">
        <f t="shared" ca="1" si="215"/>
        <v>-10.582816157864</v>
      </c>
      <c r="AR300" s="39">
        <f t="shared" ca="1" si="215"/>
        <v>-10.582816157864</v>
      </c>
      <c r="AS300" s="39">
        <f t="shared" ca="1" si="215"/>
        <v>-10.582816157864</v>
      </c>
      <c r="AT300" s="39">
        <f t="shared" ca="1" si="215"/>
        <v>-10.582816157864</v>
      </c>
      <c r="AU300" s="39">
        <f t="shared" ca="1" si="215"/>
        <v>-10.582816157864</v>
      </c>
      <c r="AV300" s="39">
        <f t="shared" ca="1" si="215"/>
        <v>-10.582816157864</v>
      </c>
      <c r="AW300" s="39">
        <f t="shared" ca="1" si="215"/>
        <v>-10.582816157864</v>
      </c>
      <c r="AX300" s="39">
        <f t="shared" ca="1" si="215"/>
        <v>-10.582816157864</v>
      </c>
      <c r="AY300" s="39">
        <f t="shared" ca="1" si="215"/>
        <v>-10.582816157864</v>
      </c>
    </row>
    <row r="301" spans="1:51" ht="15.75" hidden="1" customHeight="1" outlineLevel="1">
      <c r="A301" s="1" t="s">
        <v>142</v>
      </c>
      <c r="C301" s="104"/>
      <c r="E301" s="15" t="s">
        <v>79</v>
      </c>
      <c r="F301" s="39">
        <f ca="1">F298-F299+F300</f>
        <v>9.1364248235438694</v>
      </c>
      <c r="G301" s="39">
        <f t="shared" ref="G301:AY301" ca="1" si="216">G298-G299+G300</f>
        <v>37.02574896142351</v>
      </c>
      <c r="H301" s="39">
        <f t="shared" ca="1" si="216"/>
        <v>-130.25577565835994</v>
      </c>
      <c r="I301" s="39">
        <f t="shared" ca="1" si="216"/>
        <v>70.560395285055833</v>
      </c>
      <c r="J301" s="39">
        <f t="shared" ca="1" si="216"/>
        <v>-121.38533627602402</v>
      </c>
      <c r="K301" s="39">
        <f t="shared" ca="1" si="216"/>
        <v>-155.05212174612788</v>
      </c>
      <c r="L301" s="39">
        <f t="shared" ca="1" si="216"/>
        <v>5.6053346618799935</v>
      </c>
      <c r="M301" s="39">
        <f t="shared" ca="1" si="216"/>
        <v>-6.0702144957039703</v>
      </c>
      <c r="N301" s="39">
        <f t="shared" ca="1" si="216"/>
        <v>-18.402429281015955</v>
      </c>
      <c r="O301" s="39">
        <f t="shared" ca="1" si="216"/>
        <v>-7.8479322435759062</v>
      </c>
      <c r="P301" s="39">
        <f t="shared" ca="1" si="216"/>
        <v>-9.4395648484159747</v>
      </c>
      <c r="Q301" s="39">
        <f t="shared" ca="1" si="216"/>
        <v>-8.3437859248719519</v>
      </c>
      <c r="R301" s="39">
        <f t="shared" ca="1" si="216"/>
        <v>12.812818055727977</v>
      </c>
      <c r="S301" s="39">
        <f t="shared" ca="1" si="216"/>
        <v>9.5000433127517834</v>
      </c>
      <c r="T301" s="39">
        <f t="shared" ca="1" si="216"/>
        <v>6.2963261914557265</v>
      </c>
      <c r="U301" s="39">
        <f t="shared" ca="1" si="216"/>
        <v>27.549630339015728</v>
      </c>
      <c r="V301" s="39">
        <f t="shared" ca="1" si="216"/>
        <v>30.548736858031884</v>
      </c>
      <c r="W301" s="39">
        <f t="shared" ca="1" si="216"/>
        <v>22.126668661711641</v>
      </c>
      <c r="X301" s="39">
        <f t="shared" ca="1" si="216"/>
        <v>12.430946830231676</v>
      </c>
      <c r="Y301" s="39">
        <f t="shared" ca="1" si="216"/>
        <v>12.430946830231719</v>
      </c>
      <c r="Z301" s="39">
        <f t="shared" ca="1" si="216"/>
        <v>-7.2981437166079761</v>
      </c>
      <c r="AA301" s="39">
        <f t="shared" ca="1" si="216"/>
        <v>-23.710810734631941</v>
      </c>
      <c r="AB301" s="39">
        <f t="shared" ca="1" si="216"/>
        <v>-19.199905849504017</v>
      </c>
      <c r="AC301" s="39">
        <f t="shared" ca="1" si="216"/>
        <v>-23.747127650560049</v>
      </c>
      <c r="AD301" s="39">
        <f t="shared" ca="1" si="216"/>
        <v>-30.556673785823968</v>
      </c>
      <c r="AE301" s="39">
        <f t="shared" ca="1" si="216"/>
        <v>-19.299670629279994</v>
      </c>
      <c r="AF301" s="39">
        <f t="shared" ca="1" si="216"/>
        <v>-24.312302489551996</v>
      </c>
      <c r="AG301" s="39">
        <f t="shared" ca="1" si="216"/>
        <v>-19.653142982263901</v>
      </c>
      <c r="AH301" s="39">
        <f t="shared" ca="1" si="216"/>
        <v>-3.493689134960043</v>
      </c>
      <c r="AI301" s="39">
        <f t="shared" ca="1" si="216"/>
        <v>11.877343844936085</v>
      </c>
      <c r="AJ301" s="39">
        <f t="shared" ca="1" si="216"/>
        <v>12.023468557319859</v>
      </c>
      <c r="AK301" s="39">
        <f t="shared" ca="1" si="216"/>
        <v>16.034834983735777</v>
      </c>
      <c r="AL301" s="39">
        <f t="shared" ca="1" si="216"/>
        <v>16.034834983735792</v>
      </c>
      <c r="AM301" s="39">
        <f t="shared" ca="1" si="216"/>
        <v>-2.8724746985839893</v>
      </c>
      <c r="AN301" s="39">
        <f t="shared" ca="1" si="216"/>
        <v>-22.961580357864037</v>
      </c>
      <c r="AO301" s="39">
        <f t="shared" ca="1" si="216"/>
        <v>-22.961580357864058</v>
      </c>
      <c r="AP301" s="39">
        <f t="shared" ca="1" si="216"/>
        <v>-22.961580357864058</v>
      </c>
      <c r="AQ301" s="39">
        <f t="shared" ca="1" si="216"/>
        <v>-22.961580357864058</v>
      </c>
      <c r="AR301" s="39">
        <f t="shared" ca="1" si="216"/>
        <v>-22.961580357864065</v>
      </c>
      <c r="AS301" s="39">
        <f t="shared" ca="1" si="216"/>
        <v>-22.961580357864065</v>
      </c>
      <c r="AT301" s="39">
        <f t="shared" ca="1" si="216"/>
        <v>-22.961580357864065</v>
      </c>
      <c r="AU301" s="39">
        <f t="shared" ca="1" si="216"/>
        <v>-22.961580357864065</v>
      </c>
      <c r="AV301" s="39">
        <f t="shared" ca="1" si="216"/>
        <v>-22.961580357864065</v>
      </c>
      <c r="AW301" s="39">
        <f t="shared" ca="1" si="216"/>
        <v>-22.961580357864058</v>
      </c>
      <c r="AX301" s="39">
        <f t="shared" ca="1" si="216"/>
        <v>-22.961580357864058</v>
      </c>
      <c r="AY301" s="39">
        <f t="shared" ca="1" si="216"/>
        <v>-22.961580357864069</v>
      </c>
    </row>
    <row r="302" spans="1:51" ht="15.5" collapsed="1">
      <c r="A302" s="1" t="s">
        <v>348</v>
      </c>
      <c r="C302" s="104"/>
      <c r="E302" s="88" t="s">
        <v>80</v>
      </c>
      <c r="F302" s="40">
        <f ca="1">_xll.DBRW($C$1,$C$2,$C$3,$C$4,$C$6,$C$5,$C$7,F$1,F$2,$A302)</f>
        <v>0</v>
      </c>
      <c r="G302" s="40">
        <f ca="1">_xll.DBRW($C$1,$C$2,$C$3,$C$4,$C$6,$C$5,$C$7,G$1,G$2,$A302)</f>
        <v>0</v>
      </c>
      <c r="H302" s="40">
        <f ca="1">_xll.DBRW($C$1,$C$2,$C$3,$C$4,$C$6,$C$5,$C$7,H$1,H$2,$A302)</f>
        <v>0</v>
      </c>
      <c r="I302" s="40">
        <f ca="1">_xll.DBRW($C$1,$C$2,$C$3,$C$4,$C$6,$C$5,$C$7,I$1,I$2,$A302)</f>
        <v>2338.4454219580002</v>
      </c>
      <c r="J302" s="40">
        <f ca="1">_xll.DBRW($C$1,$C$2,$C$3,$C$4,$C$6,$C$5,$C$7,J$1,J$2,$A302)</f>
        <v>1775.6171880819995</v>
      </c>
      <c r="K302" s="40">
        <f ca="1">_xll.DBRW($C$1,$C$2,$C$3,$C$4,$C$6,$C$5,$C$7,K$1,K$2,$A302)</f>
        <v>1596.8571161579994</v>
      </c>
      <c r="L302" s="40">
        <f ca="1">_xll.DBRW($C$1,$C$2,$C$3,$C$4,$C$6,$C$5,$C$7,L$1,L$2,$A302)</f>
        <v>0</v>
      </c>
      <c r="M302" s="40">
        <f ca="1">_xll.DBRW($C$1,$C$2,$C$3,$C$4,$C$6,$C$5,$C$7,M$1,M$2,$A302)</f>
        <v>1636.5380981929989</v>
      </c>
      <c r="N302" s="40">
        <f ca="1">_xll.DBRW($C$1,$C$2,$C$3,$C$4,$C$6,$C$5,$C$7,N$1,N$2,$A302)</f>
        <v>1744.6602254429988</v>
      </c>
      <c r="O302" s="40">
        <f ca="1">_xll.DBRW($C$1,$C$2,$C$3,$C$4,$C$6,$C$5,$C$7,O$1,O$2,$A302)</f>
        <v>1728.7978743669987</v>
      </c>
      <c r="P302" s="40">
        <f ca="1">_xll.DBRW($C$1,$C$2,$C$3,$C$4,$C$6,$C$5,$C$7,P$1,P$2,$A302)</f>
        <v>1769.0382499509988</v>
      </c>
      <c r="Q302" s="40">
        <f ca="1">_xll.DBRW($C$1,$C$2,$C$3,$C$4,$C$6,$C$5,$C$7,Q$1,Q$2,$A302)</f>
        <v>1693.3087285219988</v>
      </c>
      <c r="R302" s="40">
        <f ca="1">_xll.DBRW($C$1,$C$2,$C$3,$C$4,$C$6,$C$5,$C$7,R$1,R$2,$A302)</f>
        <v>1669.297271474999</v>
      </c>
      <c r="S302" s="40">
        <f ca="1">_xll.DBRW($C$1,$C$2,$C$3,$C$4,$C$6,$C$5,$C$7,S$1,S$2,$A302)</f>
        <v>1650.4497610439989</v>
      </c>
      <c r="T302" s="40">
        <f ca="1">_xll.DBRW($C$1,$C$2,$C$3,$C$4,$C$6,$C$5,$C$7,T$1,T$2,$A302)</f>
        <v>1791.4740527209988</v>
      </c>
      <c r="U302" s="40">
        <f ca="1">_xll.DBRW($C$1,$C$2,$C$3,$C$4,$C$6,$C$5,$C$7,U$1,U$2,$A302)</f>
        <v>1831.3115395749987</v>
      </c>
      <c r="V302" s="40">
        <f ca="1">_xll.DBRW($C$1,$C$2,$C$3,$C$4,$C$6,$C$5,$C$7,V$1,V$2,$A302)</f>
        <v>1661.3977107999988</v>
      </c>
      <c r="W302" s="40">
        <f ca="1">_xll.DBRW($C$1,$C$2,$C$3,$C$4,$C$6,$C$5,$C$7,W$1,W$2,$A302)</f>
        <v>1750.9442547099989</v>
      </c>
      <c r="X302" s="40">
        <f ca="1">_xll.DBRW($C$1,$C$2,$C$3,$C$4,$C$6,$C$5,$C$7,X$1,X$2,$A302)</f>
        <v>1651.4322315979987</v>
      </c>
      <c r="Y302" s="40">
        <f ca="1">_xll.DBRW($C$1,$C$2,$C$3,$C$4,$C$6,$C$5,$C$7,Y$1,Y$2,$A302)</f>
        <v>1651.4322315979987</v>
      </c>
      <c r="Z302" s="40">
        <f ca="1">_xll.DBRW($C$1,$C$2,$C$3,$C$4,$C$6,$C$5,$C$7,Z$1,Z$2,$A302)</f>
        <v>0</v>
      </c>
      <c r="AA302" s="40">
        <f ca="1">_xll.DBRW($C$1,$C$2,$C$3,$C$4,$C$6,$C$5,$C$7,AA$1,AA$2,$A302)</f>
        <v>0</v>
      </c>
      <c r="AB302" s="40">
        <f ca="1">_xll.DBRW($C$1,$C$2,$C$3,$C$4,$C$6,$C$5,$C$7,AB$1,AB$2,$A302)</f>
        <v>0</v>
      </c>
      <c r="AC302" s="40">
        <f ca="1">_xll.DBRW($C$1,$C$2,$C$3,$C$4,$C$6,$C$5,$C$7,AC$1,AC$2,$A302)</f>
        <v>0</v>
      </c>
      <c r="AD302" s="40">
        <f ca="1">_xll.DBRW($C$1,$C$2,$C$3,$C$4,$C$6,$C$5,$C$7,AD$1,AD$2,$A302)</f>
        <v>0</v>
      </c>
      <c r="AE302" s="40">
        <f ca="1">_xll.DBRW($C$1,$C$2,$C$3,$C$4,$C$6,$C$5,$C$7,AE$1,AE$2,$A302)</f>
        <v>0</v>
      </c>
      <c r="AF302" s="40">
        <f ca="1">_xll.DBRW($C$1,$C$2,$C$3,$C$4,$C$6,$C$5,$C$7,AF$1,AF$2,$A302)</f>
        <v>0</v>
      </c>
      <c r="AG302" s="40">
        <f ca="1">_xll.DBRW($C$1,$C$2,$C$3,$C$4,$C$6,$C$5,$C$7,AG$1,AG$2,$A302)</f>
        <v>0</v>
      </c>
      <c r="AH302" s="40">
        <f ca="1">_xll.DBRW($C$1,$C$2,$C$3,$C$4,$C$6,$C$5,$C$7,AH$1,AH$2,$A302)</f>
        <v>0</v>
      </c>
      <c r="AI302" s="40">
        <f ca="1">_xll.DBRW($C$1,$C$2,$C$3,$C$4,$C$6,$C$5,$C$7,AI$1,AI$2,$A302)</f>
        <v>0</v>
      </c>
      <c r="AJ302" s="40">
        <f ca="1">_xll.DBRW($C$1,$C$2,$C$3,$C$4,$C$6,$C$5,$C$7,AJ$1,AJ$2,$A302)</f>
        <v>0</v>
      </c>
      <c r="AK302" s="40">
        <f ca="1">_xll.DBRW($C$1,$C$2,$C$3,$C$4,$C$6,$C$5,$C$7,AK$1,AK$2,$A302)</f>
        <v>0</v>
      </c>
      <c r="AL302" s="40">
        <f ca="1">_xll.DBRW($C$1,$C$2,$C$3,$C$4,$C$6,$C$5,$C$7,AL$1,AL$2,$A302)</f>
        <v>0</v>
      </c>
      <c r="AM302" s="40">
        <f ca="1">_xll.DBRW($C$1,$C$2,$C$3,$C$4,$C$6,$C$5,$C$7,AM$1,AM$2,$A302)</f>
        <v>1640.7627699059999</v>
      </c>
      <c r="AN302" s="40">
        <f ca="1">_xll.DBRW($C$1,$C$2,$C$3,$C$4,$C$6,$C$5,$C$7,AN$1,AN$2,$A302)</f>
        <v>1724.6341662159998</v>
      </c>
      <c r="AO302" s="40">
        <f ca="1">_xll.DBRW($C$1,$C$2,$C$3,$C$4,$C$6,$C$5,$C$7,AO$1,AO$2,$A302)</f>
        <v>1724.6341662159998</v>
      </c>
      <c r="AP302" s="40">
        <f ca="1">_xll.DBRW($C$1,$C$2,$C$3,$C$4,$C$6,$C$5,$C$7,AP$1,AP$2,$A302)</f>
        <v>1724.6341662159998</v>
      </c>
      <c r="AQ302" s="40">
        <f ca="1">_xll.DBRW($C$1,$C$2,$C$3,$C$4,$C$6,$C$5,$C$7,AQ$1,AQ$2,$A302)</f>
        <v>1724.6341662159998</v>
      </c>
      <c r="AR302" s="40">
        <f ca="1">_xll.DBRW($C$1,$C$2,$C$3,$C$4,$C$6,$C$5,$C$7,AR$1,AR$2,$A302)</f>
        <v>1724.6341662159998</v>
      </c>
      <c r="AS302" s="40">
        <f ca="1">_xll.DBRW($C$1,$C$2,$C$3,$C$4,$C$6,$C$5,$C$7,AS$1,AS$2,$A302)</f>
        <v>1724.6341662159998</v>
      </c>
      <c r="AT302" s="40">
        <f ca="1">_xll.DBRW($C$1,$C$2,$C$3,$C$4,$C$6,$C$5,$C$7,AT$1,AT$2,$A302)</f>
        <v>1724.6341662159998</v>
      </c>
      <c r="AU302" s="40">
        <f ca="1">_xll.DBRW($C$1,$C$2,$C$3,$C$4,$C$6,$C$5,$C$7,AU$1,AU$2,$A302)</f>
        <v>1724.6341662159998</v>
      </c>
      <c r="AV302" s="40">
        <f ca="1">_xll.DBRW($C$1,$C$2,$C$3,$C$4,$C$6,$C$5,$C$7,AV$1,AV$2,$A302)</f>
        <v>1724.6341662159998</v>
      </c>
      <c r="AW302" s="40">
        <f ca="1">_xll.DBRW($C$1,$C$2,$C$3,$C$4,$C$6,$C$5,$C$7,AW$1,AW$2,$A302)</f>
        <v>1724.6341662159998</v>
      </c>
      <c r="AX302" s="40">
        <f ca="1">_xll.DBRW($C$1,$C$2,$C$3,$C$4,$C$6,$C$5,$C$7,AX$1,AX$2,$A302)</f>
        <v>1724.6341662159998</v>
      </c>
      <c r="AY302" s="40">
        <f ca="1">_xll.DBRW($C$1,$C$2,$C$3,$C$4,$C$6,$C$5,$C$7,AY$1,AY$2,$A302)</f>
        <v>1724.6341662159998</v>
      </c>
    </row>
    <row r="303" spans="1:51" ht="15.5">
      <c r="A303" s="1" t="s">
        <v>142</v>
      </c>
      <c r="C303" s="104"/>
      <c r="E303" s="11" t="s">
        <v>81</v>
      </c>
      <c r="F303" s="42" t="str">
        <f ca="1">IF(F302&lt;=0,"n/a",F301/AVERAGE(F302:G302))</f>
        <v>n/a</v>
      </c>
      <c r="G303" s="42" t="str">
        <f t="shared" ref="G303:AY303" ca="1" si="217">IF(G302&lt;=0,"n/a",G301/AVERAGE(F302:G302))</f>
        <v>n/a</v>
      </c>
      <c r="H303" s="42" t="str">
        <f t="shared" ca="1" si="217"/>
        <v>n/a</v>
      </c>
      <c r="I303" s="42">
        <f t="shared" ca="1" si="217"/>
        <v>6.0348122408582894E-2</v>
      </c>
      <c r="J303" s="42">
        <f t="shared" ca="1" si="217"/>
        <v>-5.9009960606721944E-2</v>
      </c>
      <c r="K303" s="42">
        <f t="shared" ca="1" si="217"/>
        <v>-9.1951551151147781E-2</v>
      </c>
      <c r="L303" s="42" t="str">
        <f t="shared" ca="1" si="217"/>
        <v>n/a</v>
      </c>
      <c r="M303" s="42">
        <f t="shared" ca="1" si="217"/>
        <v>-7.418360137666777E-3</v>
      </c>
      <c r="N303" s="42">
        <f t="shared" ca="1" si="217"/>
        <v>-1.088515225645017E-2</v>
      </c>
      <c r="O303" s="42">
        <f t="shared" ca="1" si="217"/>
        <v>-4.5188005832027733E-3</v>
      </c>
      <c r="P303" s="42">
        <f t="shared" ca="1" si="217"/>
        <v>-5.3973739837548766E-3</v>
      </c>
      <c r="Q303" s="42">
        <f t="shared" ca="1" si="217"/>
        <v>-4.8197283384646909E-3</v>
      </c>
      <c r="R303" s="42">
        <f t="shared" ca="1" si="217"/>
        <v>7.6207667837025319E-3</v>
      </c>
      <c r="S303" s="42">
        <f t="shared" ca="1" si="217"/>
        <v>5.7233537493627789E-3</v>
      </c>
      <c r="T303" s="42">
        <f t="shared" ca="1" si="217"/>
        <v>3.6586086921943806E-3</v>
      </c>
      <c r="U303" s="42">
        <f t="shared" ca="1" si="217"/>
        <v>1.5209086840579884E-2</v>
      </c>
      <c r="V303" s="42">
        <f t="shared" ca="1" si="217"/>
        <v>1.749285993659621E-2</v>
      </c>
      <c r="W303" s="42">
        <f t="shared" ca="1" si="217"/>
        <v>1.2968611519803911E-2</v>
      </c>
      <c r="X303" s="42">
        <f t="shared" ca="1" si="217"/>
        <v>7.3072141664844393E-3</v>
      </c>
      <c r="Y303" s="42">
        <f t="shared" ca="1" si="217"/>
        <v>7.5273732656913122E-3</v>
      </c>
      <c r="Z303" s="42" t="str">
        <f t="shared" ca="1" si="217"/>
        <v>n/a</v>
      </c>
      <c r="AA303" s="42" t="str">
        <f t="shared" ca="1" si="217"/>
        <v>n/a</v>
      </c>
      <c r="AB303" s="42" t="str">
        <f t="shared" ca="1" si="217"/>
        <v>n/a</v>
      </c>
      <c r="AC303" s="42" t="str">
        <f t="shared" ca="1" si="217"/>
        <v>n/a</v>
      </c>
      <c r="AD303" s="42" t="str">
        <f t="shared" ca="1" si="217"/>
        <v>n/a</v>
      </c>
      <c r="AE303" s="42" t="str">
        <f t="shared" ca="1" si="217"/>
        <v>n/a</v>
      </c>
      <c r="AF303" s="42" t="str">
        <f t="shared" ca="1" si="217"/>
        <v>n/a</v>
      </c>
      <c r="AG303" s="42" t="str">
        <f t="shared" ca="1" si="217"/>
        <v>n/a</v>
      </c>
      <c r="AH303" s="42" t="str">
        <f t="shared" ca="1" si="217"/>
        <v>n/a</v>
      </c>
      <c r="AI303" s="42" t="str">
        <f t="shared" ca="1" si="217"/>
        <v>n/a</v>
      </c>
      <c r="AJ303" s="42" t="str">
        <f t="shared" ca="1" si="217"/>
        <v>n/a</v>
      </c>
      <c r="AK303" s="42" t="str">
        <f t="shared" ca="1" si="217"/>
        <v>n/a</v>
      </c>
      <c r="AL303" s="42" t="str">
        <f t="shared" ca="1" si="217"/>
        <v>n/a</v>
      </c>
      <c r="AM303" s="42">
        <f t="shared" ca="1" si="217"/>
        <v>-3.5013894162756443E-3</v>
      </c>
      <c r="AN303" s="42">
        <f t="shared" ca="1" si="217"/>
        <v>-1.3645689226973047E-2</v>
      </c>
      <c r="AO303" s="42">
        <f t="shared" ca="1" si="217"/>
        <v>-1.3313884653139976E-2</v>
      </c>
      <c r="AP303" s="42">
        <f t="shared" ca="1" si="217"/>
        <v>-1.3313884653139976E-2</v>
      </c>
      <c r="AQ303" s="42">
        <f t="shared" ca="1" si="217"/>
        <v>-1.3313884653139976E-2</v>
      </c>
      <c r="AR303" s="42">
        <f t="shared" ca="1" si="217"/>
        <v>-1.3313884653139979E-2</v>
      </c>
      <c r="AS303" s="42">
        <f t="shared" ca="1" si="217"/>
        <v>-1.3313884653139979E-2</v>
      </c>
      <c r="AT303" s="42">
        <f t="shared" ca="1" si="217"/>
        <v>-1.3313884653139979E-2</v>
      </c>
      <c r="AU303" s="42">
        <f t="shared" ca="1" si="217"/>
        <v>-1.3313884653139979E-2</v>
      </c>
      <c r="AV303" s="42">
        <f t="shared" ca="1" si="217"/>
        <v>-1.3313884653139979E-2</v>
      </c>
      <c r="AW303" s="42">
        <f t="shared" ca="1" si="217"/>
        <v>-1.3313884653139976E-2</v>
      </c>
      <c r="AX303" s="42">
        <f t="shared" ca="1" si="217"/>
        <v>-1.3313884653139976E-2</v>
      </c>
      <c r="AY303" s="42">
        <f t="shared" ca="1" si="217"/>
        <v>-1.3313884653139981E-2</v>
      </c>
    </row>
    <row r="304" spans="1:51" ht="15.5">
      <c r="A304" s="1" t="s">
        <v>142</v>
      </c>
      <c r="C304" s="26"/>
      <c r="E304" s="62" t="s">
        <v>82</v>
      </c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  <c r="AJ304" s="55"/>
      <c r="AK304" s="55"/>
      <c r="AL304" s="55"/>
      <c r="AM304" s="55"/>
      <c r="AN304" s="55"/>
      <c r="AO304" s="55"/>
      <c r="AP304" s="55"/>
      <c r="AQ304" s="55"/>
      <c r="AR304" s="55"/>
      <c r="AS304" s="55"/>
      <c r="AT304" s="55"/>
      <c r="AU304" s="55"/>
      <c r="AV304" s="55"/>
      <c r="AW304" s="55"/>
      <c r="AX304" s="55"/>
      <c r="AY304" s="55"/>
    </row>
    <row r="305" spans="1:51" ht="15.5">
      <c r="A305" s="1" t="s">
        <v>142</v>
      </c>
      <c r="E305" s="19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  <c r="AP305" s="30"/>
      <c r="AQ305" s="30"/>
      <c r="AR305" s="30"/>
      <c r="AS305" s="30"/>
      <c r="AT305" s="30"/>
      <c r="AU305" s="30"/>
      <c r="AV305" s="30"/>
      <c r="AW305" s="30"/>
      <c r="AX305" s="30"/>
      <c r="AY305" s="30"/>
    </row>
    <row r="306" spans="1:51" ht="15.5" hidden="1" outlineLevel="1">
      <c r="A306" s="1" t="s">
        <v>349</v>
      </c>
      <c r="E306" s="9" t="str">
        <f ca="1">_xll.DBRW(Server&amp;"}ElementAttributes_Indicator",A306,"code_English")</f>
        <v>Tot_km - Total KM self driven</v>
      </c>
      <c r="F306" s="16">
        <f ca="1">_xll.DBRW($C$1,$C$2,$C$3,$C$4,$C$6,$C$5,$C$7,F$1,F$2,$A306)</f>
        <v>1094.8031170296488</v>
      </c>
      <c r="G306" s="16">
        <f ca="1">_xll.DBRW($C$1,$C$2,$C$3,$C$4,$C$6,$C$5,$C$7,G$1,G$2,$A306)</f>
        <v>1188.0403104069082</v>
      </c>
      <c r="H306" s="16">
        <f ca="1">_xll.DBRW($C$1,$C$2,$C$3,$C$4,$C$6,$C$5,$C$7,H$1,H$2,$A306)</f>
        <v>1101.5836452548569</v>
      </c>
      <c r="I306" s="16">
        <f ca="1">_xll.DBRW($C$1,$C$2,$C$3,$C$4,$C$6,$C$5,$C$7,I$1,I$2,$A306)</f>
        <v>1123.0376497311865</v>
      </c>
      <c r="J306" s="16">
        <f ca="1">_xll.DBRW($C$1,$C$2,$C$3,$C$4,$C$6,$C$5,$C$7,J$1,J$2,$A306)</f>
        <v>798.01942157340829</v>
      </c>
      <c r="K306" s="16">
        <f ca="1">_xll.DBRW($C$1,$C$2,$C$3,$C$4,$C$6,$C$5,$C$7,K$1,K$2,$A306)</f>
        <v>928.52522858595444</v>
      </c>
      <c r="L306" s="16">
        <f ca="1">_xll.DBRW($C$1,$C$2,$C$3,$C$4,$C$6,$C$5,$C$7,L$1,L$2,$A306)</f>
        <v>850.27128213047763</v>
      </c>
      <c r="M306" s="16">
        <f ca="1">_xll.DBRW($C$1,$C$2,$C$3,$C$4,$C$6,$C$5,$C$7,M$1,M$2,$A306)</f>
        <v>53.997451955026804</v>
      </c>
      <c r="N306" s="16">
        <f ca="1">_xll.DBRW($C$1,$C$2,$C$3,$C$4,$C$6,$C$5,$C$7,N$1,N$2,$A306)</f>
        <v>137.24589363093094</v>
      </c>
      <c r="O306" s="16">
        <f ca="1">_xll.DBRW($C$1,$C$2,$C$3,$C$4,$C$6,$C$5,$C$7,O$1,O$2,$A306)</f>
        <v>216.53651789269662</v>
      </c>
      <c r="P306" s="16">
        <f ca="1">_xll.DBRW($C$1,$C$2,$C$3,$C$4,$C$6,$C$5,$C$7,P$1,P$2,$A306)</f>
        <v>282.76638325097588</v>
      </c>
      <c r="Q306" s="16">
        <f ca="1">_xll.DBRW($C$1,$C$2,$C$3,$C$4,$C$6,$C$5,$C$7,Q$1,Q$2,$A306)</f>
        <v>361.06870321768361</v>
      </c>
      <c r="R306" s="16">
        <f ca="1">_xll.DBRW($C$1,$C$2,$C$3,$C$4,$C$6,$C$5,$C$7,R$1,R$2,$A306)</f>
        <v>439.16845822656455</v>
      </c>
      <c r="S306" s="16">
        <f ca="1">_xll.DBRW($C$1,$C$2,$C$3,$C$4,$C$6,$C$5,$C$7,S$1,S$2,$A306)</f>
        <v>10812.216434370566</v>
      </c>
      <c r="T306" s="16">
        <f ca="1">_xll.DBRW($C$1,$C$2,$C$3,$C$4,$C$6,$C$5,$C$7,T$1,T$2,$A306)</f>
        <v>611.44692564616889</v>
      </c>
      <c r="U306" s="16">
        <f ca="1">_xll.DBRW($C$1,$C$2,$C$3,$C$4,$C$6,$C$5,$C$7,U$1,U$2,$A306)</f>
        <v>719.43293420336704</v>
      </c>
      <c r="V306" s="16">
        <f ca="1">_xll.DBRW($C$1,$C$2,$C$3,$C$4,$C$6,$C$5,$C$7,V$1,V$2,$A306)</f>
        <v>746.11914031941524</v>
      </c>
      <c r="W306" s="16">
        <f ca="1">_xll.DBRW($C$1,$C$2,$C$3,$C$4,$C$6,$C$5,$C$7,W$1,W$2,$A306)</f>
        <v>917.05135605748728</v>
      </c>
      <c r="X306" s="16">
        <f ca="1">_xll.DBRW($C$1,$C$2,$C$3,$C$4,$C$6,$C$5,$C$7,X$1,X$2,$A306)</f>
        <v>993.97379918200568</v>
      </c>
      <c r="Y306" s="16">
        <f ca="1">_xll.DBRW($C$1,$C$2,$C$3,$C$4,$C$6,$C$5,$C$7,Y$1,Y$2,$A306)</f>
        <v>993.97379918200568</v>
      </c>
      <c r="Z306" s="16">
        <f ca="1">_xll.DBRW($C$1,$C$2,$C$3,$C$4,$C$6,$C$5,$C$7,Z$1,Z$2,$A306)</f>
        <v>83.674156881662</v>
      </c>
      <c r="AA306" s="16">
        <f ca="1">_xll.DBRW($C$1,$C$2,$C$3,$C$4,$C$6,$C$5,$C$7,AA$1,AA$2,$A306)</f>
        <v>153.8452106410235</v>
      </c>
      <c r="AB306" s="16">
        <f ca="1">_xll.DBRW($C$1,$C$2,$C$3,$C$4,$C$6,$C$5,$C$7,AB$1,AB$2,$A306)</f>
        <v>242.24554984235525</v>
      </c>
      <c r="AC306" s="16">
        <f ca="1">_xll.DBRW($C$1,$C$2,$C$3,$C$4,$C$6,$C$5,$C$7,AC$1,AC$2,$A306)</f>
        <v>312.88524006237213</v>
      </c>
      <c r="AD306" s="16">
        <f ca="1">_xll.DBRW($C$1,$C$2,$C$3,$C$4,$C$6,$C$5,$C$7,AD$1,AD$2,$A306)</f>
        <v>392.73931561290919</v>
      </c>
      <c r="AE306" s="16">
        <f ca="1">_xll.DBRW($C$1,$C$2,$C$3,$C$4,$C$6,$C$5,$C$7,AE$1,AE$2,$A306)</f>
        <v>476.73355922425822</v>
      </c>
      <c r="AF306" s="16">
        <f ca="1">_xll.DBRW($C$1,$C$2,$C$3,$C$4,$C$6,$C$5,$C$7,AF$1,AF$2,$A306)</f>
        <v>542.89190592155455</v>
      </c>
      <c r="AG306" s="16">
        <f ca="1">_xll.DBRW($C$1,$C$2,$C$3,$C$4,$C$6,$C$5,$C$7,AG$1,AG$2,$A306)</f>
        <v>602.343802604296</v>
      </c>
      <c r="AH306" s="16">
        <f ca="1">_xll.DBRW($C$1,$C$2,$C$3,$C$4,$C$6,$C$5,$C$7,AH$1,AH$2,$A306)</f>
        <v>680.18753939687917</v>
      </c>
      <c r="AI306" s="16">
        <f ca="1">_xll.DBRW($C$1,$C$2,$C$3,$C$4,$C$6,$C$5,$C$7,AI$1,AI$2,$A306)</f>
        <v>755.03103193637526</v>
      </c>
      <c r="AJ306" s="16">
        <f ca="1">_xll.DBRW($C$1,$C$2,$C$3,$C$4,$C$6,$C$5,$C$7,AJ$1,AJ$2,$A306)</f>
        <v>830.96710397669506</v>
      </c>
      <c r="AK306" s="16">
        <f ca="1">_xll.DBRW($C$1,$C$2,$C$3,$C$4,$C$6,$C$5,$C$7,AK$1,AK$2,$A306)</f>
        <v>900.59386715790572</v>
      </c>
      <c r="AL306" s="16">
        <f ca="1">_xll.DBRW($C$1,$C$2,$C$3,$C$4,$C$6,$C$5,$C$7,AL$1,AL$2,$A306)</f>
        <v>900.59386715790572</v>
      </c>
      <c r="AM306" s="16">
        <f ca="1">_xll.DBRW($C$1,$C$2,$C$3,$C$4,$C$6,$C$5,$C$7,AM$1,AM$2,$A306)</f>
        <v>223.45425250049684</v>
      </c>
      <c r="AN306" s="16">
        <f ca="1">_xll.DBRW($C$1,$C$2,$C$3,$C$4,$C$6,$C$5,$C$7,AN$1,AN$2,$A306)</f>
        <v>330.62010133944091</v>
      </c>
      <c r="AO306" s="16">
        <f ca="1">_xll.DBRW($C$1,$C$2,$C$3,$C$4,$C$6,$C$5,$C$7,AO$1,AO$2,$A306)</f>
        <v>330.62010133944091</v>
      </c>
      <c r="AP306" s="16">
        <f ca="1">_xll.DBRW($C$1,$C$2,$C$3,$C$4,$C$6,$C$5,$C$7,AP$1,AP$2,$A306)</f>
        <v>330.62010133944091</v>
      </c>
      <c r="AQ306" s="16">
        <f ca="1">_xll.DBRW($C$1,$C$2,$C$3,$C$4,$C$6,$C$5,$C$7,AQ$1,AQ$2,$A306)</f>
        <v>330.62010133944091</v>
      </c>
      <c r="AR306" s="16">
        <f ca="1">_xll.DBRW($C$1,$C$2,$C$3,$C$4,$C$6,$C$5,$C$7,AR$1,AR$2,$A306)</f>
        <v>330.62010133944091</v>
      </c>
      <c r="AS306" s="16">
        <f ca="1">_xll.DBRW($C$1,$C$2,$C$3,$C$4,$C$6,$C$5,$C$7,AS$1,AS$2,$A306)</f>
        <v>330.62010133944091</v>
      </c>
      <c r="AT306" s="16">
        <f ca="1">_xll.DBRW($C$1,$C$2,$C$3,$C$4,$C$6,$C$5,$C$7,AT$1,AT$2,$A306)</f>
        <v>330.62010133944091</v>
      </c>
      <c r="AU306" s="16">
        <f ca="1">_xll.DBRW($C$1,$C$2,$C$3,$C$4,$C$6,$C$5,$C$7,AU$1,AU$2,$A306)</f>
        <v>330.62010133944091</v>
      </c>
      <c r="AV306" s="16">
        <f ca="1">_xll.DBRW($C$1,$C$2,$C$3,$C$4,$C$6,$C$5,$C$7,AV$1,AV$2,$A306)</f>
        <v>330.62010133944091</v>
      </c>
      <c r="AW306" s="16">
        <f ca="1">_xll.DBRW($C$1,$C$2,$C$3,$C$4,$C$6,$C$5,$C$7,AW$1,AW$2,$A306)</f>
        <v>330.62010133944091</v>
      </c>
      <c r="AX306" s="16">
        <f ca="1">_xll.DBRW($C$1,$C$2,$C$3,$C$4,$C$6,$C$5,$C$7,AX$1,AX$2,$A306)</f>
        <v>330.62010133944091</v>
      </c>
      <c r="AY306" s="16">
        <f ca="1">_xll.DBRW($C$1,$C$2,$C$3,$C$4,$C$6,$C$5,$C$7,AY$1,AY$2,$A306)</f>
        <v>330.62010133944091</v>
      </c>
    </row>
    <row r="307" spans="1:51" ht="15.5" hidden="1" outlineLevel="1">
      <c r="A307" s="75" t="s">
        <v>358</v>
      </c>
      <c r="B307" s="75"/>
      <c r="E307" s="9" t="str">
        <f ca="1">_xll.DBRW(Server&amp;"}ElementAttributes_Indicator",A307,"code_English")</f>
        <v>*KEY_ERR</v>
      </c>
      <c r="F307" s="39" t="str">
        <f ca="1">_xll.DBRW($C$1,$C$2,$C$3,$C$4,$C$6,$C$5,$C$7,F$1,F$2,$A307)</f>
        <v>*KEY_ERR</v>
      </c>
      <c r="G307" s="39" t="str">
        <f ca="1">_xll.DBRW($C$1,$C$2,$C$3,$C$4,$C$6,$C$5,$C$7,G$1,G$2,$A307)</f>
        <v>*KEY_ERR</v>
      </c>
      <c r="H307" s="39" t="str">
        <f ca="1">_xll.DBRW($C$1,$C$2,$C$3,$C$4,$C$6,$C$5,$C$7,H$1,H$2,$A307)</f>
        <v>*KEY_ERR</v>
      </c>
      <c r="I307" s="39" t="str">
        <f ca="1">_xll.DBRW($C$1,$C$2,$C$3,$C$4,$C$6,$C$5,$C$7,I$1,I$2,$A307)</f>
        <v>*KEY_ERR</v>
      </c>
      <c r="J307" s="39" t="str">
        <f ca="1">_xll.DBRW($C$1,$C$2,$C$3,$C$4,$C$6,$C$5,$C$7,J$1,J$2,$A307)</f>
        <v>*KEY_ERR</v>
      </c>
      <c r="K307" s="39" t="str">
        <f ca="1">_xll.DBRW($C$1,$C$2,$C$3,$C$4,$C$6,$C$5,$C$7,K$1,K$2,$A307)</f>
        <v>*KEY_ERR</v>
      </c>
      <c r="L307" s="39" t="str">
        <f ca="1">_xll.DBRW($C$1,$C$2,$C$3,$C$4,$C$6,$C$5,$C$7,L$1,L$2,$A307)</f>
        <v>*KEY_ERR</v>
      </c>
      <c r="M307" s="39" t="str">
        <f ca="1">_xll.DBRW($C$1,$C$2,$C$3,$C$4,$C$6,$C$5,$C$7,M$1,M$2,$A307)</f>
        <v>*KEY_ERR</v>
      </c>
      <c r="N307" s="39" t="str">
        <f ca="1">_xll.DBRW($C$1,$C$2,$C$3,$C$4,$C$6,$C$5,$C$7,N$1,N$2,$A307)</f>
        <v>*KEY_ERR</v>
      </c>
      <c r="O307" s="39" t="str">
        <f ca="1">_xll.DBRW($C$1,$C$2,$C$3,$C$4,$C$6,$C$5,$C$7,O$1,O$2,$A307)</f>
        <v>*KEY_ERR</v>
      </c>
      <c r="P307" s="39" t="str">
        <f ca="1">_xll.DBRW($C$1,$C$2,$C$3,$C$4,$C$6,$C$5,$C$7,P$1,P$2,$A307)</f>
        <v>*KEY_ERR</v>
      </c>
      <c r="Q307" s="39" t="str">
        <f ca="1">_xll.DBRW($C$1,$C$2,$C$3,$C$4,$C$6,$C$5,$C$7,Q$1,Q$2,$A307)</f>
        <v>*KEY_ERR</v>
      </c>
      <c r="R307" s="39" t="str">
        <f ca="1">_xll.DBRW($C$1,$C$2,$C$3,$C$4,$C$6,$C$5,$C$7,R$1,R$2,$A307)</f>
        <v>*KEY_ERR</v>
      </c>
      <c r="S307" s="39" t="str">
        <f ca="1">_xll.DBRW($C$1,$C$2,$C$3,$C$4,$C$6,$C$5,$C$7,S$1,S$2,$A307)</f>
        <v>*KEY_ERR</v>
      </c>
      <c r="T307" s="39" t="str">
        <f ca="1">_xll.DBRW($C$1,$C$2,$C$3,$C$4,$C$6,$C$5,$C$7,T$1,T$2,$A307)</f>
        <v>*KEY_ERR</v>
      </c>
      <c r="U307" s="39" t="str">
        <f ca="1">_xll.DBRW($C$1,$C$2,$C$3,$C$4,$C$6,$C$5,$C$7,U$1,U$2,$A307)</f>
        <v>*KEY_ERR</v>
      </c>
      <c r="V307" s="39" t="str">
        <f ca="1">_xll.DBRW($C$1,$C$2,$C$3,$C$4,$C$6,$C$5,$C$7,V$1,V$2,$A307)</f>
        <v>*KEY_ERR</v>
      </c>
      <c r="W307" s="39" t="str">
        <f ca="1">_xll.DBRW($C$1,$C$2,$C$3,$C$4,$C$6,$C$5,$C$7,W$1,W$2,$A307)</f>
        <v>*KEY_ERR</v>
      </c>
      <c r="X307" s="39" t="str">
        <f ca="1">_xll.DBRW($C$1,$C$2,$C$3,$C$4,$C$6,$C$5,$C$7,X$1,X$2,$A307)</f>
        <v>*KEY_ERR</v>
      </c>
      <c r="Y307" s="39" t="str">
        <f ca="1">_xll.DBRW($C$1,$C$2,$C$3,$C$4,$C$6,$C$5,$C$7,Y$1,Y$2,$A307)</f>
        <v>*KEY_ERR</v>
      </c>
      <c r="Z307" s="39" t="str">
        <f ca="1">_xll.DBRW($C$1,$C$2,$C$3,$C$4,$C$6,$C$5,$C$7,Z$1,Z$2,$A307)</f>
        <v>*KEY_ERR</v>
      </c>
      <c r="AA307" s="39" t="str">
        <f ca="1">_xll.DBRW($C$1,$C$2,$C$3,$C$4,$C$6,$C$5,$C$7,AA$1,AA$2,$A307)</f>
        <v>*KEY_ERR</v>
      </c>
      <c r="AB307" s="39" t="str">
        <f ca="1">_xll.DBRW($C$1,$C$2,$C$3,$C$4,$C$6,$C$5,$C$7,AB$1,AB$2,$A307)</f>
        <v>*KEY_ERR</v>
      </c>
      <c r="AC307" s="39" t="str">
        <f ca="1">_xll.DBRW($C$1,$C$2,$C$3,$C$4,$C$6,$C$5,$C$7,AC$1,AC$2,$A307)</f>
        <v>*KEY_ERR</v>
      </c>
      <c r="AD307" s="39" t="str">
        <f ca="1">_xll.DBRW($C$1,$C$2,$C$3,$C$4,$C$6,$C$5,$C$7,AD$1,AD$2,$A307)</f>
        <v>*KEY_ERR</v>
      </c>
      <c r="AE307" s="39" t="str">
        <f ca="1">_xll.DBRW($C$1,$C$2,$C$3,$C$4,$C$6,$C$5,$C$7,AE$1,AE$2,$A307)</f>
        <v>*KEY_ERR</v>
      </c>
      <c r="AF307" s="39" t="str">
        <f ca="1">_xll.DBRW($C$1,$C$2,$C$3,$C$4,$C$6,$C$5,$C$7,AF$1,AF$2,$A307)</f>
        <v>*KEY_ERR</v>
      </c>
      <c r="AG307" s="39" t="str">
        <f ca="1">_xll.DBRW($C$1,$C$2,$C$3,$C$4,$C$6,$C$5,$C$7,AG$1,AG$2,$A307)</f>
        <v>*KEY_ERR</v>
      </c>
      <c r="AH307" s="39" t="str">
        <f ca="1">_xll.DBRW($C$1,$C$2,$C$3,$C$4,$C$6,$C$5,$C$7,AH$1,AH$2,$A307)</f>
        <v>*KEY_ERR</v>
      </c>
      <c r="AI307" s="39" t="str">
        <f ca="1">_xll.DBRW($C$1,$C$2,$C$3,$C$4,$C$6,$C$5,$C$7,AI$1,AI$2,$A307)</f>
        <v>*KEY_ERR</v>
      </c>
      <c r="AJ307" s="39" t="str">
        <f ca="1">_xll.DBRW($C$1,$C$2,$C$3,$C$4,$C$6,$C$5,$C$7,AJ$1,AJ$2,$A307)</f>
        <v>*KEY_ERR</v>
      </c>
      <c r="AK307" s="39" t="str">
        <f ca="1">_xll.DBRW($C$1,$C$2,$C$3,$C$4,$C$6,$C$5,$C$7,AK$1,AK$2,$A307)</f>
        <v>*KEY_ERR</v>
      </c>
      <c r="AL307" s="39" t="str">
        <f ca="1">_xll.DBRW($C$1,$C$2,$C$3,$C$4,$C$6,$C$5,$C$7,AL$1,AL$2,$A307)</f>
        <v>*KEY_ERR</v>
      </c>
      <c r="AM307" s="39" t="str">
        <f ca="1">_xll.DBRW($C$1,$C$2,$C$3,$C$4,$C$6,$C$5,$C$7,AM$1,AM$2,$A307)</f>
        <v>*KEY_ERR</v>
      </c>
      <c r="AN307" s="39" t="str">
        <f ca="1">_xll.DBRW($C$1,$C$2,$C$3,$C$4,$C$6,$C$5,$C$7,AN$1,AN$2,$A307)</f>
        <v>*KEY_ERR</v>
      </c>
      <c r="AO307" s="39" t="str">
        <f ca="1">_xll.DBRW($C$1,$C$2,$C$3,$C$4,$C$6,$C$5,$C$7,AO$1,AO$2,$A307)</f>
        <v>*KEY_ERR</v>
      </c>
      <c r="AP307" s="39" t="str">
        <f ca="1">_xll.DBRW($C$1,$C$2,$C$3,$C$4,$C$6,$C$5,$C$7,AP$1,AP$2,$A307)</f>
        <v>*KEY_ERR</v>
      </c>
      <c r="AQ307" s="39" t="str">
        <f ca="1">_xll.DBRW($C$1,$C$2,$C$3,$C$4,$C$6,$C$5,$C$7,AQ$1,AQ$2,$A307)</f>
        <v>*KEY_ERR</v>
      </c>
      <c r="AR307" s="39" t="str">
        <f ca="1">_xll.DBRW($C$1,$C$2,$C$3,$C$4,$C$6,$C$5,$C$7,AR$1,AR$2,$A307)</f>
        <v>*KEY_ERR</v>
      </c>
      <c r="AS307" s="39" t="str">
        <f ca="1">_xll.DBRW($C$1,$C$2,$C$3,$C$4,$C$6,$C$5,$C$7,AS$1,AS$2,$A307)</f>
        <v>*KEY_ERR</v>
      </c>
      <c r="AT307" s="39" t="str">
        <f ca="1">_xll.DBRW($C$1,$C$2,$C$3,$C$4,$C$6,$C$5,$C$7,AT$1,AT$2,$A307)</f>
        <v>*KEY_ERR</v>
      </c>
      <c r="AU307" s="39" t="str">
        <f ca="1">_xll.DBRW($C$1,$C$2,$C$3,$C$4,$C$6,$C$5,$C$7,AU$1,AU$2,$A307)</f>
        <v>*KEY_ERR</v>
      </c>
      <c r="AV307" s="39" t="str">
        <f ca="1">_xll.DBRW($C$1,$C$2,$C$3,$C$4,$C$6,$C$5,$C$7,AV$1,AV$2,$A307)</f>
        <v>*KEY_ERR</v>
      </c>
      <c r="AW307" s="39" t="str">
        <f ca="1">_xll.DBRW($C$1,$C$2,$C$3,$C$4,$C$6,$C$5,$C$7,AW$1,AW$2,$A307)</f>
        <v>*KEY_ERR</v>
      </c>
      <c r="AX307" s="39" t="str">
        <f ca="1">_xll.DBRW($C$1,$C$2,$C$3,$C$4,$C$6,$C$5,$C$7,AX$1,AX$2,$A307)</f>
        <v>*KEY_ERR</v>
      </c>
      <c r="AY307" s="39" t="str">
        <f ca="1">_xll.DBRW($C$1,$C$2,$C$3,$C$4,$C$6,$C$5,$C$7,AY$1,AY$2,$A307)</f>
        <v>*KEY_ERR</v>
      </c>
    </row>
    <row r="308" spans="1:51" ht="15.5" hidden="1" outlineLevel="1">
      <c r="A308" s="75" t="s">
        <v>359</v>
      </c>
      <c r="B308" s="75"/>
      <c r="E308" s="9" t="str">
        <f ca="1">_xll.DBRW(Server&amp;"}ElementAttributes_Indicator",A308,"code_English")</f>
        <v>*KEY_ERR</v>
      </c>
      <c r="F308" s="39" t="str">
        <f ca="1">_xll.DBRW($C$1,$C$2,$C$3,$C$4,$C$6,$C$5,$C$7,F$1,F$2,$A308)</f>
        <v>*KEY_ERR</v>
      </c>
      <c r="G308" s="39" t="str">
        <f ca="1">_xll.DBRW($C$1,$C$2,$C$3,$C$4,$C$6,$C$5,$C$7,G$1,G$2,$A308)</f>
        <v>*KEY_ERR</v>
      </c>
      <c r="H308" s="39" t="str">
        <f ca="1">_xll.DBRW($C$1,$C$2,$C$3,$C$4,$C$6,$C$5,$C$7,H$1,H$2,$A308)</f>
        <v>*KEY_ERR</v>
      </c>
      <c r="I308" s="39" t="str">
        <f ca="1">_xll.DBRW($C$1,$C$2,$C$3,$C$4,$C$6,$C$5,$C$7,I$1,I$2,$A308)</f>
        <v>*KEY_ERR</v>
      </c>
      <c r="J308" s="39" t="str">
        <f ca="1">_xll.DBRW($C$1,$C$2,$C$3,$C$4,$C$6,$C$5,$C$7,J$1,J$2,$A308)</f>
        <v>*KEY_ERR</v>
      </c>
      <c r="K308" s="39" t="str">
        <f ca="1">_xll.DBRW($C$1,$C$2,$C$3,$C$4,$C$6,$C$5,$C$7,K$1,K$2,$A308)</f>
        <v>*KEY_ERR</v>
      </c>
      <c r="L308" s="39" t="str">
        <f ca="1">_xll.DBRW($C$1,$C$2,$C$3,$C$4,$C$6,$C$5,$C$7,L$1,L$2,$A308)</f>
        <v>*KEY_ERR</v>
      </c>
      <c r="M308" s="39" t="str">
        <f ca="1">_xll.DBRW($C$1,$C$2,$C$3,$C$4,$C$6,$C$5,$C$7,M$1,M$2,$A308)</f>
        <v>*KEY_ERR</v>
      </c>
      <c r="N308" s="39" t="str">
        <f ca="1">_xll.DBRW($C$1,$C$2,$C$3,$C$4,$C$6,$C$5,$C$7,N$1,N$2,$A308)</f>
        <v>*KEY_ERR</v>
      </c>
      <c r="O308" s="39" t="str">
        <f ca="1">_xll.DBRW($C$1,$C$2,$C$3,$C$4,$C$6,$C$5,$C$7,O$1,O$2,$A308)</f>
        <v>*KEY_ERR</v>
      </c>
      <c r="P308" s="39" t="str">
        <f ca="1">_xll.DBRW($C$1,$C$2,$C$3,$C$4,$C$6,$C$5,$C$7,P$1,P$2,$A308)</f>
        <v>*KEY_ERR</v>
      </c>
      <c r="Q308" s="39" t="str">
        <f ca="1">_xll.DBRW($C$1,$C$2,$C$3,$C$4,$C$6,$C$5,$C$7,Q$1,Q$2,$A308)</f>
        <v>*KEY_ERR</v>
      </c>
      <c r="R308" s="39" t="str">
        <f ca="1">_xll.DBRW($C$1,$C$2,$C$3,$C$4,$C$6,$C$5,$C$7,R$1,R$2,$A308)</f>
        <v>*KEY_ERR</v>
      </c>
      <c r="S308" s="39" t="str">
        <f ca="1">_xll.DBRW($C$1,$C$2,$C$3,$C$4,$C$6,$C$5,$C$7,S$1,S$2,$A308)</f>
        <v>*KEY_ERR</v>
      </c>
      <c r="T308" s="39" t="str">
        <f ca="1">_xll.DBRW($C$1,$C$2,$C$3,$C$4,$C$6,$C$5,$C$7,T$1,T$2,$A308)</f>
        <v>*KEY_ERR</v>
      </c>
      <c r="U308" s="39" t="str">
        <f ca="1">_xll.DBRW($C$1,$C$2,$C$3,$C$4,$C$6,$C$5,$C$7,U$1,U$2,$A308)</f>
        <v>*KEY_ERR</v>
      </c>
      <c r="V308" s="39" t="str">
        <f ca="1">_xll.DBRW($C$1,$C$2,$C$3,$C$4,$C$6,$C$5,$C$7,V$1,V$2,$A308)</f>
        <v>*KEY_ERR</v>
      </c>
      <c r="W308" s="39" t="str">
        <f ca="1">_xll.DBRW($C$1,$C$2,$C$3,$C$4,$C$6,$C$5,$C$7,W$1,W$2,$A308)</f>
        <v>*KEY_ERR</v>
      </c>
      <c r="X308" s="39" t="str">
        <f ca="1">_xll.DBRW($C$1,$C$2,$C$3,$C$4,$C$6,$C$5,$C$7,X$1,X$2,$A308)</f>
        <v>*KEY_ERR</v>
      </c>
      <c r="Y308" s="39" t="str">
        <f ca="1">_xll.DBRW($C$1,$C$2,$C$3,$C$4,$C$6,$C$5,$C$7,Y$1,Y$2,$A308)</f>
        <v>*KEY_ERR</v>
      </c>
      <c r="Z308" s="39" t="str">
        <f ca="1">_xll.DBRW($C$1,$C$2,$C$3,$C$4,$C$6,$C$5,$C$7,Z$1,Z$2,$A308)</f>
        <v>*KEY_ERR</v>
      </c>
      <c r="AA308" s="39" t="str">
        <f ca="1">_xll.DBRW($C$1,$C$2,$C$3,$C$4,$C$6,$C$5,$C$7,AA$1,AA$2,$A308)</f>
        <v>*KEY_ERR</v>
      </c>
      <c r="AB308" s="39" t="str">
        <f ca="1">_xll.DBRW($C$1,$C$2,$C$3,$C$4,$C$6,$C$5,$C$7,AB$1,AB$2,$A308)</f>
        <v>*KEY_ERR</v>
      </c>
      <c r="AC308" s="39" t="str">
        <f ca="1">_xll.DBRW($C$1,$C$2,$C$3,$C$4,$C$6,$C$5,$C$7,AC$1,AC$2,$A308)</f>
        <v>*KEY_ERR</v>
      </c>
      <c r="AD308" s="39" t="str">
        <f ca="1">_xll.DBRW($C$1,$C$2,$C$3,$C$4,$C$6,$C$5,$C$7,AD$1,AD$2,$A308)</f>
        <v>*KEY_ERR</v>
      </c>
      <c r="AE308" s="39" t="str">
        <f ca="1">_xll.DBRW($C$1,$C$2,$C$3,$C$4,$C$6,$C$5,$C$7,AE$1,AE$2,$A308)</f>
        <v>*KEY_ERR</v>
      </c>
      <c r="AF308" s="39" t="str">
        <f ca="1">_xll.DBRW($C$1,$C$2,$C$3,$C$4,$C$6,$C$5,$C$7,AF$1,AF$2,$A308)</f>
        <v>*KEY_ERR</v>
      </c>
      <c r="AG308" s="39" t="str">
        <f ca="1">_xll.DBRW($C$1,$C$2,$C$3,$C$4,$C$6,$C$5,$C$7,AG$1,AG$2,$A308)</f>
        <v>*KEY_ERR</v>
      </c>
      <c r="AH308" s="39" t="str">
        <f ca="1">_xll.DBRW($C$1,$C$2,$C$3,$C$4,$C$6,$C$5,$C$7,AH$1,AH$2,$A308)</f>
        <v>*KEY_ERR</v>
      </c>
      <c r="AI308" s="39" t="str">
        <f ca="1">_xll.DBRW($C$1,$C$2,$C$3,$C$4,$C$6,$C$5,$C$7,AI$1,AI$2,$A308)</f>
        <v>*KEY_ERR</v>
      </c>
      <c r="AJ308" s="39" t="str">
        <f ca="1">_xll.DBRW($C$1,$C$2,$C$3,$C$4,$C$6,$C$5,$C$7,AJ$1,AJ$2,$A308)</f>
        <v>*KEY_ERR</v>
      </c>
      <c r="AK308" s="39" t="str">
        <f ca="1">_xll.DBRW($C$1,$C$2,$C$3,$C$4,$C$6,$C$5,$C$7,AK$1,AK$2,$A308)</f>
        <v>*KEY_ERR</v>
      </c>
      <c r="AL308" s="39" t="str">
        <f ca="1">_xll.DBRW($C$1,$C$2,$C$3,$C$4,$C$6,$C$5,$C$7,AL$1,AL$2,$A308)</f>
        <v>*KEY_ERR</v>
      </c>
      <c r="AM308" s="39" t="str">
        <f ca="1">_xll.DBRW($C$1,$C$2,$C$3,$C$4,$C$6,$C$5,$C$7,AM$1,AM$2,$A308)</f>
        <v>*KEY_ERR</v>
      </c>
      <c r="AN308" s="39" t="str">
        <f ca="1">_xll.DBRW($C$1,$C$2,$C$3,$C$4,$C$6,$C$5,$C$7,AN$1,AN$2,$A308)</f>
        <v>*KEY_ERR</v>
      </c>
      <c r="AO308" s="39" t="str">
        <f ca="1">_xll.DBRW($C$1,$C$2,$C$3,$C$4,$C$6,$C$5,$C$7,AO$1,AO$2,$A308)</f>
        <v>*KEY_ERR</v>
      </c>
      <c r="AP308" s="39" t="str">
        <f ca="1">_xll.DBRW($C$1,$C$2,$C$3,$C$4,$C$6,$C$5,$C$7,AP$1,AP$2,$A308)</f>
        <v>*KEY_ERR</v>
      </c>
      <c r="AQ308" s="39" t="str">
        <f ca="1">_xll.DBRW($C$1,$C$2,$C$3,$C$4,$C$6,$C$5,$C$7,AQ$1,AQ$2,$A308)</f>
        <v>*KEY_ERR</v>
      </c>
      <c r="AR308" s="39" t="str">
        <f ca="1">_xll.DBRW($C$1,$C$2,$C$3,$C$4,$C$6,$C$5,$C$7,AR$1,AR$2,$A308)</f>
        <v>*KEY_ERR</v>
      </c>
      <c r="AS308" s="39" t="str">
        <f ca="1">_xll.DBRW($C$1,$C$2,$C$3,$C$4,$C$6,$C$5,$C$7,AS$1,AS$2,$A308)</f>
        <v>*KEY_ERR</v>
      </c>
      <c r="AT308" s="39" t="str">
        <f ca="1">_xll.DBRW($C$1,$C$2,$C$3,$C$4,$C$6,$C$5,$C$7,AT$1,AT$2,$A308)</f>
        <v>*KEY_ERR</v>
      </c>
      <c r="AU308" s="39" t="str">
        <f ca="1">_xll.DBRW($C$1,$C$2,$C$3,$C$4,$C$6,$C$5,$C$7,AU$1,AU$2,$A308)</f>
        <v>*KEY_ERR</v>
      </c>
      <c r="AV308" s="39" t="str">
        <f ca="1">_xll.DBRW($C$1,$C$2,$C$3,$C$4,$C$6,$C$5,$C$7,AV$1,AV$2,$A308)</f>
        <v>*KEY_ERR</v>
      </c>
      <c r="AW308" s="39" t="str">
        <f ca="1">_xll.DBRW($C$1,$C$2,$C$3,$C$4,$C$6,$C$5,$C$7,AW$1,AW$2,$A308)</f>
        <v>*KEY_ERR</v>
      </c>
      <c r="AX308" s="39" t="str">
        <f ca="1">_xll.DBRW($C$1,$C$2,$C$3,$C$4,$C$6,$C$5,$C$7,AX$1,AX$2,$A308)</f>
        <v>*KEY_ERR</v>
      </c>
      <c r="AY308" s="39" t="str">
        <f ca="1">_xll.DBRW($C$1,$C$2,$C$3,$C$4,$C$6,$C$5,$C$7,AY$1,AY$2,$A308)</f>
        <v>*KEY_ERR</v>
      </c>
    </row>
    <row r="309" spans="1:51" ht="15.5" hidden="1" outlineLevel="1">
      <c r="A309" s="75" t="s">
        <v>360</v>
      </c>
      <c r="B309" s="75"/>
      <c r="E309" s="9" t="str">
        <f ca="1">_xll.DBRW(Server&amp;"}ElementAttributes_Indicator",A309,"code_English")</f>
        <v>*KEY_ERR</v>
      </c>
      <c r="F309" s="39" t="str">
        <f ca="1">_xll.DBRW($C$1,$C$2,$C$3,$C$4,$C$6,$C$5,$C$7,F$1,F$2,$A309)</f>
        <v>*KEY_ERR</v>
      </c>
      <c r="G309" s="39" t="str">
        <f ca="1">_xll.DBRW($C$1,$C$2,$C$3,$C$4,$C$6,$C$5,$C$7,G$1,G$2,$A309)</f>
        <v>*KEY_ERR</v>
      </c>
      <c r="H309" s="39" t="str">
        <f ca="1">_xll.DBRW($C$1,$C$2,$C$3,$C$4,$C$6,$C$5,$C$7,H$1,H$2,$A309)</f>
        <v>*KEY_ERR</v>
      </c>
      <c r="I309" s="39" t="str">
        <f ca="1">_xll.DBRW($C$1,$C$2,$C$3,$C$4,$C$6,$C$5,$C$7,I$1,I$2,$A309)</f>
        <v>*KEY_ERR</v>
      </c>
      <c r="J309" s="39" t="str">
        <f ca="1">_xll.DBRW($C$1,$C$2,$C$3,$C$4,$C$6,$C$5,$C$7,J$1,J$2,$A309)</f>
        <v>*KEY_ERR</v>
      </c>
      <c r="K309" s="39" t="str">
        <f ca="1">_xll.DBRW($C$1,$C$2,$C$3,$C$4,$C$6,$C$5,$C$7,K$1,K$2,$A309)</f>
        <v>*KEY_ERR</v>
      </c>
      <c r="L309" s="39" t="str">
        <f ca="1">_xll.DBRW($C$1,$C$2,$C$3,$C$4,$C$6,$C$5,$C$7,L$1,L$2,$A309)</f>
        <v>*KEY_ERR</v>
      </c>
      <c r="M309" s="39" t="str">
        <f ca="1">_xll.DBRW($C$1,$C$2,$C$3,$C$4,$C$6,$C$5,$C$7,M$1,M$2,$A309)</f>
        <v>*KEY_ERR</v>
      </c>
      <c r="N309" s="39" t="str">
        <f ca="1">_xll.DBRW($C$1,$C$2,$C$3,$C$4,$C$6,$C$5,$C$7,N$1,N$2,$A309)</f>
        <v>*KEY_ERR</v>
      </c>
      <c r="O309" s="39" t="str">
        <f ca="1">_xll.DBRW($C$1,$C$2,$C$3,$C$4,$C$6,$C$5,$C$7,O$1,O$2,$A309)</f>
        <v>*KEY_ERR</v>
      </c>
      <c r="P309" s="39" t="str">
        <f ca="1">_xll.DBRW($C$1,$C$2,$C$3,$C$4,$C$6,$C$5,$C$7,P$1,P$2,$A309)</f>
        <v>*KEY_ERR</v>
      </c>
      <c r="Q309" s="39" t="str">
        <f ca="1">_xll.DBRW($C$1,$C$2,$C$3,$C$4,$C$6,$C$5,$C$7,Q$1,Q$2,$A309)</f>
        <v>*KEY_ERR</v>
      </c>
      <c r="R309" s="39" t="str">
        <f ca="1">_xll.DBRW($C$1,$C$2,$C$3,$C$4,$C$6,$C$5,$C$7,R$1,R$2,$A309)</f>
        <v>*KEY_ERR</v>
      </c>
      <c r="S309" s="39" t="str">
        <f ca="1">_xll.DBRW($C$1,$C$2,$C$3,$C$4,$C$6,$C$5,$C$7,S$1,S$2,$A309)</f>
        <v>*KEY_ERR</v>
      </c>
      <c r="T309" s="39" t="str">
        <f ca="1">_xll.DBRW($C$1,$C$2,$C$3,$C$4,$C$6,$C$5,$C$7,T$1,T$2,$A309)</f>
        <v>*KEY_ERR</v>
      </c>
      <c r="U309" s="39" t="str">
        <f ca="1">_xll.DBRW($C$1,$C$2,$C$3,$C$4,$C$6,$C$5,$C$7,U$1,U$2,$A309)</f>
        <v>*KEY_ERR</v>
      </c>
      <c r="V309" s="39" t="str">
        <f ca="1">_xll.DBRW($C$1,$C$2,$C$3,$C$4,$C$6,$C$5,$C$7,V$1,V$2,$A309)</f>
        <v>*KEY_ERR</v>
      </c>
      <c r="W309" s="39" t="str">
        <f ca="1">_xll.DBRW($C$1,$C$2,$C$3,$C$4,$C$6,$C$5,$C$7,W$1,W$2,$A309)</f>
        <v>*KEY_ERR</v>
      </c>
      <c r="X309" s="39" t="str">
        <f ca="1">_xll.DBRW($C$1,$C$2,$C$3,$C$4,$C$6,$C$5,$C$7,X$1,X$2,$A309)</f>
        <v>*KEY_ERR</v>
      </c>
      <c r="Y309" s="39" t="str">
        <f ca="1">_xll.DBRW($C$1,$C$2,$C$3,$C$4,$C$6,$C$5,$C$7,Y$1,Y$2,$A309)</f>
        <v>*KEY_ERR</v>
      </c>
      <c r="Z309" s="39" t="str">
        <f ca="1">_xll.DBRW($C$1,$C$2,$C$3,$C$4,$C$6,$C$5,$C$7,Z$1,Z$2,$A309)</f>
        <v>*KEY_ERR</v>
      </c>
      <c r="AA309" s="39" t="str">
        <f ca="1">_xll.DBRW($C$1,$C$2,$C$3,$C$4,$C$6,$C$5,$C$7,AA$1,AA$2,$A309)</f>
        <v>*KEY_ERR</v>
      </c>
      <c r="AB309" s="39" t="str">
        <f ca="1">_xll.DBRW($C$1,$C$2,$C$3,$C$4,$C$6,$C$5,$C$7,AB$1,AB$2,$A309)</f>
        <v>*KEY_ERR</v>
      </c>
      <c r="AC309" s="39" t="str">
        <f ca="1">_xll.DBRW($C$1,$C$2,$C$3,$C$4,$C$6,$C$5,$C$7,AC$1,AC$2,$A309)</f>
        <v>*KEY_ERR</v>
      </c>
      <c r="AD309" s="39" t="str">
        <f ca="1">_xll.DBRW($C$1,$C$2,$C$3,$C$4,$C$6,$C$5,$C$7,AD$1,AD$2,$A309)</f>
        <v>*KEY_ERR</v>
      </c>
      <c r="AE309" s="39" t="str">
        <f ca="1">_xll.DBRW($C$1,$C$2,$C$3,$C$4,$C$6,$C$5,$C$7,AE$1,AE$2,$A309)</f>
        <v>*KEY_ERR</v>
      </c>
      <c r="AF309" s="39" t="str">
        <f ca="1">_xll.DBRW($C$1,$C$2,$C$3,$C$4,$C$6,$C$5,$C$7,AF$1,AF$2,$A309)</f>
        <v>*KEY_ERR</v>
      </c>
      <c r="AG309" s="39" t="str">
        <f ca="1">_xll.DBRW($C$1,$C$2,$C$3,$C$4,$C$6,$C$5,$C$7,AG$1,AG$2,$A309)</f>
        <v>*KEY_ERR</v>
      </c>
      <c r="AH309" s="39" t="str">
        <f ca="1">_xll.DBRW($C$1,$C$2,$C$3,$C$4,$C$6,$C$5,$C$7,AH$1,AH$2,$A309)</f>
        <v>*KEY_ERR</v>
      </c>
      <c r="AI309" s="39" t="str">
        <f ca="1">_xll.DBRW($C$1,$C$2,$C$3,$C$4,$C$6,$C$5,$C$7,AI$1,AI$2,$A309)</f>
        <v>*KEY_ERR</v>
      </c>
      <c r="AJ309" s="39" t="str">
        <f ca="1">_xll.DBRW($C$1,$C$2,$C$3,$C$4,$C$6,$C$5,$C$7,AJ$1,AJ$2,$A309)</f>
        <v>*KEY_ERR</v>
      </c>
      <c r="AK309" s="39" t="str">
        <f ca="1">_xll.DBRW($C$1,$C$2,$C$3,$C$4,$C$6,$C$5,$C$7,AK$1,AK$2,$A309)</f>
        <v>*KEY_ERR</v>
      </c>
      <c r="AL309" s="39" t="str">
        <f ca="1">_xll.DBRW($C$1,$C$2,$C$3,$C$4,$C$6,$C$5,$C$7,AL$1,AL$2,$A309)</f>
        <v>*KEY_ERR</v>
      </c>
      <c r="AM309" s="39" t="str">
        <f ca="1">_xll.DBRW($C$1,$C$2,$C$3,$C$4,$C$6,$C$5,$C$7,AM$1,AM$2,$A309)</f>
        <v>*KEY_ERR</v>
      </c>
      <c r="AN309" s="39" t="str">
        <f ca="1">_xll.DBRW($C$1,$C$2,$C$3,$C$4,$C$6,$C$5,$C$7,AN$1,AN$2,$A309)</f>
        <v>*KEY_ERR</v>
      </c>
      <c r="AO309" s="39" t="str">
        <f ca="1">_xll.DBRW($C$1,$C$2,$C$3,$C$4,$C$6,$C$5,$C$7,AO$1,AO$2,$A309)</f>
        <v>*KEY_ERR</v>
      </c>
      <c r="AP309" s="39" t="str">
        <f ca="1">_xll.DBRW($C$1,$C$2,$C$3,$C$4,$C$6,$C$5,$C$7,AP$1,AP$2,$A309)</f>
        <v>*KEY_ERR</v>
      </c>
      <c r="AQ309" s="39" t="str">
        <f ca="1">_xll.DBRW($C$1,$C$2,$C$3,$C$4,$C$6,$C$5,$C$7,AQ$1,AQ$2,$A309)</f>
        <v>*KEY_ERR</v>
      </c>
      <c r="AR309" s="39" t="str">
        <f ca="1">_xll.DBRW($C$1,$C$2,$C$3,$C$4,$C$6,$C$5,$C$7,AR$1,AR$2,$A309)</f>
        <v>*KEY_ERR</v>
      </c>
      <c r="AS309" s="39" t="str">
        <f ca="1">_xll.DBRW($C$1,$C$2,$C$3,$C$4,$C$6,$C$5,$C$7,AS$1,AS$2,$A309)</f>
        <v>*KEY_ERR</v>
      </c>
      <c r="AT309" s="39" t="str">
        <f ca="1">_xll.DBRW($C$1,$C$2,$C$3,$C$4,$C$6,$C$5,$C$7,AT$1,AT$2,$A309)</f>
        <v>*KEY_ERR</v>
      </c>
      <c r="AU309" s="39" t="str">
        <f ca="1">_xll.DBRW($C$1,$C$2,$C$3,$C$4,$C$6,$C$5,$C$7,AU$1,AU$2,$A309)</f>
        <v>*KEY_ERR</v>
      </c>
      <c r="AV309" s="39" t="str">
        <f ca="1">_xll.DBRW($C$1,$C$2,$C$3,$C$4,$C$6,$C$5,$C$7,AV$1,AV$2,$A309)</f>
        <v>*KEY_ERR</v>
      </c>
      <c r="AW309" s="39" t="str">
        <f ca="1">_xll.DBRW($C$1,$C$2,$C$3,$C$4,$C$6,$C$5,$C$7,AW$1,AW$2,$A309)</f>
        <v>*KEY_ERR</v>
      </c>
      <c r="AX309" s="39" t="str">
        <f ca="1">_xll.DBRW($C$1,$C$2,$C$3,$C$4,$C$6,$C$5,$C$7,AX$1,AX$2,$A309)</f>
        <v>*KEY_ERR</v>
      </c>
      <c r="AY309" s="39" t="str">
        <f ca="1">_xll.DBRW($C$1,$C$2,$C$3,$C$4,$C$6,$C$5,$C$7,AY$1,AY$2,$A309)</f>
        <v>*KEY_ERR</v>
      </c>
    </row>
    <row r="310" spans="1:51" ht="15.5" hidden="1" outlineLevel="1">
      <c r="A310" s="75" t="s">
        <v>361</v>
      </c>
      <c r="B310" s="75"/>
      <c r="E310" s="9" t="str">
        <f ca="1">_xll.DBRW(Server&amp;"}ElementAttributes_Indicator",A310,"code_English")</f>
        <v>*KEY_ERR</v>
      </c>
      <c r="F310" s="39" t="str">
        <f ca="1">_xll.DBRW($C$1,$C$2,$C$3,$C$4,$C$6,$C$5,$C$7,F$1,F$2,$A310)</f>
        <v>*KEY_ERR</v>
      </c>
      <c r="G310" s="39" t="str">
        <f ca="1">_xll.DBRW($C$1,$C$2,$C$3,$C$4,$C$6,$C$5,$C$7,G$1,G$2,$A310)</f>
        <v>*KEY_ERR</v>
      </c>
      <c r="H310" s="39" t="str">
        <f ca="1">_xll.DBRW($C$1,$C$2,$C$3,$C$4,$C$6,$C$5,$C$7,H$1,H$2,$A310)</f>
        <v>*KEY_ERR</v>
      </c>
      <c r="I310" s="39" t="str">
        <f ca="1">_xll.DBRW($C$1,$C$2,$C$3,$C$4,$C$6,$C$5,$C$7,I$1,I$2,$A310)</f>
        <v>*KEY_ERR</v>
      </c>
      <c r="J310" s="39" t="str">
        <f ca="1">_xll.DBRW($C$1,$C$2,$C$3,$C$4,$C$6,$C$5,$C$7,J$1,J$2,$A310)</f>
        <v>*KEY_ERR</v>
      </c>
      <c r="K310" s="39" t="str">
        <f ca="1">_xll.DBRW($C$1,$C$2,$C$3,$C$4,$C$6,$C$5,$C$7,K$1,K$2,$A310)</f>
        <v>*KEY_ERR</v>
      </c>
      <c r="L310" s="39" t="str">
        <f ca="1">_xll.DBRW($C$1,$C$2,$C$3,$C$4,$C$6,$C$5,$C$7,L$1,L$2,$A310)</f>
        <v>*KEY_ERR</v>
      </c>
      <c r="M310" s="39" t="str">
        <f ca="1">_xll.DBRW($C$1,$C$2,$C$3,$C$4,$C$6,$C$5,$C$7,M$1,M$2,$A310)</f>
        <v>*KEY_ERR</v>
      </c>
      <c r="N310" s="39" t="str">
        <f ca="1">_xll.DBRW($C$1,$C$2,$C$3,$C$4,$C$6,$C$5,$C$7,N$1,N$2,$A310)</f>
        <v>*KEY_ERR</v>
      </c>
      <c r="O310" s="39" t="str">
        <f ca="1">_xll.DBRW($C$1,$C$2,$C$3,$C$4,$C$6,$C$5,$C$7,O$1,O$2,$A310)</f>
        <v>*KEY_ERR</v>
      </c>
      <c r="P310" s="39" t="str">
        <f ca="1">_xll.DBRW($C$1,$C$2,$C$3,$C$4,$C$6,$C$5,$C$7,P$1,P$2,$A310)</f>
        <v>*KEY_ERR</v>
      </c>
      <c r="Q310" s="39" t="str">
        <f ca="1">_xll.DBRW($C$1,$C$2,$C$3,$C$4,$C$6,$C$5,$C$7,Q$1,Q$2,$A310)</f>
        <v>*KEY_ERR</v>
      </c>
      <c r="R310" s="39" t="str">
        <f ca="1">_xll.DBRW($C$1,$C$2,$C$3,$C$4,$C$6,$C$5,$C$7,R$1,R$2,$A310)</f>
        <v>*KEY_ERR</v>
      </c>
      <c r="S310" s="39" t="str">
        <f ca="1">_xll.DBRW($C$1,$C$2,$C$3,$C$4,$C$6,$C$5,$C$7,S$1,S$2,$A310)</f>
        <v>*KEY_ERR</v>
      </c>
      <c r="T310" s="39" t="str">
        <f ca="1">_xll.DBRW($C$1,$C$2,$C$3,$C$4,$C$6,$C$5,$C$7,T$1,T$2,$A310)</f>
        <v>*KEY_ERR</v>
      </c>
      <c r="U310" s="39" t="str">
        <f ca="1">_xll.DBRW($C$1,$C$2,$C$3,$C$4,$C$6,$C$5,$C$7,U$1,U$2,$A310)</f>
        <v>*KEY_ERR</v>
      </c>
      <c r="V310" s="39" t="str">
        <f ca="1">_xll.DBRW($C$1,$C$2,$C$3,$C$4,$C$6,$C$5,$C$7,V$1,V$2,$A310)</f>
        <v>*KEY_ERR</v>
      </c>
      <c r="W310" s="39" t="str">
        <f ca="1">_xll.DBRW($C$1,$C$2,$C$3,$C$4,$C$6,$C$5,$C$7,W$1,W$2,$A310)</f>
        <v>*KEY_ERR</v>
      </c>
      <c r="X310" s="39" t="str">
        <f ca="1">_xll.DBRW($C$1,$C$2,$C$3,$C$4,$C$6,$C$5,$C$7,X$1,X$2,$A310)</f>
        <v>*KEY_ERR</v>
      </c>
      <c r="Y310" s="39" t="str">
        <f ca="1">_xll.DBRW($C$1,$C$2,$C$3,$C$4,$C$6,$C$5,$C$7,Y$1,Y$2,$A310)</f>
        <v>*KEY_ERR</v>
      </c>
      <c r="Z310" s="39" t="str">
        <f ca="1">_xll.DBRW($C$1,$C$2,$C$3,$C$4,$C$6,$C$5,$C$7,Z$1,Z$2,$A310)</f>
        <v>*KEY_ERR</v>
      </c>
      <c r="AA310" s="39" t="str">
        <f ca="1">_xll.DBRW($C$1,$C$2,$C$3,$C$4,$C$6,$C$5,$C$7,AA$1,AA$2,$A310)</f>
        <v>*KEY_ERR</v>
      </c>
      <c r="AB310" s="39" t="str">
        <f ca="1">_xll.DBRW($C$1,$C$2,$C$3,$C$4,$C$6,$C$5,$C$7,AB$1,AB$2,$A310)</f>
        <v>*KEY_ERR</v>
      </c>
      <c r="AC310" s="39" t="str">
        <f ca="1">_xll.DBRW($C$1,$C$2,$C$3,$C$4,$C$6,$C$5,$C$7,AC$1,AC$2,$A310)</f>
        <v>*KEY_ERR</v>
      </c>
      <c r="AD310" s="39" t="str">
        <f ca="1">_xll.DBRW($C$1,$C$2,$C$3,$C$4,$C$6,$C$5,$C$7,AD$1,AD$2,$A310)</f>
        <v>*KEY_ERR</v>
      </c>
      <c r="AE310" s="39" t="str">
        <f ca="1">_xll.DBRW($C$1,$C$2,$C$3,$C$4,$C$6,$C$5,$C$7,AE$1,AE$2,$A310)</f>
        <v>*KEY_ERR</v>
      </c>
      <c r="AF310" s="39" t="str">
        <f ca="1">_xll.DBRW($C$1,$C$2,$C$3,$C$4,$C$6,$C$5,$C$7,AF$1,AF$2,$A310)</f>
        <v>*KEY_ERR</v>
      </c>
      <c r="AG310" s="39" t="str">
        <f ca="1">_xll.DBRW($C$1,$C$2,$C$3,$C$4,$C$6,$C$5,$C$7,AG$1,AG$2,$A310)</f>
        <v>*KEY_ERR</v>
      </c>
      <c r="AH310" s="39" t="str">
        <f ca="1">_xll.DBRW($C$1,$C$2,$C$3,$C$4,$C$6,$C$5,$C$7,AH$1,AH$2,$A310)</f>
        <v>*KEY_ERR</v>
      </c>
      <c r="AI310" s="39" t="str">
        <f ca="1">_xll.DBRW($C$1,$C$2,$C$3,$C$4,$C$6,$C$5,$C$7,AI$1,AI$2,$A310)</f>
        <v>*KEY_ERR</v>
      </c>
      <c r="AJ310" s="39" t="str">
        <f ca="1">_xll.DBRW($C$1,$C$2,$C$3,$C$4,$C$6,$C$5,$C$7,AJ$1,AJ$2,$A310)</f>
        <v>*KEY_ERR</v>
      </c>
      <c r="AK310" s="39" t="str">
        <f ca="1">_xll.DBRW($C$1,$C$2,$C$3,$C$4,$C$6,$C$5,$C$7,AK$1,AK$2,$A310)</f>
        <v>*KEY_ERR</v>
      </c>
      <c r="AL310" s="39" t="str">
        <f ca="1">_xll.DBRW($C$1,$C$2,$C$3,$C$4,$C$6,$C$5,$C$7,AL$1,AL$2,$A310)</f>
        <v>*KEY_ERR</v>
      </c>
      <c r="AM310" s="39" t="str">
        <f ca="1">_xll.DBRW($C$1,$C$2,$C$3,$C$4,$C$6,$C$5,$C$7,AM$1,AM$2,$A310)</f>
        <v>*KEY_ERR</v>
      </c>
      <c r="AN310" s="39" t="str">
        <f ca="1">_xll.DBRW($C$1,$C$2,$C$3,$C$4,$C$6,$C$5,$C$7,AN$1,AN$2,$A310)</f>
        <v>*KEY_ERR</v>
      </c>
      <c r="AO310" s="39" t="str">
        <f ca="1">_xll.DBRW($C$1,$C$2,$C$3,$C$4,$C$6,$C$5,$C$7,AO$1,AO$2,$A310)</f>
        <v>*KEY_ERR</v>
      </c>
      <c r="AP310" s="39" t="str">
        <f ca="1">_xll.DBRW($C$1,$C$2,$C$3,$C$4,$C$6,$C$5,$C$7,AP$1,AP$2,$A310)</f>
        <v>*KEY_ERR</v>
      </c>
      <c r="AQ310" s="39" t="str">
        <f ca="1">_xll.DBRW($C$1,$C$2,$C$3,$C$4,$C$6,$C$5,$C$7,AQ$1,AQ$2,$A310)</f>
        <v>*KEY_ERR</v>
      </c>
      <c r="AR310" s="39" t="str">
        <f ca="1">_xll.DBRW($C$1,$C$2,$C$3,$C$4,$C$6,$C$5,$C$7,AR$1,AR$2,$A310)</f>
        <v>*KEY_ERR</v>
      </c>
      <c r="AS310" s="39" t="str">
        <f ca="1">_xll.DBRW($C$1,$C$2,$C$3,$C$4,$C$6,$C$5,$C$7,AS$1,AS$2,$A310)</f>
        <v>*KEY_ERR</v>
      </c>
      <c r="AT310" s="39" t="str">
        <f ca="1">_xll.DBRW($C$1,$C$2,$C$3,$C$4,$C$6,$C$5,$C$7,AT$1,AT$2,$A310)</f>
        <v>*KEY_ERR</v>
      </c>
      <c r="AU310" s="39" t="str">
        <f ca="1">_xll.DBRW($C$1,$C$2,$C$3,$C$4,$C$6,$C$5,$C$7,AU$1,AU$2,$A310)</f>
        <v>*KEY_ERR</v>
      </c>
      <c r="AV310" s="39" t="str">
        <f ca="1">_xll.DBRW($C$1,$C$2,$C$3,$C$4,$C$6,$C$5,$C$7,AV$1,AV$2,$A310)</f>
        <v>*KEY_ERR</v>
      </c>
      <c r="AW310" s="39" t="str">
        <f ca="1">_xll.DBRW($C$1,$C$2,$C$3,$C$4,$C$6,$C$5,$C$7,AW$1,AW$2,$A310)</f>
        <v>*KEY_ERR</v>
      </c>
      <c r="AX310" s="39" t="str">
        <f ca="1">_xll.DBRW($C$1,$C$2,$C$3,$C$4,$C$6,$C$5,$C$7,AX$1,AX$2,$A310)</f>
        <v>*KEY_ERR</v>
      </c>
      <c r="AY310" s="39" t="str">
        <f ca="1">_xll.DBRW($C$1,$C$2,$C$3,$C$4,$C$6,$C$5,$C$7,AY$1,AY$2,$A310)</f>
        <v>*KEY_ERR</v>
      </c>
    </row>
    <row r="311" spans="1:51" ht="15.5" hidden="1" outlineLevel="1">
      <c r="A311" s="75" t="s">
        <v>362</v>
      </c>
      <c r="B311" s="75"/>
      <c r="E311" s="9" t="str">
        <f ca="1">_xll.DBRW(Server&amp;"}ElementAttributes_Indicator",A311,"code_English")</f>
        <v>*KEY_ERR</v>
      </c>
      <c r="F311" s="39" t="str">
        <f ca="1">_xll.DBRW($C$1,$C$2,$C$3,$C$4,$C$6,$C$5,$C$7,F$1,F$2,$A311)</f>
        <v>*KEY_ERR</v>
      </c>
      <c r="G311" s="39" t="str">
        <f ca="1">_xll.DBRW($C$1,$C$2,$C$3,$C$4,$C$6,$C$5,$C$7,G$1,G$2,$A311)</f>
        <v>*KEY_ERR</v>
      </c>
      <c r="H311" s="39" t="str">
        <f ca="1">_xll.DBRW($C$1,$C$2,$C$3,$C$4,$C$6,$C$5,$C$7,H$1,H$2,$A311)</f>
        <v>*KEY_ERR</v>
      </c>
      <c r="I311" s="39" t="str">
        <f ca="1">_xll.DBRW($C$1,$C$2,$C$3,$C$4,$C$6,$C$5,$C$7,I$1,I$2,$A311)</f>
        <v>*KEY_ERR</v>
      </c>
      <c r="J311" s="39" t="str">
        <f ca="1">_xll.DBRW($C$1,$C$2,$C$3,$C$4,$C$6,$C$5,$C$7,J$1,J$2,$A311)</f>
        <v>*KEY_ERR</v>
      </c>
      <c r="K311" s="39" t="str">
        <f ca="1">_xll.DBRW($C$1,$C$2,$C$3,$C$4,$C$6,$C$5,$C$7,K$1,K$2,$A311)</f>
        <v>*KEY_ERR</v>
      </c>
      <c r="L311" s="39" t="str">
        <f ca="1">_xll.DBRW($C$1,$C$2,$C$3,$C$4,$C$6,$C$5,$C$7,L$1,L$2,$A311)</f>
        <v>*KEY_ERR</v>
      </c>
      <c r="M311" s="39" t="str">
        <f ca="1">_xll.DBRW($C$1,$C$2,$C$3,$C$4,$C$6,$C$5,$C$7,M$1,M$2,$A311)</f>
        <v>*KEY_ERR</v>
      </c>
      <c r="N311" s="39" t="str">
        <f ca="1">_xll.DBRW($C$1,$C$2,$C$3,$C$4,$C$6,$C$5,$C$7,N$1,N$2,$A311)</f>
        <v>*KEY_ERR</v>
      </c>
      <c r="O311" s="39" t="str">
        <f ca="1">_xll.DBRW($C$1,$C$2,$C$3,$C$4,$C$6,$C$5,$C$7,O$1,O$2,$A311)</f>
        <v>*KEY_ERR</v>
      </c>
      <c r="P311" s="39" t="str">
        <f ca="1">_xll.DBRW($C$1,$C$2,$C$3,$C$4,$C$6,$C$5,$C$7,P$1,P$2,$A311)</f>
        <v>*KEY_ERR</v>
      </c>
      <c r="Q311" s="39" t="str">
        <f ca="1">_xll.DBRW($C$1,$C$2,$C$3,$C$4,$C$6,$C$5,$C$7,Q$1,Q$2,$A311)</f>
        <v>*KEY_ERR</v>
      </c>
      <c r="R311" s="39" t="str">
        <f ca="1">_xll.DBRW($C$1,$C$2,$C$3,$C$4,$C$6,$C$5,$C$7,R$1,R$2,$A311)</f>
        <v>*KEY_ERR</v>
      </c>
      <c r="S311" s="39" t="str">
        <f ca="1">_xll.DBRW($C$1,$C$2,$C$3,$C$4,$C$6,$C$5,$C$7,S$1,S$2,$A311)</f>
        <v>*KEY_ERR</v>
      </c>
      <c r="T311" s="39" t="str">
        <f ca="1">_xll.DBRW($C$1,$C$2,$C$3,$C$4,$C$6,$C$5,$C$7,T$1,T$2,$A311)</f>
        <v>*KEY_ERR</v>
      </c>
      <c r="U311" s="39" t="str">
        <f ca="1">_xll.DBRW($C$1,$C$2,$C$3,$C$4,$C$6,$C$5,$C$7,U$1,U$2,$A311)</f>
        <v>*KEY_ERR</v>
      </c>
      <c r="V311" s="39" t="str">
        <f ca="1">_xll.DBRW($C$1,$C$2,$C$3,$C$4,$C$6,$C$5,$C$7,V$1,V$2,$A311)</f>
        <v>*KEY_ERR</v>
      </c>
      <c r="W311" s="39" t="str">
        <f ca="1">_xll.DBRW($C$1,$C$2,$C$3,$C$4,$C$6,$C$5,$C$7,W$1,W$2,$A311)</f>
        <v>*KEY_ERR</v>
      </c>
      <c r="X311" s="39" t="str">
        <f ca="1">_xll.DBRW($C$1,$C$2,$C$3,$C$4,$C$6,$C$5,$C$7,X$1,X$2,$A311)</f>
        <v>*KEY_ERR</v>
      </c>
      <c r="Y311" s="39" t="str">
        <f ca="1">_xll.DBRW($C$1,$C$2,$C$3,$C$4,$C$6,$C$5,$C$7,Y$1,Y$2,$A311)</f>
        <v>*KEY_ERR</v>
      </c>
      <c r="Z311" s="39" t="str">
        <f ca="1">_xll.DBRW($C$1,$C$2,$C$3,$C$4,$C$6,$C$5,$C$7,Z$1,Z$2,$A311)</f>
        <v>*KEY_ERR</v>
      </c>
      <c r="AA311" s="39" t="str">
        <f ca="1">_xll.DBRW($C$1,$C$2,$C$3,$C$4,$C$6,$C$5,$C$7,AA$1,AA$2,$A311)</f>
        <v>*KEY_ERR</v>
      </c>
      <c r="AB311" s="39" t="str">
        <f ca="1">_xll.DBRW($C$1,$C$2,$C$3,$C$4,$C$6,$C$5,$C$7,AB$1,AB$2,$A311)</f>
        <v>*KEY_ERR</v>
      </c>
      <c r="AC311" s="39" t="str">
        <f ca="1">_xll.DBRW($C$1,$C$2,$C$3,$C$4,$C$6,$C$5,$C$7,AC$1,AC$2,$A311)</f>
        <v>*KEY_ERR</v>
      </c>
      <c r="AD311" s="39" t="str">
        <f ca="1">_xll.DBRW($C$1,$C$2,$C$3,$C$4,$C$6,$C$5,$C$7,AD$1,AD$2,$A311)</f>
        <v>*KEY_ERR</v>
      </c>
      <c r="AE311" s="39" t="str">
        <f ca="1">_xll.DBRW($C$1,$C$2,$C$3,$C$4,$C$6,$C$5,$C$7,AE$1,AE$2,$A311)</f>
        <v>*KEY_ERR</v>
      </c>
      <c r="AF311" s="39" t="str">
        <f ca="1">_xll.DBRW($C$1,$C$2,$C$3,$C$4,$C$6,$C$5,$C$7,AF$1,AF$2,$A311)</f>
        <v>*KEY_ERR</v>
      </c>
      <c r="AG311" s="39" t="str">
        <f ca="1">_xll.DBRW($C$1,$C$2,$C$3,$C$4,$C$6,$C$5,$C$7,AG$1,AG$2,$A311)</f>
        <v>*KEY_ERR</v>
      </c>
      <c r="AH311" s="39" t="str">
        <f ca="1">_xll.DBRW($C$1,$C$2,$C$3,$C$4,$C$6,$C$5,$C$7,AH$1,AH$2,$A311)</f>
        <v>*KEY_ERR</v>
      </c>
      <c r="AI311" s="39" t="str">
        <f ca="1">_xll.DBRW($C$1,$C$2,$C$3,$C$4,$C$6,$C$5,$C$7,AI$1,AI$2,$A311)</f>
        <v>*KEY_ERR</v>
      </c>
      <c r="AJ311" s="39" t="str">
        <f ca="1">_xll.DBRW($C$1,$C$2,$C$3,$C$4,$C$6,$C$5,$C$7,AJ$1,AJ$2,$A311)</f>
        <v>*KEY_ERR</v>
      </c>
      <c r="AK311" s="39" t="str">
        <f ca="1">_xll.DBRW($C$1,$C$2,$C$3,$C$4,$C$6,$C$5,$C$7,AK$1,AK$2,$A311)</f>
        <v>*KEY_ERR</v>
      </c>
      <c r="AL311" s="39" t="str">
        <f ca="1">_xll.DBRW($C$1,$C$2,$C$3,$C$4,$C$6,$C$5,$C$7,AL$1,AL$2,$A311)</f>
        <v>*KEY_ERR</v>
      </c>
      <c r="AM311" s="39" t="str">
        <f ca="1">_xll.DBRW($C$1,$C$2,$C$3,$C$4,$C$6,$C$5,$C$7,AM$1,AM$2,$A311)</f>
        <v>*KEY_ERR</v>
      </c>
      <c r="AN311" s="39" t="str">
        <f ca="1">_xll.DBRW($C$1,$C$2,$C$3,$C$4,$C$6,$C$5,$C$7,AN$1,AN$2,$A311)</f>
        <v>*KEY_ERR</v>
      </c>
      <c r="AO311" s="39" t="str">
        <f ca="1">_xll.DBRW($C$1,$C$2,$C$3,$C$4,$C$6,$C$5,$C$7,AO$1,AO$2,$A311)</f>
        <v>*KEY_ERR</v>
      </c>
      <c r="AP311" s="39" t="str">
        <f ca="1">_xll.DBRW($C$1,$C$2,$C$3,$C$4,$C$6,$C$5,$C$7,AP$1,AP$2,$A311)</f>
        <v>*KEY_ERR</v>
      </c>
      <c r="AQ311" s="39" t="str">
        <f ca="1">_xll.DBRW($C$1,$C$2,$C$3,$C$4,$C$6,$C$5,$C$7,AQ$1,AQ$2,$A311)</f>
        <v>*KEY_ERR</v>
      </c>
      <c r="AR311" s="39" t="str">
        <f ca="1">_xll.DBRW($C$1,$C$2,$C$3,$C$4,$C$6,$C$5,$C$7,AR$1,AR$2,$A311)</f>
        <v>*KEY_ERR</v>
      </c>
      <c r="AS311" s="39" t="str">
        <f ca="1">_xll.DBRW($C$1,$C$2,$C$3,$C$4,$C$6,$C$5,$C$7,AS$1,AS$2,$A311)</f>
        <v>*KEY_ERR</v>
      </c>
      <c r="AT311" s="39" t="str">
        <f ca="1">_xll.DBRW($C$1,$C$2,$C$3,$C$4,$C$6,$C$5,$C$7,AT$1,AT$2,$A311)</f>
        <v>*KEY_ERR</v>
      </c>
      <c r="AU311" s="39" t="str">
        <f ca="1">_xll.DBRW($C$1,$C$2,$C$3,$C$4,$C$6,$C$5,$C$7,AU$1,AU$2,$A311)</f>
        <v>*KEY_ERR</v>
      </c>
      <c r="AV311" s="39" t="str">
        <f ca="1">_xll.DBRW($C$1,$C$2,$C$3,$C$4,$C$6,$C$5,$C$7,AV$1,AV$2,$A311)</f>
        <v>*KEY_ERR</v>
      </c>
      <c r="AW311" s="39" t="str">
        <f ca="1">_xll.DBRW($C$1,$C$2,$C$3,$C$4,$C$6,$C$5,$C$7,AW$1,AW$2,$A311)</f>
        <v>*KEY_ERR</v>
      </c>
      <c r="AX311" s="39" t="str">
        <f ca="1">_xll.DBRW($C$1,$C$2,$C$3,$C$4,$C$6,$C$5,$C$7,AX$1,AX$2,$A311)</f>
        <v>*KEY_ERR</v>
      </c>
      <c r="AY311" s="39" t="str">
        <f ca="1">_xll.DBRW($C$1,$C$2,$C$3,$C$4,$C$6,$C$5,$C$7,AY$1,AY$2,$A311)</f>
        <v>*KEY_ERR</v>
      </c>
    </row>
    <row r="312" spans="1:51" ht="15.5" hidden="1" outlineLevel="1">
      <c r="A312" s="75" t="s">
        <v>363</v>
      </c>
      <c r="B312" s="75"/>
      <c r="E312" s="9" t="str">
        <f ca="1">_xll.DBRW(Server&amp;"}ElementAttributes_Indicator",A312,"code_English")</f>
        <v>*KEY_ERR</v>
      </c>
      <c r="F312" s="39" t="str">
        <f ca="1">_xll.DBRW($C$1,$C$2,$C$3,$C$4,$C$6,$C$5,$C$7,F$1,F$2,$A312)</f>
        <v>*KEY_ERR</v>
      </c>
      <c r="G312" s="39" t="str">
        <f ca="1">_xll.DBRW($C$1,$C$2,$C$3,$C$4,$C$6,$C$5,$C$7,G$1,G$2,$A312)</f>
        <v>*KEY_ERR</v>
      </c>
      <c r="H312" s="39" t="str">
        <f ca="1">_xll.DBRW($C$1,$C$2,$C$3,$C$4,$C$6,$C$5,$C$7,H$1,H$2,$A312)</f>
        <v>*KEY_ERR</v>
      </c>
      <c r="I312" s="39" t="str">
        <f ca="1">_xll.DBRW($C$1,$C$2,$C$3,$C$4,$C$6,$C$5,$C$7,I$1,I$2,$A312)</f>
        <v>*KEY_ERR</v>
      </c>
      <c r="J312" s="39" t="str">
        <f ca="1">_xll.DBRW($C$1,$C$2,$C$3,$C$4,$C$6,$C$5,$C$7,J$1,J$2,$A312)</f>
        <v>*KEY_ERR</v>
      </c>
      <c r="K312" s="39" t="str">
        <f ca="1">_xll.DBRW($C$1,$C$2,$C$3,$C$4,$C$6,$C$5,$C$7,K$1,K$2,$A312)</f>
        <v>*KEY_ERR</v>
      </c>
      <c r="L312" s="39" t="str">
        <f ca="1">_xll.DBRW($C$1,$C$2,$C$3,$C$4,$C$6,$C$5,$C$7,L$1,L$2,$A312)</f>
        <v>*KEY_ERR</v>
      </c>
      <c r="M312" s="39" t="str">
        <f ca="1">_xll.DBRW($C$1,$C$2,$C$3,$C$4,$C$6,$C$5,$C$7,M$1,M$2,$A312)</f>
        <v>*KEY_ERR</v>
      </c>
      <c r="N312" s="39" t="str">
        <f ca="1">_xll.DBRW($C$1,$C$2,$C$3,$C$4,$C$6,$C$5,$C$7,N$1,N$2,$A312)</f>
        <v>*KEY_ERR</v>
      </c>
      <c r="O312" s="39" t="str">
        <f ca="1">_xll.DBRW($C$1,$C$2,$C$3,$C$4,$C$6,$C$5,$C$7,O$1,O$2,$A312)</f>
        <v>*KEY_ERR</v>
      </c>
      <c r="P312" s="39" t="str">
        <f ca="1">_xll.DBRW($C$1,$C$2,$C$3,$C$4,$C$6,$C$5,$C$7,P$1,P$2,$A312)</f>
        <v>*KEY_ERR</v>
      </c>
      <c r="Q312" s="39" t="str">
        <f ca="1">_xll.DBRW($C$1,$C$2,$C$3,$C$4,$C$6,$C$5,$C$7,Q$1,Q$2,$A312)</f>
        <v>*KEY_ERR</v>
      </c>
      <c r="R312" s="39" t="str">
        <f ca="1">_xll.DBRW($C$1,$C$2,$C$3,$C$4,$C$6,$C$5,$C$7,R$1,R$2,$A312)</f>
        <v>*KEY_ERR</v>
      </c>
      <c r="S312" s="39" t="str">
        <f ca="1">_xll.DBRW($C$1,$C$2,$C$3,$C$4,$C$6,$C$5,$C$7,S$1,S$2,$A312)</f>
        <v>*KEY_ERR</v>
      </c>
      <c r="T312" s="39" t="str">
        <f ca="1">_xll.DBRW($C$1,$C$2,$C$3,$C$4,$C$6,$C$5,$C$7,T$1,T$2,$A312)</f>
        <v>*KEY_ERR</v>
      </c>
      <c r="U312" s="39" t="str">
        <f ca="1">_xll.DBRW($C$1,$C$2,$C$3,$C$4,$C$6,$C$5,$C$7,U$1,U$2,$A312)</f>
        <v>*KEY_ERR</v>
      </c>
      <c r="V312" s="39" t="str">
        <f ca="1">_xll.DBRW($C$1,$C$2,$C$3,$C$4,$C$6,$C$5,$C$7,V$1,V$2,$A312)</f>
        <v>*KEY_ERR</v>
      </c>
      <c r="W312" s="39" t="str">
        <f ca="1">_xll.DBRW($C$1,$C$2,$C$3,$C$4,$C$6,$C$5,$C$7,W$1,W$2,$A312)</f>
        <v>*KEY_ERR</v>
      </c>
      <c r="X312" s="39" t="str">
        <f ca="1">_xll.DBRW($C$1,$C$2,$C$3,$C$4,$C$6,$C$5,$C$7,X$1,X$2,$A312)</f>
        <v>*KEY_ERR</v>
      </c>
      <c r="Y312" s="39" t="str">
        <f ca="1">_xll.DBRW($C$1,$C$2,$C$3,$C$4,$C$6,$C$5,$C$7,Y$1,Y$2,$A312)</f>
        <v>*KEY_ERR</v>
      </c>
      <c r="Z312" s="39" t="str">
        <f ca="1">_xll.DBRW($C$1,$C$2,$C$3,$C$4,$C$6,$C$5,$C$7,Z$1,Z$2,$A312)</f>
        <v>*KEY_ERR</v>
      </c>
      <c r="AA312" s="39" t="str">
        <f ca="1">_xll.DBRW($C$1,$C$2,$C$3,$C$4,$C$6,$C$5,$C$7,AA$1,AA$2,$A312)</f>
        <v>*KEY_ERR</v>
      </c>
      <c r="AB312" s="39" t="str">
        <f ca="1">_xll.DBRW($C$1,$C$2,$C$3,$C$4,$C$6,$C$5,$C$7,AB$1,AB$2,$A312)</f>
        <v>*KEY_ERR</v>
      </c>
      <c r="AC312" s="39" t="str">
        <f ca="1">_xll.DBRW($C$1,$C$2,$C$3,$C$4,$C$6,$C$5,$C$7,AC$1,AC$2,$A312)</f>
        <v>*KEY_ERR</v>
      </c>
      <c r="AD312" s="39" t="str">
        <f ca="1">_xll.DBRW($C$1,$C$2,$C$3,$C$4,$C$6,$C$5,$C$7,AD$1,AD$2,$A312)</f>
        <v>*KEY_ERR</v>
      </c>
      <c r="AE312" s="39" t="str">
        <f ca="1">_xll.DBRW($C$1,$C$2,$C$3,$C$4,$C$6,$C$5,$C$7,AE$1,AE$2,$A312)</f>
        <v>*KEY_ERR</v>
      </c>
      <c r="AF312" s="39" t="str">
        <f ca="1">_xll.DBRW($C$1,$C$2,$C$3,$C$4,$C$6,$C$5,$C$7,AF$1,AF$2,$A312)</f>
        <v>*KEY_ERR</v>
      </c>
      <c r="AG312" s="39" t="str">
        <f ca="1">_xll.DBRW($C$1,$C$2,$C$3,$C$4,$C$6,$C$5,$C$7,AG$1,AG$2,$A312)</f>
        <v>*KEY_ERR</v>
      </c>
      <c r="AH312" s="39" t="str">
        <f ca="1">_xll.DBRW($C$1,$C$2,$C$3,$C$4,$C$6,$C$5,$C$7,AH$1,AH$2,$A312)</f>
        <v>*KEY_ERR</v>
      </c>
      <c r="AI312" s="39" t="str">
        <f ca="1">_xll.DBRW($C$1,$C$2,$C$3,$C$4,$C$6,$C$5,$C$7,AI$1,AI$2,$A312)</f>
        <v>*KEY_ERR</v>
      </c>
      <c r="AJ312" s="39" t="str">
        <f ca="1">_xll.DBRW($C$1,$C$2,$C$3,$C$4,$C$6,$C$5,$C$7,AJ$1,AJ$2,$A312)</f>
        <v>*KEY_ERR</v>
      </c>
      <c r="AK312" s="39" t="str">
        <f ca="1">_xll.DBRW($C$1,$C$2,$C$3,$C$4,$C$6,$C$5,$C$7,AK$1,AK$2,$A312)</f>
        <v>*KEY_ERR</v>
      </c>
      <c r="AL312" s="39" t="str">
        <f ca="1">_xll.DBRW($C$1,$C$2,$C$3,$C$4,$C$6,$C$5,$C$7,AL$1,AL$2,$A312)</f>
        <v>*KEY_ERR</v>
      </c>
      <c r="AM312" s="39" t="str">
        <f ca="1">_xll.DBRW($C$1,$C$2,$C$3,$C$4,$C$6,$C$5,$C$7,AM$1,AM$2,$A312)</f>
        <v>*KEY_ERR</v>
      </c>
      <c r="AN312" s="39" t="str">
        <f ca="1">_xll.DBRW($C$1,$C$2,$C$3,$C$4,$C$6,$C$5,$C$7,AN$1,AN$2,$A312)</f>
        <v>*KEY_ERR</v>
      </c>
      <c r="AO312" s="39" t="str">
        <f ca="1">_xll.DBRW($C$1,$C$2,$C$3,$C$4,$C$6,$C$5,$C$7,AO$1,AO$2,$A312)</f>
        <v>*KEY_ERR</v>
      </c>
      <c r="AP312" s="39" t="str">
        <f ca="1">_xll.DBRW($C$1,$C$2,$C$3,$C$4,$C$6,$C$5,$C$7,AP$1,AP$2,$A312)</f>
        <v>*KEY_ERR</v>
      </c>
      <c r="AQ312" s="39" t="str">
        <f ca="1">_xll.DBRW($C$1,$C$2,$C$3,$C$4,$C$6,$C$5,$C$7,AQ$1,AQ$2,$A312)</f>
        <v>*KEY_ERR</v>
      </c>
      <c r="AR312" s="39" t="str">
        <f ca="1">_xll.DBRW($C$1,$C$2,$C$3,$C$4,$C$6,$C$5,$C$7,AR$1,AR$2,$A312)</f>
        <v>*KEY_ERR</v>
      </c>
      <c r="AS312" s="39" t="str">
        <f ca="1">_xll.DBRW($C$1,$C$2,$C$3,$C$4,$C$6,$C$5,$C$7,AS$1,AS$2,$A312)</f>
        <v>*KEY_ERR</v>
      </c>
      <c r="AT312" s="39" t="str">
        <f ca="1">_xll.DBRW($C$1,$C$2,$C$3,$C$4,$C$6,$C$5,$C$7,AT$1,AT$2,$A312)</f>
        <v>*KEY_ERR</v>
      </c>
      <c r="AU312" s="39" t="str">
        <f ca="1">_xll.DBRW($C$1,$C$2,$C$3,$C$4,$C$6,$C$5,$C$7,AU$1,AU$2,$A312)</f>
        <v>*KEY_ERR</v>
      </c>
      <c r="AV312" s="39" t="str">
        <f ca="1">_xll.DBRW($C$1,$C$2,$C$3,$C$4,$C$6,$C$5,$C$7,AV$1,AV$2,$A312)</f>
        <v>*KEY_ERR</v>
      </c>
      <c r="AW312" s="39" t="str">
        <f ca="1">_xll.DBRW($C$1,$C$2,$C$3,$C$4,$C$6,$C$5,$C$7,AW$1,AW$2,$A312)</f>
        <v>*KEY_ERR</v>
      </c>
      <c r="AX312" s="39" t="str">
        <f ca="1">_xll.DBRW($C$1,$C$2,$C$3,$C$4,$C$6,$C$5,$C$7,AX$1,AX$2,$A312)</f>
        <v>*KEY_ERR</v>
      </c>
      <c r="AY312" s="39" t="str">
        <f ca="1">_xll.DBRW($C$1,$C$2,$C$3,$C$4,$C$6,$C$5,$C$7,AY$1,AY$2,$A312)</f>
        <v>*KEY_ERR</v>
      </c>
    </row>
    <row r="313" spans="1:51" ht="15.5" hidden="1" outlineLevel="1">
      <c r="A313" s="1" t="s">
        <v>83</v>
      </c>
      <c r="E313" s="9" t="str">
        <f ca="1">_xll.DBRW(Server&amp;"}ElementAttributes_Indicator",A313,"code_English")</f>
        <v>Tot_km_fuel - Total KM driven by fuel</v>
      </c>
      <c r="F313" s="39">
        <f ca="1">_xll.DBRW($C$1,$C$2,$C$3,$C$4,$C$6,$C$5,$C$7,F$1,F$2,$A313)</f>
        <v>611.30320576111717</v>
      </c>
      <c r="G313" s="39">
        <f ca="1">_xll.DBRW($C$1,$C$2,$C$3,$C$4,$C$6,$C$5,$C$7,G$1,G$2,$A313)</f>
        <v>588.71473276151676</v>
      </c>
      <c r="H313" s="39">
        <f ca="1">_xll.DBRW($C$1,$C$2,$C$3,$C$4,$C$6,$C$5,$C$7,H$1,H$2,$A313)</f>
        <v>575.00251087243635</v>
      </c>
      <c r="I313" s="39">
        <f ca="1">_xll.DBRW($C$1,$C$2,$C$3,$C$4,$C$6,$C$5,$C$7,I$1,I$2,$A313)</f>
        <v>572.87677341142546</v>
      </c>
      <c r="J313" s="39">
        <f ca="1">_xll.DBRW($C$1,$C$2,$C$3,$C$4,$C$6,$C$5,$C$7,J$1,J$2,$A313)</f>
        <v>485.86641633256738</v>
      </c>
      <c r="K313" s="39">
        <f ca="1">_xll.DBRW($C$1,$C$2,$C$3,$C$4,$C$6,$C$5,$C$7,K$1,K$2,$A313)</f>
        <v>506.01268511174709</v>
      </c>
      <c r="L313" s="39">
        <f ca="1">_xll.DBRW($C$1,$C$2,$C$3,$C$4,$C$6,$C$5,$C$7,L$1,L$2,$A313)</f>
        <v>512.59590689672291</v>
      </c>
      <c r="M313" s="39">
        <f ca="1">_xll.DBRW($C$1,$C$2,$C$3,$C$4,$C$6,$C$5,$C$7,M$1,M$2,$A313)</f>
        <v>34.385923136666662</v>
      </c>
      <c r="N313" s="39">
        <f ca="1">_xll.DBRW($C$1,$C$2,$C$3,$C$4,$C$6,$C$5,$C$7,N$1,N$2,$A313)</f>
        <v>81.504074972104092</v>
      </c>
      <c r="O313" s="39">
        <f ca="1">_xll.DBRW($C$1,$C$2,$C$3,$C$4,$C$6,$C$5,$C$7,O$1,O$2,$A313)</f>
        <v>131.74307195210409</v>
      </c>
      <c r="P313" s="39">
        <f ca="1">_xll.DBRW($C$1,$C$2,$C$3,$C$4,$C$6,$C$5,$C$7,P$1,P$2,$A313)</f>
        <v>162.81626346965075</v>
      </c>
      <c r="Q313" s="39">
        <f ca="1">_xll.DBRW($C$1,$C$2,$C$3,$C$4,$C$6,$C$5,$C$7,Q$1,Q$2,$A313)</f>
        <v>215.60583529753004</v>
      </c>
      <c r="R313" s="39">
        <f ca="1">_xll.DBRW($C$1,$C$2,$C$3,$C$4,$C$6,$C$5,$C$7,R$1,R$2,$A313)</f>
        <v>263.44602217656131</v>
      </c>
      <c r="S313" s="39">
        <f ca="1">_xll.DBRW($C$1,$C$2,$C$3,$C$4,$C$6,$C$5,$C$7,S$1,S$2,$A313)</f>
        <v>7687.6402612105594</v>
      </c>
      <c r="T313" s="39">
        <f ca="1">_xll.DBRW($C$1,$C$2,$C$3,$C$4,$C$6,$C$5,$C$7,T$1,T$2,$A313)</f>
        <v>327.54946258965811</v>
      </c>
      <c r="U313" s="39">
        <f ca="1">_xll.DBRW($C$1,$C$2,$C$3,$C$4,$C$6,$C$5,$C$7,U$1,U$2,$A313)</f>
        <v>405.85863910423632</v>
      </c>
      <c r="V313" s="39">
        <f ca="1">_xll.DBRW($C$1,$C$2,$C$3,$C$4,$C$6,$C$5,$C$7,V$1,V$2,$A313)</f>
        <v>399.88927990423599</v>
      </c>
      <c r="W313" s="39">
        <f ca="1">_xll.DBRW($C$1,$C$2,$C$3,$C$4,$C$6,$C$5,$C$7,W$1,W$2,$A313)</f>
        <v>452.3352085003844</v>
      </c>
      <c r="X313" s="39">
        <f ca="1">_xll.DBRW($C$1,$C$2,$C$3,$C$4,$C$6,$C$5,$C$7,X$1,X$2,$A313)</f>
        <v>494.17662989759629</v>
      </c>
      <c r="Y313" s="39">
        <f ca="1">_xll.DBRW($C$1,$C$2,$C$3,$C$4,$C$6,$C$5,$C$7,Y$1,Y$2,$A313)</f>
        <v>494.17662989759629</v>
      </c>
      <c r="Z313" s="39">
        <f ca="1">_xll.DBRW($C$1,$C$2,$C$3,$C$4,$C$6,$C$5,$C$7,Z$1,Z$2,$A313)</f>
        <v>45.302371624974299</v>
      </c>
      <c r="AA313" s="39">
        <f ca="1">_xll.DBRW($C$1,$C$2,$C$3,$C$4,$C$6,$C$5,$C$7,AA$1,AA$2,$A313)</f>
        <v>79.518028912763199</v>
      </c>
      <c r="AB313" s="39">
        <f ca="1">_xll.DBRW($C$1,$C$2,$C$3,$C$4,$C$6,$C$5,$C$7,AB$1,AB$2,$A313)</f>
        <v>127.69633875018542</v>
      </c>
      <c r="AC313" s="39">
        <f ca="1">_xll.DBRW($C$1,$C$2,$C$3,$C$4,$C$6,$C$5,$C$7,AC$1,AC$2,$A313)</f>
        <v>162.28583820709099</v>
      </c>
      <c r="AD313" s="39">
        <f ca="1">_xll.DBRW($C$1,$C$2,$C$3,$C$4,$C$6,$C$5,$C$7,AD$1,AD$2,$A313)</f>
        <v>203.28485327516162</v>
      </c>
      <c r="AE313" s="39">
        <f ca="1">_xll.DBRW($C$1,$C$2,$C$3,$C$4,$C$6,$C$5,$C$7,AE$1,AE$2,$A313)</f>
        <v>249.68445312790598</v>
      </c>
      <c r="AF313" s="39">
        <f ca="1">_xll.DBRW($C$1,$C$2,$C$3,$C$4,$C$6,$C$5,$C$7,AF$1,AF$2,$A313)</f>
        <v>279.5568694264752</v>
      </c>
      <c r="AG313" s="39">
        <f ca="1">_xll.DBRW($C$1,$C$2,$C$3,$C$4,$C$6,$C$5,$C$7,AG$1,AG$2,$A313)</f>
        <v>303.16536607472506</v>
      </c>
      <c r="AH313" s="39">
        <f ca="1">_xll.DBRW($C$1,$C$2,$C$3,$C$4,$C$6,$C$5,$C$7,AH$1,AH$2,$A313)</f>
        <v>343.94682787283057</v>
      </c>
      <c r="AI313" s="39">
        <f ca="1">_xll.DBRW($C$1,$C$2,$C$3,$C$4,$C$6,$C$5,$C$7,AI$1,AI$2,$A313)</f>
        <v>380.61687301113744</v>
      </c>
      <c r="AJ313" s="39">
        <f ca="1">_xll.DBRW($C$1,$C$2,$C$3,$C$4,$C$6,$C$5,$C$7,AJ$1,AJ$2,$A313)</f>
        <v>419.02029526202557</v>
      </c>
      <c r="AK313" s="39">
        <f ca="1">_xll.DBRW($C$1,$C$2,$C$3,$C$4,$C$6,$C$5,$C$7,AK$1,AK$2,$A313)</f>
        <v>453.3288441737281</v>
      </c>
      <c r="AL313" s="39">
        <f ca="1">_xll.DBRW($C$1,$C$2,$C$3,$C$4,$C$6,$C$5,$C$7,AL$1,AL$2,$A313)</f>
        <v>453.3288441737281</v>
      </c>
      <c r="AM313" s="39">
        <f ca="1">_xll.DBRW($C$1,$C$2,$C$3,$C$4,$C$6,$C$5,$C$7,AM$1,AM$2,$A313)</f>
        <v>99.576305991999988</v>
      </c>
      <c r="AN313" s="39">
        <f ca="1">_xll.DBRW($C$1,$C$2,$C$3,$C$4,$C$6,$C$5,$C$7,AN$1,AN$2,$A313)</f>
        <v>78.333188038504005</v>
      </c>
      <c r="AO313" s="39">
        <f ca="1">_xll.DBRW($C$1,$C$2,$C$3,$C$4,$C$6,$C$5,$C$7,AO$1,AO$2,$A313)</f>
        <v>78.333188038504005</v>
      </c>
      <c r="AP313" s="39">
        <f ca="1">_xll.DBRW($C$1,$C$2,$C$3,$C$4,$C$6,$C$5,$C$7,AP$1,AP$2,$A313)</f>
        <v>78.333188038504005</v>
      </c>
      <c r="AQ313" s="39">
        <f ca="1">_xll.DBRW($C$1,$C$2,$C$3,$C$4,$C$6,$C$5,$C$7,AQ$1,AQ$2,$A313)</f>
        <v>78.333188038504005</v>
      </c>
      <c r="AR313" s="39">
        <f ca="1">_xll.DBRW($C$1,$C$2,$C$3,$C$4,$C$6,$C$5,$C$7,AR$1,AR$2,$A313)</f>
        <v>78.333188038504005</v>
      </c>
      <c r="AS313" s="39">
        <f ca="1">_xll.DBRW($C$1,$C$2,$C$3,$C$4,$C$6,$C$5,$C$7,AS$1,AS$2,$A313)</f>
        <v>78.333188038504005</v>
      </c>
      <c r="AT313" s="39">
        <f ca="1">_xll.DBRW($C$1,$C$2,$C$3,$C$4,$C$6,$C$5,$C$7,AT$1,AT$2,$A313)</f>
        <v>78.333188038504005</v>
      </c>
      <c r="AU313" s="39">
        <f ca="1">_xll.DBRW($C$1,$C$2,$C$3,$C$4,$C$6,$C$5,$C$7,AU$1,AU$2,$A313)</f>
        <v>78.333188038504005</v>
      </c>
      <c r="AV313" s="39">
        <f ca="1">_xll.DBRW($C$1,$C$2,$C$3,$C$4,$C$6,$C$5,$C$7,AV$1,AV$2,$A313)</f>
        <v>78.333188038504005</v>
      </c>
      <c r="AW313" s="39">
        <f ca="1">_xll.DBRW($C$1,$C$2,$C$3,$C$4,$C$6,$C$5,$C$7,AW$1,AW$2,$A313)</f>
        <v>78.333188038504005</v>
      </c>
      <c r="AX313" s="39">
        <f ca="1">_xll.DBRW($C$1,$C$2,$C$3,$C$4,$C$6,$C$5,$C$7,AX$1,AX$2,$A313)</f>
        <v>78.333188038504005</v>
      </c>
      <c r="AY313" s="39">
        <f ca="1">_xll.DBRW($C$1,$C$2,$C$3,$C$4,$C$6,$C$5,$C$7,AY$1,AY$2,$A313)</f>
        <v>78.333188038504005</v>
      </c>
    </row>
    <row r="314" spans="1:51" ht="15.5" hidden="1" outlineLevel="1">
      <c r="A314" s="1" t="s">
        <v>84</v>
      </c>
      <c r="E314" s="9" t="str">
        <f ca="1">_xll.DBRW(Server&amp;"}ElementAttributes_Indicator",A314,"code_English")</f>
        <v>Tot_km_biofuel - Total KM driven by biofuel</v>
      </c>
      <c r="F314" s="39">
        <f ca="1">_xll.DBRW($C$1,$C$2,$C$3,$C$4,$C$6,$C$5,$C$7,F$1,F$2,$A314)</f>
        <v>3.3223684840000001</v>
      </c>
      <c r="G314" s="39">
        <f ca="1">_xll.DBRW($C$1,$C$2,$C$3,$C$4,$C$6,$C$5,$C$7,G$1,G$2,$A314)</f>
        <v>3.2076069999999994</v>
      </c>
      <c r="H314" s="39">
        <f ca="1">_xll.DBRW($C$1,$C$2,$C$3,$C$4,$C$6,$C$5,$C$7,H$1,H$2,$A314)</f>
        <v>3.158881</v>
      </c>
      <c r="I314" s="39">
        <f ca="1">_xll.DBRW($C$1,$C$2,$C$3,$C$4,$C$6,$C$5,$C$7,I$1,I$2,$A314)</f>
        <v>4.5178919999999998</v>
      </c>
      <c r="J314" s="39">
        <f ca="1">_xll.DBRW($C$1,$C$2,$C$3,$C$4,$C$6,$C$5,$C$7,J$1,J$2,$A314)</f>
        <v>3.2822459999999998</v>
      </c>
      <c r="K314" s="39">
        <f ca="1">_xll.DBRW($C$1,$C$2,$C$3,$C$4,$C$6,$C$5,$C$7,K$1,K$2,$A314)</f>
        <v>4.4504950000000001</v>
      </c>
      <c r="L314" s="39">
        <f ca="1">_xll.DBRW($C$1,$C$2,$C$3,$C$4,$C$6,$C$5,$C$7,L$1,L$2,$A314)</f>
        <v>12.196669701929871</v>
      </c>
      <c r="M314" s="39">
        <f ca="1">_xll.DBRW($C$1,$C$2,$C$3,$C$4,$C$6,$C$5,$C$7,M$1,M$2,$A314)</f>
        <v>0.46031899999999998</v>
      </c>
      <c r="N314" s="39">
        <f ca="1">_xll.DBRW($C$1,$C$2,$C$3,$C$4,$C$6,$C$5,$C$7,N$1,N$2,$A314)</f>
        <v>0.90369434999999987</v>
      </c>
      <c r="O314" s="39">
        <f ca="1">_xll.DBRW($C$1,$C$2,$C$3,$C$4,$C$6,$C$5,$C$7,O$1,O$2,$A314)</f>
        <v>1.4400900399999998</v>
      </c>
      <c r="P314" s="39">
        <f ca="1">_xll.DBRW($C$1,$C$2,$C$3,$C$4,$C$6,$C$5,$C$7,P$1,P$2,$A314)</f>
        <v>1.9239565399999998</v>
      </c>
      <c r="Q314" s="39">
        <f ca="1">_xll.DBRW($C$1,$C$2,$C$3,$C$4,$C$6,$C$5,$C$7,Q$1,Q$2,$A314)</f>
        <v>2.5247474799999998</v>
      </c>
      <c r="R314" s="39">
        <f ca="1">_xll.DBRW($C$1,$C$2,$C$3,$C$4,$C$6,$C$5,$C$7,R$1,R$2,$A314)</f>
        <v>3.0596155999999999</v>
      </c>
      <c r="S314" s="39">
        <f ca="1">_xll.DBRW($C$1,$C$2,$C$3,$C$4,$C$6,$C$5,$C$7,S$1,S$2,$A314)</f>
        <v>2169.9117316000002</v>
      </c>
      <c r="T314" s="39">
        <f ca="1">_xll.DBRW($C$1,$C$2,$C$3,$C$4,$C$6,$C$5,$C$7,T$1,T$2,$A314)</f>
        <v>6.0180206000004546</v>
      </c>
      <c r="U314" s="39">
        <f ca="1">_xll.DBRW($C$1,$C$2,$C$3,$C$4,$C$6,$C$5,$C$7,U$1,U$2,$A314)</f>
        <v>7.6152354500004549</v>
      </c>
      <c r="V314" s="39">
        <f ca="1">_xll.DBRW($C$1,$C$2,$C$3,$C$4,$C$6,$C$5,$C$7,V$1,V$2,$A314)</f>
        <v>8.0816803700004129</v>
      </c>
      <c r="W314" s="39">
        <f ca="1">_xll.DBRW($C$1,$C$2,$C$3,$C$4,$C$6,$C$5,$C$7,W$1,W$2,$A314)</f>
        <v>9.3253453700003774</v>
      </c>
      <c r="X314" s="39">
        <f ca="1">_xll.DBRW($C$1,$C$2,$C$3,$C$4,$C$6,$C$5,$C$7,X$1,X$2,$A314)</f>
        <v>10.285844340000494</v>
      </c>
      <c r="Y314" s="39">
        <f ca="1">_xll.DBRW($C$1,$C$2,$C$3,$C$4,$C$6,$C$5,$C$7,Y$1,Y$2,$A314)</f>
        <v>10.285844340000494</v>
      </c>
      <c r="Z314" s="39">
        <f ca="1">_xll.DBRW($C$1,$C$2,$C$3,$C$4,$C$6,$C$5,$C$7,Z$1,Z$2,$A314)</f>
        <v>1.2602485866829969</v>
      </c>
      <c r="AA314" s="39">
        <f ca="1">_xll.DBRW($C$1,$C$2,$C$3,$C$4,$C$6,$C$5,$C$7,AA$1,AA$2,$A314)</f>
        <v>2.2802493758713265</v>
      </c>
      <c r="AB314" s="39">
        <f ca="1">_xll.DBRW($C$1,$C$2,$C$3,$C$4,$C$6,$C$5,$C$7,AB$1,AB$2,$A314)</f>
        <v>3.5986527619298245</v>
      </c>
      <c r="AC314" s="39">
        <f ca="1">_xll.DBRW($C$1,$C$2,$C$3,$C$4,$C$6,$C$5,$C$7,AC$1,AC$2,$A314)</f>
        <v>4.611150267830606</v>
      </c>
      <c r="AD314" s="39">
        <f ca="1">_xll.DBRW($C$1,$C$2,$C$3,$C$4,$C$6,$C$5,$C$7,AD$1,AD$2,$A314)</f>
        <v>5.7352452717065692</v>
      </c>
      <c r="AE314" s="39">
        <f ca="1">_xll.DBRW($C$1,$C$2,$C$3,$C$4,$C$6,$C$5,$C$7,AE$1,AE$2,$A314)</f>
        <v>6.9870819943971032</v>
      </c>
      <c r="AF314" s="39">
        <f ca="1">_xll.DBRW($C$1,$C$2,$C$3,$C$4,$C$6,$C$5,$C$7,AF$1,AF$2,$A314)</f>
        <v>7.9027990195841662</v>
      </c>
      <c r="AG314" s="39">
        <f ca="1">_xll.DBRW($C$1,$C$2,$C$3,$C$4,$C$6,$C$5,$C$7,AG$1,AG$2,$A314)</f>
        <v>8.7810285383561784</v>
      </c>
      <c r="AH314" s="39">
        <f ca="1">_xll.DBRW($C$1,$C$2,$C$3,$C$4,$C$6,$C$5,$C$7,AH$1,AH$2,$A314)</f>
        <v>10.023579802143358</v>
      </c>
      <c r="AI314" s="39">
        <f ca="1">_xll.DBRW($C$1,$C$2,$C$3,$C$4,$C$6,$C$5,$C$7,AI$1,AI$2,$A314)</f>
        <v>11.180919254068197</v>
      </c>
      <c r="AJ314" s="39">
        <f ca="1">_xll.DBRW($C$1,$C$2,$C$3,$C$4,$C$6,$C$5,$C$7,AJ$1,AJ$2,$A314)</f>
        <v>12.349720018150927</v>
      </c>
      <c r="AK314" s="39">
        <f ca="1">_xll.DBRW($C$1,$C$2,$C$3,$C$4,$C$6,$C$5,$C$7,AK$1,AK$2,$A314)</f>
        <v>13.430756092596727</v>
      </c>
      <c r="AL314" s="39">
        <f ca="1">_xll.DBRW($C$1,$C$2,$C$3,$C$4,$C$6,$C$5,$C$7,AL$1,AL$2,$A314)</f>
        <v>13.430756092596727</v>
      </c>
      <c r="AM314" s="39">
        <f ca="1">_xll.DBRW($C$1,$C$2,$C$3,$C$4,$C$6,$C$5,$C$7,AM$1,AM$2,$A314)</f>
        <v>0.63607000000000002</v>
      </c>
      <c r="AN314" s="39">
        <f ca="1">_xll.DBRW($C$1,$C$2,$C$3,$C$4,$C$6,$C$5,$C$7,AN$1,AN$2,$A314)</f>
        <v>1.5317250000000002</v>
      </c>
      <c r="AO314" s="39">
        <f ca="1">_xll.DBRW($C$1,$C$2,$C$3,$C$4,$C$6,$C$5,$C$7,AO$1,AO$2,$A314)</f>
        <v>1.5317250000000002</v>
      </c>
      <c r="AP314" s="39">
        <f ca="1">_xll.DBRW($C$1,$C$2,$C$3,$C$4,$C$6,$C$5,$C$7,AP$1,AP$2,$A314)</f>
        <v>1.5317250000000002</v>
      </c>
      <c r="AQ314" s="39">
        <f ca="1">_xll.DBRW($C$1,$C$2,$C$3,$C$4,$C$6,$C$5,$C$7,AQ$1,AQ$2,$A314)</f>
        <v>1.5317250000000002</v>
      </c>
      <c r="AR314" s="39">
        <f ca="1">_xll.DBRW($C$1,$C$2,$C$3,$C$4,$C$6,$C$5,$C$7,AR$1,AR$2,$A314)</f>
        <v>1.5317250000000002</v>
      </c>
      <c r="AS314" s="39">
        <f ca="1">_xll.DBRW($C$1,$C$2,$C$3,$C$4,$C$6,$C$5,$C$7,AS$1,AS$2,$A314)</f>
        <v>1.5317250000000002</v>
      </c>
      <c r="AT314" s="39">
        <f ca="1">_xll.DBRW($C$1,$C$2,$C$3,$C$4,$C$6,$C$5,$C$7,AT$1,AT$2,$A314)</f>
        <v>1.5317250000000002</v>
      </c>
      <c r="AU314" s="39">
        <f ca="1">_xll.DBRW($C$1,$C$2,$C$3,$C$4,$C$6,$C$5,$C$7,AU$1,AU$2,$A314)</f>
        <v>1.5317250000000002</v>
      </c>
      <c r="AV314" s="39">
        <f ca="1">_xll.DBRW($C$1,$C$2,$C$3,$C$4,$C$6,$C$5,$C$7,AV$1,AV$2,$A314)</f>
        <v>1.5317250000000002</v>
      </c>
      <c r="AW314" s="39">
        <f ca="1">_xll.DBRW($C$1,$C$2,$C$3,$C$4,$C$6,$C$5,$C$7,AW$1,AW$2,$A314)</f>
        <v>1.5317250000000002</v>
      </c>
      <c r="AX314" s="39">
        <f ca="1">_xll.DBRW($C$1,$C$2,$C$3,$C$4,$C$6,$C$5,$C$7,AX$1,AX$2,$A314)</f>
        <v>1.5317250000000002</v>
      </c>
      <c r="AY314" s="39">
        <f ca="1">_xll.DBRW($C$1,$C$2,$C$3,$C$4,$C$6,$C$5,$C$7,AY$1,AY$2,$A314)</f>
        <v>1.5317250000000002</v>
      </c>
    </row>
    <row r="315" spans="1:51" ht="15.5" hidden="1" outlineLevel="1">
      <c r="A315" s="1" t="s">
        <v>85</v>
      </c>
      <c r="E315" s="9" t="str">
        <f ca="1">_xll.DBRW(Server&amp;"}ElementAttributes_Indicator",A315,"code_English")</f>
        <v>Tot_km_elec - Total KM driven by electricity</v>
      </c>
      <c r="F315" s="39">
        <f ca="1">_xll.DBRW($C$1,$C$2,$C$3,$C$4,$C$6,$C$5,$C$7,F$1,F$2,$A315)</f>
        <v>12.514497963</v>
      </c>
      <c r="G315" s="39">
        <f ca="1">_xll.DBRW($C$1,$C$2,$C$3,$C$4,$C$6,$C$5,$C$7,G$1,G$2,$A315)</f>
        <v>12.2718826</v>
      </c>
      <c r="H315" s="39">
        <f ca="1">_xll.DBRW($C$1,$C$2,$C$3,$C$4,$C$6,$C$5,$C$7,H$1,H$2,$A315)</f>
        <v>10.5437823</v>
      </c>
      <c r="I315" s="39">
        <f ca="1">_xll.DBRW($C$1,$C$2,$C$3,$C$4,$C$6,$C$5,$C$7,I$1,I$2,$A315)</f>
        <v>46.863224365999997</v>
      </c>
      <c r="J315" s="39">
        <f ca="1">_xll.DBRW($C$1,$C$2,$C$3,$C$4,$C$6,$C$5,$C$7,J$1,J$2,$A315)</f>
        <v>10.00939567587</v>
      </c>
      <c r="K315" s="39">
        <f ca="1">_xll.DBRW($C$1,$C$2,$C$3,$C$4,$C$6,$C$5,$C$7,K$1,K$2,$A315)</f>
        <v>12.82376288</v>
      </c>
      <c r="L315" s="39">
        <f ca="1">_xll.DBRW($C$1,$C$2,$C$3,$C$4,$C$6,$C$5,$C$7,L$1,L$2,$A315)</f>
        <v>15.057517264637417</v>
      </c>
      <c r="M315" s="39">
        <f ca="1">_xll.DBRW($C$1,$C$2,$C$3,$C$4,$C$6,$C$5,$C$7,M$1,M$2,$A315)</f>
        <v>0.74380916666666685</v>
      </c>
      <c r="N315" s="39">
        <f ca="1">_xll.DBRW($C$1,$C$2,$C$3,$C$4,$C$6,$C$5,$C$7,N$1,N$2,$A315)</f>
        <v>2.192305436666667</v>
      </c>
      <c r="O315" s="39">
        <f ca="1">_xll.DBRW($C$1,$C$2,$C$3,$C$4,$C$6,$C$5,$C$7,O$1,O$2,$A315)</f>
        <v>6.7109943666666663</v>
      </c>
      <c r="P315" s="39">
        <f ca="1">_xll.DBRW($C$1,$C$2,$C$3,$C$4,$C$6,$C$5,$C$7,P$1,P$2,$A315)</f>
        <v>7.3949595333333331</v>
      </c>
      <c r="Q315" s="39">
        <f ca="1">_xll.DBRW($C$1,$C$2,$C$3,$C$4,$C$6,$C$5,$C$7,Q$1,Q$2,$A315)</f>
        <v>8.7762515333333315</v>
      </c>
      <c r="R315" s="39">
        <f ca="1">_xll.DBRW($C$1,$C$2,$C$3,$C$4,$C$6,$C$5,$C$7,R$1,R$2,$A315)</f>
        <v>9.7783355333333315</v>
      </c>
      <c r="S315" s="39">
        <f ca="1">_xll.DBRW($C$1,$C$2,$C$3,$C$4,$C$6,$C$5,$C$7,S$1,S$2,$A315)</f>
        <v>32.840757643333326</v>
      </c>
      <c r="T315" s="39">
        <f ca="1">_xll.DBRW($C$1,$C$2,$C$3,$C$4,$C$6,$C$5,$C$7,T$1,T$2,$A315)</f>
        <v>8.8625426266666665</v>
      </c>
      <c r="U315" s="39">
        <f ca="1">_xll.DBRW($C$1,$C$2,$C$3,$C$4,$C$6,$C$5,$C$7,U$1,U$2,$A315)</f>
        <v>10.195304049213625</v>
      </c>
      <c r="V315" s="39">
        <f ca="1">_xll.DBRW($C$1,$C$2,$C$3,$C$4,$C$6,$C$5,$C$7,V$1,V$2,$A315)</f>
        <v>10.841438459213624</v>
      </c>
      <c r="W315" s="39">
        <f ca="1">_xll.DBRW($C$1,$C$2,$C$3,$C$4,$C$6,$C$5,$C$7,W$1,W$2,$A315)</f>
        <v>13.171643659213622</v>
      </c>
      <c r="X315" s="39">
        <f ca="1">_xll.DBRW($C$1,$C$2,$C$3,$C$4,$C$6,$C$5,$C$7,X$1,X$2,$A315)</f>
        <v>14.56865051921362</v>
      </c>
      <c r="Y315" s="39">
        <f ca="1">_xll.DBRW($C$1,$C$2,$C$3,$C$4,$C$6,$C$5,$C$7,Y$1,Y$2,$A315)</f>
        <v>14.56865051921362</v>
      </c>
      <c r="Z315" s="39">
        <f ca="1">_xll.DBRW($C$1,$C$2,$C$3,$C$4,$C$6,$C$5,$C$7,Z$1,Z$2,$A315)</f>
        <v>1.6918941041131725</v>
      </c>
      <c r="AA315" s="39">
        <f ca="1">_xll.DBRW($C$1,$C$2,$C$3,$C$4,$C$6,$C$5,$C$7,AA$1,AA$2,$A315)</f>
        <v>3.2116583179246443</v>
      </c>
      <c r="AB315" s="39">
        <f ca="1">_xll.DBRW($C$1,$C$2,$C$3,$C$4,$C$6,$C$5,$C$7,AB$1,AB$2,$A315)</f>
        <v>5.0604174501969696</v>
      </c>
      <c r="AC315" s="39">
        <f ca="1">_xll.DBRW($C$1,$C$2,$C$3,$C$4,$C$6,$C$5,$C$7,AC$1,AC$2,$A315)</f>
        <v>6.7532074335869767</v>
      </c>
      <c r="AD315" s="39">
        <f ca="1">_xll.DBRW($C$1,$C$2,$C$3,$C$4,$C$6,$C$5,$C$7,AD$1,AD$2,$A315)</f>
        <v>8.471526352400522</v>
      </c>
      <c r="AE315" s="39">
        <f ca="1">_xll.DBRW($C$1,$C$2,$C$3,$C$4,$C$6,$C$5,$C$7,AE$1,AE$2,$A315)</f>
        <v>10.255202187840286</v>
      </c>
      <c r="AF315" s="39">
        <f ca="1">_xll.DBRW($C$1,$C$2,$C$3,$C$4,$C$6,$C$5,$C$7,AF$1,AF$2,$A315)</f>
        <v>11.757162708657926</v>
      </c>
      <c r="AG315" s="39">
        <f ca="1">_xll.DBRW($C$1,$C$2,$C$3,$C$4,$C$6,$C$5,$C$7,AG$1,AG$2,$A315)</f>
        <v>13.308646974667745</v>
      </c>
      <c r="AH315" s="39">
        <f ca="1">_xll.DBRW($C$1,$C$2,$C$3,$C$4,$C$6,$C$5,$C$7,AH$1,AH$2,$A315)</f>
        <v>15.111770407236801</v>
      </c>
      <c r="AI315" s="39">
        <f ca="1">_xll.DBRW($C$1,$C$2,$C$3,$C$4,$C$6,$C$5,$C$7,AI$1,AI$2,$A315)</f>
        <v>16.919290015896618</v>
      </c>
      <c r="AJ315" s="39">
        <f ca="1">_xll.DBRW($C$1,$C$2,$C$3,$C$4,$C$6,$C$5,$C$7,AJ$1,AJ$2,$A315)</f>
        <v>18.657997017371578</v>
      </c>
      <c r="AK315" s="39">
        <f ca="1">_xll.DBRW($C$1,$C$2,$C$3,$C$4,$C$6,$C$5,$C$7,AK$1,AK$2,$A315)</f>
        <v>20.468024111236083</v>
      </c>
      <c r="AL315" s="39">
        <f ca="1">_xll.DBRW($C$1,$C$2,$C$3,$C$4,$C$6,$C$5,$C$7,AL$1,AL$2,$A315)</f>
        <v>20.468024111236083</v>
      </c>
      <c r="AM315" s="39">
        <f ca="1">_xll.DBRW($C$1,$C$2,$C$3,$C$4,$C$6,$C$5,$C$7,AM$1,AM$2,$A315)</f>
        <v>100.22838900000001</v>
      </c>
      <c r="AN315" s="39">
        <f ca="1">_xll.DBRW($C$1,$C$2,$C$3,$C$4,$C$6,$C$5,$C$7,AN$1,AN$2,$A315)</f>
        <v>196.5500217</v>
      </c>
      <c r="AO315" s="39">
        <f ca="1">_xll.DBRW($C$1,$C$2,$C$3,$C$4,$C$6,$C$5,$C$7,AO$1,AO$2,$A315)</f>
        <v>196.5500217</v>
      </c>
      <c r="AP315" s="39">
        <f ca="1">_xll.DBRW($C$1,$C$2,$C$3,$C$4,$C$6,$C$5,$C$7,AP$1,AP$2,$A315)</f>
        <v>196.5500217</v>
      </c>
      <c r="AQ315" s="39">
        <f ca="1">_xll.DBRW($C$1,$C$2,$C$3,$C$4,$C$6,$C$5,$C$7,AQ$1,AQ$2,$A315)</f>
        <v>196.5500217</v>
      </c>
      <c r="AR315" s="39">
        <f ca="1">_xll.DBRW($C$1,$C$2,$C$3,$C$4,$C$6,$C$5,$C$7,AR$1,AR$2,$A315)</f>
        <v>196.5500217</v>
      </c>
      <c r="AS315" s="39">
        <f ca="1">_xll.DBRW($C$1,$C$2,$C$3,$C$4,$C$6,$C$5,$C$7,AS$1,AS$2,$A315)</f>
        <v>196.5500217</v>
      </c>
      <c r="AT315" s="39">
        <f ca="1">_xll.DBRW($C$1,$C$2,$C$3,$C$4,$C$6,$C$5,$C$7,AT$1,AT$2,$A315)</f>
        <v>196.5500217</v>
      </c>
      <c r="AU315" s="39">
        <f ca="1">_xll.DBRW($C$1,$C$2,$C$3,$C$4,$C$6,$C$5,$C$7,AU$1,AU$2,$A315)</f>
        <v>196.5500217</v>
      </c>
      <c r="AV315" s="39">
        <f ca="1">_xll.DBRW($C$1,$C$2,$C$3,$C$4,$C$6,$C$5,$C$7,AV$1,AV$2,$A315)</f>
        <v>196.5500217</v>
      </c>
      <c r="AW315" s="39">
        <f ca="1">_xll.DBRW($C$1,$C$2,$C$3,$C$4,$C$6,$C$5,$C$7,AW$1,AW$2,$A315)</f>
        <v>196.5500217</v>
      </c>
      <c r="AX315" s="39">
        <f ca="1">_xll.DBRW($C$1,$C$2,$C$3,$C$4,$C$6,$C$5,$C$7,AX$1,AX$2,$A315)</f>
        <v>196.5500217</v>
      </c>
      <c r="AY315" s="39">
        <f ca="1">_xll.DBRW($C$1,$C$2,$C$3,$C$4,$C$6,$C$5,$C$7,AY$1,AY$2,$A315)</f>
        <v>196.5500217</v>
      </c>
    </row>
    <row r="316" spans="1:51" ht="15.5" hidden="1" outlineLevel="1">
      <c r="A316" s="1" t="s">
        <v>86</v>
      </c>
      <c r="E316" s="9" t="str">
        <f ca="1">_xll.DBRW(Server&amp;"}ElementAttributes_Indicator",A316,"code_English")</f>
        <v>Tot_km_gas - Total KM driven by gas</v>
      </c>
      <c r="F316" s="39">
        <f ca="1">_xll.DBRW($C$1,$C$2,$C$3,$C$4,$C$6,$C$5,$C$7,F$1,F$2,$A316)</f>
        <v>14.119352414</v>
      </c>
      <c r="G316" s="39">
        <f ca="1">_xll.DBRW($C$1,$C$2,$C$3,$C$4,$C$6,$C$5,$C$7,G$1,G$2,$A316)</f>
        <v>14.103915000000001</v>
      </c>
      <c r="H316" s="39">
        <f ca="1">_xll.DBRW($C$1,$C$2,$C$3,$C$4,$C$6,$C$5,$C$7,H$1,H$2,$A316)</f>
        <v>11.939481999999998</v>
      </c>
      <c r="I316" s="39">
        <f ca="1">_xll.DBRW($C$1,$C$2,$C$3,$C$4,$C$6,$C$5,$C$7,I$1,I$2,$A316)</f>
        <v>10.7618624</v>
      </c>
      <c r="J316" s="39">
        <f ca="1">_xll.DBRW($C$1,$C$2,$C$3,$C$4,$C$6,$C$5,$C$7,J$1,J$2,$A316)</f>
        <v>12.515330179999999</v>
      </c>
      <c r="K316" s="39">
        <f ca="1">_xll.DBRW($C$1,$C$2,$C$3,$C$4,$C$6,$C$5,$C$7,K$1,K$2,$A316)</f>
        <v>28.463341280000002</v>
      </c>
      <c r="L316" s="39">
        <f ca="1">_xll.DBRW($C$1,$C$2,$C$3,$C$4,$C$6,$C$5,$C$7,L$1,L$2,$A316)</f>
        <v>41.143742016297992</v>
      </c>
      <c r="M316" s="39">
        <f ca="1">_xll.DBRW($C$1,$C$2,$C$3,$C$4,$C$6,$C$5,$C$7,M$1,M$2,$A316)</f>
        <v>2.6661980000000001</v>
      </c>
      <c r="N316" s="39">
        <f ca="1">_xll.DBRW($C$1,$C$2,$C$3,$C$4,$C$6,$C$5,$C$7,N$1,N$2,$A316)</f>
        <v>6.4969969999999995</v>
      </c>
      <c r="O316" s="39">
        <f ca="1">_xll.DBRW($C$1,$C$2,$C$3,$C$4,$C$6,$C$5,$C$7,O$1,O$2,$A316)</f>
        <v>10.73721784</v>
      </c>
      <c r="P316" s="39">
        <f ca="1">_xll.DBRW($C$1,$C$2,$C$3,$C$4,$C$6,$C$5,$C$7,P$1,P$2,$A316)</f>
        <v>14.087003840000001</v>
      </c>
      <c r="Q316" s="39">
        <f ca="1">_xll.DBRW($C$1,$C$2,$C$3,$C$4,$C$6,$C$5,$C$7,Q$1,Q$2,$A316)</f>
        <v>18.432631660000002</v>
      </c>
      <c r="R316" s="39">
        <f ca="1">_xll.DBRW($C$1,$C$2,$C$3,$C$4,$C$6,$C$5,$C$7,R$1,R$2,$A316)</f>
        <v>22.631463660000001</v>
      </c>
      <c r="S316" s="39">
        <f ca="1">_xll.DBRW($C$1,$C$2,$C$3,$C$4,$C$6,$C$5,$C$7,S$1,S$2,$A316)</f>
        <v>767.37375266000004</v>
      </c>
      <c r="T316" s="39">
        <f ca="1">_xll.DBRW($C$1,$C$2,$C$3,$C$4,$C$6,$C$5,$C$7,T$1,T$2,$A316)</f>
        <v>30.255924253000103</v>
      </c>
      <c r="U316" s="39">
        <f ca="1">_xll.DBRW($C$1,$C$2,$C$3,$C$4,$C$6,$C$5,$C$7,U$1,U$2,$A316)</f>
        <v>34.555271566859119</v>
      </c>
      <c r="V316" s="39">
        <f ca="1">_xll.DBRW($C$1,$C$2,$C$3,$C$4,$C$6,$C$5,$C$7,V$1,V$2,$A316)</f>
        <v>37.140413376859101</v>
      </c>
      <c r="W316" s="39">
        <f ca="1">_xll.DBRW($C$1,$C$2,$C$3,$C$4,$C$6,$C$5,$C$7,W$1,W$2,$A316)</f>
        <v>42.840239823859065</v>
      </c>
      <c r="X316" s="39">
        <f ca="1">_xll.DBRW($C$1,$C$2,$C$3,$C$4,$C$6,$C$5,$C$7,X$1,X$2,$A316)</f>
        <v>49.06762559385902</v>
      </c>
      <c r="Y316" s="39">
        <f ca="1">_xll.DBRW($C$1,$C$2,$C$3,$C$4,$C$6,$C$5,$C$7,Y$1,Y$2,$A316)</f>
        <v>49.06762559385902</v>
      </c>
      <c r="Z316" s="39">
        <f ca="1">_xll.DBRW($C$1,$C$2,$C$3,$C$4,$C$6,$C$5,$C$7,Z$1,Z$2,$A316)</f>
        <v>5.4545504455791001</v>
      </c>
      <c r="AA316" s="39">
        <f ca="1">_xll.DBRW($C$1,$C$2,$C$3,$C$4,$C$6,$C$5,$C$7,AA$1,AA$2,$A316)</f>
        <v>10.340535026847101</v>
      </c>
      <c r="AB316" s="39">
        <f ca="1">_xll.DBRW($C$1,$C$2,$C$3,$C$4,$C$6,$C$5,$C$7,AB$1,AB$2,$A316)</f>
        <v>16.001757988011303</v>
      </c>
      <c r="AC316" s="39">
        <f ca="1">_xll.DBRW($C$1,$C$2,$C$3,$C$4,$C$6,$C$5,$C$7,AC$1,AC$2,$A316)</f>
        <v>21.065498728981602</v>
      </c>
      <c r="AD316" s="39">
        <f ca="1">_xll.DBRW($C$1,$C$2,$C$3,$C$4,$C$6,$C$5,$C$7,AD$1,AD$2,$A316)</f>
        <v>26.306013350820002</v>
      </c>
      <c r="AE316" s="39">
        <f ca="1">_xll.DBRW($C$1,$C$2,$C$3,$C$4,$C$6,$C$5,$C$7,AE$1,AE$2,$A316)</f>
        <v>31.922901694875403</v>
      </c>
      <c r="AF316" s="39">
        <f ca="1">_xll.DBRW($C$1,$C$2,$C$3,$C$4,$C$6,$C$5,$C$7,AF$1,AF$2,$A316)</f>
        <v>36.6138911442509</v>
      </c>
      <c r="AG316" s="39">
        <f ca="1">_xll.DBRW($C$1,$C$2,$C$3,$C$4,$C$6,$C$5,$C$7,AG$1,AG$2,$A316)</f>
        <v>40.860509555157407</v>
      </c>
      <c r="AH316" s="39">
        <f ca="1">_xll.DBRW($C$1,$C$2,$C$3,$C$4,$C$6,$C$5,$C$7,AH$1,AH$2,$A316)</f>
        <v>46.177940958827733</v>
      </c>
      <c r="AI316" s="39">
        <f ca="1">_xll.DBRW($C$1,$C$2,$C$3,$C$4,$C$6,$C$5,$C$7,AI$1,AI$2,$A316)</f>
        <v>51.480056500479165</v>
      </c>
      <c r="AJ316" s="39">
        <f ca="1">_xll.DBRW($C$1,$C$2,$C$3,$C$4,$C$6,$C$5,$C$7,AJ$1,AJ$2,$A316)</f>
        <v>56.768202381429298</v>
      </c>
      <c r="AK316" s="39">
        <f ca="1">_xll.DBRW($C$1,$C$2,$C$3,$C$4,$C$6,$C$5,$C$7,AK$1,AK$2,$A316)</f>
        <v>61.935872785791815</v>
      </c>
      <c r="AL316" s="39">
        <f ca="1">_xll.DBRW($C$1,$C$2,$C$3,$C$4,$C$6,$C$5,$C$7,AL$1,AL$2,$A316)</f>
        <v>61.935872785791815</v>
      </c>
      <c r="AM316" s="39">
        <f ca="1">_xll.DBRW($C$1,$C$2,$C$3,$C$4,$C$6,$C$5,$C$7,AM$1,AM$2,$A316)</f>
        <v>3.4746129999999997</v>
      </c>
      <c r="AN316" s="39">
        <f ca="1">_xll.DBRW($C$1,$C$2,$C$3,$C$4,$C$6,$C$5,$C$7,AN$1,AN$2,$A316)</f>
        <v>9.4691379100000006</v>
      </c>
      <c r="AO316" s="39">
        <f ca="1">_xll.DBRW($C$1,$C$2,$C$3,$C$4,$C$6,$C$5,$C$7,AO$1,AO$2,$A316)</f>
        <v>9.4691379100000006</v>
      </c>
      <c r="AP316" s="39">
        <f ca="1">_xll.DBRW($C$1,$C$2,$C$3,$C$4,$C$6,$C$5,$C$7,AP$1,AP$2,$A316)</f>
        <v>9.4691379100000006</v>
      </c>
      <c r="AQ316" s="39">
        <f ca="1">_xll.DBRW($C$1,$C$2,$C$3,$C$4,$C$6,$C$5,$C$7,AQ$1,AQ$2,$A316)</f>
        <v>9.4691379100000006</v>
      </c>
      <c r="AR316" s="39">
        <f ca="1">_xll.DBRW($C$1,$C$2,$C$3,$C$4,$C$6,$C$5,$C$7,AR$1,AR$2,$A316)</f>
        <v>9.4691379100000006</v>
      </c>
      <c r="AS316" s="39">
        <f ca="1">_xll.DBRW($C$1,$C$2,$C$3,$C$4,$C$6,$C$5,$C$7,AS$1,AS$2,$A316)</f>
        <v>9.4691379100000006</v>
      </c>
      <c r="AT316" s="39">
        <f ca="1">_xll.DBRW($C$1,$C$2,$C$3,$C$4,$C$6,$C$5,$C$7,AT$1,AT$2,$A316)</f>
        <v>9.4691379100000006</v>
      </c>
      <c r="AU316" s="39">
        <f ca="1">_xll.DBRW($C$1,$C$2,$C$3,$C$4,$C$6,$C$5,$C$7,AU$1,AU$2,$A316)</f>
        <v>9.4691379100000006</v>
      </c>
      <c r="AV316" s="39">
        <f ca="1">_xll.DBRW($C$1,$C$2,$C$3,$C$4,$C$6,$C$5,$C$7,AV$1,AV$2,$A316)</f>
        <v>9.4691379100000006</v>
      </c>
      <c r="AW316" s="39">
        <f ca="1">_xll.DBRW($C$1,$C$2,$C$3,$C$4,$C$6,$C$5,$C$7,AW$1,AW$2,$A316)</f>
        <v>9.4691379100000006</v>
      </c>
      <c r="AX316" s="39">
        <f ca="1">_xll.DBRW($C$1,$C$2,$C$3,$C$4,$C$6,$C$5,$C$7,AX$1,AX$2,$A316)</f>
        <v>9.4691379100000006</v>
      </c>
      <c r="AY316" s="39">
        <f ca="1">_xll.DBRW($C$1,$C$2,$C$3,$C$4,$C$6,$C$5,$C$7,AY$1,AY$2,$A316)</f>
        <v>9.4691379100000006</v>
      </c>
    </row>
    <row r="317" spans="1:51" ht="15.75" customHeight="1" collapsed="1">
      <c r="A317" s="1" t="s">
        <v>142</v>
      </c>
      <c r="C317" s="104" t="s">
        <v>87</v>
      </c>
      <c r="E317" s="17" t="s">
        <v>88</v>
      </c>
      <c r="F317" s="43">
        <f t="shared" ref="F317:AY317" ca="1" si="218">F306</f>
        <v>1094.8031170296488</v>
      </c>
      <c r="G317" s="43">
        <f t="shared" ca="1" si="218"/>
        <v>1188.0403104069082</v>
      </c>
      <c r="H317" s="43">
        <f t="shared" ca="1" si="218"/>
        <v>1101.5836452548569</v>
      </c>
      <c r="I317" s="43">
        <f t="shared" ca="1" si="218"/>
        <v>1123.0376497311865</v>
      </c>
      <c r="J317" s="43">
        <f t="shared" ca="1" si="218"/>
        <v>798.01942157340829</v>
      </c>
      <c r="K317" s="43">
        <f t="shared" ca="1" si="218"/>
        <v>928.52522858595444</v>
      </c>
      <c r="L317" s="43">
        <f t="shared" ca="1" si="218"/>
        <v>850.27128213047763</v>
      </c>
      <c r="M317" s="43">
        <f t="shared" ca="1" si="218"/>
        <v>53.997451955026804</v>
      </c>
      <c r="N317" s="43">
        <f t="shared" ca="1" si="218"/>
        <v>137.24589363093094</v>
      </c>
      <c r="O317" s="43">
        <f t="shared" ca="1" si="218"/>
        <v>216.53651789269662</v>
      </c>
      <c r="P317" s="43">
        <f t="shared" ca="1" si="218"/>
        <v>282.76638325097588</v>
      </c>
      <c r="Q317" s="43">
        <f t="shared" ca="1" si="218"/>
        <v>361.06870321768361</v>
      </c>
      <c r="R317" s="43">
        <f t="shared" ca="1" si="218"/>
        <v>439.16845822656455</v>
      </c>
      <c r="S317" s="43">
        <f t="shared" ca="1" si="218"/>
        <v>10812.216434370566</v>
      </c>
      <c r="T317" s="43">
        <f t="shared" ca="1" si="218"/>
        <v>611.44692564616889</v>
      </c>
      <c r="U317" s="43">
        <f t="shared" ca="1" si="218"/>
        <v>719.43293420336704</v>
      </c>
      <c r="V317" s="43">
        <f t="shared" ca="1" si="218"/>
        <v>746.11914031941524</v>
      </c>
      <c r="W317" s="43">
        <f t="shared" ca="1" si="218"/>
        <v>917.05135605748728</v>
      </c>
      <c r="X317" s="43">
        <f t="shared" ca="1" si="218"/>
        <v>993.97379918200568</v>
      </c>
      <c r="Y317" s="43">
        <f t="shared" ca="1" si="218"/>
        <v>993.97379918200568</v>
      </c>
      <c r="Z317" s="43">
        <f t="shared" ca="1" si="218"/>
        <v>83.674156881662</v>
      </c>
      <c r="AA317" s="43">
        <f t="shared" ca="1" si="218"/>
        <v>153.8452106410235</v>
      </c>
      <c r="AB317" s="43">
        <f t="shared" ca="1" si="218"/>
        <v>242.24554984235525</v>
      </c>
      <c r="AC317" s="43">
        <f t="shared" ca="1" si="218"/>
        <v>312.88524006237213</v>
      </c>
      <c r="AD317" s="43">
        <f t="shared" ca="1" si="218"/>
        <v>392.73931561290919</v>
      </c>
      <c r="AE317" s="43">
        <f t="shared" ca="1" si="218"/>
        <v>476.73355922425822</v>
      </c>
      <c r="AF317" s="43">
        <f t="shared" ca="1" si="218"/>
        <v>542.89190592155455</v>
      </c>
      <c r="AG317" s="43">
        <f t="shared" ca="1" si="218"/>
        <v>602.343802604296</v>
      </c>
      <c r="AH317" s="43">
        <f t="shared" ca="1" si="218"/>
        <v>680.18753939687917</v>
      </c>
      <c r="AI317" s="43">
        <f t="shared" ca="1" si="218"/>
        <v>755.03103193637526</v>
      </c>
      <c r="AJ317" s="43">
        <f t="shared" ca="1" si="218"/>
        <v>830.96710397669506</v>
      </c>
      <c r="AK317" s="43">
        <f t="shared" ca="1" si="218"/>
        <v>900.59386715790572</v>
      </c>
      <c r="AL317" s="43">
        <f t="shared" ca="1" si="218"/>
        <v>900.59386715790572</v>
      </c>
      <c r="AM317" s="43">
        <f t="shared" ca="1" si="218"/>
        <v>223.45425250049684</v>
      </c>
      <c r="AN317" s="43">
        <f t="shared" ca="1" si="218"/>
        <v>330.62010133944091</v>
      </c>
      <c r="AO317" s="43">
        <f t="shared" ca="1" si="218"/>
        <v>330.62010133944091</v>
      </c>
      <c r="AP317" s="43">
        <f t="shared" ca="1" si="218"/>
        <v>330.62010133944091</v>
      </c>
      <c r="AQ317" s="43">
        <f t="shared" ca="1" si="218"/>
        <v>330.62010133944091</v>
      </c>
      <c r="AR317" s="43">
        <f t="shared" ca="1" si="218"/>
        <v>330.62010133944091</v>
      </c>
      <c r="AS317" s="43">
        <f t="shared" ca="1" si="218"/>
        <v>330.62010133944091</v>
      </c>
      <c r="AT317" s="43">
        <f t="shared" ca="1" si="218"/>
        <v>330.62010133944091</v>
      </c>
      <c r="AU317" s="43">
        <f t="shared" ca="1" si="218"/>
        <v>330.62010133944091</v>
      </c>
      <c r="AV317" s="43">
        <f t="shared" ca="1" si="218"/>
        <v>330.62010133944091</v>
      </c>
      <c r="AW317" s="43">
        <f t="shared" ca="1" si="218"/>
        <v>330.62010133944091</v>
      </c>
      <c r="AX317" s="43">
        <f t="shared" ca="1" si="218"/>
        <v>330.62010133944091</v>
      </c>
      <c r="AY317" s="43">
        <f t="shared" ca="1" si="218"/>
        <v>330.62010133944091</v>
      </c>
    </row>
    <row r="318" spans="1:51" ht="15.75" hidden="1" customHeight="1" outlineLevel="1">
      <c r="A318" s="1" t="s">
        <v>350</v>
      </c>
      <c r="C318" s="104"/>
      <c r="E318" s="9" t="str">
        <f ca="1">_xll.DBRW(Server&amp;"}ElementAttributes_Indicator",A318,"code_English")</f>
        <v>Nb_Drivers - Number of drivers</v>
      </c>
      <c r="F318" s="44">
        <f ca="1">_xll.DBRW($C$1,$C$2,$C$3,$C$4,$C$6,$C$5,$C$7,F$1,F$2,$A318)</f>
        <v>0</v>
      </c>
      <c r="G318" s="44">
        <f ca="1">_xll.DBRW($C$1,$C$2,$C$3,$C$4,$C$6,$C$5,$C$7,G$1,G$2,$A318)</f>
        <v>0</v>
      </c>
      <c r="H318" s="44">
        <f ca="1">_xll.DBRW($C$1,$C$2,$C$3,$C$4,$C$6,$C$5,$C$7,H$1,H$2,$A318)</f>
        <v>0</v>
      </c>
      <c r="I318" s="44">
        <f ca="1">_xll.DBRW($C$1,$C$2,$C$3,$C$4,$C$6,$C$5,$C$7,I$1,I$2,$A318)</f>
        <v>0</v>
      </c>
      <c r="J318" s="44">
        <f ca="1">_xll.DBRW($C$1,$C$2,$C$3,$C$4,$C$6,$C$5,$C$7,J$1,J$2,$A318)</f>
        <v>0</v>
      </c>
      <c r="K318" s="44">
        <f ca="1">_xll.DBRW($C$1,$C$2,$C$3,$C$4,$C$6,$C$5,$C$7,K$1,K$2,$A318)</f>
        <v>0</v>
      </c>
      <c r="L318" s="44">
        <f ca="1">_xll.DBRW($C$1,$C$2,$C$3,$C$4,$C$6,$C$5,$C$7,L$1,L$2,$A318)</f>
        <v>0</v>
      </c>
      <c r="M318" s="44">
        <f ca="1">_xll.DBRW($C$1,$C$2,$C$3,$C$4,$C$6,$C$5,$C$7,M$1,M$2,$A318)</f>
        <v>0</v>
      </c>
      <c r="N318" s="44">
        <f ca="1">_xll.DBRW($C$1,$C$2,$C$3,$C$4,$C$6,$C$5,$C$7,N$1,N$2,$A318)</f>
        <v>0</v>
      </c>
      <c r="O318" s="44">
        <f ca="1">_xll.DBRW($C$1,$C$2,$C$3,$C$4,$C$6,$C$5,$C$7,O$1,O$2,$A318)</f>
        <v>0</v>
      </c>
      <c r="P318" s="44">
        <f ca="1">_xll.DBRW($C$1,$C$2,$C$3,$C$4,$C$6,$C$5,$C$7,P$1,P$2,$A318)</f>
        <v>0</v>
      </c>
      <c r="Q318" s="44">
        <f ca="1">_xll.DBRW($C$1,$C$2,$C$3,$C$4,$C$6,$C$5,$C$7,Q$1,Q$2,$A318)</f>
        <v>0</v>
      </c>
      <c r="R318" s="44">
        <f ca="1">_xll.DBRW($C$1,$C$2,$C$3,$C$4,$C$6,$C$5,$C$7,R$1,R$2,$A318)</f>
        <v>0</v>
      </c>
      <c r="S318" s="44">
        <f ca="1">_xll.DBRW($C$1,$C$2,$C$3,$C$4,$C$6,$C$5,$C$7,S$1,S$2,$A318)</f>
        <v>0</v>
      </c>
      <c r="T318" s="44">
        <f ca="1">_xll.DBRW($C$1,$C$2,$C$3,$C$4,$C$6,$C$5,$C$7,T$1,T$2,$A318)</f>
        <v>0</v>
      </c>
      <c r="U318" s="44">
        <f ca="1">_xll.DBRW($C$1,$C$2,$C$3,$C$4,$C$6,$C$5,$C$7,U$1,U$2,$A318)</f>
        <v>0</v>
      </c>
      <c r="V318" s="44">
        <f ca="1">_xll.DBRW($C$1,$C$2,$C$3,$C$4,$C$6,$C$5,$C$7,V$1,V$2,$A318)</f>
        <v>0</v>
      </c>
      <c r="W318" s="44">
        <f ca="1">_xll.DBRW($C$1,$C$2,$C$3,$C$4,$C$6,$C$5,$C$7,W$1,W$2,$A318)</f>
        <v>0</v>
      </c>
      <c r="X318" s="44">
        <f ca="1">_xll.DBRW($C$1,$C$2,$C$3,$C$4,$C$6,$C$5,$C$7,X$1,X$2,$A318)</f>
        <v>0</v>
      </c>
      <c r="Y318" s="44">
        <f ca="1">_xll.DBRW($C$1,$C$2,$C$3,$C$4,$C$6,$C$5,$C$7,Y$1,Y$2,$A318)</f>
        <v>0</v>
      </c>
      <c r="Z318" s="44">
        <f ca="1">_xll.DBRW($C$1,$C$2,$C$3,$C$4,$C$6,$C$5,$C$7,Z$1,Z$2,$A318)</f>
        <v>0</v>
      </c>
      <c r="AA318" s="44">
        <f ca="1">_xll.DBRW($C$1,$C$2,$C$3,$C$4,$C$6,$C$5,$C$7,AA$1,AA$2,$A318)</f>
        <v>0</v>
      </c>
      <c r="AB318" s="44">
        <f ca="1">_xll.DBRW($C$1,$C$2,$C$3,$C$4,$C$6,$C$5,$C$7,AB$1,AB$2,$A318)</f>
        <v>0</v>
      </c>
      <c r="AC318" s="44">
        <f ca="1">_xll.DBRW($C$1,$C$2,$C$3,$C$4,$C$6,$C$5,$C$7,AC$1,AC$2,$A318)</f>
        <v>0</v>
      </c>
      <c r="AD318" s="44">
        <f ca="1">_xll.DBRW($C$1,$C$2,$C$3,$C$4,$C$6,$C$5,$C$7,AD$1,AD$2,$A318)</f>
        <v>0</v>
      </c>
      <c r="AE318" s="44">
        <f ca="1">_xll.DBRW($C$1,$C$2,$C$3,$C$4,$C$6,$C$5,$C$7,AE$1,AE$2,$A318)</f>
        <v>0</v>
      </c>
      <c r="AF318" s="44">
        <f ca="1">_xll.DBRW($C$1,$C$2,$C$3,$C$4,$C$6,$C$5,$C$7,AF$1,AF$2,$A318)</f>
        <v>0</v>
      </c>
      <c r="AG318" s="44">
        <f ca="1">_xll.DBRW($C$1,$C$2,$C$3,$C$4,$C$6,$C$5,$C$7,AG$1,AG$2,$A318)</f>
        <v>0</v>
      </c>
      <c r="AH318" s="44">
        <f ca="1">_xll.DBRW($C$1,$C$2,$C$3,$C$4,$C$6,$C$5,$C$7,AH$1,AH$2,$A318)</f>
        <v>0</v>
      </c>
      <c r="AI318" s="44">
        <f ca="1">_xll.DBRW($C$1,$C$2,$C$3,$C$4,$C$6,$C$5,$C$7,AI$1,AI$2,$A318)</f>
        <v>0</v>
      </c>
      <c r="AJ318" s="44">
        <f ca="1">_xll.DBRW($C$1,$C$2,$C$3,$C$4,$C$6,$C$5,$C$7,AJ$1,AJ$2,$A318)</f>
        <v>0</v>
      </c>
      <c r="AK318" s="44">
        <f ca="1">_xll.DBRW($C$1,$C$2,$C$3,$C$4,$C$6,$C$5,$C$7,AK$1,AK$2,$A318)</f>
        <v>0</v>
      </c>
      <c r="AL318" s="44">
        <f ca="1">_xll.DBRW($C$1,$C$2,$C$3,$C$4,$C$6,$C$5,$C$7,AL$1,AL$2,$A318)</f>
        <v>0</v>
      </c>
      <c r="AM318" s="44">
        <f ca="1">_xll.DBRW($C$1,$C$2,$C$3,$C$4,$C$6,$C$5,$C$7,AM$1,AM$2,$A318)</f>
        <v>0</v>
      </c>
      <c r="AN318" s="44">
        <f ca="1">_xll.DBRW($C$1,$C$2,$C$3,$C$4,$C$6,$C$5,$C$7,AN$1,AN$2,$A318)</f>
        <v>0</v>
      </c>
      <c r="AO318" s="44">
        <f ca="1">_xll.DBRW($C$1,$C$2,$C$3,$C$4,$C$6,$C$5,$C$7,AO$1,AO$2,$A318)</f>
        <v>0</v>
      </c>
      <c r="AP318" s="44">
        <f ca="1">_xll.DBRW($C$1,$C$2,$C$3,$C$4,$C$6,$C$5,$C$7,AP$1,AP$2,$A318)</f>
        <v>0</v>
      </c>
      <c r="AQ318" s="44">
        <f ca="1">_xll.DBRW($C$1,$C$2,$C$3,$C$4,$C$6,$C$5,$C$7,AQ$1,AQ$2,$A318)</f>
        <v>0</v>
      </c>
      <c r="AR318" s="44">
        <f ca="1">_xll.DBRW($C$1,$C$2,$C$3,$C$4,$C$6,$C$5,$C$7,AR$1,AR$2,$A318)</f>
        <v>0</v>
      </c>
      <c r="AS318" s="44">
        <f ca="1">_xll.DBRW($C$1,$C$2,$C$3,$C$4,$C$6,$C$5,$C$7,AS$1,AS$2,$A318)</f>
        <v>0</v>
      </c>
      <c r="AT318" s="44">
        <f ca="1">_xll.DBRW($C$1,$C$2,$C$3,$C$4,$C$6,$C$5,$C$7,AT$1,AT$2,$A318)</f>
        <v>0</v>
      </c>
      <c r="AU318" s="44">
        <f ca="1">_xll.DBRW($C$1,$C$2,$C$3,$C$4,$C$6,$C$5,$C$7,AU$1,AU$2,$A318)</f>
        <v>0</v>
      </c>
      <c r="AV318" s="44">
        <f ca="1">_xll.DBRW($C$1,$C$2,$C$3,$C$4,$C$6,$C$5,$C$7,AV$1,AV$2,$A318)</f>
        <v>0</v>
      </c>
      <c r="AW318" s="44">
        <f ca="1">_xll.DBRW($C$1,$C$2,$C$3,$C$4,$C$6,$C$5,$C$7,AW$1,AW$2,$A318)</f>
        <v>0</v>
      </c>
      <c r="AX318" s="44">
        <f ca="1">_xll.DBRW($C$1,$C$2,$C$3,$C$4,$C$6,$C$5,$C$7,AX$1,AX$2,$A318)</f>
        <v>0</v>
      </c>
      <c r="AY318" s="44">
        <f ca="1">_xll.DBRW($C$1,$C$2,$C$3,$C$4,$C$6,$C$5,$C$7,AY$1,AY$2,$A318)</f>
        <v>0</v>
      </c>
    </row>
    <row r="319" spans="1:51" ht="15.75" hidden="1" customHeight="1" outlineLevel="1">
      <c r="A319" s="1" t="s">
        <v>351</v>
      </c>
      <c r="C319" s="104"/>
      <c r="E319" s="9" t="str">
        <f ca="1">_xll.DBRW(Server&amp;"}ElementAttributes_Indicator",A319,"code_English")</f>
        <v>Nb_Conductors - Number of conductors</v>
      </c>
      <c r="F319" s="44">
        <f ca="1">_xll.DBRW($C$1,$C$2,$C$3,$C$4,$C$6,$C$5,$C$7,F$1,F$2,$A319)</f>
        <v>0</v>
      </c>
      <c r="G319" s="44">
        <f ca="1">_xll.DBRW($C$1,$C$2,$C$3,$C$4,$C$6,$C$5,$C$7,G$1,G$2,$A319)</f>
        <v>0</v>
      </c>
      <c r="H319" s="44">
        <f ca="1">_xll.DBRW($C$1,$C$2,$C$3,$C$4,$C$6,$C$5,$C$7,H$1,H$2,$A319)</f>
        <v>0</v>
      </c>
      <c r="I319" s="44">
        <f ca="1">_xll.DBRW($C$1,$C$2,$C$3,$C$4,$C$6,$C$5,$C$7,I$1,I$2,$A319)</f>
        <v>0</v>
      </c>
      <c r="J319" s="44">
        <f ca="1">_xll.DBRW($C$1,$C$2,$C$3,$C$4,$C$6,$C$5,$C$7,J$1,J$2,$A319)</f>
        <v>0</v>
      </c>
      <c r="K319" s="44">
        <f ca="1">_xll.DBRW($C$1,$C$2,$C$3,$C$4,$C$6,$C$5,$C$7,K$1,K$2,$A319)</f>
        <v>0</v>
      </c>
      <c r="L319" s="44">
        <f ca="1">_xll.DBRW($C$1,$C$2,$C$3,$C$4,$C$6,$C$5,$C$7,L$1,L$2,$A319)</f>
        <v>0</v>
      </c>
      <c r="M319" s="44">
        <f ca="1">_xll.DBRW($C$1,$C$2,$C$3,$C$4,$C$6,$C$5,$C$7,M$1,M$2,$A319)</f>
        <v>0</v>
      </c>
      <c r="N319" s="44">
        <f ca="1">_xll.DBRW($C$1,$C$2,$C$3,$C$4,$C$6,$C$5,$C$7,N$1,N$2,$A319)</f>
        <v>0</v>
      </c>
      <c r="O319" s="44">
        <f ca="1">_xll.DBRW($C$1,$C$2,$C$3,$C$4,$C$6,$C$5,$C$7,O$1,O$2,$A319)</f>
        <v>0</v>
      </c>
      <c r="P319" s="44">
        <f ca="1">_xll.DBRW($C$1,$C$2,$C$3,$C$4,$C$6,$C$5,$C$7,P$1,P$2,$A319)</f>
        <v>0</v>
      </c>
      <c r="Q319" s="44">
        <f ca="1">_xll.DBRW($C$1,$C$2,$C$3,$C$4,$C$6,$C$5,$C$7,Q$1,Q$2,$A319)</f>
        <v>0</v>
      </c>
      <c r="R319" s="44">
        <f ca="1">_xll.DBRW($C$1,$C$2,$C$3,$C$4,$C$6,$C$5,$C$7,R$1,R$2,$A319)</f>
        <v>0</v>
      </c>
      <c r="S319" s="44">
        <f ca="1">_xll.DBRW($C$1,$C$2,$C$3,$C$4,$C$6,$C$5,$C$7,S$1,S$2,$A319)</f>
        <v>0</v>
      </c>
      <c r="T319" s="44">
        <f ca="1">_xll.DBRW($C$1,$C$2,$C$3,$C$4,$C$6,$C$5,$C$7,T$1,T$2,$A319)</f>
        <v>0</v>
      </c>
      <c r="U319" s="44">
        <f ca="1">_xll.DBRW($C$1,$C$2,$C$3,$C$4,$C$6,$C$5,$C$7,U$1,U$2,$A319)</f>
        <v>0</v>
      </c>
      <c r="V319" s="44">
        <f ca="1">_xll.DBRW($C$1,$C$2,$C$3,$C$4,$C$6,$C$5,$C$7,V$1,V$2,$A319)</f>
        <v>0</v>
      </c>
      <c r="W319" s="44">
        <f ca="1">_xll.DBRW($C$1,$C$2,$C$3,$C$4,$C$6,$C$5,$C$7,W$1,W$2,$A319)</f>
        <v>0</v>
      </c>
      <c r="X319" s="44">
        <f ca="1">_xll.DBRW($C$1,$C$2,$C$3,$C$4,$C$6,$C$5,$C$7,X$1,X$2,$A319)</f>
        <v>0</v>
      </c>
      <c r="Y319" s="44">
        <f ca="1">_xll.DBRW($C$1,$C$2,$C$3,$C$4,$C$6,$C$5,$C$7,Y$1,Y$2,$A319)</f>
        <v>0</v>
      </c>
      <c r="Z319" s="44">
        <f ca="1">_xll.DBRW($C$1,$C$2,$C$3,$C$4,$C$6,$C$5,$C$7,Z$1,Z$2,$A319)</f>
        <v>0</v>
      </c>
      <c r="AA319" s="44">
        <f ca="1">_xll.DBRW($C$1,$C$2,$C$3,$C$4,$C$6,$C$5,$C$7,AA$1,AA$2,$A319)</f>
        <v>0</v>
      </c>
      <c r="AB319" s="44">
        <f ca="1">_xll.DBRW($C$1,$C$2,$C$3,$C$4,$C$6,$C$5,$C$7,AB$1,AB$2,$A319)</f>
        <v>0</v>
      </c>
      <c r="AC319" s="44">
        <f ca="1">_xll.DBRW($C$1,$C$2,$C$3,$C$4,$C$6,$C$5,$C$7,AC$1,AC$2,$A319)</f>
        <v>0</v>
      </c>
      <c r="AD319" s="44">
        <f ca="1">_xll.DBRW($C$1,$C$2,$C$3,$C$4,$C$6,$C$5,$C$7,AD$1,AD$2,$A319)</f>
        <v>0</v>
      </c>
      <c r="AE319" s="44">
        <f ca="1">_xll.DBRW($C$1,$C$2,$C$3,$C$4,$C$6,$C$5,$C$7,AE$1,AE$2,$A319)</f>
        <v>0</v>
      </c>
      <c r="AF319" s="44">
        <f ca="1">_xll.DBRW($C$1,$C$2,$C$3,$C$4,$C$6,$C$5,$C$7,AF$1,AF$2,$A319)</f>
        <v>0</v>
      </c>
      <c r="AG319" s="44">
        <f ca="1">_xll.DBRW($C$1,$C$2,$C$3,$C$4,$C$6,$C$5,$C$7,AG$1,AG$2,$A319)</f>
        <v>0</v>
      </c>
      <c r="AH319" s="44">
        <f ca="1">_xll.DBRW($C$1,$C$2,$C$3,$C$4,$C$6,$C$5,$C$7,AH$1,AH$2,$A319)</f>
        <v>0</v>
      </c>
      <c r="AI319" s="44">
        <f ca="1">_xll.DBRW($C$1,$C$2,$C$3,$C$4,$C$6,$C$5,$C$7,AI$1,AI$2,$A319)</f>
        <v>0</v>
      </c>
      <c r="AJ319" s="44">
        <f ca="1">_xll.DBRW($C$1,$C$2,$C$3,$C$4,$C$6,$C$5,$C$7,AJ$1,AJ$2,$A319)</f>
        <v>0</v>
      </c>
      <c r="AK319" s="44">
        <f ca="1">_xll.DBRW($C$1,$C$2,$C$3,$C$4,$C$6,$C$5,$C$7,AK$1,AK$2,$A319)</f>
        <v>0</v>
      </c>
      <c r="AL319" s="44">
        <f ca="1">_xll.DBRW($C$1,$C$2,$C$3,$C$4,$C$6,$C$5,$C$7,AL$1,AL$2,$A319)</f>
        <v>0</v>
      </c>
      <c r="AM319" s="44">
        <f ca="1">_xll.DBRW($C$1,$C$2,$C$3,$C$4,$C$6,$C$5,$C$7,AM$1,AM$2,$A319)</f>
        <v>0</v>
      </c>
      <c r="AN319" s="44">
        <f ca="1">_xll.DBRW($C$1,$C$2,$C$3,$C$4,$C$6,$C$5,$C$7,AN$1,AN$2,$A319)</f>
        <v>0</v>
      </c>
      <c r="AO319" s="44">
        <f ca="1">_xll.DBRW($C$1,$C$2,$C$3,$C$4,$C$6,$C$5,$C$7,AO$1,AO$2,$A319)</f>
        <v>0</v>
      </c>
      <c r="AP319" s="44">
        <f ca="1">_xll.DBRW($C$1,$C$2,$C$3,$C$4,$C$6,$C$5,$C$7,AP$1,AP$2,$A319)</f>
        <v>0</v>
      </c>
      <c r="AQ319" s="44">
        <f ca="1">_xll.DBRW($C$1,$C$2,$C$3,$C$4,$C$6,$C$5,$C$7,AQ$1,AQ$2,$A319)</f>
        <v>0</v>
      </c>
      <c r="AR319" s="44">
        <f ca="1">_xll.DBRW($C$1,$C$2,$C$3,$C$4,$C$6,$C$5,$C$7,AR$1,AR$2,$A319)</f>
        <v>0</v>
      </c>
      <c r="AS319" s="44">
        <f ca="1">_xll.DBRW($C$1,$C$2,$C$3,$C$4,$C$6,$C$5,$C$7,AS$1,AS$2,$A319)</f>
        <v>0</v>
      </c>
      <c r="AT319" s="44">
        <f ca="1">_xll.DBRW($C$1,$C$2,$C$3,$C$4,$C$6,$C$5,$C$7,AT$1,AT$2,$A319)</f>
        <v>0</v>
      </c>
      <c r="AU319" s="44">
        <f ca="1">_xll.DBRW($C$1,$C$2,$C$3,$C$4,$C$6,$C$5,$C$7,AU$1,AU$2,$A319)</f>
        <v>0</v>
      </c>
      <c r="AV319" s="44">
        <f ca="1">_xll.DBRW($C$1,$C$2,$C$3,$C$4,$C$6,$C$5,$C$7,AV$1,AV$2,$A319)</f>
        <v>0</v>
      </c>
      <c r="AW319" s="44">
        <f ca="1">_xll.DBRW($C$1,$C$2,$C$3,$C$4,$C$6,$C$5,$C$7,AW$1,AW$2,$A319)</f>
        <v>0</v>
      </c>
      <c r="AX319" s="44">
        <f ca="1">_xll.DBRW($C$1,$C$2,$C$3,$C$4,$C$6,$C$5,$C$7,AX$1,AX$2,$A319)</f>
        <v>0</v>
      </c>
      <c r="AY319" s="44">
        <f ca="1">_xll.DBRW($C$1,$C$2,$C$3,$C$4,$C$6,$C$5,$C$7,AY$1,AY$2,$A319)</f>
        <v>0</v>
      </c>
    </row>
    <row r="320" spans="1:51" ht="15.75" hidden="1" customHeight="1" outlineLevel="1">
      <c r="A320" s="1" t="s">
        <v>364</v>
      </c>
      <c r="C320" s="104"/>
      <c r="E320" s="9" t="str">
        <f ca="1">_xll.DBRW(Server&amp;"}ElementAttributes_Indicator",A320,"code_English")</f>
        <v>*KEY_ERR</v>
      </c>
      <c r="F320" s="44" t="str">
        <f ca="1">_xll.DBRW($C$1,$C$2,$C$3,$C$4,$C$6,$C$5,$C$7,F$1,F$2,$A320)</f>
        <v>*KEY_ERR</v>
      </c>
      <c r="G320" s="44" t="str">
        <f ca="1">_xll.DBRW($C$1,$C$2,$C$3,$C$4,$C$6,$C$5,$C$7,G$1,G$2,$A320)</f>
        <v>*KEY_ERR</v>
      </c>
      <c r="H320" s="44" t="str">
        <f ca="1">_xll.DBRW($C$1,$C$2,$C$3,$C$4,$C$6,$C$5,$C$7,H$1,H$2,$A320)</f>
        <v>*KEY_ERR</v>
      </c>
      <c r="I320" s="44" t="str">
        <f ca="1">_xll.DBRW($C$1,$C$2,$C$3,$C$4,$C$6,$C$5,$C$7,I$1,I$2,$A320)</f>
        <v>*KEY_ERR</v>
      </c>
      <c r="J320" s="44" t="str">
        <f ca="1">_xll.DBRW($C$1,$C$2,$C$3,$C$4,$C$6,$C$5,$C$7,J$1,J$2,$A320)</f>
        <v>*KEY_ERR</v>
      </c>
      <c r="K320" s="44" t="str">
        <f ca="1">_xll.DBRW($C$1,$C$2,$C$3,$C$4,$C$6,$C$5,$C$7,K$1,K$2,$A320)</f>
        <v>*KEY_ERR</v>
      </c>
      <c r="L320" s="44" t="str">
        <f ca="1">_xll.DBRW($C$1,$C$2,$C$3,$C$4,$C$6,$C$5,$C$7,L$1,L$2,$A320)</f>
        <v>*KEY_ERR</v>
      </c>
      <c r="M320" s="44" t="str">
        <f ca="1">_xll.DBRW($C$1,$C$2,$C$3,$C$4,$C$6,$C$5,$C$7,M$1,M$2,$A320)</f>
        <v>*KEY_ERR</v>
      </c>
      <c r="N320" s="44" t="str">
        <f ca="1">_xll.DBRW($C$1,$C$2,$C$3,$C$4,$C$6,$C$5,$C$7,N$1,N$2,$A320)</f>
        <v>*KEY_ERR</v>
      </c>
      <c r="O320" s="44" t="str">
        <f ca="1">_xll.DBRW($C$1,$C$2,$C$3,$C$4,$C$6,$C$5,$C$7,O$1,O$2,$A320)</f>
        <v>*KEY_ERR</v>
      </c>
      <c r="P320" s="44" t="str">
        <f ca="1">_xll.DBRW($C$1,$C$2,$C$3,$C$4,$C$6,$C$5,$C$7,P$1,P$2,$A320)</f>
        <v>*KEY_ERR</v>
      </c>
      <c r="Q320" s="44" t="str">
        <f ca="1">_xll.DBRW($C$1,$C$2,$C$3,$C$4,$C$6,$C$5,$C$7,Q$1,Q$2,$A320)</f>
        <v>*KEY_ERR</v>
      </c>
      <c r="R320" s="44" t="str">
        <f ca="1">_xll.DBRW($C$1,$C$2,$C$3,$C$4,$C$6,$C$5,$C$7,R$1,R$2,$A320)</f>
        <v>*KEY_ERR</v>
      </c>
      <c r="S320" s="44" t="str">
        <f ca="1">_xll.DBRW($C$1,$C$2,$C$3,$C$4,$C$6,$C$5,$C$7,S$1,S$2,$A320)</f>
        <v>*KEY_ERR</v>
      </c>
      <c r="T320" s="44" t="str">
        <f ca="1">_xll.DBRW($C$1,$C$2,$C$3,$C$4,$C$6,$C$5,$C$7,T$1,T$2,$A320)</f>
        <v>*KEY_ERR</v>
      </c>
      <c r="U320" s="44" t="str">
        <f ca="1">_xll.DBRW($C$1,$C$2,$C$3,$C$4,$C$6,$C$5,$C$7,U$1,U$2,$A320)</f>
        <v>*KEY_ERR</v>
      </c>
      <c r="V320" s="44" t="str">
        <f ca="1">_xll.DBRW($C$1,$C$2,$C$3,$C$4,$C$6,$C$5,$C$7,V$1,V$2,$A320)</f>
        <v>*KEY_ERR</v>
      </c>
      <c r="W320" s="44" t="str">
        <f ca="1">_xll.DBRW($C$1,$C$2,$C$3,$C$4,$C$6,$C$5,$C$7,W$1,W$2,$A320)</f>
        <v>*KEY_ERR</v>
      </c>
      <c r="X320" s="44" t="str">
        <f ca="1">_xll.DBRW($C$1,$C$2,$C$3,$C$4,$C$6,$C$5,$C$7,X$1,X$2,$A320)</f>
        <v>*KEY_ERR</v>
      </c>
      <c r="Y320" s="44" t="str">
        <f ca="1">_xll.DBRW($C$1,$C$2,$C$3,$C$4,$C$6,$C$5,$C$7,Y$1,Y$2,$A320)</f>
        <v>*KEY_ERR</v>
      </c>
      <c r="Z320" s="44" t="str">
        <f ca="1">_xll.DBRW($C$1,$C$2,$C$3,$C$4,$C$6,$C$5,$C$7,Z$1,Z$2,$A320)</f>
        <v>*KEY_ERR</v>
      </c>
      <c r="AA320" s="44" t="str">
        <f ca="1">_xll.DBRW($C$1,$C$2,$C$3,$C$4,$C$6,$C$5,$C$7,AA$1,AA$2,$A320)</f>
        <v>*KEY_ERR</v>
      </c>
      <c r="AB320" s="44" t="str">
        <f ca="1">_xll.DBRW($C$1,$C$2,$C$3,$C$4,$C$6,$C$5,$C$7,AB$1,AB$2,$A320)</f>
        <v>*KEY_ERR</v>
      </c>
      <c r="AC320" s="44" t="str">
        <f ca="1">_xll.DBRW($C$1,$C$2,$C$3,$C$4,$C$6,$C$5,$C$7,AC$1,AC$2,$A320)</f>
        <v>*KEY_ERR</v>
      </c>
      <c r="AD320" s="44" t="str">
        <f ca="1">_xll.DBRW($C$1,$C$2,$C$3,$C$4,$C$6,$C$5,$C$7,AD$1,AD$2,$A320)</f>
        <v>*KEY_ERR</v>
      </c>
      <c r="AE320" s="44" t="str">
        <f ca="1">_xll.DBRW($C$1,$C$2,$C$3,$C$4,$C$6,$C$5,$C$7,AE$1,AE$2,$A320)</f>
        <v>*KEY_ERR</v>
      </c>
      <c r="AF320" s="44" t="str">
        <f ca="1">_xll.DBRW($C$1,$C$2,$C$3,$C$4,$C$6,$C$5,$C$7,AF$1,AF$2,$A320)</f>
        <v>*KEY_ERR</v>
      </c>
      <c r="AG320" s="44" t="str">
        <f ca="1">_xll.DBRW($C$1,$C$2,$C$3,$C$4,$C$6,$C$5,$C$7,AG$1,AG$2,$A320)</f>
        <v>*KEY_ERR</v>
      </c>
      <c r="AH320" s="44" t="str">
        <f ca="1">_xll.DBRW($C$1,$C$2,$C$3,$C$4,$C$6,$C$5,$C$7,AH$1,AH$2,$A320)</f>
        <v>*KEY_ERR</v>
      </c>
      <c r="AI320" s="44" t="str">
        <f ca="1">_xll.DBRW($C$1,$C$2,$C$3,$C$4,$C$6,$C$5,$C$7,AI$1,AI$2,$A320)</f>
        <v>*KEY_ERR</v>
      </c>
      <c r="AJ320" s="44" t="str">
        <f ca="1">_xll.DBRW($C$1,$C$2,$C$3,$C$4,$C$6,$C$5,$C$7,AJ$1,AJ$2,$A320)</f>
        <v>*KEY_ERR</v>
      </c>
      <c r="AK320" s="44" t="str">
        <f ca="1">_xll.DBRW($C$1,$C$2,$C$3,$C$4,$C$6,$C$5,$C$7,AK$1,AK$2,$A320)</f>
        <v>*KEY_ERR</v>
      </c>
      <c r="AL320" s="44" t="str">
        <f ca="1">_xll.DBRW($C$1,$C$2,$C$3,$C$4,$C$6,$C$5,$C$7,AL$1,AL$2,$A320)</f>
        <v>*KEY_ERR</v>
      </c>
      <c r="AM320" s="44" t="str">
        <f ca="1">_xll.DBRW($C$1,$C$2,$C$3,$C$4,$C$6,$C$5,$C$7,AM$1,AM$2,$A320)</f>
        <v>*KEY_ERR</v>
      </c>
      <c r="AN320" s="44" t="str">
        <f ca="1">_xll.DBRW($C$1,$C$2,$C$3,$C$4,$C$6,$C$5,$C$7,AN$1,AN$2,$A320)</f>
        <v>*KEY_ERR</v>
      </c>
      <c r="AO320" s="44" t="str">
        <f ca="1">_xll.DBRW($C$1,$C$2,$C$3,$C$4,$C$6,$C$5,$C$7,AO$1,AO$2,$A320)</f>
        <v>*KEY_ERR</v>
      </c>
      <c r="AP320" s="44" t="str">
        <f ca="1">_xll.DBRW($C$1,$C$2,$C$3,$C$4,$C$6,$C$5,$C$7,AP$1,AP$2,$A320)</f>
        <v>*KEY_ERR</v>
      </c>
      <c r="AQ320" s="44" t="str">
        <f ca="1">_xll.DBRW($C$1,$C$2,$C$3,$C$4,$C$6,$C$5,$C$7,AQ$1,AQ$2,$A320)</f>
        <v>*KEY_ERR</v>
      </c>
      <c r="AR320" s="44" t="str">
        <f ca="1">_xll.DBRW($C$1,$C$2,$C$3,$C$4,$C$6,$C$5,$C$7,AR$1,AR$2,$A320)</f>
        <v>*KEY_ERR</v>
      </c>
      <c r="AS320" s="44" t="str">
        <f ca="1">_xll.DBRW($C$1,$C$2,$C$3,$C$4,$C$6,$C$5,$C$7,AS$1,AS$2,$A320)</f>
        <v>*KEY_ERR</v>
      </c>
      <c r="AT320" s="44" t="str">
        <f ca="1">_xll.DBRW($C$1,$C$2,$C$3,$C$4,$C$6,$C$5,$C$7,AT$1,AT$2,$A320)</f>
        <v>*KEY_ERR</v>
      </c>
      <c r="AU320" s="44" t="str">
        <f ca="1">_xll.DBRW($C$1,$C$2,$C$3,$C$4,$C$6,$C$5,$C$7,AU$1,AU$2,$A320)</f>
        <v>*KEY_ERR</v>
      </c>
      <c r="AV320" s="44" t="str">
        <f ca="1">_xll.DBRW($C$1,$C$2,$C$3,$C$4,$C$6,$C$5,$C$7,AV$1,AV$2,$A320)</f>
        <v>*KEY_ERR</v>
      </c>
      <c r="AW320" s="44" t="str">
        <f ca="1">_xll.DBRW($C$1,$C$2,$C$3,$C$4,$C$6,$C$5,$C$7,AW$1,AW$2,$A320)</f>
        <v>*KEY_ERR</v>
      </c>
      <c r="AX320" s="44" t="str">
        <f ca="1">_xll.DBRW($C$1,$C$2,$C$3,$C$4,$C$6,$C$5,$C$7,AX$1,AX$2,$A320)</f>
        <v>*KEY_ERR</v>
      </c>
      <c r="AY320" s="44" t="str">
        <f ca="1">_xll.DBRW($C$1,$C$2,$C$3,$C$4,$C$6,$C$5,$C$7,AY$1,AY$2,$A320)</f>
        <v>*KEY_ERR</v>
      </c>
    </row>
    <row r="321" spans="1:51" ht="15.5" collapsed="1">
      <c r="A321" s="1" t="s">
        <v>142</v>
      </c>
      <c r="C321" s="104"/>
      <c r="E321" s="15" t="s">
        <v>89</v>
      </c>
      <c r="F321" s="45">
        <f ca="1">SUM(F318:F320)</f>
        <v>0</v>
      </c>
      <c r="G321" s="45">
        <f t="shared" ref="G321:AY321" ca="1" si="219">SUM(G318:G320)</f>
        <v>0</v>
      </c>
      <c r="H321" s="45">
        <f t="shared" ca="1" si="219"/>
        <v>0</v>
      </c>
      <c r="I321" s="45">
        <f t="shared" ca="1" si="219"/>
        <v>0</v>
      </c>
      <c r="J321" s="45">
        <f t="shared" ca="1" si="219"/>
        <v>0</v>
      </c>
      <c r="K321" s="45">
        <f t="shared" ca="1" si="219"/>
        <v>0</v>
      </c>
      <c r="L321" s="45">
        <f t="shared" ca="1" si="219"/>
        <v>0</v>
      </c>
      <c r="M321" s="45">
        <f t="shared" ca="1" si="219"/>
        <v>0</v>
      </c>
      <c r="N321" s="45">
        <f t="shared" ca="1" si="219"/>
        <v>0</v>
      </c>
      <c r="O321" s="45">
        <f t="shared" ca="1" si="219"/>
        <v>0</v>
      </c>
      <c r="P321" s="45">
        <f t="shared" ca="1" si="219"/>
        <v>0</v>
      </c>
      <c r="Q321" s="45">
        <f t="shared" ca="1" si="219"/>
        <v>0</v>
      </c>
      <c r="R321" s="45">
        <f t="shared" ca="1" si="219"/>
        <v>0</v>
      </c>
      <c r="S321" s="45">
        <f t="shared" ca="1" si="219"/>
        <v>0</v>
      </c>
      <c r="T321" s="45">
        <f t="shared" ca="1" si="219"/>
        <v>0</v>
      </c>
      <c r="U321" s="45">
        <f t="shared" ca="1" si="219"/>
        <v>0</v>
      </c>
      <c r="V321" s="45">
        <f t="shared" ca="1" si="219"/>
        <v>0</v>
      </c>
      <c r="W321" s="45">
        <f t="shared" ca="1" si="219"/>
        <v>0</v>
      </c>
      <c r="X321" s="45">
        <f t="shared" ca="1" si="219"/>
        <v>0</v>
      </c>
      <c r="Y321" s="45">
        <f t="shared" ca="1" si="219"/>
        <v>0</v>
      </c>
      <c r="Z321" s="45">
        <f t="shared" ca="1" si="219"/>
        <v>0</v>
      </c>
      <c r="AA321" s="45">
        <f t="shared" ca="1" si="219"/>
        <v>0</v>
      </c>
      <c r="AB321" s="45">
        <f t="shared" ca="1" si="219"/>
        <v>0</v>
      </c>
      <c r="AC321" s="45">
        <f t="shared" ca="1" si="219"/>
        <v>0</v>
      </c>
      <c r="AD321" s="45">
        <f t="shared" ca="1" si="219"/>
        <v>0</v>
      </c>
      <c r="AE321" s="45">
        <f t="shared" ca="1" si="219"/>
        <v>0</v>
      </c>
      <c r="AF321" s="45">
        <f t="shared" ca="1" si="219"/>
        <v>0</v>
      </c>
      <c r="AG321" s="45">
        <f t="shared" ca="1" si="219"/>
        <v>0</v>
      </c>
      <c r="AH321" s="45">
        <f t="shared" ca="1" si="219"/>
        <v>0</v>
      </c>
      <c r="AI321" s="45">
        <f t="shared" ca="1" si="219"/>
        <v>0</v>
      </c>
      <c r="AJ321" s="45">
        <f t="shared" ca="1" si="219"/>
        <v>0</v>
      </c>
      <c r="AK321" s="45">
        <f t="shared" ca="1" si="219"/>
        <v>0</v>
      </c>
      <c r="AL321" s="45">
        <f t="shared" ca="1" si="219"/>
        <v>0</v>
      </c>
      <c r="AM321" s="45">
        <f t="shared" ca="1" si="219"/>
        <v>0</v>
      </c>
      <c r="AN321" s="45">
        <f t="shared" ca="1" si="219"/>
        <v>0</v>
      </c>
      <c r="AO321" s="45">
        <f t="shared" ca="1" si="219"/>
        <v>0</v>
      </c>
      <c r="AP321" s="45">
        <f t="shared" ca="1" si="219"/>
        <v>0</v>
      </c>
      <c r="AQ321" s="45">
        <f t="shared" ca="1" si="219"/>
        <v>0</v>
      </c>
      <c r="AR321" s="45">
        <f t="shared" ca="1" si="219"/>
        <v>0</v>
      </c>
      <c r="AS321" s="45">
        <f t="shared" ca="1" si="219"/>
        <v>0</v>
      </c>
      <c r="AT321" s="45">
        <f t="shared" ca="1" si="219"/>
        <v>0</v>
      </c>
      <c r="AU321" s="45">
        <f t="shared" ca="1" si="219"/>
        <v>0</v>
      </c>
      <c r="AV321" s="45">
        <f t="shared" ca="1" si="219"/>
        <v>0</v>
      </c>
      <c r="AW321" s="45">
        <f t="shared" ca="1" si="219"/>
        <v>0</v>
      </c>
      <c r="AX321" s="45">
        <f t="shared" ca="1" si="219"/>
        <v>0</v>
      </c>
      <c r="AY321" s="45">
        <f t="shared" ca="1" si="219"/>
        <v>0</v>
      </c>
    </row>
    <row r="322" spans="1:51" ht="15.75" hidden="1" customHeight="1" outlineLevel="1">
      <c r="A322" s="1" t="s">
        <v>352</v>
      </c>
      <c r="C322" s="104"/>
      <c r="E322" s="9" t="str">
        <f ca="1">_xll.DBRW(Server&amp;"}ElementAttributes_Indicator",A322,"code_English")</f>
        <v>Nb_Maintenance_team - Number of Maintenance collaborators</v>
      </c>
      <c r="F322" s="44">
        <f ca="1">_xll.DBRW($C$1,$C$2,$C$3,$C$4,$C$6,$C$5,$C$7,F$1,F$2,$A322)</f>
        <v>0</v>
      </c>
      <c r="G322" s="44">
        <f ca="1">_xll.DBRW($C$1,$C$2,$C$3,$C$4,$C$6,$C$5,$C$7,G$1,G$2,$A322)</f>
        <v>0</v>
      </c>
      <c r="H322" s="44">
        <f ca="1">_xll.DBRW($C$1,$C$2,$C$3,$C$4,$C$6,$C$5,$C$7,H$1,H$2,$A322)</f>
        <v>0</v>
      </c>
      <c r="I322" s="44">
        <f ca="1">_xll.DBRW($C$1,$C$2,$C$3,$C$4,$C$6,$C$5,$C$7,I$1,I$2,$A322)</f>
        <v>0</v>
      </c>
      <c r="J322" s="44">
        <f ca="1">_xll.DBRW($C$1,$C$2,$C$3,$C$4,$C$6,$C$5,$C$7,J$1,J$2,$A322)</f>
        <v>0</v>
      </c>
      <c r="K322" s="44">
        <f ca="1">_xll.DBRW($C$1,$C$2,$C$3,$C$4,$C$6,$C$5,$C$7,K$1,K$2,$A322)</f>
        <v>0</v>
      </c>
      <c r="L322" s="44">
        <f ca="1">_xll.DBRW($C$1,$C$2,$C$3,$C$4,$C$6,$C$5,$C$7,L$1,L$2,$A322)</f>
        <v>0</v>
      </c>
      <c r="M322" s="44">
        <f ca="1">_xll.DBRW($C$1,$C$2,$C$3,$C$4,$C$6,$C$5,$C$7,M$1,M$2,$A322)</f>
        <v>0</v>
      </c>
      <c r="N322" s="44">
        <f ca="1">_xll.DBRW($C$1,$C$2,$C$3,$C$4,$C$6,$C$5,$C$7,N$1,N$2,$A322)</f>
        <v>0</v>
      </c>
      <c r="O322" s="44">
        <f ca="1">_xll.DBRW($C$1,$C$2,$C$3,$C$4,$C$6,$C$5,$C$7,O$1,O$2,$A322)</f>
        <v>0</v>
      </c>
      <c r="P322" s="44">
        <f ca="1">_xll.DBRW($C$1,$C$2,$C$3,$C$4,$C$6,$C$5,$C$7,P$1,P$2,$A322)</f>
        <v>0</v>
      </c>
      <c r="Q322" s="44">
        <f ca="1">_xll.DBRW($C$1,$C$2,$C$3,$C$4,$C$6,$C$5,$C$7,Q$1,Q$2,$A322)</f>
        <v>0</v>
      </c>
      <c r="R322" s="44">
        <f ca="1">_xll.DBRW($C$1,$C$2,$C$3,$C$4,$C$6,$C$5,$C$7,R$1,R$2,$A322)</f>
        <v>0</v>
      </c>
      <c r="S322" s="44">
        <f ca="1">_xll.DBRW($C$1,$C$2,$C$3,$C$4,$C$6,$C$5,$C$7,S$1,S$2,$A322)</f>
        <v>0</v>
      </c>
      <c r="T322" s="44">
        <f ca="1">_xll.DBRW($C$1,$C$2,$C$3,$C$4,$C$6,$C$5,$C$7,T$1,T$2,$A322)</f>
        <v>0</v>
      </c>
      <c r="U322" s="44">
        <f ca="1">_xll.DBRW($C$1,$C$2,$C$3,$C$4,$C$6,$C$5,$C$7,U$1,U$2,$A322)</f>
        <v>0</v>
      </c>
      <c r="V322" s="44">
        <f ca="1">_xll.DBRW($C$1,$C$2,$C$3,$C$4,$C$6,$C$5,$C$7,V$1,V$2,$A322)</f>
        <v>0</v>
      </c>
      <c r="W322" s="44">
        <f ca="1">_xll.DBRW($C$1,$C$2,$C$3,$C$4,$C$6,$C$5,$C$7,W$1,W$2,$A322)</f>
        <v>0</v>
      </c>
      <c r="X322" s="44">
        <f ca="1">_xll.DBRW($C$1,$C$2,$C$3,$C$4,$C$6,$C$5,$C$7,X$1,X$2,$A322)</f>
        <v>0</v>
      </c>
      <c r="Y322" s="44">
        <f ca="1">_xll.DBRW($C$1,$C$2,$C$3,$C$4,$C$6,$C$5,$C$7,Y$1,Y$2,$A322)</f>
        <v>0</v>
      </c>
      <c r="Z322" s="44">
        <f ca="1">_xll.DBRW($C$1,$C$2,$C$3,$C$4,$C$6,$C$5,$C$7,Z$1,Z$2,$A322)</f>
        <v>0</v>
      </c>
      <c r="AA322" s="44">
        <f ca="1">_xll.DBRW($C$1,$C$2,$C$3,$C$4,$C$6,$C$5,$C$7,AA$1,AA$2,$A322)</f>
        <v>0</v>
      </c>
      <c r="AB322" s="44">
        <f ca="1">_xll.DBRW($C$1,$C$2,$C$3,$C$4,$C$6,$C$5,$C$7,AB$1,AB$2,$A322)</f>
        <v>0</v>
      </c>
      <c r="AC322" s="44">
        <f ca="1">_xll.DBRW($C$1,$C$2,$C$3,$C$4,$C$6,$C$5,$C$7,AC$1,AC$2,$A322)</f>
        <v>0</v>
      </c>
      <c r="AD322" s="44">
        <f ca="1">_xll.DBRW($C$1,$C$2,$C$3,$C$4,$C$6,$C$5,$C$7,AD$1,AD$2,$A322)</f>
        <v>0</v>
      </c>
      <c r="AE322" s="44">
        <f ca="1">_xll.DBRW($C$1,$C$2,$C$3,$C$4,$C$6,$C$5,$C$7,AE$1,AE$2,$A322)</f>
        <v>0</v>
      </c>
      <c r="AF322" s="44">
        <f ca="1">_xll.DBRW($C$1,$C$2,$C$3,$C$4,$C$6,$C$5,$C$7,AF$1,AF$2,$A322)</f>
        <v>0</v>
      </c>
      <c r="AG322" s="44">
        <f ca="1">_xll.DBRW($C$1,$C$2,$C$3,$C$4,$C$6,$C$5,$C$7,AG$1,AG$2,$A322)</f>
        <v>0</v>
      </c>
      <c r="AH322" s="44">
        <f ca="1">_xll.DBRW($C$1,$C$2,$C$3,$C$4,$C$6,$C$5,$C$7,AH$1,AH$2,$A322)</f>
        <v>0</v>
      </c>
      <c r="AI322" s="44">
        <f ca="1">_xll.DBRW($C$1,$C$2,$C$3,$C$4,$C$6,$C$5,$C$7,AI$1,AI$2,$A322)</f>
        <v>0</v>
      </c>
      <c r="AJ322" s="44">
        <f ca="1">_xll.DBRW($C$1,$C$2,$C$3,$C$4,$C$6,$C$5,$C$7,AJ$1,AJ$2,$A322)</f>
        <v>0</v>
      </c>
      <c r="AK322" s="44">
        <f ca="1">_xll.DBRW($C$1,$C$2,$C$3,$C$4,$C$6,$C$5,$C$7,AK$1,AK$2,$A322)</f>
        <v>0</v>
      </c>
      <c r="AL322" s="44">
        <f ca="1">_xll.DBRW($C$1,$C$2,$C$3,$C$4,$C$6,$C$5,$C$7,AL$1,AL$2,$A322)</f>
        <v>0</v>
      </c>
      <c r="AM322" s="44">
        <f ca="1">_xll.DBRW($C$1,$C$2,$C$3,$C$4,$C$6,$C$5,$C$7,AM$1,AM$2,$A322)</f>
        <v>0</v>
      </c>
      <c r="AN322" s="44">
        <f ca="1">_xll.DBRW($C$1,$C$2,$C$3,$C$4,$C$6,$C$5,$C$7,AN$1,AN$2,$A322)</f>
        <v>0</v>
      </c>
      <c r="AO322" s="44">
        <f ca="1">_xll.DBRW($C$1,$C$2,$C$3,$C$4,$C$6,$C$5,$C$7,AO$1,AO$2,$A322)</f>
        <v>0</v>
      </c>
      <c r="AP322" s="44">
        <f ca="1">_xll.DBRW($C$1,$C$2,$C$3,$C$4,$C$6,$C$5,$C$7,AP$1,AP$2,$A322)</f>
        <v>0</v>
      </c>
      <c r="AQ322" s="44">
        <f ca="1">_xll.DBRW($C$1,$C$2,$C$3,$C$4,$C$6,$C$5,$C$7,AQ$1,AQ$2,$A322)</f>
        <v>0</v>
      </c>
      <c r="AR322" s="44">
        <f ca="1">_xll.DBRW($C$1,$C$2,$C$3,$C$4,$C$6,$C$5,$C$7,AR$1,AR$2,$A322)</f>
        <v>0</v>
      </c>
      <c r="AS322" s="44">
        <f ca="1">_xll.DBRW($C$1,$C$2,$C$3,$C$4,$C$6,$C$5,$C$7,AS$1,AS$2,$A322)</f>
        <v>0</v>
      </c>
      <c r="AT322" s="44">
        <f ca="1">_xll.DBRW($C$1,$C$2,$C$3,$C$4,$C$6,$C$5,$C$7,AT$1,AT$2,$A322)</f>
        <v>0</v>
      </c>
      <c r="AU322" s="44">
        <f ca="1">_xll.DBRW($C$1,$C$2,$C$3,$C$4,$C$6,$C$5,$C$7,AU$1,AU$2,$A322)</f>
        <v>0</v>
      </c>
      <c r="AV322" s="44">
        <f ca="1">_xll.DBRW($C$1,$C$2,$C$3,$C$4,$C$6,$C$5,$C$7,AV$1,AV$2,$A322)</f>
        <v>0</v>
      </c>
      <c r="AW322" s="44">
        <f ca="1">_xll.DBRW($C$1,$C$2,$C$3,$C$4,$C$6,$C$5,$C$7,AW$1,AW$2,$A322)</f>
        <v>0</v>
      </c>
      <c r="AX322" s="44">
        <f ca="1">_xll.DBRW($C$1,$C$2,$C$3,$C$4,$C$6,$C$5,$C$7,AX$1,AX$2,$A322)</f>
        <v>0</v>
      </c>
      <c r="AY322" s="44">
        <f ca="1">_xll.DBRW($C$1,$C$2,$C$3,$C$4,$C$6,$C$5,$C$7,AY$1,AY$2,$A322)</f>
        <v>0</v>
      </c>
    </row>
    <row r="323" spans="1:51" ht="15.75" hidden="1" customHeight="1" outlineLevel="1">
      <c r="A323" s="1" t="s">
        <v>365</v>
      </c>
      <c r="C323" s="104"/>
      <c r="E323" s="9" t="str">
        <f ca="1">_xll.DBRW(Server&amp;"}ElementAttributes_Indicator",A323,"code_English")</f>
        <v>*KEY_ERR</v>
      </c>
      <c r="F323" s="44" t="str">
        <f ca="1">_xll.DBRW($C$1,$C$2,$C$3,$C$4,$C$6,$C$5,$C$7,F$1,F$2,$A323)</f>
        <v>*KEY_ERR</v>
      </c>
      <c r="G323" s="44" t="str">
        <f ca="1">_xll.DBRW($C$1,$C$2,$C$3,$C$4,$C$6,$C$5,$C$7,G$1,G$2,$A323)</f>
        <v>*KEY_ERR</v>
      </c>
      <c r="H323" s="44" t="str">
        <f ca="1">_xll.DBRW($C$1,$C$2,$C$3,$C$4,$C$6,$C$5,$C$7,H$1,H$2,$A323)</f>
        <v>*KEY_ERR</v>
      </c>
      <c r="I323" s="44" t="str">
        <f ca="1">_xll.DBRW($C$1,$C$2,$C$3,$C$4,$C$6,$C$5,$C$7,I$1,I$2,$A323)</f>
        <v>*KEY_ERR</v>
      </c>
      <c r="J323" s="44" t="str">
        <f ca="1">_xll.DBRW($C$1,$C$2,$C$3,$C$4,$C$6,$C$5,$C$7,J$1,J$2,$A323)</f>
        <v>*KEY_ERR</v>
      </c>
      <c r="K323" s="44" t="str">
        <f ca="1">_xll.DBRW($C$1,$C$2,$C$3,$C$4,$C$6,$C$5,$C$7,K$1,K$2,$A323)</f>
        <v>*KEY_ERR</v>
      </c>
      <c r="L323" s="44" t="str">
        <f ca="1">_xll.DBRW($C$1,$C$2,$C$3,$C$4,$C$6,$C$5,$C$7,L$1,L$2,$A323)</f>
        <v>*KEY_ERR</v>
      </c>
      <c r="M323" s="44" t="str">
        <f ca="1">_xll.DBRW($C$1,$C$2,$C$3,$C$4,$C$6,$C$5,$C$7,M$1,M$2,$A323)</f>
        <v>*KEY_ERR</v>
      </c>
      <c r="N323" s="44" t="str">
        <f ca="1">_xll.DBRW($C$1,$C$2,$C$3,$C$4,$C$6,$C$5,$C$7,N$1,N$2,$A323)</f>
        <v>*KEY_ERR</v>
      </c>
      <c r="O323" s="44" t="str">
        <f ca="1">_xll.DBRW($C$1,$C$2,$C$3,$C$4,$C$6,$C$5,$C$7,O$1,O$2,$A323)</f>
        <v>*KEY_ERR</v>
      </c>
      <c r="P323" s="44" t="str">
        <f ca="1">_xll.DBRW($C$1,$C$2,$C$3,$C$4,$C$6,$C$5,$C$7,P$1,P$2,$A323)</f>
        <v>*KEY_ERR</v>
      </c>
      <c r="Q323" s="44" t="str">
        <f ca="1">_xll.DBRW($C$1,$C$2,$C$3,$C$4,$C$6,$C$5,$C$7,Q$1,Q$2,$A323)</f>
        <v>*KEY_ERR</v>
      </c>
      <c r="R323" s="44" t="str">
        <f ca="1">_xll.DBRW($C$1,$C$2,$C$3,$C$4,$C$6,$C$5,$C$7,R$1,R$2,$A323)</f>
        <v>*KEY_ERR</v>
      </c>
      <c r="S323" s="44" t="str">
        <f ca="1">_xll.DBRW($C$1,$C$2,$C$3,$C$4,$C$6,$C$5,$C$7,S$1,S$2,$A323)</f>
        <v>*KEY_ERR</v>
      </c>
      <c r="T323" s="44" t="str">
        <f ca="1">_xll.DBRW($C$1,$C$2,$C$3,$C$4,$C$6,$C$5,$C$7,T$1,T$2,$A323)</f>
        <v>*KEY_ERR</v>
      </c>
      <c r="U323" s="44" t="str">
        <f ca="1">_xll.DBRW($C$1,$C$2,$C$3,$C$4,$C$6,$C$5,$C$7,U$1,U$2,$A323)</f>
        <v>*KEY_ERR</v>
      </c>
      <c r="V323" s="44" t="str">
        <f ca="1">_xll.DBRW($C$1,$C$2,$C$3,$C$4,$C$6,$C$5,$C$7,V$1,V$2,$A323)</f>
        <v>*KEY_ERR</v>
      </c>
      <c r="W323" s="44" t="str">
        <f ca="1">_xll.DBRW($C$1,$C$2,$C$3,$C$4,$C$6,$C$5,$C$7,W$1,W$2,$A323)</f>
        <v>*KEY_ERR</v>
      </c>
      <c r="X323" s="44" t="str">
        <f ca="1">_xll.DBRW($C$1,$C$2,$C$3,$C$4,$C$6,$C$5,$C$7,X$1,X$2,$A323)</f>
        <v>*KEY_ERR</v>
      </c>
      <c r="Y323" s="44" t="str">
        <f ca="1">_xll.DBRW($C$1,$C$2,$C$3,$C$4,$C$6,$C$5,$C$7,Y$1,Y$2,$A323)</f>
        <v>*KEY_ERR</v>
      </c>
      <c r="Z323" s="44" t="str">
        <f ca="1">_xll.DBRW($C$1,$C$2,$C$3,$C$4,$C$6,$C$5,$C$7,Z$1,Z$2,$A323)</f>
        <v>*KEY_ERR</v>
      </c>
      <c r="AA323" s="44" t="str">
        <f ca="1">_xll.DBRW($C$1,$C$2,$C$3,$C$4,$C$6,$C$5,$C$7,AA$1,AA$2,$A323)</f>
        <v>*KEY_ERR</v>
      </c>
      <c r="AB323" s="44" t="str">
        <f ca="1">_xll.DBRW($C$1,$C$2,$C$3,$C$4,$C$6,$C$5,$C$7,AB$1,AB$2,$A323)</f>
        <v>*KEY_ERR</v>
      </c>
      <c r="AC323" s="44" t="str">
        <f ca="1">_xll.DBRW($C$1,$C$2,$C$3,$C$4,$C$6,$C$5,$C$7,AC$1,AC$2,$A323)</f>
        <v>*KEY_ERR</v>
      </c>
      <c r="AD323" s="44" t="str">
        <f ca="1">_xll.DBRW($C$1,$C$2,$C$3,$C$4,$C$6,$C$5,$C$7,AD$1,AD$2,$A323)</f>
        <v>*KEY_ERR</v>
      </c>
      <c r="AE323" s="44" t="str">
        <f ca="1">_xll.DBRW($C$1,$C$2,$C$3,$C$4,$C$6,$C$5,$C$7,AE$1,AE$2,$A323)</f>
        <v>*KEY_ERR</v>
      </c>
      <c r="AF323" s="44" t="str">
        <f ca="1">_xll.DBRW($C$1,$C$2,$C$3,$C$4,$C$6,$C$5,$C$7,AF$1,AF$2,$A323)</f>
        <v>*KEY_ERR</v>
      </c>
      <c r="AG323" s="44" t="str">
        <f ca="1">_xll.DBRW($C$1,$C$2,$C$3,$C$4,$C$6,$C$5,$C$7,AG$1,AG$2,$A323)</f>
        <v>*KEY_ERR</v>
      </c>
      <c r="AH323" s="44" t="str">
        <f ca="1">_xll.DBRW($C$1,$C$2,$C$3,$C$4,$C$6,$C$5,$C$7,AH$1,AH$2,$A323)</f>
        <v>*KEY_ERR</v>
      </c>
      <c r="AI323" s="44" t="str">
        <f ca="1">_xll.DBRW($C$1,$C$2,$C$3,$C$4,$C$6,$C$5,$C$7,AI$1,AI$2,$A323)</f>
        <v>*KEY_ERR</v>
      </c>
      <c r="AJ323" s="44" t="str">
        <f ca="1">_xll.DBRW($C$1,$C$2,$C$3,$C$4,$C$6,$C$5,$C$7,AJ$1,AJ$2,$A323)</f>
        <v>*KEY_ERR</v>
      </c>
      <c r="AK323" s="44" t="str">
        <f ca="1">_xll.DBRW($C$1,$C$2,$C$3,$C$4,$C$6,$C$5,$C$7,AK$1,AK$2,$A323)</f>
        <v>*KEY_ERR</v>
      </c>
      <c r="AL323" s="44" t="str">
        <f ca="1">_xll.DBRW($C$1,$C$2,$C$3,$C$4,$C$6,$C$5,$C$7,AL$1,AL$2,$A323)</f>
        <v>*KEY_ERR</v>
      </c>
      <c r="AM323" s="44" t="str">
        <f ca="1">_xll.DBRW($C$1,$C$2,$C$3,$C$4,$C$6,$C$5,$C$7,AM$1,AM$2,$A323)</f>
        <v>*KEY_ERR</v>
      </c>
      <c r="AN323" s="44" t="str">
        <f ca="1">_xll.DBRW($C$1,$C$2,$C$3,$C$4,$C$6,$C$5,$C$7,AN$1,AN$2,$A323)</f>
        <v>*KEY_ERR</v>
      </c>
      <c r="AO323" s="44" t="str">
        <f ca="1">_xll.DBRW($C$1,$C$2,$C$3,$C$4,$C$6,$C$5,$C$7,AO$1,AO$2,$A323)</f>
        <v>*KEY_ERR</v>
      </c>
      <c r="AP323" s="44" t="str">
        <f ca="1">_xll.DBRW($C$1,$C$2,$C$3,$C$4,$C$6,$C$5,$C$7,AP$1,AP$2,$A323)</f>
        <v>*KEY_ERR</v>
      </c>
      <c r="AQ323" s="44" t="str">
        <f ca="1">_xll.DBRW($C$1,$C$2,$C$3,$C$4,$C$6,$C$5,$C$7,AQ$1,AQ$2,$A323)</f>
        <v>*KEY_ERR</v>
      </c>
      <c r="AR323" s="44" t="str">
        <f ca="1">_xll.DBRW($C$1,$C$2,$C$3,$C$4,$C$6,$C$5,$C$7,AR$1,AR$2,$A323)</f>
        <v>*KEY_ERR</v>
      </c>
      <c r="AS323" s="44" t="str">
        <f ca="1">_xll.DBRW($C$1,$C$2,$C$3,$C$4,$C$6,$C$5,$C$7,AS$1,AS$2,$A323)</f>
        <v>*KEY_ERR</v>
      </c>
      <c r="AT323" s="44" t="str">
        <f ca="1">_xll.DBRW($C$1,$C$2,$C$3,$C$4,$C$6,$C$5,$C$7,AT$1,AT$2,$A323)</f>
        <v>*KEY_ERR</v>
      </c>
      <c r="AU323" s="44" t="str">
        <f ca="1">_xll.DBRW($C$1,$C$2,$C$3,$C$4,$C$6,$C$5,$C$7,AU$1,AU$2,$A323)</f>
        <v>*KEY_ERR</v>
      </c>
      <c r="AV323" s="44" t="str">
        <f ca="1">_xll.DBRW($C$1,$C$2,$C$3,$C$4,$C$6,$C$5,$C$7,AV$1,AV$2,$A323)</f>
        <v>*KEY_ERR</v>
      </c>
      <c r="AW323" s="44" t="str">
        <f ca="1">_xll.DBRW($C$1,$C$2,$C$3,$C$4,$C$6,$C$5,$C$7,AW$1,AW$2,$A323)</f>
        <v>*KEY_ERR</v>
      </c>
      <c r="AX323" s="44" t="str">
        <f ca="1">_xll.DBRW($C$1,$C$2,$C$3,$C$4,$C$6,$C$5,$C$7,AX$1,AX$2,$A323)</f>
        <v>*KEY_ERR</v>
      </c>
      <c r="AY323" s="44" t="str">
        <f ca="1">_xll.DBRW($C$1,$C$2,$C$3,$C$4,$C$6,$C$5,$C$7,AY$1,AY$2,$A323)</f>
        <v>*KEY_ERR</v>
      </c>
    </row>
    <row r="324" spans="1:51" ht="15.5" collapsed="1">
      <c r="A324" s="1" t="s">
        <v>142</v>
      </c>
      <c r="C324" s="104"/>
      <c r="E324" s="15" t="s">
        <v>90</v>
      </c>
      <c r="F324" s="45">
        <f ca="1">SUM(F322:F323)</f>
        <v>0</v>
      </c>
      <c r="G324" s="45">
        <f t="shared" ref="G324:AY324" ca="1" si="220">SUM(G322:G323)</f>
        <v>0</v>
      </c>
      <c r="H324" s="45">
        <f t="shared" ca="1" si="220"/>
        <v>0</v>
      </c>
      <c r="I324" s="45">
        <f t="shared" ca="1" si="220"/>
        <v>0</v>
      </c>
      <c r="J324" s="45">
        <f t="shared" ca="1" si="220"/>
        <v>0</v>
      </c>
      <c r="K324" s="45">
        <f t="shared" ca="1" si="220"/>
        <v>0</v>
      </c>
      <c r="L324" s="45">
        <f t="shared" ca="1" si="220"/>
        <v>0</v>
      </c>
      <c r="M324" s="45">
        <f t="shared" ca="1" si="220"/>
        <v>0</v>
      </c>
      <c r="N324" s="45">
        <f t="shared" ca="1" si="220"/>
        <v>0</v>
      </c>
      <c r="O324" s="45">
        <f t="shared" ca="1" si="220"/>
        <v>0</v>
      </c>
      <c r="P324" s="45">
        <f t="shared" ca="1" si="220"/>
        <v>0</v>
      </c>
      <c r="Q324" s="45">
        <f t="shared" ca="1" si="220"/>
        <v>0</v>
      </c>
      <c r="R324" s="45">
        <f t="shared" ca="1" si="220"/>
        <v>0</v>
      </c>
      <c r="S324" s="45">
        <f t="shared" ca="1" si="220"/>
        <v>0</v>
      </c>
      <c r="T324" s="45">
        <f t="shared" ca="1" si="220"/>
        <v>0</v>
      </c>
      <c r="U324" s="45">
        <f t="shared" ca="1" si="220"/>
        <v>0</v>
      </c>
      <c r="V324" s="45">
        <f t="shared" ca="1" si="220"/>
        <v>0</v>
      </c>
      <c r="W324" s="45">
        <f t="shared" ca="1" si="220"/>
        <v>0</v>
      </c>
      <c r="X324" s="45">
        <f t="shared" ca="1" si="220"/>
        <v>0</v>
      </c>
      <c r="Y324" s="45">
        <f t="shared" ca="1" si="220"/>
        <v>0</v>
      </c>
      <c r="Z324" s="45">
        <f t="shared" ca="1" si="220"/>
        <v>0</v>
      </c>
      <c r="AA324" s="45">
        <f t="shared" ca="1" si="220"/>
        <v>0</v>
      </c>
      <c r="AB324" s="45">
        <f t="shared" ca="1" si="220"/>
        <v>0</v>
      </c>
      <c r="AC324" s="45">
        <f t="shared" ca="1" si="220"/>
        <v>0</v>
      </c>
      <c r="AD324" s="45">
        <f t="shared" ca="1" si="220"/>
        <v>0</v>
      </c>
      <c r="AE324" s="45">
        <f t="shared" ca="1" si="220"/>
        <v>0</v>
      </c>
      <c r="AF324" s="45">
        <f t="shared" ca="1" si="220"/>
        <v>0</v>
      </c>
      <c r="AG324" s="45">
        <f t="shared" ca="1" si="220"/>
        <v>0</v>
      </c>
      <c r="AH324" s="45">
        <f t="shared" ca="1" si="220"/>
        <v>0</v>
      </c>
      <c r="AI324" s="45">
        <f t="shared" ca="1" si="220"/>
        <v>0</v>
      </c>
      <c r="AJ324" s="45">
        <f t="shared" ca="1" si="220"/>
        <v>0</v>
      </c>
      <c r="AK324" s="45">
        <f t="shared" ca="1" si="220"/>
        <v>0</v>
      </c>
      <c r="AL324" s="45">
        <f t="shared" ca="1" si="220"/>
        <v>0</v>
      </c>
      <c r="AM324" s="45">
        <f t="shared" ca="1" si="220"/>
        <v>0</v>
      </c>
      <c r="AN324" s="45">
        <f t="shared" ca="1" si="220"/>
        <v>0</v>
      </c>
      <c r="AO324" s="45">
        <f t="shared" ca="1" si="220"/>
        <v>0</v>
      </c>
      <c r="AP324" s="45">
        <f t="shared" ca="1" si="220"/>
        <v>0</v>
      </c>
      <c r="AQ324" s="45">
        <f t="shared" ca="1" si="220"/>
        <v>0</v>
      </c>
      <c r="AR324" s="45">
        <f t="shared" ca="1" si="220"/>
        <v>0</v>
      </c>
      <c r="AS324" s="45">
        <f t="shared" ca="1" si="220"/>
        <v>0</v>
      </c>
      <c r="AT324" s="45">
        <f t="shared" ca="1" si="220"/>
        <v>0</v>
      </c>
      <c r="AU324" s="45">
        <f t="shared" ca="1" si="220"/>
        <v>0</v>
      </c>
      <c r="AV324" s="45">
        <f t="shared" ca="1" si="220"/>
        <v>0</v>
      </c>
      <c r="AW324" s="45">
        <f t="shared" ca="1" si="220"/>
        <v>0</v>
      </c>
      <c r="AX324" s="45">
        <f t="shared" ca="1" si="220"/>
        <v>0</v>
      </c>
      <c r="AY324" s="45">
        <f t="shared" ca="1" si="220"/>
        <v>0</v>
      </c>
    </row>
    <row r="325" spans="1:51" ht="15.75" hidden="1" customHeight="1" outlineLevel="1">
      <c r="A325" s="1" t="s">
        <v>366</v>
      </c>
      <c r="C325" s="104"/>
      <c r="E325" s="9" t="str">
        <f ca="1">_xll.DBRW(Server&amp;"}ElementAttributes_Indicator",A325,"code_English")</f>
        <v>*KEY_ERR</v>
      </c>
      <c r="F325" s="45">
        <f ca="1">SUM(F323:F324)</f>
        <v>0</v>
      </c>
      <c r="G325" s="45">
        <f t="shared" ref="G325:AY325" ca="1" si="221">SUM(G323:G324)</f>
        <v>0</v>
      </c>
      <c r="H325" s="45">
        <f t="shared" ca="1" si="221"/>
        <v>0</v>
      </c>
      <c r="I325" s="45">
        <f t="shared" ca="1" si="221"/>
        <v>0</v>
      </c>
      <c r="J325" s="45">
        <f t="shared" ca="1" si="221"/>
        <v>0</v>
      </c>
      <c r="K325" s="45">
        <f t="shared" ca="1" si="221"/>
        <v>0</v>
      </c>
      <c r="L325" s="45">
        <f t="shared" ca="1" si="221"/>
        <v>0</v>
      </c>
      <c r="M325" s="45">
        <f t="shared" ca="1" si="221"/>
        <v>0</v>
      </c>
      <c r="N325" s="45">
        <f t="shared" ca="1" si="221"/>
        <v>0</v>
      </c>
      <c r="O325" s="45">
        <f t="shared" ca="1" si="221"/>
        <v>0</v>
      </c>
      <c r="P325" s="45">
        <f t="shared" ca="1" si="221"/>
        <v>0</v>
      </c>
      <c r="Q325" s="45">
        <f t="shared" ca="1" si="221"/>
        <v>0</v>
      </c>
      <c r="R325" s="45">
        <f t="shared" ca="1" si="221"/>
        <v>0</v>
      </c>
      <c r="S325" s="45">
        <f t="shared" ca="1" si="221"/>
        <v>0</v>
      </c>
      <c r="T325" s="45">
        <f t="shared" ca="1" si="221"/>
        <v>0</v>
      </c>
      <c r="U325" s="45">
        <f t="shared" ca="1" si="221"/>
        <v>0</v>
      </c>
      <c r="V325" s="45">
        <f t="shared" ca="1" si="221"/>
        <v>0</v>
      </c>
      <c r="W325" s="45">
        <f t="shared" ca="1" si="221"/>
        <v>0</v>
      </c>
      <c r="X325" s="45">
        <f t="shared" ca="1" si="221"/>
        <v>0</v>
      </c>
      <c r="Y325" s="45">
        <f t="shared" ca="1" si="221"/>
        <v>0</v>
      </c>
      <c r="Z325" s="45">
        <f t="shared" ca="1" si="221"/>
        <v>0</v>
      </c>
      <c r="AA325" s="45">
        <f t="shared" ca="1" si="221"/>
        <v>0</v>
      </c>
      <c r="AB325" s="45">
        <f t="shared" ca="1" si="221"/>
        <v>0</v>
      </c>
      <c r="AC325" s="45">
        <f t="shared" ca="1" si="221"/>
        <v>0</v>
      </c>
      <c r="AD325" s="45">
        <f t="shared" ca="1" si="221"/>
        <v>0</v>
      </c>
      <c r="AE325" s="45">
        <f t="shared" ca="1" si="221"/>
        <v>0</v>
      </c>
      <c r="AF325" s="45">
        <f t="shared" ca="1" si="221"/>
        <v>0</v>
      </c>
      <c r="AG325" s="45">
        <f t="shared" ca="1" si="221"/>
        <v>0</v>
      </c>
      <c r="AH325" s="45">
        <f t="shared" ca="1" si="221"/>
        <v>0</v>
      </c>
      <c r="AI325" s="45">
        <f t="shared" ca="1" si="221"/>
        <v>0</v>
      </c>
      <c r="AJ325" s="45">
        <f t="shared" ca="1" si="221"/>
        <v>0</v>
      </c>
      <c r="AK325" s="45">
        <f t="shared" ca="1" si="221"/>
        <v>0</v>
      </c>
      <c r="AL325" s="45">
        <f t="shared" ca="1" si="221"/>
        <v>0</v>
      </c>
      <c r="AM325" s="45">
        <f t="shared" ca="1" si="221"/>
        <v>0</v>
      </c>
      <c r="AN325" s="45">
        <f t="shared" ca="1" si="221"/>
        <v>0</v>
      </c>
      <c r="AO325" s="45">
        <f t="shared" ca="1" si="221"/>
        <v>0</v>
      </c>
      <c r="AP325" s="45">
        <f t="shared" ca="1" si="221"/>
        <v>0</v>
      </c>
      <c r="AQ325" s="45">
        <f t="shared" ca="1" si="221"/>
        <v>0</v>
      </c>
      <c r="AR325" s="45">
        <f t="shared" ca="1" si="221"/>
        <v>0</v>
      </c>
      <c r="AS325" s="45">
        <f t="shared" ca="1" si="221"/>
        <v>0</v>
      </c>
      <c r="AT325" s="45">
        <f t="shared" ca="1" si="221"/>
        <v>0</v>
      </c>
      <c r="AU325" s="45">
        <f t="shared" ca="1" si="221"/>
        <v>0</v>
      </c>
      <c r="AV325" s="45">
        <f t="shared" ca="1" si="221"/>
        <v>0</v>
      </c>
      <c r="AW325" s="45">
        <f t="shared" ca="1" si="221"/>
        <v>0</v>
      </c>
      <c r="AX325" s="45">
        <f t="shared" ca="1" si="221"/>
        <v>0</v>
      </c>
      <c r="AY325" s="45">
        <f t="shared" ca="1" si="221"/>
        <v>0</v>
      </c>
    </row>
    <row r="326" spans="1:51" ht="15.5" collapsed="1">
      <c r="A326" s="1" t="s">
        <v>142</v>
      </c>
      <c r="C326" s="104"/>
      <c r="E326" s="82" t="s">
        <v>91</v>
      </c>
      <c r="F326" s="45">
        <f ca="1">SUM(F324:F325)</f>
        <v>0</v>
      </c>
      <c r="G326" s="45">
        <f t="shared" ref="G326:AY326" ca="1" si="222">SUM(G324:G325)</f>
        <v>0</v>
      </c>
      <c r="H326" s="45">
        <f t="shared" ca="1" si="222"/>
        <v>0</v>
      </c>
      <c r="I326" s="45">
        <f t="shared" ca="1" si="222"/>
        <v>0</v>
      </c>
      <c r="J326" s="45">
        <f t="shared" ca="1" si="222"/>
        <v>0</v>
      </c>
      <c r="K326" s="45">
        <f t="shared" ca="1" si="222"/>
        <v>0</v>
      </c>
      <c r="L326" s="45">
        <f t="shared" ca="1" si="222"/>
        <v>0</v>
      </c>
      <c r="M326" s="45">
        <f t="shared" ca="1" si="222"/>
        <v>0</v>
      </c>
      <c r="N326" s="45">
        <f t="shared" ca="1" si="222"/>
        <v>0</v>
      </c>
      <c r="O326" s="45">
        <f t="shared" ca="1" si="222"/>
        <v>0</v>
      </c>
      <c r="P326" s="45">
        <f t="shared" ca="1" si="222"/>
        <v>0</v>
      </c>
      <c r="Q326" s="45">
        <f t="shared" ca="1" si="222"/>
        <v>0</v>
      </c>
      <c r="R326" s="45">
        <f t="shared" ca="1" si="222"/>
        <v>0</v>
      </c>
      <c r="S326" s="45">
        <f t="shared" ca="1" si="222"/>
        <v>0</v>
      </c>
      <c r="T326" s="45">
        <f t="shared" ca="1" si="222"/>
        <v>0</v>
      </c>
      <c r="U326" s="45">
        <f t="shared" ca="1" si="222"/>
        <v>0</v>
      </c>
      <c r="V326" s="45">
        <f t="shared" ca="1" si="222"/>
        <v>0</v>
      </c>
      <c r="W326" s="45">
        <f t="shared" ca="1" si="222"/>
        <v>0</v>
      </c>
      <c r="X326" s="45">
        <f t="shared" ca="1" si="222"/>
        <v>0</v>
      </c>
      <c r="Y326" s="45">
        <f t="shared" ca="1" si="222"/>
        <v>0</v>
      </c>
      <c r="Z326" s="45">
        <f t="shared" ca="1" si="222"/>
        <v>0</v>
      </c>
      <c r="AA326" s="45">
        <f t="shared" ca="1" si="222"/>
        <v>0</v>
      </c>
      <c r="AB326" s="45">
        <f t="shared" ca="1" si="222"/>
        <v>0</v>
      </c>
      <c r="AC326" s="45">
        <f t="shared" ca="1" si="222"/>
        <v>0</v>
      </c>
      <c r="AD326" s="45">
        <f t="shared" ca="1" si="222"/>
        <v>0</v>
      </c>
      <c r="AE326" s="45">
        <f t="shared" ca="1" si="222"/>
        <v>0</v>
      </c>
      <c r="AF326" s="45">
        <f t="shared" ca="1" si="222"/>
        <v>0</v>
      </c>
      <c r="AG326" s="45">
        <f t="shared" ca="1" si="222"/>
        <v>0</v>
      </c>
      <c r="AH326" s="45">
        <f t="shared" ca="1" si="222"/>
        <v>0</v>
      </c>
      <c r="AI326" s="45">
        <f t="shared" ca="1" si="222"/>
        <v>0</v>
      </c>
      <c r="AJ326" s="45">
        <f t="shared" ca="1" si="222"/>
        <v>0</v>
      </c>
      <c r="AK326" s="45">
        <f t="shared" ca="1" si="222"/>
        <v>0</v>
      </c>
      <c r="AL326" s="45">
        <f t="shared" ca="1" si="222"/>
        <v>0</v>
      </c>
      <c r="AM326" s="45">
        <f t="shared" ca="1" si="222"/>
        <v>0</v>
      </c>
      <c r="AN326" s="45">
        <f t="shared" ca="1" si="222"/>
        <v>0</v>
      </c>
      <c r="AO326" s="45">
        <f t="shared" ca="1" si="222"/>
        <v>0</v>
      </c>
      <c r="AP326" s="45">
        <f t="shared" ca="1" si="222"/>
        <v>0</v>
      </c>
      <c r="AQ326" s="45">
        <f t="shared" ca="1" si="222"/>
        <v>0</v>
      </c>
      <c r="AR326" s="45">
        <f t="shared" ca="1" si="222"/>
        <v>0</v>
      </c>
      <c r="AS326" s="45">
        <f t="shared" ca="1" si="222"/>
        <v>0</v>
      </c>
      <c r="AT326" s="45">
        <f t="shared" ca="1" si="222"/>
        <v>0</v>
      </c>
      <c r="AU326" s="45">
        <f t="shared" ca="1" si="222"/>
        <v>0</v>
      </c>
      <c r="AV326" s="45">
        <f t="shared" ca="1" si="222"/>
        <v>0</v>
      </c>
      <c r="AW326" s="45">
        <f t="shared" ca="1" si="222"/>
        <v>0</v>
      </c>
      <c r="AX326" s="45">
        <f t="shared" ca="1" si="222"/>
        <v>0</v>
      </c>
      <c r="AY326" s="45">
        <f t="shared" ca="1" si="222"/>
        <v>0</v>
      </c>
    </row>
    <row r="327" spans="1:51" ht="15.75" hidden="1" customHeight="1" outlineLevel="1">
      <c r="A327" s="1" t="s">
        <v>367</v>
      </c>
      <c r="C327" s="104"/>
      <c r="E327" s="9" t="str">
        <f ca="1">_xll.DBRW(Server&amp;"}ElementAttributes_Indicator",A327,"code_English")</f>
        <v>*KEY_ERR</v>
      </c>
      <c r="F327" s="45">
        <f ca="1">SUM(F325:F326)</f>
        <v>0</v>
      </c>
      <c r="G327" s="45">
        <f t="shared" ref="G327:AY327" ca="1" si="223">SUM(G325:G326)</f>
        <v>0</v>
      </c>
      <c r="H327" s="45">
        <f t="shared" ca="1" si="223"/>
        <v>0</v>
      </c>
      <c r="I327" s="45">
        <f t="shared" ca="1" si="223"/>
        <v>0</v>
      </c>
      <c r="J327" s="45">
        <f t="shared" ca="1" si="223"/>
        <v>0</v>
      </c>
      <c r="K327" s="45">
        <f t="shared" ca="1" si="223"/>
        <v>0</v>
      </c>
      <c r="L327" s="45">
        <f t="shared" ca="1" si="223"/>
        <v>0</v>
      </c>
      <c r="M327" s="45">
        <f t="shared" ca="1" si="223"/>
        <v>0</v>
      </c>
      <c r="N327" s="45">
        <f t="shared" ca="1" si="223"/>
        <v>0</v>
      </c>
      <c r="O327" s="45">
        <f t="shared" ca="1" si="223"/>
        <v>0</v>
      </c>
      <c r="P327" s="45">
        <f t="shared" ca="1" si="223"/>
        <v>0</v>
      </c>
      <c r="Q327" s="45">
        <f t="shared" ca="1" si="223"/>
        <v>0</v>
      </c>
      <c r="R327" s="45">
        <f t="shared" ca="1" si="223"/>
        <v>0</v>
      </c>
      <c r="S327" s="45">
        <f t="shared" ca="1" si="223"/>
        <v>0</v>
      </c>
      <c r="T327" s="45">
        <f t="shared" ca="1" si="223"/>
        <v>0</v>
      </c>
      <c r="U327" s="45">
        <f t="shared" ca="1" si="223"/>
        <v>0</v>
      </c>
      <c r="V327" s="45">
        <f t="shared" ca="1" si="223"/>
        <v>0</v>
      </c>
      <c r="W327" s="45">
        <f t="shared" ca="1" si="223"/>
        <v>0</v>
      </c>
      <c r="X327" s="45">
        <f t="shared" ca="1" si="223"/>
        <v>0</v>
      </c>
      <c r="Y327" s="45">
        <f t="shared" ca="1" si="223"/>
        <v>0</v>
      </c>
      <c r="Z327" s="45">
        <f t="shared" ca="1" si="223"/>
        <v>0</v>
      </c>
      <c r="AA327" s="45">
        <f t="shared" ca="1" si="223"/>
        <v>0</v>
      </c>
      <c r="AB327" s="45">
        <f t="shared" ca="1" si="223"/>
        <v>0</v>
      </c>
      <c r="AC327" s="45">
        <f t="shared" ca="1" si="223"/>
        <v>0</v>
      </c>
      <c r="AD327" s="45">
        <f t="shared" ca="1" si="223"/>
        <v>0</v>
      </c>
      <c r="AE327" s="45">
        <f t="shared" ca="1" si="223"/>
        <v>0</v>
      </c>
      <c r="AF327" s="45">
        <f t="shared" ca="1" si="223"/>
        <v>0</v>
      </c>
      <c r="AG327" s="45">
        <f t="shared" ca="1" si="223"/>
        <v>0</v>
      </c>
      <c r="AH327" s="45">
        <f t="shared" ca="1" si="223"/>
        <v>0</v>
      </c>
      <c r="AI327" s="45">
        <f t="shared" ca="1" si="223"/>
        <v>0</v>
      </c>
      <c r="AJ327" s="45">
        <f t="shared" ca="1" si="223"/>
        <v>0</v>
      </c>
      <c r="AK327" s="45">
        <f t="shared" ca="1" si="223"/>
        <v>0</v>
      </c>
      <c r="AL327" s="45">
        <f t="shared" ca="1" si="223"/>
        <v>0</v>
      </c>
      <c r="AM327" s="45">
        <f t="shared" ca="1" si="223"/>
        <v>0</v>
      </c>
      <c r="AN327" s="45">
        <f t="shared" ca="1" si="223"/>
        <v>0</v>
      </c>
      <c r="AO327" s="45">
        <f t="shared" ca="1" si="223"/>
        <v>0</v>
      </c>
      <c r="AP327" s="45">
        <f t="shared" ca="1" si="223"/>
        <v>0</v>
      </c>
      <c r="AQ327" s="45">
        <f t="shared" ca="1" si="223"/>
        <v>0</v>
      </c>
      <c r="AR327" s="45">
        <f t="shared" ca="1" si="223"/>
        <v>0</v>
      </c>
      <c r="AS327" s="45">
        <f t="shared" ca="1" si="223"/>
        <v>0</v>
      </c>
      <c r="AT327" s="45">
        <f t="shared" ca="1" si="223"/>
        <v>0</v>
      </c>
      <c r="AU327" s="45">
        <f t="shared" ca="1" si="223"/>
        <v>0</v>
      </c>
      <c r="AV327" s="45">
        <f t="shared" ca="1" si="223"/>
        <v>0</v>
      </c>
      <c r="AW327" s="45">
        <f t="shared" ca="1" si="223"/>
        <v>0</v>
      </c>
      <c r="AX327" s="45">
        <f t="shared" ca="1" si="223"/>
        <v>0</v>
      </c>
      <c r="AY327" s="45">
        <f t="shared" ca="1" si="223"/>
        <v>0</v>
      </c>
    </row>
    <row r="328" spans="1:51" ht="15.5" collapsed="1">
      <c r="A328" s="1" t="s">
        <v>142</v>
      </c>
      <c r="C328" s="104"/>
      <c r="E328" s="82" t="s">
        <v>92</v>
      </c>
      <c r="F328" s="44">
        <f ca="1">SUM(F327)</f>
        <v>0</v>
      </c>
      <c r="G328" s="44">
        <f t="shared" ref="G328:AY328" ca="1" si="224">SUM(G327)</f>
        <v>0</v>
      </c>
      <c r="H328" s="44">
        <f t="shared" ca="1" si="224"/>
        <v>0</v>
      </c>
      <c r="I328" s="44">
        <f t="shared" ca="1" si="224"/>
        <v>0</v>
      </c>
      <c r="J328" s="44">
        <f t="shared" ca="1" si="224"/>
        <v>0</v>
      </c>
      <c r="K328" s="44">
        <f t="shared" ca="1" si="224"/>
        <v>0</v>
      </c>
      <c r="L328" s="44">
        <f t="shared" ca="1" si="224"/>
        <v>0</v>
      </c>
      <c r="M328" s="44">
        <f t="shared" ca="1" si="224"/>
        <v>0</v>
      </c>
      <c r="N328" s="44">
        <f t="shared" ca="1" si="224"/>
        <v>0</v>
      </c>
      <c r="O328" s="44">
        <f t="shared" ca="1" si="224"/>
        <v>0</v>
      </c>
      <c r="P328" s="44">
        <f t="shared" ca="1" si="224"/>
        <v>0</v>
      </c>
      <c r="Q328" s="44">
        <f t="shared" ca="1" si="224"/>
        <v>0</v>
      </c>
      <c r="R328" s="44">
        <f t="shared" ca="1" si="224"/>
        <v>0</v>
      </c>
      <c r="S328" s="44">
        <f t="shared" ca="1" si="224"/>
        <v>0</v>
      </c>
      <c r="T328" s="44">
        <f t="shared" ca="1" si="224"/>
        <v>0</v>
      </c>
      <c r="U328" s="44">
        <f t="shared" ca="1" si="224"/>
        <v>0</v>
      </c>
      <c r="V328" s="44">
        <f t="shared" ca="1" si="224"/>
        <v>0</v>
      </c>
      <c r="W328" s="44">
        <f t="shared" ca="1" si="224"/>
        <v>0</v>
      </c>
      <c r="X328" s="44">
        <f t="shared" ca="1" si="224"/>
        <v>0</v>
      </c>
      <c r="Y328" s="44">
        <f t="shared" ca="1" si="224"/>
        <v>0</v>
      </c>
      <c r="Z328" s="44">
        <f t="shared" ca="1" si="224"/>
        <v>0</v>
      </c>
      <c r="AA328" s="44">
        <f t="shared" ca="1" si="224"/>
        <v>0</v>
      </c>
      <c r="AB328" s="44">
        <f t="shared" ca="1" si="224"/>
        <v>0</v>
      </c>
      <c r="AC328" s="44">
        <f t="shared" ca="1" si="224"/>
        <v>0</v>
      </c>
      <c r="AD328" s="44">
        <f t="shared" ca="1" si="224"/>
        <v>0</v>
      </c>
      <c r="AE328" s="44">
        <f t="shared" ca="1" si="224"/>
        <v>0</v>
      </c>
      <c r="AF328" s="44">
        <f t="shared" ca="1" si="224"/>
        <v>0</v>
      </c>
      <c r="AG328" s="44">
        <f t="shared" ca="1" si="224"/>
        <v>0</v>
      </c>
      <c r="AH328" s="44">
        <f t="shared" ca="1" si="224"/>
        <v>0</v>
      </c>
      <c r="AI328" s="44">
        <f t="shared" ca="1" si="224"/>
        <v>0</v>
      </c>
      <c r="AJ328" s="44">
        <f t="shared" ca="1" si="224"/>
        <v>0</v>
      </c>
      <c r="AK328" s="44">
        <f t="shared" ca="1" si="224"/>
        <v>0</v>
      </c>
      <c r="AL328" s="44">
        <f t="shared" ca="1" si="224"/>
        <v>0</v>
      </c>
      <c r="AM328" s="44">
        <f t="shared" ca="1" si="224"/>
        <v>0</v>
      </c>
      <c r="AN328" s="44">
        <f t="shared" ca="1" si="224"/>
        <v>0</v>
      </c>
      <c r="AO328" s="44">
        <f t="shared" ca="1" si="224"/>
        <v>0</v>
      </c>
      <c r="AP328" s="44">
        <f t="shared" ca="1" si="224"/>
        <v>0</v>
      </c>
      <c r="AQ328" s="44">
        <f t="shared" ca="1" si="224"/>
        <v>0</v>
      </c>
      <c r="AR328" s="44">
        <f t="shared" ca="1" si="224"/>
        <v>0</v>
      </c>
      <c r="AS328" s="44">
        <f t="shared" ca="1" si="224"/>
        <v>0</v>
      </c>
      <c r="AT328" s="44">
        <f t="shared" ca="1" si="224"/>
        <v>0</v>
      </c>
      <c r="AU328" s="44">
        <f t="shared" ca="1" si="224"/>
        <v>0</v>
      </c>
      <c r="AV328" s="44">
        <f t="shared" ca="1" si="224"/>
        <v>0</v>
      </c>
      <c r="AW328" s="44">
        <f t="shared" ca="1" si="224"/>
        <v>0</v>
      </c>
      <c r="AX328" s="44">
        <f t="shared" ca="1" si="224"/>
        <v>0</v>
      </c>
      <c r="AY328" s="44">
        <f t="shared" ca="1" si="224"/>
        <v>0</v>
      </c>
    </row>
    <row r="329" spans="1:51" ht="15.75" hidden="1" customHeight="1" outlineLevel="1">
      <c r="A329" s="1" t="s">
        <v>353</v>
      </c>
      <c r="C329" s="104"/>
      <c r="E329" s="9" t="str">
        <f ca="1">_xll.DBRW(Server&amp;"}ElementAttributes_Indicator",A329,"code_English")</f>
        <v>Nb_FTE - Number of Full Time Equivalent</v>
      </c>
      <c r="F329" s="44">
        <f ca="1">_xll.DBRW($C$1,$C$2,$C$3,$C$4,$C$6,$C$5,$C$7,F$1,F$2,$A329)</f>
        <v>3.652667758712895E-2</v>
      </c>
      <c r="G329" s="44">
        <f ca="1">_xll.DBRW($C$1,$C$2,$C$3,$C$4,$C$6,$C$5,$C$7,G$1,G$2,$A329)</f>
        <v>5.1638178741374288E-2</v>
      </c>
      <c r="H329" s="44">
        <f ca="1">_xll.DBRW($C$1,$C$2,$C$3,$C$4,$C$6,$C$5,$C$7,H$1,H$2,$A329)</f>
        <v>4.5771304798748837E-2</v>
      </c>
      <c r="I329" s="44">
        <f ca="1">_xll.DBRW($C$1,$C$2,$C$3,$C$4,$C$6,$C$5,$C$7,I$1,I$2,$A329)</f>
        <v>5.0899818909427491E-2</v>
      </c>
      <c r="J329" s="44">
        <f ca="1">_xll.DBRW($C$1,$C$2,$C$3,$C$4,$C$6,$C$5,$C$7,J$1,J$2,$A329)</f>
        <v>4.7577524223331176E-2</v>
      </c>
      <c r="K329" s="44">
        <f ca="1">_xll.DBRW($C$1,$C$2,$C$3,$C$4,$C$6,$C$5,$C$7,K$1,K$2,$A329)</f>
        <v>5.545206040059375E-2</v>
      </c>
      <c r="L329" s="44">
        <f ca="1">_xll.DBRW($C$1,$C$2,$C$3,$C$4,$C$6,$C$5,$C$7,L$1,L$2,$A329)</f>
        <v>3.2167895471322767E-2</v>
      </c>
      <c r="M329" s="44">
        <f ca="1">_xll.DBRW($C$1,$C$2,$C$3,$C$4,$C$6,$C$5,$C$7,M$1,M$2,$A329)</f>
        <v>1.7110702351078248E-2</v>
      </c>
      <c r="N329" s="44">
        <f ca="1">_xll.DBRW($C$1,$C$2,$C$3,$C$4,$C$6,$C$5,$C$7,N$1,N$2,$A329)</f>
        <v>2.4306840409423706E-2</v>
      </c>
      <c r="O329" s="44">
        <f ca="1">_xll.DBRW($C$1,$C$2,$C$3,$C$4,$C$6,$C$5,$C$7,O$1,O$2,$A329)</f>
        <v>2.3831118159655107E-2</v>
      </c>
      <c r="P329" s="44">
        <f ca="1">_xll.DBRW($C$1,$C$2,$C$3,$C$4,$C$6,$C$5,$C$7,P$1,P$2,$A329)</f>
        <v>2.3870667244122651E-2</v>
      </c>
      <c r="Q329" s="44">
        <f ca="1">_xll.DBRW($C$1,$C$2,$C$3,$C$4,$C$6,$C$5,$C$7,Q$1,Q$2,$A329)</f>
        <v>2.4328527574534204E-2</v>
      </c>
      <c r="R329" s="44">
        <f ca="1">_xll.DBRW($C$1,$C$2,$C$3,$C$4,$C$6,$C$5,$C$7,R$1,R$2,$A329)</f>
        <v>2.4970107132115508E-2</v>
      </c>
      <c r="S329" s="44">
        <f ca="1">_xll.DBRW($C$1,$C$2,$C$3,$C$4,$C$6,$C$5,$C$7,S$1,S$2,$A329)</f>
        <v>2.4840513679386271E-2</v>
      </c>
      <c r="T329" s="44">
        <f ca="1">_xll.DBRW($C$1,$C$2,$C$3,$C$4,$C$6,$C$5,$C$7,T$1,T$2,$A329)</f>
        <v>3.6635491064422321E-2</v>
      </c>
      <c r="U329" s="44">
        <f ca="1">_xll.DBRW($C$1,$C$2,$C$3,$C$4,$C$6,$C$5,$C$7,U$1,U$2,$A329)</f>
        <v>4.3612297638639913E-2</v>
      </c>
      <c r="V329" s="44">
        <f ca="1">_xll.DBRW($C$1,$C$2,$C$3,$C$4,$C$6,$C$5,$C$7,V$1,V$2,$A329)</f>
        <v>4.0784256156707166E-2</v>
      </c>
      <c r="W329" s="44">
        <f ca="1">_xll.DBRW($C$1,$C$2,$C$3,$C$4,$C$6,$C$5,$C$7,W$1,W$2,$A329)</f>
        <v>4.3507019727324535E-2</v>
      </c>
      <c r="X329" s="44">
        <f ca="1">_xll.DBRW($C$1,$C$2,$C$3,$C$4,$C$6,$C$5,$C$7,X$1,X$2,$A329)</f>
        <v>4.3950002993181018E-2</v>
      </c>
      <c r="Y329" s="44">
        <f ca="1">_xll.DBRW($C$1,$C$2,$C$3,$C$4,$C$6,$C$5,$C$7,Y$1,Y$2,$A329)</f>
        <v>4.3950002993181018E-2</v>
      </c>
      <c r="Z329" s="44">
        <f ca="1">_xll.DBRW($C$1,$C$2,$C$3,$C$4,$C$6,$C$5,$C$7,Z$1,Z$2,$A329)</f>
        <v>3.1927524588646464E-2</v>
      </c>
      <c r="AA329" s="44">
        <f ca="1">_xll.DBRW($C$1,$C$2,$C$3,$C$4,$C$6,$C$5,$C$7,AA$1,AA$2,$A329)</f>
        <v>3.1804145863260094E-2</v>
      </c>
      <c r="AB329" s="44">
        <f ca="1">_xll.DBRW($C$1,$C$2,$C$3,$C$4,$C$6,$C$5,$C$7,AB$1,AB$2,$A329)</f>
        <v>3.1848798941275396E-2</v>
      </c>
      <c r="AC329" s="44">
        <f ca="1">_xll.DBRW($C$1,$C$2,$C$3,$C$4,$C$6,$C$5,$C$7,AC$1,AC$2,$A329)</f>
        <v>3.1807284301811352E-2</v>
      </c>
      <c r="AD329" s="44">
        <f ca="1">_xll.DBRW($C$1,$C$2,$C$3,$C$4,$C$6,$C$5,$C$7,AD$1,AD$2,$A329)</f>
        <v>3.1774375083783099E-2</v>
      </c>
      <c r="AE329" s="44">
        <f ca="1">_xll.DBRW($C$1,$C$2,$C$3,$C$4,$C$6,$C$5,$C$7,AE$1,AE$2,$A329)</f>
        <v>3.1794953167240847E-2</v>
      </c>
      <c r="AF329" s="44">
        <f ca="1">_xll.DBRW($C$1,$C$2,$C$3,$C$4,$C$6,$C$5,$C$7,AF$1,AF$2,$A329)</f>
        <v>3.1696933661259911E-2</v>
      </c>
      <c r="AG329" s="44">
        <f ca="1">_xll.DBRW($C$1,$C$2,$C$3,$C$4,$C$6,$C$5,$C$7,AG$1,AG$2,$A329)</f>
        <v>3.1529200832835239E-2</v>
      </c>
      <c r="AH329" s="44">
        <f ca="1">_xll.DBRW($C$1,$C$2,$C$3,$C$4,$C$6,$C$5,$C$7,AH$1,AH$2,$A329)</f>
        <v>3.1505861365161862E-2</v>
      </c>
      <c r="AI329" s="44">
        <f ca="1">_xll.DBRW($C$1,$C$2,$C$3,$C$4,$C$6,$C$5,$C$7,AI$1,AI$2,$A329)</f>
        <v>3.1465823951722462E-2</v>
      </c>
      <c r="AJ329" s="44">
        <f ca="1">_xll.DBRW($C$1,$C$2,$C$3,$C$4,$C$6,$C$5,$C$7,AJ$1,AJ$2,$A329)</f>
        <v>3.1438297244853183E-2</v>
      </c>
      <c r="AK329" s="44">
        <f ca="1">_xll.DBRW($C$1,$C$2,$C$3,$C$4,$C$6,$C$5,$C$7,AK$1,AK$2,$A329)</f>
        <v>3.1415991830288287E-2</v>
      </c>
      <c r="AL329" s="44">
        <f ca="1">_xll.DBRW($C$1,$C$2,$C$3,$C$4,$C$6,$C$5,$C$7,AL$1,AL$2,$A329)</f>
        <v>3.1415991830288287E-2</v>
      </c>
      <c r="AM329" s="44">
        <f ca="1">_xll.DBRW($C$1,$C$2,$C$3,$C$4,$C$6,$C$5,$C$7,AM$1,AM$2,$A329)</f>
        <v>1.4961072650975439E-2</v>
      </c>
      <c r="AN329" s="44">
        <f ca="1">_xll.DBRW($C$1,$C$2,$C$3,$C$4,$C$6,$C$5,$C$7,AN$1,AN$2,$A329)</f>
        <v>2.8653798484158142E-2</v>
      </c>
      <c r="AO329" s="44">
        <f ca="1">_xll.DBRW($C$1,$C$2,$C$3,$C$4,$C$6,$C$5,$C$7,AO$1,AO$2,$A329)</f>
        <v>2.8653798484158142E-2</v>
      </c>
      <c r="AP329" s="44">
        <f ca="1">_xll.DBRW($C$1,$C$2,$C$3,$C$4,$C$6,$C$5,$C$7,AP$1,AP$2,$A329)</f>
        <v>2.8653798484158142E-2</v>
      </c>
      <c r="AQ329" s="44">
        <f ca="1">_xll.DBRW($C$1,$C$2,$C$3,$C$4,$C$6,$C$5,$C$7,AQ$1,AQ$2,$A329)</f>
        <v>2.8653798484158142E-2</v>
      </c>
      <c r="AR329" s="44">
        <f ca="1">_xll.DBRW($C$1,$C$2,$C$3,$C$4,$C$6,$C$5,$C$7,AR$1,AR$2,$A329)</f>
        <v>2.8653798484158142E-2</v>
      </c>
      <c r="AS329" s="44">
        <f ca="1">_xll.DBRW($C$1,$C$2,$C$3,$C$4,$C$6,$C$5,$C$7,AS$1,AS$2,$A329)</f>
        <v>2.8653798484158142E-2</v>
      </c>
      <c r="AT329" s="44">
        <f ca="1">_xll.DBRW($C$1,$C$2,$C$3,$C$4,$C$6,$C$5,$C$7,AT$1,AT$2,$A329)</f>
        <v>2.8653798484158142E-2</v>
      </c>
      <c r="AU329" s="44">
        <f ca="1">_xll.DBRW($C$1,$C$2,$C$3,$C$4,$C$6,$C$5,$C$7,AU$1,AU$2,$A329)</f>
        <v>2.8653798484158142E-2</v>
      </c>
      <c r="AV329" s="44">
        <f ca="1">_xll.DBRW($C$1,$C$2,$C$3,$C$4,$C$6,$C$5,$C$7,AV$1,AV$2,$A329)</f>
        <v>2.8653798484158142E-2</v>
      </c>
      <c r="AW329" s="44">
        <f ca="1">_xll.DBRW($C$1,$C$2,$C$3,$C$4,$C$6,$C$5,$C$7,AW$1,AW$2,$A329)</f>
        <v>2.8653798484158142E-2</v>
      </c>
      <c r="AX329" s="44">
        <f ca="1">_xll.DBRW($C$1,$C$2,$C$3,$C$4,$C$6,$C$5,$C$7,AX$1,AX$2,$A329)</f>
        <v>2.8653798484158142E-2</v>
      </c>
      <c r="AY329" s="44">
        <f ca="1">_xll.DBRW($C$1,$C$2,$C$3,$C$4,$C$6,$C$5,$C$7,AY$1,AY$2,$A329)</f>
        <v>2.8653798484158142E-2</v>
      </c>
    </row>
    <row r="330" spans="1:51" ht="15.5" collapsed="1">
      <c r="A330" s="1" t="s">
        <v>142</v>
      </c>
      <c r="C330" s="104"/>
      <c r="E330" s="83" t="s">
        <v>93</v>
      </c>
      <c r="F330" s="46">
        <f t="shared" ref="F330:AY330" ca="1" si="225">SUM(F329)</f>
        <v>3.652667758712895E-2</v>
      </c>
      <c r="G330" s="46">
        <f t="shared" ca="1" si="225"/>
        <v>5.1638178741374288E-2</v>
      </c>
      <c r="H330" s="46">
        <f t="shared" ca="1" si="225"/>
        <v>4.5771304798748837E-2</v>
      </c>
      <c r="I330" s="46">
        <f t="shared" ca="1" si="225"/>
        <v>5.0899818909427491E-2</v>
      </c>
      <c r="J330" s="46">
        <f t="shared" ca="1" si="225"/>
        <v>4.7577524223331176E-2</v>
      </c>
      <c r="K330" s="46">
        <f t="shared" ca="1" si="225"/>
        <v>5.545206040059375E-2</v>
      </c>
      <c r="L330" s="46">
        <f t="shared" ca="1" si="225"/>
        <v>3.2167895471322767E-2</v>
      </c>
      <c r="M330" s="46">
        <f t="shared" ca="1" si="225"/>
        <v>1.7110702351078248E-2</v>
      </c>
      <c r="N330" s="46">
        <f t="shared" ca="1" si="225"/>
        <v>2.4306840409423706E-2</v>
      </c>
      <c r="O330" s="46">
        <f t="shared" ca="1" si="225"/>
        <v>2.3831118159655107E-2</v>
      </c>
      <c r="P330" s="46">
        <f t="shared" ca="1" si="225"/>
        <v>2.3870667244122651E-2</v>
      </c>
      <c r="Q330" s="46">
        <f t="shared" ca="1" si="225"/>
        <v>2.4328527574534204E-2</v>
      </c>
      <c r="R330" s="46">
        <f t="shared" ca="1" si="225"/>
        <v>2.4970107132115508E-2</v>
      </c>
      <c r="S330" s="46">
        <f t="shared" ca="1" si="225"/>
        <v>2.4840513679386271E-2</v>
      </c>
      <c r="T330" s="46">
        <f t="shared" ca="1" si="225"/>
        <v>3.6635491064422321E-2</v>
      </c>
      <c r="U330" s="46">
        <f t="shared" ca="1" si="225"/>
        <v>4.3612297638639913E-2</v>
      </c>
      <c r="V330" s="46">
        <f t="shared" ca="1" si="225"/>
        <v>4.0784256156707166E-2</v>
      </c>
      <c r="W330" s="46">
        <f t="shared" ca="1" si="225"/>
        <v>4.3507019727324535E-2</v>
      </c>
      <c r="X330" s="46">
        <f t="shared" ca="1" si="225"/>
        <v>4.3950002993181018E-2</v>
      </c>
      <c r="Y330" s="46">
        <f t="shared" ca="1" si="225"/>
        <v>4.3950002993181018E-2</v>
      </c>
      <c r="Z330" s="46">
        <f t="shared" ca="1" si="225"/>
        <v>3.1927524588646464E-2</v>
      </c>
      <c r="AA330" s="46">
        <f t="shared" ca="1" si="225"/>
        <v>3.1804145863260094E-2</v>
      </c>
      <c r="AB330" s="46">
        <f t="shared" ca="1" si="225"/>
        <v>3.1848798941275396E-2</v>
      </c>
      <c r="AC330" s="46">
        <f t="shared" ca="1" si="225"/>
        <v>3.1807284301811352E-2</v>
      </c>
      <c r="AD330" s="46">
        <f t="shared" ca="1" si="225"/>
        <v>3.1774375083783099E-2</v>
      </c>
      <c r="AE330" s="46">
        <f t="shared" ca="1" si="225"/>
        <v>3.1794953167240847E-2</v>
      </c>
      <c r="AF330" s="46">
        <f t="shared" ca="1" si="225"/>
        <v>3.1696933661259911E-2</v>
      </c>
      <c r="AG330" s="46">
        <f t="shared" ca="1" si="225"/>
        <v>3.1529200832835239E-2</v>
      </c>
      <c r="AH330" s="46">
        <f t="shared" ca="1" si="225"/>
        <v>3.1505861365161862E-2</v>
      </c>
      <c r="AI330" s="46">
        <f t="shared" ca="1" si="225"/>
        <v>3.1465823951722462E-2</v>
      </c>
      <c r="AJ330" s="46">
        <f t="shared" ca="1" si="225"/>
        <v>3.1438297244853183E-2</v>
      </c>
      <c r="AK330" s="46">
        <f t="shared" ca="1" si="225"/>
        <v>3.1415991830288287E-2</v>
      </c>
      <c r="AL330" s="46">
        <f t="shared" ca="1" si="225"/>
        <v>3.1415991830288287E-2</v>
      </c>
      <c r="AM330" s="46">
        <f t="shared" ca="1" si="225"/>
        <v>1.4961072650975439E-2</v>
      </c>
      <c r="AN330" s="46">
        <f t="shared" ca="1" si="225"/>
        <v>2.8653798484158142E-2</v>
      </c>
      <c r="AO330" s="46">
        <f t="shared" ca="1" si="225"/>
        <v>2.8653798484158142E-2</v>
      </c>
      <c r="AP330" s="46">
        <f t="shared" ca="1" si="225"/>
        <v>2.8653798484158142E-2</v>
      </c>
      <c r="AQ330" s="46">
        <f t="shared" ca="1" si="225"/>
        <v>2.8653798484158142E-2</v>
      </c>
      <c r="AR330" s="46">
        <f t="shared" ca="1" si="225"/>
        <v>2.8653798484158142E-2</v>
      </c>
      <c r="AS330" s="46">
        <f t="shared" ca="1" si="225"/>
        <v>2.8653798484158142E-2</v>
      </c>
      <c r="AT330" s="46">
        <f t="shared" ca="1" si="225"/>
        <v>2.8653798484158142E-2</v>
      </c>
      <c r="AU330" s="46">
        <f t="shared" ca="1" si="225"/>
        <v>2.8653798484158142E-2</v>
      </c>
      <c r="AV330" s="46">
        <f t="shared" ca="1" si="225"/>
        <v>2.8653798484158142E-2</v>
      </c>
      <c r="AW330" s="46">
        <f t="shared" ca="1" si="225"/>
        <v>2.8653798484158142E-2</v>
      </c>
      <c r="AX330" s="46">
        <f t="shared" ca="1" si="225"/>
        <v>2.8653798484158142E-2</v>
      </c>
      <c r="AY330" s="46">
        <f t="shared" ca="1" si="225"/>
        <v>2.8653798484158142E-2</v>
      </c>
    </row>
    <row r="331" spans="1:51" ht="9" customHeight="1">
      <c r="A331" s="1" t="s">
        <v>142</v>
      </c>
      <c r="C331" s="104"/>
      <c r="E331" s="7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</row>
    <row r="332" spans="1:51" ht="15.75" hidden="1" customHeight="1" outlineLevel="1">
      <c r="A332" s="1" t="s">
        <v>354</v>
      </c>
      <c r="C332" s="104"/>
      <c r="E332" s="9" t="str">
        <f ca="1">_xll.DBRW(Server&amp;"}ElementAttributes_Indicator",A332,"code_English")</f>
        <v>Fuel_consu - Fuel consumed (liters)</v>
      </c>
      <c r="F332" s="10">
        <f ca="1">_xll.DBRW($C$1,$C$2,$C$3,$C$4,$C$6,$C$5,$C$7,F$1,F$2,$A332)</f>
        <v>341.13965274642902</v>
      </c>
      <c r="G332" s="10">
        <f ca="1">_xll.DBRW($C$1,$C$2,$C$3,$C$4,$C$6,$C$5,$C$7,G$1,G$2,$A332)</f>
        <v>317.25014095385973</v>
      </c>
      <c r="H332" s="10">
        <f ca="1">_xll.DBRW($C$1,$C$2,$C$3,$C$4,$C$6,$C$5,$C$7,H$1,H$2,$A332)</f>
        <v>306.1247171388934</v>
      </c>
      <c r="I332" s="10">
        <f ca="1">_xll.DBRW($C$1,$C$2,$C$3,$C$4,$C$6,$C$5,$C$7,I$1,I$2,$A332)</f>
        <v>271.43665634275226</v>
      </c>
      <c r="J332" s="10">
        <f ca="1">_xll.DBRW($C$1,$C$2,$C$3,$C$4,$C$6,$C$5,$C$7,J$1,J$2,$A332)</f>
        <v>205.71953802567168</v>
      </c>
      <c r="K332" s="10">
        <f ca="1">_xll.DBRW($C$1,$C$2,$C$3,$C$4,$C$6,$C$5,$C$7,K$1,K$2,$A332)</f>
        <v>205.04370625963145</v>
      </c>
      <c r="L332" s="10">
        <f ca="1">_xll.DBRW($C$1,$C$2,$C$3,$C$4,$C$6,$C$5,$C$7,L$1,L$2,$A332)</f>
        <v>198.22573518334582</v>
      </c>
      <c r="M332" s="10">
        <f ca="1">_xll.DBRW($C$1,$C$2,$C$3,$C$4,$C$6,$C$5,$C$7,M$1,M$2,$A332)</f>
        <v>15.678635919964162</v>
      </c>
      <c r="N332" s="10">
        <f ca="1">_xll.DBRW($C$1,$C$2,$C$3,$C$4,$C$6,$C$5,$C$7,N$1,N$2,$A332)</f>
        <v>35.633416328304975</v>
      </c>
      <c r="O332" s="10">
        <f ca="1">_xll.DBRW($C$1,$C$2,$C$3,$C$4,$C$6,$C$5,$C$7,O$1,O$2,$A332)</f>
        <v>56.866332844469468</v>
      </c>
      <c r="P332" s="10">
        <f ca="1">_xll.DBRW($C$1,$C$2,$C$3,$C$4,$C$6,$C$5,$C$7,P$1,P$2,$A332)</f>
        <v>70.623151063658739</v>
      </c>
      <c r="Q332" s="10">
        <f ca="1">_xll.DBRW($C$1,$C$2,$C$3,$C$4,$C$6,$C$5,$C$7,Q$1,Q$2,$A332)</f>
        <v>90.478031820679135</v>
      </c>
      <c r="R332" s="10">
        <f ca="1">_xll.DBRW($C$1,$C$2,$C$3,$C$4,$C$6,$C$5,$C$7,R$1,R$2,$A332)</f>
        <v>110.27502776883337</v>
      </c>
      <c r="S332" s="10">
        <f ca="1">_xll.DBRW($C$1,$C$2,$C$3,$C$4,$C$6,$C$5,$C$7,S$1,S$2,$A332)</f>
        <v>120.14153381211436</v>
      </c>
      <c r="T332" s="10">
        <f ca="1">_xll.DBRW($C$1,$C$2,$C$3,$C$4,$C$6,$C$5,$C$7,T$1,T$2,$A332)</f>
        <v>139.34855106801822</v>
      </c>
      <c r="U332" s="10">
        <f ca="1">_xll.DBRW($C$1,$C$2,$C$3,$C$4,$C$6,$C$5,$C$7,U$1,U$2,$A332)</f>
        <v>157.96252910328704</v>
      </c>
      <c r="V332" s="10">
        <f ca="1">_xll.DBRW($C$1,$C$2,$C$3,$C$4,$C$6,$C$5,$C$7,V$1,V$2,$A332)</f>
        <v>179.18567386464906</v>
      </c>
      <c r="W332" s="10">
        <f ca="1">_xll.DBRW($C$1,$C$2,$C$3,$C$4,$C$6,$C$5,$C$7,W$1,W$2,$A332)</f>
        <v>200.0724674175828</v>
      </c>
      <c r="X332" s="10">
        <f ca="1">_xll.DBRW($C$1,$C$2,$C$3,$C$4,$C$6,$C$5,$C$7,X$1,X$2,$A332)</f>
        <v>218.3861604891874</v>
      </c>
      <c r="Y332" s="10">
        <f ca="1">_xll.DBRW($C$1,$C$2,$C$3,$C$4,$C$6,$C$5,$C$7,Y$1,Y$2,$A332)</f>
        <v>218.3861604891874</v>
      </c>
      <c r="Z332" s="10">
        <f ca="1">_xll.DBRW($C$1,$C$2,$C$3,$C$4,$C$6,$C$5,$C$7,Z$1,Z$2,$A332)</f>
        <v>18.466528294342123</v>
      </c>
      <c r="AA332" s="10">
        <f ca="1">_xll.DBRW($C$1,$C$2,$C$3,$C$4,$C$6,$C$5,$C$7,AA$1,AA$2,$A332)</f>
        <v>33.203708522378449</v>
      </c>
      <c r="AB332" s="10">
        <f ca="1">_xll.DBRW($C$1,$C$2,$C$3,$C$4,$C$6,$C$5,$C$7,AB$1,AB$2,$A332)</f>
        <v>52.590222768439943</v>
      </c>
      <c r="AC332" s="10">
        <f ca="1">_xll.DBRW($C$1,$C$2,$C$3,$C$4,$C$6,$C$5,$C$7,AC$1,AC$2,$A332)</f>
        <v>67.180135246258004</v>
      </c>
      <c r="AD332" s="10">
        <f ca="1">_xll.DBRW($C$1,$C$2,$C$3,$C$4,$C$6,$C$5,$C$7,AD$1,AD$2,$A332)</f>
        <v>84.033707857851809</v>
      </c>
      <c r="AE332" s="10">
        <f ca="1">_xll.DBRW($C$1,$C$2,$C$3,$C$4,$C$6,$C$5,$C$7,AE$1,AE$2,$A332)</f>
        <v>102.20207200656863</v>
      </c>
      <c r="AF332" s="10">
        <f ca="1">_xll.DBRW($C$1,$C$2,$C$3,$C$4,$C$6,$C$5,$C$7,AF$1,AF$2,$A332)</f>
        <v>115.2938445497843</v>
      </c>
      <c r="AG332" s="10">
        <f ca="1">_xll.DBRW($C$1,$C$2,$C$3,$C$4,$C$6,$C$5,$C$7,AG$1,AG$2,$A332)</f>
        <v>126.29642024558296</v>
      </c>
      <c r="AH332" s="10">
        <f ca="1">_xll.DBRW($C$1,$C$2,$C$3,$C$4,$C$6,$C$5,$C$7,AH$1,AH$2,$A332)</f>
        <v>142.55539888832084</v>
      </c>
      <c r="AI332" s="10">
        <f ca="1">_xll.DBRW($C$1,$C$2,$C$3,$C$4,$C$6,$C$5,$C$7,AI$1,AI$2,$A332)</f>
        <v>157.82184604997303</v>
      </c>
      <c r="AJ332" s="10">
        <f ca="1">_xll.DBRW($C$1,$C$2,$C$3,$C$4,$C$6,$C$5,$C$7,AJ$1,AJ$2,$A332)</f>
        <v>173.56494427007536</v>
      </c>
      <c r="AK332" s="10">
        <f ca="1">_xll.DBRW($C$1,$C$2,$C$3,$C$4,$C$6,$C$5,$C$7,AK$1,AK$2,$A332)</f>
        <v>187.63099248989158</v>
      </c>
      <c r="AL332" s="10">
        <f ca="1">_xll.DBRW($C$1,$C$2,$C$3,$C$4,$C$6,$C$5,$C$7,AL$1,AL$2,$A332)</f>
        <v>187.63099248989158</v>
      </c>
      <c r="AM332" s="10">
        <f ca="1">_xll.DBRW($C$1,$C$2,$C$3,$C$4,$C$6,$C$5,$C$7,AM$1,AM$2,$A332)</f>
        <v>13.093599670375401</v>
      </c>
      <c r="AN332" s="10">
        <f ca="1">_xll.DBRW($C$1,$C$2,$C$3,$C$4,$C$6,$C$5,$C$7,AN$1,AN$2,$A332)</f>
        <v>33.957257079724513</v>
      </c>
      <c r="AO332" s="10">
        <f ca="1">_xll.DBRW($C$1,$C$2,$C$3,$C$4,$C$6,$C$5,$C$7,AO$1,AO$2,$A332)</f>
        <v>33.957257079724513</v>
      </c>
      <c r="AP332" s="10">
        <f ca="1">_xll.DBRW($C$1,$C$2,$C$3,$C$4,$C$6,$C$5,$C$7,AP$1,AP$2,$A332)</f>
        <v>33.957257079724513</v>
      </c>
      <c r="AQ332" s="10">
        <f ca="1">_xll.DBRW($C$1,$C$2,$C$3,$C$4,$C$6,$C$5,$C$7,AQ$1,AQ$2,$A332)</f>
        <v>33.957257079724513</v>
      </c>
      <c r="AR332" s="10">
        <f ca="1">_xll.DBRW($C$1,$C$2,$C$3,$C$4,$C$6,$C$5,$C$7,AR$1,AR$2,$A332)</f>
        <v>33.957257079724513</v>
      </c>
      <c r="AS332" s="10">
        <f ca="1">_xll.DBRW($C$1,$C$2,$C$3,$C$4,$C$6,$C$5,$C$7,AS$1,AS$2,$A332)</f>
        <v>33.957257079724513</v>
      </c>
      <c r="AT332" s="10">
        <f ca="1">_xll.DBRW($C$1,$C$2,$C$3,$C$4,$C$6,$C$5,$C$7,AT$1,AT$2,$A332)</f>
        <v>33.957257079724513</v>
      </c>
      <c r="AU332" s="10">
        <f ca="1">_xll.DBRW($C$1,$C$2,$C$3,$C$4,$C$6,$C$5,$C$7,AU$1,AU$2,$A332)</f>
        <v>33.957257079724513</v>
      </c>
      <c r="AV332" s="10">
        <f ca="1">_xll.DBRW($C$1,$C$2,$C$3,$C$4,$C$6,$C$5,$C$7,AV$1,AV$2,$A332)</f>
        <v>33.957257079724513</v>
      </c>
      <c r="AW332" s="10">
        <f ca="1">_xll.DBRW($C$1,$C$2,$C$3,$C$4,$C$6,$C$5,$C$7,AW$1,AW$2,$A332)</f>
        <v>33.957257079724513</v>
      </c>
      <c r="AX332" s="10">
        <f ca="1">_xll.DBRW($C$1,$C$2,$C$3,$C$4,$C$6,$C$5,$C$7,AX$1,AX$2,$A332)</f>
        <v>33.957257079724513</v>
      </c>
      <c r="AY332" s="10">
        <f ca="1">_xll.DBRW($C$1,$C$2,$C$3,$C$4,$C$6,$C$5,$C$7,AY$1,AY$2,$A332)</f>
        <v>33.957257079724513</v>
      </c>
    </row>
    <row r="333" spans="1:51" ht="15.5" collapsed="1">
      <c r="A333" s="1" t="s">
        <v>142</v>
      </c>
      <c r="C333" s="104"/>
      <c r="E333" s="17" t="s">
        <v>94</v>
      </c>
      <c r="F333" s="43">
        <f t="shared" ref="F333:L333" ca="1" si="226">SUM(F332)</f>
        <v>341.13965274642902</v>
      </c>
      <c r="G333" s="43">
        <f t="shared" ca="1" si="226"/>
        <v>317.25014095385973</v>
      </c>
      <c r="H333" s="43">
        <f t="shared" ca="1" si="226"/>
        <v>306.1247171388934</v>
      </c>
      <c r="I333" s="43">
        <f t="shared" ca="1" si="226"/>
        <v>271.43665634275226</v>
      </c>
      <c r="J333" s="43">
        <f t="shared" ca="1" si="226"/>
        <v>205.71953802567168</v>
      </c>
      <c r="K333" s="43">
        <f t="shared" ca="1" si="226"/>
        <v>205.04370625963145</v>
      </c>
      <c r="L333" s="43">
        <f t="shared" ca="1" si="226"/>
        <v>198.22573518334582</v>
      </c>
      <c r="M333" s="43">
        <f t="shared" ref="M333:X333" ca="1" si="227">SUM(M332)</f>
        <v>15.678635919964162</v>
      </c>
      <c r="N333" s="43">
        <f t="shared" ca="1" si="227"/>
        <v>35.633416328304975</v>
      </c>
      <c r="O333" s="43">
        <f t="shared" ca="1" si="227"/>
        <v>56.866332844469468</v>
      </c>
      <c r="P333" s="43">
        <f t="shared" ca="1" si="227"/>
        <v>70.623151063658739</v>
      </c>
      <c r="Q333" s="43">
        <f t="shared" ca="1" si="227"/>
        <v>90.478031820679135</v>
      </c>
      <c r="R333" s="43">
        <f t="shared" ca="1" si="227"/>
        <v>110.27502776883337</v>
      </c>
      <c r="S333" s="43">
        <f t="shared" ca="1" si="227"/>
        <v>120.14153381211436</v>
      </c>
      <c r="T333" s="43">
        <f t="shared" ca="1" si="227"/>
        <v>139.34855106801822</v>
      </c>
      <c r="U333" s="43">
        <f t="shared" ca="1" si="227"/>
        <v>157.96252910328704</v>
      </c>
      <c r="V333" s="43">
        <f t="shared" ca="1" si="227"/>
        <v>179.18567386464906</v>
      </c>
      <c r="W333" s="43">
        <f t="shared" ca="1" si="227"/>
        <v>200.0724674175828</v>
      </c>
      <c r="X333" s="43">
        <f t="shared" ca="1" si="227"/>
        <v>218.3861604891874</v>
      </c>
      <c r="Y333" s="43">
        <f ca="1">SUM(Y332)</f>
        <v>218.3861604891874</v>
      </c>
      <c r="Z333" s="43">
        <f t="shared" ref="Z333:AK333" ca="1" si="228">SUM(Z332)</f>
        <v>18.466528294342123</v>
      </c>
      <c r="AA333" s="43">
        <f t="shared" ca="1" si="228"/>
        <v>33.203708522378449</v>
      </c>
      <c r="AB333" s="43">
        <f t="shared" ca="1" si="228"/>
        <v>52.590222768439943</v>
      </c>
      <c r="AC333" s="43">
        <f t="shared" ca="1" si="228"/>
        <v>67.180135246258004</v>
      </c>
      <c r="AD333" s="43">
        <f t="shared" ca="1" si="228"/>
        <v>84.033707857851809</v>
      </c>
      <c r="AE333" s="43">
        <f t="shared" ca="1" si="228"/>
        <v>102.20207200656863</v>
      </c>
      <c r="AF333" s="43">
        <f t="shared" ca="1" si="228"/>
        <v>115.2938445497843</v>
      </c>
      <c r="AG333" s="43">
        <f t="shared" ca="1" si="228"/>
        <v>126.29642024558296</v>
      </c>
      <c r="AH333" s="43">
        <f t="shared" ca="1" si="228"/>
        <v>142.55539888832084</v>
      </c>
      <c r="AI333" s="43">
        <f t="shared" ca="1" si="228"/>
        <v>157.82184604997303</v>
      </c>
      <c r="AJ333" s="43">
        <f t="shared" ca="1" si="228"/>
        <v>173.56494427007536</v>
      </c>
      <c r="AK333" s="43">
        <f t="shared" ca="1" si="228"/>
        <v>187.63099248989158</v>
      </c>
      <c r="AL333" s="43">
        <f ca="1">SUM(AL332)</f>
        <v>187.63099248989158</v>
      </c>
      <c r="AM333" s="43">
        <f t="shared" ref="AM333:AX333" ca="1" si="229">SUM(AM332)</f>
        <v>13.093599670375401</v>
      </c>
      <c r="AN333" s="43">
        <f t="shared" ca="1" si="229"/>
        <v>33.957257079724513</v>
      </c>
      <c r="AO333" s="43">
        <f t="shared" ca="1" si="229"/>
        <v>33.957257079724513</v>
      </c>
      <c r="AP333" s="43">
        <f t="shared" ca="1" si="229"/>
        <v>33.957257079724513</v>
      </c>
      <c r="AQ333" s="43">
        <f t="shared" ca="1" si="229"/>
        <v>33.957257079724513</v>
      </c>
      <c r="AR333" s="43">
        <f t="shared" ca="1" si="229"/>
        <v>33.957257079724513</v>
      </c>
      <c r="AS333" s="43">
        <f t="shared" ca="1" si="229"/>
        <v>33.957257079724513</v>
      </c>
      <c r="AT333" s="43">
        <f t="shared" ca="1" si="229"/>
        <v>33.957257079724513</v>
      </c>
      <c r="AU333" s="43">
        <f t="shared" ca="1" si="229"/>
        <v>33.957257079724513</v>
      </c>
      <c r="AV333" s="43">
        <f t="shared" ca="1" si="229"/>
        <v>33.957257079724513</v>
      </c>
      <c r="AW333" s="43">
        <f t="shared" ca="1" si="229"/>
        <v>33.957257079724513</v>
      </c>
      <c r="AX333" s="43">
        <f t="shared" ca="1" si="229"/>
        <v>33.957257079724513</v>
      </c>
      <c r="AY333" s="43">
        <f ca="1">SUM(AY332)</f>
        <v>33.957257079724513</v>
      </c>
    </row>
    <row r="334" spans="1:51" ht="15.75" hidden="1" customHeight="1" outlineLevel="1">
      <c r="A334" s="1" t="s">
        <v>355</v>
      </c>
      <c r="C334" s="104"/>
      <c r="E334" s="9" t="s">
        <v>381</v>
      </c>
      <c r="F334" s="44">
        <f ca="1">_xll.DBRW($C$1,$C$2,$C$3,$C$4,$C$6,$C$5,$C$7,F$1,F$2,$A334)</f>
        <v>6.8978611805660002</v>
      </c>
      <c r="G334" s="44">
        <f ca="1">_xll.DBRW($C$1,$C$2,$C$3,$C$4,$C$6,$C$5,$C$7,G$1,G$2,$A334)</f>
        <v>6.6857117254545493</v>
      </c>
      <c r="H334" s="44">
        <f ca="1">_xll.DBRW($C$1,$C$2,$C$3,$C$4,$C$6,$C$5,$C$7,H$1,H$2,$A334)</f>
        <v>5.8789784199999993</v>
      </c>
      <c r="I334" s="44">
        <f ca="1">_xll.DBRW($C$1,$C$2,$C$3,$C$4,$C$6,$C$5,$C$7,I$1,I$2,$A334)</f>
        <v>6.2129421300000001</v>
      </c>
      <c r="J334" s="44">
        <f ca="1">_xll.DBRW($C$1,$C$2,$C$3,$C$4,$C$6,$C$5,$C$7,J$1,J$2,$A334)</f>
        <v>5.0989977</v>
      </c>
      <c r="K334" s="44">
        <f ca="1">_xll.DBRW($C$1,$C$2,$C$3,$C$4,$C$6,$C$5,$C$7,K$1,K$2,$A334)</f>
        <v>5.4729277799999991</v>
      </c>
      <c r="L334" s="44">
        <f ca="1">_xll.DBRW($C$1,$C$2,$C$3,$C$4,$C$6,$C$5,$C$7,L$1,L$2,$A334)</f>
        <v>6.0862205009710006</v>
      </c>
      <c r="M334" s="44">
        <f ca="1">_xll.DBRW($C$1,$C$2,$C$3,$C$4,$C$6,$C$5,$C$7,M$1,M$2,$A334)</f>
        <v>0.30739431</v>
      </c>
      <c r="N334" s="44">
        <f ca="1">_xll.DBRW($C$1,$C$2,$C$3,$C$4,$C$6,$C$5,$C$7,N$1,N$2,$A334)</f>
        <v>0.97037713000000014</v>
      </c>
      <c r="O334" s="44">
        <f ca="1">_xll.DBRW($C$1,$C$2,$C$3,$C$4,$C$6,$C$5,$C$7,O$1,O$2,$A334)</f>
        <v>1.52583066</v>
      </c>
      <c r="P334" s="44">
        <f ca="1">_xll.DBRW($C$1,$C$2,$C$3,$C$4,$C$6,$C$5,$C$7,P$1,P$2,$A334)</f>
        <v>2.0095832700000003</v>
      </c>
      <c r="Q334" s="44">
        <f ca="1">_xll.DBRW($C$1,$C$2,$C$3,$C$4,$C$6,$C$5,$C$7,Q$1,Q$2,$A334)</f>
        <v>2.5607161700000001</v>
      </c>
      <c r="R334" s="44">
        <f ca="1">_xll.DBRW($C$1,$C$2,$C$3,$C$4,$C$6,$C$5,$C$7,R$1,R$2,$A334)</f>
        <v>3.0834151599999999</v>
      </c>
      <c r="S334" s="44">
        <f ca="1">_xll.DBRW($C$1,$C$2,$C$3,$C$4,$C$6,$C$5,$C$7,S$1,S$2,$A334)</f>
        <v>4.17343229</v>
      </c>
      <c r="T334" s="44">
        <f ca="1">_xll.DBRW($C$1,$C$2,$C$3,$C$4,$C$6,$C$5,$C$7,T$1,T$2,$A334)</f>
        <v>5.3858390400000005</v>
      </c>
      <c r="U334" s="44">
        <f ca="1">_xll.DBRW($C$1,$C$2,$C$3,$C$4,$C$6,$C$5,$C$7,U$1,U$2,$A334)</f>
        <v>6.15010981</v>
      </c>
      <c r="V334" s="44">
        <f ca="1">_xll.DBRW($C$1,$C$2,$C$3,$C$4,$C$6,$C$5,$C$7,V$1,V$2,$A334)</f>
        <v>6.3616495099999995</v>
      </c>
      <c r="W334" s="44">
        <f ca="1">_xll.DBRW($C$1,$C$2,$C$3,$C$4,$C$6,$C$5,$C$7,W$1,W$2,$A334)</f>
        <v>7.4070268299999995</v>
      </c>
      <c r="X334" s="44">
        <f ca="1">_xll.DBRW($C$1,$C$2,$C$3,$C$4,$C$6,$C$5,$C$7,X$1,X$2,$A334)</f>
        <v>8.05430402</v>
      </c>
      <c r="Y334" s="44">
        <f ca="1">_xll.DBRW($C$1,$C$2,$C$3,$C$4,$C$6,$C$5,$C$7,Y$1,Y$2,$A334)</f>
        <v>8.05430402</v>
      </c>
      <c r="Z334" s="44">
        <f ca="1">_xll.DBRW($C$1,$C$2,$C$3,$C$4,$C$6,$C$5,$C$7,Z$1,Z$2,$A334)</f>
        <v>0.52053353398735491</v>
      </c>
      <c r="AA334" s="44">
        <f ca="1">_xll.DBRW($C$1,$C$2,$C$3,$C$4,$C$6,$C$5,$C$7,AA$1,AA$2,$A334)</f>
        <v>0.94812323437992196</v>
      </c>
      <c r="AB334" s="44">
        <f ca="1">_xll.DBRW($C$1,$C$2,$C$3,$C$4,$C$6,$C$5,$C$7,AB$1,AB$2,$A334)</f>
        <v>1.4896156382749</v>
      </c>
      <c r="AC334" s="44">
        <f ca="1">_xll.DBRW($C$1,$C$2,$C$3,$C$4,$C$6,$C$5,$C$7,AC$1,AC$2,$A334)</f>
        <v>1.9117713711982738</v>
      </c>
      <c r="AD334" s="44">
        <f ca="1">_xll.DBRW($C$1,$C$2,$C$3,$C$4,$C$6,$C$5,$C$7,AD$1,AD$2,$A334)</f>
        <v>2.370002462982614</v>
      </c>
      <c r="AE334" s="44">
        <f ca="1">_xll.DBRW($C$1,$C$2,$C$3,$C$4,$C$6,$C$5,$C$7,AE$1,AE$2,$A334)</f>
        <v>2.8788163120404073</v>
      </c>
      <c r="AF334" s="44">
        <f ca="1">_xll.DBRW($C$1,$C$2,$C$3,$C$4,$C$6,$C$5,$C$7,AF$1,AF$2,$A334)</f>
        <v>3.261163071241584</v>
      </c>
      <c r="AG334" s="44">
        <f ca="1">_xll.DBRW($C$1,$C$2,$C$3,$C$4,$C$6,$C$5,$C$7,AG$1,AG$2,$A334)</f>
        <v>3.6347197832952656</v>
      </c>
      <c r="AH334" s="44">
        <f ca="1">_xll.DBRW($C$1,$C$2,$C$3,$C$4,$C$6,$C$5,$C$7,AH$1,AH$2,$A334)</f>
        <v>4.1411795062222332</v>
      </c>
      <c r="AI334" s="44">
        <f ca="1">_xll.DBRW($C$1,$C$2,$C$3,$C$4,$C$6,$C$5,$C$7,AI$1,AI$2,$A334)</f>
        <v>4.6177572920974601</v>
      </c>
      <c r="AJ334" s="44">
        <f ca="1">_xll.DBRW($C$1,$C$2,$C$3,$C$4,$C$6,$C$5,$C$7,AJ$1,AJ$2,$A334)</f>
        <v>5.0974492180072817</v>
      </c>
      <c r="AK334" s="44">
        <f ca="1">_xll.DBRW($C$1,$C$2,$C$3,$C$4,$C$6,$C$5,$C$7,AK$1,AK$2,$A334)</f>
        <v>5.5453750442891208</v>
      </c>
      <c r="AL334" s="44">
        <f ca="1">_xll.DBRW($C$1,$C$2,$C$3,$C$4,$C$6,$C$5,$C$7,AL$1,AL$2,$A334)</f>
        <v>5.5453750442891208</v>
      </c>
      <c r="AM334" s="44">
        <f ca="1">_xll.DBRW($C$1,$C$2,$C$3,$C$4,$C$6,$C$5,$C$7,AM$1,AM$2,$A334)</f>
        <v>0.40104043999999994</v>
      </c>
      <c r="AN334" s="44">
        <f ca="1">_xll.DBRW($C$1,$C$2,$C$3,$C$4,$C$6,$C$5,$C$7,AN$1,AN$2,$A334)</f>
        <v>1.63638445</v>
      </c>
      <c r="AO334" s="44">
        <f ca="1">_xll.DBRW($C$1,$C$2,$C$3,$C$4,$C$6,$C$5,$C$7,AO$1,AO$2,$A334)</f>
        <v>1.63638445</v>
      </c>
      <c r="AP334" s="44">
        <f ca="1">_xll.DBRW($C$1,$C$2,$C$3,$C$4,$C$6,$C$5,$C$7,AP$1,AP$2,$A334)</f>
        <v>1.63638445</v>
      </c>
      <c r="AQ334" s="44">
        <f ca="1">_xll.DBRW($C$1,$C$2,$C$3,$C$4,$C$6,$C$5,$C$7,AQ$1,AQ$2,$A334)</f>
        <v>1.63638445</v>
      </c>
      <c r="AR334" s="44">
        <f ca="1">_xll.DBRW($C$1,$C$2,$C$3,$C$4,$C$6,$C$5,$C$7,AR$1,AR$2,$A334)</f>
        <v>1.63638445</v>
      </c>
      <c r="AS334" s="44">
        <f ca="1">_xll.DBRW($C$1,$C$2,$C$3,$C$4,$C$6,$C$5,$C$7,AS$1,AS$2,$A334)</f>
        <v>1.63638445</v>
      </c>
      <c r="AT334" s="44">
        <f ca="1">_xll.DBRW($C$1,$C$2,$C$3,$C$4,$C$6,$C$5,$C$7,AT$1,AT$2,$A334)</f>
        <v>1.63638445</v>
      </c>
      <c r="AU334" s="44">
        <f ca="1">_xll.DBRW($C$1,$C$2,$C$3,$C$4,$C$6,$C$5,$C$7,AU$1,AU$2,$A334)</f>
        <v>1.63638445</v>
      </c>
      <c r="AV334" s="44">
        <f ca="1">_xll.DBRW($C$1,$C$2,$C$3,$C$4,$C$6,$C$5,$C$7,AV$1,AV$2,$A334)</f>
        <v>1.63638445</v>
      </c>
      <c r="AW334" s="44">
        <f ca="1">_xll.DBRW($C$1,$C$2,$C$3,$C$4,$C$6,$C$5,$C$7,AW$1,AW$2,$A334)</f>
        <v>1.63638445</v>
      </c>
      <c r="AX334" s="44">
        <f ca="1">_xll.DBRW($C$1,$C$2,$C$3,$C$4,$C$6,$C$5,$C$7,AX$1,AX$2,$A334)</f>
        <v>1.63638445</v>
      </c>
      <c r="AY334" s="44">
        <f ca="1">_xll.DBRW($C$1,$C$2,$C$3,$C$4,$C$6,$C$5,$C$7,AY$1,AY$2,$A334)</f>
        <v>1.63638445</v>
      </c>
    </row>
    <row r="335" spans="1:51" ht="15.5" collapsed="1">
      <c r="A335" s="1" t="s">
        <v>142</v>
      </c>
      <c r="C335" s="104"/>
      <c r="E335" s="15" t="s">
        <v>95</v>
      </c>
      <c r="F335" s="45">
        <f t="shared" ref="F335:L335" ca="1" si="230">SUM(F334)</f>
        <v>6.8978611805660002</v>
      </c>
      <c r="G335" s="45">
        <f t="shared" ca="1" si="230"/>
        <v>6.6857117254545493</v>
      </c>
      <c r="H335" s="45">
        <f t="shared" ca="1" si="230"/>
        <v>5.8789784199999993</v>
      </c>
      <c r="I335" s="45">
        <f t="shared" ca="1" si="230"/>
        <v>6.2129421300000001</v>
      </c>
      <c r="J335" s="45">
        <f t="shared" ca="1" si="230"/>
        <v>5.0989977</v>
      </c>
      <c r="K335" s="45">
        <f t="shared" ca="1" si="230"/>
        <v>5.4729277799999991</v>
      </c>
      <c r="L335" s="45">
        <f t="shared" ca="1" si="230"/>
        <v>6.0862205009710006</v>
      </c>
      <c r="M335" s="45">
        <f t="shared" ref="M335:X335" ca="1" si="231">SUM(M334)</f>
        <v>0.30739431</v>
      </c>
      <c r="N335" s="45">
        <f t="shared" ca="1" si="231"/>
        <v>0.97037713000000014</v>
      </c>
      <c r="O335" s="45">
        <f t="shared" ca="1" si="231"/>
        <v>1.52583066</v>
      </c>
      <c r="P335" s="45">
        <f t="shared" ca="1" si="231"/>
        <v>2.0095832700000003</v>
      </c>
      <c r="Q335" s="45">
        <f t="shared" ca="1" si="231"/>
        <v>2.5607161700000001</v>
      </c>
      <c r="R335" s="45">
        <f t="shared" ca="1" si="231"/>
        <v>3.0834151599999999</v>
      </c>
      <c r="S335" s="45">
        <f t="shared" ca="1" si="231"/>
        <v>4.17343229</v>
      </c>
      <c r="T335" s="45">
        <f t="shared" ca="1" si="231"/>
        <v>5.3858390400000005</v>
      </c>
      <c r="U335" s="45">
        <f t="shared" ca="1" si="231"/>
        <v>6.15010981</v>
      </c>
      <c r="V335" s="45">
        <f t="shared" ca="1" si="231"/>
        <v>6.3616495099999995</v>
      </c>
      <c r="W335" s="45">
        <f t="shared" ca="1" si="231"/>
        <v>7.4070268299999995</v>
      </c>
      <c r="X335" s="45">
        <f t="shared" ca="1" si="231"/>
        <v>8.05430402</v>
      </c>
      <c r="Y335" s="45">
        <f ca="1">SUM(Y334)</f>
        <v>8.05430402</v>
      </c>
      <c r="Z335" s="45">
        <f t="shared" ref="Z335:AK335" ca="1" si="232">SUM(Z334)</f>
        <v>0.52053353398735491</v>
      </c>
      <c r="AA335" s="45">
        <f t="shared" ca="1" si="232"/>
        <v>0.94812323437992196</v>
      </c>
      <c r="AB335" s="45">
        <f t="shared" ca="1" si="232"/>
        <v>1.4896156382749</v>
      </c>
      <c r="AC335" s="45">
        <f t="shared" ca="1" si="232"/>
        <v>1.9117713711982738</v>
      </c>
      <c r="AD335" s="45">
        <f t="shared" ca="1" si="232"/>
        <v>2.370002462982614</v>
      </c>
      <c r="AE335" s="45">
        <f t="shared" ca="1" si="232"/>
        <v>2.8788163120404073</v>
      </c>
      <c r="AF335" s="45">
        <f t="shared" ca="1" si="232"/>
        <v>3.261163071241584</v>
      </c>
      <c r="AG335" s="45">
        <f t="shared" ca="1" si="232"/>
        <v>3.6347197832952656</v>
      </c>
      <c r="AH335" s="45">
        <f t="shared" ca="1" si="232"/>
        <v>4.1411795062222332</v>
      </c>
      <c r="AI335" s="45">
        <f t="shared" ca="1" si="232"/>
        <v>4.6177572920974601</v>
      </c>
      <c r="AJ335" s="45">
        <f t="shared" ca="1" si="232"/>
        <v>5.0974492180072817</v>
      </c>
      <c r="AK335" s="45">
        <f t="shared" ca="1" si="232"/>
        <v>5.5453750442891208</v>
      </c>
      <c r="AL335" s="45">
        <f ca="1">SUM(AL334)</f>
        <v>5.5453750442891208</v>
      </c>
      <c r="AM335" s="45">
        <f t="shared" ref="AM335:AX335" ca="1" si="233">SUM(AM334)</f>
        <v>0.40104043999999994</v>
      </c>
      <c r="AN335" s="45">
        <f t="shared" ca="1" si="233"/>
        <v>1.63638445</v>
      </c>
      <c r="AO335" s="45">
        <f t="shared" ca="1" si="233"/>
        <v>1.63638445</v>
      </c>
      <c r="AP335" s="45">
        <f t="shared" ca="1" si="233"/>
        <v>1.63638445</v>
      </c>
      <c r="AQ335" s="45">
        <f t="shared" ca="1" si="233"/>
        <v>1.63638445</v>
      </c>
      <c r="AR335" s="45">
        <f t="shared" ca="1" si="233"/>
        <v>1.63638445</v>
      </c>
      <c r="AS335" s="45">
        <f t="shared" ca="1" si="233"/>
        <v>1.63638445</v>
      </c>
      <c r="AT335" s="45">
        <f t="shared" ca="1" si="233"/>
        <v>1.63638445</v>
      </c>
      <c r="AU335" s="45">
        <f t="shared" ca="1" si="233"/>
        <v>1.63638445</v>
      </c>
      <c r="AV335" s="45">
        <f t="shared" ca="1" si="233"/>
        <v>1.63638445</v>
      </c>
      <c r="AW335" s="45">
        <f t="shared" ca="1" si="233"/>
        <v>1.63638445</v>
      </c>
      <c r="AX335" s="45">
        <f t="shared" ca="1" si="233"/>
        <v>1.63638445</v>
      </c>
      <c r="AY335" s="45">
        <f ca="1">SUM(AY334)</f>
        <v>1.63638445</v>
      </c>
    </row>
    <row r="336" spans="1:51" ht="15.75" hidden="1" customHeight="1" outlineLevel="1">
      <c r="A336" s="1" t="s">
        <v>356</v>
      </c>
      <c r="C336" s="104"/>
      <c r="E336" s="9" t="str">
        <f ca="1">_xll.DBRW(Server&amp;"}ElementAttributes_Indicator",A336,"code_English")</f>
        <v>Gas_consu - Gas consumed (kwh)</v>
      </c>
      <c r="F336" s="44">
        <f ca="1">_xll.DBRW($C$1,$C$2,$C$3,$C$4,$C$6,$C$5,$C$7,F$1,F$2,$A336)</f>
        <v>0</v>
      </c>
      <c r="G336" s="44">
        <f ca="1">_xll.DBRW($C$1,$C$2,$C$3,$C$4,$C$6,$C$5,$C$7,G$1,G$2,$A336)</f>
        <v>0</v>
      </c>
      <c r="H336" s="44">
        <f ca="1">_xll.DBRW($C$1,$C$2,$C$3,$C$4,$C$6,$C$5,$C$7,H$1,H$2,$A336)</f>
        <v>0</v>
      </c>
      <c r="I336" s="44">
        <f ca="1">_xll.DBRW($C$1,$C$2,$C$3,$C$4,$C$6,$C$5,$C$7,I$1,I$2,$A336)</f>
        <v>0</v>
      </c>
      <c r="J336" s="44">
        <f ca="1">_xll.DBRW($C$1,$C$2,$C$3,$C$4,$C$6,$C$5,$C$7,J$1,J$2,$A336)</f>
        <v>0</v>
      </c>
      <c r="K336" s="44">
        <f ca="1">_xll.DBRW($C$1,$C$2,$C$3,$C$4,$C$6,$C$5,$C$7,K$1,K$2,$A336)</f>
        <v>0</v>
      </c>
      <c r="L336" s="44">
        <f ca="1">_xll.DBRW($C$1,$C$2,$C$3,$C$4,$C$6,$C$5,$C$7,L$1,L$2,$A336)</f>
        <v>0</v>
      </c>
      <c r="M336" s="44">
        <f ca="1">_xll.DBRW($C$1,$C$2,$C$3,$C$4,$C$6,$C$5,$C$7,M$1,M$2,$A336)</f>
        <v>0</v>
      </c>
      <c r="N336" s="44">
        <f ca="1">_xll.DBRW($C$1,$C$2,$C$3,$C$4,$C$6,$C$5,$C$7,N$1,N$2,$A336)</f>
        <v>0</v>
      </c>
      <c r="O336" s="44">
        <f ca="1">_xll.DBRW($C$1,$C$2,$C$3,$C$4,$C$6,$C$5,$C$7,O$1,O$2,$A336)</f>
        <v>0</v>
      </c>
      <c r="P336" s="44">
        <f ca="1">_xll.DBRW($C$1,$C$2,$C$3,$C$4,$C$6,$C$5,$C$7,P$1,P$2,$A336)</f>
        <v>0</v>
      </c>
      <c r="Q336" s="44">
        <f ca="1">_xll.DBRW($C$1,$C$2,$C$3,$C$4,$C$6,$C$5,$C$7,Q$1,Q$2,$A336)</f>
        <v>0</v>
      </c>
      <c r="R336" s="44">
        <f ca="1">_xll.DBRW($C$1,$C$2,$C$3,$C$4,$C$6,$C$5,$C$7,R$1,R$2,$A336)</f>
        <v>0</v>
      </c>
      <c r="S336" s="44">
        <f ca="1">_xll.DBRW($C$1,$C$2,$C$3,$C$4,$C$6,$C$5,$C$7,S$1,S$2,$A336)</f>
        <v>3.7650359999999998</v>
      </c>
      <c r="T336" s="44">
        <f ca="1">_xll.DBRW($C$1,$C$2,$C$3,$C$4,$C$6,$C$5,$C$7,T$1,T$2,$A336)</f>
        <v>109.00757223620954</v>
      </c>
      <c r="U336" s="44">
        <f ca="1">_xll.DBRW($C$1,$C$2,$C$3,$C$4,$C$6,$C$5,$C$7,U$1,U$2,$A336)</f>
        <v>134.54662393906182</v>
      </c>
      <c r="V336" s="44">
        <f ca="1">_xll.DBRW($C$1,$C$2,$C$3,$C$4,$C$6,$C$5,$C$7,V$1,V$2,$A336)</f>
        <v>144.18773071906182</v>
      </c>
      <c r="W336" s="44">
        <f ca="1">_xll.DBRW($C$1,$C$2,$C$3,$C$4,$C$6,$C$5,$C$7,W$1,W$2,$A336)</f>
        <v>169.34817713376125</v>
      </c>
      <c r="X336" s="44">
        <f ca="1">_xll.DBRW($C$1,$C$2,$C$3,$C$4,$C$6,$C$5,$C$7,X$1,X$2,$A336)</f>
        <v>188.38542260526125</v>
      </c>
      <c r="Y336" s="44">
        <f ca="1">_xll.DBRW($C$1,$C$2,$C$3,$C$4,$C$6,$C$5,$C$7,Y$1,Y$2,$A336)</f>
        <v>188.38542260526125</v>
      </c>
      <c r="Z336" s="44">
        <f ca="1">_xll.DBRW($C$1,$C$2,$C$3,$C$4,$C$6,$C$5,$C$7,Z$1,Z$2,$A336)</f>
        <v>26.413061318979683</v>
      </c>
      <c r="AA336" s="44">
        <f ca="1">_xll.DBRW($C$1,$C$2,$C$3,$C$4,$C$6,$C$5,$C$7,AA$1,AA$2,$A336)</f>
        <v>50.177968975667412</v>
      </c>
      <c r="AB336" s="44">
        <f ca="1">_xll.DBRW($C$1,$C$2,$C$3,$C$4,$C$6,$C$5,$C$7,AB$1,AB$2,$A336)</f>
        <v>77.490289252408786</v>
      </c>
      <c r="AC336" s="44">
        <f ca="1">_xll.DBRW($C$1,$C$2,$C$3,$C$4,$C$6,$C$5,$C$7,AC$1,AC$2,$A336)</f>
        <v>102.05396831351572</v>
      </c>
      <c r="AD336" s="44">
        <f ca="1">_xll.DBRW($C$1,$C$2,$C$3,$C$4,$C$6,$C$5,$C$7,AD$1,AD$2,$A336)</f>
        <v>127.06466674191859</v>
      </c>
      <c r="AE336" s="44">
        <f ca="1">_xll.DBRW($C$1,$C$2,$C$3,$C$4,$C$6,$C$5,$C$7,AE$1,AE$2,$A336)</f>
        <v>153.80780585583415</v>
      </c>
      <c r="AF336" s="44">
        <f ca="1">_xll.DBRW($C$1,$C$2,$C$3,$C$4,$C$6,$C$5,$C$7,AF$1,AF$2,$A336)</f>
        <v>176.37703026813764</v>
      </c>
      <c r="AG336" s="44">
        <f ca="1">_xll.DBRW($C$1,$C$2,$C$3,$C$4,$C$6,$C$5,$C$7,AG$1,AG$2,$A336)</f>
        <v>195.84350597155361</v>
      </c>
      <c r="AH336" s="44">
        <f ca="1">_xll.DBRW($C$1,$C$2,$C$3,$C$4,$C$6,$C$5,$C$7,AH$1,AH$2,$A336)</f>
        <v>220.25770524291133</v>
      </c>
      <c r="AI336" s="44">
        <f ca="1">_xll.DBRW($C$1,$C$2,$C$3,$C$4,$C$6,$C$5,$C$7,AI$1,AI$2,$A336)</f>
        <v>244.25686365969318</v>
      </c>
      <c r="AJ336" s="44">
        <f ca="1">_xll.DBRW($C$1,$C$2,$C$3,$C$4,$C$6,$C$5,$C$7,AJ$1,AJ$2,$A336)</f>
        <v>268.13465215167253</v>
      </c>
      <c r="AK336" s="44">
        <f ca="1">_xll.DBRW($C$1,$C$2,$C$3,$C$4,$C$6,$C$5,$C$7,AK$1,AK$2,$A336)</f>
        <v>291.57918942019671</v>
      </c>
      <c r="AL336" s="44">
        <f ca="1">_xll.DBRW($C$1,$C$2,$C$3,$C$4,$C$6,$C$5,$C$7,AL$1,AL$2,$A336)</f>
        <v>291.57918942019671</v>
      </c>
      <c r="AM336" s="44">
        <f ca="1">_xll.DBRW($C$1,$C$2,$C$3,$C$4,$C$6,$C$5,$C$7,AM$1,AM$2,$A336)</f>
        <v>15.805017860902023</v>
      </c>
      <c r="AN336" s="44">
        <f ca="1">_xll.DBRW($C$1,$C$2,$C$3,$C$4,$C$6,$C$5,$C$7,AN$1,AN$2,$A336)</f>
        <v>47.941801455218467</v>
      </c>
      <c r="AO336" s="44">
        <f ca="1">_xll.DBRW($C$1,$C$2,$C$3,$C$4,$C$6,$C$5,$C$7,AO$1,AO$2,$A336)</f>
        <v>47.941801455218467</v>
      </c>
      <c r="AP336" s="44">
        <f ca="1">_xll.DBRW($C$1,$C$2,$C$3,$C$4,$C$6,$C$5,$C$7,AP$1,AP$2,$A336)</f>
        <v>47.941801455218467</v>
      </c>
      <c r="AQ336" s="44">
        <f ca="1">_xll.DBRW($C$1,$C$2,$C$3,$C$4,$C$6,$C$5,$C$7,AQ$1,AQ$2,$A336)</f>
        <v>47.941801455218467</v>
      </c>
      <c r="AR336" s="44">
        <f ca="1">_xll.DBRW($C$1,$C$2,$C$3,$C$4,$C$6,$C$5,$C$7,AR$1,AR$2,$A336)</f>
        <v>47.941801455218467</v>
      </c>
      <c r="AS336" s="44">
        <f ca="1">_xll.DBRW($C$1,$C$2,$C$3,$C$4,$C$6,$C$5,$C$7,AS$1,AS$2,$A336)</f>
        <v>47.941801455218467</v>
      </c>
      <c r="AT336" s="44">
        <f ca="1">_xll.DBRW($C$1,$C$2,$C$3,$C$4,$C$6,$C$5,$C$7,AT$1,AT$2,$A336)</f>
        <v>47.941801455218467</v>
      </c>
      <c r="AU336" s="44">
        <f ca="1">_xll.DBRW($C$1,$C$2,$C$3,$C$4,$C$6,$C$5,$C$7,AU$1,AU$2,$A336)</f>
        <v>47.941801455218467</v>
      </c>
      <c r="AV336" s="44">
        <f ca="1">_xll.DBRW($C$1,$C$2,$C$3,$C$4,$C$6,$C$5,$C$7,AV$1,AV$2,$A336)</f>
        <v>47.941801455218467</v>
      </c>
      <c r="AW336" s="44">
        <f ca="1">_xll.DBRW($C$1,$C$2,$C$3,$C$4,$C$6,$C$5,$C$7,AW$1,AW$2,$A336)</f>
        <v>47.941801455218467</v>
      </c>
      <c r="AX336" s="44">
        <f ca="1">_xll.DBRW($C$1,$C$2,$C$3,$C$4,$C$6,$C$5,$C$7,AX$1,AX$2,$A336)</f>
        <v>47.941801455218467</v>
      </c>
      <c r="AY336" s="44">
        <f ca="1">_xll.DBRW($C$1,$C$2,$C$3,$C$4,$C$6,$C$5,$C$7,AY$1,AY$2,$A336)</f>
        <v>47.941801455218467</v>
      </c>
    </row>
    <row r="337" spans="1:51" ht="15.5" collapsed="1">
      <c r="A337" s="1" t="s">
        <v>142</v>
      </c>
      <c r="C337" s="104"/>
      <c r="E337" s="15" t="s">
        <v>96</v>
      </c>
      <c r="F337" s="44">
        <f t="shared" ref="F337:L337" ca="1" si="234">SUM(F336)</f>
        <v>0</v>
      </c>
      <c r="G337" s="44">
        <f t="shared" ca="1" si="234"/>
        <v>0</v>
      </c>
      <c r="H337" s="44">
        <f t="shared" ca="1" si="234"/>
        <v>0</v>
      </c>
      <c r="I337" s="44">
        <f t="shared" ca="1" si="234"/>
        <v>0</v>
      </c>
      <c r="J337" s="44">
        <f t="shared" ca="1" si="234"/>
        <v>0</v>
      </c>
      <c r="K337" s="44">
        <f t="shared" ca="1" si="234"/>
        <v>0</v>
      </c>
      <c r="L337" s="44">
        <f t="shared" ca="1" si="234"/>
        <v>0</v>
      </c>
      <c r="M337" s="44">
        <f t="shared" ref="M337:X337" ca="1" si="235">SUM(M336)</f>
        <v>0</v>
      </c>
      <c r="N337" s="44">
        <f t="shared" ca="1" si="235"/>
        <v>0</v>
      </c>
      <c r="O337" s="44">
        <f t="shared" ca="1" si="235"/>
        <v>0</v>
      </c>
      <c r="P337" s="44">
        <f t="shared" ca="1" si="235"/>
        <v>0</v>
      </c>
      <c r="Q337" s="44">
        <f t="shared" ca="1" si="235"/>
        <v>0</v>
      </c>
      <c r="R337" s="44">
        <f t="shared" ca="1" si="235"/>
        <v>0</v>
      </c>
      <c r="S337" s="44">
        <f t="shared" ca="1" si="235"/>
        <v>3.7650359999999998</v>
      </c>
      <c r="T337" s="44">
        <f t="shared" ca="1" si="235"/>
        <v>109.00757223620954</v>
      </c>
      <c r="U337" s="44">
        <f t="shared" ca="1" si="235"/>
        <v>134.54662393906182</v>
      </c>
      <c r="V337" s="44">
        <f t="shared" ca="1" si="235"/>
        <v>144.18773071906182</v>
      </c>
      <c r="W337" s="44">
        <f t="shared" ca="1" si="235"/>
        <v>169.34817713376125</v>
      </c>
      <c r="X337" s="44">
        <f t="shared" ca="1" si="235"/>
        <v>188.38542260526125</v>
      </c>
      <c r="Y337" s="44">
        <f ca="1">SUM(Y336)</f>
        <v>188.38542260526125</v>
      </c>
      <c r="Z337" s="44">
        <f t="shared" ref="Z337:AK337" ca="1" si="236">SUM(Z336)</f>
        <v>26.413061318979683</v>
      </c>
      <c r="AA337" s="44">
        <f t="shared" ca="1" si="236"/>
        <v>50.177968975667412</v>
      </c>
      <c r="AB337" s="44">
        <f t="shared" ca="1" si="236"/>
        <v>77.490289252408786</v>
      </c>
      <c r="AC337" s="44">
        <f t="shared" ca="1" si="236"/>
        <v>102.05396831351572</v>
      </c>
      <c r="AD337" s="44">
        <f t="shared" ca="1" si="236"/>
        <v>127.06466674191859</v>
      </c>
      <c r="AE337" s="44">
        <f t="shared" ca="1" si="236"/>
        <v>153.80780585583415</v>
      </c>
      <c r="AF337" s="44">
        <f t="shared" ca="1" si="236"/>
        <v>176.37703026813764</v>
      </c>
      <c r="AG337" s="44">
        <f t="shared" ca="1" si="236"/>
        <v>195.84350597155361</v>
      </c>
      <c r="AH337" s="44">
        <f t="shared" ca="1" si="236"/>
        <v>220.25770524291133</v>
      </c>
      <c r="AI337" s="44">
        <f t="shared" ca="1" si="236"/>
        <v>244.25686365969318</v>
      </c>
      <c r="AJ337" s="44">
        <f t="shared" ca="1" si="236"/>
        <v>268.13465215167253</v>
      </c>
      <c r="AK337" s="44">
        <f t="shared" ca="1" si="236"/>
        <v>291.57918942019671</v>
      </c>
      <c r="AL337" s="44">
        <f ca="1">SUM(AL336)</f>
        <v>291.57918942019671</v>
      </c>
      <c r="AM337" s="44">
        <f t="shared" ref="AM337:AX337" ca="1" si="237">SUM(AM336)</f>
        <v>15.805017860902023</v>
      </c>
      <c r="AN337" s="44">
        <f t="shared" ca="1" si="237"/>
        <v>47.941801455218467</v>
      </c>
      <c r="AO337" s="44">
        <f t="shared" ca="1" si="237"/>
        <v>47.941801455218467</v>
      </c>
      <c r="AP337" s="44">
        <f t="shared" ca="1" si="237"/>
        <v>47.941801455218467</v>
      </c>
      <c r="AQ337" s="44">
        <f t="shared" ca="1" si="237"/>
        <v>47.941801455218467</v>
      </c>
      <c r="AR337" s="44">
        <f t="shared" ca="1" si="237"/>
        <v>47.941801455218467</v>
      </c>
      <c r="AS337" s="44">
        <f t="shared" ca="1" si="237"/>
        <v>47.941801455218467</v>
      </c>
      <c r="AT337" s="44">
        <f t="shared" ca="1" si="237"/>
        <v>47.941801455218467</v>
      </c>
      <c r="AU337" s="44">
        <f t="shared" ca="1" si="237"/>
        <v>47.941801455218467</v>
      </c>
      <c r="AV337" s="44">
        <f t="shared" ca="1" si="237"/>
        <v>47.941801455218467</v>
      </c>
      <c r="AW337" s="44">
        <f t="shared" ca="1" si="237"/>
        <v>47.941801455218467</v>
      </c>
      <c r="AX337" s="44">
        <f t="shared" ca="1" si="237"/>
        <v>47.941801455218467</v>
      </c>
      <c r="AY337" s="44">
        <f ca="1">SUM(AY336)</f>
        <v>47.941801455218467</v>
      </c>
    </row>
    <row r="338" spans="1:51" ht="15.75" hidden="1" customHeight="1" outlineLevel="1">
      <c r="A338" s="1" t="s">
        <v>357</v>
      </c>
      <c r="C338" s="104"/>
      <c r="E338" s="9" t="str">
        <f ca="1">_xll.DBRW(Server&amp;"}ElementAttributes_Indicator",A338,"code_English")</f>
        <v>Elec_consu - Electricity consumed (kwh)</v>
      </c>
      <c r="F338" s="44">
        <f ca="1">_xll.DBRW($C$1,$C$2,$C$3,$C$4,$C$6,$C$5,$C$7,F$1,F$2,$A338)</f>
        <v>180.36128679351799</v>
      </c>
      <c r="G338" s="44">
        <f ca="1">_xll.DBRW($C$1,$C$2,$C$3,$C$4,$C$6,$C$5,$C$7,G$1,G$2,$A338)</f>
        <v>187.568167238</v>
      </c>
      <c r="H338" s="44">
        <f ca="1">_xll.DBRW($C$1,$C$2,$C$3,$C$4,$C$6,$C$5,$C$7,H$1,H$2,$A338)</f>
        <v>178.21206339</v>
      </c>
      <c r="I338" s="44">
        <f ca="1">_xll.DBRW($C$1,$C$2,$C$3,$C$4,$C$6,$C$5,$C$7,I$1,I$2,$A338)</f>
        <v>30.794585721999994</v>
      </c>
      <c r="J338" s="44">
        <f ca="1">_xll.DBRW($C$1,$C$2,$C$3,$C$4,$C$6,$C$5,$C$7,J$1,J$2,$A338)</f>
        <v>40.720401329524996</v>
      </c>
      <c r="K338" s="44">
        <f ca="1">_xll.DBRW($C$1,$C$2,$C$3,$C$4,$C$6,$C$5,$C$7,K$1,K$2,$A338)</f>
        <v>35.725988658959999</v>
      </c>
      <c r="L338" s="44">
        <f ca="1">_xll.DBRW($C$1,$C$2,$C$3,$C$4,$C$6,$C$5,$C$7,L$1,L$2,$A338)</f>
        <v>38.449784745154822</v>
      </c>
      <c r="M338" s="44">
        <f ca="1">_xll.DBRW($C$1,$C$2,$C$3,$C$4,$C$6,$C$5,$C$7,M$1,M$2,$A338)</f>
        <v>2.0683034333333334</v>
      </c>
      <c r="N338" s="44">
        <f ca="1">_xll.DBRW($C$1,$C$2,$C$3,$C$4,$C$6,$C$5,$C$7,N$1,N$2,$A338)</f>
        <v>6.8585709333333327</v>
      </c>
      <c r="O338" s="44">
        <f ca="1">_xll.DBRW($C$1,$C$2,$C$3,$C$4,$C$6,$C$5,$C$7,O$1,O$2,$A338)</f>
        <v>10.342910949333332</v>
      </c>
      <c r="P338" s="44">
        <f ca="1">_xll.DBRW($C$1,$C$2,$C$3,$C$4,$C$6,$C$5,$C$7,P$1,P$2,$A338)</f>
        <v>12.618712662666665</v>
      </c>
      <c r="Q338" s="44">
        <f ca="1">_xll.DBRW($C$1,$C$2,$C$3,$C$4,$C$6,$C$5,$C$7,Q$1,Q$2,$A338)</f>
        <v>15.622668672666666</v>
      </c>
      <c r="R338" s="44">
        <f ca="1">_xll.DBRW($C$1,$C$2,$C$3,$C$4,$C$6,$C$5,$C$7,R$1,R$2,$A338)</f>
        <v>17.739043819333332</v>
      </c>
      <c r="S338" s="44">
        <f ca="1">_xll.DBRW($C$1,$C$2,$C$3,$C$4,$C$6,$C$5,$C$7,S$1,S$2,$A338)</f>
        <v>18.701015849333331</v>
      </c>
      <c r="T338" s="44">
        <f ca="1">_xll.DBRW($C$1,$C$2,$C$3,$C$4,$C$6,$C$5,$C$7,T$1,T$2,$A338)</f>
        <v>22.142476599333332</v>
      </c>
      <c r="U338" s="44">
        <f ca="1">_xll.DBRW($C$1,$C$2,$C$3,$C$4,$C$6,$C$5,$C$7,U$1,U$2,$A338)</f>
        <v>24.987454489291029</v>
      </c>
      <c r="V338" s="44">
        <f ca="1">_xll.DBRW($C$1,$C$2,$C$3,$C$4,$C$6,$C$5,$C$7,V$1,V$2,$A338)</f>
        <v>26.522563231155029</v>
      </c>
      <c r="W338" s="44">
        <f ca="1">_xll.DBRW($C$1,$C$2,$C$3,$C$4,$C$6,$C$5,$C$7,W$1,W$2,$A338)</f>
        <v>31.57596556515503</v>
      </c>
      <c r="X338" s="44">
        <f ca="1">_xll.DBRW($C$1,$C$2,$C$3,$C$4,$C$6,$C$5,$C$7,X$1,X$2,$A338)</f>
        <v>35.775959525155031</v>
      </c>
      <c r="Y338" s="44">
        <f ca="1">_xll.DBRW($C$1,$C$2,$C$3,$C$4,$C$6,$C$5,$C$7,Y$1,Y$2,$A338)</f>
        <v>35.775959525155031</v>
      </c>
      <c r="Z338" s="44">
        <f ca="1">_xll.DBRW($C$1,$C$2,$C$3,$C$4,$C$6,$C$5,$C$7,Z$1,Z$2,$A338)</f>
        <v>4.4587711551254259</v>
      </c>
      <c r="AA338" s="44">
        <f ca="1">_xll.DBRW($C$1,$C$2,$C$3,$C$4,$C$6,$C$5,$C$7,AA$1,AA$2,$A338)</f>
        <v>8.0682823281333</v>
      </c>
      <c r="AB338" s="44">
        <f ca="1">_xll.DBRW($C$1,$C$2,$C$3,$C$4,$C$6,$C$5,$C$7,AB$1,AB$2,$A338)</f>
        <v>12.311852447452667</v>
      </c>
      <c r="AC338" s="44">
        <f ca="1">_xll.DBRW($C$1,$C$2,$C$3,$C$4,$C$6,$C$5,$C$7,AC$1,AC$2,$A338)</f>
        <v>15.691137045616637</v>
      </c>
      <c r="AD338" s="44">
        <f ca="1">_xll.DBRW($C$1,$C$2,$C$3,$C$4,$C$6,$C$5,$C$7,AD$1,AD$2,$A338)</f>
        <v>18.988558002480158</v>
      </c>
      <c r="AE338" s="44">
        <f ca="1">_xll.DBRW($C$1,$C$2,$C$3,$C$4,$C$6,$C$5,$C$7,AE$1,AE$2,$A338)</f>
        <v>22.342798880123098</v>
      </c>
      <c r="AF338" s="44">
        <f ca="1">_xll.DBRW($C$1,$C$2,$C$3,$C$4,$C$6,$C$5,$C$7,AF$1,AF$2,$A338)</f>
        <v>25.010562323583319</v>
      </c>
      <c r="AG338" s="44">
        <f ca="1">_xll.DBRW($C$1,$C$2,$C$3,$C$4,$C$6,$C$5,$C$7,AG$1,AG$2,$A338)</f>
        <v>27.868133220850517</v>
      </c>
      <c r="AH338" s="44">
        <f ca="1">_xll.DBRW($C$1,$C$2,$C$3,$C$4,$C$6,$C$5,$C$7,AH$1,AH$2,$A338)</f>
        <v>31.505710847476333</v>
      </c>
      <c r="AI338" s="44">
        <f ca="1">_xll.DBRW($C$1,$C$2,$C$3,$C$4,$C$6,$C$5,$C$7,AI$1,AI$2,$A338)</f>
        <v>35.298699284481636</v>
      </c>
      <c r="AJ338" s="44">
        <f ca="1">_xll.DBRW($C$1,$C$2,$C$3,$C$4,$C$6,$C$5,$C$7,AJ$1,AJ$2,$A338)</f>
        <v>39.290049782033662</v>
      </c>
      <c r="AK338" s="44">
        <f ca="1">_xll.DBRW($C$1,$C$2,$C$3,$C$4,$C$6,$C$5,$C$7,AK$1,AK$2,$A338)</f>
        <v>43.677593195777618</v>
      </c>
      <c r="AL338" s="44">
        <f ca="1">_xll.DBRW($C$1,$C$2,$C$3,$C$4,$C$6,$C$5,$C$7,AL$1,AL$2,$A338)</f>
        <v>43.677593195777618</v>
      </c>
      <c r="AM338" s="44">
        <f ca="1">_xll.DBRW($C$1,$C$2,$C$3,$C$4,$C$6,$C$5,$C$7,AM$1,AM$2,$A338)</f>
        <v>2.0205652851</v>
      </c>
      <c r="AN338" s="44">
        <f ca="1">_xll.DBRW($C$1,$C$2,$C$3,$C$4,$C$6,$C$5,$C$7,AN$1,AN$2,$A338)</f>
        <v>7.7933203950999985</v>
      </c>
      <c r="AO338" s="44">
        <f ca="1">_xll.DBRW($C$1,$C$2,$C$3,$C$4,$C$6,$C$5,$C$7,AO$1,AO$2,$A338)</f>
        <v>7.7933203950999985</v>
      </c>
      <c r="AP338" s="44">
        <f ca="1">_xll.DBRW($C$1,$C$2,$C$3,$C$4,$C$6,$C$5,$C$7,AP$1,AP$2,$A338)</f>
        <v>7.7933203950999985</v>
      </c>
      <c r="AQ338" s="44">
        <f ca="1">_xll.DBRW($C$1,$C$2,$C$3,$C$4,$C$6,$C$5,$C$7,AQ$1,AQ$2,$A338)</f>
        <v>7.7933203950999985</v>
      </c>
      <c r="AR338" s="44">
        <f ca="1">_xll.DBRW($C$1,$C$2,$C$3,$C$4,$C$6,$C$5,$C$7,AR$1,AR$2,$A338)</f>
        <v>7.7933203950999985</v>
      </c>
      <c r="AS338" s="44">
        <f ca="1">_xll.DBRW($C$1,$C$2,$C$3,$C$4,$C$6,$C$5,$C$7,AS$1,AS$2,$A338)</f>
        <v>7.7933203950999985</v>
      </c>
      <c r="AT338" s="44">
        <f ca="1">_xll.DBRW($C$1,$C$2,$C$3,$C$4,$C$6,$C$5,$C$7,AT$1,AT$2,$A338)</f>
        <v>7.7933203950999985</v>
      </c>
      <c r="AU338" s="44">
        <f ca="1">_xll.DBRW($C$1,$C$2,$C$3,$C$4,$C$6,$C$5,$C$7,AU$1,AU$2,$A338)</f>
        <v>7.7933203950999985</v>
      </c>
      <c r="AV338" s="44">
        <f ca="1">_xll.DBRW($C$1,$C$2,$C$3,$C$4,$C$6,$C$5,$C$7,AV$1,AV$2,$A338)</f>
        <v>7.7933203950999985</v>
      </c>
      <c r="AW338" s="44">
        <f ca="1">_xll.DBRW($C$1,$C$2,$C$3,$C$4,$C$6,$C$5,$C$7,AW$1,AW$2,$A338)</f>
        <v>7.7933203950999985</v>
      </c>
      <c r="AX338" s="44">
        <f ca="1">_xll.DBRW($C$1,$C$2,$C$3,$C$4,$C$6,$C$5,$C$7,AX$1,AX$2,$A338)</f>
        <v>7.7933203950999985</v>
      </c>
      <c r="AY338" s="44">
        <f ca="1">_xll.DBRW($C$1,$C$2,$C$3,$C$4,$C$6,$C$5,$C$7,AY$1,AY$2,$A338)</f>
        <v>7.7933203950999985</v>
      </c>
    </row>
    <row r="339" spans="1:51" ht="15.5" collapsed="1">
      <c r="A339" s="1" t="s">
        <v>142</v>
      </c>
      <c r="C339" s="104"/>
      <c r="E339" s="15" t="s">
        <v>97</v>
      </c>
      <c r="F339" s="45">
        <f t="shared" ref="F339:L339" ca="1" si="238">SUM(F338)</f>
        <v>180.36128679351799</v>
      </c>
      <c r="G339" s="45">
        <f t="shared" ca="1" si="238"/>
        <v>187.568167238</v>
      </c>
      <c r="H339" s="45">
        <f t="shared" ca="1" si="238"/>
        <v>178.21206339</v>
      </c>
      <c r="I339" s="45">
        <f t="shared" ca="1" si="238"/>
        <v>30.794585721999994</v>
      </c>
      <c r="J339" s="45">
        <f t="shared" ca="1" si="238"/>
        <v>40.720401329524996</v>
      </c>
      <c r="K339" s="45">
        <f t="shared" ca="1" si="238"/>
        <v>35.725988658959999</v>
      </c>
      <c r="L339" s="45">
        <f t="shared" ca="1" si="238"/>
        <v>38.449784745154822</v>
      </c>
      <c r="M339" s="45">
        <f t="shared" ref="M339:X339" ca="1" si="239">SUM(M338)</f>
        <v>2.0683034333333334</v>
      </c>
      <c r="N339" s="45">
        <f t="shared" ca="1" si="239"/>
        <v>6.8585709333333327</v>
      </c>
      <c r="O339" s="45">
        <f t="shared" ca="1" si="239"/>
        <v>10.342910949333332</v>
      </c>
      <c r="P339" s="45">
        <f t="shared" ca="1" si="239"/>
        <v>12.618712662666665</v>
      </c>
      <c r="Q339" s="45">
        <f t="shared" ca="1" si="239"/>
        <v>15.622668672666666</v>
      </c>
      <c r="R339" s="45">
        <f t="shared" ca="1" si="239"/>
        <v>17.739043819333332</v>
      </c>
      <c r="S339" s="45">
        <f t="shared" ca="1" si="239"/>
        <v>18.701015849333331</v>
      </c>
      <c r="T339" s="45">
        <f t="shared" ca="1" si="239"/>
        <v>22.142476599333332</v>
      </c>
      <c r="U339" s="45">
        <f t="shared" ca="1" si="239"/>
        <v>24.987454489291029</v>
      </c>
      <c r="V339" s="45">
        <f t="shared" ca="1" si="239"/>
        <v>26.522563231155029</v>
      </c>
      <c r="W339" s="45">
        <f t="shared" ca="1" si="239"/>
        <v>31.57596556515503</v>
      </c>
      <c r="X339" s="45">
        <f t="shared" ca="1" si="239"/>
        <v>35.775959525155031</v>
      </c>
      <c r="Y339" s="45">
        <f ca="1">SUM(Y338)</f>
        <v>35.775959525155031</v>
      </c>
      <c r="Z339" s="45">
        <f t="shared" ref="Z339:AK339" ca="1" si="240">SUM(Z338)</f>
        <v>4.4587711551254259</v>
      </c>
      <c r="AA339" s="45">
        <f t="shared" ca="1" si="240"/>
        <v>8.0682823281333</v>
      </c>
      <c r="AB339" s="45">
        <f t="shared" ca="1" si="240"/>
        <v>12.311852447452667</v>
      </c>
      <c r="AC339" s="45">
        <f t="shared" ca="1" si="240"/>
        <v>15.691137045616637</v>
      </c>
      <c r="AD339" s="45">
        <f t="shared" ca="1" si="240"/>
        <v>18.988558002480158</v>
      </c>
      <c r="AE339" s="45">
        <f t="shared" ca="1" si="240"/>
        <v>22.342798880123098</v>
      </c>
      <c r="AF339" s="45">
        <f t="shared" ca="1" si="240"/>
        <v>25.010562323583319</v>
      </c>
      <c r="AG339" s="45">
        <f t="shared" ca="1" si="240"/>
        <v>27.868133220850517</v>
      </c>
      <c r="AH339" s="45">
        <f t="shared" ca="1" si="240"/>
        <v>31.505710847476333</v>
      </c>
      <c r="AI339" s="45">
        <f t="shared" ca="1" si="240"/>
        <v>35.298699284481636</v>
      </c>
      <c r="AJ339" s="45">
        <f t="shared" ca="1" si="240"/>
        <v>39.290049782033662</v>
      </c>
      <c r="AK339" s="45">
        <f t="shared" ca="1" si="240"/>
        <v>43.677593195777618</v>
      </c>
      <c r="AL339" s="45">
        <f ca="1">SUM(AL338)</f>
        <v>43.677593195777618</v>
      </c>
      <c r="AM339" s="45">
        <f t="shared" ref="AM339:AX339" ca="1" si="241">SUM(AM338)</f>
        <v>2.0205652851</v>
      </c>
      <c r="AN339" s="45">
        <f t="shared" ca="1" si="241"/>
        <v>7.7933203950999985</v>
      </c>
      <c r="AO339" s="45">
        <f t="shared" ca="1" si="241"/>
        <v>7.7933203950999985</v>
      </c>
      <c r="AP339" s="45">
        <f t="shared" ca="1" si="241"/>
        <v>7.7933203950999985</v>
      </c>
      <c r="AQ339" s="45">
        <f t="shared" ca="1" si="241"/>
        <v>7.7933203950999985</v>
      </c>
      <c r="AR339" s="45">
        <f t="shared" ca="1" si="241"/>
        <v>7.7933203950999985</v>
      </c>
      <c r="AS339" s="45">
        <f t="shared" ca="1" si="241"/>
        <v>7.7933203950999985</v>
      </c>
      <c r="AT339" s="45">
        <f t="shared" ca="1" si="241"/>
        <v>7.7933203950999985</v>
      </c>
      <c r="AU339" s="45">
        <f t="shared" ca="1" si="241"/>
        <v>7.7933203950999985</v>
      </c>
      <c r="AV339" s="45">
        <f t="shared" ca="1" si="241"/>
        <v>7.7933203950999985</v>
      </c>
      <c r="AW339" s="45">
        <f t="shared" ca="1" si="241"/>
        <v>7.7933203950999985</v>
      </c>
      <c r="AX339" s="45">
        <f t="shared" ca="1" si="241"/>
        <v>7.7933203950999985</v>
      </c>
      <c r="AY339" s="45">
        <f ca="1">SUM(AY338)</f>
        <v>7.7933203950999985</v>
      </c>
    </row>
    <row r="340" spans="1:51" ht="15.5" hidden="1" outlineLevel="1">
      <c r="A340" s="1" t="s">
        <v>370</v>
      </c>
      <c r="C340" s="104"/>
      <c r="E340" s="9" t="str">
        <f ca="1">_xll.DBRW(Server&amp;"}ElementAttributes_Indicator",A340,"code_English")</f>
        <v>*KEY_ERR</v>
      </c>
      <c r="F340" s="44" t="str">
        <f ca="1">_xll.DBRW($C$1,$C$2,$C$3,$C$4,$C$6,$C$5,$C$7,F$1,F$2,$A340)</f>
        <v>*KEY_ERR</v>
      </c>
      <c r="G340" s="44" t="str">
        <f ca="1">_xll.DBRW($C$1,$C$2,$C$3,$C$4,$C$6,$C$5,$C$7,G$1,G$2,$A340)</f>
        <v>*KEY_ERR</v>
      </c>
      <c r="H340" s="44" t="str">
        <f ca="1">_xll.DBRW($C$1,$C$2,$C$3,$C$4,$C$6,$C$5,$C$7,H$1,H$2,$A340)</f>
        <v>*KEY_ERR</v>
      </c>
      <c r="I340" s="44" t="str">
        <f ca="1">_xll.DBRW($C$1,$C$2,$C$3,$C$4,$C$6,$C$5,$C$7,I$1,I$2,$A340)</f>
        <v>*KEY_ERR</v>
      </c>
      <c r="J340" s="44" t="str">
        <f ca="1">_xll.DBRW($C$1,$C$2,$C$3,$C$4,$C$6,$C$5,$C$7,J$1,J$2,$A340)</f>
        <v>*KEY_ERR</v>
      </c>
      <c r="K340" s="44" t="str">
        <f ca="1">_xll.DBRW($C$1,$C$2,$C$3,$C$4,$C$6,$C$5,$C$7,K$1,K$2,$A340)</f>
        <v>*KEY_ERR</v>
      </c>
      <c r="L340" s="44" t="str">
        <f ca="1">_xll.DBRW($C$1,$C$2,$C$3,$C$4,$C$6,$C$5,$C$7,L$1,L$2,$A340)</f>
        <v>*KEY_ERR</v>
      </c>
      <c r="M340" s="44" t="str">
        <f ca="1">_xll.DBRW($C$1,$C$2,$C$3,$C$4,$C$6,$C$5,$C$7,M$1,M$2,$A340)</f>
        <v>*KEY_ERR</v>
      </c>
      <c r="N340" s="44" t="str">
        <f ca="1">_xll.DBRW($C$1,$C$2,$C$3,$C$4,$C$6,$C$5,$C$7,N$1,N$2,$A340)</f>
        <v>*KEY_ERR</v>
      </c>
      <c r="O340" s="44" t="str">
        <f ca="1">_xll.DBRW($C$1,$C$2,$C$3,$C$4,$C$6,$C$5,$C$7,O$1,O$2,$A340)</f>
        <v>*KEY_ERR</v>
      </c>
      <c r="P340" s="44" t="str">
        <f ca="1">_xll.DBRW($C$1,$C$2,$C$3,$C$4,$C$6,$C$5,$C$7,P$1,P$2,$A340)</f>
        <v>*KEY_ERR</v>
      </c>
      <c r="Q340" s="44" t="str">
        <f ca="1">_xll.DBRW($C$1,$C$2,$C$3,$C$4,$C$6,$C$5,$C$7,Q$1,Q$2,$A340)</f>
        <v>*KEY_ERR</v>
      </c>
      <c r="R340" s="44" t="str">
        <f ca="1">_xll.DBRW($C$1,$C$2,$C$3,$C$4,$C$6,$C$5,$C$7,R$1,R$2,$A340)</f>
        <v>*KEY_ERR</v>
      </c>
      <c r="S340" s="44" t="str">
        <f ca="1">_xll.DBRW($C$1,$C$2,$C$3,$C$4,$C$6,$C$5,$C$7,S$1,S$2,$A340)</f>
        <v>*KEY_ERR</v>
      </c>
      <c r="T340" s="44" t="str">
        <f ca="1">_xll.DBRW($C$1,$C$2,$C$3,$C$4,$C$6,$C$5,$C$7,T$1,T$2,$A340)</f>
        <v>*KEY_ERR</v>
      </c>
      <c r="U340" s="44" t="str">
        <f ca="1">_xll.DBRW($C$1,$C$2,$C$3,$C$4,$C$6,$C$5,$C$7,U$1,U$2,$A340)</f>
        <v>*KEY_ERR</v>
      </c>
      <c r="V340" s="44" t="str">
        <f ca="1">_xll.DBRW($C$1,$C$2,$C$3,$C$4,$C$6,$C$5,$C$7,V$1,V$2,$A340)</f>
        <v>*KEY_ERR</v>
      </c>
      <c r="W340" s="44" t="str">
        <f ca="1">_xll.DBRW($C$1,$C$2,$C$3,$C$4,$C$6,$C$5,$C$7,W$1,W$2,$A340)</f>
        <v>*KEY_ERR</v>
      </c>
      <c r="X340" s="44" t="str">
        <f ca="1">_xll.DBRW($C$1,$C$2,$C$3,$C$4,$C$6,$C$5,$C$7,X$1,X$2,$A340)</f>
        <v>*KEY_ERR</v>
      </c>
      <c r="Y340" s="44" t="str">
        <f ca="1">_xll.DBRW($C$1,$C$2,$C$3,$C$4,$C$6,$C$5,$C$7,Y$1,Y$2,$A340)</f>
        <v>*KEY_ERR</v>
      </c>
      <c r="Z340" s="44" t="str">
        <f ca="1">_xll.DBRW($C$1,$C$2,$C$3,$C$4,$C$6,$C$5,$C$7,Z$1,Z$2,$A340)</f>
        <v>*KEY_ERR</v>
      </c>
      <c r="AA340" s="44" t="str">
        <f ca="1">_xll.DBRW($C$1,$C$2,$C$3,$C$4,$C$6,$C$5,$C$7,AA$1,AA$2,$A340)</f>
        <v>*KEY_ERR</v>
      </c>
      <c r="AB340" s="44" t="str">
        <f ca="1">_xll.DBRW($C$1,$C$2,$C$3,$C$4,$C$6,$C$5,$C$7,AB$1,AB$2,$A340)</f>
        <v>*KEY_ERR</v>
      </c>
      <c r="AC340" s="44" t="str">
        <f ca="1">_xll.DBRW($C$1,$C$2,$C$3,$C$4,$C$6,$C$5,$C$7,AC$1,AC$2,$A340)</f>
        <v>*KEY_ERR</v>
      </c>
      <c r="AD340" s="44" t="str">
        <f ca="1">_xll.DBRW($C$1,$C$2,$C$3,$C$4,$C$6,$C$5,$C$7,AD$1,AD$2,$A340)</f>
        <v>*KEY_ERR</v>
      </c>
      <c r="AE340" s="44" t="str">
        <f ca="1">_xll.DBRW($C$1,$C$2,$C$3,$C$4,$C$6,$C$5,$C$7,AE$1,AE$2,$A340)</f>
        <v>*KEY_ERR</v>
      </c>
      <c r="AF340" s="44" t="str">
        <f ca="1">_xll.DBRW($C$1,$C$2,$C$3,$C$4,$C$6,$C$5,$C$7,AF$1,AF$2,$A340)</f>
        <v>*KEY_ERR</v>
      </c>
      <c r="AG340" s="44" t="str">
        <f ca="1">_xll.DBRW($C$1,$C$2,$C$3,$C$4,$C$6,$C$5,$C$7,AG$1,AG$2,$A340)</f>
        <v>*KEY_ERR</v>
      </c>
      <c r="AH340" s="44" t="str">
        <f ca="1">_xll.DBRW($C$1,$C$2,$C$3,$C$4,$C$6,$C$5,$C$7,AH$1,AH$2,$A340)</f>
        <v>*KEY_ERR</v>
      </c>
      <c r="AI340" s="44" t="str">
        <f ca="1">_xll.DBRW($C$1,$C$2,$C$3,$C$4,$C$6,$C$5,$C$7,AI$1,AI$2,$A340)</f>
        <v>*KEY_ERR</v>
      </c>
      <c r="AJ340" s="44" t="str">
        <f ca="1">_xll.DBRW($C$1,$C$2,$C$3,$C$4,$C$6,$C$5,$C$7,AJ$1,AJ$2,$A340)</f>
        <v>*KEY_ERR</v>
      </c>
      <c r="AK340" s="44" t="str">
        <f ca="1">_xll.DBRW($C$1,$C$2,$C$3,$C$4,$C$6,$C$5,$C$7,AK$1,AK$2,$A340)</f>
        <v>*KEY_ERR</v>
      </c>
      <c r="AL340" s="44" t="str">
        <f ca="1">_xll.DBRW($C$1,$C$2,$C$3,$C$4,$C$6,$C$5,$C$7,AL$1,AL$2,$A340)</f>
        <v>*KEY_ERR</v>
      </c>
      <c r="AM340" s="44" t="str">
        <f ca="1">_xll.DBRW($C$1,$C$2,$C$3,$C$4,$C$6,$C$5,$C$7,AM$1,AM$2,$A340)</f>
        <v>*KEY_ERR</v>
      </c>
      <c r="AN340" s="44" t="str">
        <f ca="1">_xll.DBRW($C$1,$C$2,$C$3,$C$4,$C$6,$C$5,$C$7,AN$1,AN$2,$A340)</f>
        <v>*KEY_ERR</v>
      </c>
      <c r="AO340" s="44" t="str">
        <f ca="1">_xll.DBRW($C$1,$C$2,$C$3,$C$4,$C$6,$C$5,$C$7,AO$1,AO$2,$A340)</f>
        <v>*KEY_ERR</v>
      </c>
      <c r="AP340" s="44" t="str">
        <f ca="1">_xll.DBRW($C$1,$C$2,$C$3,$C$4,$C$6,$C$5,$C$7,AP$1,AP$2,$A340)</f>
        <v>*KEY_ERR</v>
      </c>
      <c r="AQ340" s="44" t="str">
        <f ca="1">_xll.DBRW($C$1,$C$2,$C$3,$C$4,$C$6,$C$5,$C$7,AQ$1,AQ$2,$A340)</f>
        <v>*KEY_ERR</v>
      </c>
      <c r="AR340" s="44" t="str">
        <f ca="1">_xll.DBRW($C$1,$C$2,$C$3,$C$4,$C$6,$C$5,$C$7,AR$1,AR$2,$A340)</f>
        <v>*KEY_ERR</v>
      </c>
      <c r="AS340" s="44" t="str">
        <f ca="1">_xll.DBRW($C$1,$C$2,$C$3,$C$4,$C$6,$C$5,$C$7,AS$1,AS$2,$A340)</f>
        <v>*KEY_ERR</v>
      </c>
      <c r="AT340" s="44" t="str">
        <f ca="1">_xll.DBRW($C$1,$C$2,$C$3,$C$4,$C$6,$C$5,$C$7,AT$1,AT$2,$A340)</f>
        <v>*KEY_ERR</v>
      </c>
      <c r="AU340" s="44" t="str">
        <f ca="1">_xll.DBRW($C$1,$C$2,$C$3,$C$4,$C$6,$C$5,$C$7,AU$1,AU$2,$A340)</f>
        <v>*KEY_ERR</v>
      </c>
      <c r="AV340" s="44" t="str">
        <f ca="1">_xll.DBRW($C$1,$C$2,$C$3,$C$4,$C$6,$C$5,$C$7,AV$1,AV$2,$A340)</f>
        <v>*KEY_ERR</v>
      </c>
      <c r="AW340" s="44" t="str">
        <f ca="1">_xll.DBRW($C$1,$C$2,$C$3,$C$4,$C$6,$C$5,$C$7,AW$1,AW$2,$A340)</f>
        <v>*KEY_ERR</v>
      </c>
      <c r="AX340" s="44" t="str">
        <f ca="1">_xll.DBRW($C$1,$C$2,$C$3,$C$4,$C$6,$C$5,$C$7,AX$1,AX$2,$A340)</f>
        <v>*KEY_ERR</v>
      </c>
      <c r="AY340" s="44" t="str">
        <f ca="1">_xll.DBRW($C$1,$C$2,$C$3,$C$4,$C$6,$C$5,$C$7,AY$1,AY$2,$A340)</f>
        <v>*KEY_ERR</v>
      </c>
    </row>
    <row r="341" spans="1:51" ht="15.5" collapsed="1">
      <c r="A341" s="1" t="s">
        <v>142</v>
      </c>
      <c r="C341" s="104"/>
      <c r="E341" s="15" t="s">
        <v>98</v>
      </c>
      <c r="F341" s="44">
        <f t="shared" ref="F341:X341" ca="1" si="242">SUM(F340)</f>
        <v>0</v>
      </c>
      <c r="G341" s="44">
        <f t="shared" ca="1" si="242"/>
        <v>0</v>
      </c>
      <c r="H341" s="44">
        <f t="shared" ca="1" si="242"/>
        <v>0</v>
      </c>
      <c r="I341" s="44">
        <f t="shared" ca="1" si="242"/>
        <v>0</v>
      </c>
      <c r="J341" s="44">
        <f t="shared" ca="1" si="242"/>
        <v>0</v>
      </c>
      <c r="K341" s="44">
        <f t="shared" ca="1" si="242"/>
        <v>0</v>
      </c>
      <c r="L341" s="44">
        <f t="shared" ca="1" si="242"/>
        <v>0</v>
      </c>
      <c r="M341" s="44">
        <f t="shared" ca="1" si="242"/>
        <v>0</v>
      </c>
      <c r="N341" s="44">
        <f t="shared" ca="1" si="242"/>
        <v>0</v>
      </c>
      <c r="O341" s="44">
        <f t="shared" ca="1" si="242"/>
        <v>0</v>
      </c>
      <c r="P341" s="44">
        <f t="shared" ca="1" si="242"/>
        <v>0</v>
      </c>
      <c r="Q341" s="44">
        <f t="shared" ca="1" si="242"/>
        <v>0</v>
      </c>
      <c r="R341" s="44">
        <f t="shared" ca="1" si="242"/>
        <v>0</v>
      </c>
      <c r="S341" s="44">
        <f t="shared" ca="1" si="242"/>
        <v>0</v>
      </c>
      <c r="T341" s="44">
        <f t="shared" ca="1" si="242"/>
        <v>0</v>
      </c>
      <c r="U341" s="44">
        <f t="shared" ca="1" si="242"/>
        <v>0</v>
      </c>
      <c r="V341" s="44">
        <f t="shared" ca="1" si="242"/>
        <v>0</v>
      </c>
      <c r="W341" s="44">
        <f t="shared" ca="1" si="242"/>
        <v>0</v>
      </c>
      <c r="X341" s="44">
        <f t="shared" ca="1" si="242"/>
        <v>0</v>
      </c>
      <c r="Y341" s="44">
        <f ca="1">SUM(Y340)</f>
        <v>0</v>
      </c>
      <c r="Z341" s="44">
        <f t="shared" ref="Z341:AK341" ca="1" si="243">SUM(Z340)</f>
        <v>0</v>
      </c>
      <c r="AA341" s="44">
        <f t="shared" ca="1" si="243"/>
        <v>0</v>
      </c>
      <c r="AB341" s="44">
        <f t="shared" ca="1" si="243"/>
        <v>0</v>
      </c>
      <c r="AC341" s="44">
        <f t="shared" ca="1" si="243"/>
        <v>0</v>
      </c>
      <c r="AD341" s="44">
        <f t="shared" ca="1" si="243"/>
        <v>0</v>
      </c>
      <c r="AE341" s="44">
        <f t="shared" ca="1" si="243"/>
        <v>0</v>
      </c>
      <c r="AF341" s="44">
        <f t="shared" ca="1" si="243"/>
        <v>0</v>
      </c>
      <c r="AG341" s="44">
        <f t="shared" ca="1" si="243"/>
        <v>0</v>
      </c>
      <c r="AH341" s="44">
        <f t="shared" ca="1" si="243"/>
        <v>0</v>
      </c>
      <c r="AI341" s="44">
        <f t="shared" ca="1" si="243"/>
        <v>0</v>
      </c>
      <c r="AJ341" s="44">
        <f t="shared" ca="1" si="243"/>
        <v>0</v>
      </c>
      <c r="AK341" s="44">
        <f t="shared" ca="1" si="243"/>
        <v>0</v>
      </c>
      <c r="AL341" s="44">
        <f ca="1">SUM(AL340)</f>
        <v>0</v>
      </c>
      <c r="AM341" s="44">
        <f t="shared" ref="AM341:AX341" ca="1" si="244">SUM(AM340)</f>
        <v>0</v>
      </c>
      <c r="AN341" s="44">
        <f t="shared" ca="1" si="244"/>
        <v>0</v>
      </c>
      <c r="AO341" s="44">
        <f t="shared" ca="1" si="244"/>
        <v>0</v>
      </c>
      <c r="AP341" s="44">
        <f t="shared" ca="1" si="244"/>
        <v>0</v>
      </c>
      <c r="AQ341" s="44">
        <f t="shared" ca="1" si="244"/>
        <v>0</v>
      </c>
      <c r="AR341" s="44">
        <f t="shared" ca="1" si="244"/>
        <v>0</v>
      </c>
      <c r="AS341" s="44">
        <f t="shared" ca="1" si="244"/>
        <v>0</v>
      </c>
      <c r="AT341" s="44">
        <f t="shared" ca="1" si="244"/>
        <v>0</v>
      </c>
      <c r="AU341" s="44">
        <f t="shared" ca="1" si="244"/>
        <v>0</v>
      </c>
      <c r="AV341" s="44">
        <f t="shared" ca="1" si="244"/>
        <v>0</v>
      </c>
      <c r="AW341" s="44">
        <f t="shared" ca="1" si="244"/>
        <v>0</v>
      </c>
      <c r="AX341" s="44">
        <f t="shared" ca="1" si="244"/>
        <v>0</v>
      </c>
      <c r="AY341" s="44">
        <f ca="1">SUM(AY340)</f>
        <v>0</v>
      </c>
    </row>
    <row r="342" spans="1:51" ht="15.5" hidden="1" outlineLevel="1">
      <c r="A342" s="1" t="s">
        <v>371</v>
      </c>
      <c r="C342" s="104"/>
      <c r="E342" s="9" t="str">
        <f ca="1">_xll.DBRW(Server&amp;"}ElementAttributes_Indicator",A342,"code_English")</f>
        <v>*KEY_ERR</v>
      </c>
      <c r="F342" s="44" t="str">
        <f ca="1">_xll.DBRW($C$1,$C$2,$C$3,$C$4,$C$6,$C$5,$C$7,F$1,F$2,$A342)</f>
        <v>*KEY_ERR</v>
      </c>
      <c r="G342" s="44" t="str">
        <f ca="1">_xll.DBRW($C$1,$C$2,$C$3,$C$4,$C$6,$C$5,$C$7,G$1,G$2,$A342)</f>
        <v>*KEY_ERR</v>
      </c>
      <c r="H342" s="44" t="str">
        <f ca="1">_xll.DBRW($C$1,$C$2,$C$3,$C$4,$C$6,$C$5,$C$7,H$1,H$2,$A342)</f>
        <v>*KEY_ERR</v>
      </c>
      <c r="I342" s="44" t="str">
        <f ca="1">_xll.DBRW($C$1,$C$2,$C$3,$C$4,$C$6,$C$5,$C$7,I$1,I$2,$A342)</f>
        <v>*KEY_ERR</v>
      </c>
      <c r="J342" s="44" t="str">
        <f ca="1">_xll.DBRW($C$1,$C$2,$C$3,$C$4,$C$6,$C$5,$C$7,J$1,J$2,$A342)</f>
        <v>*KEY_ERR</v>
      </c>
      <c r="K342" s="44" t="str">
        <f ca="1">_xll.DBRW($C$1,$C$2,$C$3,$C$4,$C$6,$C$5,$C$7,K$1,K$2,$A342)</f>
        <v>*KEY_ERR</v>
      </c>
      <c r="L342" s="44" t="str">
        <f ca="1">_xll.DBRW($C$1,$C$2,$C$3,$C$4,$C$6,$C$5,$C$7,L$1,L$2,$A342)</f>
        <v>*KEY_ERR</v>
      </c>
      <c r="M342" s="44" t="str">
        <f ca="1">_xll.DBRW($C$1,$C$2,$C$3,$C$4,$C$6,$C$5,$C$7,M$1,M$2,$A342)</f>
        <v>*KEY_ERR</v>
      </c>
      <c r="N342" s="44" t="str">
        <f ca="1">_xll.DBRW($C$1,$C$2,$C$3,$C$4,$C$6,$C$5,$C$7,N$1,N$2,$A342)</f>
        <v>*KEY_ERR</v>
      </c>
      <c r="O342" s="44" t="str">
        <f ca="1">_xll.DBRW($C$1,$C$2,$C$3,$C$4,$C$6,$C$5,$C$7,O$1,O$2,$A342)</f>
        <v>*KEY_ERR</v>
      </c>
      <c r="P342" s="44" t="str">
        <f ca="1">_xll.DBRW($C$1,$C$2,$C$3,$C$4,$C$6,$C$5,$C$7,P$1,P$2,$A342)</f>
        <v>*KEY_ERR</v>
      </c>
      <c r="Q342" s="44" t="str">
        <f ca="1">_xll.DBRW($C$1,$C$2,$C$3,$C$4,$C$6,$C$5,$C$7,Q$1,Q$2,$A342)</f>
        <v>*KEY_ERR</v>
      </c>
      <c r="R342" s="44" t="str">
        <f ca="1">_xll.DBRW($C$1,$C$2,$C$3,$C$4,$C$6,$C$5,$C$7,R$1,R$2,$A342)</f>
        <v>*KEY_ERR</v>
      </c>
      <c r="S342" s="44" t="str">
        <f ca="1">_xll.DBRW($C$1,$C$2,$C$3,$C$4,$C$6,$C$5,$C$7,S$1,S$2,$A342)</f>
        <v>*KEY_ERR</v>
      </c>
      <c r="T342" s="44" t="str">
        <f ca="1">_xll.DBRW($C$1,$C$2,$C$3,$C$4,$C$6,$C$5,$C$7,T$1,T$2,$A342)</f>
        <v>*KEY_ERR</v>
      </c>
      <c r="U342" s="44" t="str">
        <f ca="1">_xll.DBRW($C$1,$C$2,$C$3,$C$4,$C$6,$C$5,$C$7,U$1,U$2,$A342)</f>
        <v>*KEY_ERR</v>
      </c>
      <c r="V342" s="44" t="str">
        <f ca="1">_xll.DBRW($C$1,$C$2,$C$3,$C$4,$C$6,$C$5,$C$7,V$1,V$2,$A342)</f>
        <v>*KEY_ERR</v>
      </c>
      <c r="W342" s="44" t="str">
        <f ca="1">_xll.DBRW($C$1,$C$2,$C$3,$C$4,$C$6,$C$5,$C$7,W$1,W$2,$A342)</f>
        <v>*KEY_ERR</v>
      </c>
      <c r="X342" s="44" t="str">
        <f ca="1">_xll.DBRW($C$1,$C$2,$C$3,$C$4,$C$6,$C$5,$C$7,X$1,X$2,$A342)</f>
        <v>*KEY_ERR</v>
      </c>
      <c r="Y342" s="44" t="str">
        <f ca="1">_xll.DBRW($C$1,$C$2,$C$3,$C$4,$C$6,$C$5,$C$7,Y$1,Y$2,$A342)</f>
        <v>*KEY_ERR</v>
      </c>
      <c r="Z342" s="44" t="str">
        <f ca="1">_xll.DBRW($C$1,$C$2,$C$3,$C$4,$C$6,$C$5,$C$7,Z$1,Z$2,$A342)</f>
        <v>*KEY_ERR</v>
      </c>
      <c r="AA342" s="44" t="str">
        <f ca="1">_xll.DBRW($C$1,$C$2,$C$3,$C$4,$C$6,$C$5,$C$7,AA$1,AA$2,$A342)</f>
        <v>*KEY_ERR</v>
      </c>
      <c r="AB342" s="44" t="str">
        <f ca="1">_xll.DBRW($C$1,$C$2,$C$3,$C$4,$C$6,$C$5,$C$7,AB$1,AB$2,$A342)</f>
        <v>*KEY_ERR</v>
      </c>
      <c r="AC342" s="44" t="str">
        <f ca="1">_xll.DBRW($C$1,$C$2,$C$3,$C$4,$C$6,$C$5,$C$7,AC$1,AC$2,$A342)</f>
        <v>*KEY_ERR</v>
      </c>
      <c r="AD342" s="44" t="str">
        <f ca="1">_xll.DBRW($C$1,$C$2,$C$3,$C$4,$C$6,$C$5,$C$7,AD$1,AD$2,$A342)</f>
        <v>*KEY_ERR</v>
      </c>
      <c r="AE342" s="44" t="str">
        <f ca="1">_xll.DBRW($C$1,$C$2,$C$3,$C$4,$C$6,$C$5,$C$7,AE$1,AE$2,$A342)</f>
        <v>*KEY_ERR</v>
      </c>
      <c r="AF342" s="44" t="str">
        <f ca="1">_xll.DBRW($C$1,$C$2,$C$3,$C$4,$C$6,$C$5,$C$7,AF$1,AF$2,$A342)</f>
        <v>*KEY_ERR</v>
      </c>
      <c r="AG342" s="44" t="str">
        <f ca="1">_xll.DBRW($C$1,$C$2,$C$3,$C$4,$C$6,$C$5,$C$7,AG$1,AG$2,$A342)</f>
        <v>*KEY_ERR</v>
      </c>
      <c r="AH342" s="44" t="str">
        <f ca="1">_xll.DBRW($C$1,$C$2,$C$3,$C$4,$C$6,$C$5,$C$7,AH$1,AH$2,$A342)</f>
        <v>*KEY_ERR</v>
      </c>
      <c r="AI342" s="44" t="str">
        <f ca="1">_xll.DBRW($C$1,$C$2,$C$3,$C$4,$C$6,$C$5,$C$7,AI$1,AI$2,$A342)</f>
        <v>*KEY_ERR</v>
      </c>
      <c r="AJ342" s="44" t="str">
        <f ca="1">_xll.DBRW($C$1,$C$2,$C$3,$C$4,$C$6,$C$5,$C$7,AJ$1,AJ$2,$A342)</f>
        <v>*KEY_ERR</v>
      </c>
      <c r="AK342" s="44" t="str">
        <f ca="1">_xll.DBRW($C$1,$C$2,$C$3,$C$4,$C$6,$C$5,$C$7,AK$1,AK$2,$A342)</f>
        <v>*KEY_ERR</v>
      </c>
      <c r="AL342" s="44" t="str">
        <f ca="1">_xll.DBRW($C$1,$C$2,$C$3,$C$4,$C$6,$C$5,$C$7,AL$1,AL$2,$A342)</f>
        <v>*KEY_ERR</v>
      </c>
      <c r="AM342" s="44" t="str">
        <f ca="1">_xll.DBRW($C$1,$C$2,$C$3,$C$4,$C$6,$C$5,$C$7,AM$1,AM$2,$A342)</f>
        <v>*KEY_ERR</v>
      </c>
      <c r="AN342" s="44" t="str">
        <f ca="1">_xll.DBRW($C$1,$C$2,$C$3,$C$4,$C$6,$C$5,$C$7,AN$1,AN$2,$A342)</f>
        <v>*KEY_ERR</v>
      </c>
      <c r="AO342" s="44" t="str">
        <f ca="1">_xll.DBRW($C$1,$C$2,$C$3,$C$4,$C$6,$C$5,$C$7,AO$1,AO$2,$A342)</f>
        <v>*KEY_ERR</v>
      </c>
      <c r="AP342" s="44" t="str">
        <f ca="1">_xll.DBRW($C$1,$C$2,$C$3,$C$4,$C$6,$C$5,$C$7,AP$1,AP$2,$A342)</f>
        <v>*KEY_ERR</v>
      </c>
      <c r="AQ342" s="44" t="str">
        <f ca="1">_xll.DBRW($C$1,$C$2,$C$3,$C$4,$C$6,$C$5,$C$7,AQ$1,AQ$2,$A342)</f>
        <v>*KEY_ERR</v>
      </c>
      <c r="AR342" s="44" t="str">
        <f ca="1">_xll.DBRW($C$1,$C$2,$C$3,$C$4,$C$6,$C$5,$C$7,AR$1,AR$2,$A342)</f>
        <v>*KEY_ERR</v>
      </c>
      <c r="AS342" s="44" t="str">
        <f ca="1">_xll.DBRW($C$1,$C$2,$C$3,$C$4,$C$6,$C$5,$C$7,AS$1,AS$2,$A342)</f>
        <v>*KEY_ERR</v>
      </c>
      <c r="AT342" s="44" t="str">
        <f ca="1">_xll.DBRW($C$1,$C$2,$C$3,$C$4,$C$6,$C$5,$C$7,AT$1,AT$2,$A342)</f>
        <v>*KEY_ERR</v>
      </c>
      <c r="AU342" s="44" t="str">
        <f ca="1">_xll.DBRW($C$1,$C$2,$C$3,$C$4,$C$6,$C$5,$C$7,AU$1,AU$2,$A342)</f>
        <v>*KEY_ERR</v>
      </c>
      <c r="AV342" s="44" t="str">
        <f ca="1">_xll.DBRW($C$1,$C$2,$C$3,$C$4,$C$6,$C$5,$C$7,AV$1,AV$2,$A342)</f>
        <v>*KEY_ERR</v>
      </c>
      <c r="AW342" s="44" t="str">
        <f ca="1">_xll.DBRW($C$1,$C$2,$C$3,$C$4,$C$6,$C$5,$C$7,AW$1,AW$2,$A342)</f>
        <v>*KEY_ERR</v>
      </c>
      <c r="AX342" s="44" t="str">
        <f ca="1">_xll.DBRW($C$1,$C$2,$C$3,$C$4,$C$6,$C$5,$C$7,AX$1,AX$2,$A342)</f>
        <v>*KEY_ERR</v>
      </c>
      <c r="AY342" s="44" t="str">
        <f ca="1">_xll.DBRW($C$1,$C$2,$C$3,$C$4,$C$6,$C$5,$C$7,AY$1,AY$2,$A342)</f>
        <v>*KEY_ERR</v>
      </c>
    </row>
    <row r="343" spans="1:51" ht="15.5" collapsed="1">
      <c r="A343" s="1" t="s">
        <v>142</v>
      </c>
      <c r="C343" s="104"/>
      <c r="E343" s="15" t="s">
        <v>99</v>
      </c>
      <c r="F343" s="44">
        <f t="shared" ref="F343:X343" ca="1" si="245">SUM(F342)</f>
        <v>0</v>
      </c>
      <c r="G343" s="44">
        <f t="shared" ca="1" si="245"/>
        <v>0</v>
      </c>
      <c r="H343" s="44">
        <f t="shared" ca="1" si="245"/>
        <v>0</v>
      </c>
      <c r="I343" s="44">
        <f t="shared" ca="1" si="245"/>
        <v>0</v>
      </c>
      <c r="J343" s="44">
        <f t="shared" ca="1" si="245"/>
        <v>0</v>
      </c>
      <c r="K343" s="44">
        <f t="shared" ca="1" si="245"/>
        <v>0</v>
      </c>
      <c r="L343" s="44">
        <f t="shared" ca="1" si="245"/>
        <v>0</v>
      </c>
      <c r="M343" s="44">
        <f t="shared" ca="1" si="245"/>
        <v>0</v>
      </c>
      <c r="N343" s="44">
        <f t="shared" ca="1" si="245"/>
        <v>0</v>
      </c>
      <c r="O343" s="44">
        <f t="shared" ca="1" si="245"/>
        <v>0</v>
      </c>
      <c r="P343" s="44">
        <f t="shared" ca="1" si="245"/>
        <v>0</v>
      </c>
      <c r="Q343" s="44">
        <f t="shared" ca="1" si="245"/>
        <v>0</v>
      </c>
      <c r="R343" s="44">
        <f t="shared" ca="1" si="245"/>
        <v>0</v>
      </c>
      <c r="S343" s="44">
        <f t="shared" ca="1" si="245"/>
        <v>0</v>
      </c>
      <c r="T343" s="44">
        <f t="shared" ca="1" si="245"/>
        <v>0</v>
      </c>
      <c r="U343" s="44">
        <f t="shared" ca="1" si="245"/>
        <v>0</v>
      </c>
      <c r="V343" s="44">
        <f t="shared" ca="1" si="245"/>
        <v>0</v>
      </c>
      <c r="W343" s="44">
        <f t="shared" ca="1" si="245"/>
        <v>0</v>
      </c>
      <c r="X343" s="44">
        <f t="shared" ca="1" si="245"/>
        <v>0</v>
      </c>
      <c r="Y343" s="44">
        <f ca="1">SUM(Y342)</f>
        <v>0</v>
      </c>
      <c r="Z343" s="44">
        <f t="shared" ref="Z343:AK343" ca="1" si="246">SUM(Z342)</f>
        <v>0</v>
      </c>
      <c r="AA343" s="44">
        <f t="shared" ca="1" si="246"/>
        <v>0</v>
      </c>
      <c r="AB343" s="44">
        <f t="shared" ca="1" si="246"/>
        <v>0</v>
      </c>
      <c r="AC343" s="44">
        <f t="shared" ca="1" si="246"/>
        <v>0</v>
      </c>
      <c r="AD343" s="44">
        <f t="shared" ca="1" si="246"/>
        <v>0</v>
      </c>
      <c r="AE343" s="44">
        <f t="shared" ca="1" si="246"/>
        <v>0</v>
      </c>
      <c r="AF343" s="44">
        <f t="shared" ca="1" si="246"/>
        <v>0</v>
      </c>
      <c r="AG343" s="44">
        <f t="shared" ca="1" si="246"/>
        <v>0</v>
      </c>
      <c r="AH343" s="44">
        <f t="shared" ca="1" si="246"/>
        <v>0</v>
      </c>
      <c r="AI343" s="44">
        <f t="shared" ca="1" si="246"/>
        <v>0</v>
      </c>
      <c r="AJ343" s="44">
        <f t="shared" ca="1" si="246"/>
        <v>0</v>
      </c>
      <c r="AK343" s="44">
        <f t="shared" ca="1" si="246"/>
        <v>0</v>
      </c>
      <c r="AL343" s="44">
        <f ca="1">SUM(AL342)</f>
        <v>0</v>
      </c>
      <c r="AM343" s="44">
        <f t="shared" ref="AM343:AX343" ca="1" si="247">SUM(AM342)</f>
        <v>0</v>
      </c>
      <c r="AN343" s="44">
        <f t="shared" ca="1" si="247"/>
        <v>0</v>
      </c>
      <c r="AO343" s="44">
        <f t="shared" ca="1" si="247"/>
        <v>0</v>
      </c>
      <c r="AP343" s="44">
        <f t="shared" ca="1" si="247"/>
        <v>0</v>
      </c>
      <c r="AQ343" s="44">
        <f t="shared" ca="1" si="247"/>
        <v>0</v>
      </c>
      <c r="AR343" s="44">
        <f t="shared" ca="1" si="247"/>
        <v>0</v>
      </c>
      <c r="AS343" s="44">
        <f t="shared" ca="1" si="247"/>
        <v>0</v>
      </c>
      <c r="AT343" s="44">
        <f t="shared" ca="1" si="247"/>
        <v>0</v>
      </c>
      <c r="AU343" s="44">
        <f t="shared" ca="1" si="247"/>
        <v>0</v>
      </c>
      <c r="AV343" s="44">
        <f t="shared" ca="1" si="247"/>
        <v>0</v>
      </c>
      <c r="AW343" s="44">
        <f t="shared" ca="1" si="247"/>
        <v>0</v>
      </c>
      <c r="AX343" s="44">
        <f t="shared" ca="1" si="247"/>
        <v>0</v>
      </c>
      <c r="AY343" s="44">
        <f ca="1">SUM(AY342)</f>
        <v>0</v>
      </c>
    </row>
    <row r="344" spans="1:51" ht="15.5" hidden="1" outlineLevel="1">
      <c r="A344" s="1" t="s">
        <v>372</v>
      </c>
      <c r="C344" s="104"/>
      <c r="E344" s="9" t="str">
        <f ca="1">_xll.DBRW(Server&amp;"}ElementAttributes_Indicator",A344,"code_English")</f>
        <v>*KEY_ERR</v>
      </c>
      <c r="F344" s="44" t="str">
        <f ca="1">_xll.DBRW($C$1,$C$2,$C$3,$C$4,$C$6,$C$5,$C$7,F$1,F$2,$A344)</f>
        <v>*KEY_ERR</v>
      </c>
      <c r="G344" s="44" t="str">
        <f ca="1">_xll.DBRW($C$1,$C$2,$C$3,$C$4,$C$6,$C$5,$C$7,G$1,G$2,$A344)</f>
        <v>*KEY_ERR</v>
      </c>
      <c r="H344" s="44" t="str">
        <f ca="1">_xll.DBRW($C$1,$C$2,$C$3,$C$4,$C$6,$C$5,$C$7,H$1,H$2,$A344)</f>
        <v>*KEY_ERR</v>
      </c>
      <c r="I344" s="44" t="str">
        <f ca="1">_xll.DBRW($C$1,$C$2,$C$3,$C$4,$C$6,$C$5,$C$7,I$1,I$2,$A344)</f>
        <v>*KEY_ERR</v>
      </c>
      <c r="J344" s="44" t="str">
        <f ca="1">_xll.DBRW($C$1,$C$2,$C$3,$C$4,$C$6,$C$5,$C$7,J$1,J$2,$A344)</f>
        <v>*KEY_ERR</v>
      </c>
      <c r="K344" s="44" t="str">
        <f ca="1">_xll.DBRW($C$1,$C$2,$C$3,$C$4,$C$6,$C$5,$C$7,K$1,K$2,$A344)</f>
        <v>*KEY_ERR</v>
      </c>
      <c r="L344" s="44" t="str">
        <f ca="1">_xll.DBRW($C$1,$C$2,$C$3,$C$4,$C$6,$C$5,$C$7,L$1,L$2,$A344)</f>
        <v>*KEY_ERR</v>
      </c>
      <c r="M344" s="44" t="str">
        <f ca="1">_xll.DBRW($C$1,$C$2,$C$3,$C$4,$C$6,$C$5,$C$7,M$1,M$2,$A344)</f>
        <v>*KEY_ERR</v>
      </c>
      <c r="N344" s="44" t="str">
        <f ca="1">_xll.DBRW($C$1,$C$2,$C$3,$C$4,$C$6,$C$5,$C$7,N$1,N$2,$A344)</f>
        <v>*KEY_ERR</v>
      </c>
      <c r="O344" s="44" t="str">
        <f ca="1">_xll.DBRW($C$1,$C$2,$C$3,$C$4,$C$6,$C$5,$C$7,O$1,O$2,$A344)</f>
        <v>*KEY_ERR</v>
      </c>
      <c r="P344" s="44" t="str">
        <f ca="1">_xll.DBRW($C$1,$C$2,$C$3,$C$4,$C$6,$C$5,$C$7,P$1,P$2,$A344)</f>
        <v>*KEY_ERR</v>
      </c>
      <c r="Q344" s="44" t="str">
        <f ca="1">_xll.DBRW($C$1,$C$2,$C$3,$C$4,$C$6,$C$5,$C$7,Q$1,Q$2,$A344)</f>
        <v>*KEY_ERR</v>
      </c>
      <c r="R344" s="44" t="str">
        <f ca="1">_xll.DBRW($C$1,$C$2,$C$3,$C$4,$C$6,$C$5,$C$7,R$1,R$2,$A344)</f>
        <v>*KEY_ERR</v>
      </c>
      <c r="S344" s="44" t="str">
        <f ca="1">_xll.DBRW($C$1,$C$2,$C$3,$C$4,$C$6,$C$5,$C$7,S$1,S$2,$A344)</f>
        <v>*KEY_ERR</v>
      </c>
      <c r="T344" s="44" t="str">
        <f ca="1">_xll.DBRW($C$1,$C$2,$C$3,$C$4,$C$6,$C$5,$C$7,T$1,T$2,$A344)</f>
        <v>*KEY_ERR</v>
      </c>
      <c r="U344" s="44" t="str">
        <f ca="1">_xll.DBRW($C$1,$C$2,$C$3,$C$4,$C$6,$C$5,$C$7,U$1,U$2,$A344)</f>
        <v>*KEY_ERR</v>
      </c>
      <c r="V344" s="44" t="str">
        <f ca="1">_xll.DBRW($C$1,$C$2,$C$3,$C$4,$C$6,$C$5,$C$7,V$1,V$2,$A344)</f>
        <v>*KEY_ERR</v>
      </c>
      <c r="W344" s="44" t="str">
        <f ca="1">_xll.DBRW($C$1,$C$2,$C$3,$C$4,$C$6,$C$5,$C$7,W$1,W$2,$A344)</f>
        <v>*KEY_ERR</v>
      </c>
      <c r="X344" s="44" t="str">
        <f ca="1">_xll.DBRW($C$1,$C$2,$C$3,$C$4,$C$6,$C$5,$C$7,X$1,X$2,$A344)</f>
        <v>*KEY_ERR</v>
      </c>
      <c r="Y344" s="44" t="str">
        <f ca="1">_xll.DBRW($C$1,$C$2,$C$3,$C$4,$C$6,$C$5,$C$7,Y$1,Y$2,$A344)</f>
        <v>*KEY_ERR</v>
      </c>
      <c r="Z344" s="44" t="str">
        <f ca="1">_xll.DBRW($C$1,$C$2,$C$3,$C$4,$C$6,$C$5,$C$7,Z$1,Z$2,$A344)</f>
        <v>*KEY_ERR</v>
      </c>
      <c r="AA344" s="44" t="str">
        <f ca="1">_xll.DBRW($C$1,$C$2,$C$3,$C$4,$C$6,$C$5,$C$7,AA$1,AA$2,$A344)</f>
        <v>*KEY_ERR</v>
      </c>
      <c r="AB344" s="44" t="str">
        <f ca="1">_xll.DBRW($C$1,$C$2,$C$3,$C$4,$C$6,$C$5,$C$7,AB$1,AB$2,$A344)</f>
        <v>*KEY_ERR</v>
      </c>
      <c r="AC344" s="44" t="str">
        <f ca="1">_xll.DBRW($C$1,$C$2,$C$3,$C$4,$C$6,$C$5,$C$7,AC$1,AC$2,$A344)</f>
        <v>*KEY_ERR</v>
      </c>
      <c r="AD344" s="44" t="str">
        <f ca="1">_xll.DBRW($C$1,$C$2,$C$3,$C$4,$C$6,$C$5,$C$7,AD$1,AD$2,$A344)</f>
        <v>*KEY_ERR</v>
      </c>
      <c r="AE344" s="44" t="str">
        <f ca="1">_xll.DBRW($C$1,$C$2,$C$3,$C$4,$C$6,$C$5,$C$7,AE$1,AE$2,$A344)</f>
        <v>*KEY_ERR</v>
      </c>
      <c r="AF344" s="44" t="str">
        <f ca="1">_xll.DBRW($C$1,$C$2,$C$3,$C$4,$C$6,$C$5,$C$7,AF$1,AF$2,$A344)</f>
        <v>*KEY_ERR</v>
      </c>
      <c r="AG344" s="44" t="str">
        <f ca="1">_xll.DBRW($C$1,$C$2,$C$3,$C$4,$C$6,$C$5,$C$7,AG$1,AG$2,$A344)</f>
        <v>*KEY_ERR</v>
      </c>
      <c r="AH344" s="44" t="str">
        <f ca="1">_xll.DBRW($C$1,$C$2,$C$3,$C$4,$C$6,$C$5,$C$7,AH$1,AH$2,$A344)</f>
        <v>*KEY_ERR</v>
      </c>
      <c r="AI344" s="44" t="str">
        <f ca="1">_xll.DBRW($C$1,$C$2,$C$3,$C$4,$C$6,$C$5,$C$7,AI$1,AI$2,$A344)</f>
        <v>*KEY_ERR</v>
      </c>
      <c r="AJ344" s="44" t="str">
        <f ca="1">_xll.DBRW($C$1,$C$2,$C$3,$C$4,$C$6,$C$5,$C$7,AJ$1,AJ$2,$A344)</f>
        <v>*KEY_ERR</v>
      </c>
      <c r="AK344" s="44" t="str">
        <f ca="1">_xll.DBRW($C$1,$C$2,$C$3,$C$4,$C$6,$C$5,$C$7,AK$1,AK$2,$A344)</f>
        <v>*KEY_ERR</v>
      </c>
      <c r="AL344" s="44" t="str">
        <f ca="1">_xll.DBRW($C$1,$C$2,$C$3,$C$4,$C$6,$C$5,$C$7,AL$1,AL$2,$A344)</f>
        <v>*KEY_ERR</v>
      </c>
      <c r="AM344" s="44" t="str">
        <f ca="1">_xll.DBRW($C$1,$C$2,$C$3,$C$4,$C$6,$C$5,$C$7,AM$1,AM$2,$A344)</f>
        <v>*KEY_ERR</v>
      </c>
      <c r="AN344" s="44" t="str">
        <f ca="1">_xll.DBRW($C$1,$C$2,$C$3,$C$4,$C$6,$C$5,$C$7,AN$1,AN$2,$A344)</f>
        <v>*KEY_ERR</v>
      </c>
      <c r="AO344" s="44" t="str">
        <f ca="1">_xll.DBRW($C$1,$C$2,$C$3,$C$4,$C$6,$C$5,$C$7,AO$1,AO$2,$A344)</f>
        <v>*KEY_ERR</v>
      </c>
      <c r="AP344" s="44" t="str">
        <f ca="1">_xll.DBRW($C$1,$C$2,$C$3,$C$4,$C$6,$C$5,$C$7,AP$1,AP$2,$A344)</f>
        <v>*KEY_ERR</v>
      </c>
      <c r="AQ344" s="44" t="str">
        <f ca="1">_xll.DBRW($C$1,$C$2,$C$3,$C$4,$C$6,$C$5,$C$7,AQ$1,AQ$2,$A344)</f>
        <v>*KEY_ERR</v>
      </c>
      <c r="AR344" s="44" t="str">
        <f ca="1">_xll.DBRW($C$1,$C$2,$C$3,$C$4,$C$6,$C$5,$C$7,AR$1,AR$2,$A344)</f>
        <v>*KEY_ERR</v>
      </c>
      <c r="AS344" s="44" t="str">
        <f ca="1">_xll.DBRW($C$1,$C$2,$C$3,$C$4,$C$6,$C$5,$C$7,AS$1,AS$2,$A344)</f>
        <v>*KEY_ERR</v>
      </c>
      <c r="AT344" s="44" t="str">
        <f ca="1">_xll.DBRW($C$1,$C$2,$C$3,$C$4,$C$6,$C$5,$C$7,AT$1,AT$2,$A344)</f>
        <v>*KEY_ERR</v>
      </c>
      <c r="AU344" s="44" t="str">
        <f ca="1">_xll.DBRW($C$1,$C$2,$C$3,$C$4,$C$6,$C$5,$C$7,AU$1,AU$2,$A344)</f>
        <v>*KEY_ERR</v>
      </c>
      <c r="AV344" s="44" t="str">
        <f ca="1">_xll.DBRW($C$1,$C$2,$C$3,$C$4,$C$6,$C$5,$C$7,AV$1,AV$2,$A344)</f>
        <v>*KEY_ERR</v>
      </c>
      <c r="AW344" s="44" t="str">
        <f ca="1">_xll.DBRW($C$1,$C$2,$C$3,$C$4,$C$6,$C$5,$C$7,AW$1,AW$2,$A344)</f>
        <v>*KEY_ERR</v>
      </c>
      <c r="AX344" s="44" t="str">
        <f ca="1">_xll.DBRW($C$1,$C$2,$C$3,$C$4,$C$6,$C$5,$C$7,AX$1,AX$2,$A344)</f>
        <v>*KEY_ERR</v>
      </c>
      <c r="AY344" s="44" t="str">
        <f ca="1">_xll.DBRW($C$1,$C$2,$C$3,$C$4,$C$6,$C$5,$C$7,AY$1,AY$2,$A344)</f>
        <v>*KEY_ERR</v>
      </c>
    </row>
    <row r="345" spans="1:51" ht="15.5" collapsed="1">
      <c r="A345" s="1" t="s">
        <v>142</v>
      </c>
      <c r="C345" s="104"/>
      <c r="E345" s="15" t="s">
        <v>100</v>
      </c>
      <c r="F345" s="44">
        <f t="shared" ref="F345:X345" ca="1" si="248">SUM(F344)</f>
        <v>0</v>
      </c>
      <c r="G345" s="44">
        <f t="shared" ca="1" si="248"/>
        <v>0</v>
      </c>
      <c r="H345" s="44">
        <f t="shared" ca="1" si="248"/>
        <v>0</v>
      </c>
      <c r="I345" s="44">
        <f t="shared" ca="1" si="248"/>
        <v>0</v>
      </c>
      <c r="J345" s="44">
        <f t="shared" ca="1" si="248"/>
        <v>0</v>
      </c>
      <c r="K345" s="44">
        <f t="shared" ca="1" si="248"/>
        <v>0</v>
      </c>
      <c r="L345" s="44">
        <f t="shared" ca="1" si="248"/>
        <v>0</v>
      </c>
      <c r="M345" s="44">
        <f t="shared" ca="1" si="248"/>
        <v>0</v>
      </c>
      <c r="N345" s="44">
        <f t="shared" ca="1" si="248"/>
        <v>0</v>
      </c>
      <c r="O345" s="44">
        <f t="shared" ca="1" si="248"/>
        <v>0</v>
      </c>
      <c r="P345" s="44">
        <f t="shared" ca="1" si="248"/>
        <v>0</v>
      </c>
      <c r="Q345" s="44">
        <f t="shared" ca="1" si="248"/>
        <v>0</v>
      </c>
      <c r="R345" s="44">
        <f t="shared" ca="1" si="248"/>
        <v>0</v>
      </c>
      <c r="S345" s="44">
        <f t="shared" ca="1" si="248"/>
        <v>0</v>
      </c>
      <c r="T345" s="44">
        <f t="shared" ca="1" si="248"/>
        <v>0</v>
      </c>
      <c r="U345" s="44">
        <f t="shared" ca="1" si="248"/>
        <v>0</v>
      </c>
      <c r="V345" s="44">
        <f t="shared" ca="1" si="248"/>
        <v>0</v>
      </c>
      <c r="W345" s="44">
        <f t="shared" ca="1" si="248"/>
        <v>0</v>
      </c>
      <c r="X345" s="44">
        <f t="shared" ca="1" si="248"/>
        <v>0</v>
      </c>
      <c r="Y345" s="44">
        <f ca="1">SUM(Y344)</f>
        <v>0</v>
      </c>
      <c r="Z345" s="44">
        <f t="shared" ref="Z345:AK345" ca="1" si="249">SUM(Z344)</f>
        <v>0</v>
      </c>
      <c r="AA345" s="44">
        <f t="shared" ca="1" si="249"/>
        <v>0</v>
      </c>
      <c r="AB345" s="44">
        <f t="shared" ca="1" si="249"/>
        <v>0</v>
      </c>
      <c r="AC345" s="44">
        <f t="shared" ca="1" si="249"/>
        <v>0</v>
      </c>
      <c r="AD345" s="44">
        <f t="shared" ca="1" si="249"/>
        <v>0</v>
      </c>
      <c r="AE345" s="44">
        <f t="shared" ca="1" si="249"/>
        <v>0</v>
      </c>
      <c r="AF345" s="44">
        <f t="shared" ca="1" si="249"/>
        <v>0</v>
      </c>
      <c r="AG345" s="44">
        <f t="shared" ca="1" si="249"/>
        <v>0</v>
      </c>
      <c r="AH345" s="44">
        <f t="shared" ca="1" si="249"/>
        <v>0</v>
      </c>
      <c r="AI345" s="44">
        <f t="shared" ca="1" si="249"/>
        <v>0</v>
      </c>
      <c r="AJ345" s="44">
        <f t="shared" ca="1" si="249"/>
        <v>0</v>
      </c>
      <c r="AK345" s="44">
        <f t="shared" ca="1" si="249"/>
        <v>0</v>
      </c>
      <c r="AL345" s="44">
        <f ca="1">SUM(AL344)</f>
        <v>0</v>
      </c>
      <c r="AM345" s="44">
        <f t="shared" ref="AM345:AX345" ca="1" si="250">SUM(AM344)</f>
        <v>0</v>
      </c>
      <c r="AN345" s="44">
        <f t="shared" ca="1" si="250"/>
        <v>0</v>
      </c>
      <c r="AO345" s="44">
        <f t="shared" ca="1" si="250"/>
        <v>0</v>
      </c>
      <c r="AP345" s="44">
        <f t="shared" ca="1" si="250"/>
        <v>0</v>
      </c>
      <c r="AQ345" s="44">
        <f t="shared" ca="1" si="250"/>
        <v>0</v>
      </c>
      <c r="AR345" s="44">
        <f t="shared" ca="1" si="250"/>
        <v>0</v>
      </c>
      <c r="AS345" s="44">
        <f t="shared" ca="1" si="250"/>
        <v>0</v>
      </c>
      <c r="AT345" s="44">
        <f t="shared" ca="1" si="250"/>
        <v>0</v>
      </c>
      <c r="AU345" s="44">
        <f t="shared" ca="1" si="250"/>
        <v>0</v>
      </c>
      <c r="AV345" s="44">
        <f t="shared" ca="1" si="250"/>
        <v>0</v>
      </c>
      <c r="AW345" s="44">
        <f t="shared" ca="1" si="250"/>
        <v>0</v>
      </c>
      <c r="AX345" s="44">
        <f t="shared" ca="1" si="250"/>
        <v>0</v>
      </c>
      <c r="AY345" s="44">
        <f ca="1">SUM(AY344)</f>
        <v>0</v>
      </c>
    </row>
    <row r="346" spans="1:51" ht="15.5" hidden="1" outlineLevel="1">
      <c r="A346" s="1" t="s">
        <v>373</v>
      </c>
      <c r="C346" s="104"/>
      <c r="E346" s="9" t="str">
        <f ca="1">_xll.DBRW(Server&amp;"}ElementAttributes_Indicator",A346,"code_English")</f>
        <v>*KEY_ERR</v>
      </c>
      <c r="F346" s="44" t="str">
        <f ca="1">_xll.DBRW($C$1,$C$2,$C$3,$C$4,$C$6,$C$5,$C$7,F$1,F$2,$A346)</f>
        <v>*KEY_ERR</v>
      </c>
      <c r="G346" s="44" t="str">
        <f ca="1">_xll.DBRW($C$1,$C$2,$C$3,$C$4,$C$6,$C$5,$C$7,G$1,G$2,$A346)</f>
        <v>*KEY_ERR</v>
      </c>
      <c r="H346" s="44" t="str">
        <f ca="1">_xll.DBRW($C$1,$C$2,$C$3,$C$4,$C$6,$C$5,$C$7,H$1,H$2,$A346)</f>
        <v>*KEY_ERR</v>
      </c>
      <c r="I346" s="44" t="str">
        <f ca="1">_xll.DBRW($C$1,$C$2,$C$3,$C$4,$C$6,$C$5,$C$7,I$1,I$2,$A346)</f>
        <v>*KEY_ERR</v>
      </c>
      <c r="J346" s="44" t="str">
        <f ca="1">_xll.DBRW($C$1,$C$2,$C$3,$C$4,$C$6,$C$5,$C$7,J$1,J$2,$A346)</f>
        <v>*KEY_ERR</v>
      </c>
      <c r="K346" s="44" t="str">
        <f ca="1">_xll.DBRW($C$1,$C$2,$C$3,$C$4,$C$6,$C$5,$C$7,K$1,K$2,$A346)</f>
        <v>*KEY_ERR</v>
      </c>
      <c r="L346" s="44" t="str">
        <f ca="1">_xll.DBRW($C$1,$C$2,$C$3,$C$4,$C$6,$C$5,$C$7,L$1,L$2,$A346)</f>
        <v>*KEY_ERR</v>
      </c>
      <c r="M346" s="44" t="str">
        <f ca="1">_xll.DBRW($C$1,$C$2,$C$3,$C$4,$C$6,$C$5,$C$7,M$1,M$2,$A346)</f>
        <v>*KEY_ERR</v>
      </c>
      <c r="N346" s="44" t="str">
        <f ca="1">_xll.DBRW($C$1,$C$2,$C$3,$C$4,$C$6,$C$5,$C$7,N$1,N$2,$A346)</f>
        <v>*KEY_ERR</v>
      </c>
      <c r="O346" s="44" t="str">
        <f ca="1">_xll.DBRW($C$1,$C$2,$C$3,$C$4,$C$6,$C$5,$C$7,O$1,O$2,$A346)</f>
        <v>*KEY_ERR</v>
      </c>
      <c r="P346" s="44" t="str">
        <f ca="1">_xll.DBRW($C$1,$C$2,$C$3,$C$4,$C$6,$C$5,$C$7,P$1,P$2,$A346)</f>
        <v>*KEY_ERR</v>
      </c>
      <c r="Q346" s="44" t="str">
        <f ca="1">_xll.DBRW($C$1,$C$2,$C$3,$C$4,$C$6,$C$5,$C$7,Q$1,Q$2,$A346)</f>
        <v>*KEY_ERR</v>
      </c>
      <c r="R346" s="44" t="str">
        <f ca="1">_xll.DBRW($C$1,$C$2,$C$3,$C$4,$C$6,$C$5,$C$7,R$1,R$2,$A346)</f>
        <v>*KEY_ERR</v>
      </c>
      <c r="S346" s="44" t="str">
        <f ca="1">_xll.DBRW($C$1,$C$2,$C$3,$C$4,$C$6,$C$5,$C$7,S$1,S$2,$A346)</f>
        <v>*KEY_ERR</v>
      </c>
      <c r="T346" s="44" t="str">
        <f ca="1">_xll.DBRW($C$1,$C$2,$C$3,$C$4,$C$6,$C$5,$C$7,T$1,T$2,$A346)</f>
        <v>*KEY_ERR</v>
      </c>
      <c r="U346" s="44" t="str">
        <f ca="1">_xll.DBRW($C$1,$C$2,$C$3,$C$4,$C$6,$C$5,$C$7,U$1,U$2,$A346)</f>
        <v>*KEY_ERR</v>
      </c>
      <c r="V346" s="44" t="str">
        <f ca="1">_xll.DBRW($C$1,$C$2,$C$3,$C$4,$C$6,$C$5,$C$7,V$1,V$2,$A346)</f>
        <v>*KEY_ERR</v>
      </c>
      <c r="W346" s="44" t="str">
        <f ca="1">_xll.DBRW($C$1,$C$2,$C$3,$C$4,$C$6,$C$5,$C$7,W$1,W$2,$A346)</f>
        <v>*KEY_ERR</v>
      </c>
      <c r="X346" s="44" t="str">
        <f ca="1">_xll.DBRW($C$1,$C$2,$C$3,$C$4,$C$6,$C$5,$C$7,X$1,X$2,$A346)</f>
        <v>*KEY_ERR</v>
      </c>
      <c r="Y346" s="44" t="str">
        <f ca="1">_xll.DBRW($C$1,$C$2,$C$3,$C$4,$C$6,$C$5,$C$7,Y$1,Y$2,$A346)</f>
        <v>*KEY_ERR</v>
      </c>
      <c r="Z346" s="44" t="str">
        <f ca="1">_xll.DBRW($C$1,$C$2,$C$3,$C$4,$C$6,$C$5,$C$7,Z$1,Z$2,$A346)</f>
        <v>*KEY_ERR</v>
      </c>
      <c r="AA346" s="44" t="str">
        <f ca="1">_xll.DBRW($C$1,$C$2,$C$3,$C$4,$C$6,$C$5,$C$7,AA$1,AA$2,$A346)</f>
        <v>*KEY_ERR</v>
      </c>
      <c r="AB346" s="44" t="str">
        <f ca="1">_xll.DBRW($C$1,$C$2,$C$3,$C$4,$C$6,$C$5,$C$7,AB$1,AB$2,$A346)</f>
        <v>*KEY_ERR</v>
      </c>
      <c r="AC346" s="44" t="str">
        <f ca="1">_xll.DBRW($C$1,$C$2,$C$3,$C$4,$C$6,$C$5,$C$7,AC$1,AC$2,$A346)</f>
        <v>*KEY_ERR</v>
      </c>
      <c r="AD346" s="44" t="str">
        <f ca="1">_xll.DBRW($C$1,$C$2,$C$3,$C$4,$C$6,$C$5,$C$7,AD$1,AD$2,$A346)</f>
        <v>*KEY_ERR</v>
      </c>
      <c r="AE346" s="44" t="str">
        <f ca="1">_xll.DBRW($C$1,$C$2,$C$3,$C$4,$C$6,$C$5,$C$7,AE$1,AE$2,$A346)</f>
        <v>*KEY_ERR</v>
      </c>
      <c r="AF346" s="44" t="str">
        <f ca="1">_xll.DBRW($C$1,$C$2,$C$3,$C$4,$C$6,$C$5,$C$7,AF$1,AF$2,$A346)</f>
        <v>*KEY_ERR</v>
      </c>
      <c r="AG346" s="44" t="str">
        <f ca="1">_xll.DBRW($C$1,$C$2,$C$3,$C$4,$C$6,$C$5,$C$7,AG$1,AG$2,$A346)</f>
        <v>*KEY_ERR</v>
      </c>
      <c r="AH346" s="44" t="str">
        <f ca="1">_xll.DBRW($C$1,$C$2,$C$3,$C$4,$C$6,$C$5,$C$7,AH$1,AH$2,$A346)</f>
        <v>*KEY_ERR</v>
      </c>
      <c r="AI346" s="44" t="str">
        <f ca="1">_xll.DBRW($C$1,$C$2,$C$3,$C$4,$C$6,$C$5,$C$7,AI$1,AI$2,$A346)</f>
        <v>*KEY_ERR</v>
      </c>
      <c r="AJ346" s="44" t="str">
        <f ca="1">_xll.DBRW($C$1,$C$2,$C$3,$C$4,$C$6,$C$5,$C$7,AJ$1,AJ$2,$A346)</f>
        <v>*KEY_ERR</v>
      </c>
      <c r="AK346" s="44" t="str">
        <f ca="1">_xll.DBRW($C$1,$C$2,$C$3,$C$4,$C$6,$C$5,$C$7,AK$1,AK$2,$A346)</f>
        <v>*KEY_ERR</v>
      </c>
      <c r="AL346" s="44" t="str">
        <f ca="1">_xll.DBRW($C$1,$C$2,$C$3,$C$4,$C$6,$C$5,$C$7,AL$1,AL$2,$A346)</f>
        <v>*KEY_ERR</v>
      </c>
      <c r="AM346" s="44" t="str">
        <f ca="1">_xll.DBRW($C$1,$C$2,$C$3,$C$4,$C$6,$C$5,$C$7,AM$1,AM$2,$A346)</f>
        <v>*KEY_ERR</v>
      </c>
      <c r="AN346" s="44" t="str">
        <f ca="1">_xll.DBRW($C$1,$C$2,$C$3,$C$4,$C$6,$C$5,$C$7,AN$1,AN$2,$A346)</f>
        <v>*KEY_ERR</v>
      </c>
      <c r="AO346" s="44" t="str">
        <f ca="1">_xll.DBRW($C$1,$C$2,$C$3,$C$4,$C$6,$C$5,$C$7,AO$1,AO$2,$A346)</f>
        <v>*KEY_ERR</v>
      </c>
      <c r="AP346" s="44" t="str">
        <f ca="1">_xll.DBRW($C$1,$C$2,$C$3,$C$4,$C$6,$C$5,$C$7,AP$1,AP$2,$A346)</f>
        <v>*KEY_ERR</v>
      </c>
      <c r="AQ346" s="44" t="str">
        <f ca="1">_xll.DBRW($C$1,$C$2,$C$3,$C$4,$C$6,$C$5,$C$7,AQ$1,AQ$2,$A346)</f>
        <v>*KEY_ERR</v>
      </c>
      <c r="AR346" s="44" t="str">
        <f ca="1">_xll.DBRW($C$1,$C$2,$C$3,$C$4,$C$6,$C$5,$C$7,AR$1,AR$2,$A346)</f>
        <v>*KEY_ERR</v>
      </c>
      <c r="AS346" s="44" t="str">
        <f ca="1">_xll.DBRW($C$1,$C$2,$C$3,$C$4,$C$6,$C$5,$C$7,AS$1,AS$2,$A346)</f>
        <v>*KEY_ERR</v>
      </c>
      <c r="AT346" s="44" t="str">
        <f ca="1">_xll.DBRW($C$1,$C$2,$C$3,$C$4,$C$6,$C$5,$C$7,AT$1,AT$2,$A346)</f>
        <v>*KEY_ERR</v>
      </c>
      <c r="AU346" s="44" t="str">
        <f ca="1">_xll.DBRW($C$1,$C$2,$C$3,$C$4,$C$6,$C$5,$C$7,AU$1,AU$2,$A346)</f>
        <v>*KEY_ERR</v>
      </c>
      <c r="AV346" s="44" t="str">
        <f ca="1">_xll.DBRW($C$1,$C$2,$C$3,$C$4,$C$6,$C$5,$C$7,AV$1,AV$2,$A346)</f>
        <v>*KEY_ERR</v>
      </c>
      <c r="AW346" s="44" t="str">
        <f ca="1">_xll.DBRW($C$1,$C$2,$C$3,$C$4,$C$6,$C$5,$C$7,AW$1,AW$2,$A346)</f>
        <v>*KEY_ERR</v>
      </c>
      <c r="AX346" s="44" t="str">
        <f ca="1">_xll.DBRW($C$1,$C$2,$C$3,$C$4,$C$6,$C$5,$C$7,AX$1,AX$2,$A346)</f>
        <v>*KEY_ERR</v>
      </c>
      <c r="AY346" s="44" t="str">
        <f ca="1">_xll.DBRW($C$1,$C$2,$C$3,$C$4,$C$6,$C$5,$C$7,AY$1,AY$2,$A346)</f>
        <v>*KEY_ERR</v>
      </c>
    </row>
    <row r="347" spans="1:51" ht="15.5" collapsed="1">
      <c r="A347" s="1" t="s">
        <v>142</v>
      </c>
      <c r="C347" s="104"/>
      <c r="E347" s="15" t="s">
        <v>101</v>
      </c>
      <c r="F347" s="44">
        <f t="shared" ref="F347:X347" ca="1" si="251">SUM(F346)</f>
        <v>0</v>
      </c>
      <c r="G347" s="44">
        <f t="shared" ca="1" si="251"/>
        <v>0</v>
      </c>
      <c r="H347" s="44">
        <f t="shared" ca="1" si="251"/>
        <v>0</v>
      </c>
      <c r="I347" s="44">
        <f t="shared" ca="1" si="251"/>
        <v>0</v>
      </c>
      <c r="J347" s="44">
        <f t="shared" ca="1" si="251"/>
        <v>0</v>
      </c>
      <c r="K347" s="44">
        <f t="shared" ca="1" si="251"/>
        <v>0</v>
      </c>
      <c r="L347" s="44">
        <f t="shared" ca="1" si="251"/>
        <v>0</v>
      </c>
      <c r="M347" s="44">
        <f t="shared" ca="1" si="251"/>
        <v>0</v>
      </c>
      <c r="N347" s="44">
        <f t="shared" ca="1" si="251"/>
        <v>0</v>
      </c>
      <c r="O347" s="44">
        <f t="shared" ca="1" si="251"/>
        <v>0</v>
      </c>
      <c r="P347" s="44">
        <f t="shared" ca="1" si="251"/>
        <v>0</v>
      </c>
      <c r="Q347" s="44">
        <f t="shared" ca="1" si="251"/>
        <v>0</v>
      </c>
      <c r="R347" s="44">
        <f t="shared" ca="1" si="251"/>
        <v>0</v>
      </c>
      <c r="S347" s="44">
        <f t="shared" ca="1" si="251"/>
        <v>0</v>
      </c>
      <c r="T347" s="44">
        <f t="shared" ca="1" si="251"/>
        <v>0</v>
      </c>
      <c r="U347" s="44">
        <f t="shared" ca="1" si="251"/>
        <v>0</v>
      </c>
      <c r="V347" s="44">
        <f t="shared" ca="1" si="251"/>
        <v>0</v>
      </c>
      <c r="W347" s="44">
        <f t="shared" ca="1" si="251"/>
        <v>0</v>
      </c>
      <c r="X347" s="44">
        <f t="shared" ca="1" si="251"/>
        <v>0</v>
      </c>
      <c r="Y347" s="44">
        <f ca="1">SUM(Y346)</f>
        <v>0</v>
      </c>
      <c r="Z347" s="44">
        <f t="shared" ref="Z347:AK347" ca="1" si="252">SUM(Z346)</f>
        <v>0</v>
      </c>
      <c r="AA347" s="44">
        <f t="shared" ca="1" si="252"/>
        <v>0</v>
      </c>
      <c r="AB347" s="44">
        <f t="shared" ca="1" si="252"/>
        <v>0</v>
      </c>
      <c r="AC347" s="44">
        <f t="shared" ca="1" si="252"/>
        <v>0</v>
      </c>
      <c r="AD347" s="44">
        <f t="shared" ca="1" si="252"/>
        <v>0</v>
      </c>
      <c r="AE347" s="44">
        <f t="shared" ca="1" si="252"/>
        <v>0</v>
      </c>
      <c r="AF347" s="44">
        <f t="shared" ca="1" si="252"/>
        <v>0</v>
      </c>
      <c r="AG347" s="44">
        <f t="shared" ca="1" si="252"/>
        <v>0</v>
      </c>
      <c r="AH347" s="44">
        <f t="shared" ca="1" si="252"/>
        <v>0</v>
      </c>
      <c r="AI347" s="44">
        <f t="shared" ca="1" si="252"/>
        <v>0</v>
      </c>
      <c r="AJ347" s="44">
        <f t="shared" ca="1" si="252"/>
        <v>0</v>
      </c>
      <c r="AK347" s="44">
        <f t="shared" ca="1" si="252"/>
        <v>0</v>
      </c>
      <c r="AL347" s="44">
        <f ca="1">SUM(AL346)</f>
        <v>0</v>
      </c>
      <c r="AM347" s="44">
        <f t="shared" ref="AM347:AX347" ca="1" si="253">SUM(AM346)</f>
        <v>0</v>
      </c>
      <c r="AN347" s="44">
        <f t="shared" ca="1" si="253"/>
        <v>0</v>
      </c>
      <c r="AO347" s="44">
        <f t="shared" ca="1" si="253"/>
        <v>0</v>
      </c>
      <c r="AP347" s="44">
        <f t="shared" ca="1" si="253"/>
        <v>0</v>
      </c>
      <c r="AQ347" s="44">
        <f t="shared" ca="1" si="253"/>
        <v>0</v>
      </c>
      <c r="AR347" s="44">
        <f t="shared" ca="1" si="253"/>
        <v>0</v>
      </c>
      <c r="AS347" s="44">
        <f t="shared" ca="1" si="253"/>
        <v>0</v>
      </c>
      <c r="AT347" s="44">
        <f t="shared" ca="1" si="253"/>
        <v>0</v>
      </c>
      <c r="AU347" s="44">
        <f t="shared" ca="1" si="253"/>
        <v>0</v>
      </c>
      <c r="AV347" s="44">
        <f t="shared" ca="1" si="253"/>
        <v>0</v>
      </c>
      <c r="AW347" s="44">
        <f t="shared" ca="1" si="253"/>
        <v>0</v>
      </c>
      <c r="AX347" s="44">
        <f t="shared" ca="1" si="253"/>
        <v>0</v>
      </c>
      <c r="AY347" s="44">
        <f ca="1">SUM(AY346)</f>
        <v>0</v>
      </c>
    </row>
    <row r="348" spans="1:51" ht="15.5" hidden="1" outlineLevel="1">
      <c r="A348" s="1" t="s">
        <v>374</v>
      </c>
      <c r="C348" s="104"/>
      <c r="E348" s="9" t="str">
        <f ca="1">_xll.DBRW(Server&amp;"}ElementAttributes_Indicator",A348,"code_English")</f>
        <v>*KEY_ERR</v>
      </c>
      <c r="F348" s="44" t="str">
        <f ca="1">_xll.DBRW($C$1,$C$2,$C$3,$C$4,$C$6,$C$5,$C$7,F$1,F$2,$A348)</f>
        <v>*KEY_ERR</v>
      </c>
      <c r="G348" s="44" t="str">
        <f ca="1">_xll.DBRW($C$1,$C$2,$C$3,$C$4,$C$6,$C$5,$C$7,G$1,G$2,$A348)</f>
        <v>*KEY_ERR</v>
      </c>
      <c r="H348" s="44" t="str">
        <f ca="1">_xll.DBRW($C$1,$C$2,$C$3,$C$4,$C$6,$C$5,$C$7,H$1,H$2,$A348)</f>
        <v>*KEY_ERR</v>
      </c>
      <c r="I348" s="44" t="str">
        <f ca="1">_xll.DBRW($C$1,$C$2,$C$3,$C$4,$C$6,$C$5,$C$7,I$1,I$2,$A348)</f>
        <v>*KEY_ERR</v>
      </c>
      <c r="J348" s="44" t="str">
        <f ca="1">_xll.DBRW($C$1,$C$2,$C$3,$C$4,$C$6,$C$5,$C$7,J$1,J$2,$A348)</f>
        <v>*KEY_ERR</v>
      </c>
      <c r="K348" s="44" t="str">
        <f ca="1">_xll.DBRW($C$1,$C$2,$C$3,$C$4,$C$6,$C$5,$C$7,K$1,K$2,$A348)</f>
        <v>*KEY_ERR</v>
      </c>
      <c r="L348" s="44" t="str">
        <f ca="1">_xll.DBRW($C$1,$C$2,$C$3,$C$4,$C$6,$C$5,$C$7,L$1,L$2,$A348)</f>
        <v>*KEY_ERR</v>
      </c>
      <c r="M348" s="44" t="str">
        <f ca="1">_xll.DBRW($C$1,$C$2,$C$3,$C$4,$C$6,$C$5,$C$7,M$1,M$2,$A348)</f>
        <v>*KEY_ERR</v>
      </c>
      <c r="N348" s="44" t="str">
        <f ca="1">_xll.DBRW($C$1,$C$2,$C$3,$C$4,$C$6,$C$5,$C$7,N$1,N$2,$A348)</f>
        <v>*KEY_ERR</v>
      </c>
      <c r="O348" s="44" t="str">
        <f ca="1">_xll.DBRW($C$1,$C$2,$C$3,$C$4,$C$6,$C$5,$C$7,O$1,O$2,$A348)</f>
        <v>*KEY_ERR</v>
      </c>
      <c r="P348" s="44" t="str">
        <f ca="1">_xll.DBRW($C$1,$C$2,$C$3,$C$4,$C$6,$C$5,$C$7,P$1,P$2,$A348)</f>
        <v>*KEY_ERR</v>
      </c>
      <c r="Q348" s="44" t="str">
        <f ca="1">_xll.DBRW($C$1,$C$2,$C$3,$C$4,$C$6,$C$5,$C$7,Q$1,Q$2,$A348)</f>
        <v>*KEY_ERR</v>
      </c>
      <c r="R348" s="44" t="str">
        <f ca="1">_xll.DBRW($C$1,$C$2,$C$3,$C$4,$C$6,$C$5,$C$7,R$1,R$2,$A348)</f>
        <v>*KEY_ERR</v>
      </c>
      <c r="S348" s="44" t="str">
        <f ca="1">_xll.DBRW($C$1,$C$2,$C$3,$C$4,$C$6,$C$5,$C$7,S$1,S$2,$A348)</f>
        <v>*KEY_ERR</v>
      </c>
      <c r="T348" s="44" t="str">
        <f ca="1">_xll.DBRW($C$1,$C$2,$C$3,$C$4,$C$6,$C$5,$C$7,T$1,T$2,$A348)</f>
        <v>*KEY_ERR</v>
      </c>
      <c r="U348" s="44" t="str">
        <f ca="1">_xll.DBRW($C$1,$C$2,$C$3,$C$4,$C$6,$C$5,$C$7,U$1,U$2,$A348)</f>
        <v>*KEY_ERR</v>
      </c>
      <c r="V348" s="44" t="str">
        <f ca="1">_xll.DBRW($C$1,$C$2,$C$3,$C$4,$C$6,$C$5,$C$7,V$1,V$2,$A348)</f>
        <v>*KEY_ERR</v>
      </c>
      <c r="W348" s="44" t="str">
        <f ca="1">_xll.DBRW($C$1,$C$2,$C$3,$C$4,$C$6,$C$5,$C$7,W$1,W$2,$A348)</f>
        <v>*KEY_ERR</v>
      </c>
      <c r="X348" s="44" t="str">
        <f ca="1">_xll.DBRW($C$1,$C$2,$C$3,$C$4,$C$6,$C$5,$C$7,X$1,X$2,$A348)</f>
        <v>*KEY_ERR</v>
      </c>
      <c r="Y348" s="44" t="str">
        <f ca="1">_xll.DBRW($C$1,$C$2,$C$3,$C$4,$C$6,$C$5,$C$7,Y$1,Y$2,$A348)</f>
        <v>*KEY_ERR</v>
      </c>
      <c r="Z348" s="44" t="str">
        <f ca="1">_xll.DBRW($C$1,$C$2,$C$3,$C$4,$C$6,$C$5,$C$7,Z$1,Z$2,$A348)</f>
        <v>*KEY_ERR</v>
      </c>
      <c r="AA348" s="44" t="str">
        <f ca="1">_xll.DBRW($C$1,$C$2,$C$3,$C$4,$C$6,$C$5,$C$7,AA$1,AA$2,$A348)</f>
        <v>*KEY_ERR</v>
      </c>
      <c r="AB348" s="44" t="str">
        <f ca="1">_xll.DBRW($C$1,$C$2,$C$3,$C$4,$C$6,$C$5,$C$7,AB$1,AB$2,$A348)</f>
        <v>*KEY_ERR</v>
      </c>
      <c r="AC348" s="44" t="str">
        <f ca="1">_xll.DBRW($C$1,$C$2,$C$3,$C$4,$C$6,$C$5,$C$7,AC$1,AC$2,$A348)</f>
        <v>*KEY_ERR</v>
      </c>
      <c r="AD348" s="44" t="str">
        <f ca="1">_xll.DBRW($C$1,$C$2,$C$3,$C$4,$C$6,$C$5,$C$7,AD$1,AD$2,$A348)</f>
        <v>*KEY_ERR</v>
      </c>
      <c r="AE348" s="44" t="str">
        <f ca="1">_xll.DBRW($C$1,$C$2,$C$3,$C$4,$C$6,$C$5,$C$7,AE$1,AE$2,$A348)</f>
        <v>*KEY_ERR</v>
      </c>
      <c r="AF348" s="44" t="str">
        <f ca="1">_xll.DBRW($C$1,$C$2,$C$3,$C$4,$C$6,$C$5,$C$7,AF$1,AF$2,$A348)</f>
        <v>*KEY_ERR</v>
      </c>
      <c r="AG348" s="44" t="str">
        <f ca="1">_xll.DBRW($C$1,$C$2,$C$3,$C$4,$C$6,$C$5,$C$7,AG$1,AG$2,$A348)</f>
        <v>*KEY_ERR</v>
      </c>
      <c r="AH348" s="44" t="str">
        <f ca="1">_xll.DBRW($C$1,$C$2,$C$3,$C$4,$C$6,$C$5,$C$7,AH$1,AH$2,$A348)</f>
        <v>*KEY_ERR</v>
      </c>
      <c r="AI348" s="44" t="str">
        <f ca="1">_xll.DBRW($C$1,$C$2,$C$3,$C$4,$C$6,$C$5,$C$7,AI$1,AI$2,$A348)</f>
        <v>*KEY_ERR</v>
      </c>
      <c r="AJ348" s="44" t="str">
        <f ca="1">_xll.DBRW($C$1,$C$2,$C$3,$C$4,$C$6,$C$5,$C$7,AJ$1,AJ$2,$A348)</f>
        <v>*KEY_ERR</v>
      </c>
      <c r="AK348" s="44" t="str">
        <f ca="1">_xll.DBRW($C$1,$C$2,$C$3,$C$4,$C$6,$C$5,$C$7,AK$1,AK$2,$A348)</f>
        <v>*KEY_ERR</v>
      </c>
      <c r="AL348" s="44" t="str">
        <f ca="1">_xll.DBRW($C$1,$C$2,$C$3,$C$4,$C$6,$C$5,$C$7,AL$1,AL$2,$A348)</f>
        <v>*KEY_ERR</v>
      </c>
      <c r="AM348" s="44" t="str">
        <f ca="1">_xll.DBRW($C$1,$C$2,$C$3,$C$4,$C$6,$C$5,$C$7,AM$1,AM$2,$A348)</f>
        <v>*KEY_ERR</v>
      </c>
      <c r="AN348" s="44" t="str">
        <f ca="1">_xll.DBRW($C$1,$C$2,$C$3,$C$4,$C$6,$C$5,$C$7,AN$1,AN$2,$A348)</f>
        <v>*KEY_ERR</v>
      </c>
      <c r="AO348" s="44" t="str">
        <f ca="1">_xll.DBRW($C$1,$C$2,$C$3,$C$4,$C$6,$C$5,$C$7,AO$1,AO$2,$A348)</f>
        <v>*KEY_ERR</v>
      </c>
      <c r="AP348" s="44" t="str">
        <f ca="1">_xll.DBRW($C$1,$C$2,$C$3,$C$4,$C$6,$C$5,$C$7,AP$1,AP$2,$A348)</f>
        <v>*KEY_ERR</v>
      </c>
      <c r="AQ348" s="44" t="str">
        <f ca="1">_xll.DBRW($C$1,$C$2,$C$3,$C$4,$C$6,$C$5,$C$7,AQ$1,AQ$2,$A348)</f>
        <v>*KEY_ERR</v>
      </c>
      <c r="AR348" s="44" t="str">
        <f ca="1">_xll.DBRW($C$1,$C$2,$C$3,$C$4,$C$6,$C$5,$C$7,AR$1,AR$2,$A348)</f>
        <v>*KEY_ERR</v>
      </c>
      <c r="AS348" s="44" t="str">
        <f ca="1">_xll.DBRW($C$1,$C$2,$C$3,$C$4,$C$6,$C$5,$C$7,AS$1,AS$2,$A348)</f>
        <v>*KEY_ERR</v>
      </c>
      <c r="AT348" s="44" t="str">
        <f ca="1">_xll.DBRW($C$1,$C$2,$C$3,$C$4,$C$6,$C$5,$C$7,AT$1,AT$2,$A348)</f>
        <v>*KEY_ERR</v>
      </c>
      <c r="AU348" s="44" t="str">
        <f ca="1">_xll.DBRW($C$1,$C$2,$C$3,$C$4,$C$6,$C$5,$C$7,AU$1,AU$2,$A348)</f>
        <v>*KEY_ERR</v>
      </c>
      <c r="AV348" s="44" t="str">
        <f ca="1">_xll.DBRW($C$1,$C$2,$C$3,$C$4,$C$6,$C$5,$C$7,AV$1,AV$2,$A348)</f>
        <v>*KEY_ERR</v>
      </c>
      <c r="AW348" s="44" t="str">
        <f ca="1">_xll.DBRW($C$1,$C$2,$C$3,$C$4,$C$6,$C$5,$C$7,AW$1,AW$2,$A348)</f>
        <v>*KEY_ERR</v>
      </c>
      <c r="AX348" s="44" t="str">
        <f ca="1">_xll.DBRW($C$1,$C$2,$C$3,$C$4,$C$6,$C$5,$C$7,AX$1,AX$2,$A348)</f>
        <v>*KEY_ERR</v>
      </c>
      <c r="AY348" s="44" t="str">
        <f ca="1">_xll.DBRW($C$1,$C$2,$C$3,$C$4,$C$6,$C$5,$C$7,AY$1,AY$2,$A348)</f>
        <v>*KEY_ERR</v>
      </c>
    </row>
    <row r="349" spans="1:51" ht="15.5" collapsed="1">
      <c r="A349" s="1" t="s">
        <v>142</v>
      </c>
      <c r="C349" s="104"/>
      <c r="E349" s="15" t="s">
        <v>102</v>
      </c>
      <c r="F349" s="44">
        <f t="shared" ref="F349:X349" ca="1" si="254">SUM(F348)</f>
        <v>0</v>
      </c>
      <c r="G349" s="44">
        <f t="shared" ca="1" si="254"/>
        <v>0</v>
      </c>
      <c r="H349" s="44">
        <f t="shared" ca="1" si="254"/>
        <v>0</v>
      </c>
      <c r="I349" s="44">
        <f t="shared" ca="1" si="254"/>
        <v>0</v>
      </c>
      <c r="J349" s="44">
        <f t="shared" ca="1" si="254"/>
        <v>0</v>
      </c>
      <c r="K349" s="44">
        <f t="shared" ca="1" si="254"/>
        <v>0</v>
      </c>
      <c r="L349" s="44">
        <f t="shared" ca="1" si="254"/>
        <v>0</v>
      </c>
      <c r="M349" s="44">
        <f t="shared" ca="1" si="254"/>
        <v>0</v>
      </c>
      <c r="N349" s="44">
        <f t="shared" ca="1" si="254"/>
        <v>0</v>
      </c>
      <c r="O349" s="44">
        <f t="shared" ca="1" si="254"/>
        <v>0</v>
      </c>
      <c r="P349" s="44">
        <f t="shared" ca="1" si="254"/>
        <v>0</v>
      </c>
      <c r="Q349" s="44">
        <f t="shared" ca="1" si="254"/>
        <v>0</v>
      </c>
      <c r="R349" s="44">
        <f t="shared" ca="1" si="254"/>
        <v>0</v>
      </c>
      <c r="S349" s="44">
        <f t="shared" ca="1" si="254"/>
        <v>0</v>
      </c>
      <c r="T349" s="44">
        <f t="shared" ca="1" si="254"/>
        <v>0</v>
      </c>
      <c r="U349" s="44">
        <f t="shared" ca="1" si="254"/>
        <v>0</v>
      </c>
      <c r="V349" s="44">
        <f t="shared" ca="1" si="254"/>
        <v>0</v>
      </c>
      <c r="W349" s="44">
        <f t="shared" ca="1" si="254"/>
        <v>0</v>
      </c>
      <c r="X349" s="44">
        <f t="shared" ca="1" si="254"/>
        <v>0</v>
      </c>
      <c r="Y349" s="44">
        <f ca="1">SUM(Y348)</f>
        <v>0</v>
      </c>
      <c r="Z349" s="44">
        <f t="shared" ref="Z349:AK349" ca="1" si="255">SUM(Z348)</f>
        <v>0</v>
      </c>
      <c r="AA349" s="44">
        <f t="shared" ca="1" si="255"/>
        <v>0</v>
      </c>
      <c r="AB349" s="44">
        <f t="shared" ca="1" si="255"/>
        <v>0</v>
      </c>
      <c r="AC349" s="44">
        <f t="shared" ca="1" si="255"/>
        <v>0</v>
      </c>
      <c r="AD349" s="44">
        <f t="shared" ca="1" si="255"/>
        <v>0</v>
      </c>
      <c r="AE349" s="44">
        <f t="shared" ca="1" si="255"/>
        <v>0</v>
      </c>
      <c r="AF349" s="44">
        <f t="shared" ca="1" si="255"/>
        <v>0</v>
      </c>
      <c r="AG349" s="44">
        <f t="shared" ca="1" si="255"/>
        <v>0</v>
      </c>
      <c r="AH349" s="44">
        <f t="shared" ca="1" si="255"/>
        <v>0</v>
      </c>
      <c r="AI349" s="44">
        <f t="shared" ca="1" si="255"/>
        <v>0</v>
      </c>
      <c r="AJ349" s="44">
        <f t="shared" ca="1" si="255"/>
        <v>0</v>
      </c>
      <c r="AK349" s="44">
        <f t="shared" ca="1" si="255"/>
        <v>0</v>
      </c>
      <c r="AL349" s="44">
        <f ca="1">SUM(AL348)</f>
        <v>0</v>
      </c>
      <c r="AM349" s="44">
        <f t="shared" ref="AM349:AX349" ca="1" si="256">SUM(AM348)</f>
        <v>0</v>
      </c>
      <c r="AN349" s="44">
        <f t="shared" ca="1" si="256"/>
        <v>0</v>
      </c>
      <c r="AO349" s="44">
        <f t="shared" ca="1" si="256"/>
        <v>0</v>
      </c>
      <c r="AP349" s="44">
        <f t="shared" ca="1" si="256"/>
        <v>0</v>
      </c>
      <c r="AQ349" s="44">
        <f t="shared" ca="1" si="256"/>
        <v>0</v>
      </c>
      <c r="AR349" s="44">
        <f t="shared" ca="1" si="256"/>
        <v>0</v>
      </c>
      <c r="AS349" s="44">
        <f t="shared" ca="1" si="256"/>
        <v>0</v>
      </c>
      <c r="AT349" s="44">
        <f t="shared" ca="1" si="256"/>
        <v>0</v>
      </c>
      <c r="AU349" s="44">
        <f t="shared" ca="1" si="256"/>
        <v>0</v>
      </c>
      <c r="AV349" s="44">
        <f t="shared" ca="1" si="256"/>
        <v>0</v>
      </c>
      <c r="AW349" s="44">
        <f t="shared" ca="1" si="256"/>
        <v>0</v>
      </c>
      <c r="AX349" s="44">
        <f t="shared" ca="1" si="256"/>
        <v>0</v>
      </c>
      <c r="AY349" s="44">
        <f ca="1">SUM(AY348)</f>
        <v>0</v>
      </c>
    </row>
    <row r="350" spans="1:51" ht="15.75" hidden="1" customHeight="1" outlineLevel="1">
      <c r="A350" s="1" t="s">
        <v>375</v>
      </c>
      <c r="C350" s="104"/>
      <c r="E350" s="9" t="str">
        <f ca="1">_xll.DBRW(Server&amp;"}ElementAttributes_Indicator",A350,"code_English")</f>
        <v>*KEY_ERR</v>
      </c>
      <c r="F350" s="44" t="str">
        <f ca="1">_xll.DBRW($C$1,$C$2,$C$3,$C$4,$C$6,$C$5,$C$7,F$1,F$2,$A350)</f>
        <v>*KEY_ERR</v>
      </c>
      <c r="G350" s="44" t="str">
        <f ca="1">_xll.DBRW($C$1,$C$2,$C$3,$C$4,$C$6,$C$5,$C$7,G$1,G$2,$A350)</f>
        <v>*KEY_ERR</v>
      </c>
      <c r="H350" s="44" t="str">
        <f ca="1">_xll.DBRW($C$1,$C$2,$C$3,$C$4,$C$6,$C$5,$C$7,H$1,H$2,$A350)</f>
        <v>*KEY_ERR</v>
      </c>
      <c r="I350" s="44" t="str">
        <f ca="1">_xll.DBRW($C$1,$C$2,$C$3,$C$4,$C$6,$C$5,$C$7,I$1,I$2,$A350)</f>
        <v>*KEY_ERR</v>
      </c>
      <c r="J350" s="44" t="str">
        <f ca="1">_xll.DBRW($C$1,$C$2,$C$3,$C$4,$C$6,$C$5,$C$7,J$1,J$2,$A350)</f>
        <v>*KEY_ERR</v>
      </c>
      <c r="K350" s="44" t="str">
        <f ca="1">_xll.DBRW($C$1,$C$2,$C$3,$C$4,$C$6,$C$5,$C$7,K$1,K$2,$A350)</f>
        <v>*KEY_ERR</v>
      </c>
      <c r="L350" s="44" t="str">
        <f ca="1">_xll.DBRW($C$1,$C$2,$C$3,$C$4,$C$6,$C$5,$C$7,L$1,L$2,$A350)</f>
        <v>*KEY_ERR</v>
      </c>
      <c r="M350" s="44" t="str">
        <f ca="1">_xll.DBRW($C$1,$C$2,$C$3,$C$4,$C$6,$C$5,$C$7,M$1,M$2,$A350)</f>
        <v>*KEY_ERR</v>
      </c>
      <c r="N350" s="44" t="str">
        <f ca="1">_xll.DBRW($C$1,$C$2,$C$3,$C$4,$C$6,$C$5,$C$7,N$1,N$2,$A350)</f>
        <v>*KEY_ERR</v>
      </c>
      <c r="O350" s="44" t="str">
        <f ca="1">_xll.DBRW($C$1,$C$2,$C$3,$C$4,$C$6,$C$5,$C$7,O$1,O$2,$A350)</f>
        <v>*KEY_ERR</v>
      </c>
      <c r="P350" s="44" t="str">
        <f ca="1">_xll.DBRW($C$1,$C$2,$C$3,$C$4,$C$6,$C$5,$C$7,P$1,P$2,$A350)</f>
        <v>*KEY_ERR</v>
      </c>
      <c r="Q350" s="44" t="str">
        <f ca="1">_xll.DBRW($C$1,$C$2,$C$3,$C$4,$C$6,$C$5,$C$7,Q$1,Q$2,$A350)</f>
        <v>*KEY_ERR</v>
      </c>
      <c r="R350" s="44" t="str">
        <f ca="1">_xll.DBRW($C$1,$C$2,$C$3,$C$4,$C$6,$C$5,$C$7,R$1,R$2,$A350)</f>
        <v>*KEY_ERR</v>
      </c>
      <c r="S350" s="44" t="str">
        <f ca="1">_xll.DBRW($C$1,$C$2,$C$3,$C$4,$C$6,$C$5,$C$7,S$1,S$2,$A350)</f>
        <v>*KEY_ERR</v>
      </c>
      <c r="T350" s="44" t="str">
        <f ca="1">_xll.DBRW($C$1,$C$2,$C$3,$C$4,$C$6,$C$5,$C$7,T$1,T$2,$A350)</f>
        <v>*KEY_ERR</v>
      </c>
      <c r="U350" s="44" t="str">
        <f ca="1">_xll.DBRW($C$1,$C$2,$C$3,$C$4,$C$6,$C$5,$C$7,U$1,U$2,$A350)</f>
        <v>*KEY_ERR</v>
      </c>
      <c r="V350" s="44" t="str">
        <f ca="1">_xll.DBRW($C$1,$C$2,$C$3,$C$4,$C$6,$C$5,$C$7,V$1,V$2,$A350)</f>
        <v>*KEY_ERR</v>
      </c>
      <c r="W350" s="44" t="str">
        <f ca="1">_xll.DBRW($C$1,$C$2,$C$3,$C$4,$C$6,$C$5,$C$7,W$1,W$2,$A350)</f>
        <v>*KEY_ERR</v>
      </c>
      <c r="X350" s="44" t="str">
        <f ca="1">_xll.DBRW($C$1,$C$2,$C$3,$C$4,$C$6,$C$5,$C$7,X$1,X$2,$A350)</f>
        <v>*KEY_ERR</v>
      </c>
      <c r="Y350" s="44" t="str">
        <f ca="1">_xll.DBRW($C$1,$C$2,$C$3,$C$4,$C$6,$C$5,$C$7,Y$1,Y$2,$A350)</f>
        <v>*KEY_ERR</v>
      </c>
      <c r="Z350" s="44" t="str">
        <f ca="1">_xll.DBRW($C$1,$C$2,$C$3,$C$4,$C$6,$C$5,$C$7,Z$1,Z$2,$A350)</f>
        <v>*KEY_ERR</v>
      </c>
      <c r="AA350" s="44" t="str">
        <f ca="1">_xll.DBRW($C$1,$C$2,$C$3,$C$4,$C$6,$C$5,$C$7,AA$1,AA$2,$A350)</f>
        <v>*KEY_ERR</v>
      </c>
      <c r="AB350" s="44" t="str">
        <f ca="1">_xll.DBRW($C$1,$C$2,$C$3,$C$4,$C$6,$C$5,$C$7,AB$1,AB$2,$A350)</f>
        <v>*KEY_ERR</v>
      </c>
      <c r="AC350" s="44" t="str">
        <f ca="1">_xll.DBRW($C$1,$C$2,$C$3,$C$4,$C$6,$C$5,$C$7,AC$1,AC$2,$A350)</f>
        <v>*KEY_ERR</v>
      </c>
      <c r="AD350" s="44" t="str">
        <f ca="1">_xll.DBRW($C$1,$C$2,$C$3,$C$4,$C$6,$C$5,$C$7,AD$1,AD$2,$A350)</f>
        <v>*KEY_ERR</v>
      </c>
      <c r="AE350" s="44" t="str">
        <f ca="1">_xll.DBRW($C$1,$C$2,$C$3,$C$4,$C$6,$C$5,$C$7,AE$1,AE$2,$A350)</f>
        <v>*KEY_ERR</v>
      </c>
      <c r="AF350" s="44" t="str">
        <f ca="1">_xll.DBRW($C$1,$C$2,$C$3,$C$4,$C$6,$C$5,$C$7,AF$1,AF$2,$A350)</f>
        <v>*KEY_ERR</v>
      </c>
      <c r="AG350" s="44" t="str">
        <f ca="1">_xll.DBRW($C$1,$C$2,$C$3,$C$4,$C$6,$C$5,$C$7,AG$1,AG$2,$A350)</f>
        <v>*KEY_ERR</v>
      </c>
      <c r="AH350" s="44" t="str">
        <f ca="1">_xll.DBRW($C$1,$C$2,$C$3,$C$4,$C$6,$C$5,$C$7,AH$1,AH$2,$A350)</f>
        <v>*KEY_ERR</v>
      </c>
      <c r="AI350" s="44" t="str">
        <f ca="1">_xll.DBRW($C$1,$C$2,$C$3,$C$4,$C$6,$C$5,$C$7,AI$1,AI$2,$A350)</f>
        <v>*KEY_ERR</v>
      </c>
      <c r="AJ350" s="44" t="str">
        <f ca="1">_xll.DBRW($C$1,$C$2,$C$3,$C$4,$C$6,$C$5,$C$7,AJ$1,AJ$2,$A350)</f>
        <v>*KEY_ERR</v>
      </c>
      <c r="AK350" s="44" t="str">
        <f ca="1">_xll.DBRW($C$1,$C$2,$C$3,$C$4,$C$6,$C$5,$C$7,AK$1,AK$2,$A350)</f>
        <v>*KEY_ERR</v>
      </c>
      <c r="AL350" s="44" t="str">
        <f ca="1">_xll.DBRW($C$1,$C$2,$C$3,$C$4,$C$6,$C$5,$C$7,AL$1,AL$2,$A350)</f>
        <v>*KEY_ERR</v>
      </c>
      <c r="AM350" s="44" t="str">
        <f ca="1">_xll.DBRW($C$1,$C$2,$C$3,$C$4,$C$6,$C$5,$C$7,AM$1,AM$2,$A350)</f>
        <v>*KEY_ERR</v>
      </c>
      <c r="AN350" s="44" t="str">
        <f ca="1">_xll.DBRW($C$1,$C$2,$C$3,$C$4,$C$6,$C$5,$C$7,AN$1,AN$2,$A350)</f>
        <v>*KEY_ERR</v>
      </c>
      <c r="AO350" s="44" t="str">
        <f ca="1">_xll.DBRW($C$1,$C$2,$C$3,$C$4,$C$6,$C$5,$C$7,AO$1,AO$2,$A350)</f>
        <v>*KEY_ERR</v>
      </c>
      <c r="AP350" s="44" t="str">
        <f ca="1">_xll.DBRW($C$1,$C$2,$C$3,$C$4,$C$6,$C$5,$C$7,AP$1,AP$2,$A350)</f>
        <v>*KEY_ERR</v>
      </c>
      <c r="AQ350" s="44" t="str">
        <f ca="1">_xll.DBRW($C$1,$C$2,$C$3,$C$4,$C$6,$C$5,$C$7,AQ$1,AQ$2,$A350)</f>
        <v>*KEY_ERR</v>
      </c>
      <c r="AR350" s="44" t="str">
        <f ca="1">_xll.DBRW($C$1,$C$2,$C$3,$C$4,$C$6,$C$5,$C$7,AR$1,AR$2,$A350)</f>
        <v>*KEY_ERR</v>
      </c>
      <c r="AS350" s="44" t="str">
        <f ca="1">_xll.DBRW($C$1,$C$2,$C$3,$C$4,$C$6,$C$5,$C$7,AS$1,AS$2,$A350)</f>
        <v>*KEY_ERR</v>
      </c>
      <c r="AT350" s="44" t="str">
        <f ca="1">_xll.DBRW($C$1,$C$2,$C$3,$C$4,$C$6,$C$5,$C$7,AT$1,AT$2,$A350)</f>
        <v>*KEY_ERR</v>
      </c>
      <c r="AU350" s="44" t="str">
        <f ca="1">_xll.DBRW($C$1,$C$2,$C$3,$C$4,$C$6,$C$5,$C$7,AU$1,AU$2,$A350)</f>
        <v>*KEY_ERR</v>
      </c>
      <c r="AV350" s="44" t="str">
        <f ca="1">_xll.DBRW($C$1,$C$2,$C$3,$C$4,$C$6,$C$5,$C$7,AV$1,AV$2,$A350)</f>
        <v>*KEY_ERR</v>
      </c>
      <c r="AW350" s="44" t="str">
        <f ca="1">_xll.DBRW($C$1,$C$2,$C$3,$C$4,$C$6,$C$5,$C$7,AW$1,AW$2,$A350)</f>
        <v>*KEY_ERR</v>
      </c>
      <c r="AX350" s="44" t="str">
        <f ca="1">_xll.DBRW($C$1,$C$2,$C$3,$C$4,$C$6,$C$5,$C$7,AX$1,AX$2,$A350)</f>
        <v>*KEY_ERR</v>
      </c>
      <c r="AY350" s="44" t="str">
        <f ca="1">_xll.DBRW($C$1,$C$2,$C$3,$C$4,$C$6,$C$5,$C$7,AY$1,AY$2,$A350)</f>
        <v>*KEY_ERR</v>
      </c>
    </row>
    <row r="351" spans="1:51" ht="15.5" collapsed="1">
      <c r="A351" s="1" t="s">
        <v>142</v>
      </c>
      <c r="C351" s="104"/>
      <c r="E351" s="18" t="s">
        <v>103</v>
      </c>
      <c r="F351" s="44">
        <f t="shared" ref="F351:X351" ca="1" si="257">SUM(F350)</f>
        <v>0</v>
      </c>
      <c r="G351" s="44">
        <f t="shared" ca="1" si="257"/>
        <v>0</v>
      </c>
      <c r="H351" s="44">
        <f t="shared" ca="1" si="257"/>
        <v>0</v>
      </c>
      <c r="I351" s="44">
        <f t="shared" ca="1" si="257"/>
        <v>0</v>
      </c>
      <c r="J351" s="44">
        <f t="shared" ca="1" si="257"/>
        <v>0</v>
      </c>
      <c r="K351" s="44">
        <f t="shared" ca="1" si="257"/>
        <v>0</v>
      </c>
      <c r="L351" s="44">
        <f t="shared" ca="1" si="257"/>
        <v>0</v>
      </c>
      <c r="M351" s="44">
        <f t="shared" ca="1" si="257"/>
        <v>0</v>
      </c>
      <c r="N351" s="44">
        <f t="shared" ca="1" si="257"/>
        <v>0</v>
      </c>
      <c r="O351" s="44">
        <f t="shared" ca="1" si="257"/>
        <v>0</v>
      </c>
      <c r="P351" s="44">
        <f t="shared" ca="1" si="257"/>
        <v>0</v>
      </c>
      <c r="Q351" s="44">
        <f t="shared" ca="1" si="257"/>
        <v>0</v>
      </c>
      <c r="R351" s="44">
        <f t="shared" ca="1" si="257"/>
        <v>0</v>
      </c>
      <c r="S351" s="44">
        <f t="shared" ca="1" si="257"/>
        <v>0</v>
      </c>
      <c r="T351" s="44">
        <f t="shared" ca="1" si="257"/>
        <v>0</v>
      </c>
      <c r="U351" s="44">
        <f t="shared" ca="1" si="257"/>
        <v>0</v>
      </c>
      <c r="V351" s="44">
        <f t="shared" ca="1" si="257"/>
        <v>0</v>
      </c>
      <c r="W351" s="44">
        <f t="shared" ca="1" si="257"/>
        <v>0</v>
      </c>
      <c r="X351" s="44">
        <f t="shared" ca="1" si="257"/>
        <v>0</v>
      </c>
      <c r="Y351" s="44">
        <f ca="1">SUM(Y350)</f>
        <v>0</v>
      </c>
      <c r="Z351" s="44">
        <f t="shared" ref="Z351:AK351" ca="1" si="258">SUM(Z350)</f>
        <v>0</v>
      </c>
      <c r="AA351" s="44">
        <f t="shared" ca="1" si="258"/>
        <v>0</v>
      </c>
      <c r="AB351" s="44">
        <f t="shared" ca="1" si="258"/>
        <v>0</v>
      </c>
      <c r="AC351" s="44">
        <f t="shared" ca="1" si="258"/>
        <v>0</v>
      </c>
      <c r="AD351" s="44">
        <f t="shared" ca="1" si="258"/>
        <v>0</v>
      </c>
      <c r="AE351" s="44">
        <f t="shared" ca="1" si="258"/>
        <v>0</v>
      </c>
      <c r="AF351" s="44">
        <f t="shared" ca="1" si="258"/>
        <v>0</v>
      </c>
      <c r="AG351" s="44">
        <f t="shared" ca="1" si="258"/>
        <v>0</v>
      </c>
      <c r="AH351" s="44">
        <f t="shared" ca="1" si="258"/>
        <v>0</v>
      </c>
      <c r="AI351" s="44">
        <f t="shared" ca="1" si="258"/>
        <v>0</v>
      </c>
      <c r="AJ351" s="44">
        <f t="shared" ca="1" si="258"/>
        <v>0</v>
      </c>
      <c r="AK351" s="44">
        <f t="shared" ca="1" si="258"/>
        <v>0</v>
      </c>
      <c r="AL351" s="44">
        <f ca="1">SUM(AL350)</f>
        <v>0</v>
      </c>
      <c r="AM351" s="44">
        <f t="shared" ref="AM351:AX351" ca="1" si="259">SUM(AM350)</f>
        <v>0</v>
      </c>
      <c r="AN351" s="44">
        <f t="shared" ca="1" si="259"/>
        <v>0</v>
      </c>
      <c r="AO351" s="44">
        <f t="shared" ca="1" si="259"/>
        <v>0</v>
      </c>
      <c r="AP351" s="44">
        <f t="shared" ca="1" si="259"/>
        <v>0</v>
      </c>
      <c r="AQ351" s="44">
        <f t="shared" ca="1" si="259"/>
        <v>0</v>
      </c>
      <c r="AR351" s="44">
        <f t="shared" ca="1" si="259"/>
        <v>0</v>
      </c>
      <c r="AS351" s="44">
        <f t="shared" ca="1" si="259"/>
        <v>0</v>
      </c>
      <c r="AT351" s="44">
        <f t="shared" ca="1" si="259"/>
        <v>0</v>
      </c>
      <c r="AU351" s="44">
        <f t="shared" ca="1" si="259"/>
        <v>0</v>
      </c>
      <c r="AV351" s="44">
        <f t="shared" ca="1" si="259"/>
        <v>0</v>
      </c>
      <c r="AW351" s="44">
        <f t="shared" ca="1" si="259"/>
        <v>0</v>
      </c>
      <c r="AX351" s="44">
        <f t="shared" ca="1" si="259"/>
        <v>0</v>
      </c>
      <c r="AY351" s="44">
        <f ca="1">SUM(AY350)</f>
        <v>0</v>
      </c>
    </row>
    <row r="352" spans="1:51" ht="9" customHeight="1">
      <c r="A352" s="1" t="s">
        <v>142</v>
      </c>
      <c r="C352" s="104"/>
      <c r="E352" s="7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</row>
    <row r="353" spans="1:51" ht="15.75" hidden="1" customHeight="1" outlineLevel="1">
      <c r="A353" s="1" t="s">
        <v>376</v>
      </c>
      <c r="C353" s="104"/>
      <c r="E353" s="9" t="str">
        <f ca="1">_xll.DBRW(Server&amp;"}ElementAttributes_Indicator",A353,"code_English")</f>
        <v>*KEY_ERR</v>
      </c>
      <c r="F353" s="10" t="str">
        <f ca="1">_xll.DBRW($C$1,$C$2,$C$3,$C$4,$C$6,$C$5,$C$7,F$1,F$2,$A353)</f>
        <v>*KEY_ERR</v>
      </c>
      <c r="G353" s="10" t="str">
        <f ca="1">_xll.DBRW($C$1,$C$2,$C$3,$C$4,$C$6,$C$5,$C$7,G$1,G$2,$A353)</f>
        <v>*KEY_ERR</v>
      </c>
      <c r="H353" s="10" t="str">
        <f ca="1">_xll.DBRW($C$1,$C$2,$C$3,$C$4,$C$6,$C$5,$C$7,H$1,H$2,$A353)</f>
        <v>*KEY_ERR</v>
      </c>
      <c r="I353" s="10" t="str">
        <f ca="1">_xll.DBRW($C$1,$C$2,$C$3,$C$4,$C$6,$C$5,$C$7,I$1,I$2,$A353)</f>
        <v>*KEY_ERR</v>
      </c>
      <c r="J353" s="10" t="str">
        <f ca="1">_xll.DBRW($C$1,$C$2,$C$3,$C$4,$C$6,$C$5,$C$7,J$1,J$2,$A353)</f>
        <v>*KEY_ERR</v>
      </c>
      <c r="K353" s="10" t="str">
        <f ca="1">_xll.DBRW($C$1,$C$2,$C$3,$C$4,$C$6,$C$5,$C$7,K$1,K$2,$A353)</f>
        <v>*KEY_ERR</v>
      </c>
      <c r="L353" s="10" t="str">
        <f ca="1">_xll.DBRW($C$1,$C$2,$C$3,$C$4,$C$6,$C$5,$C$7,L$1,L$2,$A353)</f>
        <v>*KEY_ERR</v>
      </c>
      <c r="M353" s="10" t="str">
        <f ca="1">_xll.DBRW($C$1,$C$2,$C$3,$C$4,$C$6,$C$5,$C$7,M$1,M$2,$A353)</f>
        <v>*KEY_ERR</v>
      </c>
      <c r="N353" s="10" t="str">
        <f ca="1">_xll.DBRW($C$1,$C$2,$C$3,$C$4,$C$6,$C$5,$C$7,N$1,N$2,$A353)</f>
        <v>*KEY_ERR</v>
      </c>
      <c r="O353" s="10" t="str">
        <f ca="1">_xll.DBRW($C$1,$C$2,$C$3,$C$4,$C$6,$C$5,$C$7,O$1,O$2,$A353)</f>
        <v>*KEY_ERR</v>
      </c>
      <c r="P353" s="10" t="str">
        <f ca="1">_xll.DBRW($C$1,$C$2,$C$3,$C$4,$C$6,$C$5,$C$7,P$1,P$2,$A353)</f>
        <v>*KEY_ERR</v>
      </c>
      <c r="Q353" s="10" t="str">
        <f ca="1">_xll.DBRW($C$1,$C$2,$C$3,$C$4,$C$6,$C$5,$C$7,Q$1,Q$2,$A353)</f>
        <v>*KEY_ERR</v>
      </c>
      <c r="R353" s="10" t="str">
        <f ca="1">_xll.DBRW($C$1,$C$2,$C$3,$C$4,$C$6,$C$5,$C$7,R$1,R$2,$A353)</f>
        <v>*KEY_ERR</v>
      </c>
      <c r="S353" s="10" t="str">
        <f ca="1">_xll.DBRW($C$1,$C$2,$C$3,$C$4,$C$6,$C$5,$C$7,S$1,S$2,$A353)</f>
        <v>*KEY_ERR</v>
      </c>
      <c r="T353" s="10" t="str">
        <f ca="1">_xll.DBRW($C$1,$C$2,$C$3,$C$4,$C$6,$C$5,$C$7,T$1,T$2,$A353)</f>
        <v>*KEY_ERR</v>
      </c>
      <c r="U353" s="10" t="str">
        <f ca="1">_xll.DBRW($C$1,$C$2,$C$3,$C$4,$C$6,$C$5,$C$7,U$1,U$2,$A353)</f>
        <v>*KEY_ERR</v>
      </c>
      <c r="V353" s="10" t="str">
        <f ca="1">_xll.DBRW($C$1,$C$2,$C$3,$C$4,$C$6,$C$5,$C$7,V$1,V$2,$A353)</f>
        <v>*KEY_ERR</v>
      </c>
      <c r="W353" s="10" t="str">
        <f ca="1">_xll.DBRW($C$1,$C$2,$C$3,$C$4,$C$6,$C$5,$C$7,W$1,W$2,$A353)</f>
        <v>*KEY_ERR</v>
      </c>
      <c r="X353" s="10" t="str">
        <f ca="1">_xll.DBRW($C$1,$C$2,$C$3,$C$4,$C$6,$C$5,$C$7,X$1,X$2,$A353)</f>
        <v>*KEY_ERR</v>
      </c>
      <c r="Y353" s="10" t="str">
        <f ca="1">_xll.DBRW($C$1,$C$2,$C$3,$C$4,$C$6,$C$5,$C$7,Y$1,Y$2,$A353)</f>
        <v>*KEY_ERR</v>
      </c>
      <c r="Z353" s="10" t="str">
        <f ca="1">_xll.DBRW($C$1,$C$2,$C$3,$C$4,$C$6,$C$5,$C$7,Z$1,Z$2,$A353)</f>
        <v>*KEY_ERR</v>
      </c>
      <c r="AA353" s="10" t="str">
        <f ca="1">_xll.DBRW($C$1,$C$2,$C$3,$C$4,$C$6,$C$5,$C$7,AA$1,AA$2,$A353)</f>
        <v>*KEY_ERR</v>
      </c>
      <c r="AB353" s="10" t="str">
        <f ca="1">_xll.DBRW($C$1,$C$2,$C$3,$C$4,$C$6,$C$5,$C$7,AB$1,AB$2,$A353)</f>
        <v>*KEY_ERR</v>
      </c>
      <c r="AC353" s="10" t="str">
        <f ca="1">_xll.DBRW($C$1,$C$2,$C$3,$C$4,$C$6,$C$5,$C$7,AC$1,AC$2,$A353)</f>
        <v>*KEY_ERR</v>
      </c>
      <c r="AD353" s="10" t="str">
        <f ca="1">_xll.DBRW($C$1,$C$2,$C$3,$C$4,$C$6,$C$5,$C$7,AD$1,AD$2,$A353)</f>
        <v>*KEY_ERR</v>
      </c>
      <c r="AE353" s="10" t="str">
        <f ca="1">_xll.DBRW($C$1,$C$2,$C$3,$C$4,$C$6,$C$5,$C$7,AE$1,AE$2,$A353)</f>
        <v>*KEY_ERR</v>
      </c>
      <c r="AF353" s="10" t="str">
        <f ca="1">_xll.DBRW($C$1,$C$2,$C$3,$C$4,$C$6,$C$5,$C$7,AF$1,AF$2,$A353)</f>
        <v>*KEY_ERR</v>
      </c>
      <c r="AG353" s="10" t="str">
        <f ca="1">_xll.DBRW($C$1,$C$2,$C$3,$C$4,$C$6,$C$5,$C$7,AG$1,AG$2,$A353)</f>
        <v>*KEY_ERR</v>
      </c>
      <c r="AH353" s="10" t="str">
        <f ca="1">_xll.DBRW($C$1,$C$2,$C$3,$C$4,$C$6,$C$5,$C$7,AH$1,AH$2,$A353)</f>
        <v>*KEY_ERR</v>
      </c>
      <c r="AI353" s="10" t="str">
        <f ca="1">_xll.DBRW($C$1,$C$2,$C$3,$C$4,$C$6,$C$5,$C$7,AI$1,AI$2,$A353)</f>
        <v>*KEY_ERR</v>
      </c>
      <c r="AJ353" s="10" t="str">
        <f ca="1">_xll.DBRW($C$1,$C$2,$C$3,$C$4,$C$6,$C$5,$C$7,AJ$1,AJ$2,$A353)</f>
        <v>*KEY_ERR</v>
      </c>
      <c r="AK353" s="10" t="str">
        <f ca="1">_xll.DBRW($C$1,$C$2,$C$3,$C$4,$C$6,$C$5,$C$7,AK$1,AK$2,$A353)</f>
        <v>*KEY_ERR</v>
      </c>
      <c r="AL353" s="10" t="str">
        <f ca="1">_xll.DBRW($C$1,$C$2,$C$3,$C$4,$C$6,$C$5,$C$7,AL$1,AL$2,$A353)</f>
        <v>*KEY_ERR</v>
      </c>
      <c r="AM353" s="10" t="str">
        <f ca="1">_xll.DBRW($C$1,$C$2,$C$3,$C$4,$C$6,$C$5,$C$7,AM$1,AM$2,$A353)</f>
        <v>*KEY_ERR</v>
      </c>
      <c r="AN353" s="10" t="str">
        <f ca="1">_xll.DBRW($C$1,$C$2,$C$3,$C$4,$C$6,$C$5,$C$7,AN$1,AN$2,$A353)</f>
        <v>*KEY_ERR</v>
      </c>
      <c r="AO353" s="10" t="str">
        <f ca="1">_xll.DBRW($C$1,$C$2,$C$3,$C$4,$C$6,$C$5,$C$7,AO$1,AO$2,$A353)</f>
        <v>*KEY_ERR</v>
      </c>
      <c r="AP353" s="10" t="str">
        <f ca="1">_xll.DBRW($C$1,$C$2,$C$3,$C$4,$C$6,$C$5,$C$7,AP$1,AP$2,$A353)</f>
        <v>*KEY_ERR</v>
      </c>
      <c r="AQ353" s="10" t="str">
        <f ca="1">_xll.DBRW($C$1,$C$2,$C$3,$C$4,$C$6,$C$5,$C$7,AQ$1,AQ$2,$A353)</f>
        <v>*KEY_ERR</v>
      </c>
      <c r="AR353" s="10" t="str">
        <f ca="1">_xll.DBRW($C$1,$C$2,$C$3,$C$4,$C$6,$C$5,$C$7,AR$1,AR$2,$A353)</f>
        <v>*KEY_ERR</v>
      </c>
      <c r="AS353" s="10" t="str">
        <f ca="1">_xll.DBRW($C$1,$C$2,$C$3,$C$4,$C$6,$C$5,$C$7,AS$1,AS$2,$A353)</f>
        <v>*KEY_ERR</v>
      </c>
      <c r="AT353" s="10" t="str">
        <f ca="1">_xll.DBRW($C$1,$C$2,$C$3,$C$4,$C$6,$C$5,$C$7,AT$1,AT$2,$A353)</f>
        <v>*KEY_ERR</v>
      </c>
      <c r="AU353" s="10" t="str">
        <f ca="1">_xll.DBRW($C$1,$C$2,$C$3,$C$4,$C$6,$C$5,$C$7,AU$1,AU$2,$A353)</f>
        <v>*KEY_ERR</v>
      </c>
      <c r="AV353" s="10" t="str">
        <f ca="1">_xll.DBRW($C$1,$C$2,$C$3,$C$4,$C$6,$C$5,$C$7,AV$1,AV$2,$A353)</f>
        <v>*KEY_ERR</v>
      </c>
      <c r="AW353" s="10" t="str">
        <f ca="1">_xll.DBRW($C$1,$C$2,$C$3,$C$4,$C$6,$C$5,$C$7,AW$1,AW$2,$A353)</f>
        <v>*KEY_ERR</v>
      </c>
      <c r="AX353" s="10" t="str">
        <f ca="1">_xll.DBRW($C$1,$C$2,$C$3,$C$4,$C$6,$C$5,$C$7,AX$1,AX$2,$A353)</f>
        <v>*KEY_ERR</v>
      </c>
      <c r="AY353" s="10" t="str">
        <f ca="1">_xll.DBRW($C$1,$C$2,$C$3,$C$4,$C$6,$C$5,$C$7,AY$1,AY$2,$A353)</f>
        <v>*KEY_ERR</v>
      </c>
    </row>
    <row r="354" spans="1:51" ht="15.5" collapsed="1">
      <c r="A354" s="1" t="s">
        <v>142</v>
      </c>
      <c r="C354" s="104"/>
      <c r="E354" s="17" t="s">
        <v>104</v>
      </c>
      <c r="F354" s="43">
        <f t="shared" ref="F354:M354" ca="1" si="260">SUM(F353)</f>
        <v>0</v>
      </c>
      <c r="G354" s="43">
        <f t="shared" ca="1" si="260"/>
        <v>0</v>
      </c>
      <c r="H354" s="43">
        <f t="shared" ca="1" si="260"/>
        <v>0</v>
      </c>
      <c r="I354" s="43">
        <f t="shared" ca="1" si="260"/>
        <v>0</v>
      </c>
      <c r="J354" s="43">
        <f t="shared" ca="1" si="260"/>
        <v>0</v>
      </c>
      <c r="K354" s="43">
        <f t="shared" ca="1" si="260"/>
        <v>0</v>
      </c>
      <c r="L354" s="43">
        <f t="shared" ca="1" si="260"/>
        <v>0</v>
      </c>
      <c r="M354" s="43">
        <f t="shared" ca="1" si="260"/>
        <v>0</v>
      </c>
      <c r="N354" s="43">
        <f t="shared" ref="N354:X354" ca="1" si="261">SUM(N353)</f>
        <v>0</v>
      </c>
      <c r="O354" s="43">
        <f t="shared" ca="1" si="261"/>
        <v>0</v>
      </c>
      <c r="P354" s="43">
        <f t="shared" ca="1" si="261"/>
        <v>0</v>
      </c>
      <c r="Q354" s="43">
        <f t="shared" ca="1" si="261"/>
        <v>0</v>
      </c>
      <c r="R354" s="43">
        <f t="shared" ca="1" si="261"/>
        <v>0</v>
      </c>
      <c r="S354" s="43">
        <f t="shared" ca="1" si="261"/>
        <v>0</v>
      </c>
      <c r="T354" s="43">
        <f t="shared" ca="1" si="261"/>
        <v>0</v>
      </c>
      <c r="U354" s="43">
        <f t="shared" ca="1" si="261"/>
        <v>0</v>
      </c>
      <c r="V354" s="43">
        <f t="shared" ca="1" si="261"/>
        <v>0</v>
      </c>
      <c r="W354" s="43">
        <f t="shared" ca="1" si="261"/>
        <v>0</v>
      </c>
      <c r="X354" s="43">
        <f t="shared" ca="1" si="261"/>
        <v>0</v>
      </c>
      <c r="Y354" s="43">
        <f ca="1">SUM(Y353)</f>
        <v>0</v>
      </c>
      <c r="Z354" s="43">
        <f ca="1">SUM(Z353)</f>
        <v>0</v>
      </c>
      <c r="AA354" s="43">
        <f t="shared" ref="AA354:AK354" ca="1" si="262">SUM(AA353)</f>
        <v>0</v>
      </c>
      <c r="AB354" s="43">
        <f t="shared" ca="1" si="262"/>
        <v>0</v>
      </c>
      <c r="AC354" s="43">
        <f t="shared" ca="1" si="262"/>
        <v>0</v>
      </c>
      <c r="AD354" s="43">
        <f t="shared" ca="1" si="262"/>
        <v>0</v>
      </c>
      <c r="AE354" s="43">
        <f t="shared" ca="1" si="262"/>
        <v>0</v>
      </c>
      <c r="AF354" s="43">
        <f t="shared" ca="1" si="262"/>
        <v>0</v>
      </c>
      <c r="AG354" s="43">
        <f t="shared" ca="1" si="262"/>
        <v>0</v>
      </c>
      <c r="AH354" s="43">
        <f t="shared" ca="1" si="262"/>
        <v>0</v>
      </c>
      <c r="AI354" s="43">
        <f t="shared" ca="1" si="262"/>
        <v>0</v>
      </c>
      <c r="AJ354" s="43">
        <f t="shared" ca="1" si="262"/>
        <v>0</v>
      </c>
      <c r="AK354" s="43">
        <f t="shared" ca="1" si="262"/>
        <v>0</v>
      </c>
      <c r="AL354" s="43">
        <f ca="1">SUM(AL353)</f>
        <v>0</v>
      </c>
      <c r="AM354" s="43">
        <f ca="1">SUM(AM353)</f>
        <v>0</v>
      </c>
      <c r="AN354" s="43">
        <f t="shared" ref="AN354:AX354" ca="1" si="263">SUM(AN353)</f>
        <v>0</v>
      </c>
      <c r="AO354" s="43">
        <f t="shared" ca="1" si="263"/>
        <v>0</v>
      </c>
      <c r="AP354" s="43">
        <f t="shared" ca="1" si="263"/>
        <v>0</v>
      </c>
      <c r="AQ354" s="43">
        <f t="shared" ca="1" si="263"/>
        <v>0</v>
      </c>
      <c r="AR354" s="43">
        <f t="shared" ca="1" si="263"/>
        <v>0</v>
      </c>
      <c r="AS354" s="43">
        <f t="shared" ca="1" si="263"/>
        <v>0</v>
      </c>
      <c r="AT354" s="43">
        <f t="shared" ca="1" si="263"/>
        <v>0</v>
      </c>
      <c r="AU354" s="43">
        <f t="shared" ca="1" si="263"/>
        <v>0</v>
      </c>
      <c r="AV354" s="43">
        <f t="shared" ca="1" si="263"/>
        <v>0</v>
      </c>
      <c r="AW354" s="43">
        <f t="shared" ca="1" si="263"/>
        <v>0</v>
      </c>
      <c r="AX354" s="43">
        <f t="shared" ca="1" si="263"/>
        <v>0</v>
      </c>
      <c r="AY354" s="43">
        <f ca="1">SUM(AY353)</f>
        <v>0</v>
      </c>
    </row>
    <row r="355" spans="1:51" ht="15.75" hidden="1" customHeight="1" outlineLevel="1">
      <c r="A355" s="1" t="s">
        <v>377</v>
      </c>
      <c r="C355" s="104"/>
      <c r="E355" s="9" t="str">
        <f ca="1">_xll.DBRW(Server&amp;"}ElementAttributes_Indicator",A355,"code_English")</f>
        <v>*KEY_ERR</v>
      </c>
      <c r="F355" s="44" t="str">
        <f ca="1">_xll.DBRW($C$1,$C$2,$C$3,$C$4,$C$6,$C$5,$C$7,F$1,F$2,$A355)</f>
        <v>*KEY_ERR</v>
      </c>
      <c r="G355" s="44" t="str">
        <f ca="1">_xll.DBRW($C$1,$C$2,$C$3,$C$4,$C$6,$C$5,$C$7,G$1,G$2,$A355)</f>
        <v>*KEY_ERR</v>
      </c>
      <c r="H355" s="44" t="str">
        <f ca="1">_xll.DBRW($C$1,$C$2,$C$3,$C$4,$C$6,$C$5,$C$7,H$1,H$2,$A355)</f>
        <v>*KEY_ERR</v>
      </c>
      <c r="I355" s="44" t="str">
        <f ca="1">_xll.DBRW($C$1,$C$2,$C$3,$C$4,$C$6,$C$5,$C$7,I$1,I$2,$A355)</f>
        <v>*KEY_ERR</v>
      </c>
      <c r="J355" s="44" t="str">
        <f ca="1">_xll.DBRW($C$1,$C$2,$C$3,$C$4,$C$6,$C$5,$C$7,J$1,J$2,$A355)</f>
        <v>*KEY_ERR</v>
      </c>
      <c r="K355" s="44" t="str">
        <f ca="1">_xll.DBRW($C$1,$C$2,$C$3,$C$4,$C$6,$C$5,$C$7,K$1,K$2,$A355)</f>
        <v>*KEY_ERR</v>
      </c>
      <c r="L355" s="44" t="str">
        <f ca="1">_xll.DBRW($C$1,$C$2,$C$3,$C$4,$C$6,$C$5,$C$7,L$1,L$2,$A355)</f>
        <v>*KEY_ERR</v>
      </c>
      <c r="M355" s="44" t="str">
        <f ca="1">_xll.DBRW($C$1,$C$2,$C$3,$C$4,$C$6,$C$5,$C$7,M$1,M$2,$A355)</f>
        <v>*KEY_ERR</v>
      </c>
      <c r="N355" s="44" t="str">
        <f ca="1">_xll.DBRW($C$1,$C$2,$C$3,$C$4,$C$6,$C$5,$C$7,N$1,N$2,$A355)</f>
        <v>*KEY_ERR</v>
      </c>
      <c r="O355" s="44" t="str">
        <f ca="1">_xll.DBRW($C$1,$C$2,$C$3,$C$4,$C$6,$C$5,$C$7,O$1,O$2,$A355)</f>
        <v>*KEY_ERR</v>
      </c>
      <c r="P355" s="44" t="str">
        <f ca="1">_xll.DBRW($C$1,$C$2,$C$3,$C$4,$C$6,$C$5,$C$7,P$1,P$2,$A355)</f>
        <v>*KEY_ERR</v>
      </c>
      <c r="Q355" s="44" t="str">
        <f ca="1">_xll.DBRW($C$1,$C$2,$C$3,$C$4,$C$6,$C$5,$C$7,Q$1,Q$2,$A355)</f>
        <v>*KEY_ERR</v>
      </c>
      <c r="R355" s="44" t="str">
        <f ca="1">_xll.DBRW($C$1,$C$2,$C$3,$C$4,$C$6,$C$5,$C$7,R$1,R$2,$A355)</f>
        <v>*KEY_ERR</v>
      </c>
      <c r="S355" s="44" t="str">
        <f ca="1">_xll.DBRW($C$1,$C$2,$C$3,$C$4,$C$6,$C$5,$C$7,S$1,S$2,$A355)</f>
        <v>*KEY_ERR</v>
      </c>
      <c r="T355" s="44" t="str">
        <f ca="1">_xll.DBRW($C$1,$C$2,$C$3,$C$4,$C$6,$C$5,$C$7,T$1,T$2,$A355)</f>
        <v>*KEY_ERR</v>
      </c>
      <c r="U355" s="44" t="str">
        <f ca="1">_xll.DBRW($C$1,$C$2,$C$3,$C$4,$C$6,$C$5,$C$7,U$1,U$2,$A355)</f>
        <v>*KEY_ERR</v>
      </c>
      <c r="V355" s="44" t="str">
        <f ca="1">_xll.DBRW($C$1,$C$2,$C$3,$C$4,$C$6,$C$5,$C$7,V$1,V$2,$A355)</f>
        <v>*KEY_ERR</v>
      </c>
      <c r="W355" s="44" t="str">
        <f ca="1">_xll.DBRW($C$1,$C$2,$C$3,$C$4,$C$6,$C$5,$C$7,W$1,W$2,$A355)</f>
        <v>*KEY_ERR</v>
      </c>
      <c r="X355" s="44" t="str">
        <f ca="1">_xll.DBRW($C$1,$C$2,$C$3,$C$4,$C$6,$C$5,$C$7,X$1,X$2,$A355)</f>
        <v>*KEY_ERR</v>
      </c>
      <c r="Y355" s="44" t="str">
        <f ca="1">_xll.DBRW($C$1,$C$2,$C$3,$C$4,$C$6,$C$5,$C$7,Y$1,Y$2,$A355)</f>
        <v>*KEY_ERR</v>
      </c>
      <c r="Z355" s="44" t="str">
        <f ca="1">_xll.DBRW($C$1,$C$2,$C$3,$C$4,$C$6,$C$5,$C$7,Z$1,Z$2,$A355)</f>
        <v>*KEY_ERR</v>
      </c>
      <c r="AA355" s="44" t="str">
        <f ca="1">_xll.DBRW($C$1,$C$2,$C$3,$C$4,$C$6,$C$5,$C$7,AA$1,AA$2,$A355)</f>
        <v>*KEY_ERR</v>
      </c>
      <c r="AB355" s="44" t="str">
        <f ca="1">_xll.DBRW($C$1,$C$2,$C$3,$C$4,$C$6,$C$5,$C$7,AB$1,AB$2,$A355)</f>
        <v>*KEY_ERR</v>
      </c>
      <c r="AC355" s="44" t="str">
        <f ca="1">_xll.DBRW($C$1,$C$2,$C$3,$C$4,$C$6,$C$5,$C$7,AC$1,AC$2,$A355)</f>
        <v>*KEY_ERR</v>
      </c>
      <c r="AD355" s="44" t="str">
        <f ca="1">_xll.DBRW($C$1,$C$2,$C$3,$C$4,$C$6,$C$5,$C$7,AD$1,AD$2,$A355)</f>
        <v>*KEY_ERR</v>
      </c>
      <c r="AE355" s="44" t="str">
        <f ca="1">_xll.DBRW($C$1,$C$2,$C$3,$C$4,$C$6,$C$5,$C$7,AE$1,AE$2,$A355)</f>
        <v>*KEY_ERR</v>
      </c>
      <c r="AF355" s="44" t="str">
        <f ca="1">_xll.DBRW($C$1,$C$2,$C$3,$C$4,$C$6,$C$5,$C$7,AF$1,AF$2,$A355)</f>
        <v>*KEY_ERR</v>
      </c>
      <c r="AG355" s="44" t="str">
        <f ca="1">_xll.DBRW($C$1,$C$2,$C$3,$C$4,$C$6,$C$5,$C$7,AG$1,AG$2,$A355)</f>
        <v>*KEY_ERR</v>
      </c>
      <c r="AH355" s="44" t="str">
        <f ca="1">_xll.DBRW($C$1,$C$2,$C$3,$C$4,$C$6,$C$5,$C$7,AH$1,AH$2,$A355)</f>
        <v>*KEY_ERR</v>
      </c>
      <c r="AI355" s="44" t="str">
        <f ca="1">_xll.DBRW($C$1,$C$2,$C$3,$C$4,$C$6,$C$5,$C$7,AI$1,AI$2,$A355)</f>
        <v>*KEY_ERR</v>
      </c>
      <c r="AJ355" s="44" t="str">
        <f ca="1">_xll.DBRW($C$1,$C$2,$C$3,$C$4,$C$6,$C$5,$C$7,AJ$1,AJ$2,$A355)</f>
        <v>*KEY_ERR</v>
      </c>
      <c r="AK355" s="44" t="str">
        <f ca="1">_xll.DBRW($C$1,$C$2,$C$3,$C$4,$C$6,$C$5,$C$7,AK$1,AK$2,$A355)</f>
        <v>*KEY_ERR</v>
      </c>
      <c r="AL355" s="44" t="str">
        <f ca="1">_xll.DBRW($C$1,$C$2,$C$3,$C$4,$C$6,$C$5,$C$7,AL$1,AL$2,$A355)</f>
        <v>*KEY_ERR</v>
      </c>
      <c r="AM355" s="44" t="str">
        <f ca="1">_xll.DBRW($C$1,$C$2,$C$3,$C$4,$C$6,$C$5,$C$7,AM$1,AM$2,$A355)</f>
        <v>*KEY_ERR</v>
      </c>
      <c r="AN355" s="44" t="str">
        <f ca="1">_xll.DBRW($C$1,$C$2,$C$3,$C$4,$C$6,$C$5,$C$7,AN$1,AN$2,$A355)</f>
        <v>*KEY_ERR</v>
      </c>
      <c r="AO355" s="44" t="str">
        <f ca="1">_xll.DBRW($C$1,$C$2,$C$3,$C$4,$C$6,$C$5,$C$7,AO$1,AO$2,$A355)</f>
        <v>*KEY_ERR</v>
      </c>
      <c r="AP355" s="44" t="str">
        <f ca="1">_xll.DBRW($C$1,$C$2,$C$3,$C$4,$C$6,$C$5,$C$7,AP$1,AP$2,$A355)</f>
        <v>*KEY_ERR</v>
      </c>
      <c r="AQ355" s="44" t="str">
        <f ca="1">_xll.DBRW($C$1,$C$2,$C$3,$C$4,$C$6,$C$5,$C$7,AQ$1,AQ$2,$A355)</f>
        <v>*KEY_ERR</v>
      </c>
      <c r="AR355" s="44" t="str">
        <f ca="1">_xll.DBRW($C$1,$C$2,$C$3,$C$4,$C$6,$C$5,$C$7,AR$1,AR$2,$A355)</f>
        <v>*KEY_ERR</v>
      </c>
      <c r="AS355" s="44" t="str">
        <f ca="1">_xll.DBRW($C$1,$C$2,$C$3,$C$4,$C$6,$C$5,$C$7,AS$1,AS$2,$A355)</f>
        <v>*KEY_ERR</v>
      </c>
      <c r="AT355" s="44" t="str">
        <f ca="1">_xll.DBRW($C$1,$C$2,$C$3,$C$4,$C$6,$C$5,$C$7,AT$1,AT$2,$A355)</f>
        <v>*KEY_ERR</v>
      </c>
      <c r="AU355" s="44" t="str">
        <f ca="1">_xll.DBRW($C$1,$C$2,$C$3,$C$4,$C$6,$C$5,$C$7,AU$1,AU$2,$A355)</f>
        <v>*KEY_ERR</v>
      </c>
      <c r="AV355" s="44" t="str">
        <f ca="1">_xll.DBRW($C$1,$C$2,$C$3,$C$4,$C$6,$C$5,$C$7,AV$1,AV$2,$A355)</f>
        <v>*KEY_ERR</v>
      </c>
      <c r="AW355" s="44" t="str">
        <f ca="1">_xll.DBRW($C$1,$C$2,$C$3,$C$4,$C$6,$C$5,$C$7,AW$1,AW$2,$A355)</f>
        <v>*KEY_ERR</v>
      </c>
      <c r="AX355" s="44" t="str">
        <f ca="1">_xll.DBRW($C$1,$C$2,$C$3,$C$4,$C$6,$C$5,$C$7,AX$1,AX$2,$A355)</f>
        <v>*KEY_ERR</v>
      </c>
      <c r="AY355" s="44" t="str">
        <f ca="1">_xll.DBRW($C$1,$C$2,$C$3,$C$4,$C$6,$C$5,$C$7,AY$1,AY$2,$A355)</f>
        <v>*KEY_ERR</v>
      </c>
    </row>
    <row r="356" spans="1:51" ht="15.5" collapsed="1">
      <c r="A356" s="1" t="s">
        <v>142</v>
      </c>
      <c r="C356" s="104"/>
      <c r="E356" s="84" t="s">
        <v>382</v>
      </c>
      <c r="F356" s="45">
        <f t="shared" ref="F356:M356" ca="1" si="264">SUM(F355)</f>
        <v>0</v>
      </c>
      <c r="G356" s="45">
        <f t="shared" ca="1" si="264"/>
        <v>0</v>
      </c>
      <c r="H356" s="45">
        <f t="shared" ca="1" si="264"/>
        <v>0</v>
      </c>
      <c r="I356" s="45">
        <f t="shared" ca="1" si="264"/>
        <v>0</v>
      </c>
      <c r="J356" s="45">
        <f t="shared" ca="1" si="264"/>
        <v>0</v>
      </c>
      <c r="K356" s="45">
        <f t="shared" ca="1" si="264"/>
        <v>0</v>
      </c>
      <c r="L356" s="45">
        <f t="shared" ca="1" si="264"/>
        <v>0</v>
      </c>
      <c r="M356" s="45">
        <f t="shared" ca="1" si="264"/>
        <v>0</v>
      </c>
      <c r="N356" s="45">
        <f t="shared" ref="N356:X356" ca="1" si="265">SUM(N355)</f>
        <v>0</v>
      </c>
      <c r="O356" s="45">
        <f t="shared" ca="1" si="265"/>
        <v>0</v>
      </c>
      <c r="P356" s="45">
        <f t="shared" ca="1" si="265"/>
        <v>0</v>
      </c>
      <c r="Q356" s="45">
        <f t="shared" ca="1" si="265"/>
        <v>0</v>
      </c>
      <c r="R356" s="45">
        <f t="shared" ca="1" si="265"/>
        <v>0</v>
      </c>
      <c r="S356" s="45">
        <f t="shared" ca="1" si="265"/>
        <v>0</v>
      </c>
      <c r="T356" s="45">
        <f t="shared" ca="1" si="265"/>
        <v>0</v>
      </c>
      <c r="U356" s="45">
        <f t="shared" ca="1" si="265"/>
        <v>0</v>
      </c>
      <c r="V356" s="45">
        <f t="shared" ca="1" si="265"/>
        <v>0</v>
      </c>
      <c r="W356" s="45">
        <f t="shared" ca="1" si="265"/>
        <v>0</v>
      </c>
      <c r="X356" s="45">
        <f t="shared" ca="1" si="265"/>
        <v>0</v>
      </c>
      <c r="Y356" s="45">
        <f ca="1">SUM(Y355)</f>
        <v>0</v>
      </c>
      <c r="Z356" s="45">
        <f ca="1">SUM(Z355)</f>
        <v>0</v>
      </c>
      <c r="AA356" s="45">
        <f t="shared" ref="AA356:AK356" ca="1" si="266">SUM(AA355)</f>
        <v>0</v>
      </c>
      <c r="AB356" s="45">
        <f t="shared" ca="1" si="266"/>
        <v>0</v>
      </c>
      <c r="AC356" s="45">
        <f t="shared" ca="1" si="266"/>
        <v>0</v>
      </c>
      <c r="AD356" s="45">
        <f t="shared" ca="1" si="266"/>
        <v>0</v>
      </c>
      <c r="AE356" s="45">
        <f t="shared" ca="1" si="266"/>
        <v>0</v>
      </c>
      <c r="AF356" s="45">
        <f t="shared" ca="1" si="266"/>
        <v>0</v>
      </c>
      <c r="AG356" s="45">
        <f t="shared" ca="1" si="266"/>
        <v>0</v>
      </c>
      <c r="AH356" s="45">
        <f t="shared" ca="1" si="266"/>
        <v>0</v>
      </c>
      <c r="AI356" s="45">
        <f t="shared" ca="1" si="266"/>
        <v>0</v>
      </c>
      <c r="AJ356" s="45">
        <f t="shared" ca="1" si="266"/>
        <v>0</v>
      </c>
      <c r="AK356" s="45">
        <f t="shared" ca="1" si="266"/>
        <v>0</v>
      </c>
      <c r="AL356" s="45">
        <f ca="1">SUM(AL355)</f>
        <v>0</v>
      </c>
      <c r="AM356" s="45">
        <f ca="1">SUM(AM355)</f>
        <v>0</v>
      </c>
      <c r="AN356" s="45">
        <f t="shared" ref="AN356:AX356" ca="1" si="267">SUM(AN355)</f>
        <v>0</v>
      </c>
      <c r="AO356" s="45">
        <f t="shared" ca="1" si="267"/>
        <v>0</v>
      </c>
      <c r="AP356" s="45">
        <f t="shared" ca="1" si="267"/>
        <v>0</v>
      </c>
      <c r="AQ356" s="45">
        <f t="shared" ca="1" si="267"/>
        <v>0</v>
      </c>
      <c r="AR356" s="45">
        <f t="shared" ca="1" si="267"/>
        <v>0</v>
      </c>
      <c r="AS356" s="45">
        <f t="shared" ca="1" si="267"/>
        <v>0</v>
      </c>
      <c r="AT356" s="45">
        <f t="shared" ca="1" si="267"/>
        <v>0</v>
      </c>
      <c r="AU356" s="45">
        <f t="shared" ca="1" si="267"/>
        <v>0</v>
      </c>
      <c r="AV356" s="45">
        <f t="shared" ca="1" si="267"/>
        <v>0</v>
      </c>
      <c r="AW356" s="45">
        <f t="shared" ca="1" si="267"/>
        <v>0</v>
      </c>
      <c r="AX356" s="45">
        <f t="shared" ca="1" si="267"/>
        <v>0</v>
      </c>
      <c r="AY356" s="45">
        <f ca="1">SUM(AY355)</f>
        <v>0</v>
      </c>
    </row>
    <row r="357" spans="1:51" ht="15.75" hidden="1" customHeight="1" outlineLevel="1">
      <c r="A357" s="1" t="s">
        <v>378</v>
      </c>
      <c r="C357" s="104"/>
      <c r="E357" s="9" t="str">
        <f ca="1">_xll.DBRW(Server&amp;"}ElementAttributes_Indicator",A357,"code_English")</f>
        <v>*KEY_ERR</v>
      </c>
      <c r="F357" s="44" t="str">
        <f ca="1">_xll.DBRW($C$1,$C$2,$C$3,$C$4,$C$6,$C$5,$C$7,F$1,F$2,$A357)</f>
        <v>*KEY_ERR</v>
      </c>
      <c r="G357" s="44" t="str">
        <f ca="1">_xll.DBRW($C$1,$C$2,$C$3,$C$4,$C$6,$C$5,$C$7,G$1,G$2,$A357)</f>
        <v>*KEY_ERR</v>
      </c>
      <c r="H357" s="44" t="str">
        <f ca="1">_xll.DBRW($C$1,$C$2,$C$3,$C$4,$C$6,$C$5,$C$7,H$1,H$2,$A357)</f>
        <v>*KEY_ERR</v>
      </c>
      <c r="I357" s="44" t="str">
        <f ca="1">_xll.DBRW($C$1,$C$2,$C$3,$C$4,$C$6,$C$5,$C$7,I$1,I$2,$A357)</f>
        <v>*KEY_ERR</v>
      </c>
      <c r="J357" s="44" t="str">
        <f ca="1">_xll.DBRW($C$1,$C$2,$C$3,$C$4,$C$6,$C$5,$C$7,J$1,J$2,$A357)</f>
        <v>*KEY_ERR</v>
      </c>
      <c r="K357" s="44" t="str">
        <f ca="1">_xll.DBRW($C$1,$C$2,$C$3,$C$4,$C$6,$C$5,$C$7,K$1,K$2,$A357)</f>
        <v>*KEY_ERR</v>
      </c>
      <c r="L357" s="44" t="str">
        <f ca="1">_xll.DBRW($C$1,$C$2,$C$3,$C$4,$C$6,$C$5,$C$7,L$1,L$2,$A357)</f>
        <v>*KEY_ERR</v>
      </c>
      <c r="M357" s="44" t="str">
        <f ca="1">_xll.DBRW($C$1,$C$2,$C$3,$C$4,$C$6,$C$5,$C$7,M$1,M$2,$A357)</f>
        <v>*KEY_ERR</v>
      </c>
      <c r="N357" s="44" t="str">
        <f ca="1">_xll.DBRW($C$1,$C$2,$C$3,$C$4,$C$6,$C$5,$C$7,N$1,N$2,$A357)</f>
        <v>*KEY_ERR</v>
      </c>
      <c r="O357" s="44" t="str">
        <f ca="1">_xll.DBRW($C$1,$C$2,$C$3,$C$4,$C$6,$C$5,$C$7,O$1,O$2,$A357)</f>
        <v>*KEY_ERR</v>
      </c>
      <c r="P357" s="44" t="str">
        <f ca="1">_xll.DBRW($C$1,$C$2,$C$3,$C$4,$C$6,$C$5,$C$7,P$1,P$2,$A357)</f>
        <v>*KEY_ERR</v>
      </c>
      <c r="Q357" s="44" t="str">
        <f ca="1">_xll.DBRW($C$1,$C$2,$C$3,$C$4,$C$6,$C$5,$C$7,Q$1,Q$2,$A357)</f>
        <v>*KEY_ERR</v>
      </c>
      <c r="R357" s="44" t="str">
        <f ca="1">_xll.DBRW($C$1,$C$2,$C$3,$C$4,$C$6,$C$5,$C$7,R$1,R$2,$A357)</f>
        <v>*KEY_ERR</v>
      </c>
      <c r="S357" s="44" t="str">
        <f ca="1">_xll.DBRW($C$1,$C$2,$C$3,$C$4,$C$6,$C$5,$C$7,S$1,S$2,$A357)</f>
        <v>*KEY_ERR</v>
      </c>
      <c r="T357" s="44" t="str">
        <f ca="1">_xll.DBRW($C$1,$C$2,$C$3,$C$4,$C$6,$C$5,$C$7,T$1,T$2,$A357)</f>
        <v>*KEY_ERR</v>
      </c>
      <c r="U357" s="44" t="str">
        <f ca="1">_xll.DBRW($C$1,$C$2,$C$3,$C$4,$C$6,$C$5,$C$7,U$1,U$2,$A357)</f>
        <v>*KEY_ERR</v>
      </c>
      <c r="V357" s="44" t="str">
        <f ca="1">_xll.DBRW($C$1,$C$2,$C$3,$C$4,$C$6,$C$5,$C$7,V$1,V$2,$A357)</f>
        <v>*KEY_ERR</v>
      </c>
      <c r="W357" s="44" t="str">
        <f ca="1">_xll.DBRW($C$1,$C$2,$C$3,$C$4,$C$6,$C$5,$C$7,W$1,W$2,$A357)</f>
        <v>*KEY_ERR</v>
      </c>
      <c r="X357" s="44" t="str">
        <f ca="1">_xll.DBRW($C$1,$C$2,$C$3,$C$4,$C$6,$C$5,$C$7,X$1,X$2,$A357)</f>
        <v>*KEY_ERR</v>
      </c>
      <c r="Y357" s="44" t="str">
        <f ca="1">_xll.DBRW($C$1,$C$2,$C$3,$C$4,$C$6,$C$5,$C$7,Y$1,Y$2,$A357)</f>
        <v>*KEY_ERR</v>
      </c>
      <c r="Z357" s="44" t="str">
        <f ca="1">_xll.DBRW($C$1,$C$2,$C$3,$C$4,$C$6,$C$5,$C$7,Z$1,Z$2,$A357)</f>
        <v>*KEY_ERR</v>
      </c>
      <c r="AA357" s="44" t="str">
        <f ca="1">_xll.DBRW($C$1,$C$2,$C$3,$C$4,$C$6,$C$5,$C$7,AA$1,AA$2,$A357)</f>
        <v>*KEY_ERR</v>
      </c>
      <c r="AB357" s="44" t="str">
        <f ca="1">_xll.DBRW($C$1,$C$2,$C$3,$C$4,$C$6,$C$5,$C$7,AB$1,AB$2,$A357)</f>
        <v>*KEY_ERR</v>
      </c>
      <c r="AC357" s="44" t="str">
        <f ca="1">_xll.DBRW($C$1,$C$2,$C$3,$C$4,$C$6,$C$5,$C$7,AC$1,AC$2,$A357)</f>
        <v>*KEY_ERR</v>
      </c>
      <c r="AD357" s="44" t="str">
        <f ca="1">_xll.DBRW($C$1,$C$2,$C$3,$C$4,$C$6,$C$5,$C$7,AD$1,AD$2,$A357)</f>
        <v>*KEY_ERR</v>
      </c>
      <c r="AE357" s="44" t="str">
        <f ca="1">_xll.DBRW($C$1,$C$2,$C$3,$C$4,$C$6,$C$5,$C$7,AE$1,AE$2,$A357)</f>
        <v>*KEY_ERR</v>
      </c>
      <c r="AF357" s="44" t="str">
        <f ca="1">_xll.DBRW($C$1,$C$2,$C$3,$C$4,$C$6,$C$5,$C$7,AF$1,AF$2,$A357)</f>
        <v>*KEY_ERR</v>
      </c>
      <c r="AG357" s="44" t="str">
        <f ca="1">_xll.DBRW($C$1,$C$2,$C$3,$C$4,$C$6,$C$5,$C$7,AG$1,AG$2,$A357)</f>
        <v>*KEY_ERR</v>
      </c>
      <c r="AH357" s="44" t="str">
        <f ca="1">_xll.DBRW($C$1,$C$2,$C$3,$C$4,$C$6,$C$5,$C$7,AH$1,AH$2,$A357)</f>
        <v>*KEY_ERR</v>
      </c>
      <c r="AI357" s="44" t="str">
        <f ca="1">_xll.DBRW($C$1,$C$2,$C$3,$C$4,$C$6,$C$5,$C$7,AI$1,AI$2,$A357)</f>
        <v>*KEY_ERR</v>
      </c>
      <c r="AJ357" s="44" t="str">
        <f ca="1">_xll.DBRW($C$1,$C$2,$C$3,$C$4,$C$6,$C$5,$C$7,AJ$1,AJ$2,$A357)</f>
        <v>*KEY_ERR</v>
      </c>
      <c r="AK357" s="44" t="str">
        <f ca="1">_xll.DBRW($C$1,$C$2,$C$3,$C$4,$C$6,$C$5,$C$7,AK$1,AK$2,$A357)</f>
        <v>*KEY_ERR</v>
      </c>
      <c r="AL357" s="44" t="str">
        <f ca="1">_xll.DBRW($C$1,$C$2,$C$3,$C$4,$C$6,$C$5,$C$7,AL$1,AL$2,$A357)</f>
        <v>*KEY_ERR</v>
      </c>
      <c r="AM357" s="44" t="str">
        <f ca="1">_xll.DBRW($C$1,$C$2,$C$3,$C$4,$C$6,$C$5,$C$7,AM$1,AM$2,$A357)</f>
        <v>*KEY_ERR</v>
      </c>
      <c r="AN357" s="44" t="str">
        <f ca="1">_xll.DBRW($C$1,$C$2,$C$3,$C$4,$C$6,$C$5,$C$7,AN$1,AN$2,$A357)</f>
        <v>*KEY_ERR</v>
      </c>
      <c r="AO357" s="44" t="str">
        <f ca="1">_xll.DBRW($C$1,$C$2,$C$3,$C$4,$C$6,$C$5,$C$7,AO$1,AO$2,$A357)</f>
        <v>*KEY_ERR</v>
      </c>
      <c r="AP357" s="44" t="str">
        <f ca="1">_xll.DBRW($C$1,$C$2,$C$3,$C$4,$C$6,$C$5,$C$7,AP$1,AP$2,$A357)</f>
        <v>*KEY_ERR</v>
      </c>
      <c r="AQ357" s="44" t="str">
        <f ca="1">_xll.DBRW($C$1,$C$2,$C$3,$C$4,$C$6,$C$5,$C$7,AQ$1,AQ$2,$A357)</f>
        <v>*KEY_ERR</v>
      </c>
      <c r="AR357" s="44" t="str">
        <f ca="1">_xll.DBRW($C$1,$C$2,$C$3,$C$4,$C$6,$C$5,$C$7,AR$1,AR$2,$A357)</f>
        <v>*KEY_ERR</v>
      </c>
      <c r="AS357" s="44" t="str">
        <f ca="1">_xll.DBRW($C$1,$C$2,$C$3,$C$4,$C$6,$C$5,$C$7,AS$1,AS$2,$A357)</f>
        <v>*KEY_ERR</v>
      </c>
      <c r="AT357" s="44" t="str">
        <f ca="1">_xll.DBRW($C$1,$C$2,$C$3,$C$4,$C$6,$C$5,$C$7,AT$1,AT$2,$A357)</f>
        <v>*KEY_ERR</v>
      </c>
      <c r="AU357" s="44" t="str">
        <f ca="1">_xll.DBRW($C$1,$C$2,$C$3,$C$4,$C$6,$C$5,$C$7,AU$1,AU$2,$A357)</f>
        <v>*KEY_ERR</v>
      </c>
      <c r="AV357" s="44" t="str">
        <f ca="1">_xll.DBRW($C$1,$C$2,$C$3,$C$4,$C$6,$C$5,$C$7,AV$1,AV$2,$A357)</f>
        <v>*KEY_ERR</v>
      </c>
      <c r="AW357" s="44" t="str">
        <f ca="1">_xll.DBRW($C$1,$C$2,$C$3,$C$4,$C$6,$C$5,$C$7,AW$1,AW$2,$A357)</f>
        <v>*KEY_ERR</v>
      </c>
      <c r="AX357" s="44" t="str">
        <f ca="1">_xll.DBRW($C$1,$C$2,$C$3,$C$4,$C$6,$C$5,$C$7,AX$1,AX$2,$A357)</f>
        <v>*KEY_ERR</v>
      </c>
      <c r="AY357" s="44" t="str">
        <f ca="1">_xll.DBRW($C$1,$C$2,$C$3,$C$4,$C$6,$C$5,$C$7,AY$1,AY$2,$A357)</f>
        <v>*KEY_ERR</v>
      </c>
    </row>
    <row r="358" spans="1:51" ht="15.5" collapsed="1">
      <c r="C358" s="104"/>
      <c r="E358" s="87" t="s">
        <v>105</v>
      </c>
      <c r="F358" s="46">
        <f t="shared" ref="F358:M358" ca="1" si="268">SUM(F357)</f>
        <v>0</v>
      </c>
      <c r="G358" s="46">
        <f t="shared" ca="1" si="268"/>
        <v>0</v>
      </c>
      <c r="H358" s="46">
        <f t="shared" ca="1" si="268"/>
        <v>0</v>
      </c>
      <c r="I358" s="46">
        <f t="shared" ca="1" si="268"/>
        <v>0</v>
      </c>
      <c r="J358" s="46">
        <f t="shared" ca="1" si="268"/>
        <v>0</v>
      </c>
      <c r="K358" s="46">
        <f t="shared" ca="1" si="268"/>
        <v>0</v>
      </c>
      <c r="L358" s="46">
        <f t="shared" ca="1" si="268"/>
        <v>0</v>
      </c>
      <c r="M358" s="46">
        <f t="shared" ca="1" si="268"/>
        <v>0</v>
      </c>
      <c r="N358" s="46">
        <f t="shared" ref="N358:X358" ca="1" si="269">SUM(N357)</f>
        <v>0</v>
      </c>
      <c r="O358" s="46">
        <f t="shared" ca="1" si="269"/>
        <v>0</v>
      </c>
      <c r="P358" s="46">
        <f t="shared" ca="1" si="269"/>
        <v>0</v>
      </c>
      <c r="Q358" s="46">
        <f t="shared" ca="1" si="269"/>
        <v>0</v>
      </c>
      <c r="R358" s="46">
        <f t="shared" ca="1" si="269"/>
        <v>0</v>
      </c>
      <c r="S358" s="46">
        <f t="shared" ca="1" si="269"/>
        <v>0</v>
      </c>
      <c r="T358" s="46">
        <f t="shared" ca="1" si="269"/>
        <v>0</v>
      </c>
      <c r="U358" s="46">
        <f t="shared" ca="1" si="269"/>
        <v>0</v>
      </c>
      <c r="V358" s="46">
        <f t="shared" ca="1" si="269"/>
        <v>0</v>
      </c>
      <c r="W358" s="46">
        <f t="shared" ca="1" si="269"/>
        <v>0</v>
      </c>
      <c r="X358" s="46">
        <f t="shared" ca="1" si="269"/>
        <v>0</v>
      </c>
      <c r="Y358" s="46">
        <f ca="1">SUM(Y357)</f>
        <v>0</v>
      </c>
      <c r="Z358" s="46">
        <f ca="1">SUM(Z357)</f>
        <v>0</v>
      </c>
      <c r="AA358" s="46">
        <f t="shared" ref="AA358:AK358" ca="1" si="270">SUM(AA357)</f>
        <v>0</v>
      </c>
      <c r="AB358" s="46">
        <f t="shared" ca="1" si="270"/>
        <v>0</v>
      </c>
      <c r="AC358" s="46">
        <f t="shared" ca="1" si="270"/>
        <v>0</v>
      </c>
      <c r="AD358" s="46">
        <f t="shared" ca="1" si="270"/>
        <v>0</v>
      </c>
      <c r="AE358" s="46">
        <f t="shared" ca="1" si="270"/>
        <v>0</v>
      </c>
      <c r="AF358" s="46">
        <f t="shared" ca="1" si="270"/>
        <v>0</v>
      </c>
      <c r="AG358" s="46">
        <f t="shared" ca="1" si="270"/>
        <v>0</v>
      </c>
      <c r="AH358" s="46">
        <f t="shared" ca="1" si="270"/>
        <v>0</v>
      </c>
      <c r="AI358" s="46">
        <f t="shared" ca="1" si="270"/>
        <v>0</v>
      </c>
      <c r="AJ358" s="46">
        <f t="shared" ca="1" si="270"/>
        <v>0</v>
      </c>
      <c r="AK358" s="46">
        <f t="shared" ca="1" si="270"/>
        <v>0</v>
      </c>
      <c r="AL358" s="46">
        <f ca="1">SUM(AL357)</f>
        <v>0</v>
      </c>
      <c r="AM358" s="46">
        <f ca="1">SUM(AM357)</f>
        <v>0</v>
      </c>
      <c r="AN358" s="46">
        <f t="shared" ref="AN358:AX358" ca="1" si="271">SUM(AN357)</f>
        <v>0</v>
      </c>
      <c r="AO358" s="46">
        <f t="shared" ca="1" si="271"/>
        <v>0</v>
      </c>
      <c r="AP358" s="46">
        <f t="shared" ca="1" si="271"/>
        <v>0</v>
      </c>
      <c r="AQ358" s="46">
        <f t="shared" ca="1" si="271"/>
        <v>0</v>
      </c>
      <c r="AR358" s="46">
        <f t="shared" ca="1" si="271"/>
        <v>0</v>
      </c>
      <c r="AS358" s="46">
        <f t="shared" ca="1" si="271"/>
        <v>0</v>
      </c>
      <c r="AT358" s="46">
        <f t="shared" ca="1" si="271"/>
        <v>0</v>
      </c>
      <c r="AU358" s="46">
        <f t="shared" ca="1" si="271"/>
        <v>0</v>
      </c>
      <c r="AV358" s="46">
        <f t="shared" ca="1" si="271"/>
        <v>0</v>
      </c>
      <c r="AW358" s="46">
        <f t="shared" ca="1" si="271"/>
        <v>0</v>
      </c>
      <c r="AX358" s="46">
        <f t="shared" ca="1" si="271"/>
        <v>0</v>
      </c>
      <c r="AY358" s="46">
        <f ca="1">SUM(AY357)</f>
        <v>0</v>
      </c>
    </row>
    <row r="359" spans="1:51" ht="15.5">
      <c r="A359" s="1" t="s">
        <v>142</v>
      </c>
      <c r="C359" s="26"/>
      <c r="E359" s="51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</row>
    <row r="360" spans="1:51">
      <c r="A360" s="1" t="s">
        <v>142</v>
      </c>
      <c r="C360" s="54"/>
    </row>
    <row r="361" spans="1:51" ht="15.75" customHeight="1">
      <c r="A361" s="1" t="s">
        <v>142</v>
      </c>
      <c r="C361" s="104" t="s">
        <v>106</v>
      </c>
      <c r="E361" s="17" t="s">
        <v>107</v>
      </c>
      <c r="F361" s="78">
        <f t="shared" ref="F361:AY361" ca="1" si="272">IFERROR((F45/(F45+F84+F102+F118+F190)),"-")</f>
        <v>0.40591630292919945</v>
      </c>
      <c r="G361" s="78">
        <f t="shared" ca="1" si="272"/>
        <v>0.40745341264851936</v>
      </c>
      <c r="H361" s="78">
        <f t="shared" ca="1" si="272"/>
        <v>0.3945507159580241</v>
      </c>
      <c r="I361" s="78">
        <f t="shared" ca="1" si="272"/>
        <v>0.4274076838687545</v>
      </c>
      <c r="J361" s="78">
        <f t="shared" ca="1" si="272"/>
        <v>0.37782840740776547</v>
      </c>
      <c r="K361" s="78">
        <f t="shared" ca="1" si="272"/>
        <v>0.39200577844658474</v>
      </c>
      <c r="L361" s="78">
        <f t="shared" ca="1" si="272"/>
        <v>0.39823997654192106</v>
      </c>
      <c r="M361" s="78">
        <f t="shared" ca="1" si="272"/>
        <v>0.47516619454141185</v>
      </c>
      <c r="N361" s="78">
        <f t="shared" ca="1" si="272"/>
        <v>0.38949808032000127</v>
      </c>
      <c r="O361" s="78">
        <f t="shared" ca="1" si="272"/>
        <v>0.3846120124608573</v>
      </c>
      <c r="P361" s="78">
        <f t="shared" ca="1" si="272"/>
        <v>0.38777301338973208</v>
      </c>
      <c r="Q361" s="78">
        <f t="shared" ca="1" si="272"/>
        <v>0.38480822833202727</v>
      </c>
      <c r="R361" s="78">
        <f t="shared" ca="1" si="272"/>
        <v>0.38966075916523402</v>
      </c>
      <c r="S361" s="78">
        <f t="shared" ca="1" si="272"/>
        <v>0.44105152132824615</v>
      </c>
      <c r="T361" s="78">
        <f t="shared" ca="1" si="272"/>
        <v>0.38738663677322799</v>
      </c>
      <c r="U361" s="78">
        <f t="shared" ca="1" si="272"/>
        <v>0.38354710594040209</v>
      </c>
      <c r="V361" s="78">
        <f t="shared" ca="1" si="272"/>
        <v>0.43359784958298681</v>
      </c>
      <c r="W361" s="78">
        <f t="shared" ca="1" si="272"/>
        <v>0.3900177725048895</v>
      </c>
      <c r="X361" s="78">
        <f t="shared" ca="1" si="272"/>
        <v>0.38093052450550663</v>
      </c>
      <c r="Y361" s="78">
        <f t="shared" ca="1" si="272"/>
        <v>0.38093052450550663</v>
      </c>
      <c r="Z361" s="78">
        <f t="shared" ca="1" si="272"/>
        <v>0.384947593111784</v>
      </c>
      <c r="AA361" s="78">
        <f t="shared" ca="1" si="272"/>
        <v>0.38494908035149838</v>
      </c>
      <c r="AB361" s="78">
        <f t="shared" ca="1" si="272"/>
        <v>0.38213527958398036</v>
      </c>
      <c r="AC361" s="78">
        <f t="shared" ca="1" si="272"/>
        <v>0.3843552764339957</v>
      </c>
      <c r="AD361" s="78">
        <f t="shared" ca="1" si="272"/>
        <v>0.38513363588060412</v>
      </c>
      <c r="AE361" s="78">
        <f t="shared" ca="1" si="272"/>
        <v>0.38576660444624544</v>
      </c>
      <c r="AF361" s="78">
        <f t="shared" ca="1" si="272"/>
        <v>0.38658885506893503</v>
      </c>
      <c r="AG361" s="78">
        <f t="shared" ca="1" si="272"/>
        <v>0.38751842744844855</v>
      </c>
      <c r="AH361" s="78">
        <f t="shared" ca="1" si="272"/>
        <v>0.38742264741007815</v>
      </c>
      <c r="AI361" s="78">
        <f t="shared" ca="1" si="272"/>
        <v>0.38810514516359057</v>
      </c>
      <c r="AJ361" s="78">
        <f t="shared" ca="1" si="272"/>
        <v>0.38863502879203965</v>
      </c>
      <c r="AK361" s="78">
        <f t="shared" ca="1" si="272"/>
        <v>0.38885183773387871</v>
      </c>
      <c r="AL361" s="78">
        <f t="shared" ca="1" si="272"/>
        <v>0.38885183773387871</v>
      </c>
      <c r="AM361" s="78">
        <f t="shared" ca="1" si="272"/>
        <v>0.49491004372318109</v>
      </c>
      <c r="AN361" s="78">
        <f t="shared" ca="1" si="272"/>
        <v>0.39404940573171421</v>
      </c>
      <c r="AO361" s="78">
        <f t="shared" ca="1" si="272"/>
        <v>0.55216357780133163</v>
      </c>
      <c r="AP361" s="78">
        <f t="shared" ca="1" si="272"/>
        <v>0.55216357780133163</v>
      </c>
      <c r="AQ361" s="78">
        <f t="shared" ca="1" si="272"/>
        <v>0.55216357780133163</v>
      </c>
      <c r="AR361" s="78">
        <f t="shared" ca="1" si="272"/>
        <v>0.55216357780133163</v>
      </c>
      <c r="AS361" s="78">
        <f t="shared" ca="1" si="272"/>
        <v>0.55216357780133163</v>
      </c>
      <c r="AT361" s="78">
        <f t="shared" ca="1" si="272"/>
        <v>0.55216357780133163</v>
      </c>
      <c r="AU361" s="78">
        <f t="shared" ca="1" si="272"/>
        <v>0.55216357780133163</v>
      </c>
      <c r="AV361" s="78">
        <f t="shared" ca="1" si="272"/>
        <v>0.55216357780133163</v>
      </c>
      <c r="AW361" s="78">
        <f t="shared" ca="1" si="272"/>
        <v>0.55216357780133163</v>
      </c>
      <c r="AX361" s="78">
        <f t="shared" ca="1" si="272"/>
        <v>0.55216357780133163</v>
      </c>
      <c r="AY361" s="78">
        <f t="shared" ca="1" si="272"/>
        <v>0.55216357780133163</v>
      </c>
    </row>
    <row r="362" spans="1:51" ht="15.5">
      <c r="A362" s="1" t="s">
        <v>142</v>
      </c>
      <c r="C362" s="104"/>
      <c r="E362" s="15" t="s">
        <v>108</v>
      </c>
      <c r="F362" s="79">
        <f t="shared" ref="F362:AY362" ca="1" si="273">IFERROR((F84/(F45+F84+F102+F118+F190)),"-")</f>
        <v>0.19985037618326365</v>
      </c>
      <c r="G362" s="79">
        <f t="shared" ca="1" si="273"/>
        <v>0.19142236878288169</v>
      </c>
      <c r="H362" s="79">
        <f t="shared" ca="1" si="273"/>
        <v>0.17915613535663982</v>
      </c>
      <c r="I362" s="79">
        <f t="shared" ca="1" si="273"/>
        <v>0.18856796070268653</v>
      </c>
      <c r="J362" s="79">
        <f t="shared" ca="1" si="273"/>
        <v>0.2076080911363028</v>
      </c>
      <c r="K362" s="79">
        <f t="shared" ca="1" si="273"/>
        <v>0.19746522088881963</v>
      </c>
      <c r="L362" s="79">
        <f t="shared" ca="1" si="273"/>
        <v>0.19649764727868049</v>
      </c>
      <c r="M362" s="79">
        <f t="shared" ca="1" si="273"/>
        <v>0.17386157426793203</v>
      </c>
      <c r="N362" s="79">
        <f t="shared" ca="1" si="273"/>
        <v>0.19235569335917085</v>
      </c>
      <c r="O362" s="79">
        <f t="shared" ca="1" si="273"/>
        <v>0.19650388388131709</v>
      </c>
      <c r="P362" s="79">
        <f t="shared" ca="1" si="273"/>
        <v>0.19685886810485298</v>
      </c>
      <c r="Q362" s="79">
        <f t="shared" ca="1" si="273"/>
        <v>0.19706045070740219</v>
      </c>
      <c r="R362" s="79">
        <f t="shared" ca="1" si="273"/>
        <v>0.19827737346590305</v>
      </c>
      <c r="S362" s="79">
        <f t="shared" ca="1" si="273"/>
        <v>0.18266936832649827</v>
      </c>
      <c r="T362" s="79">
        <f t="shared" ca="1" si="273"/>
        <v>0.19559340061585989</v>
      </c>
      <c r="U362" s="79">
        <f t="shared" ca="1" si="273"/>
        <v>0.19784002735361997</v>
      </c>
      <c r="V362" s="79">
        <f t="shared" ca="1" si="273"/>
        <v>0.18205330433882497</v>
      </c>
      <c r="W362" s="79">
        <f t="shared" ca="1" si="273"/>
        <v>0.19086820514962455</v>
      </c>
      <c r="X362" s="79">
        <f t="shared" ca="1" si="273"/>
        <v>0.19792669863071127</v>
      </c>
      <c r="Y362" s="79">
        <f t="shared" ca="1" si="273"/>
        <v>0.19792669863071127</v>
      </c>
      <c r="Z362" s="79">
        <f t="shared" ca="1" si="273"/>
        <v>0.18313425646139042</v>
      </c>
      <c r="AA362" s="79">
        <f t="shared" ca="1" si="273"/>
        <v>0.18724131854509365</v>
      </c>
      <c r="AB362" s="79">
        <f t="shared" ca="1" si="273"/>
        <v>0.1889615593699234</v>
      </c>
      <c r="AC362" s="79">
        <f t="shared" ca="1" si="273"/>
        <v>0.18738320182914039</v>
      </c>
      <c r="AD362" s="79">
        <f t="shared" ca="1" si="273"/>
        <v>0.1874209287156908</v>
      </c>
      <c r="AE362" s="79">
        <f t="shared" ca="1" si="273"/>
        <v>0.18769440497924536</v>
      </c>
      <c r="AF362" s="79">
        <f t="shared" ca="1" si="273"/>
        <v>0.18663965362161561</v>
      </c>
      <c r="AG362" s="79">
        <f t="shared" ca="1" si="273"/>
        <v>0.18626079500338841</v>
      </c>
      <c r="AH362" s="79">
        <f t="shared" ca="1" si="273"/>
        <v>0.18674897287905207</v>
      </c>
      <c r="AI362" s="79">
        <f t="shared" ca="1" si="273"/>
        <v>0.18650086035090432</v>
      </c>
      <c r="AJ362" s="79">
        <f t="shared" ca="1" si="273"/>
        <v>0.18648732183928104</v>
      </c>
      <c r="AK362" s="79">
        <f t="shared" ca="1" si="273"/>
        <v>0.1863285477522818</v>
      </c>
      <c r="AL362" s="79">
        <f t="shared" ca="1" si="273"/>
        <v>0.1863285477522818</v>
      </c>
      <c r="AM362" s="79">
        <f t="shared" ca="1" si="273"/>
        <v>0.18404012503849951</v>
      </c>
      <c r="AN362" s="79">
        <f t="shared" ca="1" si="273"/>
        <v>0.19412760020989925</v>
      </c>
      <c r="AO362" s="79">
        <f t="shared" ca="1" si="273"/>
        <v>-0.10576988382024553</v>
      </c>
      <c r="AP362" s="79">
        <f t="shared" ca="1" si="273"/>
        <v>-0.10576988382024553</v>
      </c>
      <c r="AQ362" s="79">
        <f t="shared" ca="1" si="273"/>
        <v>-0.10576988382024553</v>
      </c>
      <c r="AR362" s="79">
        <f t="shared" ca="1" si="273"/>
        <v>-0.10576988382024553</v>
      </c>
      <c r="AS362" s="79">
        <f t="shared" ca="1" si="273"/>
        <v>-0.10576988382024553</v>
      </c>
      <c r="AT362" s="79">
        <f t="shared" ca="1" si="273"/>
        <v>-0.10576988382024553</v>
      </c>
      <c r="AU362" s="79">
        <f t="shared" ca="1" si="273"/>
        <v>-0.10576988382024553</v>
      </c>
      <c r="AV362" s="79">
        <f t="shared" ca="1" si="273"/>
        <v>-0.10576988382024553</v>
      </c>
      <c r="AW362" s="79">
        <f t="shared" ca="1" si="273"/>
        <v>-0.10576988382024553</v>
      </c>
      <c r="AX362" s="79">
        <f t="shared" ca="1" si="273"/>
        <v>-0.10576988382024553</v>
      </c>
      <c r="AY362" s="79">
        <f t="shared" ca="1" si="273"/>
        <v>-0.10576988382024553</v>
      </c>
    </row>
    <row r="363" spans="1:51" ht="15.5">
      <c r="A363" s="1" t="s">
        <v>142</v>
      </c>
      <c r="C363" s="104"/>
      <c r="E363" s="15" t="s">
        <v>109</v>
      </c>
      <c r="F363" s="79">
        <f t="shared" ref="F363:AY363" ca="1" si="274">IFERROR((F102/(F45+F84+F102+F118+F190)),"-")</f>
        <v>7.59952411566341E-2</v>
      </c>
      <c r="G363" s="79">
        <f t="shared" ca="1" si="274"/>
        <v>7.789453704668689E-2</v>
      </c>
      <c r="H363" s="79">
        <f t="shared" ca="1" si="274"/>
        <v>7.9858819641761919E-2</v>
      </c>
      <c r="I363" s="79">
        <f t="shared" ca="1" si="274"/>
        <v>7.7316638746272148E-2</v>
      </c>
      <c r="J363" s="79">
        <f t="shared" ca="1" si="274"/>
        <v>6.92777576998235E-2</v>
      </c>
      <c r="K363" s="79">
        <f t="shared" ca="1" si="274"/>
        <v>7.7239996995678226E-2</v>
      </c>
      <c r="L363" s="79">
        <f t="shared" ca="1" si="274"/>
        <v>8.1085602405644885E-2</v>
      </c>
      <c r="M363" s="79">
        <f t="shared" ca="1" si="274"/>
        <v>9.9100350954377581E-2</v>
      </c>
      <c r="N363" s="79">
        <f t="shared" ca="1" si="274"/>
        <v>0.10159254400881058</v>
      </c>
      <c r="O363" s="79">
        <f t="shared" ca="1" si="274"/>
        <v>0.10932347942918214</v>
      </c>
      <c r="P363" s="79">
        <f t="shared" ca="1" si="274"/>
        <v>0.10676613725770309</v>
      </c>
      <c r="Q363" s="79">
        <f t="shared" ca="1" si="274"/>
        <v>0.11005557869841907</v>
      </c>
      <c r="R363" s="79">
        <f t="shared" ca="1" si="274"/>
        <v>0.11226396098660858</v>
      </c>
      <c r="S363" s="79">
        <f t="shared" ca="1" si="274"/>
        <v>0.11745275623153076</v>
      </c>
      <c r="T363" s="79">
        <f t="shared" ca="1" si="274"/>
        <v>0.11171140593064412</v>
      </c>
      <c r="U363" s="79">
        <f t="shared" ca="1" si="274"/>
        <v>0.1128629710135524</v>
      </c>
      <c r="V363" s="79">
        <f t="shared" ca="1" si="274"/>
        <v>0.11849786560213869</v>
      </c>
      <c r="W363" s="79">
        <f t="shared" ca="1" si="274"/>
        <v>0.10951546050584524</v>
      </c>
      <c r="X363" s="79">
        <f t="shared" ca="1" si="274"/>
        <v>0.11207241234535635</v>
      </c>
      <c r="Y363" s="79">
        <f t="shared" ca="1" si="274"/>
        <v>0.11207241234535635</v>
      </c>
      <c r="Z363" s="79">
        <f t="shared" ca="1" si="274"/>
        <v>0.11886833618168791</v>
      </c>
      <c r="AA363" s="79">
        <f t="shared" ca="1" si="274"/>
        <v>0.11800168531230239</v>
      </c>
      <c r="AB363" s="79">
        <f t="shared" ca="1" si="274"/>
        <v>0.12026515104570934</v>
      </c>
      <c r="AC363" s="79">
        <f t="shared" ca="1" si="274"/>
        <v>0.11775398544788769</v>
      </c>
      <c r="AD363" s="79">
        <f t="shared" ca="1" si="274"/>
        <v>0.11725862302112598</v>
      </c>
      <c r="AE363" s="79">
        <f t="shared" ca="1" si="274"/>
        <v>0.11712645974214481</v>
      </c>
      <c r="AF363" s="79">
        <f t="shared" ca="1" si="274"/>
        <v>0.11576009277668882</v>
      </c>
      <c r="AG363" s="79">
        <f t="shared" ca="1" si="274"/>
        <v>0.11470926268370743</v>
      </c>
      <c r="AH363" s="79">
        <f t="shared" ca="1" si="274"/>
        <v>0.11476807478672214</v>
      </c>
      <c r="AI363" s="79">
        <f t="shared" ca="1" si="274"/>
        <v>0.11462793062432096</v>
      </c>
      <c r="AJ363" s="79">
        <f t="shared" ca="1" si="274"/>
        <v>0.11462998772149782</v>
      </c>
      <c r="AK363" s="79">
        <f t="shared" ca="1" si="274"/>
        <v>0.11478939278202703</v>
      </c>
      <c r="AL363" s="79">
        <f t="shared" ca="1" si="274"/>
        <v>0.11478939278202703</v>
      </c>
      <c r="AM363" s="79">
        <f t="shared" ca="1" si="274"/>
        <v>2.618761138819839E-2</v>
      </c>
      <c r="AN363" s="79">
        <f t="shared" ca="1" si="274"/>
        <v>0.10349871860320882</v>
      </c>
      <c r="AO363" s="79">
        <f t="shared" ca="1" si="274"/>
        <v>-0.30565257211068464</v>
      </c>
      <c r="AP363" s="79">
        <f t="shared" ca="1" si="274"/>
        <v>-0.30565257211068464</v>
      </c>
      <c r="AQ363" s="79">
        <f t="shared" ca="1" si="274"/>
        <v>-0.30565257211068464</v>
      </c>
      <c r="AR363" s="79">
        <f t="shared" ca="1" si="274"/>
        <v>-0.30565257211068464</v>
      </c>
      <c r="AS363" s="79">
        <f t="shared" ca="1" si="274"/>
        <v>-0.30565257211068464</v>
      </c>
      <c r="AT363" s="79">
        <f t="shared" ca="1" si="274"/>
        <v>-0.30565257211068464</v>
      </c>
      <c r="AU363" s="79">
        <f t="shared" ca="1" si="274"/>
        <v>-0.30565257211068464</v>
      </c>
      <c r="AV363" s="79">
        <f t="shared" ca="1" si="274"/>
        <v>-0.30565257211068464</v>
      </c>
      <c r="AW363" s="79">
        <f t="shared" ca="1" si="274"/>
        <v>-0.30565257211068464</v>
      </c>
      <c r="AX363" s="79">
        <f t="shared" ca="1" si="274"/>
        <v>-0.30565257211068464</v>
      </c>
      <c r="AY363" s="79">
        <f t="shared" ca="1" si="274"/>
        <v>-0.30565257211068464</v>
      </c>
    </row>
    <row r="364" spans="1:51" ht="15.5">
      <c r="A364" s="1" t="s">
        <v>142</v>
      </c>
      <c r="C364" s="104"/>
      <c r="E364" s="15" t="s">
        <v>110</v>
      </c>
      <c r="F364" s="79">
        <f t="shared" ref="F364:AY364" ca="1" si="275">IFERROR((F118/(F45+F84+F102+F118+F190)),"-")</f>
        <v>8.513743174938225E-2</v>
      </c>
      <c r="G364" s="79">
        <f t="shared" ca="1" si="275"/>
        <v>8.0128745898102788E-2</v>
      </c>
      <c r="H364" s="79">
        <f t="shared" ca="1" si="275"/>
        <v>7.8601697174707552E-2</v>
      </c>
      <c r="I364" s="79">
        <f t="shared" ca="1" si="275"/>
        <v>6.2832303298549816E-2</v>
      </c>
      <c r="J364" s="79">
        <f t="shared" ca="1" si="275"/>
        <v>7.8279561190643832E-2</v>
      </c>
      <c r="K364" s="79">
        <f t="shared" ca="1" si="275"/>
        <v>7.5099038400469331E-2</v>
      </c>
      <c r="L364" s="79">
        <f t="shared" ca="1" si="275"/>
        <v>6.7667597359047704E-2</v>
      </c>
      <c r="M364" s="79">
        <f t="shared" ca="1" si="275"/>
        <v>7.1888330683010107E-2</v>
      </c>
      <c r="N364" s="79">
        <f t="shared" ca="1" si="275"/>
        <v>6.8555501948864006E-2</v>
      </c>
      <c r="O364" s="79">
        <f t="shared" ca="1" si="275"/>
        <v>6.7121649997161678E-2</v>
      </c>
      <c r="P364" s="79">
        <f t="shared" ca="1" si="275"/>
        <v>6.7179251613995836E-2</v>
      </c>
      <c r="Q364" s="79">
        <f t="shared" ca="1" si="275"/>
        <v>6.5862367346596493E-2</v>
      </c>
      <c r="R364" s="79">
        <f t="shared" ca="1" si="275"/>
        <v>6.6777787369961927E-2</v>
      </c>
      <c r="S364" s="79">
        <f t="shared" ca="1" si="275"/>
        <v>6.1430002399128325E-2</v>
      </c>
      <c r="T364" s="79">
        <f t="shared" ca="1" si="275"/>
        <v>6.6888094192365868E-2</v>
      </c>
      <c r="U364" s="79">
        <f t="shared" ca="1" si="275"/>
        <v>6.631719343464644E-2</v>
      </c>
      <c r="V364" s="79">
        <f t="shared" ca="1" si="275"/>
        <v>6.7472860453443362E-2</v>
      </c>
      <c r="W364" s="79">
        <f t="shared" ca="1" si="275"/>
        <v>6.4899173808635024E-2</v>
      </c>
      <c r="X364" s="79">
        <f t="shared" ca="1" si="275"/>
        <v>6.6829221864793245E-2</v>
      </c>
      <c r="Y364" s="79">
        <f t="shared" ca="1" si="275"/>
        <v>6.6829221864793245E-2</v>
      </c>
      <c r="Z364" s="79">
        <f t="shared" ca="1" si="275"/>
        <v>5.6577622329506326E-2</v>
      </c>
      <c r="AA364" s="79">
        <f t="shared" ca="1" si="275"/>
        <v>5.9781342380628634E-2</v>
      </c>
      <c r="AB364" s="79">
        <f t="shared" ca="1" si="275"/>
        <v>5.8775296786302528E-2</v>
      </c>
      <c r="AC364" s="79">
        <f t="shared" ca="1" si="275"/>
        <v>5.8995213939586809E-2</v>
      </c>
      <c r="AD364" s="79">
        <f t="shared" ca="1" si="275"/>
        <v>5.8823649166353409E-2</v>
      </c>
      <c r="AE364" s="79">
        <f t="shared" ca="1" si="275"/>
        <v>5.8594118243194493E-2</v>
      </c>
      <c r="AF364" s="79">
        <f t="shared" ca="1" si="275"/>
        <v>5.9550051376801812E-2</v>
      </c>
      <c r="AG364" s="79">
        <f t="shared" ca="1" si="275"/>
        <v>5.8770411260670202E-2</v>
      </c>
      <c r="AH364" s="79">
        <f t="shared" ca="1" si="275"/>
        <v>5.8680629329998624E-2</v>
      </c>
      <c r="AI364" s="79">
        <f t="shared" ca="1" si="275"/>
        <v>5.8614281033291374E-2</v>
      </c>
      <c r="AJ364" s="79">
        <f t="shared" ca="1" si="275"/>
        <v>5.848153347803442E-2</v>
      </c>
      <c r="AK364" s="79">
        <f t="shared" ca="1" si="275"/>
        <v>5.8652116101118978E-2</v>
      </c>
      <c r="AL364" s="79">
        <f t="shared" ca="1" si="275"/>
        <v>5.8652116101118978E-2</v>
      </c>
      <c r="AM364" s="79">
        <f t="shared" ca="1" si="275"/>
        <v>5.1219609581719679E-2</v>
      </c>
      <c r="AN364" s="79">
        <f t="shared" ca="1" si="275"/>
        <v>6.1714392940328919E-2</v>
      </c>
      <c r="AO364" s="79">
        <f t="shared" ca="1" si="275"/>
        <v>2.9504924004651305E-2</v>
      </c>
      <c r="AP364" s="79">
        <f t="shared" ca="1" si="275"/>
        <v>2.9504924004651305E-2</v>
      </c>
      <c r="AQ364" s="79">
        <f t="shared" ca="1" si="275"/>
        <v>2.9504924004651305E-2</v>
      </c>
      <c r="AR364" s="79">
        <f t="shared" ca="1" si="275"/>
        <v>2.9504924004651305E-2</v>
      </c>
      <c r="AS364" s="79">
        <f t="shared" ca="1" si="275"/>
        <v>2.9504924004651305E-2</v>
      </c>
      <c r="AT364" s="79">
        <f t="shared" ca="1" si="275"/>
        <v>2.9504924004651305E-2</v>
      </c>
      <c r="AU364" s="79">
        <f t="shared" ca="1" si="275"/>
        <v>2.9504924004651305E-2</v>
      </c>
      <c r="AV364" s="79">
        <f t="shared" ca="1" si="275"/>
        <v>2.9504924004651305E-2</v>
      </c>
      <c r="AW364" s="79">
        <f t="shared" ca="1" si="275"/>
        <v>2.9504924004651305E-2</v>
      </c>
      <c r="AX364" s="79">
        <f t="shared" ca="1" si="275"/>
        <v>2.9504924004651305E-2</v>
      </c>
      <c r="AY364" s="79">
        <f t="shared" ca="1" si="275"/>
        <v>2.9504924004651305E-2</v>
      </c>
    </row>
    <row r="365" spans="1:51" ht="15.5">
      <c r="A365" s="1" t="s">
        <v>142</v>
      </c>
      <c r="C365" s="104"/>
      <c r="E365" s="15" t="s">
        <v>111</v>
      </c>
      <c r="F365" s="80">
        <f t="shared" ref="F365:AY365" ca="1" si="276">IFERROR((F190/(F45+F84+F102+F118+F190)),"-")</f>
        <v>0.23310064798152066</v>
      </c>
      <c r="G365" s="80">
        <f t="shared" ca="1" si="276"/>
        <v>0.24310093562380913</v>
      </c>
      <c r="H365" s="80">
        <f t="shared" ca="1" si="276"/>
        <v>0.26783263186886663</v>
      </c>
      <c r="I365" s="80">
        <f t="shared" ca="1" si="276"/>
        <v>0.24387541338373706</v>
      </c>
      <c r="J365" s="80">
        <f t="shared" ca="1" si="276"/>
        <v>0.26700618256546432</v>
      </c>
      <c r="K365" s="80">
        <f t="shared" ca="1" si="276"/>
        <v>0.25818996526844812</v>
      </c>
      <c r="L365" s="80">
        <f t="shared" ca="1" si="276"/>
        <v>0.25650917641470589</v>
      </c>
      <c r="M365" s="80">
        <f t="shared" ca="1" si="276"/>
        <v>0.17998354955326845</v>
      </c>
      <c r="N365" s="80">
        <f t="shared" ca="1" si="276"/>
        <v>0.24799818036315327</v>
      </c>
      <c r="O365" s="80">
        <f t="shared" ca="1" si="276"/>
        <v>0.24243897423148167</v>
      </c>
      <c r="P365" s="80">
        <f t="shared" ca="1" si="276"/>
        <v>0.24142272963371608</v>
      </c>
      <c r="Q365" s="80">
        <f t="shared" ca="1" si="276"/>
        <v>0.24221337491555486</v>
      </c>
      <c r="R365" s="80">
        <f t="shared" ca="1" si="276"/>
        <v>0.23302011901229255</v>
      </c>
      <c r="S365" s="80">
        <f t="shared" ca="1" si="276"/>
        <v>0.19739635171459632</v>
      </c>
      <c r="T365" s="80">
        <f t="shared" ca="1" si="276"/>
        <v>0.23842046248790216</v>
      </c>
      <c r="U365" s="80">
        <f t="shared" ca="1" si="276"/>
        <v>0.23943270225777916</v>
      </c>
      <c r="V365" s="80">
        <f t="shared" ca="1" si="276"/>
        <v>0.19837812002260621</v>
      </c>
      <c r="W365" s="80">
        <f t="shared" ca="1" si="276"/>
        <v>0.24469938803100558</v>
      </c>
      <c r="X365" s="80">
        <f t="shared" ca="1" si="276"/>
        <v>0.24224114265363242</v>
      </c>
      <c r="Y365" s="80">
        <f t="shared" ca="1" si="276"/>
        <v>0.24224114265363242</v>
      </c>
      <c r="Z365" s="80">
        <f t="shared" ca="1" si="276"/>
        <v>0.25647219191563131</v>
      </c>
      <c r="AA365" s="80">
        <f t="shared" ca="1" si="276"/>
        <v>0.25002657341047696</v>
      </c>
      <c r="AB365" s="80">
        <f t="shared" ca="1" si="276"/>
        <v>0.24986271321408438</v>
      </c>
      <c r="AC365" s="80">
        <f t="shared" ca="1" si="276"/>
        <v>0.25151232234938936</v>
      </c>
      <c r="AD365" s="80">
        <f t="shared" ca="1" si="276"/>
        <v>0.25136316321622582</v>
      </c>
      <c r="AE365" s="80">
        <f t="shared" ca="1" si="276"/>
        <v>0.25081841258917004</v>
      </c>
      <c r="AF365" s="80">
        <f t="shared" ca="1" si="276"/>
        <v>0.25146134715595858</v>
      </c>
      <c r="AG365" s="80">
        <f t="shared" ca="1" si="276"/>
        <v>0.25274110360378549</v>
      </c>
      <c r="AH365" s="80">
        <f t="shared" ca="1" si="276"/>
        <v>0.25237967559414903</v>
      </c>
      <c r="AI365" s="80">
        <f t="shared" ca="1" si="276"/>
        <v>0.2521517828278928</v>
      </c>
      <c r="AJ365" s="80">
        <f t="shared" ca="1" si="276"/>
        <v>0.25176612816914701</v>
      </c>
      <c r="AK365" s="80">
        <f t="shared" ca="1" si="276"/>
        <v>0.25137810563069329</v>
      </c>
      <c r="AL365" s="80">
        <f t="shared" ca="1" si="276"/>
        <v>0.25137810563069329</v>
      </c>
      <c r="AM365" s="80">
        <f t="shared" ca="1" si="276"/>
        <v>0.24364261026840145</v>
      </c>
      <c r="AN365" s="80">
        <f t="shared" ca="1" si="276"/>
        <v>0.2466098825148488</v>
      </c>
      <c r="AO365" s="80">
        <f t="shared" ca="1" si="276"/>
        <v>0.82975395412494724</v>
      </c>
      <c r="AP365" s="80">
        <f t="shared" ca="1" si="276"/>
        <v>0.82975395412494724</v>
      </c>
      <c r="AQ365" s="80">
        <f t="shared" ca="1" si="276"/>
        <v>0.82975395412494724</v>
      </c>
      <c r="AR365" s="80">
        <f t="shared" ca="1" si="276"/>
        <v>0.82975395412494724</v>
      </c>
      <c r="AS365" s="80">
        <f t="shared" ca="1" si="276"/>
        <v>0.82975395412494724</v>
      </c>
      <c r="AT365" s="80">
        <f t="shared" ca="1" si="276"/>
        <v>0.82975395412494724</v>
      </c>
      <c r="AU365" s="80">
        <f t="shared" ca="1" si="276"/>
        <v>0.82975395412494724</v>
      </c>
      <c r="AV365" s="80">
        <f t="shared" ca="1" si="276"/>
        <v>0.82975395412494724</v>
      </c>
      <c r="AW365" s="80">
        <f t="shared" ca="1" si="276"/>
        <v>0.82975395412494724</v>
      </c>
      <c r="AX365" s="80">
        <f t="shared" ca="1" si="276"/>
        <v>0.82975395412494724</v>
      </c>
      <c r="AY365" s="80">
        <f t="shared" ca="1" si="276"/>
        <v>0.82975395412494724</v>
      </c>
    </row>
    <row r="366" spans="1:51" ht="15.5">
      <c r="A366" s="1" t="s">
        <v>142</v>
      </c>
      <c r="C366" s="104"/>
      <c r="E366" s="53" t="s">
        <v>112</v>
      </c>
      <c r="F366" s="81">
        <f t="shared" ref="F366:AY366" ca="1" si="277">IFERROR(-F262/F25,"-")</f>
        <v>9.6679477546284753E-2</v>
      </c>
      <c r="G366" s="81">
        <f t="shared" ca="1" si="277"/>
        <v>9.6043332173524232E-2</v>
      </c>
      <c r="H366" s="81">
        <f t="shared" ca="1" si="277"/>
        <v>9.4905136436685994E-2</v>
      </c>
      <c r="I366" s="81">
        <f t="shared" ca="1" si="277"/>
        <v>9.3170416037883869E-2</v>
      </c>
      <c r="J366" s="81">
        <f t="shared" ca="1" si="277"/>
        <v>0.10616416086266846</v>
      </c>
      <c r="K366" s="81">
        <f t="shared" ca="1" si="277"/>
        <v>9.4896652385595442E-2</v>
      </c>
      <c r="L366" s="81">
        <f t="shared" ca="1" si="277"/>
        <v>9.4719703567566926E-2</v>
      </c>
      <c r="M366" s="81">
        <f t="shared" ca="1" si="277"/>
        <v>8.6774256975800754E-2</v>
      </c>
      <c r="N366" s="81">
        <f t="shared" ca="1" si="277"/>
        <v>9.2570773922674154E-2</v>
      </c>
      <c r="O366" s="81">
        <f t="shared" ca="1" si="277"/>
        <v>9.2407677806691166E-2</v>
      </c>
      <c r="P366" s="81">
        <f t="shared" ca="1" si="277"/>
        <v>8.3804876052092567E-2</v>
      </c>
      <c r="Q366" s="81">
        <f t="shared" ca="1" si="277"/>
        <v>9.0697465127228385E-2</v>
      </c>
      <c r="R366" s="81">
        <f t="shared" ca="1" si="277"/>
        <v>9.0918289441790603E-2</v>
      </c>
      <c r="S366" s="81">
        <f t="shared" ca="1" si="277"/>
        <v>6.4279381191692575E-2</v>
      </c>
      <c r="T366" s="81">
        <f t="shared" ca="1" si="277"/>
        <v>8.9740178855498939E-2</v>
      </c>
      <c r="U366" s="81">
        <f t="shared" ca="1" si="277"/>
        <v>8.9048835675541269E-2</v>
      </c>
      <c r="V366" s="81">
        <f t="shared" ca="1" si="277"/>
        <v>6.5472475736970973E-2</v>
      </c>
      <c r="W366" s="81">
        <f t="shared" ca="1" si="277"/>
        <v>8.9332521516023722E-2</v>
      </c>
      <c r="X366" s="81">
        <f t="shared" ca="1" si="277"/>
        <v>9.07939492504371E-2</v>
      </c>
      <c r="Y366" s="81">
        <f t="shared" ca="1" si="277"/>
        <v>9.07939492504371E-2</v>
      </c>
      <c r="Z366" s="81">
        <f t="shared" ca="1" si="277"/>
        <v>9.0858909008679545E-2</v>
      </c>
      <c r="AA366" s="81">
        <f t="shared" ca="1" si="277"/>
        <v>9.3553793598834756E-2</v>
      </c>
      <c r="AB366" s="81">
        <f t="shared" ca="1" si="277"/>
        <v>9.1973980187960935E-2</v>
      </c>
      <c r="AC366" s="81">
        <f t="shared" ca="1" si="277"/>
        <v>9.1742502327742073E-2</v>
      </c>
      <c r="AD366" s="81">
        <f t="shared" ca="1" si="277"/>
        <v>9.2605678627859608E-2</v>
      </c>
      <c r="AE366" s="81">
        <f t="shared" ca="1" si="277"/>
        <v>9.0944869960100594E-2</v>
      </c>
      <c r="AF366" s="81">
        <f t="shared" ca="1" si="277"/>
        <v>9.0399074225546938E-2</v>
      </c>
      <c r="AG366" s="81">
        <f t="shared" ca="1" si="277"/>
        <v>8.9950289898779123E-2</v>
      </c>
      <c r="AH366" s="81">
        <f t="shared" ca="1" si="277"/>
        <v>8.9165234458917303E-2</v>
      </c>
      <c r="AI366" s="81">
        <f t="shared" ca="1" si="277"/>
        <v>8.8688770956550408E-2</v>
      </c>
      <c r="AJ366" s="81">
        <f t="shared" ca="1" si="277"/>
        <v>8.842735738796148E-2</v>
      </c>
      <c r="AK366" s="81">
        <f t="shared" ca="1" si="277"/>
        <v>8.8652245774389946E-2</v>
      </c>
      <c r="AL366" s="81">
        <f t="shared" ca="1" si="277"/>
        <v>8.8652245774389946E-2</v>
      </c>
      <c r="AM366" s="81">
        <f t="shared" ca="1" si="277"/>
        <v>6.9581918983231905E-2</v>
      </c>
      <c r="AN366" s="81">
        <f t="shared" ca="1" si="277"/>
        <v>9.3124259365753498E-2</v>
      </c>
      <c r="AO366" s="81">
        <f t="shared" ca="1" si="277"/>
        <v>9.3124259365753484E-2</v>
      </c>
      <c r="AP366" s="81">
        <f t="shared" ca="1" si="277"/>
        <v>9.3124259365753484E-2</v>
      </c>
      <c r="AQ366" s="81">
        <f t="shared" ca="1" si="277"/>
        <v>9.3124259365753484E-2</v>
      </c>
      <c r="AR366" s="81">
        <f t="shared" ca="1" si="277"/>
        <v>9.3124259365753484E-2</v>
      </c>
      <c r="AS366" s="81">
        <f t="shared" ca="1" si="277"/>
        <v>9.3124259365753484E-2</v>
      </c>
      <c r="AT366" s="81">
        <f t="shared" ca="1" si="277"/>
        <v>9.3124259365753484E-2</v>
      </c>
      <c r="AU366" s="81">
        <f t="shared" ca="1" si="277"/>
        <v>9.3124259365753484E-2</v>
      </c>
      <c r="AV366" s="81">
        <f t="shared" ca="1" si="277"/>
        <v>9.3124259365753484E-2</v>
      </c>
      <c r="AW366" s="81">
        <f t="shared" ca="1" si="277"/>
        <v>9.3124259365753484E-2</v>
      </c>
      <c r="AX366" s="81">
        <f t="shared" ca="1" si="277"/>
        <v>9.3124259365753484E-2</v>
      </c>
      <c r="AY366" s="81">
        <f t="shared" ca="1" si="277"/>
        <v>9.3124259365753484E-2</v>
      </c>
    </row>
    <row r="367" spans="1:51" ht="9" customHeight="1">
      <c r="A367" s="1" t="s">
        <v>142</v>
      </c>
      <c r="C367" s="104"/>
      <c r="E367" s="7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</row>
    <row r="368" spans="1:51" ht="15.5">
      <c r="A368" s="1" t="s">
        <v>142</v>
      </c>
      <c r="C368" s="104"/>
      <c r="E368" s="17" t="str">
        <f ca="1">"Revenue "&amp;RIGHT(Context!$E$37,3)&amp;"/km"</f>
        <v>Revenue EUR/km</v>
      </c>
      <c r="F368" s="58">
        <f t="shared" ref="F368:AY368" ca="1" si="278">IFERROR(F25/F317,"-")</f>
        <v>6.0920494379934977</v>
      </c>
      <c r="G368" s="58">
        <f t="shared" ca="1" si="278"/>
        <v>5.5916940313924952</v>
      </c>
      <c r="H368" s="58">
        <f t="shared" ca="1" si="278"/>
        <v>6.3072499795842125</v>
      </c>
      <c r="I368" s="58">
        <f t="shared" ca="1" si="278"/>
        <v>6.6030894972969048</v>
      </c>
      <c r="J368" s="58">
        <f t="shared" ca="1" si="278"/>
        <v>8.4655153065012954</v>
      </c>
      <c r="K368" s="58">
        <f t="shared" ca="1" si="278"/>
        <v>7.5505762685466893</v>
      </c>
      <c r="L368" s="58">
        <f t="shared" ca="1" si="278"/>
        <v>8.3286866178908472</v>
      </c>
      <c r="M368" s="58">
        <f t="shared" ca="1" si="278"/>
        <v>2.9995817089276873</v>
      </c>
      <c r="N368" s="58">
        <f t="shared" ca="1" si="278"/>
        <v>8.5192434137970583</v>
      </c>
      <c r="O368" s="58">
        <f t="shared" ca="1" si="278"/>
        <v>8.3574202981077743</v>
      </c>
      <c r="P368" s="58">
        <f t="shared" ca="1" si="278"/>
        <v>8.554259023655181</v>
      </c>
      <c r="Q368" s="58">
        <f t="shared" ca="1" si="278"/>
        <v>8.5068613477812161</v>
      </c>
      <c r="R368" s="58">
        <f t="shared" ca="1" si="278"/>
        <v>8.5246277157468864</v>
      </c>
      <c r="S368" s="58">
        <f t="shared" ca="1" si="278"/>
        <v>0.14893400074863977</v>
      </c>
      <c r="T368" s="58">
        <f t="shared" ca="1" si="278"/>
        <v>8.1150480222519885</v>
      </c>
      <c r="U368" s="58">
        <f t="shared" ca="1" si="278"/>
        <v>7.8435491392473331</v>
      </c>
      <c r="V368" s="58">
        <f t="shared" ca="1" si="278"/>
        <v>1.4149760840058845</v>
      </c>
      <c r="W368" s="58">
        <f t="shared" ca="1" si="278"/>
        <v>7.6225418547255321</v>
      </c>
      <c r="X368" s="58">
        <f t="shared" ca="1" si="278"/>
        <v>7.753940956808604</v>
      </c>
      <c r="Y368" s="58">
        <f t="shared" ca="1" si="278"/>
        <v>7.753940956808604</v>
      </c>
      <c r="Z368" s="58">
        <f t="shared" ca="1" si="278"/>
        <v>8.3345495231973974</v>
      </c>
      <c r="AA368" s="58">
        <f t="shared" ca="1" si="278"/>
        <v>8.8294302999042209</v>
      </c>
      <c r="AB368" s="58">
        <f t="shared" ca="1" si="278"/>
        <v>8.5887517835765053</v>
      </c>
      <c r="AC368" s="58">
        <f t="shared" ca="1" si="278"/>
        <v>8.8298342814709443</v>
      </c>
      <c r="AD368" s="58">
        <f t="shared" ca="1" si="278"/>
        <v>9.1568544481081027</v>
      </c>
      <c r="AE368" s="58">
        <f t="shared" ca="1" si="278"/>
        <v>9.3183890092836421</v>
      </c>
      <c r="AF368" s="58">
        <f t="shared" ca="1" si="278"/>
        <v>9.6489229232106357</v>
      </c>
      <c r="AG368" s="58">
        <f t="shared" ca="1" si="278"/>
        <v>10.005721122460532</v>
      </c>
      <c r="AH368" s="58">
        <f t="shared" ca="1" si="278"/>
        <v>10.078322410805185</v>
      </c>
      <c r="AI368" s="58">
        <f t="shared" ca="1" si="278"/>
        <v>10.181442798405129</v>
      </c>
      <c r="AJ368" s="58">
        <f t="shared" ca="1" si="278"/>
        <v>10.240024802124593</v>
      </c>
      <c r="AK368" s="58">
        <f t="shared" ca="1" si="278"/>
        <v>10.366895523309188</v>
      </c>
      <c r="AL368" s="58">
        <f t="shared" ca="1" si="278"/>
        <v>10.366895523309188</v>
      </c>
      <c r="AM368" s="58">
        <f t="shared" ca="1" si="278"/>
        <v>0.43705088336944009</v>
      </c>
      <c r="AN368" s="58">
        <f t="shared" ca="1" si="278"/>
        <v>4.004057210277904</v>
      </c>
      <c r="AO368" s="58">
        <f t="shared" ca="1" si="278"/>
        <v>4.0040572102779048</v>
      </c>
      <c r="AP368" s="58">
        <f t="shared" ca="1" si="278"/>
        <v>4.0040572102779048</v>
      </c>
      <c r="AQ368" s="58">
        <f t="shared" ca="1" si="278"/>
        <v>4.0040572102779048</v>
      </c>
      <c r="AR368" s="58">
        <f t="shared" ca="1" si="278"/>
        <v>4.0040572102779048</v>
      </c>
      <c r="AS368" s="58">
        <f t="shared" ca="1" si="278"/>
        <v>4.0040572102779048</v>
      </c>
      <c r="AT368" s="58">
        <f t="shared" ca="1" si="278"/>
        <v>4.0040572102779048</v>
      </c>
      <c r="AU368" s="58">
        <f t="shared" ca="1" si="278"/>
        <v>4.0040572102779048</v>
      </c>
      <c r="AV368" s="58">
        <f t="shared" ca="1" si="278"/>
        <v>4.0040572102779048</v>
      </c>
      <c r="AW368" s="58">
        <f t="shared" ca="1" si="278"/>
        <v>4.0040572102779048</v>
      </c>
      <c r="AX368" s="58">
        <f t="shared" ca="1" si="278"/>
        <v>4.0040572102779048</v>
      </c>
      <c r="AY368" s="58">
        <f t="shared" ca="1" si="278"/>
        <v>4.0040572102779048</v>
      </c>
    </row>
    <row r="369" spans="1:51" ht="15.5">
      <c r="A369" s="1" t="s">
        <v>142</v>
      </c>
      <c r="C369" s="104"/>
      <c r="E369" s="15" t="s">
        <v>113</v>
      </c>
      <c r="F369" s="57">
        <f ca="1">IFERROR(F333/F313,"-")</f>
        <v>0.55805310610417169</v>
      </c>
      <c r="G369" s="57">
        <f t="shared" ref="G369:AY369" ca="1" si="279">IFERROR(G333/G313,"-")</f>
        <v>0.53888602288873755</v>
      </c>
      <c r="H369" s="57">
        <f t="shared" ca="1" si="279"/>
        <v>0.53238848761619895</v>
      </c>
      <c r="I369" s="57">
        <f t="shared" ca="1" si="279"/>
        <v>0.47381333812221671</v>
      </c>
      <c r="J369" s="57">
        <f t="shared" ca="1" si="279"/>
        <v>0.4234076098086601</v>
      </c>
      <c r="K369" s="57">
        <f t="shared" ca="1" si="279"/>
        <v>0.40521455744602508</v>
      </c>
      <c r="L369" s="57">
        <f t="shared" ca="1" si="279"/>
        <v>0.38670955525847389</v>
      </c>
      <c r="M369" s="57">
        <f t="shared" ca="1" si="279"/>
        <v>0.45596088427376252</v>
      </c>
      <c r="N369" s="57">
        <f t="shared" ca="1" si="279"/>
        <v>0.4371979725001604</v>
      </c>
      <c r="O369" s="57">
        <f t="shared" ca="1" si="279"/>
        <v>0.43164571769772858</v>
      </c>
      <c r="P369" s="57">
        <f t="shared" ca="1" si="279"/>
        <v>0.43375980727393992</v>
      </c>
      <c r="Q369" s="57">
        <f t="shared" ca="1" si="279"/>
        <v>0.41964556152119897</v>
      </c>
      <c r="R369" s="57">
        <f t="shared" ca="1" si="279"/>
        <v>0.41858680141667554</v>
      </c>
      <c r="S369" s="57">
        <f t="shared" ca="1" si="279"/>
        <v>1.5627881863607893E-2</v>
      </c>
      <c r="T369" s="57">
        <f t="shared" ca="1" si="279"/>
        <v>0.42542750632623982</v>
      </c>
      <c r="U369" s="57">
        <f t="shared" ca="1" si="279"/>
        <v>0.38920578221994595</v>
      </c>
      <c r="V369" s="57">
        <f t="shared" ca="1" si="279"/>
        <v>0.44808821558697393</v>
      </c>
      <c r="W369" s="57">
        <f t="shared" ca="1" si="279"/>
        <v>0.44231017983516702</v>
      </c>
      <c r="X369" s="57">
        <f t="shared" ca="1" si="279"/>
        <v>0.44191923955295415</v>
      </c>
      <c r="Y369" s="57">
        <f t="shared" ca="1" si="279"/>
        <v>0.44191923955295415</v>
      </c>
      <c r="Z369" s="57">
        <f t="shared" ca="1" si="279"/>
        <v>0.40762829035118092</v>
      </c>
      <c r="AA369" s="57">
        <f t="shared" ca="1" si="279"/>
        <v>0.4175620167698727</v>
      </c>
      <c r="AB369" s="57">
        <f t="shared" ca="1" si="279"/>
        <v>0.41183814103960426</v>
      </c>
      <c r="AC369" s="57">
        <f t="shared" ca="1" si="279"/>
        <v>0.41396178488803348</v>
      </c>
      <c r="AD369" s="57">
        <f t="shared" ca="1" si="279"/>
        <v>0.4133790909847363</v>
      </c>
      <c r="AE369" s="57">
        <f t="shared" ca="1" si="279"/>
        <v>0.40932493283517946</v>
      </c>
      <c r="AF369" s="57">
        <f t="shared" ca="1" si="279"/>
        <v>0.41241642455903638</v>
      </c>
      <c r="AG369" s="57">
        <f t="shared" ca="1" si="279"/>
        <v>0.41659250817737892</v>
      </c>
      <c r="AH369" s="57">
        <f t="shared" ca="1" si="279"/>
        <v>0.41446929390210474</v>
      </c>
      <c r="AI369" s="57">
        <f t="shared" ca="1" si="279"/>
        <v>0.41464752942089073</v>
      </c>
      <c r="AJ369" s="57">
        <f t="shared" ca="1" si="279"/>
        <v>0.41421608030117052</v>
      </c>
      <c r="AK369" s="57">
        <f t="shared" ca="1" si="279"/>
        <v>0.41389599382735554</v>
      </c>
      <c r="AL369" s="57">
        <f t="shared" ca="1" si="279"/>
        <v>0.41389599382735554</v>
      </c>
      <c r="AM369" s="57">
        <f t="shared" ca="1" si="279"/>
        <v>0.13149312519614201</v>
      </c>
      <c r="AN369" s="57">
        <f t="shared" ca="1" si="279"/>
        <v>0.43349770295360779</v>
      </c>
      <c r="AO369" s="57">
        <f t="shared" ca="1" si="279"/>
        <v>0.43349770295360779</v>
      </c>
      <c r="AP369" s="57">
        <f t="shared" ca="1" si="279"/>
        <v>0.43349770295360779</v>
      </c>
      <c r="AQ369" s="57">
        <f t="shared" ca="1" si="279"/>
        <v>0.43349770295360779</v>
      </c>
      <c r="AR369" s="57">
        <f t="shared" ca="1" si="279"/>
        <v>0.43349770295360779</v>
      </c>
      <c r="AS369" s="57">
        <f t="shared" ca="1" si="279"/>
        <v>0.43349770295360779</v>
      </c>
      <c r="AT369" s="57">
        <f t="shared" ca="1" si="279"/>
        <v>0.43349770295360779</v>
      </c>
      <c r="AU369" s="57">
        <f t="shared" ca="1" si="279"/>
        <v>0.43349770295360779</v>
      </c>
      <c r="AV369" s="57">
        <f t="shared" ca="1" si="279"/>
        <v>0.43349770295360779</v>
      </c>
      <c r="AW369" s="57">
        <f t="shared" ca="1" si="279"/>
        <v>0.43349770295360779</v>
      </c>
      <c r="AX369" s="57">
        <f t="shared" ca="1" si="279"/>
        <v>0.43349770295360779</v>
      </c>
      <c r="AY369" s="57">
        <f t="shared" ca="1" si="279"/>
        <v>0.43349770295360779</v>
      </c>
    </row>
    <row r="370" spans="1:51" ht="15.5">
      <c r="A370" s="1" t="s">
        <v>142</v>
      </c>
      <c r="C370" s="104"/>
      <c r="E370" s="15" t="s">
        <v>114</v>
      </c>
      <c r="F370" s="57">
        <f ca="1">IFERROR(F335/F314,"-")</f>
        <v>2.0761878803585474</v>
      </c>
      <c r="G370" s="57">
        <f t="shared" ref="G370:AY370" ca="1" si="280">IFERROR(G335/G314,"-")</f>
        <v>2.0843300708143331</v>
      </c>
      <c r="H370" s="57">
        <f t="shared" ca="1" si="280"/>
        <v>1.8610952486022738</v>
      </c>
      <c r="I370" s="57">
        <f t="shared" ca="1" si="280"/>
        <v>1.3751860668648122</v>
      </c>
      <c r="J370" s="57">
        <f t="shared" ca="1" si="280"/>
        <v>1.5535086949607069</v>
      </c>
      <c r="K370" s="57">
        <f t="shared" ca="1" si="280"/>
        <v>1.2297346205309745</v>
      </c>
      <c r="L370" s="57">
        <f t="shared" ca="1" si="280"/>
        <v>0.49900674935945688</v>
      </c>
      <c r="M370" s="57">
        <f t="shared" ca="1" si="280"/>
        <v>0.66778540533847186</v>
      </c>
      <c r="N370" s="57">
        <f t="shared" ca="1" si="280"/>
        <v>1.073789085878428</v>
      </c>
      <c r="O370" s="57">
        <f t="shared" ca="1" si="280"/>
        <v>1.0595383744199773</v>
      </c>
      <c r="P370" s="57">
        <f t="shared" ca="1" si="280"/>
        <v>1.0445055427291514</v>
      </c>
      <c r="Q370" s="57">
        <f t="shared" ca="1" si="280"/>
        <v>1.0142464505004676</v>
      </c>
      <c r="R370" s="57">
        <f t="shared" ca="1" si="280"/>
        <v>1.0077786111431777</v>
      </c>
      <c r="S370" s="57">
        <f t="shared" ca="1" si="280"/>
        <v>1.9233189208681266E-3</v>
      </c>
      <c r="T370" s="57">
        <f t="shared" ca="1" si="280"/>
        <v>0.89495191159691168</v>
      </c>
      <c r="U370" s="57">
        <f t="shared" ca="1" si="280"/>
        <v>0.80760599595113403</v>
      </c>
      <c r="V370" s="57">
        <f t="shared" ca="1" si="280"/>
        <v>0.78716915526809861</v>
      </c>
      <c r="W370" s="57">
        <f t="shared" ca="1" si="280"/>
        <v>0.79428981298948931</v>
      </c>
      <c r="X370" s="57">
        <f t="shared" ca="1" si="280"/>
        <v>0.78304743429547297</v>
      </c>
      <c r="Y370" s="57">
        <f t="shared" ca="1" si="280"/>
        <v>0.78304743429547297</v>
      </c>
      <c r="Z370" s="57">
        <f t="shared" ca="1" si="280"/>
        <v>0.41304036321707854</v>
      </c>
      <c r="AA370" s="57">
        <f t="shared" ca="1" si="280"/>
        <v>0.41579804578068402</v>
      </c>
      <c r="AB370" s="57">
        <f t="shared" ca="1" si="280"/>
        <v>0.41393703055586673</v>
      </c>
      <c r="AC370" s="57">
        <f t="shared" ca="1" si="280"/>
        <v>0.41459749957307274</v>
      </c>
      <c r="AD370" s="57">
        <f t="shared" ca="1" si="280"/>
        <v>0.41323471808162099</v>
      </c>
      <c r="AE370" s="57">
        <f t="shared" ca="1" si="280"/>
        <v>0.41201982663848968</v>
      </c>
      <c r="AF370" s="57">
        <f t="shared" ca="1" si="280"/>
        <v>0.41265924429559664</v>
      </c>
      <c r="AG370" s="57">
        <f t="shared" ca="1" si="280"/>
        <v>0.41392870634898205</v>
      </c>
      <c r="AH370" s="57">
        <f t="shared" ca="1" si="280"/>
        <v>0.41314376579679829</v>
      </c>
      <c r="AI370" s="57">
        <f t="shared" ca="1" si="280"/>
        <v>0.41300336646445962</v>
      </c>
      <c r="AJ370" s="57">
        <f t="shared" ca="1" si="280"/>
        <v>0.41275828201087444</v>
      </c>
      <c r="AK370" s="57">
        <f t="shared" ca="1" si="280"/>
        <v>0.41288628920495629</v>
      </c>
      <c r="AL370" s="57">
        <f t="shared" ca="1" si="280"/>
        <v>0.41288628920495629</v>
      </c>
      <c r="AM370" s="57">
        <f t="shared" ca="1" si="280"/>
        <v>0.63049733519895601</v>
      </c>
      <c r="AN370" s="57">
        <f t="shared" ca="1" si="280"/>
        <v>1.0683278329987431</v>
      </c>
      <c r="AO370" s="57">
        <f t="shared" ca="1" si="280"/>
        <v>1.0683278329987431</v>
      </c>
      <c r="AP370" s="57">
        <f t="shared" ca="1" si="280"/>
        <v>1.0683278329987431</v>
      </c>
      <c r="AQ370" s="57">
        <f t="shared" ca="1" si="280"/>
        <v>1.0683278329987431</v>
      </c>
      <c r="AR370" s="57">
        <f t="shared" ca="1" si="280"/>
        <v>1.0683278329987431</v>
      </c>
      <c r="AS370" s="57">
        <f t="shared" ca="1" si="280"/>
        <v>1.0683278329987431</v>
      </c>
      <c r="AT370" s="57">
        <f t="shared" ca="1" si="280"/>
        <v>1.0683278329987431</v>
      </c>
      <c r="AU370" s="57">
        <f t="shared" ca="1" si="280"/>
        <v>1.0683278329987431</v>
      </c>
      <c r="AV370" s="57">
        <f t="shared" ca="1" si="280"/>
        <v>1.0683278329987431</v>
      </c>
      <c r="AW370" s="57">
        <f t="shared" ca="1" si="280"/>
        <v>1.0683278329987431</v>
      </c>
      <c r="AX370" s="57">
        <f t="shared" ca="1" si="280"/>
        <v>1.0683278329987431</v>
      </c>
      <c r="AY370" s="57">
        <f t="shared" ca="1" si="280"/>
        <v>1.0683278329987431</v>
      </c>
    </row>
    <row r="371" spans="1:51" ht="15.5">
      <c r="A371" s="1" t="s">
        <v>142</v>
      </c>
      <c r="C371" s="104"/>
      <c r="E371" s="15" t="s">
        <v>115</v>
      </c>
      <c r="F371" s="57">
        <f ca="1">IFERROR(F337/F316,"-")</f>
        <v>0</v>
      </c>
      <c r="G371" s="57">
        <f t="shared" ref="G371:AY371" ca="1" si="281">IFERROR(G337/G316,"-")</f>
        <v>0</v>
      </c>
      <c r="H371" s="57">
        <f t="shared" ca="1" si="281"/>
        <v>0</v>
      </c>
      <c r="I371" s="57">
        <f t="shared" ca="1" si="281"/>
        <v>0</v>
      </c>
      <c r="J371" s="57">
        <f t="shared" ca="1" si="281"/>
        <v>0</v>
      </c>
      <c r="K371" s="57">
        <f t="shared" ca="1" si="281"/>
        <v>0</v>
      </c>
      <c r="L371" s="57">
        <f t="shared" ca="1" si="281"/>
        <v>0</v>
      </c>
      <c r="M371" s="57">
        <f t="shared" ca="1" si="281"/>
        <v>0</v>
      </c>
      <c r="N371" s="57">
        <f t="shared" ca="1" si="281"/>
        <v>0</v>
      </c>
      <c r="O371" s="57">
        <f t="shared" ca="1" si="281"/>
        <v>0</v>
      </c>
      <c r="P371" s="57">
        <f t="shared" ca="1" si="281"/>
        <v>0</v>
      </c>
      <c r="Q371" s="57">
        <f t="shared" ca="1" si="281"/>
        <v>0</v>
      </c>
      <c r="R371" s="57">
        <f t="shared" ca="1" si="281"/>
        <v>0</v>
      </c>
      <c r="S371" s="57">
        <f t="shared" ca="1" si="281"/>
        <v>4.906391425233139E-3</v>
      </c>
      <c r="T371" s="57">
        <f t="shared" ca="1" si="281"/>
        <v>3.6028505136609938</v>
      </c>
      <c r="U371" s="57">
        <f t="shared" ca="1" si="281"/>
        <v>3.8936642034120572</v>
      </c>
      <c r="V371" s="57">
        <f t="shared" ca="1" si="281"/>
        <v>3.8822327919726431</v>
      </c>
      <c r="W371" s="57">
        <f t="shared" ca="1" si="281"/>
        <v>3.9530165524294283</v>
      </c>
      <c r="X371" s="57">
        <f t="shared" ca="1" si="281"/>
        <v>3.8393017865702133</v>
      </c>
      <c r="Y371" s="57">
        <f t="shared" ca="1" si="281"/>
        <v>3.8393017865702133</v>
      </c>
      <c r="Z371" s="57">
        <f t="shared" ca="1" si="281"/>
        <v>4.8423901442487169</v>
      </c>
      <c r="AA371" s="57">
        <f t="shared" ca="1" si="281"/>
        <v>4.8525505542402296</v>
      </c>
      <c r="AB371" s="57">
        <f t="shared" ca="1" si="281"/>
        <v>4.842611000020459</v>
      </c>
      <c r="AC371" s="57">
        <f t="shared" ca="1" si="281"/>
        <v>4.8446025240841504</v>
      </c>
      <c r="AD371" s="57">
        <f t="shared" ca="1" si="281"/>
        <v>4.8302517393027085</v>
      </c>
      <c r="AE371" s="57">
        <f t="shared" ca="1" si="281"/>
        <v>4.8181022930169588</v>
      </c>
      <c r="AF371" s="57">
        <f t="shared" ca="1" si="281"/>
        <v>4.817216219200791</v>
      </c>
      <c r="AG371" s="57">
        <f t="shared" ca="1" si="281"/>
        <v>4.7929775742807461</v>
      </c>
      <c r="AH371" s="57">
        <f t="shared" ca="1" si="281"/>
        <v>4.7697602073529692</v>
      </c>
      <c r="AI371" s="57">
        <f t="shared" ca="1" si="281"/>
        <v>4.7446891138788807</v>
      </c>
      <c r="AJ371" s="57">
        <f t="shared" ca="1" si="281"/>
        <v>4.7233246941669584</v>
      </c>
      <c r="AK371" s="57">
        <f t="shared" ca="1" si="281"/>
        <v>4.7077594341592199</v>
      </c>
      <c r="AL371" s="57">
        <f t="shared" ca="1" si="281"/>
        <v>4.7077594341592199</v>
      </c>
      <c r="AM371" s="57">
        <f t="shared" ca="1" si="281"/>
        <v>4.5487131547893318</v>
      </c>
      <c r="AN371" s="57">
        <f t="shared" ca="1" si="281"/>
        <v>5.0629531337365918</v>
      </c>
      <c r="AO371" s="57">
        <f t="shared" ca="1" si="281"/>
        <v>5.0629531337365918</v>
      </c>
      <c r="AP371" s="57">
        <f t="shared" ca="1" si="281"/>
        <v>5.0629531337365918</v>
      </c>
      <c r="AQ371" s="57">
        <f t="shared" ca="1" si="281"/>
        <v>5.0629531337365918</v>
      </c>
      <c r="AR371" s="57">
        <f t="shared" ca="1" si="281"/>
        <v>5.0629531337365918</v>
      </c>
      <c r="AS371" s="57">
        <f t="shared" ca="1" si="281"/>
        <v>5.0629531337365918</v>
      </c>
      <c r="AT371" s="57">
        <f t="shared" ca="1" si="281"/>
        <v>5.0629531337365918</v>
      </c>
      <c r="AU371" s="57">
        <f t="shared" ca="1" si="281"/>
        <v>5.0629531337365918</v>
      </c>
      <c r="AV371" s="57">
        <f t="shared" ca="1" si="281"/>
        <v>5.0629531337365918</v>
      </c>
      <c r="AW371" s="57">
        <f t="shared" ca="1" si="281"/>
        <v>5.0629531337365918</v>
      </c>
      <c r="AX371" s="57">
        <f t="shared" ca="1" si="281"/>
        <v>5.0629531337365918</v>
      </c>
      <c r="AY371" s="57">
        <f t="shared" ca="1" si="281"/>
        <v>5.0629531337365918</v>
      </c>
    </row>
    <row r="372" spans="1:51" ht="15.5">
      <c r="A372" s="1" t="s">
        <v>142</v>
      </c>
      <c r="C372" s="104"/>
      <c r="E372" s="15" t="s">
        <v>116</v>
      </c>
      <c r="F372" s="57">
        <f ca="1">IFERROR(F339/F315,"-")</f>
        <v>14.412187154991667</v>
      </c>
      <c r="G372" s="57">
        <f t="shared" ref="G372:AY372" ca="1" si="282">IFERROR(G339/G315,"-")</f>
        <v>15.284384095884359</v>
      </c>
      <c r="H372" s="57">
        <f t="shared" ca="1" si="282"/>
        <v>16.902100054740316</v>
      </c>
      <c r="I372" s="57">
        <f t="shared" ca="1" si="282"/>
        <v>0.65711623855617474</v>
      </c>
      <c r="J372" s="57">
        <f t="shared" ca="1" si="282"/>
        <v>4.068217767401392</v>
      </c>
      <c r="K372" s="57">
        <f t="shared" ca="1" si="282"/>
        <v>2.7859208715312738</v>
      </c>
      <c r="L372" s="57">
        <f t="shared" ca="1" si="282"/>
        <v>2.5535275217949875</v>
      </c>
      <c r="M372" s="57">
        <f t="shared" ca="1" si="282"/>
        <v>2.7806909702421425</v>
      </c>
      <c r="N372" s="57">
        <f t="shared" ca="1" si="282"/>
        <v>3.1284741708990964</v>
      </c>
      <c r="O372" s="57">
        <f t="shared" ca="1" si="282"/>
        <v>1.5411890376046655</v>
      </c>
      <c r="P372" s="57">
        <f t="shared" ca="1" si="282"/>
        <v>1.7063937410051906</v>
      </c>
      <c r="Q372" s="57">
        <f t="shared" ca="1" si="282"/>
        <v>1.7801072147180106</v>
      </c>
      <c r="R372" s="57">
        <f t="shared" ca="1" si="282"/>
        <v>1.8141169076130361</v>
      </c>
      <c r="S372" s="57">
        <f t="shared" ca="1" si="282"/>
        <v>0.56944532316932206</v>
      </c>
      <c r="T372" s="57">
        <f t="shared" ca="1" si="282"/>
        <v>2.4984338617123747</v>
      </c>
      <c r="U372" s="57">
        <f t="shared" ca="1" si="282"/>
        <v>2.4508787936754408</v>
      </c>
      <c r="V372" s="57">
        <f t="shared" ca="1" si="282"/>
        <v>2.4464062892516596</v>
      </c>
      <c r="W372" s="57">
        <f t="shared" ca="1" si="282"/>
        <v>2.397268433774209</v>
      </c>
      <c r="X372" s="57">
        <f t="shared" ca="1" si="282"/>
        <v>2.4556810857651166</v>
      </c>
      <c r="Y372" s="57">
        <f t="shared" ca="1" si="282"/>
        <v>2.4556810857651166</v>
      </c>
      <c r="Z372" s="57">
        <f t="shared" ca="1" si="282"/>
        <v>2.6353724764958306</v>
      </c>
      <c r="AA372" s="57">
        <f t="shared" ca="1" si="282"/>
        <v>2.5121857711647793</v>
      </c>
      <c r="AB372" s="57">
        <f t="shared" ca="1" si="282"/>
        <v>2.432971700185218</v>
      </c>
      <c r="AC372" s="57">
        <f t="shared" ca="1" si="282"/>
        <v>2.3235088215381925</v>
      </c>
      <c r="AD372" s="57">
        <f t="shared" ca="1" si="282"/>
        <v>2.2414565230148273</v>
      </c>
      <c r="AE372" s="57">
        <f t="shared" ca="1" si="282"/>
        <v>2.1786795102504382</v>
      </c>
      <c r="AF372" s="57">
        <f t="shared" ca="1" si="282"/>
        <v>2.1272617334083201</v>
      </c>
      <c r="AG372" s="57">
        <f t="shared" ca="1" si="282"/>
        <v>2.0939869600490515</v>
      </c>
      <c r="AH372" s="57">
        <f t="shared" ca="1" si="282"/>
        <v>2.0848457856657694</v>
      </c>
      <c r="AI372" s="57">
        <f t="shared" ca="1" si="282"/>
        <v>2.0862990853231156</v>
      </c>
      <c r="AJ372" s="57">
        <f t="shared" ca="1" si="282"/>
        <v>2.1058021257829851</v>
      </c>
      <c r="AK372" s="57">
        <f t="shared" ca="1" si="282"/>
        <v>2.1339428250819998</v>
      </c>
      <c r="AL372" s="57">
        <f t="shared" ca="1" si="282"/>
        <v>2.1339428250819998</v>
      </c>
      <c r="AM372" s="57">
        <f t="shared" ca="1" si="282"/>
        <v>2.0159610518133739E-2</v>
      </c>
      <c r="AN372" s="57">
        <f t="shared" ca="1" si="282"/>
        <v>3.965057000601694E-2</v>
      </c>
      <c r="AO372" s="57">
        <f t="shared" ca="1" si="282"/>
        <v>3.965057000601694E-2</v>
      </c>
      <c r="AP372" s="57">
        <f t="shared" ca="1" si="282"/>
        <v>3.965057000601694E-2</v>
      </c>
      <c r="AQ372" s="57">
        <f t="shared" ca="1" si="282"/>
        <v>3.965057000601694E-2</v>
      </c>
      <c r="AR372" s="57">
        <f t="shared" ca="1" si="282"/>
        <v>3.965057000601694E-2</v>
      </c>
      <c r="AS372" s="57">
        <f t="shared" ca="1" si="282"/>
        <v>3.965057000601694E-2</v>
      </c>
      <c r="AT372" s="57">
        <f t="shared" ca="1" si="282"/>
        <v>3.965057000601694E-2</v>
      </c>
      <c r="AU372" s="57">
        <f t="shared" ca="1" si="282"/>
        <v>3.965057000601694E-2</v>
      </c>
      <c r="AV372" s="57">
        <f t="shared" ca="1" si="282"/>
        <v>3.965057000601694E-2</v>
      </c>
      <c r="AW372" s="57">
        <f t="shared" ca="1" si="282"/>
        <v>3.965057000601694E-2</v>
      </c>
      <c r="AX372" s="57">
        <f t="shared" ca="1" si="282"/>
        <v>3.965057000601694E-2</v>
      </c>
      <c r="AY372" s="57">
        <f t="shared" ca="1" si="282"/>
        <v>3.965057000601694E-2</v>
      </c>
    </row>
    <row r="373" spans="1:51" ht="15.5">
      <c r="A373" s="1" t="s">
        <v>142</v>
      </c>
      <c r="C373" s="104"/>
      <c r="E373" s="15" t="str">
        <f ca="1">"(E2) Cost "&amp;RIGHT(Context!$E$37,3)&amp;"/L (fuel)"</f>
        <v>(E2) Cost EUR/L (fuel)</v>
      </c>
      <c r="F373" s="57">
        <f t="shared" ref="F373:AY373" ca="1" si="283">IFERROR(F92/F333,"-")</f>
        <v>-1.002574215107608</v>
      </c>
      <c r="G373" s="57">
        <f t="shared" ca="1" si="283"/>
        <v>-1.0633103486858613</v>
      </c>
      <c r="H373" s="57">
        <f t="shared" ca="1" si="283"/>
        <v>-1.2273004693409915</v>
      </c>
      <c r="I373" s="57">
        <f t="shared" ca="1" si="283"/>
        <v>-1.1700860423196522</v>
      </c>
      <c r="J373" s="57">
        <f t="shared" ca="1" si="283"/>
        <v>-1.381556683492509</v>
      </c>
      <c r="K373" s="57">
        <f t="shared" ca="1" si="283"/>
        <v>-1.7773736393769302</v>
      </c>
      <c r="L373" s="57">
        <f t="shared" ca="1" si="283"/>
        <v>-1.7886387170158875</v>
      </c>
      <c r="M373" s="57">
        <f t="shared" ca="1" si="283"/>
        <v>-1.4067397472644367</v>
      </c>
      <c r="N373" s="57">
        <f t="shared" ca="1" si="283"/>
        <v>-1.990253897016947</v>
      </c>
      <c r="O373" s="57">
        <f t="shared" ca="1" si="283"/>
        <v>-2.1022201470309585</v>
      </c>
      <c r="P373" s="57">
        <f t="shared" ca="1" si="283"/>
        <v>-2.2288494411078581</v>
      </c>
      <c r="Q373" s="57">
        <f t="shared" ca="1" si="283"/>
        <v>-2.1027544363169874</v>
      </c>
      <c r="R373" s="57">
        <f t="shared" ca="1" si="283"/>
        <v>-2.2118816532257357</v>
      </c>
      <c r="S373" s="57">
        <f t="shared" ca="1" si="283"/>
        <v>-1.4980313418606082</v>
      </c>
      <c r="T373" s="57">
        <f t="shared" ca="1" si="283"/>
        <v>-2.2481433669239492</v>
      </c>
      <c r="U373" s="57">
        <f t="shared" ca="1" si="283"/>
        <v>-2.2533337910866575</v>
      </c>
      <c r="V373" s="57">
        <f t="shared" ca="1" si="283"/>
        <v>-1.5464476811765508</v>
      </c>
      <c r="W373" s="57">
        <f t="shared" ca="1" si="283"/>
        <v>-2.1583187766730783</v>
      </c>
      <c r="X373" s="57">
        <f t="shared" ca="1" si="283"/>
        <v>-2.2289646843134343</v>
      </c>
      <c r="Y373" s="57">
        <f t="shared" ca="1" si="283"/>
        <v>-2.2289646843134343</v>
      </c>
      <c r="Z373" s="57">
        <f t="shared" ca="1" si="283"/>
        <v>-2.3392385626563197</v>
      </c>
      <c r="AA373" s="57">
        <f t="shared" ca="1" si="283"/>
        <v>-2.4622933383818513</v>
      </c>
      <c r="AB373" s="57">
        <f t="shared" ca="1" si="283"/>
        <v>-2.4314392412075971</v>
      </c>
      <c r="AC373" s="57">
        <f t="shared" ca="1" si="283"/>
        <v>-2.4590225196858904</v>
      </c>
      <c r="AD373" s="57">
        <f t="shared" ca="1" si="283"/>
        <v>-2.4629026365056728</v>
      </c>
      <c r="AE373" s="57">
        <f t="shared" ca="1" si="283"/>
        <v>-2.4493744099310475</v>
      </c>
      <c r="AF373" s="57">
        <f t="shared" ca="1" si="283"/>
        <v>-2.4822310768655247</v>
      </c>
      <c r="AG373" s="57">
        <f t="shared" ca="1" si="283"/>
        <v>-2.5277911526967558</v>
      </c>
      <c r="AH373" s="57">
        <f t="shared" ca="1" si="283"/>
        <v>-2.5204195216676379</v>
      </c>
      <c r="AI373" s="57">
        <f t="shared" ca="1" si="283"/>
        <v>-2.520377079871023</v>
      </c>
      <c r="AJ373" s="57">
        <f t="shared" ca="1" si="283"/>
        <v>-2.5187703361117024</v>
      </c>
      <c r="AK373" s="57">
        <f t="shared" ca="1" si="283"/>
        <v>-2.5246541095006458</v>
      </c>
      <c r="AL373" s="57">
        <f t="shared" ca="1" si="283"/>
        <v>-2.5246541095006458</v>
      </c>
      <c r="AM373" s="57">
        <f t="shared" ca="1" si="283"/>
        <v>-1.85390700243631</v>
      </c>
      <c r="AN373" s="57">
        <f t="shared" ca="1" si="283"/>
        <v>-2.2731459867486494</v>
      </c>
      <c r="AO373" s="57">
        <f t="shared" ca="1" si="283"/>
        <v>-7.3874742377466846E-16</v>
      </c>
      <c r="AP373" s="57">
        <f t="shared" ca="1" si="283"/>
        <v>-7.3874742377466846E-16</v>
      </c>
      <c r="AQ373" s="57">
        <f t="shared" ca="1" si="283"/>
        <v>-7.3874742377466846E-16</v>
      </c>
      <c r="AR373" s="57">
        <f t="shared" ca="1" si="283"/>
        <v>-7.3874742377466846E-16</v>
      </c>
      <c r="AS373" s="57">
        <f t="shared" ca="1" si="283"/>
        <v>-7.3874742377466846E-16</v>
      </c>
      <c r="AT373" s="57">
        <f t="shared" ca="1" si="283"/>
        <v>-7.3874742377466846E-16</v>
      </c>
      <c r="AU373" s="57">
        <f t="shared" ca="1" si="283"/>
        <v>-7.3874742377466846E-16</v>
      </c>
      <c r="AV373" s="57">
        <f t="shared" ca="1" si="283"/>
        <v>-7.3874742377466846E-16</v>
      </c>
      <c r="AW373" s="57">
        <f t="shared" ca="1" si="283"/>
        <v>-7.3874742377466846E-16</v>
      </c>
      <c r="AX373" s="57">
        <f t="shared" ca="1" si="283"/>
        <v>-7.3874742377466846E-16</v>
      </c>
      <c r="AY373" s="57">
        <f t="shared" ca="1" si="283"/>
        <v>-7.3874742377466846E-16</v>
      </c>
    </row>
    <row r="374" spans="1:51" ht="15.5">
      <c r="A374" s="1" t="s">
        <v>142</v>
      </c>
      <c r="C374" s="104"/>
      <c r="E374" s="15" t="str">
        <f ca="1">"(E2) Cost "&amp;RIGHT(Context!$E$37,3)&amp;"/L (biofuel)"</f>
        <v>(E2) Cost EUR/L (biofuel)</v>
      </c>
      <c r="F374" s="57">
        <f t="shared" ref="F374:AY374" ca="1" si="284">IFERROR(F95/F335,"-")</f>
        <v>-1.7372127557304049</v>
      </c>
      <c r="G374" s="57">
        <f t="shared" ca="1" si="284"/>
        <v>-1.4761421439233213</v>
      </c>
      <c r="H374" s="57">
        <f t="shared" ca="1" si="284"/>
        <v>-1.661762769919825</v>
      </c>
      <c r="I374" s="57">
        <f t="shared" ca="1" si="284"/>
        <v>-1.8744338957565019</v>
      </c>
      <c r="J374" s="57">
        <f t="shared" ca="1" si="284"/>
        <v>-1.9871017826693409</v>
      </c>
      <c r="K374" s="57">
        <f t="shared" ca="1" si="284"/>
        <v>-2.2035653135975712</v>
      </c>
      <c r="L374" s="57">
        <f t="shared" ca="1" si="284"/>
        <v>-2.4529901954832534</v>
      </c>
      <c r="M374" s="57">
        <f t="shared" ca="1" si="284"/>
        <v>-1.7796440018684796</v>
      </c>
      <c r="N374" s="57">
        <f t="shared" ca="1" si="284"/>
        <v>-2.3350190450141577</v>
      </c>
      <c r="O374" s="57">
        <f t="shared" ca="1" si="284"/>
        <v>-2.6847266736863551</v>
      </c>
      <c r="P374" s="57">
        <f t="shared" ca="1" si="284"/>
        <v>-3.0872700780678977</v>
      </c>
      <c r="Q374" s="57">
        <f t="shared" ca="1" si="284"/>
        <v>-8.3695091831104289</v>
      </c>
      <c r="R374" s="57">
        <f t="shared" ca="1" si="284"/>
        <v>-8.3979372083755344</v>
      </c>
      <c r="S374" s="57">
        <f t="shared" ca="1" si="284"/>
        <v>-1.1978093335737343</v>
      </c>
      <c r="T374" s="57">
        <f t="shared" ca="1" si="284"/>
        <v>-6.4436143741443548</v>
      </c>
      <c r="U374" s="57">
        <f t="shared" ca="1" si="284"/>
        <v>-6.1512209186980629</v>
      </c>
      <c r="V374" s="57">
        <f t="shared" ca="1" si="284"/>
        <v>-1.1864833425881214</v>
      </c>
      <c r="W374" s="57">
        <f t="shared" ca="1" si="284"/>
        <v>-1.1533242008691171</v>
      </c>
      <c r="X374" s="57">
        <f t="shared" ca="1" si="284"/>
        <v>-7.0946570708152281</v>
      </c>
      <c r="Y374" s="57">
        <f t="shared" ca="1" si="284"/>
        <v>-7.0946570708152281</v>
      </c>
      <c r="Z374" s="57">
        <f t="shared" ca="1" si="284"/>
        <v>-1.1962574953699845</v>
      </c>
      <c r="AA374" s="57">
        <f t="shared" ca="1" si="284"/>
        <v>-13.356403394155453</v>
      </c>
      <c r="AB374" s="57">
        <f t="shared" ca="1" si="284"/>
        <v>-13.150417980066127</v>
      </c>
      <c r="AC374" s="57">
        <f t="shared" ca="1" si="284"/>
        <v>-13.098596281311877</v>
      </c>
      <c r="AD374" s="57">
        <f t="shared" ca="1" si="284"/>
        <v>-13.074695263215842</v>
      </c>
      <c r="AE374" s="57">
        <f t="shared" ca="1" si="284"/>
        <v>-12.630613914534724</v>
      </c>
      <c r="AF374" s="57">
        <f t="shared" ca="1" si="284"/>
        <v>-12.669987964001471</v>
      </c>
      <c r="AG374" s="57">
        <f t="shared" ca="1" si="284"/>
        <v>-12.885092990017004</v>
      </c>
      <c r="AH374" s="57">
        <f t="shared" ca="1" si="284"/>
        <v>-12.736024201465149</v>
      </c>
      <c r="AI374" s="57">
        <f t="shared" ca="1" si="284"/>
        <v>-12.775970425094592</v>
      </c>
      <c r="AJ374" s="57">
        <f t="shared" ca="1" si="284"/>
        <v>-12.811262715607493</v>
      </c>
      <c r="AK374" s="57">
        <f t="shared" ca="1" si="284"/>
        <v>-12.869235712548004</v>
      </c>
      <c r="AL374" s="57">
        <f t="shared" ca="1" si="284"/>
        <v>-12.869235712548004</v>
      </c>
      <c r="AM374" s="57">
        <f t="shared" ca="1" si="284"/>
        <v>-2.682982960822474</v>
      </c>
      <c r="AN374" s="57">
        <f t="shared" ca="1" si="284"/>
        <v>-6.7144034839996776</v>
      </c>
      <c r="AO374" s="57">
        <f t="shared" ca="1" si="284"/>
        <v>-1.085537594420584E-15</v>
      </c>
      <c r="AP374" s="57">
        <f t="shared" ca="1" si="284"/>
        <v>-1.085537594420584E-15</v>
      </c>
      <c r="AQ374" s="57">
        <f t="shared" ca="1" si="284"/>
        <v>-1.085537594420584E-15</v>
      </c>
      <c r="AR374" s="57">
        <f t="shared" ca="1" si="284"/>
        <v>-1.085537594420584E-15</v>
      </c>
      <c r="AS374" s="57">
        <f t="shared" ca="1" si="284"/>
        <v>-1.085537594420584E-15</v>
      </c>
      <c r="AT374" s="57">
        <f t="shared" ca="1" si="284"/>
        <v>-1.085537594420584E-15</v>
      </c>
      <c r="AU374" s="57">
        <f t="shared" ca="1" si="284"/>
        <v>-1.085537594420584E-15</v>
      </c>
      <c r="AV374" s="57">
        <f t="shared" ca="1" si="284"/>
        <v>-1.085537594420584E-15</v>
      </c>
      <c r="AW374" s="57">
        <f t="shared" ca="1" si="284"/>
        <v>-1.085537594420584E-15</v>
      </c>
      <c r="AX374" s="57">
        <f t="shared" ca="1" si="284"/>
        <v>-1.085537594420584E-15</v>
      </c>
      <c r="AY374" s="57">
        <f t="shared" ca="1" si="284"/>
        <v>-1.085537594420584E-15</v>
      </c>
    </row>
    <row r="375" spans="1:51" ht="15.5">
      <c r="A375" s="1" t="s">
        <v>142</v>
      </c>
      <c r="C375" s="104"/>
      <c r="E375" s="15" t="str">
        <f ca="1">"(E2) Cost "&amp;RIGHT(Context!$E$37,3)&amp;"/kWh (gas)"</f>
        <v>(E2) Cost EUR/kWh (gas)</v>
      </c>
      <c r="F375" s="57" t="str">
        <f t="shared" ref="F375:AY375" ca="1" si="285">IFERROR(F98/F337,"-")</f>
        <v>-</v>
      </c>
      <c r="G375" s="57" t="str">
        <f t="shared" ca="1" si="285"/>
        <v>-</v>
      </c>
      <c r="H375" s="57" t="str">
        <f t="shared" ca="1" si="285"/>
        <v>-</v>
      </c>
      <c r="I375" s="57" t="str">
        <f t="shared" ca="1" si="285"/>
        <v>-</v>
      </c>
      <c r="J375" s="57" t="str">
        <f t="shared" ca="1" si="285"/>
        <v>-</v>
      </c>
      <c r="K375" s="57" t="str">
        <f t="shared" ca="1" si="285"/>
        <v>-</v>
      </c>
      <c r="L375" s="57" t="str">
        <f t="shared" ca="1" si="285"/>
        <v>-</v>
      </c>
      <c r="M375" s="57" t="str">
        <f t="shared" ca="1" si="285"/>
        <v>-</v>
      </c>
      <c r="N375" s="57" t="str">
        <f t="shared" ca="1" si="285"/>
        <v>-</v>
      </c>
      <c r="O375" s="57" t="str">
        <f t="shared" ca="1" si="285"/>
        <v>-</v>
      </c>
      <c r="P375" s="57" t="str">
        <f t="shared" ca="1" si="285"/>
        <v>-</v>
      </c>
      <c r="Q375" s="57" t="str">
        <f t="shared" ca="1" si="285"/>
        <v>-</v>
      </c>
      <c r="R375" s="57" t="str">
        <f t="shared" ca="1" si="285"/>
        <v>-</v>
      </c>
      <c r="S375" s="57">
        <f t="shared" ca="1" si="285"/>
        <v>-7.5648541272628842</v>
      </c>
      <c r="T375" s="57">
        <f t="shared" ca="1" si="285"/>
        <v>-0.38788025360492895</v>
      </c>
      <c r="U375" s="57">
        <f t="shared" ca="1" si="285"/>
        <v>-0.37558710166870091</v>
      </c>
      <c r="V375" s="57">
        <f t="shared" ca="1" si="285"/>
        <v>-0.30745700467491033</v>
      </c>
      <c r="W375" s="57">
        <f t="shared" ca="1" si="285"/>
        <v>-0.32166487623060663</v>
      </c>
      <c r="X375" s="57">
        <f t="shared" ca="1" si="285"/>
        <v>-0.37899573148982574</v>
      </c>
      <c r="Y375" s="57">
        <f t="shared" ca="1" si="285"/>
        <v>-0.37899573148982574</v>
      </c>
      <c r="Z375" s="57">
        <f t="shared" ca="1" si="285"/>
        <v>-0.27438557843700428</v>
      </c>
      <c r="AA375" s="57">
        <f t="shared" ca="1" si="285"/>
        <v>-0.31873326642783756</v>
      </c>
      <c r="AB375" s="57">
        <f t="shared" ca="1" si="285"/>
        <v>-0.31649973168659806</v>
      </c>
      <c r="AC375" s="57">
        <f t="shared" ca="1" si="285"/>
        <v>-0.31698340268540698</v>
      </c>
      <c r="AD375" s="57">
        <f t="shared" ca="1" si="285"/>
        <v>-0.31818099838047215</v>
      </c>
      <c r="AE375" s="57">
        <f t="shared" ca="1" si="285"/>
        <v>-0.31654251083324209</v>
      </c>
      <c r="AF375" s="57">
        <f t="shared" ca="1" si="285"/>
        <v>-0.31874210501463501</v>
      </c>
      <c r="AG375" s="57">
        <f t="shared" ca="1" si="285"/>
        <v>-0.32362403474215429</v>
      </c>
      <c r="AH375" s="57">
        <f t="shared" ca="1" si="285"/>
        <v>-0.32466012726322591</v>
      </c>
      <c r="AI375" s="57">
        <f t="shared" ca="1" si="285"/>
        <v>-0.32596710810418711</v>
      </c>
      <c r="AJ375" s="57">
        <f t="shared" ca="1" si="285"/>
        <v>-0.32707364562219954</v>
      </c>
      <c r="AK375" s="57">
        <f t="shared" ca="1" si="285"/>
        <v>-0.32799478184435427</v>
      </c>
      <c r="AL375" s="57">
        <f t="shared" ca="1" si="285"/>
        <v>-0.32799478184435427</v>
      </c>
      <c r="AM375" s="57">
        <f t="shared" ca="1" si="285"/>
        <v>-0.10118775866121801</v>
      </c>
      <c r="AN375" s="57">
        <f t="shared" ca="1" si="285"/>
        <v>-0.25532659027396248</v>
      </c>
      <c r="AO375" s="57">
        <f t="shared" ca="1" si="285"/>
        <v>-3.7341830570974464E-17</v>
      </c>
      <c r="AP375" s="57">
        <f t="shared" ca="1" si="285"/>
        <v>-3.7341830570974464E-17</v>
      </c>
      <c r="AQ375" s="57">
        <f t="shared" ca="1" si="285"/>
        <v>-3.7341830570974464E-17</v>
      </c>
      <c r="AR375" s="57">
        <f t="shared" ca="1" si="285"/>
        <v>-3.7341830570974464E-17</v>
      </c>
      <c r="AS375" s="57">
        <f t="shared" ca="1" si="285"/>
        <v>-3.7341830570974464E-17</v>
      </c>
      <c r="AT375" s="57">
        <f t="shared" ca="1" si="285"/>
        <v>-3.7341830570974464E-17</v>
      </c>
      <c r="AU375" s="57">
        <f t="shared" ca="1" si="285"/>
        <v>-3.7341830570974464E-17</v>
      </c>
      <c r="AV375" s="57">
        <f t="shared" ca="1" si="285"/>
        <v>-3.7341830570974464E-17</v>
      </c>
      <c r="AW375" s="57">
        <f t="shared" ca="1" si="285"/>
        <v>-3.7341830570974464E-17</v>
      </c>
      <c r="AX375" s="57">
        <f t="shared" ca="1" si="285"/>
        <v>-3.7341830570974464E-17</v>
      </c>
      <c r="AY375" s="57">
        <f t="shared" ca="1" si="285"/>
        <v>-3.7341830570974464E-17</v>
      </c>
    </row>
    <row r="376" spans="1:51" ht="15.5">
      <c r="A376" s="1" t="s">
        <v>142</v>
      </c>
      <c r="C376" s="104"/>
      <c r="E376" s="15" t="str">
        <f ca="1">"(E2) Cost "&amp;RIGHT(Context!$E$37,3)&amp;"/kWh (electricity)"</f>
        <v>(E2) Cost EUR/kWh (electricity)</v>
      </c>
      <c r="F376" s="57">
        <f t="shared" ref="F376:AY376" ca="1" si="286">IFERROR(F87/F339,"-")</f>
        <v>-0.19815588579180327</v>
      </c>
      <c r="G376" s="57">
        <f t="shared" ca="1" si="286"/>
        <v>-0.1828395590564294</v>
      </c>
      <c r="H376" s="57">
        <f t="shared" ca="1" si="286"/>
        <v>-0.20961314833998049</v>
      </c>
      <c r="I376" s="57">
        <f t="shared" ca="1" si="286"/>
        <v>-0.65683595133066608</v>
      </c>
      <c r="J376" s="57">
        <f t="shared" ca="1" si="286"/>
        <v>-0.96782350347701118</v>
      </c>
      <c r="K376" s="57">
        <f t="shared" ca="1" si="286"/>
        <v>-1.0915977046534096</v>
      </c>
      <c r="L376" s="57">
        <f t="shared" ca="1" si="286"/>
        <v>-1.4764182100991474</v>
      </c>
      <c r="M376" s="57">
        <f t="shared" ca="1" si="286"/>
        <v>-1.1237883886587043</v>
      </c>
      <c r="N376" s="57">
        <f t="shared" ca="1" si="286"/>
        <v>-2.6272495384277486</v>
      </c>
      <c r="O376" s="57">
        <f t="shared" ca="1" si="286"/>
        <v>-2.6786094211507763</v>
      </c>
      <c r="P376" s="57">
        <f t="shared" ca="1" si="286"/>
        <v>-2.7359841201747894</v>
      </c>
      <c r="Q376" s="57">
        <f t="shared" ca="1" si="286"/>
        <v>-2.6040601447346736</v>
      </c>
      <c r="R376" s="57">
        <f t="shared" ca="1" si="286"/>
        <v>-2.6375010309881395</v>
      </c>
      <c r="S376" s="57">
        <f t="shared" ca="1" si="286"/>
        <v>-0.80961663201265932</v>
      </c>
      <c r="T376" s="57">
        <f t="shared" ca="1" si="286"/>
        <v>-3.0662831487269089</v>
      </c>
      <c r="U376" s="57">
        <f t="shared" ca="1" si="286"/>
        <v>-3.1973147695802528</v>
      </c>
      <c r="V376" s="57">
        <f t="shared" ca="1" si="286"/>
        <v>-0.83215696169914577</v>
      </c>
      <c r="W376" s="57">
        <f t="shared" ca="1" si="286"/>
        <v>-2.7190370783192335</v>
      </c>
      <c r="X376" s="57">
        <f t="shared" ca="1" si="286"/>
        <v>-2.8618892076764482</v>
      </c>
      <c r="Y376" s="57">
        <f t="shared" ca="1" si="286"/>
        <v>-2.8618892076764482</v>
      </c>
      <c r="Z376" s="57">
        <f t="shared" ca="1" si="286"/>
        <v>-2.492861356659076</v>
      </c>
      <c r="AA376" s="57">
        <f t="shared" ca="1" si="286"/>
        <v>-2.743348056358609</v>
      </c>
      <c r="AB376" s="57">
        <f t="shared" ca="1" si="286"/>
        <v>-2.7751326716648115</v>
      </c>
      <c r="AC376" s="57">
        <f t="shared" ca="1" si="286"/>
        <v>-2.8393051322665488</v>
      </c>
      <c r="AD376" s="57">
        <f t="shared" ca="1" si="286"/>
        <v>-2.8965171779013685</v>
      </c>
      <c r="AE376" s="57">
        <f t="shared" ca="1" si="286"/>
        <v>-2.919694167331206</v>
      </c>
      <c r="AF376" s="57">
        <f t="shared" ca="1" si="286"/>
        <v>-3.0098161642279933</v>
      </c>
      <c r="AG376" s="57">
        <f t="shared" ca="1" si="286"/>
        <v>-3.0707586116957</v>
      </c>
      <c r="AH376" s="57">
        <f t="shared" ca="1" si="286"/>
        <v>-3.0489074085067882</v>
      </c>
      <c r="AI376" s="57">
        <f t="shared" ca="1" si="286"/>
        <v>-3.0278458264317449</v>
      </c>
      <c r="AJ376" s="57">
        <f t="shared" ca="1" si="286"/>
        <v>-3.0015002061327709</v>
      </c>
      <c r="AK376" s="57">
        <f t="shared" ca="1" si="286"/>
        <v>-3.0241241075391549</v>
      </c>
      <c r="AL376" s="57">
        <f t="shared" ca="1" si="286"/>
        <v>-3.0241241075391549</v>
      </c>
      <c r="AM376" s="57">
        <f t="shared" ca="1" si="286"/>
        <v>-1.4729026258241402</v>
      </c>
      <c r="AN376" s="57">
        <f t="shared" ca="1" si="286"/>
        <v>-2.0922141834703192</v>
      </c>
      <c r="AO376" s="57">
        <f t="shared" ca="1" si="286"/>
        <v>-4.5564390725642177E-16</v>
      </c>
      <c r="AP376" s="57">
        <f t="shared" ca="1" si="286"/>
        <v>-4.5564390725642177E-16</v>
      </c>
      <c r="AQ376" s="57">
        <f t="shared" ca="1" si="286"/>
        <v>-4.5564390725642177E-16</v>
      </c>
      <c r="AR376" s="57">
        <f t="shared" ca="1" si="286"/>
        <v>-4.5564390725642177E-16</v>
      </c>
      <c r="AS376" s="57">
        <f t="shared" ca="1" si="286"/>
        <v>-4.5564390725642177E-16</v>
      </c>
      <c r="AT376" s="57">
        <f t="shared" ca="1" si="286"/>
        <v>-4.5564390725642177E-16</v>
      </c>
      <c r="AU376" s="57">
        <f t="shared" ca="1" si="286"/>
        <v>-4.5564390725642177E-16</v>
      </c>
      <c r="AV376" s="57">
        <f t="shared" ca="1" si="286"/>
        <v>-4.5564390725642177E-16</v>
      </c>
      <c r="AW376" s="57">
        <f t="shared" ca="1" si="286"/>
        <v>-4.5564390725642177E-16</v>
      </c>
      <c r="AX376" s="57">
        <f t="shared" ca="1" si="286"/>
        <v>-4.5564390725642177E-16</v>
      </c>
      <c r="AY376" s="57">
        <f t="shared" ca="1" si="286"/>
        <v>-4.5564390725642177E-16</v>
      </c>
    </row>
    <row r="377" spans="1:51" ht="15.5">
      <c r="A377" s="1" t="s">
        <v>142</v>
      </c>
      <c r="C377" s="104"/>
      <c r="E377" s="15" t="str">
        <f ca="1">"(D1) Payroll "&amp;RIGHT(Context!$E$37,3)&amp;"/FTE (Drivers)"</f>
        <v>(D1) Payroll EUR/FTE (Drivers)</v>
      </c>
      <c r="F377" s="57" t="str">
        <f t="shared" ref="F377:AY377" ca="1" si="287">IFERROR(F45/F321,"-")</f>
        <v>-</v>
      </c>
      <c r="G377" s="57" t="str">
        <f t="shared" ca="1" si="287"/>
        <v>-</v>
      </c>
      <c r="H377" s="57" t="str">
        <f t="shared" ca="1" si="287"/>
        <v>-</v>
      </c>
      <c r="I377" s="57" t="str">
        <f t="shared" ca="1" si="287"/>
        <v>-</v>
      </c>
      <c r="J377" s="57" t="str">
        <f t="shared" ca="1" si="287"/>
        <v>-</v>
      </c>
      <c r="K377" s="57" t="str">
        <f t="shared" ca="1" si="287"/>
        <v>-</v>
      </c>
      <c r="L377" s="57" t="str">
        <f t="shared" ca="1" si="287"/>
        <v>-</v>
      </c>
      <c r="M377" s="57" t="str">
        <f t="shared" ca="1" si="287"/>
        <v>-</v>
      </c>
      <c r="N377" s="57" t="str">
        <f t="shared" ca="1" si="287"/>
        <v>-</v>
      </c>
      <c r="O377" s="57" t="str">
        <f t="shared" ca="1" si="287"/>
        <v>-</v>
      </c>
      <c r="P377" s="57" t="str">
        <f t="shared" ca="1" si="287"/>
        <v>-</v>
      </c>
      <c r="Q377" s="57" t="str">
        <f t="shared" ca="1" si="287"/>
        <v>-</v>
      </c>
      <c r="R377" s="57" t="str">
        <f t="shared" ca="1" si="287"/>
        <v>-</v>
      </c>
      <c r="S377" s="57" t="str">
        <f t="shared" ca="1" si="287"/>
        <v>-</v>
      </c>
      <c r="T377" s="57" t="str">
        <f t="shared" ca="1" si="287"/>
        <v>-</v>
      </c>
      <c r="U377" s="57" t="str">
        <f t="shared" ca="1" si="287"/>
        <v>-</v>
      </c>
      <c r="V377" s="57" t="str">
        <f t="shared" ca="1" si="287"/>
        <v>-</v>
      </c>
      <c r="W377" s="57" t="str">
        <f t="shared" ca="1" si="287"/>
        <v>-</v>
      </c>
      <c r="X377" s="57" t="str">
        <f t="shared" ca="1" si="287"/>
        <v>-</v>
      </c>
      <c r="Y377" s="57" t="str">
        <f t="shared" ca="1" si="287"/>
        <v>-</v>
      </c>
      <c r="Z377" s="57" t="str">
        <f t="shared" ca="1" si="287"/>
        <v>-</v>
      </c>
      <c r="AA377" s="57" t="str">
        <f t="shared" ca="1" si="287"/>
        <v>-</v>
      </c>
      <c r="AB377" s="57" t="str">
        <f t="shared" ca="1" si="287"/>
        <v>-</v>
      </c>
      <c r="AC377" s="57" t="str">
        <f t="shared" ca="1" si="287"/>
        <v>-</v>
      </c>
      <c r="AD377" s="57" t="str">
        <f t="shared" ca="1" si="287"/>
        <v>-</v>
      </c>
      <c r="AE377" s="57" t="str">
        <f t="shared" ca="1" si="287"/>
        <v>-</v>
      </c>
      <c r="AF377" s="57" t="str">
        <f t="shared" ca="1" si="287"/>
        <v>-</v>
      </c>
      <c r="AG377" s="57" t="str">
        <f t="shared" ca="1" si="287"/>
        <v>-</v>
      </c>
      <c r="AH377" s="57" t="str">
        <f t="shared" ca="1" si="287"/>
        <v>-</v>
      </c>
      <c r="AI377" s="57" t="str">
        <f t="shared" ca="1" si="287"/>
        <v>-</v>
      </c>
      <c r="AJ377" s="57" t="str">
        <f t="shared" ca="1" si="287"/>
        <v>-</v>
      </c>
      <c r="AK377" s="57" t="str">
        <f t="shared" ca="1" si="287"/>
        <v>-</v>
      </c>
      <c r="AL377" s="57" t="str">
        <f t="shared" ca="1" si="287"/>
        <v>-</v>
      </c>
      <c r="AM377" s="57" t="str">
        <f t="shared" ca="1" si="287"/>
        <v>-</v>
      </c>
      <c r="AN377" s="57" t="str">
        <f t="shared" ca="1" si="287"/>
        <v>-</v>
      </c>
      <c r="AO377" s="57" t="str">
        <f t="shared" ca="1" si="287"/>
        <v>-</v>
      </c>
      <c r="AP377" s="57" t="str">
        <f t="shared" ca="1" si="287"/>
        <v>-</v>
      </c>
      <c r="AQ377" s="57" t="str">
        <f t="shared" ca="1" si="287"/>
        <v>-</v>
      </c>
      <c r="AR377" s="57" t="str">
        <f t="shared" ca="1" si="287"/>
        <v>-</v>
      </c>
      <c r="AS377" s="57" t="str">
        <f t="shared" ca="1" si="287"/>
        <v>-</v>
      </c>
      <c r="AT377" s="57" t="str">
        <f t="shared" ca="1" si="287"/>
        <v>-</v>
      </c>
      <c r="AU377" s="57" t="str">
        <f t="shared" ca="1" si="287"/>
        <v>-</v>
      </c>
      <c r="AV377" s="57" t="str">
        <f t="shared" ca="1" si="287"/>
        <v>-</v>
      </c>
      <c r="AW377" s="57" t="str">
        <f t="shared" ca="1" si="287"/>
        <v>-</v>
      </c>
      <c r="AX377" s="57" t="str">
        <f t="shared" ca="1" si="287"/>
        <v>-</v>
      </c>
      <c r="AY377" s="57" t="str">
        <f t="shared" ca="1" si="287"/>
        <v>-</v>
      </c>
    </row>
    <row r="378" spans="1:51" ht="15.5">
      <c r="A378" s="1" t="s">
        <v>142</v>
      </c>
      <c r="C378" s="104"/>
      <c r="E378" s="15" t="s">
        <v>117</v>
      </c>
      <c r="F378" s="57" t="str">
        <f t="shared" ref="F378:AY378" ca="1" si="288">IFERROR(F317/F321,"-")</f>
        <v>-</v>
      </c>
      <c r="G378" s="57" t="str">
        <f t="shared" ca="1" si="288"/>
        <v>-</v>
      </c>
      <c r="H378" s="57" t="str">
        <f t="shared" ca="1" si="288"/>
        <v>-</v>
      </c>
      <c r="I378" s="57" t="str">
        <f t="shared" ca="1" si="288"/>
        <v>-</v>
      </c>
      <c r="J378" s="57" t="str">
        <f t="shared" ca="1" si="288"/>
        <v>-</v>
      </c>
      <c r="K378" s="57" t="str">
        <f t="shared" ca="1" si="288"/>
        <v>-</v>
      </c>
      <c r="L378" s="57" t="str">
        <f t="shared" ca="1" si="288"/>
        <v>-</v>
      </c>
      <c r="M378" s="57" t="str">
        <f t="shared" ca="1" si="288"/>
        <v>-</v>
      </c>
      <c r="N378" s="57" t="str">
        <f t="shared" ca="1" si="288"/>
        <v>-</v>
      </c>
      <c r="O378" s="57" t="str">
        <f t="shared" ca="1" si="288"/>
        <v>-</v>
      </c>
      <c r="P378" s="57" t="str">
        <f t="shared" ca="1" si="288"/>
        <v>-</v>
      </c>
      <c r="Q378" s="57" t="str">
        <f t="shared" ca="1" si="288"/>
        <v>-</v>
      </c>
      <c r="R378" s="57" t="str">
        <f t="shared" ca="1" si="288"/>
        <v>-</v>
      </c>
      <c r="S378" s="57" t="str">
        <f t="shared" ca="1" si="288"/>
        <v>-</v>
      </c>
      <c r="T378" s="57" t="str">
        <f t="shared" ca="1" si="288"/>
        <v>-</v>
      </c>
      <c r="U378" s="57" t="str">
        <f t="shared" ca="1" si="288"/>
        <v>-</v>
      </c>
      <c r="V378" s="57" t="str">
        <f t="shared" ca="1" si="288"/>
        <v>-</v>
      </c>
      <c r="W378" s="57" t="str">
        <f t="shared" ca="1" si="288"/>
        <v>-</v>
      </c>
      <c r="X378" s="57" t="str">
        <f t="shared" ca="1" si="288"/>
        <v>-</v>
      </c>
      <c r="Y378" s="57" t="str">
        <f t="shared" ca="1" si="288"/>
        <v>-</v>
      </c>
      <c r="Z378" s="57" t="str">
        <f t="shared" ca="1" si="288"/>
        <v>-</v>
      </c>
      <c r="AA378" s="57" t="str">
        <f t="shared" ca="1" si="288"/>
        <v>-</v>
      </c>
      <c r="AB378" s="57" t="str">
        <f t="shared" ca="1" si="288"/>
        <v>-</v>
      </c>
      <c r="AC378" s="57" t="str">
        <f t="shared" ca="1" si="288"/>
        <v>-</v>
      </c>
      <c r="AD378" s="57" t="str">
        <f t="shared" ca="1" si="288"/>
        <v>-</v>
      </c>
      <c r="AE378" s="57" t="str">
        <f t="shared" ca="1" si="288"/>
        <v>-</v>
      </c>
      <c r="AF378" s="57" t="str">
        <f t="shared" ca="1" si="288"/>
        <v>-</v>
      </c>
      <c r="AG378" s="57" t="str">
        <f t="shared" ca="1" si="288"/>
        <v>-</v>
      </c>
      <c r="AH378" s="57" t="str">
        <f t="shared" ca="1" si="288"/>
        <v>-</v>
      </c>
      <c r="AI378" s="57" t="str">
        <f t="shared" ca="1" si="288"/>
        <v>-</v>
      </c>
      <c r="AJ378" s="57" t="str">
        <f t="shared" ca="1" si="288"/>
        <v>-</v>
      </c>
      <c r="AK378" s="57" t="str">
        <f t="shared" ca="1" si="288"/>
        <v>-</v>
      </c>
      <c r="AL378" s="57" t="str">
        <f t="shared" ca="1" si="288"/>
        <v>-</v>
      </c>
      <c r="AM378" s="57" t="str">
        <f t="shared" ca="1" si="288"/>
        <v>-</v>
      </c>
      <c r="AN378" s="57" t="str">
        <f t="shared" ca="1" si="288"/>
        <v>-</v>
      </c>
      <c r="AO378" s="57" t="str">
        <f t="shared" ca="1" si="288"/>
        <v>-</v>
      </c>
      <c r="AP378" s="57" t="str">
        <f t="shared" ca="1" si="288"/>
        <v>-</v>
      </c>
      <c r="AQ378" s="57" t="str">
        <f t="shared" ca="1" si="288"/>
        <v>-</v>
      </c>
      <c r="AR378" s="57" t="str">
        <f t="shared" ca="1" si="288"/>
        <v>-</v>
      </c>
      <c r="AS378" s="57" t="str">
        <f t="shared" ca="1" si="288"/>
        <v>-</v>
      </c>
      <c r="AT378" s="57" t="str">
        <f t="shared" ca="1" si="288"/>
        <v>-</v>
      </c>
      <c r="AU378" s="57" t="str">
        <f t="shared" ca="1" si="288"/>
        <v>-</v>
      </c>
      <c r="AV378" s="57" t="str">
        <f t="shared" ca="1" si="288"/>
        <v>-</v>
      </c>
      <c r="AW378" s="57" t="str">
        <f t="shared" ca="1" si="288"/>
        <v>-</v>
      </c>
      <c r="AX378" s="57" t="str">
        <f t="shared" ca="1" si="288"/>
        <v>-</v>
      </c>
      <c r="AY378" s="57" t="str">
        <f t="shared" ca="1" si="288"/>
        <v>-</v>
      </c>
    </row>
    <row r="379" spans="1:51" ht="15.5">
      <c r="A379" s="1" t="s">
        <v>142</v>
      </c>
      <c r="C379" s="104"/>
      <c r="E379" s="15" t="str">
        <f ca="1">"(M1) "&amp;RIGHT(Context!$E$37,3)&amp;"/veh"</f>
        <v>(M1) EUR/veh</v>
      </c>
      <c r="F379" s="57" t="str">
        <f t="shared" ref="F379:AY379" ca="1" si="289">IFERROR(F48/(F341+F343+F345+F347+F349+F351),"-")</f>
        <v>-</v>
      </c>
      <c r="G379" s="57" t="str">
        <f t="shared" ca="1" si="289"/>
        <v>-</v>
      </c>
      <c r="H379" s="57" t="str">
        <f t="shared" ca="1" si="289"/>
        <v>-</v>
      </c>
      <c r="I379" s="57" t="str">
        <f t="shared" ca="1" si="289"/>
        <v>-</v>
      </c>
      <c r="J379" s="57" t="str">
        <f t="shared" ca="1" si="289"/>
        <v>-</v>
      </c>
      <c r="K379" s="57" t="str">
        <f t="shared" ca="1" si="289"/>
        <v>-</v>
      </c>
      <c r="L379" s="57" t="str">
        <f t="shared" ca="1" si="289"/>
        <v>-</v>
      </c>
      <c r="M379" s="57" t="str">
        <f t="shared" ca="1" si="289"/>
        <v>-</v>
      </c>
      <c r="N379" s="57" t="str">
        <f t="shared" ca="1" si="289"/>
        <v>-</v>
      </c>
      <c r="O379" s="57" t="str">
        <f t="shared" ca="1" si="289"/>
        <v>-</v>
      </c>
      <c r="P379" s="57" t="str">
        <f t="shared" ca="1" si="289"/>
        <v>-</v>
      </c>
      <c r="Q379" s="57" t="str">
        <f t="shared" ca="1" si="289"/>
        <v>-</v>
      </c>
      <c r="R379" s="57" t="str">
        <f t="shared" ca="1" si="289"/>
        <v>-</v>
      </c>
      <c r="S379" s="57" t="str">
        <f t="shared" ca="1" si="289"/>
        <v>-</v>
      </c>
      <c r="T379" s="57" t="str">
        <f t="shared" ca="1" si="289"/>
        <v>-</v>
      </c>
      <c r="U379" s="57" t="str">
        <f t="shared" ca="1" si="289"/>
        <v>-</v>
      </c>
      <c r="V379" s="57" t="str">
        <f t="shared" ca="1" si="289"/>
        <v>-</v>
      </c>
      <c r="W379" s="57" t="str">
        <f t="shared" ca="1" si="289"/>
        <v>-</v>
      </c>
      <c r="X379" s="57" t="str">
        <f t="shared" ca="1" si="289"/>
        <v>-</v>
      </c>
      <c r="Y379" s="57" t="str">
        <f t="shared" ca="1" si="289"/>
        <v>-</v>
      </c>
      <c r="Z379" s="57" t="str">
        <f t="shared" ca="1" si="289"/>
        <v>-</v>
      </c>
      <c r="AA379" s="57" t="str">
        <f t="shared" ca="1" si="289"/>
        <v>-</v>
      </c>
      <c r="AB379" s="57" t="str">
        <f t="shared" ca="1" si="289"/>
        <v>-</v>
      </c>
      <c r="AC379" s="57" t="str">
        <f t="shared" ca="1" si="289"/>
        <v>-</v>
      </c>
      <c r="AD379" s="57" t="str">
        <f t="shared" ca="1" si="289"/>
        <v>-</v>
      </c>
      <c r="AE379" s="57" t="str">
        <f t="shared" ca="1" si="289"/>
        <v>-</v>
      </c>
      <c r="AF379" s="57" t="str">
        <f t="shared" ca="1" si="289"/>
        <v>-</v>
      </c>
      <c r="AG379" s="57" t="str">
        <f t="shared" ca="1" si="289"/>
        <v>-</v>
      </c>
      <c r="AH379" s="57" t="str">
        <f t="shared" ca="1" si="289"/>
        <v>-</v>
      </c>
      <c r="AI379" s="57" t="str">
        <f t="shared" ca="1" si="289"/>
        <v>-</v>
      </c>
      <c r="AJ379" s="57" t="str">
        <f t="shared" ca="1" si="289"/>
        <v>-</v>
      </c>
      <c r="AK379" s="57" t="str">
        <f t="shared" ca="1" si="289"/>
        <v>-</v>
      </c>
      <c r="AL379" s="57" t="str">
        <f t="shared" ca="1" si="289"/>
        <v>-</v>
      </c>
      <c r="AM379" s="57" t="str">
        <f t="shared" ca="1" si="289"/>
        <v>-</v>
      </c>
      <c r="AN379" s="57" t="str">
        <f t="shared" ca="1" si="289"/>
        <v>-</v>
      </c>
      <c r="AO379" s="57" t="str">
        <f t="shared" ca="1" si="289"/>
        <v>-</v>
      </c>
      <c r="AP379" s="57" t="str">
        <f t="shared" ca="1" si="289"/>
        <v>-</v>
      </c>
      <c r="AQ379" s="57" t="str">
        <f t="shared" ca="1" si="289"/>
        <v>-</v>
      </c>
      <c r="AR379" s="57" t="str">
        <f t="shared" ca="1" si="289"/>
        <v>-</v>
      </c>
      <c r="AS379" s="57" t="str">
        <f t="shared" ca="1" si="289"/>
        <v>-</v>
      </c>
      <c r="AT379" s="57" t="str">
        <f t="shared" ca="1" si="289"/>
        <v>-</v>
      </c>
      <c r="AU379" s="57" t="str">
        <f t="shared" ca="1" si="289"/>
        <v>-</v>
      </c>
      <c r="AV379" s="57" t="str">
        <f t="shared" ca="1" si="289"/>
        <v>-</v>
      </c>
      <c r="AW379" s="57" t="str">
        <f t="shared" ca="1" si="289"/>
        <v>-</v>
      </c>
      <c r="AX379" s="57" t="str">
        <f t="shared" ca="1" si="289"/>
        <v>-</v>
      </c>
      <c r="AY379" s="57" t="str">
        <f t="shared" ca="1" si="289"/>
        <v>-</v>
      </c>
    </row>
    <row r="380" spans="1:51" ht="15.5">
      <c r="A380" s="1" t="s">
        <v>142</v>
      </c>
      <c r="C380" s="104"/>
      <c r="E380" s="15" t="str">
        <f ca="1">"(M2) Payroll "&amp;RIGHT(Context!$E$37,3)&amp;"/FTE (Maintenance)"</f>
        <v>(M2) Payroll EUR/FTE (Maintenance)</v>
      </c>
      <c r="F380" s="57" t="str">
        <f t="shared" ref="F380:AY380" ca="1" si="290">IFERROR(F48/(F324+F328),"-")</f>
        <v>-</v>
      </c>
      <c r="G380" s="57" t="str">
        <f t="shared" ca="1" si="290"/>
        <v>-</v>
      </c>
      <c r="H380" s="57" t="str">
        <f t="shared" ca="1" si="290"/>
        <v>-</v>
      </c>
      <c r="I380" s="57" t="str">
        <f t="shared" ca="1" si="290"/>
        <v>-</v>
      </c>
      <c r="J380" s="57" t="str">
        <f t="shared" ca="1" si="290"/>
        <v>-</v>
      </c>
      <c r="K380" s="57" t="str">
        <f t="shared" ca="1" si="290"/>
        <v>-</v>
      </c>
      <c r="L380" s="57" t="str">
        <f t="shared" ca="1" si="290"/>
        <v>-</v>
      </c>
      <c r="M380" s="57" t="str">
        <f t="shared" ca="1" si="290"/>
        <v>-</v>
      </c>
      <c r="N380" s="57" t="str">
        <f t="shared" ca="1" si="290"/>
        <v>-</v>
      </c>
      <c r="O380" s="57" t="str">
        <f t="shared" ca="1" si="290"/>
        <v>-</v>
      </c>
      <c r="P380" s="57" t="str">
        <f t="shared" ca="1" si="290"/>
        <v>-</v>
      </c>
      <c r="Q380" s="57" t="str">
        <f t="shared" ca="1" si="290"/>
        <v>-</v>
      </c>
      <c r="R380" s="57" t="str">
        <f t="shared" ca="1" si="290"/>
        <v>-</v>
      </c>
      <c r="S380" s="57" t="str">
        <f t="shared" ca="1" si="290"/>
        <v>-</v>
      </c>
      <c r="T380" s="57" t="str">
        <f t="shared" ca="1" si="290"/>
        <v>-</v>
      </c>
      <c r="U380" s="57" t="str">
        <f t="shared" ca="1" si="290"/>
        <v>-</v>
      </c>
      <c r="V380" s="57" t="str">
        <f t="shared" ca="1" si="290"/>
        <v>-</v>
      </c>
      <c r="W380" s="57" t="str">
        <f t="shared" ca="1" si="290"/>
        <v>-</v>
      </c>
      <c r="X380" s="57" t="str">
        <f t="shared" ca="1" si="290"/>
        <v>-</v>
      </c>
      <c r="Y380" s="57" t="str">
        <f t="shared" ca="1" si="290"/>
        <v>-</v>
      </c>
      <c r="Z380" s="57" t="str">
        <f t="shared" ca="1" si="290"/>
        <v>-</v>
      </c>
      <c r="AA380" s="57" t="str">
        <f t="shared" ca="1" si="290"/>
        <v>-</v>
      </c>
      <c r="AB380" s="57" t="str">
        <f t="shared" ca="1" si="290"/>
        <v>-</v>
      </c>
      <c r="AC380" s="57" t="str">
        <f t="shared" ca="1" si="290"/>
        <v>-</v>
      </c>
      <c r="AD380" s="57" t="str">
        <f t="shared" ca="1" si="290"/>
        <v>-</v>
      </c>
      <c r="AE380" s="57" t="str">
        <f t="shared" ca="1" si="290"/>
        <v>-</v>
      </c>
      <c r="AF380" s="57" t="str">
        <f t="shared" ca="1" si="290"/>
        <v>-</v>
      </c>
      <c r="AG380" s="57" t="str">
        <f t="shared" ca="1" si="290"/>
        <v>-</v>
      </c>
      <c r="AH380" s="57" t="str">
        <f t="shared" ca="1" si="290"/>
        <v>-</v>
      </c>
      <c r="AI380" s="57" t="str">
        <f t="shared" ca="1" si="290"/>
        <v>-</v>
      </c>
      <c r="AJ380" s="57" t="str">
        <f t="shared" ca="1" si="290"/>
        <v>-</v>
      </c>
      <c r="AK380" s="57" t="str">
        <f t="shared" ca="1" si="290"/>
        <v>-</v>
      </c>
      <c r="AL380" s="57" t="str">
        <f t="shared" ca="1" si="290"/>
        <v>-</v>
      </c>
      <c r="AM380" s="57" t="str">
        <f t="shared" ca="1" si="290"/>
        <v>-</v>
      </c>
      <c r="AN380" s="57" t="str">
        <f t="shared" ca="1" si="290"/>
        <v>-</v>
      </c>
      <c r="AO380" s="57" t="str">
        <f t="shared" ca="1" si="290"/>
        <v>-</v>
      </c>
      <c r="AP380" s="57" t="str">
        <f t="shared" ca="1" si="290"/>
        <v>-</v>
      </c>
      <c r="AQ380" s="57" t="str">
        <f t="shared" ca="1" si="290"/>
        <v>-</v>
      </c>
      <c r="AR380" s="57" t="str">
        <f t="shared" ca="1" si="290"/>
        <v>-</v>
      </c>
      <c r="AS380" s="57" t="str">
        <f t="shared" ca="1" si="290"/>
        <v>-</v>
      </c>
      <c r="AT380" s="57" t="str">
        <f t="shared" ca="1" si="290"/>
        <v>-</v>
      </c>
      <c r="AU380" s="57" t="str">
        <f t="shared" ca="1" si="290"/>
        <v>-</v>
      </c>
      <c r="AV380" s="57" t="str">
        <f t="shared" ca="1" si="290"/>
        <v>-</v>
      </c>
      <c r="AW380" s="57" t="str">
        <f t="shared" ca="1" si="290"/>
        <v>-</v>
      </c>
      <c r="AX380" s="57" t="str">
        <f t="shared" ca="1" si="290"/>
        <v>-</v>
      </c>
      <c r="AY380" s="57" t="str">
        <f t="shared" ca="1" si="290"/>
        <v>-</v>
      </c>
    </row>
    <row r="381" spans="1:51" ht="15.5">
      <c r="A381" s="1" t="s">
        <v>142</v>
      </c>
      <c r="C381" s="104"/>
      <c r="E381" s="15" t="s">
        <v>118</v>
      </c>
      <c r="F381" s="57" t="str">
        <f ca="1">IFERROR(F324/(F341+F343+F345+F347+F349+F351),"-")</f>
        <v>-</v>
      </c>
      <c r="G381" s="57" t="str">
        <f t="shared" ref="G381:AY381" ca="1" si="291">IFERROR(G324/(G341+G343+G345+G347+G349+G351),"-")</f>
        <v>-</v>
      </c>
      <c r="H381" s="57" t="str">
        <f t="shared" ca="1" si="291"/>
        <v>-</v>
      </c>
      <c r="I381" s="57" t="str">
        <f t="shared" ca="1" si="291"/>
        <v>-</v>
      </c>
      <c r="J381" s="57" t="str">
        <f t="shared" ca="1" si="291"/>
        <v>-</v>
      </c>
      <c r="K381" s="57" t="str">
        <f t="shared" ca="1" si="291"/>
        <v>-</v>
      </c>
      <c r="L381" s="57" t="str">
        <f t="shared" ca="1" si="291"/>
        <v>-</v>
      </c>
      <c r="M381" s="57" t="str">
        <f t="shared" ca="1" si="291"/>
        <v>-</v>
      </c>
      <c r="N381" s="57" t="str">
        <f t="shared" ca="1" si="291"/>
        <v>-</v>
      </c>
      <c r="O381" s="57" t="str">
        <f t="shared" ca="1" si="291"/>
        <v>-</v>
      </c>
      <c r="P381" s="57" t="str">
        <f t="shared" ca="1" si="291"/>
        <v>-</v>
      </c>
      <c r="Q381" s="57" t="str">
        <f t="shared" ca="1" si="291"/>
        <v>-</v>
      </c>
      <c r="R381" s="57" t="str">
        <f t="shared" ca="1" si="291"/>
        <v>-</v>
      </c>
      <c r="S381" s="57" t="str">
        <f t="shared" ca="1" si="291"/>
        <v>-</v>
      </c>
      <c r="T381" s="57" t="str">
        <f t="shared" ca="1" si="291"/>
        <v>-</v>
      </c>
      <c r="U381" s="57" t="str">
        <f t="shared" ca="1" si="291"/>
        <v>-</v>
      </c>
      <c r="V381" s="57" t="str">
        <f t="shared" ca="1" si="291"/>
        <v>-</v>
      </c>
      <c r="W381" s="57" t="str">
        <f t="shared" ca="1" si="291"/>
        <v>-</v>
      </c>
      <c r="X381" s="57" t="str">
        <f t="shared" ca="1" si="291"/>
        <v>-</v>
      </c>
      <c r="Y381" s="57" t="str">
        <f t="shared" ca="1" si="291"/>
        <v>-</v>
      </c>
      <c r="Z381" s="57" t="str">
        <f t="shared" ca="1" si="291"/>
        <v>-</v>
      </c>
      <c r="AA381" s="57" t="str">
        <f t="shared" ca="1" si="291"/>
        <v>-</v>
      </c>
      <c r="AB381" s="57" t="str">
        <f t="shared" ca="1" si="291"/>
        <v>-</v>
      </c>
      <c r="AC381" s="57" t="str">
        <f t="shared" ca="1" si="291"/>
        <v>-</v>
      </c>
      <c r="AD381" s="57" t="str">
        <f t="shared" ca="1" si="291"/>
        <v>-</v>
      </c>
      <c r="AE381" s="57" t="str">
        <f t="shared" ca="1" si="291"/>
        <v>-</v>
      </c>
      <c r="AF381" s="57" t="str">
        <f t="shared" ca="1" si="291"/>
        <v>-</v>
      </c>
      <c r="AG381" s="57" t="str">
        <f t="shared" ca="1" si="291"/>
        <v>-</v>
      </c>
      <c r="AH381" s="57" t="str">
        <f t="shared" ca="1" si="291"/>
        <v>-</v>
      </c>
      <c r="AI381" s="57" t="str">
        <f t="shared" ca="1" si="291"/>
        <v>-</v>
      </c>
      <c r="AJ381" s="57" t="str">
        <f t="shared" ca="1" si="291"/>
        <v>-</v>
      </c>
      <c r="AK381" s="57" t="str">
        <f t="shared" ca="1" si="291"/>
        <v>-</v>
      </c>
      <c r="AL381" s="57" t="str">
        <f t="shared" ca="1" si="291"/>
        <v>-</v>
      </c>
      <c r="AM381" s="57" t="str">
        <f t="shared" ca="1" si="291"/>
        <v>-</v>
      </c>
      <c r="AN381" s="57" t="str">
        <f t="shared" ca="1" si="291"/>
        <v>-</v>
      </c>
      <c r="AO381" s="57" t="str">
        <f t="shared" ca="1" si="291"/>
        <v>-</v>
      </c>
      <c r="AP381" s="57" t="str">
        <f t="shared" ca="1" si="291"/>
        <v>-</v>
      </c>
      <c r="AQ381" s="57" t="str">
        <f t="shared" ca="1" si="291"/>
        <v>-</v>
      </c>
      <c r="AR381" s="57" t="str">
        <f t="shared" ca="1" si="291"/>
        <v>-</v>
      </c>
      <c r="AS381" s="57" t="str">
        <f t="shared" ca="1" si="291"/>
        <v>-</v>
      </c>
      <c r="AT381" s="57" t="str">
        <f t="shared" ca="1" si="291"/>
        <v>-</v>
      </c>
      <c r="AU381" s="57" t="str">
        <f t="shared" ca="1" si="291"/>
        <v>-</v>
      </c>
      <c r="AV381" s="57" t="str">
        <f t="shared" ca="1" si="291"/>
        <v>-</v>
      </c>
      <c r="AW381" s="57" t="str">
        <f t="shared" ca="1" si="291"/>
        <v>-</v>
      </c>
      <c r="AX381" s="57" t="str">
        <f t="shared" ca="1" si="291"/>
        <v>-</v>
      </c>
      <c r="AY381" s="57" t="str">
        <f t="shared" ca="1" si="291"/>
        <v>-</v>
      </c>
    </row>
    <row r="382" spans="1:51" ht="15.5">
      <c r="A382" s="1" t="s">
        <v>142</v>
      </c>
      <c r="C382" s="104"/>
      <c r="E382" s="15" t="s">
        <v>119</v>
      </c>
      <c r="F382" s="57" t="str">
        <f ca="1">IFERROR(F307/F341,"-")</f>
        <v>-</v>
      </c>
      <c r="G382" s="57" t="str">
        <f t="shared" ref="G382:AY382" ca="1" si="292">IFERROR(G307/G341,"-")</f>
        <v>-</v>
      </c>
      <c r="H382" s="57" t="str">
        <f t="shared" ca="1" si="292"/>
        <v>-</v>
      </c>
      <c r="I382" s="57" t="str">
        <f t="shared" ca="1" si="292"/>
        <v>-</v>
      </c>
      <c r="J382" s="57" t="str">
        <f t="shared" ca="1" si="292"/>
        <v>-</v>
      </c>
      <c r="K382" s="57" t="str">
        <f t="shared" ca="1" si="292"/>
        <v>-</v>
      </c>
      <c r="L382" s="57" t="str">
        <f t="shared" ca="1" si="292"/>
        <v>-</v>
      </c>
      <c r="M382" s="57" t="str">
        <f t="shared" ca="1" si="292"/>
        <v>-</v>
      </c>
      <c r="N382" s="57" t="str">
        <f t="shared" ca="1" si="292"/>
        <v>-</v>
      </c>
      <c r="O382" s="57" t="str">
        <f t="shared" ca="1" si="292"/>
        <v>-</v>
      </c>
      <c r="P382" s="57" t="str">
        <f t="shared" ca="1" si="292"/>
        <v>-</v>
      </c>
      <c r="Q382" s="57" t="str">
        <f t="shared" ca="1" si="292"/>
        <v>-</v>
      </c>
      <c r="R382" s="57" t="str">
        <f t="shared" ca="1" si="292"/>
        <v>-</v>
      </c>
      <c r="S382" s="57" t="str">
        <f t="shared" ca="1" si="292"/>
        <v>-</v>
      </c>
      <c r="T382" s="57" t="str">
        <f t="shared" ca="1" si="292"/>
        <v>-</v>
      </c>
      <c r="U382" s="57" t="str">
        <f t="shared" ca="1" si="292"/>
        <v>-</v>
      </c>
      <c r="V382" s="57" t="str">
        <f t="shared" ca="1" si="292"/>
        <v>-</v>
      </c>
      <c r="W382" s="57" t="str">
        <f t="shared" ca="1" si="292"/>
        <v>-</v>
      </c>
      <c r="X382" s="57" t="str">
        <f t="shared" ca="1" si="292"/>
        <v>-</v>
      </c>
      <c r="Y382" s="57" t="str">
        <f t="shared" ca="1" si="292"/>
        <v>-</v>
      </c>
      <c r="Z382" s="57" t="str">
        <f t="shared" ca="1" si="292"/>
        <v>-</v>
      </c>
      <c r="AA382" s="57" t="str">
        <f t="shared" ca="1" si="292"/>
        <v>-</v>
      </c>
      <c r="AB382" s="57" t="str">
        <f t="shared" ca="1" si="292"/>
        <v>-</v>
      </c>
      <c r="AC382" s="57" t="str">
        <f t="shared" ca="1" si="292"/>
        <v>-</v>
      </c>
      <c r="AD382" s="57" t="str">
        <f t="shared" ca="1" si="292"/>
        <v>-</v>
      </c>
      <c r="AE382" s="57" t="str">
        <f t="shared" ca="1" si="292"/>
        <v>-</v>
      </c>
      <c r="AF382" s="57" t="str">
        <f t="shared" ca="1" si="292"/>
        <v>-</v>
      </c>
      <c r="AG382" s="57" t="str">
        <f t="shared" ca="1" si="292"/>
        <v>-</v>
      </c>
      <c r="AH382" s="57" t="str">
        <f t="shared" ca="1" si="292"/>
        <v>-</v>
      </c>
      <c r="AI382" s="57" t="str">
        <f t="shared" ca="1" si="292"/>
        <v>-</v>
      </c>
      <c r="AJ382" s="57" t="str">
        <f t="shared" ca="1" si="292"/>
        <v>-</v>
      </c>
      <c r="AK382" s="57" t="str">
        <f t="shared" ca="1" si="292"/>
        <v>-</v>
      </c>
      <c r="AL382" s="57" t="str">
        <f t="shared" ca="1" si="292"/>
        <v>-</v>
      </c>
      <c r="AM382" s="57" t="str">
        <f t="shared" ca="1" si="292"/>
        <v>-</v>
      </c>
      <c r="AN382" s="57" t="str">
        <f t="shared" ca="1" si="292"/>
        <v>-</v>
      </c>
      <c r="AO382" s="57" t="str">
        <f t="shared" ca="1" si="292"/>
        <v>-</v>
      </c>
      <c r="AP382" s="57" t="str">
        <f t="shared" ca="1" si="292"/>
        <v>-</v>
      </c>
      <c r="AQ382" s="57" t="str">
        <f t="shared" ca="1" si="292"/>
        <v>-</v>
      </c>
      <c r="AR382" s="57" t="str">
        <f t="shared" ca="1" si="292"/>
        <v>-</v>
      </c>
      <c r="AS382" s="57" t="str">
        <f t="shared" ca="1" si="292"/>
        <v>-</v>
      </c>
      <c r="AT382" s="57" t="str">
        <f t="shared" ca="1" si="292"/>
        <v>-</v>
      </c>
      <c r="AU382" s="57" t="str">
        <f t="shared" ca="1" si="292"/>
        <v>-</v>
      </c>
      <c r="AV382" s="57" t="str">
        <f t="shared" ca="1" si="292"/>
        <v>-</v>
      </c>
      <c r="AW382" s="57" t="str">
        <f t="shared" ca="1" si="292"/>
        <v>-</v>
      </c>
      <c r="AX382" s="57" t="str">
        <f t="shared" ca="1" si="292"/>
        <v>-</v>
      </c>
      <c r="AY382" s="57" t="str">
        <f t="shared" ca="1" si="292"/>
        <v>-</v>
      </c>
    </row>
    <row r="383" spans="1:51" ht="15.5">
      <c r="A383" s="1" t="s">
        <v>142</v>
      </c>
      <c r="C383" s="104"/>
      <c r="E383" s="15" t="s">
        <v>120</v>
      </c>
      <c r="F383" s="57" t="str">
        <f ca="1">IFERROR(F308/F343,"-")</f>
        <v>-</v>
      </c>
      <c r="G383" s="57" t="str">
        <f t="shared" ref="G383:AY383" ca="1" si="293">IFERROR(G308/G343,"-")</f>
        <v>-</v>
      </c>
      <c r="H383" s="57" t="str">
        <f t="shared" ca="1" si="293"/>
        <v>-</v>
      </c>
      <c r="I383" s="57" t="str">
        <f t="shared" ca="1" si="293"/>
        <v>-</v>
      </c>
      <c r="J383" s="57" t="str">
        <f t="shared" ca="1" si="293"/>
        <v>-</v>
      </c>
      <c r="K383" s="57" t="str">
        <f t="shared" ca="1" si="293"/>
        <v>-</v>
      </c>
      <c r="L383" s="57" t="str">
        <f t="shared" ca="1" si="293"/>
        <v>-</v>
      </c>
      <c r="M383" s="57" t="str">
        <f t="shared" ca="1" si="293"/>
        <v>-</v>
      </c>
      <c r="N383" s="57" t="str">
        <f t="shared" ca="1" si="293"/>
        <v>-</v>
      </c>
      <c r="O383" s="57" t="str">
        <f t="shared" ca="1" si="293"/>
        <v>-</v>
      </c>
      <c r="P383" s="57" t="str">
        <f t="shared" ca="1" si="293"/>
        <v>-</v>
      </c>
      <c r="Q383" s="57" t="str">
        <f t="shared" ca="1" si="293"/>
        <v>-</v>
      </c>
      <c r="R383" s="57" t="str">
        <f t="shared" ca="1" si="293"/>
        <v>-</v>
      </c>
      <c r="S383" s="57" t="str">
        <f t="shared" ca="1" si="293"/>
        <v>-</v>
      </c>
      <c r="T383" s="57" t="str">
        <f t="shared" ca="1" si="293"/>
        <v>-</v>
      </c>
      <c r="U383" s="57" t="str">
        <f t="shared" ca="1" si="293"/>
        <v>-</v>
      </c>
      <c r="V383" s="57" t="str">
        <f t="shared" ca="1" si="293"/>
        <v>-</v>
      </c>
      <c r="W383" s="57" t="str">
        <f t="shared" ca="1" si="293"/>
        <v>-</v>
      </c>
      <c r="X383" s="57" t="str">
        <f t="shared" ca="1" si="293"/>
        <v>-</v>
      </c>
      <c r="Y383" s="57" t="str">
        <f t="shared" ca="1" si="293"/>
        <v>-</v>
      </c>
      <c r="Z383" s="57" t="str">
        <f t="shared" ca="1" si="293"/>
        <v>-</v>
      </c>
      <c r="AA383" s="57" t="str">
        <f t="shared" ca="1" si="293"/>
        <v>-</v>
      </c>
      <c r="AB383" s="57" t="str">
        <f t="shared" ca="1" si="293"/>
        <v>-</v>
      </c>
      <c r="AC383" s="57" t="str">
        <f t="shared" ca="1" si="293"/>
        <v>-</v>
      </c>
      <c r="AD383" s="57" t="str">
        <f t="shared" ca="1" si="293"/>
        <v>-</v>
      </c>
      <c r="AE383" s="57" t="str">
        <f t="shared" ca="1" si="293"/>
        <v>-</v>
      </c>
      <c r="AF383" s="57" t="str">
        <f t="shared" ca="1" si="293"/>
        <v>-</v>
      </c>
      <c r="AG383" s="57" t="str">
        <f t="shared" ca="1" si="293"/>
        <v>-</v>
      </c>
      <c r="AH383" s="57" t="str">
        <f t="shared" ca="1" si="293"/>
        <v>-</v>
      </c>
      <c r="AI383" s="57" t="str">
        <f t="shared" ca="1" si="293"/>
        <v>-</v>
      </c>
      <c r="AJ383" s="57" t="str">
        <f t="shared" ca="1" si="293"/>
        <v>-</v>
      </c>
      <c r="AK383" s="57" t="str">
        <f t="shared" ca="1" si="293"/>
        <v>-</v>
      </c>
      <c r="AL383" s="57" t="str">
        <f t="shared" ca="1" si="293"/>
        <v>-</v>
      </c>
      <c r="AM383" s="57" t="str">
        <f t="shared" ca="1" si="293"/>
        <v>-</v>
      </c>
      <c r="AN383" s="57" t="str">
        <f t="shared" ca="1" si="293"/>
        <v>-</v>
      </c>
      <c r="AO383" s="57" t="str">
        <f t="shared" ca="1" si="293"/>
        <v>-</v>
      </c>
      <c r="AP383" s="57" t="str">
        <f t="shared" ca="1" si="293"/>
        <v>-</v>
      </c>
      <c r="AQ383" s="57" t="str">
        <f t="shared" ca="1" si="293"/>
        <v>-</v>
      </c>
      <c r="AR383" s="57" t="str">
        <f t="shared" ca="1" si="293"/>
        <v>-</v>
      </c>
      <c r="AS383" s="57" t="str">
        <f t="shared" ca="1" si="293"/>
        <v>-</v>
      </c>
      <c r="AT383" s="57" t="str">
        <f t="shared" ca="1" si="293"/>
        <v>-</v>
      </c>
      <c r="AU383" s="57" t="str">
        <f t="shared" ca="1" si="293"/>
        <v>-</v>
      </c>
      <c r="AV383" s="57" t="str">
        <f t="shared" ca="1" si="293"/>
        <v>-</v>
      </c>
      <c r="AW383" s="57" t="str">
        <f t="shared" ca="1" si="293"/>
        <v>-</v>
      </c>
      <c r="AX383" s="57" t="str">
        <f t="shared" ca="1" si="293"/>
        <v>-</v>
      </c>
      <c r="AY383" s="57" t="str">
        <f t="shared" ca="1" si="293"/>
        <v>-</v>
      </c>
    </row>
    <row r="384" spans="1:51" ht="15.5">
      <c r="A384" s="1" t="s">
        <v>142</v>
      </c>
      <c r="C384" s="104"/>
      <c r="E384" s="15" t="s">
        <v>121</v>
      </c>
      <c r="F384" s="57" t="str">
        <f ca="1">IFERROR(F309/F345,"-")</f>
        <v>-</v>
      </c>
      <c r="G384" s="57" t="str">
        <f t="shared" ref="G384:AY384" ca="1" si="294">IFERROR(G309/G345,"-")</f>
        <v>-</v>
      </c>
      <c r="H384" s="57" t="str">
        <f t="shared" ca="1" si="294"/>
        <v>-</v>
      </c>
      <c r="I384" s="57" t="str">
        <f t="shared" ca="1" si="294"/>
        <v>-</v>
      </c>
      <c r="J384" s="57" t="str">
        <f t="shared" ca="1" si="294"/>
        <v>-</v>
      </c>
      <c r="K384" s="57" t="str">
        <f t="shared" ca="1" si="294"/>
        <v>-</v>
      </c>
      <c r="L384" s="57" t="str">
        <f t="shared" ca="1" si="294"/>
        <v>-</v>
      </c>
      <c r="M384" s="57" t="str">
        <f t="shared" ca="1" si="294"/>
        <v>-</v>
      </c>
      <c r="N384" s="57" t="str">
        <f t="shared" ca="1" si="294"/>
        <v>-</v>
      </c>
      <c r="O384" s="57" t="str">
        <f t="shared" ca="1" si="294"/>
        <v>-</v>
      </c>
      <c r="P384" s="57" t="str">
        <f t="shared" ca="1" si="294"/>
        <v>-</v>
      </c>
      <c r="Q384" s="57" t="str">
        <f t="shared" ca="1" si="294"/>
        <v>-</v>
      </c>
      <c r="R384" s="57" t="str">
        <f t="shared" ca="1" si="294"/>
        <v>-</v>
      </c>
      <c r="S384" s="57" t="str">
        <f t="shared" ca="1" si="294"/>
        <v>-</v>
      </c>
      <c r="T384" s="57" t="str">
        <f t="shared" ca="1" si="294"/>
        <v>-</v>
      </c>
      <c r="U384" s="57" t="str">
        <f t="shared" ca="1" si="294"/>
        <v>-</v>
      </c>
      <c r="V384" s="57" t="str">
        <f t="shared" ca="1" si="294"/>
        <v>-</v>
      </c>
      <c r="W384" s="57" t="str">
        <f t="shared" ca="1" si="294"/>
        <v>-</v>
      </c>
      <c r="X384" s="57" t="str">
        <f t="shared" ca="1" si="294"/>
        <v>-</v>
      </c>
      <c r="Y384" s="57" t="str">
        <f t="shared" ca="1" si="294"/>
        <v>-</v>
      </c>
      <c r="Z384" s="57" t="str">
        <f t="shared" ca="1" si="294"/>
        <v>-</v>
      </c>
      <c r="AA384" s="57" t="str">
        <f t="shared" ca="1" si="294"/>
        <v>-</v>
      </c>
      <c r="AB384" s="57" t="str">
        <f t="shared" ca="1" si="294"/>
        <v>-</v>
      </c>
      <c r="AC384" s="57" t="str">
        <f t="shared" ca="1" si="294"/>
        <v>-</v>
      </c>
      <c r="AD384" s="57" t="str">
        <f t="shared" ca="1" si="294"/>
        <v>-</v>
      </c>
      <c r="AE384" s="57" t="str">
        <f t="shared" ca="1" si="294"/>
        <v>-</v>
      </c>
      <c r="AF384" s="57" t="str">
        <f t="shared" ca="1" si="294"/>
        <v>-</v>
      </c>
      <c r="AG384" s="57" t="str">
        <f t="shared" ca="1" si="294"/>
        <v>-</v>
      </c>
      <c r="AH384" s="57" t="str">
        <f t="shared" ca="1" si="294"/>
        <v>-</v>
      </c>
      <c r="AI384" s="57" t="str">
        <f t="shared" ca="1" si="294"/>
        <v>-</v>
      </c>
      <c r="AJ384" s="57" t="str">
        <f t="shared" ca="1" si="294"/>
        <v>-</v>
      </c>
      <c r="AK384" s="57" t="str">
        <f t="shared" ca="1" si="294"/>
        <v>-</v>
      </c>
      <c r="AL384" s="57" t="str">
        <f t="shared" ca="1" si="294"/>
        <v>-</v>
      </c>
      <c r="AM384" s="57" t="str">
        <f t="shared" ca="1" si="294"/>
        <v>-</v>
      </c>
      <c r="AN384" s="57" t="str">
        <f t="shared" ca="1" si="294"/>
        <v>-</v>
      </c>
      <c r="AO384" s="57" t="str">
        <f t="shared" ca="1" si="294"/>
        <v>-</v>
      </c>
      <c r="AP384" s="57" t="str">
        <f t="shared" ca="1" si="294"/>
        <v>-</v>
      </c>
      <c r="AQ384" s="57" t="str">
        <f t="shared" ca="1" si="294"/>
        <v>-</v>
      </c>
      <c r="AR384" s="57" t="str">
        <f t="shared" ca="1" si="294"/>
        <v>-</v>
      </c>
      <c r="AS384" s="57" t="str">
        <f t="shared" ca="1" si="294"/>
        <v>-</v>
      </c>
      <c r="AT384" s="57" t="str">
        <f t="shared" ca="1" si="294"/>
        <v>-</v>
      </c>
      <c r="AU384" s="57" t="str">
        <f t="shared" ca="1" si="294"/>
        <v>-</v>
      </c>
      <c r="AV384" s="57" t="str">
        <f t="shared" ca="1" si="294"/>
        <v>-</v>
      </c>
      <c r="AW384" s="57" t="str">
        <f t="shared" ca="1" si="294"/>
        <v>-</v>
      </c>
      <c r="AX384" s="57" t="str">
        <f t="shared" ca="1" si="294"/>
        <v>-</v>
      </c>
      <c r="AY384" s="57" t="str">
        <f t="shared" ca="1" si="294"/>
        <v>-</v>
      </c>
    </row>
    <row r="385" spans="1:51" ht="15.5">
      <c r="A385" s="1" t="s">
        <v>142</v>
      </c>
      <c r="C385" s="104"/>
      <c r="E385" s="15" t="s">
        <v>122</v>
      </c>
      <c r="F385" s="57" t="str">
        <f ca="1">IFERROR(F310/F347,"-")</f>
        <v>-</v>
      </c>
      <c r="G385" s="57" t="str">
        <f t="shared" ref="G385:AY385" ca="1" si="295">IFERROR(G310/G347,"-")</f>
        <v>-</v>
      </c>
      <c r="H385" s="57" t="str">
        <f t="shared" ca="1" si="295"/>
        <v>-</v>
      </c>
      <c r="I385" s="57" t="str">
        <f t="shared" ca="1" si="295"/>
        <v>-</v>
      </c>
      <c r="J385" s="57" t="str">
        <f t="shared" ca="1" si="295"/>
        <v>-</v>
      </c>
      <c r="K385" s="57" t="str">
        <f t="shared" ca="1" si="295"/>
        <v>-</v>
      </c>
      <c r="L385" s="57" t="str">
        <f t="shared" ca="1" si="295"/>
        <v>-</v>
      </c>
      <c r="M385" s="57" t="str">
        <f t="shared" ca="1" si="295"/>
        <v>-</v>
      </c>
      <c r="N385" s="57" t="str">
        <f t="shared" ca="1" si="295"/>
        <v>-</v>
      </c>
      <c r="O385" s="57" t="str">
        <f t="shared" ca="1" si="295"/>
        <v>-</v>
      </c>
      <c r="P385" s="57" t="str">
        <f t="shared" ca="1" si="295"/>
        <v>-</v>
      </c>
      <c r="Q385" s="57" t="str">
        <f t="shared" ca="1" si="295"/>
        <v>-</v>
      </c>
      <c r="R385" s="57" t="str">
        <f t="shared" ca="1" si="295"/>
        <v>-</v>
      </c>
      <c r="S385" s="57" t="str">
        <f t="shared" ca="1" si="295"/>
        <v>-</v>
      </c>
      <c r="T385" s="57" t="str">
        <f t="shared" ca="1" si="295"/>
        <v>-</v>
      </c>
      <c r="U385" s="57" t="str">
        <f t="shared" ca="1" si="295"/>
        <v>-</v>
      </c>
      <c r="V385" s="57" t="str">
        <f t="shared" ca="1" si="295"/>
        <v>-</v>
      </c>
      <c r="W385" s="57" t="str">
        <f t="shared" ca="1" si="295"/>
        <v>-</v>
      </c>
      <c r="X385" s="57" t="str">
        <f t="shared" ca="1" si="295"/>
        <v>-</v>
      </c>
      <c r="Y385" s="57" t="str">
        <f t="shared" ca="1" si="295"/>
        <v>-</v>
      </c>
      <c r="Z385" s="57" t="str">
        <f t="shared" ca="1" si="295"/>
        <v>-</v>
      </c>
      <c r="AA385" s="57" t="str">
        <f t="shared" ca="1" si="295"/>
        <v>-</v>
      </c>
      <c r="AB385" s="57" t="str">
        <f t="shared" ca="1" si="295"/>
        <v>-</v>
      </c>
      <c r="AC385" s="57" t="str">
        <f t="shared" ca="1" si="295"/>
        <v>-</v>
      </c>
      <c r="AD385" s="57" t="str">
        <f t="shared" ca="1" si="295"/>
        <v>-</v>
      </c>
      <c r="AE385" s="57" t="str">
        <f t="shared" ca="1" si="295"/>
        <v>-</v>
      </c>
      <c r="AF385" s="57" t="str">
        <f t="shared" ca="1" si="295"/>
        <v>-</v>
      </c>
      <c r="AG385" s="57" t="str">
        <f t="shared" ca="1" si="295"/>
        <v>-</v>
      </c>
      <c r="AH385" s="57" t="str">
        <f t="shared" ca="1" si="295"/>
        <v>-</v>
      </c>
      <c r="AI385" s="57" t="str">
        <f t="shared" ca="1" si="295"/>
        <v>-</v>
      </c>
      <c r="AJ385" s="57" t="str">
        <f t="shared" ca="1" si="295"/>
        <v>-</v>
      </c>
      <c r="AK385" s="57" t="str">
        <f t="shared" ca="1" si="295"/>
        <v>-</v>
      </c>
      <c r="AL385" s="57" t="str">
        <f t="shared" ca="1" si="295"/>
        <v>-</v>
      </c>
      <c r="AM385" s="57" t="str">
        <f t="shared" ca="1" si="295"/>
        <v>-</v>
      </c>
      <c r="AN385" s="57" t="str">
        <f t="shared" ca="1" si="295"/>
        <v>-</v>
      </c>
      <c r="AO385" s="57" t="str">
        <f t="shared" ca="1" si="295"/>
        <v>-</v>
      </c>
      <c r="AP385" s="57" t="str">
        <f t="shared" ca="1" si="295"/>
        <v>-</v>
      </c>
      <c r="AQ385" s="57" t="str">
        <f t="shared" ca="1" si="295"/>
        <v>-</v>
      </c>
      <c r="AR385" s="57" t="str">
        <f t="shared" ca="1" si="295"/>
        <v>-</v>
      </c>
      <c r="AS385" s="57" t="str">
        <f t="shared" ca="1" si="295"/>
        <v>-</v>
      </c>
      <c r="AT385" s="57" t="str">
        <f t="shared" ca="1" si="295"/>
        <v>-</v>
      </c>
      <c r="AU385" s="57" t="str">
        <f t="shared" ca="1" si="295"/>
        <v>-</v>
      </c>
      <c r="AV385" s="57" t="str">
        <f t="shared" ca="1" si="295"/>
        <v>-</v>
      </c>
      <c r="AW385" s="57" t="str">
        <f t="shared" ca="1" si="295"/>
        <v>-</v>
      </c>
      <c r="AX385" s="57" t="str">
        <f t="shared" ca="1" si="295"/>
        <v>-</v>
      </c>
      <c r="AY385" s="57" t="str">
        <f t="shared" ca="1" si="295"/>
        <v>-</v>
      </c>
    </row>
    <row r="386" spans="1:51" ht="15.5">
      <c r="A386" s="1" t="s">
        <v>142</v>
      </c>
      <c r="C386" s="104"/>
      <c r="E386" s="15" t="s">
        <v>123</v>
      </c>
      <c r="F386" s="57" t="str">
        <f ca="1">IFERROR(F311/F349,"-")</f>
        <v>-</v>
      </c>
      <c r="G386" s="57" t="str">
        <f t="shared" ref="G386:AY386" ca="1" si="296">IFERROR(G311/G349,"-")</f>
        <v>-</v>
      </c>
      <c r="H386" s="57" t="str">
        <f t="shared" ca="1" si="296"/>
        <v>-</v>
      </c>
      <c r="I386" s="57" t="str">
        <f t="shared" ca="1" si="296"/>
        <v>-</v>
      </c>
      <c r="J386" s="57" t="str">
        <f t="shared" ca="1" si="296"/>
        <v>-</v>
      </c>
      <c r="K386" s="57" t="str">
        <f t="shared" ca="1" si="296"/>
        <v>-</v>
      </c>
      <c r="L386" s="57" t="str">
        <f t="shared" ca="1" si="296"/>
        <v>-</v>
      </c>
      <c r="M386" s="57" t="str">
        <f t="shared" ca="1" si="296"/>
        <v>-</v>
      </c>
      <c r="N386" s="57" t="str">
        <f t="shared" ca="1" si="296"/>
        <v>-</v>
      </c>
      <c r="O386" s="57" t="str">
        <f t="shared" ca="1" si="296"/>
        <v>-</v>
      </c>
      <c r="P386" s="57" t="str">
        <f t="shared" ca="1" si="296"/>
        <v>-</v>
      </c>
      <c r="Q386" s="57" t="str">
        <f t="shared" ca="1" si="296"/>
        <v>-</v>
      </c>
      <c r="R386" s="57" t="str">
        <f t="shared" ca="1" si="296"/>
        <v>-</v>
      </c>
      <c r="S386" s="57" t="str">
        <f t="shared" ca="1" si="296"/>
        <v>-</v>
      </c>
      <c r="T386" s="57" t="str">
        <f t="shared" ca="1" si="296"/>
        <v>-</v>
      </c>
      <c r="U386" s="57" t="str">
        <f t="shared" ca="1" si="296"/>
        <v>-</v>
      </c>
      <c r="V386" s="57" t="str">
        <f t="shared" ca="1" si="296"/>
        <v>-</v>
      </c>
      <c r="W386" s="57" t="str">
        <f t="shared" ca="1" si="296"/>
        <v>-</v>
      </c>
      <c r="X386" s="57" t="str">
        <f t="shared" ca="1" si="296"/>
        <v>-</v>
      </c>
      <c r="Y386" s="57" t="str">
        <f t="shared" ca="1" si="296"/>
        <v>-</v>
      </c>
      <c r="Z386" s="57" t="str">
        <f t="shared" ca="1" si="296"/>
        <v>-</v>
      </c>
      <c r="AA386" s="57" t="str">
        <f t="shared" ca="1" si="296"/>
        <v>-</v>
      </c>
      <c r="AB386" s="57" t="str">
        <f t="shared" ca="1" si="296"/>
        <v>-</v>
      </c>
      <c r="AC386" s="57" t="str">
        <f t="shared" ca="1" si="296"/>
        <v>-</v>
      </c>
      <c r="AD386" s="57" t="str">
        <f t="shared" ca="1" si="296"/>
        <v>-</v>
      </c>
      <c r="AE386" s="57" t="str">
        <f t="shared" ca="1" si="296"/>
        <v>-</v>
      </c>
      <c r="AF386" s="57" t="str">
        <f t="shared" ca="1" si="296"/>
        <v>-</v>
      </c>
      <c r="AG386" s="57" t="str">
        <f t="shared" ca="1" si="296"/>
        <v>-</v>
      </c>
      <c r="AH386" s="57" t="str">
        <f t="shared" ca="1" si="296"/>
        <v>-</v>
      </c>
      <c r="AI386" s="57" t="str">
        <f t="shared" ca="1" si="296"/>
        <v>-</v>
      </c>
      <c r="AJ386" s="57" t="str">
        <f t="shared" ca="1" si="296"/>
        <v>-</v>
      </c>
      <c r="AK386" s="57" t="str">
        <f t="shared" ca="1" si="296"/>
        <v>-</v>
      </c>
      <c r="AL386" s="57" t="str">
        <f t="shared" ca="1" si="296"/>
        <v>-</v>
      </c>
      <c r="AM386" s="57" t="str">
        <f t="shared" ca="1" si="296"/>
        <v>-</v>
      </c>
      <c r="AN386" s="57" t="str">
        <f t="shared" ca="1" si="296"/>
        <v>-</v>
      </c>
      <c r="AO386" s="57" t="str">
        <f t="shared" ca="1" si="296"/>
        <v>-</v>
      </c>
      <c r="AP386" s="57" t="str">
        <f t="shared" ca="1" si="296"/>
        <v>-</v>
      </c>
      <c r="AQ386" s="57" t="str">
        <f t="shared" ca="1" si="296"/>
        <v>-</v>
      </c>
      <c r="AR386" s="57" t="str">
        <f t="shared" ca="1" si="296"/>
        <v>-</v>
      </c>
      <c r="AS386" s="57" t="str">
        <f t="shared" ca="1" si="296"/>
        <v>-</v>
      </c>
      <c r="AT386" s="57" t="str">
        <f t="shared" ca="1" si="296"/>
        <v>-</v>
      </c>
      <c r="AU386" s="57" t="str">
        <f t="shared" ca="1" si="296"/>
        <v>-</v>
      </c>
      <c r="AV386" s="57" t="str">
        <f t="shared" ca="1" si="296"/>
        <v>-</v>
      </c>
      <c r="AW386" s="57" t="str">
        <f t="shared" ca="1" si="296"/>
        <v>-</v>
      </c>
      <c r="AX386" s="57" t="str">
        <f t="shared" ca="1" si="296"/>
        <v>-</v>
      </c>
      <c r="AY386" s="57" t="str">
        <f t="shared" ca="1" si="296"/>
        <v>-</v>
      </c>
    </row>
    <row r="387" spans="1:51" ht="15.5">
      <c r="A387" s="1" t="s">
        <v>142</v>
      </c>
      <c r="C387" s="104"/>
      <c r="E387" s="15" t="s">
        <v>124</v>
      </c>
      <c r="F387" s="57" t="str">
        <f ca="1">IFERROR(F312/F351,"-")</f>
        <v>-</v>
      </c>
      <c r="G387" s="57" t="str">
        <f t="shared" ref="G387:AY387" ca="1" si="297">IFERROR(G312/G351,"-")</f>
        <v>-</v>
      </c>
      <c r="H387" s="57" t="str">
        <f t="shared" ca="1" si="297"/>
        <v>-</v>
      </c>
      <c r="I387" s="57" t="str">
        <f t="shared" ca="1" si="297"/>
        <v>-</v>
      </c>
      <c r="J387" s="57" t="str">
        <f t="shared" ca="1" si="297"/>
        <v>-</v>
      </c>
      <c r="K387" s="57" t="str">
        <f t="shared" ca="1" si="297"/>
        <v>-</v>
      </c>
      <c r="L387" s="57" t="str">
        <f t="shared" ca="1" si="297"/>
        <v>-</v>
      </c>
      <c r="M387" s="57" t="str">
        <f t="shared" ca="1" si="297"/>
        <v>-</v>
      </c>
      <c r="N387" s="57" t="str">
        <f t="shared" ca="1" si="297"/>
        <v>-</v>
      </c>
      <c r="O387" s="57" t="str">
        <f t="shared" ca="1" si="297"/>
        <v>-</v>
      </c>
      <c r="P387" s="57" t="str">
        <f t="shared" ca="1" si="297"/>
        <v>-</v>
      </c>
      <c r="Q387" s="57" t="str">
        <f t="shared" ca="1" si="297"/>
        <v>-</v>
      </c>
      <c r="R387" s="57" t="str">
        <f t="shared" ca="1" si="297"/>
        <v>-</v>
      </c>
      <c r="S387" s="57" t="str">
        <f t="shared" ca="1" si="297"/>
        <v>-</v>
      </c>
      <c r="T387" s="57" t="str">
        <f t="shared" ca="1" si="297"/>
        <v>-</v>
      </c>
      <c r="U387" s="57" t="str">
        <f t="shared" ca="1" si="297"/>
        <v>-</v>
      </c>
      <c r="V387" s="57" t="str">
        <f t="shared" ca="1" si="297"/>
        <v>-</v>
      </c>
      <c r="W387" s="57" t="str">
        <f t="shared" ca="1" si="297"/>
        <v>-</v>
      </c>
      <c r="X387" s="57" t="str">
        <f t="shared" ca="1" si="297"/>
        <v>-</v>
      </c>
      <c r="Y387" s="57" t="str">
        <f t="shared" ca="1" si="297"/>
        <v>-</v>
      </c>
      <c r="Z387" s="57" t="str">
        <f t="shared" ca="1" si="297"/>
        <v>-</v>
      </c>
      <c r="AA387" s="57" t="str">
        <f t="shared" ca="1" si="297"/>
        <v>-</v>
      </c>
      <c r="AB387" s="57" t="str">
        <f t="shared" ca="1" si="297"/>
        <v>-</v>
      </c>
      <c r="AC387" s="57" t="str">
        <f t="shared" ca="1" si="297"/>
        <v>-</v>
      </c>
      <c r="AD387" s="57" t="str">
        <f t="shared" ca="1" si="297"/>
        <v>-</v>
      </c>
      <c r="AE387" s="57" t="str">
        <f t="shared" ca="1" si="297"/>
        <v>-</v>
      </c>
      <c r="AF387" s="57" t="str">
        <f t="shared" ca="1" si="297"/>
        <v>-</v>
      </c>
      <c r="AG387" s="57" t="str">
        <f t="shared" ca="1" si="297"/>
        <v>-</v>
      </c>
      <c r="AH387" s="57" t="str">
        <f t="shared" ca="1" si="297"/>
        <v>-</v>
      </c>
      <c r="AI387" s="57" t="str">
        <f t="shared" ca="1" si="297"/>
        <v>-</v>
      </c>
      <c r="AJ387" s="57" t="str">
        <f t="shared" ca="1" si="297"/>
        <v>-</v>
      </c>
      <c r="AK387" s="57" t="str">
        <f t="shared" ca="1" si="297"/>
        <v>-</v>
      </c>
      <c r="AL387" s="57" t="str">
        <f t="shared" ca="1" si="297"/>
        <v>-</v>
      </c>
      <c r="AM387" s="57" t="str">
        <f t="shared" ca="1" si="297"/>
        <v>-</v>
      </c>
      <c r="AN387" s="57" t="str">
        <f t="shared" ca="1" si="297"/>
        <v>-</v>
      </c>
      <c r="AO387" s="57" t="str">
        <f t="shared" ca="1" si="297"/>
        <v>-</v>
      </c>
      <c r="AP387" s="57" t="str">
        <f t="shared" ca="1" si="297"/>
        <v>-</v>
      </c>
      <c r="AQ387" s="57" t="str">
        <f t="shared" ca="1" si="297"/>
        <v>-</v>
      </c>
      <c r="AR387" s="57" t="str">
        <f t="shared" ca="1" si="297"/>
        <v>-</v>
      </c>
      <c r="AS387" s="57" t="str">
        <f t="shared" ca="1" si="297"/>
        <v>-</v>
      </c>
      <c r="AT387" s="57" t="str">
        <f t="shared" ca="1" si="297"/>
        <v>-</v>
      </c>
      <c r="AU387" s="57" t="str">
        <f t="shared" ca="1" si="297"/>
        <v>-</v>
      </c>
      <c r="AV387" s="57" t="str">
        <f t="shared" ca="1" si="297"/>
        <v>-</v>
      </c>
      <c r="AW387" s="57" t="str">
        <f t="shared" ca="1" si="297"/>
        <v>-</v>
      </c>
      <c r="AX387" s="57" t="str">
        <f t="shared" ca="1" si="297"/>
        <v>-</v>
      </c>
      <c r="AY387" s="57" t="str">
        <f t="shared" ca="1" si="297"/>
        <v>-</v>
      </c>
    </row>
    <row r="388" spans="1:51" ht="15.5">
      <c r="A388" s="1" t="s">
        <v>142</v>
      </c>
      <c r="C388" s="104"/>
      <c r="E388" s="18" t="str">
        <f ca="1">"(M5) "&amp;RIGHT(Context!$E$37,3)&amp;"/km"</f>
        <v>(M5) EUR/km</v>
      </c>
      <c r="F388" s="59">
        <f t="shared" ref="F388:AY388" ca="1" si="298">IFERROR(F48/F317,"-")</f>
        <v>-0.24387100770637421</v>
      </c>
      <c r="G388" s="59">
        <f t="shared" ca="1" si="298"/>
        <v>-0.22441774546620663</v>
      </c>
      <c r="H388" s="59">
        <f t="shared" ca="1" si="298"/>
        <v>-0.22244302313264808</v>
      </c>
      <c r="I388" s="59">
        <f t="shared" ca="1" si="298"/>
        <v>-0.22872422803528225</v>
      </c>
      <c r="J388" s="59">
        <f t="shared" ca="1" si="298"/>
        <v>-0.32766275169228071</v>
      </c>
      <c r="K388" s="59">
        <f t="shared" ca="1" si="298"/>
        <v>-0.26787697887211659</v>
      </c>
      <c r="L388" s="59">
        <f t="shared" ca="1" si="298"/>
        <v>-0.28261288696591852</v>
      </c>
      <c r="M388" s="59">
        <f t="shared" ca="1" si="298"/>
        <v>-0.2251476641604514</v>
      </c>
      <c r="N388" s="59">
        <f t="shared" ca="1" si="298"/>
        <v>-0.2974669039694493</v>
      </c>
      <c r="O388" s="59">
        <f t="shared" ca="1" si="298"/>
        <v>-0.29001964031603705</v>
      </c>
      <c r="P388" s="59">
        <f t="shared" ca="1" si="298"/>
        <v>-0.29807640007841285</v>
      </c>
      <c r="Q388" s="59">
        <f t="shared" ca="1" si="298"/>
        <v>-0.2847934894558149</v>
      </c>
      <c r="R388" s="59">
        <f t="shared" ca="1" si="298"/>
        <v>-0.29487774241843806</v>
      </c>
      <c r="S388" s="59">
        <f t="shared" ca="1" si="298"/>
        <v>-7.2740899382918531E-3</v>
      </c>
      <c r="T388" s="59">
        <f t="shared" ca="1" si="298"/>
        <v>-0.27743094719050948</v>
      </c>
      <c r="U388" s="59">
        <f t="shared" ca="1" si="298"/>
        <v>-0.26511135638228317</v>
      </c>
      <c r="V388" s="59">
        <f t="shared" ca="1" si="298"/>
        <v>-0.16490242090842921</v>
      </c>
      <c r="W388" s="59">
        <f t="shared" ca="1" si="298"/>
        <v>-0.25089871114848389</v>
      </c>
      <c r="X388" s="59">
        <f t="shared" ca="1" si="298"/>
        <v>-0.26535546987351039</v>
      </c>
      <c r="Y388" s="59">
        <f t="shared" ca="1" si="298"/>
        <v>-0.26535546987351039</v>
      </c>
      <c r="Z388" s="59">
        <f t="shared" ca="1" si="298"/>
        <v>-0.26964024112298979</v>
      </c>
      <c r="AA388" s="59">
        <f t="shared" ca="1" si="298"/>
        <v>-0.30054942907356613</v>
      </c>
      <c r="AB388" s="59">
        <f t="shared" ca="1" si="298"/>
        <v>-0.29080257416040173</v>
      </c>
      <c r="AC388" s="59">
        <f t="shared" ca="1" si="298"/>
        <v>-0.29893809925349513</v>
      </c>
      <c r="AD388" s="59">
        <f t="shared" ca="1" si="298"/>
        <v>-0.29905229668490457</v>
      </c>
      <c r="AE388" s="59">
        <f t="shared" ca="1" si="298"/>
        <v>-0.29582792333970898</v>
      </c>
      <c r="AF388" s="59">
        <f t="shared" ca="1" si="298"/>
        <v>-0.3028593768431817</v>
      </c>
      <c r="AG388" s="59">
        <f t="shared" ca="1" si="298"/>
        <v>-0.3103949406178968</v>
      </c>
      <c r="AH388" s="59">
        <f t="shared" ca="1" si="298"/>
        <v>-0.30762111398344905</v>
      </c>
      <c r="AI388" s="59">
        <f t="shared" ca="1" si="298"/>
        <v>-0.30784967988791995</v>
      </c>
      <c r="AJ388" s="59">
        <f t="shared" ca="1" si="298"/>
        <v>-0.3080247385538803</v>
      </c>
      <c r="AK388" s="59">
        <f t="shared" ca="1" si="298"/>
        <v>-0.31025332630536845</v>
      </c>
      <c r="AL388" s="59">
        <f t="shared" ca="1" si="298"/>
        <v>-0.31025332630536845</v>
      </c>
      <c r="AM388" s="59">
        <f t="shared" ca="1" si="298"/>
        <v>-8.7341871522351608E-2</v>
      </c>
      <c r="AN388" s="59">
        <f t="shared" ca="1" si="298"/>
        <v>-0.13846810582551494</v>
      </c>
      <c r="AO388" s="59">
        <f t="shared" ca="1" si="298"/>
        <v>4.3318228261507128E-17</v>
      </c>
      <c r="AP388" s="59">
        <f t="shared" ca="1" si="298"/>
        <v>4.3318228261507128E-17</v>
      </c>
      <c r="AQ388" s="59">
        <f t="shared" ca="1" si="298"/>
        <v>4.3318228261507128E-17</v>
      </c>
      <c r="AR388" s="59">
        <f t="shared" ca="1" si="298"/>
        <v>4.3318228261507128E-17</v>
      </c>
      <c r="AS388" s="59">
        <f t="shared" ca="1" si="298"/>
        <v>4.3318228261507128E-17</v>
      </c>
      <c r="AT388" s="59">
        <f t="shared" ca="1" si="298"/>
        <v>4.3318228261507128E-17</v>
      </c>
      <c r="AU388" s="59">
        <f t="shared" ca="1" si="298"/>
        <v>4.3318228261507128E-17</v>
      </c>
      <c r="AV388" s="59">
        <f t="shared" ca="1" si="298"/>
        <v>4.3318228261507128E-17</v>
      </c>
      <c r="AW388" s="59">
        <f t="shared" ca="1" si="298"/>
        <v>4.3318228261507128E-17</v>
      </c>
      <c r="AX388" s="59">
        <f t="shared" ca="1" si="298"/>
        <v>4.3318228261507128E-17</v>
      </c>
      <c r="AY388" s="59">
        <f t="shared" ca="1" si="298"/>
        <v>4.3318228261507128E-17</v>
      </c>
    </row>
    <row r="389" spans="1:51"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</row>
    <row r="390" spans="1:51"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</row>
    <row r="391" spans="1:51"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</row>
    <row r="392" spans="1:51"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</row>
    <row r="393" spans="1:51"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</row>
    <row r="394" spans="1:51"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</row>
    <row r="395" spans="1:51"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</row>
    <row r="396" spans="1:51"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</row>
    <row r="397" spans="1:51"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</row>
    <row r="398" spans="1:51"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</row>
    <row r="399" spans="1:51"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</row>
    <row r="400" spans="1:51"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</row>
    <row r="401" spans="6:51"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</row>
    <row r="402" spans="6:51"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</row>
    <row r="403" spans="6:51"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</row>
    <row r="404" spans="6:51"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</row>
    <row r="405" spans="6:51"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</row>
    <row r="406" spans="6:51"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</row>
    <row r="407" spans="6:51"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</row>
    <row r="408" spans="6:51"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</row>
    <row r="409" spans="6:51"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</row>
    <row r="410" spans="6:51"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</row>
    <row r="411" spans="6:51"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</row>
    <row r="412" spans="6:51"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</row>
    <row r="413" spans="6:51"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</row>
    <row r="414" spans="6:51"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</row>
    <row r="415" spans="6:51"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</row>
    <row r="416" spans="6:51"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</row>
    <row r="417" spans="6:51"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</row>
    <row r="418" spans="6:51"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</row>
    <row r="419" spans="6:51"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</row>
    <row r="420" spans="6:51"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</row>
    <row r="421" spans="6:51"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</row>
    <row r="422" spans="6:51"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</row>
    <row r="423" spans="6:51"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</row>
    <row r="424" spans="6:51"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</row>
    <row r="425" spans="6:51"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</row>
    <row r="426" spans="6:51"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</row>
    <row r="427" spans="6:51"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</row>
    <row r="428" spans="6:51"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</row>
    <row r="429" spans="6:51"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</row>
    <row r="430" spans="6:51"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</row>
    <row r="431" spans="6:51"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</row>
    <row r="432" spans="6:51"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</row>
    <row r="433" spans="6:51"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</row>
    <row r="434" spans="6:51"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</row>
    <row r="435" spans="6:51"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</row>
    <row r="436" spans="6:51"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</row>
    <row r="437" spans="6:51"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</row>
    <row r="438" spans="6:51"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</row>
    <row r="439" spans="6:51"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</row>
    <row r="440" spans="6:51"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</row>
    <row r="441" spans="6:51"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</row>
    <row r="442" spans="6:51"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</row>
    <row r="443" spans="6:51"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</row>
    <row r="444" spans="6:51"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</row>
    <row r="445" spans="6:51"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</row>
    <row r="446" spans="6:51"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</row>
    <row r="447" spans="6:51"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</row>
    <row r="448" spans="6:51"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</row>
    <row r="449" spans="6:51"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</row>
    <row r="450" spans="6:51"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</row>
    <row r="451" spans="6:51"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</row>
    <row r="452" spans="6:51"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</row>
    <row r="453" spans="6:51"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</row>
    <row r="454" spans="6:51"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</row>
    <row r="455" spans="6:51"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</row>
    <row r="456" spans="6:51"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</row>
    <row r="457" spans="6:51"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</row>
    <row r="458" spans="6:51"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</row>
    <row r="459" spans="6:51"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</row>
    <row r="460" spans="6:51"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</row>
    <row r="461" spans="6:51"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</row>
    <row r="462" spans="6:51"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</row>
    <row r="463" spans="6:51"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</row>
    <row r="464" spans="6:51"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</row>
    <row r="465" spans="6:51"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</row>
    <row r="466" spans="6:51"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</row>
    <row r="467" spans="6:51"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</row>
    <row r="468" spans="6:51"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</row>
    <row r="469" spans="6:51"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</row>
    <row r="470" spans="6:51"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</row>
    <row r="471" spans="6:51"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</row>
    <row r="472" spans="6:51"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</row>
    <row r="473" spans="6:51"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</row>
    <row r="474" spans="6:51"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</row>
    <row r="475" spans="6:51"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</row>
    <row r="476" spans="6:51"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</row>
    <row r="477" spans="6:51"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</row>
    <row r="478" spans="6:51"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</row>
    <row r="479" spans="6:51"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</row>
    <row r="480" spans="6:51"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</row>
    <row r="481" spans="6:51"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</row>
    <row r="482" spans="6:51"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</row>
    <row r="483" spans="6:51"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</row>
    <row r="484" spans="6:51"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</row>
    <row r="485" spans="6:51"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</row>
    <row r="486" spans="6:51"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</row>
    <row r="487" spans="6:51"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</row>
    <row r="488" spans="6:51"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</row>
    <row r="489" spans="6:51"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</row>
    <row r="490" spans="6:51"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</row>
    <row r="491" spans="6:51"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</row>
    <row r="492" spans="6:51"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</row>
    <row r="493" spans="6:51"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</row>
    <row r="494" spans="6:51"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</row>
    <row r="495" spans="6:51"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</row>
    <row r="496" spans="6:51"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</row>
    <row r="497" spans="6:51"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</row>
    <row r="498" spans="6:51"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</row>
    <row r="499" spans="6:51"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</row>
    <row r="500" spans="6:51"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</row>
    <row r="501" spans="6:51"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</row>
    <row r="502" spans="6:51"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</row>
    <row r="503" spans="6:51"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</row>
    <row r="504" spans="6:51"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</row>
    <row r="505" spans="6:51"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</row>
    <row r="506" spans="6:51"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</row>
    <row r="507" spans="6:51"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</row>
    <row r="508" spans="6:51"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</row>
    <row r="509" spans="6:51"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</row>
    <row r="510" spans="6:51"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</row>
    <row r="511" spans="6:51"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</row>
    <row r="512" spans="6:51"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</row>
    <row r="513" spans="6:51"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</row>
    <row r="514" spans="6:51"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</row>
    <row r="515" spans="6:51"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</row>
    <row r="516" spans="6:51"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</row>
    <row r="517" spans="6:51"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</row>
    <row r="518" spans="6:51"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</row>
    <row r="519" spans="6:51"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</row>
    <row r="520" spans="6:51"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</row>
    <row r="521" spans="6:51"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</row>
    <row r="522" spans="6:51"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</row>
    <row r="523" spans="6:51"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</row>
    <row r="524" spans="6:51"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</row>
    <row r="525" spans="6:51"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</row>
    <row r="526" spans="6:51"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</row>
    <row r="527" spans="6:51"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</row>
    <row r="528" spans="6:51"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</row>
    <row r="529" spans="6:51"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</row>
    <row r="530" spans="6:51"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</row>
    <row r="531" spans="6:51"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</row>
    <row r="532" spans="6:51"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</row>
    <row r="533" spans="6:51"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</row>
    <row r="534" spans="6:51"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</row>
    <row r="535" spans="6:51"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</row>
    <row r="536" spans="6:51"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</row>
    <row r="537" spans="6:51"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</row>
    <row r="538" spans="6:51"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</row>
    <row r="539" spans="6:51"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</row>
    <row r="540" spans="6:51"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</row>
    <row r="541" spans="6:51"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</row>
    <row r="542" spans="6:51"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</row>
    <row r="543" spans="6:51"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</row>
    <row r="544" spans="6:51"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</row>
    <row r="545" spans="6:51"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</row>
    <row r="546" spans="6:51"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</row>
    <row r="547" spans="6:51"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</row>
    <row r="548" spans="6:51"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</row>
    <row r="549" spans="6:51"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</row>
    <row r="550" spans="6:51"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</row>
    <row r="551" spans="6:51"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</row>
    <row r="552" spans="6:51"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</row>
    <row r="553" spans="6:51"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</row>
    <row r="554" spans="6:51"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</row>
    <row r="555" spans="6:51"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</row>
    <row r="556" spans="6:51"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</row>
    <row r="557" spans="6:51"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</row>
    <row r="558" spans="6:51"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</row>
    <row r="559" spans="6:51"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</row>
    <row r="560" spans="6:51"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</row>
    <row r="561" spans="6:51"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</row>
    <row r="562" spans="6:51"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</row>
    <row r="563" spans="6:51"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</row>
    <row r="564" spans="6:51"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</row>
    <row r="565" spans="6:51"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</row>
    <row r="566" spans="6:51"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</row>
    <row r="567" spans="6:51"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</row>
    <row r="568" spans="6:51"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</row>
    <row r="569" spans="6:51"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</row>
    <row r="570" spans="6:51"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</row>
    <row r="571" spans="6:51"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</row>
    <row r="572" spans="6:51"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</row>
    <row r="573" spans="6:51"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</row>
    <row r="574" spans="6:51"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</row>
    <row r="575" spans="6:51"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</row>
    <row r="576" spans="6:51"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</row>
    <row r="577" spans="6:51"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</row>
    <row r="578" spans="6:51"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</row>
    <row r="579" spans="6:51"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</row>
    <row r="580" spans="6:51"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</row>
    <row r="581" spans="6:51"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</row>
    <row r="582" spans="6:51"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</row>
    <row r="583" spans="6:51"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</row>
    <row r="584" spans="6:51"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</row>
    <row r="585" spans="6:51"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</row>
    <row r="586" spans="6:51"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</row>
    <row r="587" spans="6:51"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</row>
    <row r="588" spans="6:51"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</row>
    <row r="589" spans="6:51"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</row>
    <row r="590" spans="6:51"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</row>
    <row r="591" spans="6:51"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</row>
    <row r="592" spans="6:51"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</row>
    <row r="593" spans="6:51"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</row>
    <row r="594" spans="6:51"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</row>
    <row r="595" spans="6:51"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</row>
    <row r="596" spans="6:51"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</row>
    <row r="597" spans="6:51"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</row>
    <row r="598" spans="6:51"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</row>
    <row r="599" spans="6:51"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</row>
    <row r="600" spans="6:51"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</row>
    <row r="601" spans="6:51"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</row>
    <row r="602" spans="6:51"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</row>
    <row r="603" spans="6:51"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</row>
  </sheetData>
  <sheetProtection sheet="1" objects="1" scenarios="1"/>
  <mergeCells count="6">
    <mergeCell ref="E9:Z11"/>
    <mergeCell ref="C361:C388"/>
    <mergeCell ref="E21:E22"/>
    <mergeCell ref="C25:C280"/>
    <mergeCell ref="C317:C358"/>
    <mergeCell ref="C285:C303"/>
  </mergeCells>
  <dataValidations count="1">
    <dataValidation allowBlank="1" showInputMessage="1" showErrorMessage="1" error="La valeur entrée n'est pas valide._x000a_Un utilisateur dispose de valeurs restreintes pouvant être entrées dans cette cellule." sqref="E9"/>
  </dataValidations>
  <pageMargins left="0.25" right="0.25" top="0.75" bottom="0.75" header="0.3" footer="0.3"/>
  <pageSetup paperSize="9" scale="14" orientation="portrait" r:id="rId1"/>
  <ignoredErrors>
    <ignoredError sqref="AL354 I354:K354 Y354 G354 F28:AY28 F34:AY34 F45:AU45 G333 Y333 I333:K333 AL333 F237:AY237 G335 I335:K335 Y335 AL335 G337 I337:K337 Y337 AL337 G339 I339:K339 Y339 AL339 G356 I356:K356 Y356 AL356 G358 I358:K358 Y358 AL35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value">
                <anchor moveWithCells="1" sizeWithCells="1">
                  <from>
                    <xdr:col>3</xdr:col>
                    <xdr:colOff>76200</xdr:colOff>
                    <xdr:row>16</xdr:row>
                    <xdr:rowOff>38100</xdr:rowOff>
                  </from>
                  <to>
                    <xdr:col>4</xdr:col>
                    <xdr:colOff>1174750</xdr:colOff>
                    <xdr:row>18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3391AA"/>
    <pageSetUpPr fitToPage="1"/>
  </sheetPr>
  <dimension ref="A1:Q601"/>
  <sheetViews>
    <sheetView showGridLines="0" topLeftCell="B365" zoomScale="80" zoomScaleNormal="80" workbookViewId="0">
      <selection activeCell="M389" sqref="M389"/>
    </sheetView>
  </sheetViews>
  <sheetFormatPr defaultColWidth="11.453125" defaultRowHeight="13.5"/>
  <cols>
    <col min="1" max="1" width="27.7265625" style="1" customWidth="1"/>
    <col min="2" max="2" width="2.81640625" style="1" customWidth="1"/>
    <col min="3" max="3" width="3.81640625" style="1" customWidth="1"/>
    <col min="4" max="4" width="1.453125" style="1" customWidth="1"/>
    <col min="5" max="5" width="60.54296875" style="1" customWidth="1"/>
    <col min="6" max="6" width="17" style="2" customWidth="1"/>
    <col min="7" max="8" width="15.7265625" style="2" bestFit="1" customWidth="1"/>
    <col min="9" max="16384" width="11.453125" style="1"/>
  </cols>
  <sheetData>
    <row r="1" spans="1:16" ht="15.5" hidden="1" customHeight="1">
      <c r="A1" s="1" t="s">
        <v>8</v>
      </c>
      <c r="C1" s="1" t="str">
        <f ca="1">_xll.VIEW("tango_core_model:Report_PL",$C$2,$C$3,$C$4,$C$6,$C$5,$C$7,"!","!","!")</f>
        <v>tango_core_model:Report_PL</v>
      </c>
      <c r="F1" s="74" t="str">
        <f ca="1">Context!F32</f>
        <v>2023.02_YTD</v>
      </c>
      <c r="G1" s="74" t="str">
        <f ca="1">Context!F34</f>
        <v>2022.02_YTD</v>
      </c>
      <c r="H1" s="74" t="str">
        <f ca="1">Context!F35</f>
        <v>2023.02_YTD</v>
      </c>
    </row>
    <row r="2" spans="1:16" ht="13.5" hidden="1" customHeight="1">
      <c r="A2" s="3" t="s">
        <v>9</v>
      </c>
      <c r="B2" s="3"/>
      <c r="C2" s="1" t="str">
        <f ca="1">_xll.SUBNM("tango_core_model:Activity","","Tot_act")</f>
        <v>Tot_act</v>
      </c>
      <c r="F2" s="4" t="str">
        <f ca="1">z_Current_Phase</f>
        <v>Actual</v>
      </c>
      <c r="G2" s="4" t="str">
        <f ca="1">Context!E34</f>
        <v>Actual</v>
      </c>
      <c r="H2" s="4" t="str">
        <f ca="1">Context!E35</f>
        <v>Budget V current</v>
      </c>
    </row>
    <row r="3" spans="1:16" ht="13.5" hidden="1" customHeight="1">
      <c r="A3" s="3" t="s">
        <v>6</v>
      </c>
      <c r="B3" s="3"/>
      <c r="C3" s="1" t="str">
        <f ca="1">Context!E37</f>
        <v>MEUR</v>
      </c>
    </row>
    <row r="4" spans="1:16" ht="13.5" hidden="1" customHeight="1">
      <c r="A4" s="3" t="s">
        <v>12</v>
      </c>
      <c r="B4" s="3"/>
      <c r="C4" s="1" t="str">
        <f ca="1">_xll.SUBNM("tango_core_model:Gaap","","Total_conso")</f>
        <v>Total_conso</v>
      </c>
    </row>
    <row r="5" spans="1:16" ht="13.5" hidden="1" customHeight="1">
      <c r="A5" s="3" t="s">
        <v>13</v>
      </c>
      <c r="B5" s="3"/>
      <c r="C5" s="1" t="str">
        <f ca="1">_xll.SUBNM("tango_core_model:Legal_Organization","","VTD_corp")</f>
        <v>VTD_corp</v>
      </c>
    </row>
    <row r="6" spans="1:16" ht="13.5" hidden="1" customHeight="1">
      <c r="A6" s="3" t="s">
        <v>14</v>
      </c>
      <c r="B6" s="3"/>
      <c r="C6" s="1" t="str">
        <f ca="1">_xll.SUBNM("tango_core_model:Integration_Rate","","APP")</f>
        <v>APP</v>
      </c>
    </row>
    <row r="7" spans="1:16" ht="13.5" hidden="1" customHeight="1">
      <c r="A7" s="3" t="s">
        <v>15</v>
      </c>
      <c r="B7" s="3"/>
      <c r="C7" s="1" t="str">
        <f ca="1">Context!E30</f>
        <v>VTD_corp</v>
      </c>
    </row>
    <row r="8" spans="1:16" ht="13.5" hidden="1" customHeight="1">
      <c r="A8" s="3"/>
      <c r="B8" s="3"/>
    </row>
    <row r="9" spans="1:16" ht="14.5">
      <c r="A9" s="3"/>
      <c r="B9" s="3"/>
      <c r="C9" s="93"/>
      <c r="D9" s="94"/>
      <c r="E9" s="102" t="str">
        <f ca="1">"Reporting Europe "&amp;_xll.DBRA(Server&amp;"Management_Organization",Context!$E$30,"English")&amp;", "&amp;Context!$F$32</f>
        <v>Reporting Europe TRANSDEV All, 2023.02_YTD</v>
      </c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</row>
    <row r="10" spans="1:16" ht="14.5">
      <c r="A10" s="3"/>
      <c r="B10" s="3"/>
      <c r="C10" s="93"/>
      <c r="D10" s="94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</row>
    <row r="11" spans="1:16" ht="25.5" customHeight="1">
      <c r="C11" s="93"/>
      <c r="D11" s="94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</row>
    <row r="14" spans="1:16">
      <c r="A14" s="3"/>
      <c r="B14" s="3"/>
    </row>
    <row r="19" spans="1:11" ht="15.5" customHeight="1">
      <c r="E19" s="105" t="str">
        <f ca="1">C7</f>
        <v>VTD_corp</v>
      </c>
      <c r="F19" s="60" t="str">
        <f ca="1">IF(F2="Actual","ACTUAL",IF(F2="Budget V current","BUDGET",IF(F2="Forecast 1 V current","FORECAST 1","FORECAST 2")))</f>
        <v>ACTUAL</v>
      </c>
      <c r="G19" s="60" t="str">
        <f ca="1">IF(G2="Actual","ACTUAL",IF(G2="Budget V current","BUDGET",IF(G2="Forecast 1 V current","FORECAST 1","FORECAST 2")))</f>
        <v>ACTUAL</v>
      </c>
      <c r="H19" s="60" t="str">
        <f ca="1">IF(H2="Actual","ACTUAL",IF(H2="Budget V current","BUDGET",IF(H2="Forecast 1 V current","FORECAST 1","FORECAST 2")))</f>
        <v>BUDGET</v>
      </c>
      <c r="J19" s="108" t="str">
        <f ca="1">"VAR "&amp;G19&amp;" "&amp;LEFT(G20,4)</f>
        <v>VAR ACTUAL 2022</v>
      </c>
      <c r="K19" s="108" t="str">
        <f ca="1">"VAR "&amp;H19&amp;" "&amp;LEFT(H20,4)</f>
        <v>VAR BUDGET 2023</v>
      </c>
    </row>
    <row r="20" spans="1:11" ht="15.5">
      <c r="E20" s="106"/>
      <c r="F20" s="61" t="str">
        <f ca="1">F1</f>
        <v>2023.02_YTD</v>
      </c>
      <c r="G20" s="61" t="str">
        <f t="shared" ref="G20:H20" ca="1" si="0">G1</f>
        <v>2022.02_YTD</v>
      </c>
      <c r="H20" s="61" t="str">
        <f t="shared" ca="1" si="0"/>
        <v>2023.02_YTD</v>
      </c>
      <c r="J20" s="108"/>
      <c r="K20" s="108"/>
    </row>
    <row r="21" spans="1:11" ht="7.5" customHeight="1">
      <c r="E21" s="7"/>
      <c r="F21" s="8"/>
      <c r="G21" s="8"/>
      <c r="H21" s="8"/>
    </row>
    <row r="22" spans="1:11" ht="15.5" hidden="1" customHeight="1">
      <c r="A22" s="1" t="s">
        <v>141</v>
      </c>
      <c r="E22" s="9" t="str">
        <f ca="1">_xll.DBRW(Server&amp;"}ElementAttributes_Indicator",A22,"code_English")</f>
        <v>TPL10_nat - REVENUE FROM ORDINARY ACTIVITIES (by nature)</v>
      </c>
      <c r="F22" s="10">
        <f ca="1">_xll.DBRW($C$1,$C$2,$C$3,$C$4,$C$6,$C$5,$C$7,F$1,F$2,A22)</f>
        <v>1323.8218006309996</v>
      </c>
      <c r="G22" s="10">
        <f ca="1">_xll.DBRW($C$1,$C$2,$C$3,$C$4,$C$6,$C$5,$C$7,G$1,G$2,A22)</f>
        <v>1169.2311753859999</v>
      </c>
      <c r="H22" s="10">
        <f ca="1">_xll.DBRW($C$1,$C$2,$C$3,$C$4,$C$6,$C$5,$C$7,H$1,H$2,A22)</f>
        <v>1358.3655643290001</v>
      </c>
    </row>
    <row r="23" spans="1:11" ht="15.75" customHeight="1">
      <c r="A23" s="1" t="s">
        <v>142</v>
      </c>
      <c r="C23" s="104" t="s">
        <v>16</v>
      </c>
      <c r="E23" s="20" t="s">
        <v>17</v>
      </c>
      <c r="F23" s="37">
        <f ca="1">F22</f>
        <v>1323.8218006309996</v>
      </c>
      <c r="G23" s="37">
        <f t="shared" ref="G23:H23" ca="1" si="1">G22</f>
        <v>1169.2311753859999</v>
      </c>
      <c r="H23" s="37">
        <f t="shared" ca="1" si="1"/>
        <v>1358.3655643290001</v>
      </c>
      <c r="J23" s="98">
        <f ca="1">F23-G23</f>
        <v>154.59062524499973</v>
      </c>
      <c r="K23" s="98">
        <f ca="1">F26-H26</f>
        <v>5.5536700054245358</v>
      </c>
    </row>
    <row r="24" spans="1:11" ht="7.5" customHeight="1">
      <c r="A24" s="1" t="s">
        <v>142</v>
      </c>
      <c r="C24" s="104"/>
      <c r="E24" s="7"/>
      <c r="F24" s="8"/>
      <c r="G24" s="8"/>
      <c r="H24" s="8"/>
    </row>
    <row r="25" spans="1:11" ht="15.75" hidden="1" customHeight="1">
      <c r="A25" s="1" t="s">
        <v>143</v>
      </c>
      <c r="C25" s="104"/>
      <c r="E25" s="9" t="str">
        <f ca="1">_xll.DBRW(Server&amp;"}ElementAttributes_Indicator",A25,"code_English")</f>
        <v>PL1003_RC_30 - Other transportation revenue (incl. subcontracting revenue)</v>
      </c>
      <c r="F25" s="10">
        <f ca="1">_xll.DBRW($C$1,$C$2,$C$3,$C$4,$C$6,$C$5,$C$7,F$1,F$2,A25)</f>
        <v>64.63449310194531</v>
      </c>
      <c r="G25" s="10">
        <f ca="1">_xll.DBRW($C$1,$C$2,$C$3,$C$4,$C$6,$C$5,$C$7,G$1,G$2,A25)</f>
        <v>43.102836127928306</v>
      </c>
      <c r="H25" s="10">
        <f ca="1">_xll.DBRW($C$1,$C$2,$C$3,$C$4,$C$6,$C$5,$C$7,H$1,H$2,A25)</f>
        <v>59.080823096520774</v>
      </c>
    </row>
    <row r="26" spans="1:11" ht="15.75" customHeight="1">
      <c r="A26" s="1" t="s">
        <v>142</v>
      </c>
      <c r="C26" s="104"/>
      <c r="E26" s="13" t="s">
        <v>18</v>
      </c>
      <c r="F26" s="31">
        <f t="shared" ref="F26:H26" ca="1" si="2">F25</f>
        <v>64.63449310194531</v>
      </c>
      <c r="G26" s="31">
        <f t="shared" ca="1" si="2"/>
        <v>43.102836127928306</v>
      </c>
      <c r="H26" s="31">
        <f t="shared" ca="1" si="2"/>
        <v>59.080823096520774</v>
      </c>
      <c r="J26" s="31">
        <f ca="1">F26-G26</f>
        <v>21.531656974017004</v>
      </c>
      <c r="K26" s="31">
        <f ca="1">F26-H26</f>
        <v>5.5536700054245358</v>
      </c>
    </row>
    <row r="27" spans="1:11" ht="15.75" hidden="1" customHeight="1">
      <c r="A27" s="1" t="s">
        <v>144</v>
      </c>
      <c r="C27" s="104"/>
      <c r="E27" s="9" t="str">
        <f ca="1">_xll.DBRW(Server&amp;"}ElementAttributes_Indicator",A27,"code_English")</f>
        <v>PL1115S - COS - Subcontracting transportation costs</v>
      </c>
      <c r="F27" s="32">
        <f ca="1">_xll.DBRW($C$1,$C$2,$C$3,$C$4,$C$6,$C$5,$C$7,F$1,F$2,A27)</f>
        <v>-89.637113449999987</v>
      </c>
      <c r="G27" s="32">
        <f ca="1">_xll.DBRW($C$1,$C$2,$C$3,$C$4,$C$6,$C$5,$C$7,G$1,G$2,A27)</f>
        <v>-80.073664624000003</v>
      </c>
      <c r="H27" s="32">
        <f ca="1">_xll.DBRW($C$1,$C$2,$C$3,$C$4,$C$6,$C$5,$C$7,H$1,H$2,A27)</f>
        <v>-85.282257451999996</v>
      </c>
      <c r="J27" s="31">
        <f t="shared" ref="J27:J28" ca="1" si="3">F27-G27</f>
        <v>-9.5634488259999841</v>
      </c>
      <c r="K27" s="31">
        <f t="shared" ref="K27:K28" ca="1" si="4">F27-H27</f>
        <v>-4.3548559979999908</v>
      </c>
    </row>
    <row r="28" spans="1:11" ht="15.5">
      <c r="A28" s="1" t="s">
        <v>142</v>
      </c>
      <c r="C28" s="104"/>
      <c r="E28" s="13" t="s">
        <v>19</v>
      </c>
      <c r="F28" s="31">
        <f t="shared" ref="F28:H28" ca="1" si="5">F27</f>
        <v>-89.637113449999987</v>
      </c>
      <c r="G28" s="31">
        <f t="shared" ca="1" si="5"/>
        <v>-80.073664624000003</v>
      </c>
      <c r="H28" s="31">
        <f t="shared" ca="1" si="5"/>
        <v>-85.282257451999996</v>
      </c>
      <c r="J28" s="31">
        <f t="shared" ca="1" si="3"/>
        <v>-9.5634488259999841</v>
      </c>
      <c r="K28" s="31">
        <f t="shared" ca="1" si="4"/>
        <v>-4.3548559979999908</v>
      </c>
    </row>
    <row r="29" spans="1:11" ht="15.5">
      <c r="A29" s="1" t="s">
        <v>142</v>
      </c>
      <c r="C29" s="104"/>
      <c r="E29" s="20" t="s">
        <v>20</v>
      </c>
      <c r="F29" s="37">
        <f t="shared" ref="F29:H29" ca="1" si="6">F26+F28</f>
        <v>-25.002620348054677</v>
      </c>
      <c r="G29" s="37">
        <f t="shared" ca="1" si="6"/>
        <v>-36.970828496071697</v>
      </c>
      <c r="H29" s="37">
        <f t="shared" ca="1" si="6"/>
        <v>-26.201434355479222</v>
      </c>
      <c r="J29" s="98">
        <f ca="1">F29-G29</f>
        <v>11.96820814801702</v>
      </c>
      <c r="K29" s="98">
        <f ca="1">F32-H32</f>
        <v>-40.09743370342494</v>
      </c>
    </row>
    <row r="30" spans="1:11" ht="9" customHeight="1">
      <c r="A30" s="1" t="s">
        <v>142</v>
      </c>
      <c r="C30" s="104"/>
      <c r="E30" s="7"/>
      <c r="F30" s="8"/>
      <c r="G30" s="8"/>
      <c r="H30" s="8"/>
    </row>
    <row r="31" spans="1:11" ht="15.75" hidden="1" customHeight="1">
      <c r="A31" s="1" t="s">
        <v>141</v>
      </c>
      <c r="C31" s="104"/>
      <c r="E31" s="9" t="str">
        <f ca="1">_xll.DBRW(Server&amp;"}ElementAttributes_Indicator",A32,"code_English")</f>
        <v>TPL10_dest_nosub - REVENUE FROM ORDINARY ACTIVITIES (ROA) net of subcontracted transport and reinvoicing</v>
      </c>
      <c r="F31" s="10">
        <f ca="1">_xll.DBRW($C$1,$C$2,$C$3,$C$4,$C$6,$C$5,$C$7,F$1,F$2,A31)</f>
        <v>1323.8218006309996</v>
      </c>
      <c r="G31" s="10">
        <f ca="1">_xll.DBRW($C$1,$C$2,$C$3,$C$4,$C$6,$C$5,$C$7,G$1,G$2,A31)</f>
        <v>1169.2311753859999</v>
      </c>
      <c r="H31" s="10">
        <f ca="1">_xll.DBRW($C$1,$C$2,$C$3,$C$4,$C$6,$C$5,$C$7,H$1,H$2,A31)</f>
        <v>1358.3655643290001</v>
      </c>
    </row>
    <row r="32" spans="1:11" ht="15.5">
      <c r="A32" s="73" t="s">
        <v>140</v>
      </c>
      <c r="B32" s="73"/>
      <c r="C32" s="104"/>
      <c r="E32" s="13" t="s">
        <v>21</v>
      </c>
      <c r="F32" s="31">
        <f t="shared" ref="F32:H32" ca="1" si="7">F31-F26</f>
        <v>1259.1873075290544</v>
      </c>
      <c r="G32" s="31">
        <f t="shared" ca="1" si="7"/>
        <v>1126.1283392580715</v>
      </c>
      <c r="H32" s="31">
        <f t="shared" ca="1" si="7"/>
        <v>1299.2847412324793</v>
      </c>
      <c r="J32" s="31">
        <f ca="1">F32-G32</f>
        <v>133.05896827098286</v>
      </c>
      <c r="K32" s="31">
        <f ca="1">F32-H32</f>
        <v>-40.09743370342494</v>
      </c>
    </row>
    <row r="33" spans="1:11" ht="15.75" hidden="1" customHeight="1">
      <c r="A33" s="1" t="s">
        <v>145</v>
      </c>
      <c r="C33" s="104"/>
      <c r="E33" s="9" t="str">
        <f ca="1">_xll.DBRW(Server&amp;"}ElementAttributes_Indicator",A33,"code_English")</f>
        <v>PL1110_DO_10 - Staff costs (DO)</v>
      </c>
      <c r="F33" s="32">
        <f ca="1">_xll.DBRW($C$1,$C$2,$C$3,$C$4,$C$6,$C$5,$C$7,F$1,F$2,A33)</f>
        <v>-461.2189786093316</v>
      </c>
      <c r="G33" s="32">
        <f ca="1">_xll.DBRW($C$1,$C$2,$C$3,$C$4,$C$6,$C$5,$C$7,G$1,G$2,A33)</f>
        <v>-397.6808822362355</v>
      </c>
      <c r="H33" s="32">
        <f ca="1">_xll.DBRW($C$1,$C$2,$C$3,$C$4,$C$6,$C$5,$C$7,H$1,H$2,A33)</f>
        <v>-444.96771643318584</v>
      </c>
      <c r="J33" s="31">
        <f t="shared" ref="J33:J34" ca="1" si="8">F33-G33</f>
        <v>-63.538096373096096</v>
      </c>
      <c r="K33" s="31">
        <f t="shared" ref="K33:K34" ca="1" si="9">F33-H33</f>
        <v>-16.251262176145758</v>
      </c>
    </row>
    <row r="34" spans="1:11" ht="15.75" hidden="1" customHeight="1">
      <c r="A34" s="1" t="s">
        <v>146</v>
      </c>
      <c r="C34" s="104"/>
      <c r="E34" s="9" t="str">
        <f ca="1">_xll.DBRW(Server&amp;"}ElementAttributes_Indicator",A34,"code_English")</f>
        <v>PL1115_DO_20 - Interim staff (DO)</v>
      </c>
      <c r="F34" s="32">
        <f ca="1">_xll.DBRW($C$1,$C$2,$C$3,$C$4,$C$6,$C$5,$C$7,F$1,F$2,A34)</f>
        <v>-5.2112186235288798</v>
      </c>
      <c r="G34" s="32">
        <f ca="1">_xll.DBRW($C$1,$C$2,$C$3,$C$4,$C$6,$C$5,$C$7,G$1,G$2,A34)</f>
        <v>-1.5785541630395714</v>
      </c>
      <c r="H34" s="32">
        <f ca="1">_xll.DBRW($C$1,$C$2,$C$3,$C$4,$C$6,$C$5,$C$7,H$1,H$2,A34)</f>
        <v>-1.4453411999343135</v>
      </c>
      <c r="J34" s="31">
        <f t="shared" ca="1" si="8"/>
        <v>-3.6326644604893081</v>
      </c>
      <c r="K34" s="31">
        <f t="shared" ca="1" si="9"/>
        <v>-3.7658774235945662</v>
      </c>
    </row>
    <row r="35" spans="1:11" ht="15.75" hidden="1" customHeight="1">
      <c r="A35" s="1" t="s">
        <v>147</v>
      </c>
      <c r="C35" s="104"/>
      <c r="E35" s="9" t="str">
        <f ca="1">_xll.DBRW(Server&amp;"}ElementAttributes_Indicator",A35,"code_English")</f>
        <v>PL1115_DO_99 - Others (DO)</v>
      </c>
      <c r="F35" s="32">
        <f ca="1">_xll.DBRW($C$1,$C$2,$C$3,$C$4,$C$6,$C$5,$C$7,F$1,F$2,A35)</f>
        <v>-3.3027146140084858</v>
      </c>
      <c r="G35" s="32">
        <f ca="1">_xll.DBRW($C$1,$C$2,$C$3,$C$4,$C$6,$C$5,$C$7,G$1,G$2,A35)</f>
        <v>-2.9079602718223931</v>
      </c>
      <c r="H35" s="32">
        <f ca="1">_xll.DBRW($C$1,$C$2,$C$3,$C$4,$C$6,$C$5,$C$7,H$1,H$2,A35)</f>
        <v>-2.6150956052180083</v>
      </c>
    </row>
    <row r="36" spans="1:11" ht="15.75" hidden="1" customHeight="1">
      <c r="A36" s="1" t="s">
        <v>148</v>
      </c>
      <c r="C36" s="104"/>
      <c r="E36" s="9" t="str">
        <f ca="1">_xll.DBRW(Server&amp;"}ElementAttributes_Indicator",A36,"code_English")</f>
        <v>PL1140_DO_10 - Amortization of pensions</v>
      </c>
      <c r="F36" s="32">
        <f ca="1">_xll.DBRW($C$1,$C$2,$C$3,$C$4,$C$6,$C$5,$C$7,F$1,F$2,A36)</f>
        <v>-3.8181536153174935E-3</v>
      </c>
      <c r="G36" s="32">
        <f ca="1">_xll.DBRW($C$1,$C$2,$C$3,$C$4,$C$6,$C$5,$C$7,G$1,G$2,A36)</f>
        <v>-7.9001696390989303E-3</v>
      </c>
      <c r="H36" s="32">
        <f ca="1">_xll.DBRW($C$1,$C$2,$C$3,$C$4,$C$6,$C$5,$C$7,H$1,H$2,A36)</f>
        <v>-5.5120481927710841E-4</v>
      </c>
    </row>
    <row r="37" spans="1:11" ht="15.75" hidden="1" customHeight="1">
      <c r="A37" s="1" t="s">
        <v>149</v>
      </c>
      <c r="C37" s="104"/>
      <c r="E37" s="9" t="str">
        <f ca="1">_xll.DBRW(Server&amp;"}ElementAttributes_Indicator",A37,"code_English")</f>
        <v>PL1150_DO_10 - Impairment (other than working capital) and provisions - related to staff costs (DO)</v>
      </c>
      <c r="F37" s="32">
        <f ca="1">_xll.DBRW($C$1,$C$2,$C$3,$C$4,$C$6,$C$5,$C$7,F$1,F$2,A37)</f>
        <v>0.90052057839121291</v>
      </c>
      <c r="G37" s="32">
        <f ca="1">_xll.DBRW($C$1,$C$2,$C$3,$C$4,$C$6,$C$5,$C$7,G$1,G$2,A37)</f>
        <v>1.6337756032602282</v>
      </c>
      <c r="H37" s="32">
        <f ca="1">_xll.DBRW($C$1,$C$2,$C$3,$C$4,$C$6,$C$5,$C$7,H$1,H$2,A37)</f>
        <v>0.95959691747027587</v>
      </c>
    </row>
    <row r="38" spans="1:11" ht="15.75" hidden="1" customHeight="1">
      <c r="A38" s="1" t="s">
        <v>150</v>
      </c>
      <c r="C38" s="104"/>
      <c r="E38" s="9" t="str">
        <f ca="1">_xll.DBRW(Server&amp;"}ElementAttributes_Indicator",A38,"code_English")</f>
        <v>PL1150_DO_11 - Impairment (other than working capital) and provisions - related to staff costs - Reversal (DO)</v>
      </c>
      <c r="F38" s="32">
        <f ca="1">_xll.DBRW($C$1,$C$2,$C$3,$C$4,$C$6,$C$5,$C$7,F$1,F$2,A38)</f>
        <v>1.6998759799999996</v>
      </c>
      <c r="G38" s="32">
        <f ca="1">_xll.DBRW($C$1,$C$2,$C$3,$C$4,$C$6,$C$5,$C$7,G$1,G$2,A38)</f>
        <v>1.2952156899999996</v>
      </c>
      <c r="H38" s="32">
        <f ca="1">_xll.DBRW($C$1,$C$2,$C$3,$C$4,$C$6,$C$5,$C$7,H$1,H$2,A38)</f>
        <v>0.64603115741759631</v>
      </c>
    </row>
    <row r="39" spans="1:11" ht="15.75" hidden="1" customHeight="1">
      <c r="A39" s="1" t="s">
        <v>151</v>
      </c>
      <c r="C39" s="104"/>
      <c r="E39" s="9" t="str">
        <f ca="1">_xll.DBRW(Server&amp;"}ElementAttributes_Indicator",A39,"code_English")</f>
        <v>PL1150_DO_90 - Impairment (other than working capital) and provisions - other (DO)</v>
      </c>
      <c r="F39" s="32">
        <f ca="1">_xll.DBRW($C$1,$C$2,$C$3,$C$4,$C$6,$C$5,$C$7,F$1,F$2,A39)</f>
        <v>0</v>
      </c>
      <c r="G39" s="32">
        <f ca="1">_xll.DBRW($C$1,$C$2,$C$3,$C$4,$C$6,$C$5,$C$7,G$1,G$2,A39)</f>
        <v>0</v>
      </c>
      <c r="H39" s="32">
        <f ca="1">_xll.DBRW($C$1,$C$2,$C$3,$C$4,$C$6,$C$5,$C$7,H$1,H$2,A39)</f>
        <v>0</v>
      </c>
    </row>
    <row r="40" spans="1:11" ht="15.75" hidden="1" customHeight="1">
      <c r="A40" s="1" t="s">
        <v>152</v>
      </c>
      <c r="C40" s="104"/>
      <c r="E40" s="9" t="str">
        <f ca="1">_xll.DBRW(Server&amp;"}ElementAttributes_Indicator",A40,"code_English")</f>
        <v>PL1151_DO_10 - Impact of change in revaluation rate on provisions for losses on LT contracts - related to staff costs (DO)</v>
      </c>
      <c r="F40" s="32">
        <f ca="1">_xll.DBRW($C$1,$C$2,$C$3,$C$4,$C$6,$C$5,$C$7,F$1,F$2,A40)</f>
        <v>0</v>
      </c>
      <c r="G40" s="32">
        <f ca="1">_xll.DBRW($C$1,$C$2,$C$3,$C$4,$C$6,$C$5,$C$7,G$1,G$2,A40)</f>
        <v>0</v>
      </c>
      <c r="H40" s="32">
        <f ca="1">_xll.DBRW($C$1,$C$2,$C$3,$C$4,$C$6,$C$5,$C$7,H$1,H$2,A40)</f>
        <v>0</v>
      </c>
    </row>
    <row r="41" spans="1:11" ht="15.75" hidden="1" customHeight="1">
      <c r="A41" s="1" t="s">
        <v>153</v>
      </c>
      <c r="C41" s="104"/>
      <c r="E41" s="9" t="str">
        <f ca="1">_xll.DBRW(Server&amp;"}ElementAttributes_Indicator",A41,"code_English")</f>
        <v>PL1151_DO_11 - Impact of change in revaluation rate on provisions for losses on LT contracts  - related to staff costs - Reversal (DO)</v>
      </c>
      <c r="F41" s="32">
        <f ca="1">_xll.DBRW($C$1,$C$2,$C$3,$C$4,$C$6,$C$5,$C$7,F$1,F$2,A41)</f>
        <v>0</v>
      </c>
      <c r="G41" s="32">
        <f ca="1">_xll.DBRW($C$1,$C$2,$C$3,$C$4,$C$6,$C$5,$C$7,G$1,G$2,A41)</f>
        <v>0</v>
      </c>
      <c r="H41" s="32">
        <f ca="1">_xll.DBRW($C$1,$C$2,$C$3,$C$4,$C$6,$C$5,$C$7,H$1,H$2,A41)</f>
        <v>0</v>
      </c>
    </row>
    <row r="42" spans="1:11" ht="15.75" hidden="1" customHeight="1">
      <c r="A42" s="1" t="s">
        <v>154</v>
      </c>
      <c r="C42" s="104"/>
      <c r="E42" s="9" t="str">
        <f ca="1">_xll.DBRW(Server&amp;"}ElementAttributes_Indicator",A42,"code_English")</f>
        <v>PL1155_DO_10 - Reinvoicing - Others (DO)</v>
      </c>
      <c r="F42" s="32">
        <f ca="1">_xll.DBRW($C$1,$C$2,$C$3,$C$4,$C$6,$C$5,$C$7,F$1,F$2,A42)</f>
        <v>0.18360813500000006</v>
      </c>
      <c r="G42" s="32">
        <f ca="1">_xll.DBRW($C$1,$C$2,$C$3,$C$4,$C$6,$C$5,$C$7,G$1,G$2,A42)</f>
        <v>0.26807988000000038</v>
      </c>
      <c r="H42" s="32">
        <f ca="1">_xll.DBRW($C$1,$C$2,$C$3,$C$4,$C$6,$C$5,$C$7,H$1,H$2,A42)</f>
        <v>0.25764969592483478</v>
      </c>
    </row>
    <row r="43" spans="1:11" ht="15.5">
      <c r="A43" s="73" t="s">
        <v>139</v>
      </c>
      <c r="B43" s="73"/>
      <c r="C43" s="104"/>
      <c r="E43" s="13" t="s">
        <v>22</v>
      </c>
      <c r="F43" s="31">
        <f t="shared" ref="F43:H43" ca="1" si="10">SUM(F33:F42)</f>
        <v>-466.95272530709315</v>
      </c>
      <c r="G43" s="31">
        <f t="shared" ca="1" si="10"/>
        <v>-398.97822566747629</v>
      </c>
      <c r="H43" s="31">
        <f t="shared" ca="1" si="10"/>
        <v>-447.16542667234472</v>
      </c>
      <c r="J43" s="31">
        <f ca="1">F43-G43</f>
        <v>-67.974499639616852</v>
      </c>
      <c r="K43" s="31">
        <f ca="1">F43-H43</f>
        <v>-19.787298634748424</v>
      </c>
    </row>
    <row r="44" spans="1:11" ht="15.75" hidden="1" customHeight="1">
      <c r="A44" s="1" t="s">
        <v>155</v>
      </c>
      <c r="C44" s="104"/>
      <c r="E44" s="9" t="str">
        <f ca="1">_xll.DBRW(Server&amp;"}ElementAttributes_Indicator",A44,"code_English")</f>
        <v>PL1110_MF_10 - Staff costs (MF)</v>
      </c>
      <c r="F44" s="32">
        <f ca="1">_xll.DBRW($C$1,$C$2,$C$3,$C$4,$C$6,$C$5,$C$7,F$1,F$2,A44)</f>
        <v>-45.094262291904862</v>
      </c>
      <c r="G44" s="32">
        <f ca="1">_xll.DBRW($C$1,$C$2,$C$3,$C$4,$C$6,$C$5,$C$7,G$1,G$2,A44)</f>
        <v>-40.322706861855963</v>
      </c>
      <c r="H44" s="32">
        <f ca="1">_xll.DBRW($C$1,$C$2,$C$3,$C$4,$C$6,$C$5,$C$7,H$1,H$2,A44)</f>
        <v>-46.178769942423898</v>
      </c>
      <c r="J44" s="31">
        <f t="shared" ref="J44:J45" ca="1" si="11">F44-G44</f>
        <v>-4.7715554300488989</v>
      </c>
      <c r="K44" s="31">
        <f t="shared" ref="K44:K45" ca="1" si="12">F44-H44</f>
        <v>1.0845076505190363</v>
      </c>
    </row>
    <row r="45" spans="1:11" ht="15.75" hidden="1" customHeight="1">
      <c r="A45" s="1" t="s">
        <v>156</v>
      </c>
      <c r="C45" s="104"/>
      <c r="E45" s="9" t="str">
        <f ca="1">_xll.DBRW(Server&amp;"}ElementAttributes_Indicator",A45,"code_English")</f>
        <v>PL1115_MF_20 - Interim staff (MF)</v>
      </c>
      <c r="F45" s="32">
        <f ca="1">_xll.DBRW($C$1,$C$2,$C$3,$C$4,$C$6,$C$5,$C$7,F$1,F$2,A45)</f>
        <v>-0.68607688840731207</v>
      </c>
      <c r="G45" s="32">
        <f ca="1">_xll.DBRW($C$1,$C$2,$C$3,$C$4,$C$6,$C$5,$C$7,G$1,G$2,A45)</f>
        <v>-0.50340419905741784</v>
      </c>
      <c r="H45" s="32">
        <f ca="1">_xll.DBRW($C$1,$C$2,$C$3,$C$4,$C$6,$C$5,$C$7,H$1,H$2,A45)</f>
        <v>-5.9320281438235298E-2</v>
      </c>
      <c r="J45" s="31">
        <f t="shared" ca="1" si="11"/>
        <v>-0.18267268934989422</v>
      </c>
      <c r="K45" s="31">
        <f t="shared" ca="1" si="12"/>
        <v>-0.62675660696907676</v>
      </c>
    </row>
    <row r="46" spans="1:11" ht="15.5" collapsed="1">
      <c r="A46" s="1" t="s">
        <v>142</v>
      </c>
      <c r="C46" s="104"/>
      <c r="E46" s="14" t="s">
        <v>23</v>
      </c>
      <c r="F46" s="33">
        <f ca="1">SUM(F44:F45)</f>
        <v>-45.780339180312176</v>
      </c>
      <c r="G46" s="33">
        <f t="shared" ref="G46:H46" ca="1" si="13">SUM(G44:G45)</f>
        <v>-40.826111060913384</v>
      </c>
      <c r="H46" s="33">
        <f t="shared" ca="1" si="13"/>
        <v>-46.23809022386213</v>
      </c>
      <c r="J46" s="33">
        <f ca="1">F46-G46</f>
        <v>-4.9542281193987918</v>
      </c>
      <c r="K46" s="33">
        <f ca="1">F46-H46</f>
        <v>0.45775104354995477</v>
      </c>
    </row>
    <row r="47" spans="1:11" ht="15.75" hidden="1" customHeight="1">
      <c r="A47" s="1" t="s">
        <v>157</v>
      </c>
      <c r="C47" s="104"/>
      <c r="E47" s="9" t="str">
        <f ca="1">_xll.DBRW(Server&amp;"}ElementAttributes_Indicator",A47,"code_English")</f>
        <v>PL1115_MF_11 - Subcontracting maintenance (MF)</v>
      </c>
      <c r="F47" s="33">
        <f ca="1">_xll.DBRW($C$1,$C$2,$C$3,$C$4,$C$6,$C$5,$C$7,F$1,F$2,A47)</f>
        <v>-28.022780424032739</v>
      </c>
      <c r="G47" s="33">
        <f ca="1">_xll.DBRW($C$1,$C$2,$C$3,$C$4,$C$6,$C$5,$C$7,G$1,G$2,A47)</f>
        <v>-23.331855752519619</v>
      </c>
      <c r="H47" s="33">
        <f ca="1">_xll.DBRW($C$1,$C$2,$C$3,$C$4,$C$6,$C$5,$C$7,H$1,H$2,A47)</f>
        <v>-23.751103890771812</v>
      </c>
      <c r="J47" s="33">
        <f t="shared" ref="J47:J81" ca="1" si="14">F47-G47</f>
        <v>-4.6909246715131196</v>
      </c>
      <c r="K47" s="33">
        <f t="shared" ref="K47:K81" ca="1" si="15">F47-H47</f>
        <v>-4.2716765332609263</v>
      </c>
    </row>
    <row r="48" spans="1:11" ht="15.75" hidden="1" customHeight="1">
      <c r="A48" s="1" t="s">
        <v>158</v>
      </c>
      <c r="C48" s="104"/>
      <c r="E48" s="9" t="str">
        <f ca="1">_xll.DBRW(Server&amp;"}ElementAttributes_Indicator",A48,"code_English")</f>
        <v>PL1115_MF_25 - Major maintenance</v>
      </c>
      <c r="F48" s="33">
        <f ca="1">_xll.DBRW($C$1,$C$2,$C$3,$C$4,$C$6,$C$5,$C$7,F$1,F$2,A48)</f>
        <v>-3.5094441646223657</v>
      </c>
      <c r="G48" s="33">
        <f ca="1">_xll.DBRW($C$1,$C$2,$C$3,$C$4,$C$6,$C$5,$C$7,G$1,G$2,A48)</f>
        <v>-1.5789730868521754</v>
      </c>
      <c r="H48" s="33">
        <f ca="1">_xll.DBRW($C$1,$C$2,$C$3,$C$4,$C$6,$C$5,$C$7,H$1,H$2,A48)</f>
        <v>-3.8131466455072083</v>
      </c>
      <c r="J48" s="33">
        <f t="shared" ca="1" si="14"/>
        <v>-1.9304710777701903</v>
      </c>
      <c r="K48" s="33">
        <f t="shared" ca="1" si="15"/>
        <v>0.30370248088484253</v>
      </c>
    </row>
    <row r="49" spans="1:11" ht="15.5">
      <c r="A49" s="1" t="s">
        <v>142</v>
      </c>
      <c r="C49" s="104"/>
      <c r="E49" s="15" t="s">
        <v>24</v>
      </c>
      <c r="F49" s="34">
        <f t="shared" ref="F49:H49" ca="1" si="16">SUM(F47:F48)</f>
        <v>-31.532224588655104</v>
      </c>
      <c r="G49" s="34">
        <f t="shared" ca="1" si="16"/>
        <v>-24.910828839371796</v>
      </c>
      <c r="H49" s="34">
        <f t="shared" ca="1" si="16"/>
        <v>-27.564250536279019</v>
      </c>
      <c r="J49" s="33">
        <f t="shared" ca="1" si="14"/>
        <v>-6.6213957492833089</v>
      </c>
      <c r="K49" s="33">
        <f t="shared" ca="1" si="15"/>
        <v>-3.9679740523760856</v>
      </c>
    </row>
    <row r="50" spans="1:11" ht="15.75" hidden="1" customHeight="1">
      <c r="A50" s="1" t="s">
        <v>159</v>
      </c>
      <c r="C50" s="104"/>
      <c r="E50" s="9" t="str">
        <f ca="1">_xll.DBRW(Server&amp;"}ElementAttributes_Indicator",A50,"code_English")</f>
        <v>PL1115_MF_12 - Subcontracting cleaning (MF)</v>
      </c>
      <c r="F50" s="33">
        <f ca="1">_xll.DBRW($C$1,$C$2,$C$3,$C$4,$C$6,$C$5,$C$7,F$1,F$2,A50)</f>
        <v>-7.3260308821359361</v>
      </c>
      <c r="G50" s="33">
        <f ca="1">_xll.DBRW($C$1,$C$2,$C$3,$C$4,$C$6,$C$5,$C$7,G$1,G$2,A50)</f>
        <v>-7.3786885059757967</v>
      </c>
      <c r="H50" s="33">
        <f ca="1">_xll.DBRW($C$1,$C$2,$C$3,$C$4,$C$6,$C$5,$C$7,H$1,H$2,A50)</f>
        <v>-6.8235212517372332</v>
      </c>
      <c r="J50" s="33">
        <f t="shared" ca="1" si="14"/>
        <v>5.2657623839860612E-2</v>
      </c>
      <c r="K50" s="33">
        <f t="shared" ca="1" si="15"/>
        <v>-0.50250963039870289</v>
      </c>
    </row>
    <row r="51" spans="1:11" ht="15.5">
      <c r="A51" s="1" t="s">
        <v>142</v>
      </c>
      <c r="C51" s="104"/>
      <c r="E51" s="15" t="s">
        <v>25</v>
      </c>
      <c r="F51" s="34">
        <f t="shared" ref="F51:H51" ca="1" si="17">SUM(F50)</f>
        <v>-7.3260308821359361</v>
      </c>
      <c r="G51" s="34">
        <f t="shared" ca="1" si="17"/>
        <v>-7.3786885059757967</v>
      </c>
      <c r="H51" s="34">
        <f t="shared" ca="1" si="17"/>
        <v>-6.8235212517372332</v>
      </c>
      <c r="J51" s="33">
        <f t="shared" ca="1" si="14"/>
        <v>5.2657623839860612E-2</v>
      </c>
      <c r="K51" s="33">
        <f t="shared" ca="1" si="15"/>
        <v>-0.50250963039870289</v>
      </c>
    </row>
    <row r="52" spans="1:11" ht="15.75" hidden="1" customHeight="1">
      <c r="A52" s="1" t="s">
        <v>160</v>
      </c>
      <c r="C52" s="104"/>
      <c r="E52" s="9" t="str">
        <f ca="1">_xll.DBRW(Server&amp;"}ElementAttributes_Indicator",A52,"code_English")</f>
        <v>PL1115_MF_30 - Spare parts for maintenance of rolling stock</v>
      </c>
      <c r="F52" s="33">
        <f ca="1">_xll.DBRW($C$1,$C$2,$C$3,$C$4,$C$6,$C$5,$C$7,F$1,F$2,A52)</f>
        <v>-23.498485249307791</v>
      </c>
      <c r="G52" s="33">
        <f ca="1">_xll.DBRW($C$1,$C$2,$C$3,$C$4,$C$6,$C$5,$C$7,G$1,G$2,A52)</f>
        <v>-20.41229316668807</v>
      </c>
      <c r="H52" s="33">
        <f ca="1">_xll.DBRW($C$1,$C$2,$C$3,$C$4,$C$6,$C$5,$C$7,H$1,H$2,A52)</f>
        <v>-20.703615753354015</v>
      </c>
      <c r="J52" s="33">
        <f t="shared" ca="1" si="14"/>
        <v>-3.0861920826197213</v>
      </c>
      <c r="K52" s="33">
        <f t="shared" ca="1" si="15"/>
        <v>-2.7948694959537761</v>
      </c>
    </row>
    <row r="53" spans="1:11" ht="15.5">
      <c r="A53" s="1" t="s">
        <v>142</v>
      </c>
      <c r="C53" s="104"/>
      <c r="E53" s="15" t="s">
        <v>26</v>
      </c>
      <c r="F53" s="34">
        <f t="shared" ref="F53:H53" ca="1" si="18">SUM(F52)</f>
        <v>-23.498485249307791</v>
      </c>
      <c r="G53" s="34">
        <f t="shared" ca="1" si="18"/>
        <v>-20.41229316668807</v>
      </c>
      <c r="H53" s="34">
        <f t="shared" ca="1" si="18"/>
        <v>-20.703615753354015</v>
      </c>
      <c r="J53" s="33">
        <f t="shared" ca="1" si="14"/>
        <v>-3.0861920826197213</v>
      </c>
      <c r="K53" s="33">
        <f t="shared" ca="1" si="15"/>
        <v>-2.7948694959537761</v>
      </c>
    </row>
    <row r="54" spans="1:11" ht="15.75" hidden="1" customHeight="1">
      <c r="A54" s="1" t="s">
        <v>161</v>
      </c>
      <c r="C54" s="104"/>
      <c r="E54" s="9" t="str">
        <f ca="1">_xll.DBRW(Server&amp;"}ElementAttributes_Indicator",A54,"code_English")</f>
        <v>PL1115_MF_31 - Tyres</v>
      </c>
      <c r="F54" s="33">
        <f ca="1">_xll.DBRW($C$1,$C$2,$C$3,$C$4,$C$6,$C$5,$C$7,F$1,F$2,A54)</f>
        <v>-4.6458322137605919</v>
      </c>
      <c r="G54" s="33">
        <f ca="1">_xll.DBRW($C$1,$C$2,$C$3,$C$4,$C$6,$C$5,$C$7,G$1,G$2,A54)</f>
        <v>-4.1293210710031856</v>
      </c>
      <c r="H54" s="33">
        <f ca="1">_xll.DBRW($C$1,$C$2,$C$3,$C$4,$C$6,$C$5,$C$7,H$1,H$2,A54)</f>
        <v>-4.264520975394591</v>
      </c>
      <c r="J54" s="33">
        <f t="shared" ca="1" si="14"/>
        <v>-0.51651114275740628</v>
      </c>
      <c r="K54" s="33">
        <f t="shared" ca="1" si="15"/>
        <v>-0.38131123836600089</v>
      </c>
    </row>
    <row r="55" spans="1:11" ht="15.5">
      <c r="A55" s="1" t="s">
        <v>161</v>
      </c>
      <c r="C55" s="104"/>
      <c r="E55" s="15" t="s">
        <v>27</v>
      </c>
      <c r="F55" s="34">
        <f t="shared" ref="F55:H55" ca="1" si="19">SUM(F54)</f>
        <v>-4.6458322137605919</v>
      </c>
      <c r="G55" s="34">
        <f t="shared" ca="1" si="19"/>
        <v>-4.1293210710031856</v>
      </c>
      <c r="H55" s="34">
        <f t="shared" ca="1" si="19"/>
        <v>-4.264520975394591</v>
      </c>
      <c r="J55" s="33">
        <f t="shared" ca="1" si="14"/>
        <v>-0.51651114275740628</v>
      </c>
      <c r="K55" s="33">
        <f t="shared" ca="1" si="15"/>
        <v>-0.38131123836600089</v>
      </c>
    </row>
    <row r="56" spans="1:11" ht="15.75" hidden="1" customHeight="1">
      <c r="A56" s="1" t="s">
        <v>162</v>
      </c>
      <c r="C56" s="104"/>
      <c r="E56" s="9" t="str">
        <f ca="1">_xll.DBRW(Server&amp;"}ElementAttributes_Indicator",A56,"code_English")</f>
        <v>PL1115_MF_32 - Lubricants</v>
      </c>
      <c r="F56" s="33">
        <f ca="1">_xll.DBRW($C$1,$C$2,$C$3,$C$4,$C$6,$C$5,$C$7,F$1,F$2,A56)</f>
        <v>-2.6559085629620576</v>
      </c>
      <c r="G56" s="33">
        <f ca="1">_xll.DBRW($C$1,$C$2,$C$3,$C$4,$C$6,$C$5,$C$7,G$1,G$2,A56)</f>
        <v>-1.9512824038644778</v>
      </c>
      <c r="H56" s="33">
        <f ca="1">_xll.DBRW($C$1,$C$2,$C$3,$C$4,$C$6,$C$5,$C$7,H$1,H$2,A56)</f>
        <v>-2.4034520032805071</v>
      </c>
      <c r="J56" s="33">
        <f t="shared" ca="1" si="14"/>
        <v>-0.70462615909757975</v>
      </c>
      <c r="K56" s="33">
        <f t="shared" ca="1" si="15"/>
        <v>-0.25245655968155045</v>
      </c>
    </row>
    <row r="57" spans="1:11" ht="15.5">
      <c r="A57" s="1" t="s">
        <v>162</v>
      </c>
      <c r="C57" s="104"/>
      <c r="E57" s="15" t="s">
        <v>28</v>
      </c>
      <c r="F57" s="34">
        <f t="shared" ref="F57:H57" ca="1" si="20">SUM(F56)</f>
        <v>-2.6559085629620576</v>
      </c>
      <c r="G57" s="34">
        <f t="shared" ca="1" si="20"/>
        <v>-1.9512824038644778</v>
      </c>
      <c r="H57" s="34">
        <f t="shared" ca="1" si="20"/>
        <v>-2.4034520032805071</v>
      </c>
      <c r="J57" s="33">
        <f t="shared" ca="1" si="14"/>
        <v>-0.70462615909757975</v>
      </c>
      <c r="K57" s="33">
        <f t="shared" ca="1" si="15"/>
        <v>-0.25245655968155045</v>
      </c>
    </row>
    <row r="58" spans="1:11" ht="15.75" hidden="1" customHeight="1">
      <c r="A58" s="1" t="s">
        <v>163</v>
      </c>
      <c r="C58" s="104"/>
      <c r="E58" s="9" t="str">
        <f ca="1">_xll.DBRW(Server&amp;"}ElementAttributes_Indicator",A58,"code_English")</f>
        <v>PL1115_MF_99 - Others (MF)</v>
      </c>
      <c r="F58" s="33">
        <f ca="1">_xll.DBRW($C$1,$C$2,$C$3,$C$4,$C$6,$C$5,$C$7,F$1,F$2,A58)</f>
        <v>-15.654050048013552</v>
      </c>
      <c r="G58" s="33">
        <f ca="1">_xll.DBRW($C$1,$C$2,$C$3,$C$4,$C$6,$C$5,$C$7,G$1,G$2,A58)</f>
        <v>-11.319075080189762</v>
      </c>
      <c r="H58" s="33">
        <f ca="1">_xll.DBRW($C$1,$C$2,$C$3,$C$4,$C$6,$C$5,$C$7,H$1,H$2,A58)</f>
        <v>-16.476306723298805</v>
      </c>
      <c r="J58" s="33">
        <f t="shared" ca="1" si="14"/>
        <v>-4.3349749678237899</v>
      </c>
      <c r="K58" s="33">
        <f t="shared" ca="1" si="15"/>
        <v>0.82225667528525292</v>
      </c>
    </row>
    <row r="59" spans="1:11" ht="15.75" hidden="1" customHeight="1">
      <c r="A59" s="1" t="s">
        <v>164</v>
      </c>
      <c r="C59" s="104"/>
      <c r="E59" s="9" t="str">
        <f ca="1">_xll.DBRW(Server&amp;"}ElementAttributes_Indicator",A59,"code_English")</f>
        <v>PL1115_ST_10 - Subcontracting transport (ST)</v>
      </c>
      <c r="F59" s="33">
        <f ca="1">_xll.DBRW($C$1,$C$2,$C$3,$C$4,$C$6,$C$5,$C$7,F$1,F$2,A59)</f>
        <v>-95.042907092501125</v>
      </c>
      <c r="G59" s="33">
        <f ca="1">_xll.DBRW($C$1,$C$2,$C$3,$C$4,$C$6,$C$5,$C$7,G$1,G$2,A59)</f>
        <v>-82.570852182624122</v>
      </c>
      <c r="H59" s="33">
        <f ca="1">_xll.DBRW($C$1,$C$2,$C$3,$C$4,$C$6,$C$5,$C$7,H$1,H$2,A59)</f>
        <v>-89.059823557534514</v>
      </c>
      <c r="J59" s="33">
        <f t="shared" ca="1" si="14"/>
        <v>-12.472054909877002</v>
      </c>
      <c r="K59" s="33">
        <f t="shared" ca="1" si="15"/>
        <v>-5.9830835349666103</v>
      </c>
    </row>
    <row r="60" spans="1:11" ht="15.75" hidden="1" customHeight="1">
      <c r="A60" s="1" t="s">
        <v>165</v>
      </c>
      <c r="C60" s="104"/>
      <c r="E60" s="9" t="str">
        <f ca="1">_xll.DBRW(Server&amp;"}ElementAttributes_Indicator",A60,"code_English")</f>
        <v>PL1116_MF - COS - Lease expenses (MF)</v>
      </c>
      <c r="F60" s="33">
        <f ca="1">_xll.DBRW($C$1,$C$2,$C$3,$C$4,$C$6,$C$5,$C$7,F$1,F$2,A60)</f>
        <v>-0.81119228898879259</v>
      </c>
      <c r="G60" s="33">
        <f ca="1">_xll.DBRW($C$1,$C$2,$C$3,$C$4,$C$6,$C$5,$C$7,G$1,G$2,A60)</f>
        <v>-0.79176851491815059</v>
      </c>
      <c r="H60" s="33">
        <f ca="1">_xll.DBRW($C$1,$C$2,$C$3,$C$4,$C$6,$C$5,$C$7,H$1,H$2,A60)</f>
        <v>-0.79144981900541778</v>
      </c>
      <c r="J60" s="33">
        <f t="shared" ca="1" si="14"/>
        <v>-1.9423774070641997E-2</v>
      </c>
      <c r="K60" s="33">
        <f t="shared" ca="1" si="15"/>
        <v>-1.9742469983374811E-2</v>
      </c>
    </row>
    <row r="61" spans="1:11" ht="15.75" hidden="1" customHeight="1">
      <c r="A61" s="1" t="s">
        <v>166</v>
      </c>
      <c r="C61" s="104"/>
      <c r="E61" s="9" t="str">
        <f ca="1">_xll.DBRW(Server&amp;"}ElementAttributes_Indicator",A61,"code_English")</f>
        <v>PL1116_ST - COS - Lease expenses (ST)</v>
      </c>
      <c r="F61" s="33">
        <f ca="1">_xll.DBRW($C$1,$C$2,$C$3,$C$4,$C$6,$C$5,$C$7,F$1,F$2,A61)</f>
        <v>0</v>
      </c>
      <c r="G61" s="33">
        <f ca="1">_xll.DBRW($C$1,$C$2,$C$3,$C$4,$C$6,$C$5,$C$7,G$1,G$2,A61)</f>
        <v>0</v>
      </c>
      <c r="H61" s="33">
        <f ca="1">_xll.DBRW($C$1,$C$2,$C$3,$C$4,$C$6,$C$5,$C$7,H$1,H$2,A61)</f>
        <v>0</v>
      </c>
      <c r="J61" s="33">
        <f t="shared" ca="1" si="14"/>
        <v>0</v>
      </c>
      <c r="K61" s="33">
        <f t="shared" ca="1" si="15"/>
        <v>0</v>
      </c>
    </row>
    <row r="62" spans="1:11" ht="15.75" hidden="1" customHeight="1">
      <c r="A62" s="1" t="s">
        <v>167</v>
      </c>
      <c r="C62" s="104"/>
      <c r="E62" s="9" t="str">
        <f ca="1">_xll.DBRW(Server&amp;"}ElementAttributes_Indicator",A62,"code_English")</f>
        <v>PL1117_MF - COS - Lease expenses (IFRIC12) (MF)</v>
      </c>
      <c r="F62" s="33">
        <f ca="1">_xll.DBRW($C$1,$C$2,$C$3,$C$4,$C$6,$C$5,$C$7,F$1,F$2,A62)</f>
        <v>0</v>
      </c>
      <c r="G62" s="33">
        <f ca="1">_xll.DBRW($C$1,$C$2,$C$3,$C$4,$C$6,$C$5,$C$7,G$1,G$2,A62)</f>
        <v>0</v>
      </c>
      <c r="H62" s="33">
        <f ca="1">_xll.DBRW($C$1,$C$2,$C$3,$C$4,$C$6,$C$5,$C$7,H$1,H$2,A62)</f>
        <v>0</v>
      </c>
      <c r="J62" s="33">
        <f t="shared" ca="1" si="14"/>
        <v>0</v>
      </c>
      <c r="K62" s="33">
        <f t="shared" ca="1" si="15"/>
        <v>0</v>
      </c>
    </row>
    <row r="63" spans="1:11" ht="15.75" hidden="1" customHeight="1">
      <c r="A63" s="1" t="s">
        <v>168</v>
      </c>
      <c r="C63" s="104"/>
      <c r="E63" s="9" t="str">
        <f ca="1">_xll.DBRW(Server&amp;"}ElementAttributes_Indicator",A63,"code_English")</f>
        <v>PL1117_ST - COS - Lease expenses (IFRIC12) (ST)</v>
      </c>
      <c r="F63" s="33">
        <f ca="1">_xll.DBRW($C$1,$C$2,$C$3,$C$4,$C$6,$C$5,$C$7,F$1,F$2,A63)</f>
        <v>0</v>
      </c>
      <c r="G63" s="33">
        <f ca="1">_xll.DBRW($C$1,$C$2,$C$3,$C$4,$C$6,$C$5,$C$7,G$1,G$2,A63)</f>
        <v>0</v>
      </c>
      <c r="H63" s="33">
        <f ca="1">_xll.DBRW($C$1,$C$2,$C$3,$C$4,$C$6,$C$5,$C$7,H$1,H$2,A63)</f>
        <v>0</v>
      </c>
      <c r="J63" s="33">
        <f t="shared" ca="1" si="14"/>
        <v>0</v>
      </c>
      <c r="K63" s="33">
        <f t="shared" ca="1" si="15"/>
        <v>0</v>
      </c>
    </row>
    <row r="64" spans="1:11" ht="15.75" hidden="1" customHeight="1">
      <c r="A64" s="1" t="s">
        <v>169</v>
      </c>
      <c r="C64" s="104"/>
      <c r="E64" s="9" t="str">
        <f ca="1">_xll.DBRW(Server&amp;"}ElementAttributes_Indicator",A64,"code_English")</f>
        <v>PL1118_MF - IFRS16 adjustment through P&amp;L (MF)</v>
      </c>
      <c r="F64" s="33">
        <f ca="1">_xll.DBRW($C$1,$C$2,$C$3,$C$4,$C$6,$C$5,$C$7,F$1,F$2,A64)</f>
        <v>0</v>
      </c>
      <c r="G64" s="33">
        <f ca="1">_xll.DBRW($C$1,$C$2,$C$3,$C$4,$C$6,$C$5,$C$7,G$1,G$2,A64)</f>
        <v>0</v>
      </c>
      <c r="H64" s="33">
        <f ca="1">_xll.DBRW($C$1,$C$2,$C$3,$C$4,$C$6,$C$5,$C$7,H$1,H$2,A64)</f>
        <v>0</v>
      </c>
      <c r="J64" s="33">
        <f t="shared" ca="1" si="14"/>
        <v>0</v>
      </c>
      <c r="K64" s="33">
        <f t="shared" ca="1" si="15"/>
        <v>0</v>
      </c>
    </row>
    <row r="65" spans="1:11" ht="15.75" hidden="1" customHeight="1">
      <c r="A65" s="1" t="s">
        <v>170</v>
      </c>
      <c r="C65" s="104"/>
      <c r="E65" s="9" t="str">
        <f ca="1">_xll.DBRW(Server&amp;"}ElementAttributes_Indicator",A65,"code_English")</f>
        <v>PL1118_ST - IFRS16 adjustment through P&amp;L (ST)</v>
      </c>
      <c r="F65" s="33">
        <f ca="1">_xll.DBRW($C$1,$C$2,$C$3,$C$4,$C$6,$C$5,$C$7,F$1,F$2,A65)</f>
        <v>0</v>
      </c>
      <c r="G65" s="33">
        <f ca="1">_xll.DBRW($C$1,$C$2,$C$3,$C$4,$C$6,$C$5,$C$7,G$1,G$2,A65)</f>
        <v>0</v>
      </c>
      <c r="H65" s="33">
        <f ca="1">_xll.DBRW($C$1,$C$2,$C$3,$C$4,$C$6,$C$5,$C$7,H$1,H$2,A65)</f>
        <v>0</v>
      </c>
      <c r="J65" s="33">
        <f t="shared" ca="1" si="14"/>
        <v>0</v>
      </c>
      <c r="K65" s="33">
        <f t="shared" ca="1" si="15"/>
        <v>0</v>
      </c>
    </row>
    <row r="66" spans="1:11" ht="15.75" hidden="1" customHeight="1">
      <c r="A66" s="1" t="s">
        <v>171</v>
      </c>
      <c r="C66" s="104"/>
      <c r="E66" s="9" t="str">
        <f ca="1">_xll.DBRW(Server&amp;"}ElementAttributes_Indicator",A66,"code_English")</f>
        <v>PL1140_MF_10 - Amortization (MF)</v>
      </c>
      <c r="F66" s="33">
        <f ca="1">_xll.DBRW($C$1,$C$2,$C$3,$C$4,$C$6,$C$5,$C$7,F$1,F$2,A66)</f>
        <v>-0.36366228289719538</v>
      </c>
      <c r="G66" s="33">
        <f ca="1">_xll.DBRW($C$1,$C$2,$C$3,$C$4,$C$6,$C$5,$C$7,G$1,G$2,A66)</f>
        <v>-0.35876619826568401</v>
      </c>
      <c r="H66" s="33">
        <f ca="1">_xll.DBRW($C$1,$C$2,$C$3,$C$4,$C$6,$C$5,$C$7,H$1,H$2,A66)</f>
        <v>-0.79432661960944451</v>
      </c>
      <c r="J66" s="33">
        <f t="shared" ca="1" si="14"/>
        <v>-4.896084631511366E-3</v>
      </c>
      <c r="K66" s="33">
        <f t="shared" ca="1" si="15"/>
        <v>0.43066433671224913</v>
      </c>
    </row>
    <row r="67" spans="1:11" ht="15.75" hidden="1" customHeight="1">
      <c r="A67" s="1" t="s">
        <v>172</v>
      </c>
      <c r="C67" s="104"/>
      <c r="E67" s="9" t="str">
        <f ca="1">_xll.DBRW(Server&amp;"}ElementAttributes_Indicator",A67,"code_English")</f>
        <v>PL1145_MF - Impairment - working capital (MF)</v>
      </c>
      <c r="F67" s="33">
        <f ca="1">_xll.DBRW($C$1,$C$2,$C$3,$C$4,$C$6,$C$5,$C$7,F$1,F$2,A67)</f>
        <v>0.130774</v>
      </c>
      <c r="G67" s="33">
        <f ca="1">_xll.DBRW($C$1,$C$2,$C$3,$C$4,$C$6,$C$5,$C$7,G$1,G$2,A67)</f>
        <v>0</v>
      </c>
      <c r="H67" s="33">
        <f ca="1">_xll.DBRW($C$1,$C$2,$C$3,$C$4,$C$6,$C$5,$C$7,H$1,H$2,A67)</f>
        <v>0</v>
      </c>
      <c r="J67" s="33">
        <f t="shared" ca="1" si="14"/>
        <v>0.130774</v>
      </c>
      <c r="K67" s="33">
        <f t="shared" ca="1" si="15"/>
        <v>0.130774</v>
      </c>
    </row>
    <row r="68" spans="1:11" ht="15.75" hidden="1" customHeight="1">
      <c r="A68" s="1" t="s">
        <v>173</v>
      </c>
      <c r="C68" s="104"/>
      <c r="E68" s="9" t="str">
        <f ca="1">_xll.DBRW(Server&amp;"}ElementAttributes_Indicator",A68,"code_English")</f>
        <v>PL1150_MF_10 - Impairment (other than working capital) and provisions - related to staff costs (MF)</v>
      </c>
      <c r="F68" s="33">
        <f ca="1">_xll.DBRW($C$1,$C$2,$C$3,$C$4,$C$6,$C$5,$C$7,F$1,F$2,A68)</f>
        <v>3.894091070398039E-2</v>
      </c>
      <c r="G68" s="33">
        <f ca="1">_xll.DBRW($C$1,$C$2,$C$3,$C$4,$C$6,$C$5,$C$7,G$1,G$2,A68)</f>
        <v>0.11885482919376772</v>
      </c>
      <c r="H68" s="33">
        <f ca="1">_xll.DBRW($C$1,$C$2,$C$3,$C$4,$C$6,$C$5,$C$7,H$1,H$2,A68)</f>
        <v>-2.5183031275167786E-2</v>
      </c>
      <c r="J68" s="33">
        <f t="shared" ca="1" si="14"/>
        <v>-7.9913918489787322E-2</v>
      </c>
      <c r="K68" s="33">
        <f t="shared" ca="1" si="15"/>
        <v>6.4123941979148169E-2</v>
      </c>
    </row>
    <row r="69" spans="1:11" ht="15.75" hidden="1" customHeight="1">
      <c r="A69" s="1" t="s">
        <v>174</v>
      </c>
      <c r="C69" s="104"/>
      <c r="E69" s="9" t="str">
        <f ca="1">_xll.DBRW(Server&amp;"}ElementAttributes_Indicator",A69,"code_English")</f>
        <v>PL1150_MF_11 - Impairment (other than working capital) and provisions - related to staff costs - Reversal (MF)</v>
      </c>
      <c r="F69" s="33">
        <f ca="1">_xll.DBRW($C$1,$C$2,$C$3,$C$4,$C$6,$C$5,$C$7,F$1,F$2,A69)</f>
        <v>0.11984714</v>
      </c>
      <c r="G69" s="33">
        <f ca="1">_xll.DBRW($C$1,$C$2,$C$3,$C$4,$C$6,$C$5,$C$7,G$1,G$2,A69)</f>
        <v>2.2419599999999999E-3</v>
      </c>
      <c r="H69" s="33">
        <f ca="1">_xll.DBRW($C$1,$C$2,$C$3,$C$4,$C$6,$C$5,$C$7,H$1,H$2,A69)</f>
        <v>1.2888700000000001E-3</v>
      </c>
      <c r="J69" s="33">
        <f t="shared" ca="1" si="14"/>
        <v>0.11760518</v>
      </c>
      <c r="K69" s="33">
        <f t="shared" ca="1" si="15"/>
        <v>0.11855827000000001</v>
      </c>
    </row>
    <row r="70" spans="1:11" ht="15.75" hidden="1" customHeight="1">
      <c r="A70" s="1" t="s">
        <v>175</v>
      </c>
      <c r="C70" s="104"/>
      <c r="E70" s="9" t="str">
        <f ca="1">_xll.DBRW(Server&amp;"}ElementAttributes_Indicator",A70,"code_English")</f>
        <v>PL1150_MF_20 - Impairment (other than working capital) and provisions - related to heavy maintenance</v>
      </c>
      <c r="F70" s="33">
        <f ca="1">_xll.DBRW($C$1,$C$2,$C$3,$C$4,$C$6,$C$5,$C$7,F$1,F$2,A70)</f>
        <v>-3.4385329890663705</v>
      </c>
      <c r="G70" s="33">
        <f ca="1">_xll.DBRW($C$1,$C$2,$C$3,$C$4,$C$6,$C$5,$C$7,G$1,G$2,A70)</f>
        <v>-3.2962154901474561</v>
      </c>
      <c r="H70" s="33">
        <f ca="1">_xll.DBRW($C$1,$C$2,$C$3,$C$4,$C$6,$C$5,$C$7,H$1,H$2,A70)</f>
        <v>-2.62642116</v>
      </c>
      <c r="J70" s="33">
        <f t="shared" ca="1" si="14"/>
        <v>-0.14231749891891443</v>
      </c>
      <c r="K70" s="33">
        <f t="shared" ca="1" si="15"/>
        <v>-0.81211182906637047</v>
      </c>
    </row>
    <row r="71" spans="1:11" ht="15.75" hidden="1" customHeight="1">
      <c r="A71" s="1" t="s">
        <v>176</v>
      </c>
      <c r="C71" s="104"/>
      <c r="E71" s="9" t="str">
        <f ca="1">_xll.DBRW(Server&amp;"}ElementAttributes_Indicator",A71,"code_English")</f>
        <v>PL1150_MF_21 - Impairment (other than working capital) and provisions - related to heavy maintenance - Reversal</v>
      </c>
      <c r="F71" s="33">
        <f ca="1">_xll.DBRW($C$1,$C$2,$C$3,$C$4,$C$6,$C$5,$C$7,F$1,F$2,A71)</f>
        <v>0</v>
      </c>
      <c r="G71" s="33">
        <f ca="1">_xll.DBRW($C$1,$C$2,$C$3,$C$4,$C$6,$C$5,$C$7,G$1,G$2,A71)</f>
        <v>0</v>
      </c>
      <c r="H71" s="33">
        <f ca="1">_xll.DBRW($C$1,$C$2,$C$3,$C$4,$C$6,$C$5,$C$7,H$1,H$2,A71)</f>
        <v>0</v>
      </c>
      <c r="J71" s="33">
        <f t="shared" ca="1" si="14"/>
        <v>0</v>
      </c>
      <c r="K71" s="33">
        <f t="shared" ca="1" si="15"/>
        <v>0</v>
      </c>
    </row>
    <row r="72" spans="1:11" ht="15.75" hidden="1" customHeight="1">
      <c r="A72" s="1" t="s">
        <v>177</v>
      </c>
      <c r="C72" s="104"/>
      <c r="E72" s="9" t="str">
        <f ca="1">_xll.DBRW(Server&amp;"}ElementAttributes_Indicator",A72,"code_English")</f>
        <v>PL1150_MF_90 - Impairment (other than working capital) and provisions - others (MF)</v>
      </c>
      <c r="F72" s="33">
        <f ca="1">_xll.DBRW($C$1,$C$2,$C$3,$C$4,$C$6,$C$5,$C$7,F$1,F$2,A72)</f>
        <v>0</v>
      </c>
      <c r="G72" s="33">
        <f ca="1">_xll.DBRW($C$1,$C$2,$C$3,$C$4,$C$6,$C$5,$C$7,G$1,G$2,A72)</f>
        <v>0</v>
      </c>
      <c r="H72" s="33">
        <f ca="1">_xll.DBRW($C$1,$C$2,$C$3,$C$4,$C$6,$C$5,$C$7,H$1,H$2,A72)</f>
        <v>0</v>
      </c>
      <c r="J72" s="33">
        <f t="shared" ca="1" si="14"/>
        <v>0</v>
      </c>
      <c r="K72" s="33">
        <f t="shared" ca="1" si="15"/>
        <v>0</v>
      </c>
    </row>
    <row r="73" spans="1:11" ht="15.75" hidden="1" customHeight="1">
      <c r="A73" s="1" t="s">
        <v>178</v>
      </c>
      <c r="C73" s="104"/>
      <c r="E73" s="9" t="str">
        <f ca="1">_xll.DBRW(Server&amp;"}ElementAttributes_Indicator",A73,"code_English")</f>
        <v>PL1151_MF_10 - Impact of change in revaluation rate on provisions for losses on LT contracts - related to staff costs (MF)</v>
      </c>
      <c r="F73" s="33">
        <f ca="1">_xll.DBRW($C$1,$C$2,$C$3,$C$4,$C$6,$C$5,$C$7,F$1,F$2,A73)</f>
        <v>0</v>
      </c>
      <c r="G73" s="33">
        <f ca="1">_xll.DBRW($C$1,$C$2,$C$3,$C$4,$C$6,$C$5,$C$7,G$1,G$2,A73)</f>
        <v>0</v>
      </c>
      <c r="H73" s="33">
        <f ca="1">_xll.DBRW($C$1,$C$2,$C$3,$C$4,$C$6,$C$5,$C$7,H$1,H$2,A73)</f>
        <v>0</v>
      </c>
      <c r="J73" s="33">
        <f t="shared" ca="1" si="14"/>
        <v>0</v>
      </c>
      <c r="K73" s="33">
        <f t="shared" ca="1" si="15"/>
        <v>0</v>
      </c>
    </row>
    <row r="74" spans="1:11" ht="15.75" hidden="1" customHeight="1">
      <c r="A74" s="1" t="s">
        <v>179</v>
      </c>
      <c r="C74" s="104"/>
      <c r="E74" s="9" t="str">
        <f ca="1">_xll.DBRW(Server&amp;"}ElementAttributes_Indicator",A74,"code_English")</f>
        <v>PL1151_MF_11 - Impact of change in revaluation rate on provisions for losses on LT contracts - related to staff costs - Reversal (MF)</v>
      </c>
      <c r="F74" s="33">
        <f ca="1">_xll.DBRW($C$1,$C$2,$C$3,$C$4,$C$6,$C$5,$C$7,F$1,F$2,A74)</f>
        <v>0</v>
      </c>
      <c r="G74" s="33">
        <f ca="1">_xll.DBRW($C$1,$C$2,$C$3,$C$4,$C$6,$C$5,$C$7,G$1,G$2,A74)</f>
        <v>0</v>
      </c>
      <c r="H74" s="33">
        <f ca="1">_xll.DBRW($C$1,$C$2,$C$3,$C$4,$C$6,$C$5,$C$7,H$1,H$2,A74)</f>
        <v>0</v>
      </c>
      <c r="J74" s="33">
        <f t="shared" ca="1" si="14"/>
        <v>0</v>
      </c>
      <c r="K74" s="33">
        <f t="shared" ca="1" si="15"/>
        <v>0</v>
      </c>
    </row>
    <row r="75" spans="1:11" ht="15.75" hidden="1" customHeight="1">
      <c r="A75" s="1" t="s">
        <v>180</v>
      </c>
      <c r="C75" s="104"/>
      <c r="E75" s="9" t="str">
        <f ca="1">_xll.DBRW(Server&amp;"}ElementAttributes_Indicator",A75,"code_English")</f>
        <v>PL1151_MF_20 - Impact of change in revaluation rate on provisions for losses on LT contracts - related to heavy maintenance</v>
      </c>
      <c r="F75" s="33">
        <f ca="1">_xll.DBRW($C$1,$C$2,$C$3,$C$4,$C$6,$C$5,$C$7,F$1,F$2,A75)</f>
        <v>0</v>
      </c>
      <c r="G75" s="33">
        <f ca="1">_xll.DBRW($C$1,$C$2,$C$3,$C$4,$C$6,$C$5,$C$7,G$1,G$2,A75)</f>
        <v>0</v>
      </c>
      <c r="H75" s="33">
        <f ca="1">_xll.DBRW($C$1,$C$2,$C$3,$C$4,$C$6,$C$5,$C$7,H$1,H$2,A75)</f>
        <v>0</v>
      </c>
      <c r="J75" s="33">
        <f t="shared" ca="1" si="14"/>
        <v>0</v>
      </c>
      <c r="K75" s="33">
        <f t="shared" ca="1" si="15"/>
        <v>0</v>
      </c>
    </row>
    <row r="76" spans="1:11" ht="15.75" hidden="1" customHeight="1">
      <c r="A76" s="1" t="s">
        <v>181</v>
      </c>
      <c r="C76" s="104"/>
      <c r="E76" s="9" t="str">
        <f ca="1">_xll.DBRW(Server&amp;"}ElementAttributes_Indicator",A76,"code_English")</f>
        <v>PL1151_MF_21 - Impact of change in revaluation rate on provisions for losses on LT contracts - related to heavy maintenance - Reversal</v>
      </c>
      <c r="F76" s="33">
        <f ca="1">_xll.DBRW($C$1,$C$2,$C$3,$C$4,$C$6,$C$5,$C$7,F$1,F$2,A76)</f>
        <v>0</v>
      </c>
      <c r="G76" s="33">
        <f ca="1">_xll.DBRW($C$1,$C$2,$C$3,$C$4,$C$6,$C$5,$C$7,G$1,G$2,A76)</f>
        <v>0</v>
      </c>
      <c r="H76" s="33">
        <f ca="1">_xll.DBRW($C$1,$C$2,$C$3,$C$4,$C$6,$C$5,$C$7,H$1,H$2,A76)</f>
        <v>0</v>
      </c>
      <c r="J76" s="33">
        <f t="shared" ca="1" si="14"/>
        <v>0</v>
      </c>
      <c r="K76" s="33">
        <f t="shared" ca="1" si="15"/>
        <v>0</v>
      </c>
    </row>
    <row r="77" spans="1:11" ht="15.75" hidden="1" customHeight="1">
      <c r="A77" s="1" t="s">
        <v>182</v>
      </c>
      <c r="C77" s="104"/>
      <c r="E77" s="9" t="str">
        <f ca="1">_xll.DBRW(Server&amp;"}ElementAttributes_Indicator",A77,"code_English")</f>
        <v>PL1155_MF_99 - Reinvoicing - Others (MF)</v>
      </c>
      <c r="F77" s="33">
        <f ca="1">_xll.DBRW($C$1,$C$2,$C$3,$C$4,$C$6,$C$5,$C$7,F$1,F$2,A77)</f>
        <v>0.41623304999999999</v>
      </c>
      <c r="G77" s="33">
        <f ca="1">_xll.DBRW($C$1,$C$2,$C$3,$C$4,$C$6,$C$5,$C$7,G$1,G$2,A77)</f>
        <v>0.78659229100000017</v>
      </c>
      <c r="H77" s="33">
        <f ca="1">_xll.DBRW($C$1,$C$2,$C$3,$C$4,$C$6,$C$5,$C$7,H$1,H$2,A77)</f>
        <v>0.26598626729450492</v>
      </c>
      <c r="J77" s="33">
        <f t="shared" ca="1" si="14"/>
        <v>-0.37035924100000017</v>
      </c>
      <c r="K77" s="33">
        <f t="shared" ca="1" si="15"/>
        <v>0.15024678270549507</v>
      </c>
    </row>
    <row r="78" spans="1:11" ht="15.75" hidden="1" customHeight="1">
      <c r="A78" s="1" t="s">
        <v>183</v>
      </c>
      <c r="C78" s="104"/>
      <c r="E78" s="9" t="str">
        <f ca="1">_xll.DBRW(Server&amp;"}ElementAttributes_Indicator",A78,"code_English")</f>
        <v>PL1160_MF_15 - Gains/losses on disposal of tangible &amp; intangible fixed assets (MF)</v>
      </c>
      <c r="F78" s="33">
        <f ca="1">_xll.DBRW($C$1,$C$2,$C$3,$C$4,$C$6,$C$5,$C$7,F$1,F$2,A78)</f>
        <v>1.0499999999999999E-4</v>
      </c>
      <c r="G78" s="33">
        <f ca="1">_xll.DBRW($C$1,$C$2,$C$3,$C$4,$C$6,$C$5,$C$7,G$1,G$2,A78)</f>
        <v>0</v>
      </c>
      <c r="H78" s="33">
        <f ca="1">_xll.DBRW($C$1,$C$2,$C$3,$C$4,$C$6,$C$5,$C$7,H$1,H$2,A78)</f>
        <v>0</v>
      </c>
      <c r="J78" s="33">
        <f t="shared" ca="1" si="14"/>
        <v>1.0499999999999999E-4</v>
      </c>
      <c r="K78" s="33">
        <f t="shared" ca="1" si="15"/>
        <v>1.0499999999999999E-4</v>
      </c>
    </row>
    <row r="79" spans="1:11" ht="15.75" hidden="1" customHeight="1">
      <c r="A79" s="1" t="s">
        <v>184</v>
      </c>
      <c r="C79" s="104"/>
      <c r="E79" s="9" t="str">
        <f ca="1">_xll.DBRW(Server&amp;"}ElementAttributes_Indicator",A79,"code_English")</f>
        <v>PL1162_MF - COS - Gains/losses on disposal of right-of-use (MF)</v>
      </c>
      <c r="F79" s="33">
        <f ca="1">_xll.DBRW($C$1,$C$2,$C$3,$C$4,$C$6,$C$5,$C$7,F$1,F$2,A79)</f>
        <v>0</v>
      </c>
      <c r="G79" s="33">
        <f ca="1">_xll.DBRW($C$1,$C$2,$C$3,$C$4,$C$6,$C$5,$C$7,G$1,G$2,A79)</f>
        <v>0</v>
      </c>
      <c r="H79" s="33">
        <f ca="1">_xll.DBRW($C$1,$C$2,$C$3,$C$4,$C$6,$C$5,$C$7,H$1,H$2,A79)</f>
        <v>0</v>
      </c>
      <c r="J79" s="33">
        <f t="shared" ca="1" si="14"/>
        <v>0</v>
      </c>
      <c r="K79" s="33">
        <f t="shared" ca="1" si="15"/>
        <v>0</v>
      </c>
    </row>
    <row r="80" spans="1:11" ht="15.75" hidden="1" customHeight="1">
      <c r="A80" s="1" t="s">
        <v>185</v>
      </c>
      <c r="C80" s="104"/>
      <c r="E80" s="9" t="str">
        <f ca="1">_xll.DBRW(Server&amp;"}ElementAttributes_Indicator",A80,"code_English")</f>
        <v>PL1162_ST - COS - Gains/losses on disposal of right-of-use (ST)</v>
      </c>
      <c r="F80" s="33">
        <f ca="1">_xll.DBRW($C$1,$C$2,$C$3,$C$4,$C$6,$C$5,$C$7,F$1,F$2,A80)</f>
        <v>0</v>
      </c>
      <c r="G80" s="33">
        <f ca="1">_xll.DBRW($C$1,$C$2,$C$3,$C$4,$C$6,$C$5,$C$7,G$1,G$2,A80)</f>
        <v>0</v>
      </c>
      <c r="H80" s="33">
        <f ca="1">_xll.DBRW($C$1,$C$2,$C$3,$C$4,$C$6,$C$5,$C$7,H$1,H$2,A80)</f>
        <v>0</v>
      </c>
      <c r="J80" s="33">
        <f t="shared" ca="1" si="14"/>
        <v>0</v>
      </c>
      <c r="K80" s="33">
        <f t="shared" ca="1" si="15"/>
        <v>0</v>
      </c>
    </row>
    <row r="81" spans="1:11" ht="15.5">
      <c r="A81" s="1" t="s">
        <v>142</v>
      </c>
      <c r="C81" s="104"/>
      <c r="E81" s="14" t="s">
        <v>29</v>
      </c>
      <c r="F81" s="33">
        <f ca="1">SUM(F58:F80)</f>
        <v>-114.60444460076305</v>
      </c>
      <c r="G81" s="33">
        <f t="shared" ref="G81:H81" ca="1" si="21">SUM(G58:G80)</f>
        <v>-97.428988385951399</v>
      </c>
      <c r="H81" s="33">
        <f t="shared" ca="1" si="21"/>
        <v>-109.50623577342886</v>
      </c>
      <c r="J81" s="33">
        <f t="shared" ca="1" si="14"/>
        <v>-17.175456214811646</v>
      </c>
      <c r="K81" s="33">
        <f t="shared" ca="1" si="15"/>
        <v>-5.0982088273341901</v>
      </c>
    </row>
    <row r="82" spans="1:11" ht="15.5" collapsed="1">
      <c r="A82" s="1" t="s">
        <v>142</v>
      </c>
      <c r="C82" s="104"/>
      <c r="E82" s="11" t="s">
        <v>30</v>
      </c>
      <c r="F82" s="35">
        <f t="shared" ref="F82:H82" ca="1" si="22">F81+F57+F55+F53+F51+F49+F46</f>
        <v>-230.04326527789669</v>
      </c>
      <c r="G82" s="35">
        <f t="shared" ca="1" si="22"/>
        <v>-197.03751343376811</v>
      </c>
      <c r="H82" s="35">
        <f t="shared" ca="1" si="22"/>
        <v>-217.50368651733635</v>
      </c>
      <c r="J82" s="31">
        <f ca="1">F82-G82</f>
        <v>-33.005751844128582</v>
      </c>
      <c r="K82" s="31">
        <f ca="1">F82-H82</f>
        <v>-12.539578760560346</v>
      </c>
    </row>
    <row r="83" spans="1:11" ht="15.75" hidden="1" customHeight="1">
      <c r="A83" s="1" t="s">
        <v>186</v>
      </c>
      <c r="C83" s="104"/>
      <c r="E83" s="9" t="str">
        <f ca="1">_xll.DBRW(Server&amp;"}ElementAttributes_Indicator",A83,"code_English")</f>
        <v>PL1115_ET_83 - Electricity</v>
      </c>
      <c r="F83" s="32">
        <f ca="1">_xll.DBRW($C$1,$C$2,$C$3,$C$4,$C$6,$C$5,$C$7,F$1,F$2,A83)</f>
        <v>-16.301869076956727</v>
      </c>
      <c r="G83" s="32">
        <f ca="1">_xll.DBRW($C$1,$C$2,$C$3,$C$4,$C$6,$C$5,$C$7,G$1,G$2,A83)</f>
        <v>-18.019177318873972</v>
      </c>
      <c r="H83" s="32">
        <f ca="1">_xll.DBRW($C$1,$C$2,$C$3,$C$4,$C$6,$C$5,$C$7,H$1,H$2,A83)</f>
        <v>-22.134106643037001</v>
      </c>
    </row>
    <row r="84" spans="1:11" ht="15.75" hidden="1" customHeight="1">
      <c r="A84" s="1" t="s">
        <v>187</v>
      </c>
      <c r="C84" s="104"/>
      <c r="E84" s="9" t="str">
        <f ca="1">_xll.DBRW(Server&amp;"}ElementAttributes_Indicator",A84,"code_English")</f>
        <v>PL1155_ET_18 - Reinvoicing - Electricity</v>
      </c>
      <c r="F84" s="32">
        <f ca="1">_xll.DBRW($C$1,$C$2,$C$3,$C$4,$C$6,$C$5,$C$7,F$1,F$2,A84)</f>
        <v>-3.4263899999999962E-3</v>
      </c>
      <c r="G84" s="32">
        <f ca="1">_xll.DBRW($C$1,$C$2,$C$3,$C$4,$C$6,$C$5,$C$7,G$1,G$2,A84)</f>
        <v>0</v>
      </c>
      <c r="H84" s="32">
        <f ca="1">_xll.DBRW($C$1,$C$2,$C$3,$C$4,$C$6,$C$5,$C$7,H$1,H$2,A84)</f>
        <v>0</v>
      </c>
    </row>
    <row r="85" spans="1:11" ht="15.5" collapsed="1">
      <c r="A85" s="1" t="s">
        <v>142</v>
      </c>
      <c r="C85" s="104"/>
      <c r="E85" s="14" t="s">
        <v>31</v>
      </c>
      <c r="F85" s="33">
        <f t="shared" ref="F85:H85" ca="1" si="23">SUM(F83:F84)</f>
        <v>-16.305295466956728</v>
      </c>
      <c r="G85" s="33">
        <f t="shared" ca="1" si="23"/>
        <v>-18.019177318873972</v>
      </c>
      <c r="H85" s="33">
        <f t="shared" ca="1" si="23"/>
        <v>-22.134106643037001</v>
      </c>
      <c r="J85" s="33">
        <f t="shared" ref="J85:J99" ca="1" si="24">F85-G85</f>
        <v>1.7138818519172432</v>
      </c>
      <c r="K85" s="33">
        <f t="shared" ref="K85:K99" ca="1" si="25">F85-H85</f>
        <v>5.8288111760802721</v>
      </c>
    </row>
    <row r="86" spans="1:11" ht="15.75" hidden="1" customHeight="1">
      <c r="A86" s="1" t="s">
        <v>188</v>
      </c>
      <c r="C86" s="104"/>
      <c r="E86" s="9" t="str">
        <f ca="1">_xll.DBRW(Server&amp;"}ElementAttributes_Indicator",A86,"code_English")</f>
        <v>PL1115_ET_80 - Fuel</v>
      </c>
      <c r="F86" s="33">
        <f ca="1">_xll.DBRW($C$1,$C$2,$C$3,$C$4,$C$6,$C$5,$C$7,F$1,F$2,A86)</f>
        <v>-85.81983960432045</v>
      </c>
      <c r="G86" s="33">
        <f ca="1">_xll.DBRW($C$1,$C$2,$C$3,$C$4,$C$6,$C$5,$C$7,G$1,G$2,A86)</f>
        <v>-79.416454167444016</v>
      </c>
      <c r="H86" s="33">
        <f ca="1">_xll.DBRW($C$1,$C$2,$C$3,$C$4,$C$6,$C$5,$C$7,H$1,H$2,A86)</f>
        <v>-89.139664929736952</v>
      </c>
      <c r="J86" s="33">
        <f t="shared" ca="1" si="24"/>
        <v>-6.4033854368764338</v>
      </c>
      <c r="K86" s="33">
        <f t="shared" ca="1" si="25"/>
        <v>3.3198253254165024</v>
      </c>
    </row>
    <row r="87" spans="1:11" ht="15.75" hidden="1" customHeight="1">
      <c r="A87" s="1" t="s">
        <v>189</v>
      </c>
      <c r="C87" s="104"/>
      <c r="E87" s="9" t="str">
        <f ca="1">_xll.DBRW(Server&amp;"}ElementAttributes_Indicator",A87,"code_English")</f>
        <v>PL1115_ET_801 - Fuel Hedging Result</v>
      </c>
      <c r="F87" s="33">
        <f ca="1">_xll.DBRW($C$1,$C$2,$C$3,$C$4,$C$6,$C$5,$C$7,F$1,F$2,A87)</f>
        <v>1.1949673558875065E-2</v>
      </c>
      <c r="G87" s="33">
        <f ca="1">_xll.DBRW($C$1,$C$2,$C$3,$C$4,$C$6,$C$5,$C$7,G$1,G$2,A87)</f>
        <v>0</v>
      </c>
      <c r="H87" s="33">
        <f ca="1">_xll.DBRW($C$1,$C$2,$C$3,$C$4,$C$6,$C$5,$C$7,H$1,H$2,A87)</f>
        <v>0</v>
      </c>
      <c r="J87" s="33">
        <f t="shared" ca="1" si="24"/>
        <v>1.1949673558875065E-2</v>
      </c>
      <c r="K87" s="33">
        <f t="shared" ca="1" si="25"/>
        <v>1.1949673558875065E-2</v>
      </c>
    </row>
    <row r="88" spans="1:11" ht="15.75" hidden="1" customHeight="1">
      <c r="A88" s="1" t="s">
        <v>190</v>
      </c>
      <c r="C88" s="104"/>
      <c r="E88" s="9" t="str">
        <f ca="1">_xll.DBRW(Server&amp;"}ElementAttributes_Indicator",A88,"code_English")</f>
        <v>PL1115_ET_802 - Fuel Tax reimbursement</v>
      </c>
      <c r="F88" s="33">
        <f ca="1">_xll.DBRW($C$1,$C$2,$C$3,$C$4,$C$6,$C$5,$C$7,F$1,F$2,A88)</f>
        <v>7.1507921189936408</v>
      </c>
      <c r="G88" s="33">
        <f ca="1">_xll.DBRW($C$1,$C$2,$C$3,$C$4,$C$6,$C$5,$C$7,G$1,G$2,A88)</f>
        <v>8.3435034810077315</v>
      </c>
      <c r="H88" s="33">
        <f ca="1">_xll.DBRW($C$1,$C$2,$C$3,$C$4,$C$6,$C$5,$C$7,H$1,H$2,A88)</f>
        <v>6.5717183910838468</v>
      </c>
      <c r="J88" s="33">
        <f t="shared" ca="1" si="24"/>
        <v>-1.1927113620140908</v>
      </c>
      <c r="K88" s="33">
        <f t="shared" ca="1" si="25"/>
        <v>0.57907372790979394</v>
      </c>
    </row>
    <row r="89" spans="1:11" ht="15.75" hidden="1" customHeight="1">
      <c r="A89" s="1" t="s">
        <v>191</v>
      </c>
      <c r="C89" s="104"/>
      <c r="E89" s="9" t="str">
        <f ca="1">_xll.DBRW(Server&amp;"}ElementAttributes_Indicator",A89,"code_English")</f>
        <v>PL1155_ET_15 - Reinvoicing - Fuel</v>
      </c>
      <c r="F89" s="33">
        <f ca="1">_xll.DBRW($C$1,$C$2,$C$3,$C$4,$C$6,$C$5,$C$7,F$1,F$2,A89)</f>
        <v>1.4672951600000004</v>
      </c>
      <c r="G89" s="33">
        <f ca="1">_xll.DBRW($C$1,$C$2,$C$3,$C$4,$C$6,$C$5,$C$7,G$1,G$2,A89)</f>
        <v>0.15340497499999978</v>
      </c>
      <c r="H89" s="33">
        <f ca="1">_xll.DBRW($C$1,$C$2,$C$3,$C$4,$C$6,$C$5,$C$7,H$1,H$2,A89)</f>
        <v>0.81067623442793812</v>
      </c>
      <c r="J89" s="33">
        <f t="shared" ca="1" si="24"/>
        <v>1.3138901850000007</v>
      </c>
      <c r="K89" s="33">
        <f t="shared" ca="1" si="25"/>
        <v>0.65661892557206225</v>
      </c>
    </row>
    <row r="90" spans="1:11" ht="15.5">
      <c r="C90" s="104"/>
      <c r="E90" s="84" t="s">
        <v>32</v>
      </c>
      <c r="F90" s="34">
        <f t="shared" ref="F90:H90" ca="1" si="26">SUM(F86:F89)</f>
        <v>-77.189802651767934</v>
      </c>
      <c r="G90" s="34">
        <f t="shared" ca="1" si="26"/>
        <v>-70.919545711436285</v>
      </c>
      <c r="H90" s="34">
        <f t="shared" ca="1" si="26"/>
        <v>-81.757270304225159</v>
      </c>
      <c r="J90" s="33">
        <f t="shared" ca="1" si="24"/>
        <v>-6.2702569403316488</v>
      </c>
      <c r="K90" s="33">
        <f t="shared" ca="1" si="25"/>
        <v>4.5674676524572249</v>
      </c>
    </row>
    <row r="91" spans="1:11" ht="15.75" hidden="1" customHeight="1">
      <c r="A91" s="1" t="s">
        <v>192</v>
      </c>
      <c r="C91" s="104"/>
      <c r="E91" s="9" t="str">
        <f ca="1">_xll.DBRW(Server&amp;"}ElementAttributes_Indicator",A91,"code_English")</f>
        <v>PL1115_ET_81 - Bio fuel</v>
      </c>
      <c r="F91" s="33">
        <f ca="1">_xll.DBRW($C$1,$C$2,$C$3,$C$4,$C$6,$C$5,$C$7,F$1,F$2,A91)</f>
        <v>-10.987345452242897</v>
      </c>
      <c r="G91" s="33">
        <f ca="1">_xll.DBRW($C$1,$C$2,$C$3,$C$4,$C$6,$C$5,$C$7,G$1,G$2,A91)</f>
        <v>-2.2658490793961796</v>
      </c>
      <c r="H91" s="33">
        <f ca="1">_xll.DBRW($C$1,$C$2,$C$3,$C$4,$C$6,$C$5,$C$7,H$1,H$2,A91)</f>
        <v>-12.663516385749636</v>
      </c>
      <c r="J91" s="33">
        <f t="shared" ca="1" si="24"/>
        <v>-8.7214963728467172</v>
      </c>
      <c r="K91" s="33">
        <f t="shared" ca="1" si="25"/>
        <v>1.6761709335067394</v>
      </c>
    </row>
    <row r="92" spans="1:11" ht="15.75" hidden="1" customHeight="1">
      <c r="A92" s="1" t="s">
        <v>193</v>
      </c>
      <c r="C92" s="104"/>
      <c r="E92" s="9" t="str">
        <f ca="1">_xll.DBRW(Server&amp;"}ElementAttributes_Indicator",A92,"code_English")</f>
        <v>PL1155_ET_16 - Reinvoicing - Bio fuel</v>
      </c>
      <c r="F92" s="33">
        <f ca="1">_xll.DBRW($C$1,$C$2,$C$3,$C$4,$C$6,$C$5,$C$7,F$1,F$2,A92)</f>
        <v>0</v>
      </c>
      <c r="G92" s="33">
        <f ca="1">_xll.DBRW($C$1,$C$2,$C$3,$C$4,$C$6,$C$5,$C$7,G$1,G$2,A92)</f>
        <v>0</v>
      </c>
      <c r="H92" s="33">
        <f ca="1">_xll.DBRW($C$1,$C$2,$C$3,$C$4,$C$6,$C$5,$C$7,H$1,H$2,A92)</f>
        <v>0</v>
      </c>
      <c r="J92" s="33">
        <f t="shared" ca="1" si="24"/>
        <v>0</v>
      </c>
      <c r="K92" s="33">
        <f t="shared" ca="1" si="25"/>
        <v>0</v>
      </c>
    </row>
    <row r="93" spans="1:11" ht="15.5">
      <c r="A93" s="1" t="s">
        <v>192</v>
      </c>
      <c r="C93" s="104"/>
      <c r="E93" s="84" t="s">
        <v>33</v>
      </c>
      <c r="F93" s="34">
        <f t="shared" ref="F93:H93" ca="1" si="27">SUM(F91:F92)</f>
        <v>-10.987345452242897</v>
      </c>
      <c r="G93" s="34">
        <f t="shared" ca="1" si="27"/>
        <v>-2.2658490793961796</v>
      </c>
      <c r="H93" s="34">
        <f t="shared" ca="1" si="27"/>
        <v>-12.663516385749636</v>
      </c>
      <c r="J93" s="33">
        <f t="shared" ca="1" si="24"/>
        <v>-8.7214963728467172</v>
      </c>
      <c r="K93" s="33">
        <f t="shared" ca="1" si="25"/>
        <v>1.6761709335067394</v>
      </c>
    </row>
    <row r="94" spans="1:11" ht="15.75" hidden="1" customHeight="1">
      <c r="A94" s="1" t="s">
        <v>194</v>
      </c>
      <c r="C94" s="104"/>
      <c r="E94" s="9" t="str">
        <f ca="1">_xll.DBRW(Server&amp;"}ElementAttributes_Indicator",A94,"code_English")</f>
        <v>PL1115_ET_82 - Gas</v>
      </c>
      <c r="F94" s="33">
        <f ca="1">_xll.DBRW($C$1,$C$2,$C$3,$C$4,$C$6,$C$5,$C$7,F$1,F$2,A94)</f>
        <v>-12.263439577152225</v>
      </c>
      <c r="G94" s="33">
        <f ca="1">_xll.DBRW($C$1,$C$2,$C$3,$C$4,$C$6,$C$5,$C$7,G$1,G$2,A94)</f>
        <v>-9.7314761263493708</v>
      </c>
      <c r="H94" s="33">
        <f ca="1">_xll.DBRW($C$1,$C$2,$C$3,$C$4,$C$6,$C$5,$C$7,H$1,H$2,A94)</f>
        <v>-15.993387954329167</v>
      </c>
      <c r="J94" s="33">
        <f t="shared" ca="1" si="24"/>
        <v>-2.5319634508028539</v>
      </c>
      <c r="K94" s="33">
        <f t="shared" ca="1" si="25"/>
        <v>3.7299483771769424</v>
      </c>
    </row>
    <row r="95" spans="1:11" ht="15.75" hidden="1" customHeight="1">
      <c r="A95" s="1" t="s">
        <v>195</v>
      </c>
      <c r="C95" s="104"/>
      <c r="E95" s="9" t="str">
        <f ca="1">_xll.DBRW(Server&amp;"}ElementAttributes_Indicator",A95,"code_English")</f>
        <v>PL1155_ET_17 - Reinvoicing - Gas</v>
      </c>
      <c r="F95" s="33">
        <f ca="1">_xll.DBRW($C$1,$C$2,$C$3,$C$4,$C$6,$C$5,$C$7,F$1,F$2,A95)</f>
        <v>2.2622879999999998E-2</v>
      </c>
      <c r="G95" s="33">
        <f ca="1">_xll.DBRW($C$1,$C$2,$C$3,$C$4,$C$6,$C$5,$C$7,G$1,G$2,A95)</f>
        <v>0.14672476999999998</v>
      </c>
      <c r="H95" s="33">
        <f ca="1">_xll.DBRW($C$1,$C$2,$C$3,$C$4,$C$6,$C$5,$C$7,H$1,H$2,A95)</f>
        <v>0</v>
      </c>
      <c r="J95" s="33">
        <f t="shared" ca="1" si="24"/>
        <v>-0.12410188999999998</v>
      </c>
      <c r="K95" s="33">
        <f t="shared" ca="1" si="25"/>
        <v>2.2622879999999998E-2</v>
      </c>
    </row>
    <row r="96" spans="1:11" ht="15.5">
      <c r="A96" s="1" t="s">
        <v>142</v>
      </c>
      <c r="C96" s="104"/>
      <c r="E96" s="15" t="s">
        <v>34</v>
      </c>
      <c r="F96" s="34">
        <f t="shared" ref="F96:H96" ca="1" si="28">SUM(F94:F95)</f>
        <v>-12.240816697152225</v>
      </c>
      <c r="G96" s="34">
        <f t="shared" ca="1" si="28"/>
        <v>-9.5847513563493703</v>
      </c>
      <c r="H96" s="34">
        <f t="shared" ca="1" si="28"/>
        <v>-15.993387954329167</v>
      </c>
      <c r="J96" s="33">
        <f t="shared" ca="1" si="24"/>
        <v>-2.6560653408028543</v>
      </c>
      <c r="K96" s="33">
        <f t="shared" ca="1" si="25"/>
        <v>3.7525712571769425</v>
      </c>
    </row>
    <row r="97" spans="1:11" ht="15.75" hidden="1" customHeight="1">
      <c r="A97" s="1" t="s">
        <v>196</v>
      </c>
      <c r="C97" s="104"/>
      <c r="E97" s="9" t="str">
        <f ca="1">_xll.DBRW(Server&amp;"}ElementAttributes_Indicator",A97,"code_English")</f>
        <v>PL1115_ET_99 - Others (ET)</v>
      </c>
      <c r="F97" s="33">
        <f ca="1">_xll.DBRW($C$1,$C$2,$C$3,$C$4,$C$6,$C$5,$C$7,F$1,F$2,A97)</f>
        <v>-5.9286787537185219</v>
      </c>
      <c r="G97" s="33">
        <f ca="1">_xll.DBRW($C$1,$C$2,$C$3,$C$4,$C$6,$C$5,$C$7,G$1,G$2,A97)</f>
        <v>-3.2827749054425897</v>
      </c>
      <c r="H97" s="33">
        <f ca="1">_xll.DBRW($C$1,$C$2,$C$3,$C$4,$C$6,$C$5,$C$7,H$1,H$2,A97)</f>
        <v>-4.5251049188304702</v>
      </c>
      <c r="J97" s="33">
        <f t="shared" ca="1" si="24"/>
        <v>-2.6459038482759323</v>
      </c>
      <c r="K97" s="33">
        <f t="shared" ca="1" si="25"/>
        <v>-1.4035738348880518</v>
      </c>
    </row>
    <row r="98" spans="1:11" ht="15.75" hidden="1" customHeight="1">
      <c r="A98" s="1" t="s">
        <v>197</v>
      </c>
      <c r="C98" s="104"/>
      <c r="E98" s="9" t="str">
        <f ca="1">_xll.DBRW(Server&amp;"}ElementAttributes_Indicator",A98,"code_English")</f>
        <v>PL1155_ET_99 - Reinvoicing - Others (ET)</v>
      </c>
      <c r="F98" s="33">
        <f ca="1">_xll.DBRW($C$1,$C$2,$C$3,$C$4,$C$6,$C$5,$C$7,F$1,F$2,A98)</f>
        <v>4.8597099999999997E-3</v>
      </c>
      <c r="G98" s="33">
        <f ca="1">_xll.DBRW($C$1,$C$2,$C$3,$C$4,$C$6,$C$5,$C$7,G$1,G$2,A98)</f>
        <v>6.8538999999999996E-3</v>
      </c>
      <c r="H98" s="33">
        <f ca="1">_xll.DBRW($C$1,$C$2,$C$3,$C$4,$C$6,$C$5,$C$7,H$1,H$2,A98)</f>
        <v>0</v>
      </c>
      <c r="J98" s="33">
        <f t="shared" ca="1" si="24"/>
        <v>-1.9941899999999999E-3</v>
      </c>
      <c r="K98" s="33">
        <f t="shared" ca="1" si="25"/>
        <v>4.8597099999999997E-3</v>
      </c>
    </row>
    <row r="99" spans="1:11" ht="15.5">
      <c r="A99" s="1" t="s">
        <v>142</v>
      </c>
      <c r="C99" s="104"/>
      <c r="E99" s="14" t="s">
        <v>35</v>
      </c>
      <c r="F99" s="33">
        <f t="shared" ref="F99:H99" ca="1" si="29">SUM(F97:F98)</f>
        <v>-5.9238190437185221</v>
      </c>
      <c r="G99" s="33">
        <f t="shared" ca="1" si="29"/>
        <v>-3.2759210054425898</v>
      </c>
      <c r="H99" s="33">
        <f t="shared" ca="1" si="29"/>
        <v>-4.5251049188304702</v>
      </c>
      <c r="J99" s="33">
        <f t="shared" ca="1" si="24"/>
        <v>-2.6478980382759323</v>
      </c>
      <c r="K99" s="33">
        <f t="shared" ca="1" si="25"/>
        <v>-1.3987141248880519</v>
      </c>
    </row>
    <row r="100" spans="1:11" ht="15.5" collapsed="1">
      <c r="A100" s="1" t="s">
        <v>142</v>
      </c>
      <c r="C100" s="104"/>
      <c r="E100" s="11" t="s">
        <v>36</v>
      </c>
      <c r="F100" s="35">
        <f t="shared" ref="F100:H100" ca="1" si="30">F85+F90+F93+F96+F99</f>
        <v>-122.6470793118383</v>
      </c>
      <c r="G100" s="35">
        <f t="shared" ca="1" si="30"/>
        <v>-104.06524447149839</v>
      </c>
      <c r="H100" s="35">
        <f t="shared" ca="1" si="30"/>
        <v>-137.07338620617142</v>
      </c>
      <c r="J100" s="31">
        <f ca="1">F100-G100</f>
        <v>-18.581834840339909</v>
      </c>
      <c r="K100" s="31">
        <f ca="1">F100-H100</f>
        <v>14.426306894333123</v>
      </c>
    </row>
    <row r="101" spans="1:11" ht="15.75" hidden="1" customHeight="1">
      <c r="A101" s="1" t="s">
        <v>198</v>
      </c>
      <c r="C101" s="104"/>
      <c r="E101" s="9" t="str">
        <f ca="1">_xll.DBRW(Server&amp;"}ElementAttributes_Indicator",A101,"code_English")</f>
        <v>PL1115_FL_55 - Operating lease (FL)</v>
      </c>
      <c r="F101" s="32">
        <f ca="1">_xll.DBRW($C$1,$C$2,$C$3,$C$4,$C$6,$C$5,$C$7,F$1,F$2,A101)</f>
        <v>0.3270355949056179</v>
      </c>
      <c r="G101" s="32">
        <f ca="1">_xll.DBRW($C$1,$C$2,$C$3,$C$4,$C$6,$C$5,$C$7,G$1,G$2,A101)</f>
        <v>1.1084650997351357</v>
      </c>
      <c r="H101" s="32">
        <f ca="1">_xll.DBRW($C$1,$C$2,$C$3,$C$4,$C$6,$C$5,$C$7,H$1,H$2,A101)</f>
        <v>-9.2665263157894723E-2</v>
      </c>
    </row>
    <row r="102" spans="1:11" ht="15.75" hidden="1" customHeight="1">
      <c r="A102" s="1" t="s">
        <v>199</v>
      </c>
      <c r="C102" s="104"/>
      <c r="E102" s="9" t="str">
        <f ca="1">_xll.DBRW(Server&amp;"}ElementAttributes_Indicator",A102,"code_English")</f>
        <v>PL1115_FL_56 - Financial lease (FL)</v>
      </c>
      <c r="F102" s="32">
        <f ca="1">_xll.DBRW($C$1,$C$2,$C$3,$C$4,$C$6,$C$5,$C$7,F$1,F$2,A102)</f>
        <v>0</v>
      </c>
      <c r="G102" s="32">
        <f ca="1">_xll.DBRW($C$1,$C$2,$C$3,$C$4,$C$6,$C$5,$C$7,G$1,G$2,A102)</f>
        <v>0</v>
      </c>
      <c r="H102" s="32">
        <f ca="1">_xll.DBRW($C$1,$C$2,$C$3,$C$4,$C$6,$C$5,$C$7,H$1,H$2,A102)</f>
        <v>0</v>
      </c>
    </row>
    <row r="103" spans="1:11" ht="15.75" hidden="1" customHeight="1">
      <c r="A103" s="1" t="s">
        <v>200</v>
      </c>
      <c r="C103" s="104"/>
      <c r="E103" s="9" t="str">
        <f ca="1">_xll.DBRW(Server&amp;"}ElementAttributes_Indicator",A103,"code_English")</f>
        <v>PL1116_FL - COS - Lease expenses (FL)</v>
      </c>
      <c r="F103" s="32">
        <f ca="1">_xll.DBRW($C$1,$C$2,$C$3,$C$4,$C$6,$C$5,$C$7,F$1,F$2,A103)</f>
        <v>-5.1566261677935383</v>
      </c>
      <c r="G103" s="32">
        <f ca="1">_xll.DBRW($C$1,$C$2,$C$3,$C$4,$C$6,$C$5,$C$7,G$1,G$2,A103)</f>
        <v>-4.2337704944604893</v>
      </c>
      <c r="H103" s="32">
        <f ca="1">_xll.DBRW($C$1,$C$2,$C$3,$C$4,$C$6,$C$5,$C$7,H$1,H$2,A103)</f>
        <v>-2.5925290829421428</v>
      </c>
    </row>
    <row r="104" spans="1:11" ht="15.75" hidden="1" customHeight="1">
      <c r="A104" s="1" t="s">
        <v>201</v>
      </c>
      <c r="C104" s="104"/>
      <c r="E104" s="9" t="str">
        <f ca="1">_xll.DBRW(Server&amp;"}ElementAttributes_Indicator",A104,"code_English")</f>
        <v>PL1117_FL - COS - Lease expenses (IFRIC12) (FL)</v>
      </c>
      <c r="F104" s="32">
        <f ca="1">_xll.DBRW($C$1,$C$2,$C$3,$C$4,$C$6,$C$5,$C$7,F$1,F$2,A104)</f>
        <v>-14.073559219999998</v>
      </c>
      <c r="G104" s="32">
        <f ca="1">_xll.DBRW($C$1,$C$2,$C$3,$C$4,$C$6,$C$5,$C$7,G$1,G$2,A104)</f>
        <v>-10.50045358</v>
      </c>
      <c r="H104" s="32">
        <f ca="1">_xll.DBRW($C$1,$C$2,$C$3,$C$4,$C$6,$C$5,$C$7,H$1,H$2,A104)</f>
        <v>-13.135666779999998</v>
      </c>
    </row>
    <row r="105" spans="1:11" ht="15.75" hidden="1" customHeight="1">
      <c r="A105" s="1" t="s">
        <v>202</v>
      </c>
      <c r="C105" s="104"/>
      <c r="E105" s="9" t="str">
        <f ca="1">_xll.DBRW(Server&amp;"}ElementAttributes_Indicator",A105,"code_English")</f>
        <v>PL1118_FL - IFRS16 adjustment through P&amp;L (FL)</v>
      </c>
      <c r="F105" s="32">
        <f ca="1">_xll.DBRW($C$1,$C$2,$C$3,$C$4,$C$6,$C$5,$C$7,F$1,F$2,A105)</f>
        <v>0</v>
      </c>
      <c r="G105" s="32">
        <f ca="1">_xll.DBRW($C$1,$C$2,$C$3,$C$4,$C$6,$C$5,$C$7,G$1,G$2,A105)</f>
        <v>0</v>
      </c>
      <c r="H105" s="32">
        <f ca="1">_xll.DBRW($C$1,$C$2,$C$3,$C$4,$C$6,$C$5,$C$7,H$1,H$2,A105)</f>
        <v>0</v>
      </c>
    </row>
    <row r="106" spans="1:11" ht="15.75" hidden="1" customHeight="1">
      <c r="A106" s="1" t="s">
        <v>203</v>
      </c>
      <c r="C106" s="104"/>
      <c r="E106" s="9" t="str">
        <f ca="1">_xll.DBRW(Server&amp;"}ElementAttributes_Indicator",A106,"code_English")</f>
        <v>PL1140_FL_05 - Amortization (FL)</v>
      </c>
      <c r="F106" s="32">
        <f ca="1">_xll.DBRW($C$1,$C$2,$C$3,$C$4,$C$6,$C$5,$C$7,F$1,F$2,$A106)</f>
        <v>-52.374494348405939</v>
      </c>
      <c r="G106" s="32">
        <f ca="1">_xll.DBRW($C$1,$C$2,$C$3,$C$4,$C$6,$C$5,$C$7,G$1,G$2,$A106)</f>
        <v>-54.590151837218329</v>
      </c>
      <c r="H106" s="32">
        <f ca="1">_xll.DBRW($C$1,$C$2,$C$3,$C$4,$C$6,$C$5,$C$7,H$1,H$2,$A106)</f>
        <v>-44.227847225614596</v>
      </c>
    </row>
    <row r="107" spans="1:11" ht="15.75" hidden="1" customHeight="1">
      <c r="A107" s="1" t="s">
        <v>204</v>
      </c>
      <c r="C107" s="104"/>
      <c r="E107" s="9" t="str">
        <f ca="1">_xll.DBRW(Server&amp;"}ElementAttributes_Indicator",A107,"code_English")</f>
        <v>PL1150_FL_10 - Impairment (other than working capital) and provisions - others (FL)</v>
      </c>
      <c r="F107" s="32">
        <f ca="1">_xll.DBRW($C$1,$C$2,$C$3,$C$4,$C$6,$C$5,$C$7,F$1,F$2,$A107)</f>
        <v>-3.2168949999998864E-3</v>
      </c>
      <c r="G107" s="32">
        <f ca="1">_xll.DBRW($C$1,$C$2,$C$3,$C$4,$C$6,$C$5,$C$7,G$1,G$2,$A107)</f>
        <v>-3.1662500000000648E-3</v>
      </c>
      <c r="H107" s="32">
        <f ca="1">_xll.DBRW($C$1,$C$2,$C$3,$C$4,$C$6,$C$5,$C$7,H$1,H$2,$A107)</f>
        <v>3.585588499999709E-2</v>
      </c>
    </row>
    <row r="108" spans="1:11" ht="15.75" hidden="1" customHeight="1">
      <c r="A108" s="1" t="s">
        <v>205</v>
      </c>
      <c r="C108" s="104"/>
      <c r="E108" s="9" t="str">
        <f ca="1">_xll.DBRW(Server&amp;"}ElementAttributes_Indicator",A108,"code_English")</f>
        <v>PL1151_FL_10 - Impact of change in revaluation rate on provisions for losses on LT contracts - others (FL)</v>
      </c>
      <c r="F108" s="32">
        <f ca="1">_xll.DBRW($C$1,$C$2,$C$3,$C$4,$C$6,$C$5,$C$7,F$1,F$2,$A108)</f>
        <v>0</v>
      </c>
      <c r="G108" s="32">
        <f ca="1">_xll.DBRW($C$1,$C$2,$C$3,$C$4,$C$6,$C$5,$C$7,G$1,G$2,$A108)</f>
        <v>0</v>
      </c>
      <c r="H108" s="32">
        <f ca="1">_xll.DBRW($C$1,$C$2,$C$3,$C$4,$C$6,$C$5,$C$7,H$1,H$2,$A108)</f>
        <v>0</v>
      </c>
    </row>
    <row r="109" spans="1:11" ht="15.75" hidden="1" customHeight="1">
      <c r="A109" s="1" t="s">
        <v>206</v>
      </c>
      <c r="C109" s="104"/>
      <c r="E109" s="9" t="str">
        <f ca="1">_xll.DBRW(Server&amp;"}ElementAttributes_Indicator",A109,"code_English")</f>
        <v>PL1160_FL_10 - Gains/losses on disposal of tangible &amp; intangible fixed assets (FL)</v>
      </c>
      <c r="F109" s="32">
        <f ca="1">_xll.DBRW($C$1,$C$2,$C$3,$C$4,$C$6,$C$5,$C$7,F$1,F$2,$A109)</f>
        <v>0.47603911636488683</v>
      </c>
      <c r="G109" s="32">
        <f ca="1">_xll.DBRW($C$1,$C$2,$C$3,$C$4,$C$6,$C$5,$C$7,G$1,G$2,$A109)</f>
        <v>0.40968023424951505</v>
      </c>
      <c r="H109" s="32">
        <f ca="1">_xll.DBRW($C$1,$C$2,$C$3,$C$4,$C$6,$C$5,$C$7,H$1,H$2,$A109)</f>
        <v>-5.4848276349999994</v>
      </c>
    </row>
    <row r="110" spans="1:11" ht="15.75" hidden="1" customHeight="1">
      <c r="A110" s="1" t="s">
        <v>207</v>
      </c>
      <c r="C110" s="104"/>
      <c r="E110" s="9" t="str">
        <f ca="1">_xll.DBRW(Server&amp;"}ElementAttributes_Indicator",A110,"code_English")</f>
        <v>PL1162_FL - COS - Gains/losses on disposal of right-of-use (FL)</v>
      </c>
      <c r="F110" s="32">
        <f ca="1">_xll.DBRW($C$1,$C$2,$C$3,$C$4,$C$6,$C$5,$C$7,F$1,F$2,$A110)</f>
        <v>6.4589999999999995E-3</v>
      </c>
      <c r="G110" s="32">
        <f ca="1">_xll.DBRW($C$1,$C$2,$C$3,$C$4,$C$6,$C$5,$C$7,G$1,G$2,$A110)</f>
        <v>0</v>
      </c>
      <c r="H110" s="32">
        <f ca="1">_xll.DBRW($C$1,$C$2,$C$3,$C$4,$C$6,$C$5,$C$7,H$1,H$2,$A110)</f>
        <v>0</v>
      </c>
    </row>
    <row r="111" spans="1:11" ht="15.5" collapsed="1">
      <c r="A111" s="1" t="s">
        <v>142</v>
      </c>
      <c r="C111" s="104"/>
      <c r="E111" s="14" t="s">
        <v>37</v>
      </c>
      <c r="F111" s="33">
        <f t="shared" ref="F111:H111" ca="1" si="31">SUM(F101:F110)</f>
        <v>-70.798362919928962</v>
      </c>
      <c r="G111" s="33">
        <f t="shared" ca="1" si="31"/>
        <v>-67.809396827694172</v>
      </c>
      <c r="H111" s="33">
        <f t="shared" ca="1" si="31"/>
        <v>-65.497680101714636</v>
      </c>
      <c r="J111" s="33">
        <f t="shared" ref="J111" ca="1" si="32">F111-G111</f>
        <v>-2.98896609223479</v>
      </c>
      <c r="K111" s="33">
        <f t="shared" ref="K111" ca="1" si="33">F111-H111</f>
        <v>-5.3006828182143266</v>
      </c>
    </row>
    <row r="112" spans="1:11" ht="15.75" hidden="1" customHeight="1">
      <c r="A112" s="1" t="s">
        <v>208</v>
      </c>
      <c r="C112" s="104"/>
      <c r="E112" s="9" t="str">
        <f ca="1">_xll.DBRW(Server&amp;"}ElementAttributes_Indicator",A112,"code_English")</f>
        <v>PL1115_FL_65 - Fleet vehicle taxes (FL)</v>
      </c>
      <c r="F112" s="33">
        <f ca="1">_xll.DBRW($C$1,$C$2,$C$3,$C$4,$C$6,$C$5,$C$7,F$1,F$2,$A112)</f>
        <v>-2.0168419401435522</v>
      </c>
      <c r="G112" s="33">
        <f ca="1">_xll.DBRW($C$1,$C$2,$C$3,$C$4,$C$6,$C$5,$C$7,G$1,G$2,$A112)</f>
        <v>-1.4700959923863901</v>
      </c>
      <c r="H112" s="33">
        <f ca="1">_xll.DBRW($C$1,$C$2,$C$3,$C$4,$C$6,$C$5,$C$7,H$1,H$2,$A112)</f>
        <v>-2.3674133793461767</v>
      </c>
    </row>
    <row r="113" spans="1:11" ht="15.75" hidden="1" customHeight="1">
      <c r="A113" s="1" t="s">
        <v>209</v>
      </c>
      <c r="C113" s="104"/>
      <c r="E113" s="9" t="str">
        <f ca="1">_xll.DBRW(Server&amp;"}ElementAttributes_Indicator",A113,"code_English")</f>
        <v>PL1115_FL_70 - Others (FL)</v>
      </c>
      <c r="F113" s="33">
        <f ca="1">_xll.DBRW($C$1,$C$2,$C$3,$C$4,$C$6,$C$5,$C$7,F$1,F$2,$A113)</f>
        <v>-0.5754465626228713</v>
      </c>
      <c r="G113" s="33">
        <f ca="1">_xll.DBRW($C$1,$C$2,$C$3,$C$4,$C$6,$C$5,$C$7,G$1,G$2,$A113)</f>
        <v>-0.9545227186307883</v>
      </c>
      <c r="H113" s="33">
        <f ca="1">_xll.DBRW($C$1,$C$2,$C$3,$C$4,$C$6,$C$5,$C$7,H$1,H$2,$A113)</f>
        <v>-1.5782454880051904</v>
      </c>
    </row>
    <row r="114" spans="1:11" ht="15.75" hidden="1" customHeight="1">
      <c r="A114" s="1" t="s">
        <v>210</v>
      </c>
      <c r="C114" s="104"/>
      <c r="E114" s="9" t="str">
        <f ca="1">_xll.DBRW(Server&amp;"}ElementAttributes_Indicator",A114,"code_English")</f>
        <v>PL1155_FL_99 - Reinvoicing - Others (FL)</v>
      </c>
      <c r="F114" s="33">
        <f ca="1">_xll.DBRW($C$1,$C$2,$C$3,$C$4,$C$6,$C$5,$C$7,F$1,F$2,$A114)</f>
        <v>0.25844121000000003</v>
      </c>
      <c r="G114" s="33">
        <f ca="1">_xll.DBRW($C$1,$C$2,$C$3,$C$4,$C$6,$C$5,$C$7,G$1,G$2,$A114)</f>
        <v>9.9145499999999092E-3</v>
      </c>
      <c r="H114" s="33">
        <f ca="1">_xll.DBRW($C$1,$C$2,$C$3,$C$4,$C$6,$C$5,$C$7,H$1,H$2,$A114)</f>
        <v>0</v>
      </c>
    </row>
    <row r="115" spans="1:11" ht="15.5">
      <c r="A115" s="1" t="s">
        <v>142</v>
      </c>
      <c r="C115" s="104"/>
      <c r="E115" s="15" t="s">
        <v>35</v>
      </c>
      <c r="F115" s="34">
        <f t="shared" ref="F115:H115" ca="1" si="34">SUM(F112:F114)</f>
        <v>-2.3338472927664236</v>
      </c>
      <c r="G115" s="34">
        <f t="shared" ca="1" si="34"/>
        <v>-2.4147041610171782</v>
      </c>
      <c r="H115" s="34">
        <f t="shared" ca="1" si="34"/>
        <v>-3.9456588673513671</v>
      </c>
      <c r="J115" s="33">
        <f t="shared" ref="J115" ca="1" si="35">F115-G115</f>
        <v>8.0856868250754665E-2</v>
      </c>
      <c r="K115" s="33">
        <f t="shared" ref="K115" ca="1" si="36">F115-H115</f>
        <v>1.6118115745849435</v>
      </c>
    </row>
    <row r="116" spans="1:11" ht="15.5" collapsed="1">
      <c r="A116" s="1" t="s">
        <v>142</v>
      </c>
      <c r="C116" s="104"/>
      <c r="E116" s="11" t="s">
        <v>38</v>
      </c>
      <c r="F116" s="35">
        <f t="shared" ref="F116:H116" ca="1" si="37">F115+F111</f>
        <v>-73.132210212695384</v>
      </c>
      <c r="G116" s="35">
        <f t="shared" ca="1" si="37"/>
        <v>-70.224100988711356</v>
      </c>
      <c r="H116" s="35">
        <f t="shared" ca="1" si="37"/>
        <v>-69.443338969066005</v>
      </c>
      <c r="J116" s="31">
        <f ca="1">F116-G116</f>
        <v>-2.9081092239840274</v>
      </c>
      <c r="K116" s="31">
        <f ca="1">F116-H116</f>
        <v>-3.6888712436293787</v>
      </c>
    </row>
    <row r="117" spans="1:11" ht="15.75" hidden="1" customHeight="1">
      <c r="A117" s="1" t="s">
        <v>211</v>
      </c>
      <c r="C117" s="104"/>
      <c r="E117" s="9" t="str">
        <f ca="1">_xll.DBRW(Server&amp;"}ElementAttributes_Indicator",A117,"code_English")</f>
        <v>PL1110_CD_10 - Staff Costs (CD)</v>
      </c>
      <c r="F117" s="32">
        <f ca="1">_xll.DBRW($C$1,$C$2,$C$3,$C$4,$C$6,$C$5,$C$7,F$1,F$2,$A117)</f>
        <v>-0.33376955783094642</v>
      </c>
      <c r="G117" s="32">
        <f ca="1">_xll.DBRW($C$1,$C$2,$C$3,$C$4,$C$6,$C$5,$C$7,G$1,G$2,$A117)</f>
        <v>-1.3965328282537593E-2</v>
      </c>
      <c r="H117" s="32">
        <f ca="1">_xll.DBRW($C$1,$C$2,$C$3,$C$4,$C$6,$C$5,$C$7,H$1,H$2,$A117)</f>
        <v>-1.5279999999999998E-3</v>
      </c>
    </row>
    <row r="118" spans="1:11" ht="15.75" hidden="1" customHeight="1">
      <c r="A118" s="1" t="s">
        <v>212</v>
      </c>
      <c r="C118" s="104"/>
      <c r="E118" s="9" t="str">
        <f ca="1">_xll.DBRW(Server&amp;"}ElementAttributes_Indicator",A118,"code_English")</f>
        <v>PL1110_CD_20 - Worker compensations</v>
      </c>
      <c r="F118" s="32">
        <f ca="1">_xll.DBRW($C$1,$C$2,$C$3,$C$4,$C$6,$C$5,$C$7,F$1,F$2,$A118)</f>
        <v>-3.9984121204530831</v>
      </c>
      <c r="G118" s="32">
        <f ca="1">_xll.DBRW($C$1,$C$2,$C$3,$C$4,$C$6,$C$5,$C$7,G$1,G$2,$A118)</f>
        <v>-2.8938796086604848</v>
      </c>
      <c r="H118" s="32">
        <f ca="1">_xll.DBRW($C$1,$C$2,$C$3,$C$4,$C$6,$C$5,$C$7,H$1,H$2,$A118)</f>
        <v>-5.5598687455607649</v>
      </c>
    </row>
    <row r="119" spans="1:11" ht="15.75" hidden="1" customHeight="1">
      <c r="A119" s="1" t="s">
        <v>213</v>
      </c>
      <c r="C119" s="104"/>
      <c r="E119" s="9" t="str">
        <f ca="1">_xll.DBRW(Server&amp;"}ElementAttributes_Indicator",A119,"code_English")</f>
        <v>PL1110_CD_30 - Worker compensations - fixed insurance</v>
      </c>
      <c r="F119" s="32">
        <f ca="1">_xll.DBRW($C$1,$C$2,$C$3,$C$4,$C$6,$C$5,$C$7,F$1,F$2,$A119)</f>
        <v>-0.5551575723441986</v>
      </c>
      <c r="G119" s="32">
        <f ca="1">_xll.DBRW($C$1,$C$2,$C$3,$C$4,$C$6,$C$5,$C$7,G$1,G$2,$A119)</f>
        <v>-0.48639172931812447</v>
      </c>
      <c r="H119" s="32">
        <f ca="1">_xll.DBRW($C$1,$C$2,$C$3,$C$4,$C$6,$C$5,$C$7,H$1,H$2,$A119)</f>
        <v>-0.65615895000000002</v>
      </c>
    </row>
    <row r="120" spans="1:11" ht="15.75" hidden="1" customHeight="1">
      <c r="A120" s="1" t="s">
        <v>214</v>
      </c>
      <c r="C120" s="104"/>
      <c r="E120" s="9" t="str">
        <f ca="1">_xll.DBRW(Server&amp;"}ElementAttributes_Indicator",A120,"code_English")</f>
        <v>PL1115_CD_20 - Interim staff (CD)</v>
      </c>
      <c r="F120" s="32">
        <f ca="1">_xll.DBRW($C$1,$C$2,$C$3,$C$4,$C$6,$C$5,$C$7,F$1,F$2,$A120)</f>
        <v>0</v>
      </c>
      <c r="G120" s="32">
        <f ca="1">_xll.DBRW($C$1,$C$2,$C$3,$C$4,$C$6,$C$5,$C$7,G$1,G$2,$A120)</f>
        <v>0</v>
      </c>
      <c r="H120" s="32">
        <f ca="1">_xll.DBRW($C$1,$C$2,$C$3,$C$4,$C$6,$C$5,$C$7,H$1,H$2,$A120)</f>
        <v>0</v>
      </c>
    </row>
    <row r="121" spans="1:11" ht="15.75" hidden="1" customHeight="1">
      <c r="A121" s="1" t="s">
        <v>215</v>
      </c>
      <c r="C121" s="104"/>
      <c r="E121" s="9" t="str">
        <f ca="1">_xll.DBRW(Server&amp;"}ElementAttributes_Indicator",A121,"code_English")</f>
        <v>PL1115_CD_40 - Repairs</v>
      </c>
      <c r="F121" s="32">
        <f ca="1">_xll.DBRW($C$1,$C$2,$C$3,$C$4,$C$6,$C$5,$C$7,F$1,F$2,$A121)</f>
        <v>-5.0114442683382077</v>
      </c>
      <c r="G121" s="32">
        <f ca="1">_xll.DBRW($C$1,$C$2,$C$3,$C$4,$C$6,$C$5,$C$7,G$1,G$2,$A121)</f>
        <v>-3.3723465952566638</v>
      </c>
      <c r="H121" s="32">
        <f ca="1">_xll.DBRW($C$1,$C$2,$C$3,$C$4,$C$6,$C$5,$C$7,H$1,H$2,$A121)</f>
        <v>-3.3094674662865335</v>
      </c>
    </row>
    <row r="122" spans="1:11" ht="15.75" hidden="1" customHeight="1">
      <c r="A122" s="1" t="s">
        <v>216</v>
      </c>
      <c r="C122" s="104"/>
      <c r="E122" s="9" t="str">
        <f ca="1">_xll.DBRW(Server&amp;"}ElementAttributes_Indicator",A122,"code_English")</f>
        <v>PL1115_CD_45 - Autoliability</v>
      </c>
      <c r="F122" s="32">
        <f ca="1">_xll.DBRW($C$1,$C$2,$C$3,$C$4,$C$6,$C$5,$C$7,F$1,F$2,$A122)</f>
        <v>-11.207915870253723</v>
      </c>
      <c r="G122" s="32">
        <f ca="1">_xll.DBRW($C$1,$C$2,$C$3,$C$4,$C$6,$C$5,$C$7,G$1,G$2,$A122)</f>
        <v>-4.6509993747912199</v>
      </c>
      <c r="H122" s="32">
        <f ca="1">_xll.DBRW($C$1,$C$2,$C$3,$C$4,$C$6,$C$5,$C$7,H$1,H$2,$A122)</f>
        <v>-10.168118053577283</v>
      </c>
    </row>
    <row r="123" spans="1:11" ht="15.75" hidden="1" customHeight="1">
      <c r="A123" s="1" t="s">
        <v>217</v>
      </c>
      <c r="C123" s="104"/>
      <c r="E123" s="9" t="str">
        <f ca="1">_xll.DBRW(Server&amp;"}ElementAttributes_Indicator",A123,"code_English")</f>
        <v>PL1115_CD_50 - Insurance premiums paid</v>
      </c>
      <c r="F123" s="32">
        <f ca="1">_xll.DBRW($C$1,$C$2,$C$3,$C$4,$C$6,$C$5,$C$7,F$1,F$2,$A123)</f>
        <v>-7.2916215918865657</v>
      </c>
      <c r="G123" s="32">
        <f ca="1">_xll.DBRW($C$1,$C$2,$C$3,$C$4,$C$6,$C$5,$C$7,G$1,G$2,$A123)</f>
        <v>-5.6463101018995099</v>
      </c>
      <c r="H123" s="32">
        <f ca="1">_xll.DBRW($C$1,$C$2,$C$3,$C$4,$C$6,$C$5,$C$7,H$1,H$2,$A123)</f>
        <v>-7.179404571941399</v>
      </c>
    </row>
    <row r="124" spans="1:11" ht="15.75" hidden="1" customHeight="1">
      <c r="A124" s="1" t="s">
        <v>218</v>
      </c>
      <c r="C124" s="104"/>
      <c r="E124" s="9" t="str">
        <f ca="1">_xll.DBRW(Server&amp;"}ElementAttributes_Indicator",A124,"code_English")</f>
        <v>PL1115_CD_51 - Insurance compensation received</v>
      </c>
      <c r="F124" s="32">
        <f ca="1">_xll.DBRW($C$1,$C$2,$C$3,$C$4,$C$6,$C$5,$C$7,F$1,F$2,$A124)</f>
        <v>2.9216468833986582</v>
      </c>
      <c r="G124" s="32">
        <f ca="1">_xll.DBRW($C$1,$C$2,$C$3,$C$4,$C$6,$C$5,$C$7,G$1,G$2,$A124)</f>
        <v>2.0266214123668522</v>
      </c>
      <c r="H124" s="32">
        <f ca="1">_xll.DBRW($C$1,$C$2,$C$3,$C$4,$C$6,$C$5,$C$7,H$1,H$2,$A124)</f>
        <v>0.94517857136744543</v>
      </c>
    </row>
    <row r="125" spans="1:11" ht="15.75" hidden="1" customHeight="1">
      <c r="A125" s="1" t="s">
        <v>219</v>
      </c>
      <c r="C125" s="104"/>
      <c r="E125" s="9" t="str">
        <f ca="1">_xll.DBRW(Server&amp;"}ElementAttributes_Indicator",A125,"code_English")</f>
        <v>PL1115_CD_99 - Others (CD)</v>
      </c>
      <c r="F125" s="32">
        <f ca="1">_xll.DBRW($C$1,$C$2,$C$3,$C$4,$C$6,$C$5,$C$7,F$1,F$2,$A125)</f>
        <v>-0.35021935240368246</v>
      </c>
      <c r="G125" s="32">
        <f ca="1">_xll.DBRW($C$1,$C$2,$C$3,$C$4,$C$6,$C$5,$C$7,G$1,G$2,$A125)</f>
        <v>-0.53841436438167167</v>
      </c>
      <c r="H125" s="32">
        <f ca="1">_xll.DBRW($C$1,$C$2,$C$3,$C$4,$C$6,$C$5,$C$7,H$1,H$2,$A125)</f>
        <v>-0.68912781243297294</v>
      </c>
    </row>
    <row r="126" spans="1:11" ht="15.75" hidden="1" customHeight="1">
      <c r="A126" s="1" t="s">
        <v>220</v>
      </c>
      <c r="C126" s="104"/>
      <c r="E126" s="9" t="str">
        <f ca="1">_xll.DBRW(Server&amp;"}ElementAttributes_Indicator",A126,"code_English")</f>
        <v>PL1140_CD_10 - Amortization (CD)</v>
      </c>
      <c r="F126" s="32">
        <f ca="1">_xll.DBRW($C$1,$C$2,$C$3,$C$4,$C$6,$C$5,$C$7,F$1,F$2,$A126)</f>
        <v>-1.573050200017121E-3</v>
      </c>
      <c r="G126" s="32">
        <f ca="1">_xll.DBRW($C$1,$C$2,$C$3,$C$4,$C$6,$C$5,$C$7,G$1,G$2,$A126)</f>
        <v>-1.6621134031110205E-3</v>
      </c>
      <c r="H126" s="32">
        <f ca="1">_xll.DBRW($C$1,$C$2,$C$3,$C$4,$C$6,$C$5,$C$7,H$1,H$2,$A126)</f>
        <v>0</v>
      </c>
    </row>
    <row r="127" spans="1:11" ht="15.75" hidden="1" customHeight="1">
      <c r="A127" s="1" t="s">
        <v>221</v>
      </c>
      <c r="C127" s="104"/>
      <c r="E127" s="9" t="str">
        <f ca="1">_xll.DBRW(Server&amp;"}ElementAttributes_Indicator",A127,"code_English")</f>
        <v>PL1150_CD_15 - Impairment (other than working capital) and provisions - related to worker compensations</v>
      </c>
      <c r="F127" s="32">
        <f ca="1">_xll.DBRW($C$1,$C$2,$C$3,$C$4,$C$6,$C$5,$C$7,F$1,F$2,$A127)</f>
        <v>-1.3044102802581843</v>
      </c>
      <c r="G127" s="32">
        <f ca="1">_xll.DBRW($C$1,$C$2,$C$3,$C$4,$C$6,$C$5,$C$7,G$1,G$2,$A127)</f>
        <v>-1.6501534446209813</v>
      </c>
      <c r="H127" s="32">
        <f ca="1">_xll.DBRW($C$1,$C$2,$C$3,$C$4,$C$6,$C$5,$C$7,H$1,H$2,$A127)</f>
        <v>-0.59487458578947372</v>
      </c>
    </row>
    <row r="128" spans="1:11" ht="15.75" hidden="1" customHeight="1">
      <c r="A128" s="1" t="s">
        <v>222</v>
      </c>
      <c r="C128" s="104"/>
      <c r="E128" s="9" t="str">
        <f ca="1">_xll.DBRW(Server&amp;"}ElementAttributes_Indicator",A128,"code_English")</f>
        <v>PL1150_CD_25 - Impairment (other than working capital) and provisions - related to autoliability</v>
      </c>
      <c r="F128" s="32">
        <f ca="1">_xll.DBRW($C$1,$C$2,$C$3,$C$4,$C$6,$C$5,$C$7,F$1,F$2,$A128)</f>
        <v>1.0669269432428865</v>
      </c>
      <c r="G128" s="32">
        <f ca="1">_xll.DBRW($C$1,$C$2,$C$3,$C$4,$C$6,$C$5,$C$7,G$1,G$2,$A128)</f>
        <v>0.32713082578566854</v>
      </c>
      <c r="H128" s="32">
        <f ca="1">_xll.DBRW($C$1,$C$2,$C$3,$C$4,$C$6,$C$5,$C$7,H$1,H$2,$A128)</f>
        <v>1.3746665499999999</v>
      </c>
    </row>
    <row r="129" spans="1:11" ht="15.75" hidden="1" customHeight="1">
      <c r="A129" s="1" t="s">
        <v>223</v>
      </c>
      <c r="C129" s="104"/>
      <c r="E129" s="9" t="str">
        <f ca="1">_xll.DBRW(Server&amp;"}ElementAttributes_Indicator",A129,"code_English")</f>
        <v>PL1150_CD_90 - Impairment (other than working capital) and provisions - others (CD)</v>
      </c>
      <c r="F129" s="32">
        <f ca="1">_xll.DBRW($C$1,$C$2,$C$3,$C$4,$C$6,$C$5,$C$7,F$1,F$2,$A129)</f>
        <v>0</v>
      </c>
      <c r="G129" s="32">
        <f ca="1">_xll.DBRW($C$1,$C$2,$C$3,$C$4,$C$6,$C$5,$C$7,G$1,G$2,$A129)</f>
        <v>0</v>
      </c>
      <c r="H129" s="32">
        <f ca="1">_xll.DBRW($C$1,$C$2,$C$3,$C$4,$C$6,$C$5,$C$7,H$1,H$2,$A129)</f>
        <v>0</v>
      </c>
    </row>
    <row r="130" spans="1:11" ht="15.5" collapsed="1">
      <c r="A130" s="1" t="s">
        <v>142</v>
      </c>
      <c r="C130" s="104"/>
      <c r="E130" s="14" t="s">
        <v>39</v>
      </c>
      <c r="F130" s="33">
        <f t="shared" ref="F130:H130" ca="1" si="38">SUM(F117:F129)</f>
        <v>-26.065949837327071</v>
      </c>
      <c r="G130" s="33">
        <f t="shared" ca="1" si="38"/>
        <v>-16.90037042246178</v>
      </c>
      <c r="H130" s="33">
        <f t="shared" ca="1" si="38"/>
        <v>-25.838703064220979</v>
      </c>
      <c r="J130" s="33">
        <f t="shared" ref="J130" ca="1" si="39">F130-G130</f>
        <v>-9.1655794148652916</v>
      </c>
      <c r="K130" s="33">
        <f t="shared" ref="K130" ca="1" si="40">F130-H130</f>
        <v>-0.22724677310609209</v>
      </c>
    </row>
    <row r="131" spans="1:11" ht="15.75" hidden="1" customHeight="1">
      <c r="A131" s="1" t="s">
        <v>224</v>
      </c>
      <c r="C131" s="104"/>
      <c r="E131" s="9" t="str">
        <f ca="1">_xll.DBRW(Server&amp;"}ElementAttributes_Indicator",A131,"code_English")</f>
        <v>PL1110_CS_10 - Staff costs (CS)</v>
      </c>
      <c r="F131" s="33">
        <f ca="1">_xll.DBRW($C$1,$C$2,$C$3,$C$4,$C$6,$C$5,$C$7,F$1,F$2,$A131)</f>
        <v>-16.638621216026365</v>
      </c>
      <c r="G131" s="33">
        <f ca="1">_xll.DBRW($C$1,$C$2,$C$3,$C$4,$C$6,$C$5,$C$7,G$1,G$2,$A131)</f>
        <v>-13.887078386851119</v>
      </c>
      <c r="H131" s="33">
        <f ca="1">_xll.DBRW($C$1,$C$2,$C$3,$C$4,$C$6,$C$5,$C$7,H$1,H$2,$A131)</f>
        <v>-15.053732487452812</v>
      </c>
      <c r="J131" s="33">
        <f t="shared" ref="J131:J194" ca="1" si="41">F131-G131</f>
        <v>-2.7515428291752464</v>
      </c>
      <c r="K131" s="33">
        <f t="shared" ref="K131:K194" ca="1" si="42">F131-H131</f>
        <v>-1.5848887285735529</v>
      </c>
    </row>
    <row r="132" spans="1:11" ht="15.75" hidden="1" customHeight="1">
      <c r="A132" s="1" t="s">
        <v>225</v>
      </c>
      <c r="C132" s="104"/>
      <c r="E132" s="9" t="str">
        <f ca="1">_xll.DBRW(Server&amp;"}ElementAttributes_Indicator",A132,"code_English")</f>
        <v>PL1155_CS_99 - Reinvoicing - Others (CS)</v>
      </c>
      <c r="F132" s="33">
        <f ca="1">_xll.DBRW($C$1,$C$2,$C$3,$C$4,$C$6,$C$5,$C$7,F$1,F$2,$A132)</f>
        <v>0.23394822000000015</v>
      </c>
      <c r="G132" s="33">
        <f ca="1">_xll.DBRW($C$1,$C$2,$C$3,$C$4,$C$6,$C$5,$C$7,G$1,G$2,$A132)</f>
        <v>8.3369180000000001E-2</v>
      </c>
      <c r="H132" s="33">
        <f ca="1">_xll.DBRW($C$1,$C$2,$C$3,$C$4,$C$6,$C$5,$C$7,H$1,H$2,$A132)</f>
        <v>0.39706217999999999</v>
      </c>
      <c r="J132" s="33">
        <f t="shared" ca="1" si="41"/>
        <v>0.15057904000000016</v>
      </c>
      <c r="K132" s="33">
        <f t="shared" ca="1" si="42"/>
        <v>-0.16311395999999984</v>
      </c>
    </row>
    <row r="133" spans="1:11" ht="15.75" hidden="1" customHeight="1">
      <c r="A133" s="1" t="s">
        <v>226</v>
      </c>
      <c r="C133" s="104"/>
      <c r="E133" s="9" t="str">
        <f ca="1">_xll.DBRW(Server&amp;"}ElementAttributes_Indicator",A133,"code_English")</f>
        <v>PL1115_CS_20 - Interim staff (CS)</v>
      </c>
      <c r="F133" s="33">
        <f ca="1">_xll.DBRW($C$1,$C$2,$C$3,$C$4,$C$6,$C$5,$C$7,F$1,F$2,$A133)</f>
        <v>-0.16796777318529063</v>
      </c>
      <c r="G133" s="33">
        <f ca="1">_xll.DBRW($C$1,$C$2,$C$3,$C$4,$C$6,$C$5,$C$7,G$1,G$2,$A133)</f>
        <v>0</v>
      </c>
      <c r="H133" s="33">
        <f ca="1">_xll.DBRW($C$1,$C$2,$C$3,$C$4,$C$6,$C$5,$C$7,H$1,H$2,$A133)</f>
        <v>0</v>
      </c>
      <c r="J133" s="33">
        <f t="shared" ca="1" si="41"/>
        <v>-0.16796777318529063</v>
      </c>
      <c r="K133" s="33">
        <f t="shared" ca="1" si="42"/>
        <v>-0.16796777318529063</v>
      </c>
    </row>
    <row r="134" spans="1:11" ht="15.75" hidden="1" customHeight="1">
      <c r="A134" s="1" t="s">
        <v>227</v>
      </c>
      <c r="C134" s="104"/>
      <c r="E134" s="9" t="str">
        <f ca="1">_xll.DBRW(Server&amp;"}ElementAttributes_Indicator",A134,"code_English")</f>
        <v>PL1115_CS_99 - Others (CS)</v>
      </c>
      <c r="F134" s="33">
        <f ca="1">_xll.DBRW($C$1,$C$2,$C$3,$C$4,$C$6,$C$5,$C$7,F$1,F$2,$A134)</f>
        <v>-9.140036895043254</v>
      </c>
      <c r="G134" s="33">
        <f ca="1">_xll.DBRW($C$1,$C$2,$C$3,$C$4,$C$6,$C$5,$C$7,G$1,G$2,$A134)</f>
        <v>-9.2380826223580534</v>
      </c>
      <c r="H134" s="33">
        <f ca="1">_xll.DBRW($C$1,$C$2,$C$3,$C$4,$C$6,$C$5,$C$7,H$1,H$2,$A134)</f>
        <v>-9.7145330610316272</v>
      </c>
      <c r="J134" s="33">
        <f t="shared" ca="1" si="41"/>
        <v>9.8045727314799436E-2</v>
      </c>
      <c r="K134" s="33">
        <f t="shared" ca="1" si="42"/>
        <v>0.57449616598837316</v>
      </c>
    </row>
    <row r="135" spans="1:11" ht="15.75" hidden="1" customHeight="1">
      <c r="A135" s="1" t="s">
        <v>228</v>
      </c>
      <c r="C135" s="104"/>
      <c r="E135" s="9" t="str">
        <f ca="1">_xll.DBRW(Server&amp;"}ElementAttributes_Indicator",A135,"code_English")</f>
        <v>PL1140_CS_05 - Amortization (CS)</v>
      </c>
      <c r="F135" s="33">
        <f ca="1">_xll.DBRW($C$1,$C$2,$C$3,$C$4,$C$6,$C$5,$C$7,F$1,F$2,$A135)</f>
        <v>-0.21586446059888631</v>
      </c>
      <c r="G135" s="33">
        <f ca="1">_xll.DBRW($C$1,$C$2,$C$3,$C$4,$C$6,$C$5,$C$7,G$1,G$2,$A135)</f>
        <v>-0.16707339910167712</v>
      </c>
      <c r="H135" s="33">
        <f ca="1">_xll.DBRW($C$1,$C$2,$C$3,$C$4,$C$6,$C$5,$C$7,H$1,H$2,$A135)</f>
        <v>-0.23338814183229561</v>
      </c>
      <c r="J135" s="33">
        <f t="shared" ca="1" si="41"/>
        <v>-4.8791061497209187E-2</v>
      </c>
      <c r="K135" s="33">
        <f t="shared" ca="1" si="42"/>
        <v>1.7523681233409305E-2</v>
      </c>
    </row>
    <row r="136" spans="1:11" ht="15.75" hidden="1" customHeight="1">
      <c r="A136" s="1" t="s">
        <v>229</v>
      </c>
      <c r="C136" s="104"/>
      <c r="E136" s="9" t="str">
        <f ca="1">_xll.DBRW(Server&amp;"}ElementAttributes_Indicator",A136,"code_English")</f>
        <v>PL1150_CS_10 - Impairment (other than working capital) and provisions - related to staff costs (CS)</v>
      </c>
      <c r="F136" s="33">
        <f ca="1">_xll.DBRW($C$1,$C$2,$C$3,$C$4,$C$6,$C$5,$C$7,F$1,F$2,$A136)</f>
        <v>-7.3075700916957814E-3</v>
      </c>
      <c r="G136" s="33">
        <f ca="1">_xll.DBRW($C$1,$C$2,$C$3,$C$4,$C$6,$C$5,$C$7,G$1,G$2,$A136)</f>
        <v>-1.0530300917961671E-2</v>
      </c>
      <c r="H136" s="33">
        <f ca="1">_xll.DBRW($C$1,$C$2,$C$3,$C$4,$C$6,$C$5,$C$7,H$1,H$2,$A136)</f>
        <v>-1.6856120805369128E-2</v>
      </c>
      <c r="J136" s="33">
        <f t="shared" ca="1" si="41"/>
        <v>3.2227308262658899E-3</v>
      </c>
      <c r="K136" s="33">
        <f t="shared" ca="1" si="42"/>
        <v>9.5485507136733455E-3</v>
      </c>
    </row>
    <row r="137" spans="1:11" ht="15.75" hidden="1" customHeight="1">
      <c r="A137" s="1" t="s">
        <v>230</v>
      </c>
      <c r="C137" s="104"/>
      <c r="E137" s="9" t="str">
        <f ca="1">_xll.DBRW(Server&amp;"}ElementAttributes_Indicator",A137,"code_English")</f>
        <v>PL1150_CS_11 - Impairment (other than working capital) and provisions - related to staff costs - Reversal (CS)</v>
      </c>
      <c r="F137" s="33">
        <f ca="1">_xll.DBRW($C$1,$C$2,$C$3,$C$4,$C$6,$C$5,$C$7,F$1,F$2,$A137)</f>
        <v>6.2065999999999996E-2</v>
      </c>
      <c r="G137" s="33">
        <f ca="1">_xll.DBRW($C$1,$C$2,$C$3,$C$4,$C$6,$C$5,$C$7,G$1,G$2,$A137)</f>
        <v>2.3179999999999997E-3</v>
      </c>
      <c r="H137" s="33">
        <f ca="1">_xll.DBRW($C$1,$C$2,$C$3,$C$4,$C$6,$C$5,$C$7,H$1,H$2,$A137)</f>
        <v>0</v>
      </c>
      <c r="J137" s="33">
        <f t="shared" ca="1" si="41"/>
        <v>5.9747999999999996E-2</v>
      </c>
      <c r="K137" s="33">
        <f t="shared" ca="1" si="42"/>
        <v>6.2065999999999996E-2</v>
      </c>
    </row>
    <row r="138" spans="1:11" ht="15.75" hidden="1" customHeight="1">
      <c r="A138" s="1" t="s">
        <v>231</v>
      </c>
      <c r="C138" s="104"/>
      <c r="E138" s="9" t="str">
        <f ca="1">_xll.DBRW(Server&amp;"}ElementAttributes_Indicator",A138,"code_English")</f>
        <v>PL1150_CS_90 - Impairment (other than working capital) and provisions - others (CS)</v>
      </c>
      <c r="F138" s="33">
        <f ca="1">_xll.DBRW($C$1,$C$2,$C$3,$C$4,$C$6,$C$5,$C$7,F$1,F$2,$A138)</f>
        <v>7.8304149999999989E-2</v>
      </c>
      <c r="G138" s="33">
        <f ca="1">_xll.DBRW($C$1,$C$2,$C$3,$C$4,$C$6,$C$5,$C$7,G$1,G$2,$A138)</f>
        <v>7.7806769999999997E-2</v>
      </c>
      <c r="H138" s="33">
        <f ca="1">_xll.DBRW($C$1,$C$2,$C$3,$C$4,$C$6,$C$5,$C$7,H$1,H$2,$A138)</f>
        <v>8.3728990000000003E-2</v>
      </c>
      <c r="J138" s="33">
        <f t="shared" ca="1" si="41"/>
        <v>4.9737999999999172E-4</v>
      </c>
      <c r="K138" s="33">
        <f t="shared" ca="1" si="42"/>
        <v>-5.4248400000000141E-3</v>
      </c>
    </row>
    <row r="139" spans="1:11" ht="15.5">
      <c r="A139" s="1" t="s">
        <v>232</v>
      </c>
      <c r="C139" s="104"/>
      <c r="E139" s="96" t="s">
        <v>379</v>
      </c>
      <c r="F139" s="34">
        <f t="shared" ref="F139:H139" ca="1" si="43">SUM(F131:F138)</f>
        <v>-25.795479544945493</v>
      </c>
      <c r="G139" s="34">
        <f t="shared" ca="1" si="43"/>
        <v>-23.139270759228815</v>
      </c>
      <c r="H139" s="34">
        <f t="shared" ca="1" si="43"/>
        <v>-24.537718641122101</v>
      </c>
      <c r="J139" s="33">
        <f t="shared" ca="1" si="41"/>
        <v>-2.6562087857166787</v>
      </c>
      <c r="K139" s="33">
        <f t="shared" ca="1" si="42"/>
        <v>-1.2577609038233923</v>
      </c>
    </row>
    <row r="140" spans="1:11" ht="15.75" hidden="1" customHeight="1">
      <c r="A140" s="1" t="s">
        <v>233</v>
      </c>
      <c r="C140" s="104"/>
      <c r="E140" s="9" t="str">
        <f ca="1">_xll.DBRW(Server&amp;"}ElementAttributes_Indicator",A140,"code_English")</f>
        <v>PL1110_DS_10 - Staff costs (DS)</v>
      </c>
      <c r="F140" s="33">
        <f ca="1">_xll.DBRW($C$1,$C$2,$C$3,$C$4,$C$6,$C$5,$C$7,F$1,F$2,$A140)</f>
        <v>-90.433232519268202</v>
      </c>
      <c r="G140" s="33">
        <f ca="1">_xll.DBRW($C$1,$C$2,$C$3,$C$4,$C$6,$C$5,$C$7,G$1,G$2,$A140)</f>
        <v>-78.743697370481186</v>
      </c>
      <c r="H140" s="33">
        <f ca="1">_xll.DBRW($C$1,$C$2,$C$3,$C$4,$C$6,$C$5,$C$7,H$1,H$2,$A140)</f>
        <v>-89.764692026809925</v>
      </c>
      <c r="J140" s="33">
        <f t="shared" ca="1" si="41"/>
        <v>-11.689535148787016</v>
      </c>
      <c r="K140" s="33">
        <f t="shared" ca="1" si="42"/>
        <v>-0.66854049245827696</v>
      </c>
    </row>
    <row r="141" spans="1:11" ht="15.75" hidden="1" customHeight="1">
      <c r="A141" s="1" t="s">
        <v>234</v>
      </c>
      <c r="C141" s="104"/>
      <c r="E141" s="9" t="str">
        <f ca="1">_xll.DBRW(Server&amp;"}ElementAttributes_Indicator",A141,"code_English")</f>
        <v>PL1116_DS - COS - Lease expenses (DS)</v>
      </c>
      <c r="F141" s="33">
        <f ca="1">_xll.DBRW($C$1,$C$2,$C$3,$C$4,$C$6,$C$5,$C$7,F$1,F$2,$A141)</f>
        <v>-2.1140249526087795</v>
      </c>
      <c r="G141" s="33">
        <f ca="1">_xll.DBRW($C$1,$C$2,$C$3,$C$4,$C$6,$C$5,$C$7,G$1,G$2,$A141)</f>
        <v>-2.0633516883883605</v>
      </c>
      <c r="H141" s="33">
        <f ca="1">_xll.DBRW($C$1,$C$2,$C$3,$C$4,$C$6,$C$5,$C$7,H$1,H$2,$A141)</f>
        <v>-2.1301426329617179</v>
      </c>
      <c r="J141" s="33">
        <f t="shared" ca="1" si="41"/>
        <v>-5.0673264220419068E-2</v>
      </c>
      <c r="K141" s="33">
        <f t="shared" ca="1" si="42"/>
        <v>1.6117680352938368E-2</v>
      </c>
    </row>
    <row r="142" spans="1:11" ht="15.75" hidden="1" customHeight="1">
      <c r="A142" s="1" t="s">
        <v>235</v>
      </c>
      <c r="C142" s="104"/>
      <c r="E142" s="9" t="str">
        <f ca="1">_xll.DBRW(Server&amp;"}ElementAttributes_Indicator",A142,"code_English")</f>
        <v>PL1145_DS - Impairment - working capital (DS)</v>
      </c>
      <c r="F142" s="33">
        <f ca="1">_xll.DBRW($C$1,$C$2,$C$3,$C$4,$C$6,$C$5,$C$7,F$1,F$2,$A142)</f>
        <v>-5.0545840000000009E-2</v>
      </c>
      <c r="G142" s="33">
        <f ca="1">_xll.DBRW($C$1,$C$2,$C$3,$C$4,$C$6,$C$5,$C$7,G$1,G$2,$A142)</f>
        <v>7.5570229999999988E-2</v>
      </c>
      <c r="H142" s="33">
        <f ca="1">_xll.DBRW($C$1,$C$2,$C$3,$C$4,$C$6,$C$5,$C$7,H$1,H$2,$A142)</f>
        <v>-3.0571478333333336E-2</v>
      </c>
      <c r="J142" s="33">
        <f t="shared" ca="1" si="41"/>
        <v>-0.12611607</v>
      </c>
      <c r="K142" s="33">
        <f t="shared" ca="1" si="42"/>
        <v>-1.9974361666666673E-2</v>
      </c>
    </row>
    <row r="143" spans="1:11" ht="15.75" hidden="1" customHeight="1">
      <c r="A143" s="1" t="s">
        <v>236</v>
      </c>
      <c r="C143" s="104"/>
      <c r="E143" s="9" t="str">
        <f ca="1">_xll.DBRW(Server&amp;"}ElementAttributes_Indicator",A143,"code_English")</f>
        <v>PL1155_DS_99 - Reinvoicing - Others (DS)</v>
      </c>
      <c r="F143" s="33">
        <f ca="1">_xll.DBRW($C$1,$C$2,$C$3,$C$4,$C$6,$C$5,$C$7,F$1,F$2,$A143)</f>
        <v>0.23865871400000005</v>
      </c>
      <c r="G143" s="33">
        <f ca="1">_xll.DBRW($C$1,$C$2,$C$3,$C$4,$C$6,$C$5,$C$7,G$1,G$2,$A143)</f>
        <v>1.5109776100000001</v>
      </c>
      <c r="H143" s="33">
        <f ca="1">_xll.DBRW($C$1,$C$2,$C$3,$C$4,$C$6,$C$5,$C$7,H$1,H$2,$A143)</f>
        <v>0.35668813599806803</v>
      </c>
      <c r="J143" s="33">
        <f t="shared" ca="1" si="41"/>
        <v>-1.272318896</v>
      </c>
      <c r="K143" s="33">
        <f t="shared" ca="1" si="42"/>
        <v>-0.11802942199806798</v>
      </c>
    </row>
    <row r="144" spans="1:11" ht="15.75" hidden="1" customHeight="1">
      <c r="A144" s="1" t="s">
        <v>237</v>
      </c>
      <c r="C144" s="104"/>
      <c r="E144" s="9" t="str">
        <f ca="1">_xll.DBRW(Server&amp;"}ElementAttributes_Indicator",A144,"code_English")</f>
        <v>PL1115_DS_20 - Interim staff (DS)</v>
      </c>
      <c r="F144" s="33">
        <f ca="1">_xll.DBRW($C$1,$C$2,$C$3,$C$4,$C$6,$C$5,$C$7,F$1,F$2,$A144)</f>
        <v>-0.12107487580366227</v>
      </c>
      <c r="G144" s="33">
        <f ca="1">_xll.DBRW($C$1,$C$2,$C$3,$C$4,$C$6,$C$5,$C$7,G$1,G$2,$A144)</f>
        <v>-0.15653813231934094</v>
      </c>
      <c r="H144" s="33">
        <f ca="1">_xll.DBRW($C$1,$C$2,$C$3,$C$4,$C$6,$C$5,$C$7,H$1,H$2,$A144)</f>
        <v>-0.10355452000000001</v>
      </c>
      <c r="J144" s="33">
        <f t="shared" ca="1" si="41"/>
        <v>3.5463256515678665E-2</v>
      </c>
      <c r="K144" s="33">
        <f t="shared" ca="1" si="42"/>
        <v>-1.7520355803662263E-2</v>
      </c>
    </row>
    <row r="145" spans="1:11" ht="15.75" hidden="1" customHeight="1">
      <c r="A145" s="1" t="s">
        <v>238</v>
      </c>
      <c r="C145" s="104"/>
      <c r="E145" s="9" t="str">
        <f ca="1">_xll.DBRW(Server&amp;"}ElementAttributes_Indicator",A145,"code_English")</f>
        <v>PL1115_DS_70 - Travelling (DS)</v>
      </c>
      <c r="F145" s="33">
        <f ca="1">_xll.DBRW($C$1,$C$2,$C$3,$C$4,$C$6,$C$5,$C$7,F$1,F$2,$A145)</f>
        <v>-0.11572599904245937</v>
      </c>
      <c r="G145" s="33">
        <f ca="1">_xll.DBRW($C$1,$C$2,$C$3,$C$4,$C$6,$C$5,$C$7,G$1,G$2,$A145)</f>
        <v>-0.13987058980314732</v>
      </c>
      <c r="H145" s="33">
        <f ca="1">_xll.DBRW($C$1,$C$2,$C$3,$C$4,$C$6,$C$5,$C$7,H$1,H$2,$A145)</f>
        <v>-5.900586881297E-2</v>
      </c>
      <c r="J145" s="33">
        <f t="shared" ca="1" si="41"/>
        <v>2.4144590760687951E-2</v>
      </c>
      <c r="K145" s="33">
        <f t="shared" ca="1" si="42"/>
        <v>-5.6720130229489366E-2</v>
      </c>
    </row>
    <row r="146" spans="1:11" ht="15.75" hidden="1" customHeight="1">
      <c r="A146" s="1" t="s">
        <v>239</v>
      </c>
      <c r="C146" s="104"/>
      <c r="E146" s="9" t="str">
        <f ca="1">_xll.DBRW(Server&amp;"}ElementAttributes_Indicator",A146,"code_English")</f>
        <v>PL1115_DS_75 - Consulting (DS)</v>
      </c>
      <c r="F146" s="33">
        <f ca="1">_xll.DBRW($C$1,$C$2,$C$3,$C$4,$C$6,$C$5,$C$7,F$1,F$2,$A146)</f>
        <v>-0.76821615961176437</v>
      </c>
      <c r="G146" s="33">
        <f ca="1">_xll.DBRW($C$1,$C$2,$C$3,$C$4,$C$6,$C$5,$C$7,G$1,G$2,$A146)</f>
        <v>-0.87023980629445585</v>
      </c>
      <c r="H146" s="33">
        <f ca="1">_xll.DBRW($C$1,$C$2,$C$3,$C$4,$C$6,$C$5,$C$7,H$1,H$2,$A146)</f>
        <v>-1.9091590833082979</v>
      </c>
      <c r="J146" s="33">
        <f t="shared" ca="1" si="41"/>
        <v>0.10202364668269148</v>
      </c>
      <c r="K146" s="33">
        <f t="shared" ca="1" si="42"/>
        <v>1.1409429236965334</v>
      </c>
    </row>
    <row r="147" spans="1:11" ht="15.75" hidden="1" customHeight="1">
      <c r="A147" s="1" t="s">
        <v>240</v>
      </c>
      <c r="C147" s="104"/>
      <c r="E147" s="9" t="str">
        <f ca="1">_xll.DBRW(Server&amp;"}ElementAttributes_Indicator",A147,"code_English")</f>
        <v>PL1115_DS_99 - Others (DS)</v>
      </c>
      <c r="F147" s="33">
        <f ca="1">_xll.DBRW($C$1,$C$2,$C$3,$C$4,$C$6,$C$5,$C$7,F$1,F$2,$A147)</f>
        <v>-28.492252589867824</v>
      </c>
      <c r="G147" s="33">
        <f ca="1">_xll.DBRW($C$1,$C$2,$C$3,$C$4,$C$6,$C$5,$C$7,G$1,G$2,$A147)</f>
        <v>-24.291085883513922</v>
      </c>
      <c r="H147" s="33">
        <f ca="1">_xll.DBRW($C$1,$C$2,$C$3,$C$4,$C$6,$C$5,$C$7,H$1,H$2,$A147)</f>
        <v>-26.469352480706405</v>
      </c>
      <c r="J147" s="33">
        <f t="shared" ca="1" si="41"/>
        <v>-4.2011667063539022</v>
      </c>
      <c r="K147" s="33">
        <f t="shared" ca="1" si="42"/>
        <v>-2.0229001091614194</v>
      </c>
    </row>
    <row r="148" spans="1:11" ht="15.75" hidden="1" customHeight="1">
      <c r="A148" s="1" t="s">
        <v>241</v>
      </c>
      <c r="C148" s="104"/>
      <c r="E148" s="9" t="str">
        <f ca="1">_xll.DBRW(Server&amp;"}ElementAttributes_Indicator",A148,"code_English")</f>
        <v>PL1118_DS - IFRS16 adjustment through P&amp;L (DS)</v>
      </c>
      <c r="F148" s="33">
        <f ca="1">_xll.DBRW($C$1,$C$2,$C$3,$C$4,$C$6,$C$5,$C$7,F$1,F$2,$A148)</f>
        <v>0</v>
      </c>
      <c r="G148" s="33">
        <f ca="1">_xll.DBRW($C$1,$C$2,$C$3,$C$4,$C$6,$C$5,$C$7,G$1,G$2,$A148)</f>
        <v>1.7597881625247544E-4</v>
      </c>
      <c r="H148" s="33">
        <f ca="1">_xll.DBRW($C$1,$C$2,$C$3,$C$4,$C$6,$C$5,$C$7,H$1,H$2,$A148)</f>
        <v>0</v>
      </c>
      <c r="J148" s="33">
        <f t="shared" ca="1" si="41"/>
        <v>-1.7597881625247544E-4</v>
      </c>
      <c r="K148" s="33">
        <f t="shared" ca="1" si="42"/>
        <v>0</v>
      </c>
    </row>
    <row r="149" spans="1:11" ht="15.75" hidden="1" customHeight="1">
      <c r="A149" s="1" t="s">
        <v>242</v>
      </c>
      <c r="C149" s="104"/>
      <c r="E149" s="9" t="str">
        <f ca="1">_xll.DBRW(Server&amp;"}ElementAttributes_Indicator",A149,"code_English")</f>
        <v>PL1140_DS_10 - Amortization (DS)</v>
      </c>
      <c r="F149" s="33">
        <f ca="1">_xll.DBRW($C$1,$C$2,$C$3,$C$4,$C$6,$C$5,$C$7,F$1,F$2,$A149)</f>
        <v>-3.2330370498679537</v>
      </c>
      <c r="G149" s="33">
        <f ca="1">_xll.DBRW($C$1,$C$2,$C$3,$C$4,$C$6,$C$5,$C$7,G$1,G$2,$A149)</f>
        <v>-3.1803906278139302</v>
      </c>
      <c r="H149" s="33">
        <f ca="1">_xll.DBRW($C$1,$C$2,$C$3,$C$4,$C$6,$C$5,$C$7,H$1,H$2,$A149)</f>
        <v>-3.7941062630454585</v>
      </c>
      <c r="J149" s="33">
        <f t="shared" ca="1" si="41"/>
        <v>-5.2646422054023478E-2</v>
      </c>
      <c r="K149" s="33">
        <f t="shared" ca="1" si="42"/>
        <v>0.5610692131775048</v>
      </c>
    </row>
    <row r="150" spans="1:11" ht="15.75" hidden="1" customHeight="1">
      <c r="A150" s="1" t="s">
        <v>243</v>
      </c>
      <c r="C150" s="104"/>
      <c r="E150" s="9" t="str">
        <f ca="1">_xll.DBRW(Server&amp;"}ElementAttributes_Indicator",A150,"code_English")</f>
        <v>PL1150_DS_10 - Impairment (other than working capital) and provisions - related to staff costs (DS)</v>
      </c>
      <c r="F150" s="33">
        <f ca="1">_xll.DBRW($C$1,$C$2,$C$3,$C$4,$C$6,$C$5,$C$7,F$1,F$2,$A150)</f>
        <v>-2.1127451483834103E-2</v>
      </c>
      <c r="G150" s="33">
        <f ca="1">_xll.DBRW($C$1,$C$2,$C$3,$C$4,$C$6,$C$5,$C$7,G$1,G$2,$A150)</f>
        <v>0.19621334363148824</v>
      </c>
      <c r="H150" s="33">
        <f ca="1">_xll.DBRW($C$1,$C$2,$C$3,$C$4,$C$6,$C$5,$C$7,H$1,H$2,$A150)</f>
        <v>1.0409033057650185E-2</v>
      </c>
      <c r="J150" s="33">
        <f t="shared" ca="1" si="41"/>
        <v>-0.21734079511532234</v>
      </c>
      <c r="K150" s="33">
        <f t="shared" ca="1" si="42"/>
        <v>-3.1536484541484291E-2</v>
      </c>
    </row>
    <row r="151" spans="1:11" ht="15.75" hidden="1" customHeight="1">
      <c r="A151" s="1" t="s">
        <v>244</v>
      </c>
      <c r="C151" s="104"/>
      <c r="E151" s="9" t="str">
        <f ca="1">_xll.DBRW(Server&amp;"}ElementAttributes_Indicator",A151,"code_English")</f>
        <v>PL1150_DS_11 - Impairment (other than working capital) and provisions - related to staff costs - Reversal (DS)</v>
      </c>
      <c r="F151" s="33">
        <f ca="1">_xll.DBRW($C$1,$C$2,$C$3,$C$4,$C$6,$C$5,$C$7,F$1,F$2,$A151)</f>
        <v>0.23995688999999998</v>
      </c>
      <c r="G151" s="33">
        <f ca="1">_xll.DBRW($C$1,$C$2,$C$3,$C$4,$C$6,$C$5,$C$7,G$1,G$2,$A151)</f>
        <v>2.9929279999999999E-2</v>
      </c>
      <c r="H151" s="33">
        <f ca="1">_xll.DBRW($C$1,$C$2,$C$3,$C$4,$C$6,$C$5,$C$7,H$1,H$2,$A151)</f>
        <v>1.1771666666666697E-3</v>
      </c>
      <c r="J151" s="33">
        <f t="shared" ca="1" si="41"/>
        <v>0.21002760999999998</v>
      </c>
      <c r="K151" s="33">
        <f t="shared" ca="1" si="42"/>
        <v>0.2387797233333333</v>
      </c>
    </row>
    <row r="152" spans="1:11" ht="15.75" hidden="1" customHeight="1">
      <c r="A152" s="1" t="s">
        <v>245</v>
      </c>
      <c r="C152" s="104"/>
      <c r="E152" s="9" t="str">
        <f ca="1">_xll.DBRW(Server&amp;"}ElementAttributes_Indicator",A152,"code_English")</f>
        <v>PL1150_DS_90 - Impairment (other than working capital) and provisions - others (DS)</v>
      </c>
      <c r="F152" s="33">
        <f ca="1">_xll.DBRW($C$1,$C$2,$C$3,$C$4,$C$6,$C$5,$C$7,F$1,F$2,$A152)</f>
        <v>1.6571086199999998</v>
      </c>
      <c r="G152" s="33">
        <f ca="1">_xll.DBRW($C$1,$C$2,$C$3,$C$4,$C$6,$C$5,$C$7,G$1,G$2,$A152)</f>
        <v>1.0775920800000001</v>
      </c>
      <c r="H152" s="33">
        <f ca="1">_xll.DBRW($C$1,$C$2,$C$3,$C$4,$C$6,$C$5,$C$7,H$1,H$2,$A152)</f>
        <v>1.6052680354649036</v>
      </c>
      <c r="J152" s="33">
        <f t="shared" ca="1" si="41"/>
        <v>0.57951653999999975</v>
      </c>
      <c r="K152" s="33">
        <f t="shared" ca="1" si="42"/>
        <v>5.1840584535096212E-2</v>
      </c>
    </row>
    <row r="153" spans="1:11" ht="15.5">
      <c r="A153" s="1" t="s">
        <v>142</v>
      </c>
      <c r="C153" s="104"/>
      <c r="E153" s="15" t="s">
        <v>40</v>
      </c>
      <c r="F153" s="34">
        <f t="shared" ref="F153:H153" ca="1" si="44">SUM(F140:F152)</f>
        <v>-123.21351321355448</v>
      </c>
      <c r="G153" s="34">
        <f t="shared" ca="1" si="44"/>
        <v>-106.55471557616661</v>
      </c>
      <c r="H153" s="34">
        <f t="shared" ca="1" si="44"/>
        <v>-122.28704198279083</v>
      </c>
      <c r="J153" s="33">
        <f t="shared" ca="1" si="41"/>
        <v>-16.658797637387863</v>
      </c>
      <c r="K153" s="33">
        <f t="shared" ca="1" si="42"/>
        <v>-0.9264712307636529</v>
      </c>
    </row>
    <row r="154" spans="1:11" ht="15.75" hidden="1" customHeight="1">
      <c r="A154" s="1" t="s">
        <v>246</v>
      </c>
      <c r="C154" s="104"/>
      <c r="E154" s="9" t="str">
        <f ca="1">_xll.DBRW(Server&amp;"}ElementAttributes_Indicator",A154,"code_English")</f>
        <v>PL1116_IN - COS - Lease expenses (IN)</v>
      </c>
      <c r="F154" s="33">
        <f ca="1">_xll.DBRW($C$1,$C$2,$C$3,$C$4,$C$6,$C$5,$C$7,F$1,F$2,$A154)</f>
        <v>-3.2043995894027066</v>
      </c>
      <c r="G154" s="33">
        <f ca="1">_xll.DBRW($C$1,$C$2,$C$3,$C$4,$C$6,$C$5,$C$7,G$1,G$2,$A154)</f>
        <v>-2.0995721245143346</v>
      </c>
      <c r="H154" s="33">
        <f ca="1">_xll.DBRW($C$1,$C$2,$C$3,$C$4,$C$6,$C$5,$C$7,H$1,H$2,$A154)</f>
        <v>-3.8767081852090564</v>
      </c>
      <c r="J154" s="33">
        <f t="shared" ca="1" si="41"/>
        <v>-1.104827464888372</v>
      </c>
      <c r="K154" s="33">
        <f t="shared" ca="1" si="42"/>
        <v>0.67230859580634972</v>
      </c>
    </row>
    <row r="155" spans="1:11" ht="15.75" hidden="1" customHeight="1">
      <c r="A155" s="1" t="s">
        <v>247</v>
      </c>
      <c r="C155" s="104"/>
      <c r="E155" s="9" t="str">
        <f ca="1">_xll.DBRW(Server&amp;"}ElementAttributes_Indicator",A155,"code_English")</f>
        <v>PL1155_IN_99 - Reinvoicing - Others (IN)</v>
      </c>
      <c r="F155" s="33">
        <f ca="1">_xll.DBRW($C$1,$C$2,$C$3,$C$4,$C$6,$C$5,$C$7,F$1,F$2,$A155)</f>
        <v>0.54559837999999994</v>
      </c>
      <c r="G155" s="33">
        <f ca="1">_xll.DBRW($C$1,$C$2,$C$3,$C$4,$C$6,$C$5,$C$7,G$1,G$2,$A155)</f>
        <v>0.89723180759999999</v>
      </c>
      <c r="H155" s="33">
        <f ca="1">_xll.DBRW($C$1,$C$2,$C$3,$C$4,$C$6,$C$5,$C$7,H$1,H$2,$A155)</f>
        <v>0.5592140000000001</v>
      </c>
      <c r="J155" s="33">
        <f t="shared" ca="1" si="41"/>
        <v>-0.35163342760000005</v>
      </c>
      <c r="K155" s="33">
        <f t="shared" ca="1" si="42"/>
        <v>-1.3615620000000161E-2</v>
      </c>
    </row>
    <row r="156" spans="1:11" ht="15.75" hidden="1" customHeight="1">
      <c r="A156" s="1" t="s">
        <v>248</v>
      </c>
      <c r="C156" s="104"/>
      <c r="E156" s="9" t="str">
        <f ca="1">_xll.DBRW(Server&amp;"}ElementAttributes_Indicator",A156,"code_English")</f>
        <v>PL1115_IN_60 - Access fees</v>
      </c>
      <c r="F156" s="33">
        <f ca="1">_xll.DBRW($C$1,$C$2,$C$3,$C$4,$C$6,$C$5,$C$7,F$1,F$2,$A156)</f>
        <v>-46.06269729006911</v>
      </c>
      <c r="G156" s="33">
        <f ca="1">_xll.DBRW($C$1,$C$2,$C$3,$C$4,$C$6,$C$5,$C$7,G$1,G$2,$A156)</f>
        <v>-39.446200114860758</v>
      </c>
      <c r="H156" s="33">
        <f ca="1">_xll.DBRW($C$1,$C$2,$C$3,$C$4,$C$6,$C$5,$C$7,H$1,H$2,$A156)</f>
        <v>-46.540881863338029</v>
      </c>
      <c r="J156" s="33">
        <f t="shared" ca="1" si="41"/>
        <v>-6.6164971752083517</v>
      </c>
      <c r="K156" s="33">
        <f t="shared" ca="1" si="42"/>
        <v>0.47818457326891917</v>
      </c>
    </row>
    <row r="157" spans="1:11" ht="15.75" hidden="1" customHeight="1">
      <c r="A157" s="1" t="s">
        <v>249</v>
      </c>
      <c r="C157" s="104"/>
      <c r="E157" s="9" t="str">
        <f ca="1">_xll.DBRW(Server&amp;"}ElementAttributes_Indicator",A157,"code_English")</f>
        <v>PL1115_IN_65 - Others (IN)</v>
      </c>
      <c r="F157" s="33">
        <f ca="1">_xll.DBRW($C$1,$C$2,$C$3,$C$4,$C$6,$C$5,$C$7,F$1,F$2,$A157)</f>
        <v>-13.690336108254158</v>
      </c>
      <c r="G157" s="33">
        <f ca="1">_xll.DBRW($C$1,$C$2,$C$3,$C$4,$C$6,$C$5,$C$7,G$1,G$2,$A157)</f>
        <v>-11.49675337581092</v>
      </c>
      <c r="H157" s="33">
        <f ca="1">_xll.DBRW($C$1,$C$2,$C$3,$C$4,$C$6,$C$5,$C$7,H$1,H$2,$A157)</f>
        <v>-12.300072725134299</v>
      </c>
      <c r="J157" s="33">
        <f t="shared" ca="1" si="41"/>
        <v>-2.1935827324432378</v>
      </c>
      <c r="K157" s="33">
        <f t="shared" ca="1" si="42"/>
        <v>-1.3902633831198585</v>
      </c>
    </row>
    <row r="158" spans="1:11" ht="15.75" hidden="1" customHeight="1">
      <c r="A158" s="1" t="s">
        <v>250</v>
      </c>
      <c r="C158" s="104"/>
      <c r="E158" s="9" t="str">
        <f ca="1">_xll.DBRW(Server&amp;"}ElementAttributes_Indicator",A158,"code_English")</f>
        <v>PL1115_IN_55 - Operating lease (IN)</v>
      </c>
      <c r="F158" s="33">
        <f ca="1">_xll.DBRW($C$1,$C$2,$C$3,$C$4,$C$6,$C$5,$C$7,F$1,F$2,$A158)</f>
        <v>8.1189677496611781E-3</v>
      </c>
      <c r="G158" s="33">
        <f ca="1">_xll.DBRW($C$1,$C$2,$C$3,$C$4,$C$6,$C$5,$C$7,G$1,G$2,$A158)</f>
        <v>-7.3733290241071031E-3</v>
      </c>
      <c r="H158" s="33">
        <f ca="1">_xll.DBRW($C$1,$C$2,$C$3,$C$4,$C$6,$C$5,$C$7,H$1,H$2,$A158)</f>
        <v>-3.168326582524271E-3</v>
      </c>
      <c r="J158" s="33">
        <f t="shared" ca="1" si="41"/>
        <v>1.5492296773768281E-2</v>
      </c>
      <c r="K158" s="33">
        <f t="shared" ca="1" si="42"/>
        <v>1.1287294332185449E-2</v>
      </c>
    </row>
    <row r="159" spans="1:11" ht="15.75" hidden="1" customHeight="1">
      <c r="A159" s="1" t="s">
        <v>251</v>
      </c>
      <c r="C159" s="104"/>
      <c r="E159" s="9" t="str">
        <f ca="1">_xll.DBRW(Server&amp;"}ElementAttributes_Indicator",A159,"code_English")</f>
        <v>PL1140_IN_05 - Amortization (IN)</v>
      </c>
      <c r="F159" s="33">
        <f ca="1">_xll.DBRW($C$1,$C$2,$C$3,$C$4,$C$6,$C$5,$C$7,F$1,F$2,$A159)</f>
        <v>-9.986665824741582</v>
      </c>
      <c r="G159" s="33">
        <f ca="1">_xll.DBRW($C$1,$C$2,$C$3,$C$4,$C$6,$C$5,$C$7,G$1,G$2,$A159)</f>
        <v>-11.056771484770554</v>
      </c>
      <c r="H159" s="33">
        <f ca="1">_xll.DBRW($C$1,$C$2,$C$3,$C$4,$C$6,$C$5,$C$7,H$1,H$2,$A159)</f>
        <v>-11.606602086348616</v>
      </c>
      <c r="J159" s="33">
        <f t="shared" ca="1" si="41"/>
        <v>1.0701056600289718</v>
      </c>
      <c r="K159" s="33">
        <f t="shared" ca="1" si="42"/>
        <v>1.6199362616070339</v>
      </c>
    </row>
    <row r="160" spans="1:11" ht="15.75" hidden="1" customHeight="1">
      <c r="A160" s="1" t="s">
        <v>252</v>
      </c>
      <c r="C160" s="104"/>
      <c r="E160" s="9" t="str">
        <f ca="1">_xll.DBRW(Server&amp;"}ElementAttributes_Indicator",A160,"code_English")</f>
        <v>PL1160_IN_15 - Gains/losses on disposal of tangible &amp; intangible fixed assets (IN)</v>
      </c>
      <c r="F160" s="33">
        <f ca="1">_xll.DBRW($C$1,$C$2,$C$3,$C$4,$C$6,$C$5,$C$7,F$1,F$2,$A160)</f>
        <v>7.4225779900222166E-2</v>
      </c>
      <c r="G160" s="33">
        <f ca="1">_xll.DBRW($C$1,$C$2,$C$3,$C$4,$C$6,$C$5,$C$7,G$1,G$2,$A160)</f>
        <v>-1.3527107024836831</v>
      </c>
      <c r="H160" s="33">
        <f ca="1">_xll.DBRW($C$1,$C$2,$C$3,$C$4,$C$6,$C$5,$C$7,H$1,H$2,$A160)</f>
        <v>-1.6510155899999996</v>
      </c>
      <c r="J160" s="33">
        <f t="shared" ca="1" si="41"/>
        <v>1.4269364823839052</v>
      </c>
      <c r="K160" s="33">
        <f t="shared" ca="1" si="42"/>
        <v>1.7252413699002218</v>
      </c>
    </row>
    <row r="161" spans="1:11" ht="15.75" hidden="1" customHeight="1">
      <c r="A161" s="1" t="s">
        <v>253</v>
      </c>
      <c r="C161" s="104"/>
      <c r="E161" s="9" t="str">
        <f ca="1">_xll.DBRW(Server&amp;"}ElementAttributes_Indicator",A161,"code_English")</f>
        <v>PL1150_IN_90 - Impairment (other than working capital) and provisions - others (IN)</v>
      </c>
      <c r="F161" s="33">
        <f ca="1">_xll.DBRW($C$1,$C$2,$C$3,$C$4,$C$6,$C$5,$C$7,F$1,F$2,$A161)</f>
        <v>0</v>
      </c>
      <c r="G161" s="33">
        <f ca="1">_xll.DBRW($C$1,$C$2,$C$3,$C$4,$C$6,$C$5,$C$7,G$1,G$2,$A161)</f>
        <v>0</v>
      </c>
      <c r="H161" s="33">
        <f ca="1">_xll.DBRW($C$1,$C$2,$C$3,$C$4,$C$6,$C$5,$C$7,H$1,H$2,$A161)</f>
        <v>0</v>
      </c>
      <c r="J161" s="33">
        <f t="shared" ca="1" si="41"/>
        <v>0</v>
      </c>
      <c r="K161" s="33">
        <f t="shared" ca="1" si="42"/>
        <v>0</v>
      </c>
    </row>
    <row r="162" spans="1:11" ht="15.75" hidden="1" customHeight="1">
      <c r="A162" s="1" t="s">
        <v>254</v>
      </c>
      <c r="C162" s="104"/>
      <c r="E162" s="9" t="str">
        <f ca="1">_xll.DBRW(Server&amp;"}ElementAttributes_Indicator",A162,"code_English")</f>
        <v>PL1110_MI_10 - Staff costs (MI)</v>
      </c>
      <c r="F162" s="33">
        <f ca="1">_xll.DBRW($C$1,$C$2,$C$3,$C$4,$C$6,$C$5,$C$7,F$1,F$2,$A162)</f>
        <v>-4.3643267934349357</v>
      </c>
      <c r="G162" s="33">
        <f ca="1">_xll.DBRW($C$1,$C$2,$C$3,$C$4,$C$6,$C$5,$C$7,G$1,G$2,$A162)</f>
        <v>-4.4832943715270321</v>
      </c>
      <c r="H162" s="33">
        <f ca="1">_xll.DBRW($C$1,$C$2,$C$3,$C$4,$C$6,$C$5,$C$7,H$1,H$2,$A162)</f>
        <v>-5.2595683650190788</v>
      </c>
      <c r="J162" s="33">
        <f t="shared" ca="1" si="41"/>
        <v>0.11896757809209646</v>
      </c>
      <c r="K162" s="33">
        <f t="shared" ca="1" si="42"/>
        <v>0.89524157158414308</v>
      </c>
    </row>
    <row r="163" spans="1:11" ht="15.75" hidden="1" customHeight="1">
      <c r="A163" s="1" t="s">
        <v>255</v>
      </c>
      <c r="C163" s="104"/>
      <c r="E163" s="9" t="str">
        <f ca="1">_xll.DBRW(Server&amp;"}ElementAttributes_Indicator",A163,"code_English")</f>
        <v>PL1116_MI - COS - Lease expenses (MI)</v>
      </c>
      <c r="F163" s="33">
        <f ca="1">_xll.DBRW($C$1,$C$2,$C$3,$C$4,$C$6,$C$5,$C$7,F$1,F$2,$A163)</f>
        <v>-0.149976628610624</v>
      </c>
      <c r="G163" s="33">
        <f ca="1">_xll.DBRW($C$1,$C$2,$C$3,$C$4,$C$6,$C$5,$C$7,G$1,G$2,$A163)</f>
        <v>-0.15268239629903832</v>
      </c>
      <c r="H163" s="33">
        <f ca="1">_xll.DBRW($C$1,$C$2,$C$3,$C$4,$C$6,$C$5,$C$7,H$1,H$2,$A163)</f>
        <v>-0.14373082524298536</v>
      </c>
      <c r="J163" s="33">
        <f t="shared" ca="1" si="41"/>
        <v>2.7057676884143234E-3</v>
      </c>
      <c r="K163" s="33">
        <f t="shared" ca="1" si="42"/>
        <v>-6.245803367638636E-3</v>
      </c>
    </row>
    <row r="164" spans="1:11" ht="15.75" hidden="1" customHeight="1">
      <c r="A164" s="1" t="s">
        <v>256</v>
      </c>
      <c r="C164" s="104"/>
      <c r="E164" s="9" t="str">
        <f ca="1">_xll.DBRW(Server&amp;"}ElementAttributes_Indicator",A164,"code_English")</f>
        <v>PL1145_MI - Impairment - working capital (MI)</v>
      </c>
      <c r="F164" s="33">
        <f ca="1">_xll.DBRW($C$1,$C$2,$C$3,$C$4,$C$6,$C$5,$C$7,F$1,F$2,$A164)</f>
        <v>0</v>
      </c>
      <c r="G164" s="33">
        <f ca="1">_xll.DBRW($C$1,$C$2,$C$3,$C$4,$C$6,$C$5,$C$7,G$1,G$2,$A164)</f>
        <v>0</v>
      </c>
      <c r="H164" s="33">
        <f ca="1">_xll.DBRW($C$1,$C$2,$C$3,$C$4,$C$6,$C$5,$C$7,H$1,H$2,$A164)</f>
        <v>0</v>
      </c>
      <c r="J164" s="33">
        <f t="shared" ca="1" si="41"/>
        <v>0</v>
      </c>
      <c r="K164" s="33">
        <f t="shared" ca="1" si="42"/>
        <v>0</v>
      </c>
    </row>
    <row r="165" spans="1:11" ht="15.75" hidden="1" customHeight="1">
      <c r="A165" s="1" t="s">
        <v>257</v>
      </c>
      <c r="C165" s="104"/>
      <c r="E165" s="9" t="str">
        <f ca="1">_xll.DBRW(Server&amp;"}ElementAttributes_Indicator",A165,"code_English")</f>
        <v>PL1155_MI_99 - Reinvoicing - Others (MI)</v>
      </c>
      <c r="F165" s="33">
        <f ca="1">_xll.DBRW($C$1,$C$2,$C$3,$C$4,$C$6,$C$5,$C$7,F$1,F$2,$A165)</f>
        <v>5.69682E-3</v>
      </c>
      <c r="G165" s="33">
        <f ca="1">_xll.DBRW($C$1,$C$2,$C$3,$C$4,$C$6,$C$5,$C$7,G$1,G$2,$A165)</f>
        <v>0.77724422484573175</v>
      </c>
      <c r="H165" s="33">
        <f ca="1">_xll.DBRW($C$1,$C$2,$C$3,$C$4,$C$6,$C$5,$C$7,H$1,H$2,$A165)</f>
        <v>0.81632494279642043</v>
      </c>
      <c r="J165" s="33">
        <f t="shared" ca="1" si="41"/>
        <v>-0.7715474048457317</v>
      </c>
      <c r="K165" s="33">
        <f t="shared" ca="1" si="42"/>
        <v>-0.81062812279642038</v>
      </c>
    </row>
    <row r="166" spans="1:11" ht="15.75" hidden="1" customHeight="1">
      <c r="A166" s="1" t="s">
        <v>258</v>
      </c>
      <c r="C166" s="104"/>
      <c r="E166" s="9" t="str">
        <f ca="1">_xll.DBRW(Server&amp;"}ElementAttributes_Indicator",A166,"code_English")</f>
        <v>PL1115_MI_99 - Others (MI)</v>
      </c>
      <c r="F166" s="33">
        <f ca="1">_xll.DBRW($C$1,$C$2,$C$3,$C$4,$C$6,$C$5,$C$7,F$1,F$2,$A166)</f>
        <v>-16.002416088495824</v>
      </c>
      <c r="G166" s="33">
        <f ca="1">_xll.DBRW($C$1,$C$2,$C$3,$C$4,$C$6,$C$5,$C$7,G$1,G$2,$A166)</f>
        <v>-10.519220212249717</v>
      </c>
      <c r="H166" s="33">
        <f ca="1">_xll.DBRW($C$1,$C$2,$C$3,$C$4,$C$6,$C$5,$C$7,H$1,H$2,$A166)</f>
        <v>-13.889178760646701</v>
      </c>
      <c r="J166" s="33">
        <f t="shared" ca="1" si="41"/>
        <v>-5.483195876246107</v>
      </c>
      <c r="K166" s="33">
        <f t="shared" ca="1" si="42"/>
        <v>-2.1132373278491237</v>
      </c>
    </row>
    <row r="167" spans="1:11" ht="15.75" hidden="1" customHeight="1">
      <c r="A167" s="1" t="s">
        <v>259</v>
      </c>
      <c r="C167" s="104"/>
      <c r="E167" s="9" t="str">
        <f ca="1">_xll.DBRW(Server&amp;"}ElementAttributes_Indicator",A167,"code_English")</f>
        <v>PL1115_MI_12 - Subcontracting cleaning (MI)</v>
      </c>
      <c r="F167" s="33">
        <f ca="1">_xll.DBRW($C$1,$C$2,$C$3,$C$4,$C$6,$C$5,$C$7,F$1,F$2,$A167)</f>
        <v>-0.15537103663380711</v>
      </c>
      <c r="G167" s="33">
        <f ca="1">_xll.DBRW($C$1,$C$2,$C$3,$C$4,$C$6,$C$5,$C$7,G$1,G$2,$A167)</f>
        <v>-9.7808180532717046E-2</v>
      </c>
      <c r="H167" s="33">
        <f ca="1">_xll.DBRW($C$1,$C$2,$C$3,$C$4,$C$6,$C$5,$C$7,H$1,H$2,$A167)</f>
        <v>-7.7203256536274523E-2</v>
      </c>
      <c r="J167" s="33">
        <f t="shared" ca="1" si="41"/>
        <v>-5.7562856101090062E-2</v>
      </c>
      <c r="K167" s="33">
        <f t="shared" ca="1" si="42"/>
        <v>-7.8167780097532585E-2</v>
      </c>
    </row>
    <row r="168" spans="1:11" ht="15.75" hidden="1" customHeight="1">
      <c r="A168" s="1" t="s">
        <v>260</v>
      </c>
      <c r="C168" s="104"/>
      <c r="E168" s="9" t="str">
        <f ca="1">_xll.DBRW(Server&amp;"}ElementAttributes_Indicator",A168,"code_English")</f>
        <v>PL1115_MI_11 - Subcontracting maintenance (MI)</v>
      </c>
      <c r="F168" s="33">
        <f ca="1">_xll.DBRW($C$1,$C$2,$C$3,$C$4,$C$6,$C$5,$C$7,F$1,F$2,$A168)</f>
        <v>-5.5866342847258652</v>
      </c>
      <c r="G168" s="33">
        <f ca="1">_xll.DBRW($C$1,$C$2,$C$3,$C$4,$C$6,$C$5,$C$7,G$1,G$2,$A168)</f>
        <v>-4.7515848792882842</v>
      </c>
      <c r="H168" s="33">
        <f ca="1">_xll.DBRW($C$1,$C$2,$C$3,$C$4,$C$6,$C$5,$C$7,H$1,H$2,$A168)</f>
        <v>-3.3387561670277703</v>
      </c>
      <c r="J168" s="33">
        <f t="shared" ca="1" si="41"/>
        <v>-0.83504940543758099</v>
      </c>
      <c r="K168" s="33">
        <f t="shared" ca="1" si="42"/>
        <v>-2.2478781176980949</v>
      </c>
    </row>
    <row r="169" spans="1:11" ht="15.75" hidden="1" customHeight="1">
      <c r="A169" s="1" t="s">
        <v>261</v>
      </c>
      <c r="C169" s="104"/>
      <c r="E169" s="9" t="str">
        <f ca="1">_xll.DBRW(Server&amp;"}ElementAttributes_Indicator",A169,"code_English")</f>
        <v>PL1140_MI_10 - Amortization (MI)</v>
      </c>
      <c r="F169" s="33">
        <f ca="1">_xll.DBRW($C$1,$C$2,$C$3,$C$4,$C$6,$C$5,$C$7,F$1,F$2,$A169)</f>
        <v>-0.18732842464804428</v>
      </c>
      <c r="G169" s="33">
        <f ca="1">_xll.DBRW($C$1,$C$2,$C$3,$C$4,$C$6,$C$5,$C$7,G$1,G$2,$A169)</f>
        <v>-1.1831147997204854</v>
      </c>
      <c r="H169" s="33">
        <f ca="1">_xll.DBRW($C$1,$C$2,$C$3,$C$4,$C$6,$C$5,$C$7,H$1,H$2,$A169)</f>
        <v>-0.32846911179833427</v>
      </c>
      <c r="J169" s="33">
        <f t="shared" ca="1" si="41"/>
        <v>0.99578637507244117</v>
      </c>
      <c r="K169" s="33">
        <f t="shared" ca="1" si="42"/>
        <v>0.14114068715028999</v>
      </c>
    </row>
    <row r="170" spans="1:11" ht="15.75" hidden="1" customHeight="1">
      <c r="A170" s="1" t="s">
        <v>262</v>
      </c>
      <c r="C170" s="104"/>
      <c r="E170" s="9" t="str">
        <f ca="1">_xll.DBRW(Server&amp;"}ElementAttributes_Indicator",A170,"code_English")</f>
        <v>PL1150_MI_10 - Impairment (other than working capital) and provisions - related to staff costs (MI)</v>
      </c>
      <c r="F170" s="33">
        <f ca="1">_xll.DBRW($C$1,$C$2,$C$3,$C$4,$C$6,$C$5,$C$7,F$1,F$2,$A170)</f>
        <v>-1.43057661275903E-4</v>
      </c>
      <c r="G170" s="33">
        <f ca="1">_xll.DBRW($C$1,$C$2,$C$3,$C$4,$C$6,$C$5,$C$7,G$1,G$2,$A170)</f>
        <v>1.5996347793885083E-3</v>
      </c>
      <c r="H170" s="33">
        <f ca="1">_xll.DBRW($C$1,$C$2,$C$3,$C$4,$C$6,$C$5,$C$7,H$1,H$2,$A170)</f>
        <v>-7.1234899328859059E-3</v>
      </c>
      <c r="J170" s="33">
        <f t="shared" ca="1" si="41"/>
        <v>-1.7426924406644113E-3</v>
      </c>
      <c r="K170" s="33">
        <f t="shared" ca="1" si="42"/>
        <v>6.9804322716100027E-3</v>
      </c>
    </row>
    <row r="171" spans="1:11" ht="15.5" hidden="1" customHeight="1">
      <c r="A171" s="1" t="s">
        <v>142</v>
      </c>
      <c r="C171" s="104"/>
      <c r="E171" s="15" t="s">
        <v>41</v>
      </c>
      <c r="F171" s="34">
        <f t="shared" ref="F171:H171" ca="1" si="45">SUM(F154:F170)</f>
        <v>-98.756655179028058</v>
      </c>
      <c r="G171" s="34">
        <f t="shared" ca="1" si="45"/>
        <v>-84.971010303856531</v>
      </c>
      <c r="H171" s="34">
        <f t="shared" ca="1" si="45"/>
        <v>-97.646939810020129</v>
      </c>
      <c r="J171" s="33">
        <f t="shared" ca="1" si="41"/>
        <v>-13.785644875171528</v>
      </c>
      <c r="K171" s="33">
        <f t="shared" ca="1" si="42"/>
        <v>-1.1097153690079296</v>
      </c>
    </row>
    <row r="172" spans="1:11" ht="15.75" hidden="1" customHeight="1">
      <c r="A172" s="1" t="s">
        <v>263</v>
      </c>
      <c r="C172" s="104"/>
      <c r="E172" s="9" t="str">
        <f ca="1">_xll.DBRW(Server&amp;"}ElementAttributes_Indicator",A172,"code_English")</f>
        <v>PL1100_AC - Capitalized production recognized as inventory, change in inventories (AC)</v>
      </c>
      <c r="F172" s="33">
        <f ca="1">_xll.DBRW($C$1,$C$2,$C$3,$C$4,$C$6,$C$5,$C$7,F$1,F$2,$A172)</f>
        <v>2.2271630000000001E-2</v>
      </c>
      <c r="G172" s="33">
        <f ca="1">_xll.DBRW($C$1,$C$2,$C$3,$C$4,$C$6,$C$5,$C$7,G$1,G$2,$A172)</f>
        <v>-8.9196509999999993E-2</v>
      </c>
      <c r="H172" s="33">
        <f ca="1">_xll.DBRW($C$1,$C$2,$C$3,$C$4,$C$6,$C$5,$C$7,H$1,H$2,$A172)</f>
        <v>6.6666599999999996E-3</v>
      </c>
      <c r="J172" s="33">
        <f t="shared" ca="1" si="41"/>
        <v>0.11146813999999999</v>
      </c>
      <c r="K172" s="33">
        <f t="shared" ca="1" si="42"/>
        <v>1.5604970000000001E-2</v>
      </c>
    </row>
    <row r="173" spans="1:11" ht="15.75" hidden="1" customHeight="1">
      <c r="A173" s="1" t="s">
        <v>264</v>
      </c>
      <c r="C173" s="104"/>
      <c r="E173" s="9" t="str">
        <f ca="1">_xll.DBRW(Server&amp;"}ElementAttributes_Indicator",A173,"code_English")</f>
        <v>PL1110_AC_20 - Health insurance costs (COS)</v>
      </c>
      <c r="F173" s="33">
        <f ca="1">_xll.DBRW($C$1,$C$2,$C$3,$C$4,$C$6,$C$5,$C$7,F$1,F$2,$A173)</f>
        <v>-12.410278959788865</v>
      </c>
      <c r="G173" s="33">
        <f ca="1">_xll.DBRW($C$1,$C$2,$C$3,$C$4,$C$6,$C$5,$C$7,G$1,G$2,$A173)</f>
        <v>-11.598803020959368</v>
      </c>
      <c r="H173" s="33">
        <f ca="1">_xll.DBRW($C$1,$C$2,$C$3,$C$4,$C$6,$C$5,$C$7,H$1,H$2,$A173)</f>
        <v>-13.590930639999996</v>
      </c>
      <c r="J173" s="33">
        <f t="shared" ca="1" si="41"/>
        <v>-0.81147593882949742</v>
      </c>
      <c r="K173" s="33">
        <f t="shared" ca="1" si="42"/>
        <v>1.1806516802111311</v>
      </c>
    </row>
    <row r="174" spans="1:11" ht="15.75" hidden="1" customHeight="1">
      <c r="A174" s="1" t="s">
        <v>265</v>
      </c>
      <c r="C174" s="104"/>
      <c r="E174" s="9" t="str">
        <f ca="1">_xll.DBRW(Server&amp;"}ElementAttributes_Indicator",A174,"code_English")</f>
        <v>PL1115_AC_65 - Others (AC)</v>
      </c>
      <c r="F174" s="33">
        <f ca="1">_xll.DBRW($C$1,$C$2,$C$3,$C$4,$C$6,$C$5,$C$7,F$1,F$2,$A174)</f>
        <v>-8.4170974729798722</v>
      </c>
      <c r="G174" s="33">
        <f ca="1">_xll.DBRW($C$1,$C$2,$C$3,$C$4,$C$6,$C$5,$C$7,G$1,G$2,$A174)</f>
        <v>-8.5722084252720148</v>
      </c>
      <c r="H174" s="33">
        <f ca="1">_xll.DBRW($C$1,$C$2,$C$3,$C$4,$C$6,$C$5,$C$7,H$1,H$2,$A174)</f>
        <v>-8.9309281454668579</v>
      </c>
      <c r="J174" s="33">
        <f t="shared" ca="1" si="41"/>
        <v>0.15511095229214256</v>
      </c>
      <c r="K174" s="33">
        <f t="shared" ca="1" si="42"/>
        <v>0.51383067248698566</v>
      </c>
    </row>
    <row r="175" spans="1:11" ht="15.75" hidden="1" customHeight="1">
      <c r="A175" s="1" t="s">
        <v>266</v>
      </c>
      <c r="C175" s="104"/>
      <c r="E175" s="9" t="str">
        <f ca="1">_xll.DBRW(Server&amp;"}ElementAttributes_Indicator",A175,"code_English")</f>
        <v>PL1116_AC - COS - Lease expenses (AC)</v>
      </c>
      <c r="F175" s="33">
        <f ca="1">_xll.DBRW($C$1,$C$2,$C$3,$C$4,$C$6,$C$5,$C$7,F$1,F$2,$A175)</f>
        <v>-0.22867155298299174</v>
      </c>
      <c r="G175" s="33">
        <f ca="1">_xll.DBRW($C$1,$C$2,$C$3,$C$4,$C$6,$C$5,$C$7,G$1,G$2,$A175)</f>
        <v>-0.16664742999999999</v>
      </c>
      <c r="H175" s="33">
        <f ca="1">_xll.DBRW($C$1,$C$2,$C$3,$C$4,$C$6,$C$5,$C$7,H$1,H$2,$A175)</f>
        <v>-0.17906567875690263</v>
      </c>
      <c r="J175" s="33">
        <f t="shared" ca="1" si="41"/>
        <v>-6.2024122982991758E-2</v>
      </c>
      <c r="K175" s="33">
        <f t="shared" ca="1" si="42"/>
        <v>-4.9605874226089114E-2</v>
      </c>
    </row>
    <row r="176" spans="1:11" ht="15.75" hidden="1" customHeight="1">
      <c r="A176" s="1" t="s">
        <v>267</v>
      </c>
      <c r="C176" s="104"/>
      <c r="E176" s="9" t="str">
        <f ca="1">_xll.DBRW(Server&amp;"}ElementAttributes_Indicator",A176,"code_English")</f>
        <v>PL1126_AC - Replacement and maintenance expenses (AC)</v>
      </c>
      <c r="F176" s="33">
        <f ca="1">_xll.DBRW($C$1,$C$2,$C$3,$C$4,$C$6,$C$5,$C$7,F$1,F$2,$A176)</f>
        <v>0</v>
      </c>
      <c r="G176" s="33">
        <f ca="1">_xll.DBRW($C$1,$C$2,$C$3,$C$4,$C$6,$C$5,$C$7,G$1,G$2,$A176)</f>
        <v>0</v>
      </c>
      <c r="H176" s="33">
        <f ca="1">_xll.DBRW($C$1,$C$2,$C$3,$C$4,$C$6,$C$5,$C$7,H$1,H$2,$A176)</f>
        <v>0</v>
      </c>
      <c r="J176" s="33">
        <f t="shared" ca="1" si="41"/>
        <v>0</v>
      </c>
      <c r="K176" s="33">
        <f t="shared" ca="1" si="42"/>
        <v>0</v>
      </c>
    </row>
    <row r="177" spans="1:11" ht="15.75" hidden="1" customHeight="1">
      <c r="A177" s="1" t="s">
        <v>268</v>
      </c>
      <c r="C177" s="104"/>
      <c r="E177" s="9" t="str">
        <f ca="1">_xll.DBRW(Server&amp;"}ElementAttributes_Indicator",A177,"code_English")</f>
        <v>PL1140_AC_10 - Amortization (AC)</v>
      </c>
      <c r="F177" s="33">
        <f ca="1">_xll.DBRW($C$1,$C$2,$C$3,$C$4,$C$6,$C$5,$C$7,F$1,F$2,$A177)</f>
        <v>-2.6541529170152744E-3</v>
      </c>
      <c r="G177" s="33">
        <f ca="1">_xll.DBRW($C$1,$C$2,$C$3,$C$4,$C$6,$C$5,$C$7,G$1,G$2,$A177)</f>
        <v>-0.2366169741517356</v>
      </c>
      <c r="H177" s="33">
        <f ca="1">_xll.DBRW($C$1,$C$2,$C$3,$C$4,$C$6,$C$5,$C$7,H$1,H$2,$A177)</f>
        <v>-1.3845200000000002E-3</v>
      </c>
      <c r="J177" s="33">
        <f t="shared" ca="1" si="41"/>
        <v>0.23396282123472034</v>
      </c>
      <c r="K177" s="33">
        <f t="shared" ca="1" si="42"/>
        <v>-1.2696329170152742E-3</v>
      </c>
    </row>
    <row r="178" spans="1:11" ht="15.75" hidden="1" customHeight="1">
      <c r="A178" s="1" t="s">
        <v>269</v>
      </c>
      <c r="C178" s="104"/>
      <c r="E178" s="9" t="str">
        <f ca="1">_xll.DBRW(Server&amp;"}ElementAttributes_Indicator",A178,"code_English")</f>
        <v>PL1155_AC_99 - Reinvoicing - Others (AC)</v>
      </c>
      <c r="F178" s="33">
        <f ca="1">_xll.DBRW($C$1,$C$2,$C$3,$C$4,$C$6,$C$5,$C$7,F$1,F$2,$A178)</f>
        <v>3.2081540000000006E-2</v>
      </c>
      <c r="G178" s="33">
        <f ca="1">_xll.DBRW($C$1,$C$2,$C$3,$C$4,$C$6,$C$5,$C$7,G$1,G$2,$A178)</f>
        <v>0.17249760000000003</v>
      </c>
      <c r="H178" s="33">
        <f ca="1">_xll.DBRW($C$1,$C$2,$C$3,$C$4,$C$6,$C$5,$C$7,H$1,H$2,$A178)</f>
        <v>3.621179999999999E-3</v>
      </c>
      <c r="J178" s="33">
        <f t="shared" ca="1" si="41"/>
        <v>-0.14041606000000001</v>
      </c>
      <c r="K178" s="33">
        <f t="shared" ca="1" si="42"/>
        <v>2.8460360000000007E-2</v>
      </c>
    </row>
    <row r="179" spans="1:11" ht="15.75" hidden="1" customHeight="1">
      <c r="A179" s="1" t="s">
        <v>270</v>
      </c>
      <c r="C179" s="104"/>
      <c r="E179" s="9" t="str">
        <f ca="1">_xll.DBRW(Server&amp;"}ElementAttributes_Indicator",A179,"code_English")</f>
        <v>PL1165_AC - Restructuring costs (AC)</v>
      </c>
      <c r="F179" s="33">
        <f ca="1">_xll.DBRW($C$1,$C$2,$C$3,$C$4,$C$6,$C$5,$C$7,F$1,F$2,$A179)</f>
        <v>-0.119614</v>
      </c>
      <c r="G179" s="33">
        <f ca="1">_xll.DBRW($C$1,$C$2,$C$3,$C$4,$C$6,$C$5,$C$7,G$1,G$2,$A179)</f>
        <v>-0.31942576</v>
      </c>
      <c r="H179" s="33">
        <f ca="1">_xll.DBRW($C$1,$C$2,$C$3,$C$4,$C$6,$C$5,$C$7,H$1,H$2,$A179)</f>
        <v>-0.104082936</v>
      </c>
      <c r="J179" s="33">
        <f t="shared" ca="1" si="41"/>
        <v>0.19981176</v>
      </c>
      <c r="K179" s="33">
        <f t="shared" ca="1" si="42"/>
        <v>-1.5531063999999997E-2</v>
      </c>
    </row>
    <row r="180" spans="1:11" ht="15.75" hidden="1" customHeight="1">
      <c r="A180" s="1" t="s">
        <v>271</v>
      </c>
      <c r="C180" s="104"/>
      <c r="E180" s="9" t="str">
        <f ca="1">_xll.DBRW(Server&amp;"}ElementAttributes_Indicator",A180,"code_English")</f>
        <v>PL1145_AC - Impairment - working capital (AC)</v>
      </c>
      <c r="F180" s="33">
        <f ca="1">_xll.DBRW($C$1,$C$2,$C$3,$C$4,$C$6,$C$5,$C$7,F$1,F$2,$A180)</f>
        <v>0.34959903624095789</v>
      </c>
      <c r="G180" s="33">
        <f ca="1">_xll.DBRW($C$1,$C$2,$C$3,$C$4,$C$6,$C$5,$C$7,G$1,G$2,$A180)</f>
        <v>-1.2514561056795541</v>
      </c>
      <c r="H180" s="33">
        <f ca="1">_xll.DBRW($C$1,$C$2,$C$3,$C$4,$C$6,$C$5,$C$7,H$1,H$2,$A180)</f>
        <v>-9.6439999999999991E-5</v>
      </c>
      <c r="J180" s="33">
        <f t="shared" ca="1" si="41"/>
        <v>1.6010551419205119</v>
      </c>
      <c r="K180" s="33">
        <f t="shared" ca="1" si="42"/>
        <v>0.34969547624095787</v>
      </c>
    </row>
    <row r="181" spans="1:11" ht="15.75" hidden="1" customHeight="1">
      <c r="A181" s="1" t="s">
        <v>272</v>
      </c>
      <c r="C181" s="104"/>
      <c r="E181" s="9" t="str">
        <f ca="1">_xll.DBRW(Server&amp;"}ElementAttributes_Indicator",A181,"code_English")</f>
        <v>PL1150_AC_30 - Impairment (other than working capital) and provisions - related to onerous contracts</v>
      </c>
      <c r="F181" s="33">
        <f ca="1">_xll.DBRW($C$1,$C$2,$C$3,$C$4,$C$6,$C$5,$C$7,F$1,F$2,$A181)</f>
        <v>2.0926486877047767</v>
      </c>
      <c r="G181" s="33">
        <f ca="1">_xll.DBRW($C$1,$C$2,$C$3,$C$4,$C$6,$C$5,$C$7,G$1,G$2,$A181)</f>
        <v>1.8251659999999998</v>
      </c>
      <c r="H181" s="33">
        <f ca="1">_xll.DBRW($C$1,$C$2,$C$3,$C$4,$C$6,$C$5,$C$7,H$1,H$2,$A181)</f>
        <v>2.2729488399999997</v>
      </c>
      <c r="J181" s="33">
        <f t="shared" ca="1" si="41"/>
        <v>0.2674826877047769</v>
      </c>
      <c r="K181" s="33">
        <f t="shared" ca="1" si="42"/>
        <v>-0.180300152295223</v>
      </c>
    </row>
    <row r="182" spans="1:11" ht="15.75" hidden="1" customHeight="1">
      <c r="A182" s="1" t="s">
        <v>273</v>
      </c>
      <c r="C182" s="104"/>
      <c r="E182" s="9" t="str">
        <f ca="1">_xll.DBRW(Server&amp;"}ElementAttributes_Indicator",A182,"code_English")</f>
        <v>PL1150_AC_31 - Impairment (other than working capital) and provisions - related to onerous contracts - Reversal</v>
      </c>
      <c r="F182" s="33">
        <f ca="1">_xll.DBRW($C$1,$C$2,$C$3,$C$4,$C$6,$C$5,$C$7,F$1,F$2,$A182)</f>
        <v>0.34414995679999999</v>
      </c>
      <c r="G182" s="33">
        <f ca="1">_xll.DBRW($C$1,$C$2,$C$3,$C$4,$C$6,$C$5,$C$7,G$1,G$2,$A182)</f>
        <v>0.27217399999999997</v>
      </c>
      <c r="H182" s="33">
        <f ca="1">_xll.DBRW($C$1,$C$2,$C$3,$C$4,$C$6,$C$5,$C$7,H$1,H$2,$A182)</f>
        <v>0.34413509999999997</v>
      </c>
      <c r="J182" s="33">
        <f t="shared" ca="1" si="41"/>
        <v>7.1975956800000018E-2</v>
      </c>
      <c r="K182" s="33">
        <f t="shared" ca="1" si="42"/>
        <v>1.4856800000018211E-5</v>
      </c>
    </row>
    <row r="183" spans="1:11" ht="15.75" hidden="1" customHeight="1">
      <c r="A183" s="1" t="s">
        <v>274</v>
      </c>
      <c r="C183" s="104"/>
      <c r="E183" s="9" t="str">
        <f ca="1">_xll.DBRW(Server&amp;"}ElementAttributes_Indicator",A183,"code_English")</f>
        <v>PL1150_AC_90 - Impairment (other than working capital) and provisions - others (AC)</v>
      </c>
      <c r="F183" s="33">
        <f ca="1">_xll.DBRW($C$1,$C$2,$C$3,$C$4,$C$6,$C$5,$C$7,F$1,F$2,$A183)</f>
        <v>-0.43447755380530478</v>
      </c>
      <c r="G183" s="33">
        <f ca="1">_xll.DBRW($C$1,$C$2,$C$3,$C$4,$C$6,$C$5,$C$7,G$1,G$2,$A183)</f>
        <v>-1.0659216840647723</v>
      </c>
      <c r="H183" s="33">
        <f ca="1">_xll.DBRW($C$1,$C$2,$C$3,$C$4,$C$6,$C$5,$C$7,H$1,H$2,$A183)</f>
        <v>1.0000111849706173E-11</v>
      </c>
      <c r="J183" s="33">
        <f t="shared" ca="1" si="41"/>
        <v>0.63144413025946755</v>
      </c>
      <c r="K183" s="33">
        <f t="shared" ca="1" si="42"/>
        <v>-0.4344775538153049</v>
      </c>
    </row>
    <row r="184" spans="1:11" ht="15.75" hidden="1" customHeight="1">
      <c r="A184" s="1" t="s">
        <v>275</v>
      </c>
      <c r="C184" s="104"/>
      <c r="E184" s="9" t="str">
        <f ca="1">_xll.DBRW(Server&amp;"}ElementAttributes_Indicator",A184,"code_English")</f>
        <v>PL1150_AC_91 - Impairment (other than working capital) and provisions - others - Reversal</v>
      </c>
      <c r="F184" s="33">
        <f ca="1">_xll.DBRW($C$1,$C$2,$C$3,$C$4,$C$6,$C$5,$C$7,F$1,F$2,$A184)</f>
        <v>0</v>
      </c>
      <c r="G184" s="33">
        <f ca="1">_xll.DBRW($C$1,$C$2,$C$3,$C$4,$C$6,$C$5,$C$7,G$1,G$2,$A184)</f>
        <v>3.006E-5</v>
      </c>
      <c r="H184" s="33">
        <f ca="1">_xll.DBRW($C$1,$C$2,$C$3,$C$4,$C$6,$C$5,$C$7,H$1,H$2,$A184)</f>
        <v>0</v>
      </c>
      <c r="J184" s="33">
        <f t="shared" ca="1" si="41"/>
        <v>-3.006E-5</v>
      </c>
      <c r="K184" s="33">
        <f t="shared" ca="1" si="42"/>
        <v>0</v>
      </c>
    </row>
    <row r="185" spans="1:11" ht="15.75" hidden="1" customHeight="1">
      <c r="A185" s="1" t="s">
        <v>276</v>
      </c>
      <c r="C185" s="104"/>
      <c r="E185" s="9" t="str">
        <f ca="1">_xll.DBRW(Server&amp;"}ElementAttributes_Indicator",A185,"code_English")</f>
        <v>PL1170_AC - Net provisions for restructuring costs (AC)</v>
      </c>
      <c r="F185" s="33">
        <f ca="1">_xll.DBRW($C$1,$C$2,$C$3,$C$4,$C$6,$C$5,$C$7,F$1,F$2,$A185)</f>
        <v>0.36831415000000001</v>
      </c>
      <c r="G185" s="33">
        <f ca="1">_xll.DBRW($C$1,$C$2,$C$3,$C$4,$C$6,$C$5,$C$7,G$1,G$2,$A185)</f>
        <v>-1.4385292699999999</v>
      </c>
      <c r="H185" s="33">
        <f ca="1">_xll.DBRW($C$1,$C$2,$C$3,$C$4,$C$6,$C$5,$C$7,H$1,H$2,$A185)</f>
        <v>5.3082935999999997E-2</v>
      </c>
      <c r="J185" s="33">
        <f t="shared" ca="1" si="41"/>
        <v>1.8068434199999999</v>
      </c>
      <c r="K185" s="33">
        <f t="shared" ca="1" si="42"/>
        <v>0.31523121399999998</v>
      </c>
    </row>
    <row r="186" spans="1:11" ht="15.75" hidden="1" customHeight="1">
      <c r="A186" s="1" t="s">
        <v>277</v>
      </c>
      <c r="C186" s="104"/>
      <c r="E186" s="9" t="str">
        <f ca="1">_xll.DBRW(Server&amp;"}ElementAttributes_Indicator",A186,"code_English")</f>
        <v>PL1175_AC - Impairment on goodwill (full and proportionate consol.) (AC)</v>
      </c>
      <c r="F186" s="33">
        <f ca="1">_xll.DBRW($C$1,$C$2,$C$3,$C$4,$C$6,$C$5,$C$7,F$1,F$2,$A186)</f>
        <v>0</v>
      </c>
      <c r="G186" s="33">
        <f ca="1">_xll.DBRW($C$1,$C$2,$C$3,$C$4,$C$6,$C$5,$C$7,G$1,G$2,$A186)</f>
        <v>0</v>
      </c>
      <c r="H186" s="33">
        <f ca="1">_xll.DBRW($C$1,$C$2,$C$3,$C$4,$C$6,$C$5,$C$7,H$1,H$2,$A186)</f>
        <v>0</v>
      </c>
      <c r="J186" s="33">
        <f t="shared" ca="1" si="41"/>
        <v>0</v>
      </c>
      <c r="K186" s="33">
        <f t="shared" ca="1" si="42"/>
        <v>0</v>
      </c>
    </row>
    <row r="187" spans="1:11" ht="15.5" hidden="1" customHeight="1">
      <c r="A187" s="1" t="s">
        <v>142</v>
      </c>
      <c r="C187" s="104"/>
      <c r="E187" s="14" t="s">
        <v>35</v>
      </c>
      <c r="F187" s="33">
        <f t="shared" ref="F187:H187" ca="1" si="46">SUM(F172:F186)</f>
        <v>-18.403728691728315</v>
      </c>
      <c r="G187" s="33">
        <f t="shared" ca="1" si="46"/>
        <v>-22.468937520127451</v>
      </c>
      <c r="H187" s="33">
        <f t="shared" ca="1" si="46"/>
        <v>-20.126033644213759</v>
      </c>
      <c r="J187" s="33">
        <f t="shared" ca="1" si="41"/>
        <v>4.0652088283991361</v>
      </c>
      <c r="K187" s="33">
        <f t="shared" ca="1" si="42"/>
        <v>1.7223049524854446</v>
      </c>
    </row>
    <row r="188" spans="1:11" ht="15.5" hidden="1" customHeight="1" collapsed="1">
      <c r="A188" s="1" t="s">
        <v>142</v>
      </c>
      <c r="C188" s="104"/>
      <c r="E188" s="11" t="s">
        <v>42</v>
      </c>
      <c r="F188" s="35">
        <f t="shared" ref="F188:H188" ca="1" si="47">F187+F171+F153+F139+F130</f>
        <v>-292.23532646658344</v>
      </c>
      <c r="G188" s="35">
        <f t="shared" ca="1" si="47"/>
        <v>-254.03430458184121</v>
      </c>
      <c r="H188" s="35">
        <f t="shared" ca="1" si="47"/>
        <v>-290.43643714236782</v>
      </c>
      <c r="J188" s="33">
        <f t="shared" ca="1" si="41"/>
        <v>-38.201021884742232</v>
      </c>
      <c r="K188" s="33">
        <f t="shared" ca="1" si="42"/>
        <v>-1.7988893242156223</v>
      </c>
    </row>
    <row r="189" spans="1:11" ht="15.75" hidden="1" customHeight="1">
      <c r="A189" s="1" t="s">
        <v>278</v>
      </c>
      <c r="C189" s="104"/>
      <c r="E189" s="9" t="str">
        <f ca="1">_xll.DBRW(Server&amp;"}ElementAttributes_Indicator",A189,"code_English")</f>
        <v>PL1100_XX - Vector Reconciliation (TPL11) - Capitalized production recognized as inventory, change in inventories</v>
      </c>
      <c r="F189" s="32">
        <f ca="1">_xll.DBRW($C$1,$C$2,$C$3,$C$4,$C$6,$C$5,$C$7,F$1,F$2,$A189)</f>
        <v>0.13572837000000001</v>
      </c>
      <c r="G189" s="32">
        <f ca="1">_xll.DBRW($C$1,$C$2,$C$3,$C$4,$C$6,$C$5,$C$7,G$1,G$2,$A189)</f>
        <v>0.48219651000000002</v>
      </c>
      <c r="H189" s="32">
        <f ca="1">_xll.DBRW($C$1,$C$2,$C$3,$C$4,$C$6,$C$5,$C$7,H$1,H$2,$A189)</f>
        <v>0.79433334</v>
      </c>
      <c r="J189" s="33">
        <f t="shared" ca="1" si="41"/>
        <v>-0.34646814000000004</v>
      </c>
      <c r="K189" s="33">
        <f t="shared" ca="1" si="42"/>
        <v>-0.65860496999999996</v>
      </c>
    </row>
    <row r="190" spans="1:11" ht="15.75" hidden="1" customHeight="1">
      <c r="A190" s="1" t="s">
        <v>279</v>
      </c>
      <c r="C190" s="104"/>
      <c r="E190" s="9" t="str">
        <f ca="1">_xll.DBRW(Server&amp;"}ElementAttributes_Indicator",A190,"code_English")</f>
        <v>PL1105_XX - Vector Reconciliation (TPL11) - Revenue received on behalf of 3rd parties</v>
      </c>
      <c r="F190" s="32">
        <f ca="1">_xll.DBRW($C$1,$C$2,$C$3,$C$4,$C$6,$C$5,$C$7,F$1,F$2,$A190)</f>
        <v>0</v>
      </c>
      <c r="G190" s="32">
        <f ca="1">_xll.DBRW($C$1,$C$2,$C$3,$C$4,$C$6,$C$5,$C$7,G$1,G$2,$A190)</f>
        <v>0</v>
      </c>
      <c r="H190" s="32">
        <f ca="1">_xll.DBRW($C$1,$C$2,$C$3,$C$4,$C$6,$C$5,$C$7,H$1,H$2,$A190)</f>
        <v>0</v>
      </c>
      <c r="J190" s="33">
        <f t="shared" ca="1" si="41"/>
        <v>0</v>
      </c>
      <c r="K190" s="33">
        <f t="shared" ca="1" si="42"/>
        <v>0</v>
      </c>
    </row>
    <row r="191" spans="1:11" ht="15.75" hidden="1" customHeight="1">
      <c r="A191" s="1" t="s">
        <v>280</v>
      </c>
      <c r="C191" s="104"/>
      <c r="E191" s="9" t="str">
        <f ca="1">_xll.DBRW(Server&amp;"}ElementAttributes_Indicator",A191,"code_English")</f>
        <v>PL1110_XX - Vector Reconciliation (TPL11) - Staff costs</v>
      </c>
      <c r="F191" s="32">
        <f ca="1">_xll.DBRW($C$1,$C$2,$C$3,$C$4,$C$6,$C$5,$C$7,F$1,F$2,$A191)</f>
        <v>-15.133713418691826</v>
      </c>
      <c r="G191" s="32">
        <f ca="1">_xll.DBRW($C$1,$C$2,$C$3,$C$4,$C$6,$C$5,$C$7,G$1,G$2,$A191)</f>
        <v>-27.647358772412218</v>
      </c>
      <c r="H191" s="32">
        <f ca="1">_xll.DBRW($C$1,$C$2,$C$3,$C$4,$C$6,$C$5,$C$7,H$1,H$2,$A191)</f>
        <v>-47.303633962175127</v>
      </c>
      <c r="J191" s="33">
        <f t="shared" ca="1" si="41"/>
        <v>12.513645353720392</v>
      </c>
      <c r="K191" s="33">
        <f t="shared" ca="1" si="42"/>
        <v>32.1699205434833</v>
      </c>
    </row>
    <row r="192" spans="1:11" ht="15.75" hidden="1" customHeight="1">
      <c r="A192" s="1" t="s">
        <v>281</v>
      </c>
      <c r="C192" s="104"/>
      <c r="E192" s="9" t="str">
        <f ca="1">_xll.DBRW(Server&amp;"}ElementAttributes_Indicator",A192,"code_English")</f>
        <v>PL1111_XX - Vector Reconciliation (TPL11) - Staff costs - Stock Options</v>
      </c>
      <c r="F192" s="32">
        <f ca="1">_xll.DBRW($C$1,$C$2,$C$3,$C$4,$C$6,$C$5,$C$7,F$1,F$2,$A192)</f>
        <v>0</v>
      </c>
      <c r="G192" s="32">
        <f ca="1">_xll.DBRW($C$1,$C$2,$C$3,$C$4,$C$6,$C$5,$C$7,G$1,G$2,$A192)</f>
        <v>0</v>
      </c>
      <c r="H192" s="32">
        <f ca="1">_xll.DBRW($C$1,$C$2,$C$3,$C$4,$C$6,$C$5,$C$7,H$1,H$2,$A192)</f>
        <v>0</v>
      </c>
      <c r="J192" s="33">
        <f t="shared" ca="1" si="41"/>
        <v>0</v>
      </c>
      <c r="K192" s="33">
        <f t="shared" ca="1" si="42"/>
        <v>0</v>
      </c>
    </row>
    <row r="193" spans="1:17" ht="15.75" hidden="1" customHeight="1">
      <c r="A193" s="1" t="s">
        <v>282</v>
      </c>
      <c r="C193" s="104"/>
      <c r="E193" s="9" t="str">
        <f ca="1">_xll.DBRW(Server&amp;"}ElementAttributes_Indicator",A193,"code_English")</f>
        <v>PL1115_XX - Vector Reconciliation (TPL11) - Other expenses</v>
      </c>
      <c r="F193" s="32">
        <f ca="1">_xll.DBRW($C$1,$C$2,$C$3,$C$4,$C$6,$C$5,$C$7,F$1,F$2,$A193)</f>
        <v>-31.646651109999524</v>
      </c>
      <c r="G193" s="32">
        <f ca="1">_xll.DBRW($C$1,$C$2,$C$3,$C$4,$C$6,$C$5,$C$7,G$1,G$2,$A193)</f>
        <v>-30.094815938333717</v>
      </c>
      <c r="H193" s="32">
        <f ca="1">_xll.DBRW($C$1,$C$2,$C$3,$C$4,$C$6,$C$5,$C$7,H$1,H$2,$A193)</f>
        <v>-46.40606660086668</v>
      </c>
      <c r="J193" s="33">
        <f t="shared" ca="1" si="41"/>
        <v>-1.5518351716658074</v>
      </c>
      <c r="K193" s="33">
        <f t="shared" ca="1" si="42"/>
        <v>14.759415490867156</v>
      </c>
    </row>
    <row r="194" spans="1:17" ht="15.75" hidden="1" customHeight="1">
      <c r="A194" s="1" t="s">
        <v>283</v>
      </c>
      <c r="C194" s="104"/>
      <c r="E194" s="9" t="str">
        <f ca="1">_xll.DBRW(Server&amp;"}ElementAttributes_Indicator",A194,"code_English")</f>
        <v>PL1115A_XX - Vector Reconciliation (TPL11) - Adjustment to operating profit</v>
      </c>
      <c r="F194" s="32">
        <f ca="1">_xll.DBRW($C$1,$C$2,$C$3,$C$4,$C$6,$C$5,$C$7,F$1,F$2,$A194)</f>
        <v>0.56445431400000012</v>
      </c>
      <c r="G194" s="32">
        <f ca="1">_xll.DBRW($C$1,$C$2,$C$3,$C$4,$C$6,$C$5,$C$7,G$1,G$2,$A194)</f>
        <v>-0.57115030700000036</v>
      </c>
      <c r="H194" s="32">
        <f ca="1">_xll.DBRW($C$1,$C$2,$C$3,$C$4,$C$6,$C$5,$C$7,H$1,H$2,$A194)</f>
        <v>-0.13000363500000006</v>
      </c>
      <c r="J194" s="33">
        <f t="shared" ca="1" si="41"/>
        <v>1.1356046210000006</v>
      </c>
      <c r="K194" s="33">
        <f t="shared" ca="1" si="42"/>
        <v>0.69445794900000024</v>
      </c>
    </row>
    <row r="195" spans="1:17" ht="15.75" hidden="1" customHeight="1">
      <c r="A195" s="1" t="s">
        <v>284</v>
      </c>
      <c r="C195" s="104"/>
      <c r="E195" s="9" t="str">
        <f ca="1">_xll.DBRW(Server&amp;"}ElementAttributes_Indicator",A195,"code_English")</f>
        <v>PL1115S_XX - Vector Reconciliation (TPL11) - COS - Subcontracting transportation costs</v>
      </c>
      <c r="F195" s="76"/>
      <c r="G195" s="76"/>
      <c r="H195" s="76"/>
      <c r="I195" s="77"/>
      <c r="J195" s="33">
        <f t="shared" ref="J195:J220" ca="1" si="48">F195-G195</f>
        <v>0</v>
      </c>
      <c r="K195" s="33">
        <f t="shared" ref="K195:K220" si="49">F195-H195</f>
        <v>0</v>
      </c>
      <c r="L195" s="77"/>
      <c r="M195" s="77"/>
      <c r="N195" s="77"/>
      <c r="O195" s="77"/>
      <c r="P195" s="77"/>
      <c r="Q195" s="77"/>
    </row>
    <row r="196" spans="1:17" ht="15.75" hidden="1" customHeight="1">
      <c r="A196" s="1" t="s">
        <v>285</v>
      </c>
      <c r="C196" s="104"/>
      <c r="E196" s="9" t="str">
        <f ca="1">_xll.DBRW(Server&amp;"}ElementAttributes_Indicator",A196,"code_English")</f>
        <v>PL1116_XX - Vector Reconciliation (TPL11) - COS - Lease expenses</v>
      </c>
      <c r="F196" s="32">
        <f ca="1">_xll.DBRW($C$1,$C$2,$C$3,$C$4,$C$6,$C$5,$C$7,F$1,F$2,$A196)</f>
        <v>2.5043876363874231</v>
      </c>
      <c r="G196" s="32">
        <f ca="1">_xll.DBRW($C$1,$C$2,$C$3,$C$4,$C$6,$C$5,$C$7,G$1,G$2,$A196)</f>
        <v>0.68982293558038299</v>
      </c>
      <c r="H196" s="32">
        <f ca="1">_xll.DBRW($C$1,$C$2,$C$3,$C$4,$C$6,$C$5,$C$7,H$1,H$2,$A196)</f>
        <v>-2.0776066268817748</v>
      </c>
      <c r="J196" s="33">
        <f t="shared" ca="1" si="48"/>
        <v>1.8145647008070402</v>
      </c>
      <c r="K196" s="33">
        <f t="shared" ca="1" si="49"/>
        <v>4.5819942632691983</v>
      </c>
    </row>
    <row r="197" spans="1:17" ht="15.75" hidden="1" customHeight="1">
      <c r="A197" s="1" t="s">
        <v>286</v>
      </c>
      <c r="C197" s="104"/>
      <c r="E197" s="9" t="str">
        <f ca="1">_xll.DBRW(Server&amp;"}ElementAttributes_Indicator",A197,"code_English")</f>
        <v>PL1117_XX - Réconciliation Vector (TPL11) - COS - Lease expenses (IFRIC12)</v>
      </c>
      <c r="F197" s="32">
        <f ca="1">_xll.DBRW($C$1,$C$2,$C$3,$C$4,$C$6,$C$5,$C$7,F$1,F$2,$A197)</f>
        <v>10.060228287000001</v>
      </c>
      <c r="G197" s="32">
        <f ca="1">_xll.DBRW($C$1,$C$2,$C$3,$C$4,$C$6,$C$5,$C$7,G$1,G$2,$A197)</f>
        <v>8.2714535799999993</v>
      </c>
      <c r="H197" s="32">
        <f ca="1">_xll.DBRW($C$1,$C$2,$C$3,$C$4,$C$6,$C$5,$C$7,H$1,H$2,$A197)</f>
        <v>16.561340553000001</v>
      </c>
      <c r="J197" s="33">
        <f t="shared" ca="1" si="48"/>
        <v>1.7887747070000017</v>
      </c>
      <c r="K197" s="33">
        <f t="shared" ca="1" si="49"/>
        <v>-6.5011122659999998</v>
      </c>
    </row>
    <row r="198" spans="1:17" ht="15.75" hidden="1" customHeight="1">
      <c r="A198" s="1" t="s">
        <v>287</v>
      </c>
      <c r="C198" s="104"/>
      <c r="E198" s="9" t="str">
        <f ca="1">_xll.DBRW(Server&amp;"}ElementAttributes_Indicator",A198,"code_English")</f>
        <v>PL1118_XX - Réconciliation Vector (TPL11) - IFRS16 adjustment through P&amp;L</v>
      </c>
      <c r="F198" s="32">
        <f ca="1">_xll.DBRW($C$1,$C$2,$C$3,$C$4,$C$6,$C$5,$C$7,F$1,F$2,$A198)</f>
        <v>-1.0556309999999996E-3</v>
      </c>
      <c r="G198" s="32">
        <f ca="1">_xll.DBRW($C$1,$C$2,$C$3,$C$4,$C$6,$C$5,$C$7,G$1,G$2,$A198)</f>
        <v>0.49682141218374737</v>
      </c>
      <c r="H198" s="32">
        <f ca="1">_xll.DBRW($C$1,$C$2,$C$3,$C$4,$C$6,$C$5,$C$7,H$1,H$2,$A198)</f>
        <v>0</v>
      </c>
      <c r="J198" s="33">
        <f t="shared" ca="1" si="48"/>
        <v>-0.49787704318374737</v>
      </c>
      <c r="K198" s="33">
        <f t="shared" ca="1" si="49"/>
        <v>-1.0556309999999996E-3</v>
      </c>
    </row>
    <row r="199" spans="1:17" ht="15.75" hidden="1" customHeight="1">
      <c r="A199" s="1" t="s">
        <v>288</v>
      </c>
      <c r="C199" s="104"/>
      <c r="E199" s="9" t="str">
        <f ca="1">_xll.DBRW(Server&amp;"}ElementAttributes_Indicator",A199,"code_English")</f>
        <v>PL1120_XX - Vector Reconciliation (TPL11) - Group internal insurance compensation received</v>
      </c>
      <c r="F199" s="32">
        <f ca="1">_xll.DBRW($C$1,$C$2,$C$3,$C$4,$C$6,$C$5,$C$7,F$1,F$2,$A199)</f>
        <v>0</v>
      </c>
      <c r="G199" s="32">
        <f ca="1">_xll.DBRW($C$1,$C$2,$C$3,$C$4,$C$6,$C$5,$C$7,G$1,G$2,$A199)</f>
        <v>0</v>
      </c>
      <c r="H199" s="32">
        <f ca="1">_xll.DBRW($C$1,$C$2,$C$3,$C$4,$C$6,$C$5,$C$7,H$1,H$2,$A199)</f>
        <v>0</v>
      </c>
      <c r="J199" s="33">
        <f t="shared" ca="1" si="48"/>
        <v>0</v>
      </c>
      <c r="K199" s="33">
        <f t="shared" ca="1" si="49"/>
        <v>0</v>
      </c>
    </row>
    <row r="200" spans="1:17" ht="15.75" hidden="1" customHeight="1">
      <c r="A200" s="1" t="s">
        <v>289</v>
      </c>
      <c r="C200" s="104"/>
      <c r="E200" s="9" t="str">
        <f ca="1">_xll.DBRW(Server&amp;"}ElementAttributes_Indicator",A200,"code_English")</f>
        <v>PL1125_XX - Vector Reconciliation (TPL11) - Group internal insurance compensation paid</v>
      </c>
      <c r="F200" s="32">
        <f ca="1">_xll.DBRW($C$1,$C$2,$C$3,$C$4,$C$6,$C$5,$C$7,F$1,F$2,$A200)</f>
        <v>0</v>
      </c>
      <c r="G200" s="32">
        <f ca="1">_xll.DBRW($C$1,$C$2,$C$3,$C$4,$C$6,$C$5,$C$7,G$1,G$2,$A200)</f>
        <v>0</v>
      </c>
      <c r="H200" s="32">
        <f ca="1">_xll.DBRW($C$1,$C$2,$C$3,$C$4,$C$6,$C$5,$C$7,H$1,H$2,$A200)</f>
        <v>0</v>
      </c>
      <c r="J200" s="33">
        <f t="shared" ca="1" si="48"/>
        <v>0</v>
      </c>
      <c r="K200" s="33">
        <f t="shared" ca="1" si="49"/>
        <v>0</v>
      </c>
    </row>
    <row r="201" spans="1:17" ht="15.75" hidden="1" customHeight="1">
      <c r="A201" s="1" t="s">
        <v>290</v>
      </c>
      <c r="C201" s="104"/>
      <c r="E201" s="9" t="str">
        <f ca="1">_xll.DBRW(Server&amp;"}ElementAttributes_Indicator",A201,"code_English")</f>
        <v>PL1126_XX - Vector Reconciliation (TPL11) - Replacement and maintenance expenses</v>
      </c>
      <c r="F201" s="32">
        <f ca="1">_xll.DBRW($C$1,$C$2,$C$3,$C$4,$C$6,$C$5,$C$7,F$1,F$2,$A201)</f>
        <v>0</v>
      </c>
      <c r="G201" s="32">
        <f ca="1">_xll.DBRW($C$1,$C$2,$C$3,$C$4,$C$6,$C$5,$C$7,G$1,G$2,$A201)</f>
        <v>0</v>
      </c>
      <c r="H201" s="32">
        <f ca="1">_xll.DBRW($C$1,$C$2,$C$3,$C$4,$C$6,$C$5,$C$7,H$1,H$2,$A201)</f>
        <v>0</v>
      </c>
      <c r="J201" s="33">
        <f t="shared" ca="1" si="48"/>
        <v>0</v>
      </c>
      <c r="K201" s="33">
        <f t="shared" ca="1" si="49"/>
        <v>0</v>
      </c>
    </row>
    <row r="202" spans="1:17" ht="15.75" hidden="1" customHeight="1">
      <c r="A202" s="1" t="s">
        <v>291</v>
      </c>
      <c r="C202" s="104"/>
      <c r="E202" s="9" t="str">
        <f ca="1">_xll.DBRW(Server&amp;"}ElementAttributes_Indicator",A202,"code_English")</f>
        <v>PL1130_XX - Vector Reconciliation (TPL11) - Provision for concession activities</v>
      </c>
      <c r="F202" s="32">
        <f ca="1">_xll.DBRW($C$1,$C$2,$C$3,$C$4,$C$6,$C$5,$C$7,F$1,F$2,$A202)</f>
        <v>0</v>
      </c>
      <c r="G202" s="32">
        <f ca="1">_xll.DBRW($C$1,$C$2,$C$3,$C$4,$C$6,$C$5,$C$7,G$1,G$2,$A202)</f>
        <v>0</v>
      </c>
      <c r="H202" s="32">
        <f ca="1">_xll.DBRW($C$1,$C$2,$C$3,$C$4,$C$6,$C$5,$C$7,H$1,H$2,$A202)</f>
        <v>0</v>
      </c>
      <c r="J202" s="33">
        <f t="shared" ca="1" si="48"/>
        <v>0</v>
      </c>
      <c r="K202" s="33">
        <f t="shared" ca="1" si="49"/>
        <v>0</v>
      </c>
    </row>
    <row r="203" spans="1:17" ht="15.75" hidden="1" customHeight="1">
      <c r="A203" s="1" t="s">
        <v>292</v>
      </c>
      <c r="C203" s="104"/>
      <c r="E203" s="9" t="str">
        <f ca="1">_xll.DBRW(Server&amp;"}ElementAttributes_Indicator",A203,"code_English")</f>
        <v>PL1135_XX - Vector Reconciliation (TPL11) - Reversal of provision for concession activities</v>
      </c>
      <c r="F203" s="32">
        <f ca="1">_xll.DBRW($C$1,$C$2,$C$3,$C$4,$C$6,$C$5,$C$7,F$1,F$2,$A203)</f>
        <v>0</v>
      </c>
      <c r="G203" s="32">
        <f ca="1">_xll.DBRW($C$1,$C$2,$C$3,$C$4,$C$6,$C$5,$C$7,G$1,G$2,$A203)</f>
        <v>0</v>
      </c>
      <c r="H203" s="32">
        <f ca="1">_xll.DBRW($C$1,$C$2,$C$3,$C$4,$C$6,$C$5,$C$7,H$1,H$2,$A203)</f>
        <v>0</v>
      </c>
      <c r="J203" s="33">
        <f t="shared" ca="1" si="48"/>
        <v>0</v>
      </c>
      <c r="K203" s="33">
        <f t="shared" ca="1" si="49"/>
        <v>0</v>
      </c>
    </row>
    <row r="204" spans="1:17" ht="15.75" hidden="1" customHeight="1">
      <c r="A204" s="1" t="s">
        <v>293</v>
      </c>
      <c r="C204" s="104"/>
      <c r="E204" s="9" t="str">
        <f ca="1">_xll.DBRW(Server&amp;"}ElementAttributes_Indicator",A204,"code_English")</f>
        <v>PL1140_XX - Vector Reconciliation (TPL11) - Amortization</v>
      </c>
      <c r="F204" s="32">
        <f ca="1">_xll.DBRW($C$1,$C$2,$C$3,$C$4,$C$6,$C$5,$C$7,F$1,F$2,$A204)</f>
        <v>-3.9668684291080503</v>
      </c>
      <c r="G204" s="32">
        <f ca="1">_xll.DBRW($C$1,$C$2,$C$3,$C$4,$C$6,$C$5,$C$7,G$1,G$2,$A204)</f>
        <v>-3.8064025459154029</v>
      </c>
      <c r="H204" s="32">
        <f ca="1">_xll.DBRW($C$1,$C$2,$C$3,$C$4,$C$6,$C$5,$C$7,H$1,H$2,$A204)</f>
        <v>-13.648858562931981</v>
      </c>
      <c r="J204" s="33">
        <f t="shared" ca="1" si="48"/>
        <v>-0.16046588319264732</v>
      </c>
      <c r="K204" s="33">
        <f t="shared" ca="1" si="49"/>
        <v>9.6819901338239305</v>
      </c>
    </row>
    <row r="205" spans="1:17" ht="15.75" hidden="1" customHeight="1">
      <c r="A205" s="1" t="s">
        <v>294</v>
      </c>
      <c r="C205" s="104"/>
      <c r="E205" s="9" t="str">
        <f ca="1">_xll.DBRW(Server&amp;"}ElementAttributes_Indicator",A205,"code_English")</f>
        <v>PL1145_XX - Vector Reconciliation (TPL11) - Impairment - working capital</v>
      </c>
      <c r="F205" s="32">
        <f ca="1">_xll.DBRW($C$1,$C$2,$C$3,$C$4,$C$6,$C$5,$C$7,F$1,F$2,$A205)</f>
        <v>-5.8756423240958089E-2</v>
      </c>
      <c r="G205" s="32">
        <f ca="1">_xll.DBRW($C$1,$C$2,$C$3,$C$4,$C$6,$C$5,$C$7,G$1,G$2,$A205)</f>
        <v>4.1707525679554491E-2</v>
      </c>
      <c r="H205" s="32">
        <f ca="1">_xll.DBRW($C$1,$C$2,$C$3,$C$4,$C$6,$C$5,$C$7,H$1,H$2,$A205)</f>
        <v>-4.3320816666666661E-3</v>
      </c>
      <c r="J205" s="33">
        <f t="shared" ca="1" si="48"/>
        <v>-0.10046394892051258</v>
      </c>
      <c r="K205" s="33">
        <f t="shared" ca="1" si="49"/>
        <v>-5.4424341574291421E-2</v>
      </c>
    </row>
    <row r="206" spans="1:17" ht="15.75" hidden="1" customHeight="1">
      <c r="A206" s="1" t="s">
        <v>295</v>
      </c>
      <c r="C206" s="104"/>
      <c r="E206" s="9" t="str">
        <f ca="1">_xll.DBRW(Server&amp;"}ElementAttributes_Indicator",A206,"code_English")</f>
        <v>PL1150_XX - Vector Reconciliation (TPL11) - Impairment (other than working capital) and provisions</v>
      </c>
      <c r="F206" s="32">
        <f ca="1">_xll.DBRW($C$1,$C$2,$C$3,$C$4,$C$6,$C$5,$C$7,F$1,F$2,$A206)</f>
        <v>2.0730784805238085</v>
      </c>
      <c r="G206" s="32">
        <f ca="1">_xll.DBRW($C$1,$C$2,$C$3,$C$4,$C$6,$C$5,$C$7,G$1,G$2,$A206)</f>
        <v>-4.6497362928993695</v>
      </c>
      <c r="H206" s="32">
        <f ca="1">_xll.DBRW($C$1,$C$2,$C$3,$C$4,$C$6,$C$5,$C$7,H$1,H$2,$A206)</f>
        <v>-0.64671332028419615</v>
      </c>
      <c r="J206" s="33">
        <f t="shared" ca="1" si="48"/>
        <v>6.7228147734231776</v>
      </c>
      <c r="K206" s="33">
        <f t="shared" ca="1" si="49"/>
        <v>2.7197918008080046</v>
      </c>
    </row>
    <row r="207" spans="1:17" ht="15.75" hidden="1" customHeight="1">
      <c r="A207" s="1" t="s">
        <v>296</v>
      </c>
      <c r="C207" s="104"/>
      <c r="E207" s="9" t="str">
        <f ca="1">_xll.DBRW(Server&amp;"}ElementAttributes_Indicator",A207,"code_English")</f>
        <v>PL1151_XX - Vector Reconciliation (TPL11) - Impact of change in revaluation rate on provisions for losses on LT contracts</v>
      </c>
      <c r="F207" s="32">
        <f ca="1">_xll.DBRW($C$1,$C$2,$C$3,$C$4,$C$6,$C$5,$C$7,F$1,F$2,$A207)</f>
        <v>0</v>
      </c>
      <c r="G207" s="32">
        <f ca="1">_xll.DBRW($C$1,$C$2,$C$3,$C$4,$C$6,$C$5,$C$7,G$1,G$2,$A207)</f>
        <v>0</v>
      </c>
      <c r="H207" s="32">
        <f ca="1">_xll.DBRW($C$1,$C$2,$C$3,$C$4,$C$6,$C$5,$C$7,H$1,H$2,$A207)</f>
        <v>0</v>
      </c>
      <c r="J207" s="33">
        <f t="shared" ca="1" si="48"/>
        <v>0</v>
      </c>
      <c r="K207" s="33">
        <f t="shared" ca="1" si="49"/>
        <v>0</v>
      </c>
    </row>
    <row r="208" spans="1:17" ht="15.75" hidden="1" customHeight="1">
      <c r="A208" s="1" t="s">
        <v>297</v>
      </c>
      <c r="C208" s="104"/>
      <c r="E208" s="9" t="str">
        <f ca="1">_xll.DBRW(Server&amp;"}ElementAttributes_Indicator",A208,"code_English")</f>
        <v>PL1155_XX - Vector Reconciliation (TPL11) - Reinvoicing</v>
      </c>
      <c r="F208" s="32">
        <f ca="1">_xll.DBRW($C$1,$C$2,$C$3,$C$4,$C$6,$C$5,$C$7,F$1,F$2,$A208)</f>
        <v>1.4493825709999997</v>
      </c>
      <c r="G208" s="32">
        <f ca="1">_xll.DBRW($C$1,$C$2,$C$3,$C$4,$C$6,$C$5,$C$7,G$1,G$2,$A208)</f>
        <v>1.8027422285542682</v>
      </c>
      <c r="H208" s="32">
        <f ca="1">_xll.DBRW($C$1,$C$2,$C$3,$C$4,$C$6,$C$5,$C$7,H$1,H$2,$A208)</f>
        <v>1.1117773635582338</v>
      </c>
      <c r="J208" s="33">
        <f t="shared" ca="1" si="48"/>
        <v>-0.35335965755426857</v>
      </c>
      <c r="K208" s="33">
        <f t="shared" ca="1" si="49"/>
        <v>0.33760520744176592</v>
      </c>
    </row>
    <row r="209" spans="1:11" ht="15.75" hidden="1" customHeight="1">
      <c r="A209" s="1" t="s">
        <v>298</v>
      </c>
      <c r="C209" s="104"/>
      <c r="E209" s="9" t="str">
        <f ca="1">_xll.DBRW(Server&amp;"}ElementAttributes_Indicator",A209,"code_English")</f>
        <v>PL1160_XX - Vector Reconciliation (TPL11) - Gains/losses on disposal of tangible &amp; intangible fixed assets</v>
      </c>
      <c r="F209" s="32">
        <f ca="1">_xll.DBRW($C$1,$C$2,$C$3,$C$4,$C$6,$C$5,$C$7,F$1,F$2,$A209)</f>
        <v>0.35924903873489078</v>
      </c>
      <c r="G209" s="32">
        <f ca="1">_xll.DBRW($C$1,$C$2,$C$3,$C$4,$C$6,$C$5,$C$7,G$1,G$2,$A209)</f>
        <v>1.2937089982341681</v>
      </c>
      <c r="H209" s="32">
        <f ca="1">_xll.DBRW($C$1,$C$2,$C$3,$C$4,$C$6,$C$5,$C$7,H$1,H$2,$A209)</f>
        <v>5.8691049699999986</v>
      </c>
      <c r="J209" s="33">
        <f t="shared" ca="1" si="48"/>
        <v>-0.93445995949927729</v>
      </c>
      <c r="K209" s="33">
        <f t="shared" ca="1" si="49"/>
        <v>-5.5098559312651076</v>
      </c>
    </row>
    <row r="210" spans="1:11" ht="15.75" hidden="1" customHeight="1">
      <c r="A210" s="1" t="s">
        <v>299</v>
      </c>
      <c r="C210" s="104"/>
      <c r="E210" s="9" t="str">
        <f ca="1">_xll.DBRW(Server&amp;"}ElementAttributes_Indicator",A210,"code_English")</f>
        <v>PL1161_XX - Vector Reconciliation (TPL11) - Gains/losses on write-off of contract costs</v>
      </c>
      <c r="F210" s="32">
        <f ca="1">_xll.DBRW($C$1,$C$2,$C$3,$C$4,$C$6,$C$5,$C$7,F$1,F$2,$A210)</f>
        <v>0</v>
      </c>
      <c r="G210" s="32">
        <f ca="1">_xll.DBRW($C$1,$C$2,$C$3,$C$4,$C$6,$C$5,$C$7,G$1,G$2,$A210)</f>
        <v>0</v>
      </c>
      <c r="H210" s="32">
        <f ca="1">_xll.DBRW($C$1,$C$2,$C$3,$C$4,$C$6,$C$5,$C$7,H$1,H$2,$A210)</f>
        <v>0</v>
      </c>
      <c r="J210" s="33">
        <f t="shared" ca="1" si="48"/>
        <v>0</v>
      </c>
      <c r="K210" s="33">
        <f t="shared" ca="1" si="49"/>
        <v>0</v>
      </c>
    </row>
    <row r="211" spans="1:11" ht="15.75" hidden="1" customHeight="1">
      <c r="A211" s="1" t="s">
        <v>300</v>
      </c>
      <c r="C211" s="104"/>
      <c r="E211" s="9" t="str">
        <f ca="1">_xll.DBRW(Server&amp;"}ElementAttributes_Indicator",A211,"code_English")</f>
        <v>PL1162_XX - Réconciliation Vector (TPL11) - COS - Gains/losses on disposal of right-of-use</v>
      </c>
      <c r="F211" s="32">
        <f ca="1">_xll.DBRW($C$1,$C$2,$C$3,$C$4,$C$6,$C$5,$C$7,F$1,F$2,$A211)</f>
        <v>-4.5899999999999999E-4</v>
      </c>
      <c r="G211" s="32">
        <f ca="1">_xll.DBRW($C$1,$C$2,$C$3,$C$4,$C$6,$C$5,$C$7,G$1,G$2,$A211)</f>
        <v>0</v>
      </c>
      <c r="H211" s="32">
        <f ca="1">_xll.DBRW($C$1,$C$2,$C$3,$C$4,$C$6,$C$5,$C$7,H$1,H$2,$A211)</f>
        <v>0</v>
      </c>
      <c r="J211" s="33">
        <f t="shared" ca="1" si="48"/>
        <v>-4.5899999999999999E-4</v>
      </c>
      <c r="K211" s="33">
        <f t="shared" ca="1" si="49"/>
        <v>-4.5899999999999999E-4</v>
      </c>
    </row>
    <row r="212" spans="1:11" ht="15.75" hidden="1" customHeight="1">
      <c r="A212" s="1" t="s">
        <v>301</v>
      </c>
      <c r="C212" s="104"/>
      <c r="E212" s="9" t="str">
        <f ca="1">_xll.DBRW(Server&amp;"}ElementAttributes_Indicator",A212,"code_English")</f>
        <v>PL1165_XX - Vector Reconciliation (TPL11) - Restructuring costs</v>
      </c>
      <c r="F212" s="32">
        <f ca="1">_xll.DBRW($C$1,$C$2,$C$3,$C$4,$C$6,$C$5,$C$7,F$1,F$2,$A212)</f>
        <v>6.2209267999999998E-2</v>
      </c>
      <c r="G212" s="32">
        <f ca="1">_xll.DBRW($C$1,$C$2,$C$3,$C$4,$C$6,$C$5,$C$7,G$1,G$2,$A212)</f>
        <v>3.0067208000000015E-2</v>
      </c>
      <c r="H212" s="32">
        <f ca="1">_xll.DBRW($C$1,$C$2,$C$3,$C$4,$C$6,$C$5,$C$7,H$1,H$2,$A212)</f>
        <v>-1.4826154999999997E-2</v>
      </c>
      <c r="J212" s="33">
        <f t="shared" ca="1" si="48"/>
        <v>3.2142059999999986E-2</v>
      </c>
      <c r="K212" s="33">
        <f t="shared" ca="1" si="49"/>
        <v>7.7035422999999992E-2</v>
      </c>
    </row>
    <row r="213" spans="1:11" ht="15.75" hidden="1" customHeight="1">
      <c r="A213" s="1" t="s">
        <v>302</v>
      </c>
      <c r="C213" s="104"/>
      <c r="E213" s="9" t="str">
        <f ca="1">_xll.DBRW(Server&amp;"}ElementAttributes_Indicator",A213,"code_English")</f>
        <v>PL1170_XX - Vector Reconciliation (TPL11) - Net provisions for restructuring costs</v>
      </c>
      <c r="F213" s="32">
        <f ca="1">_xll.DBRW($C$1,$C$2,$C$3,$C$4,$C$6,$C$5,$C$7,F$1,F$2,$A213)</f>
        <v>-0.36531415</v>
      </c>
      <c r="G213" s="32">
        <f ca="1">_xll.DBRW($C$1,$C$2,$C$3,$C$4,$C$6,$C$5,$C$7,G$1,G$2,$A213)</f>
        <v>-3.2301121780000002</v>
      </c>
      <c r="H213" s="32">
        <f ca="1">_xll.DBRW($C$1,$C$2,$C$3,$C$4,$C$6,$C$5,$C$7,H$1,H$2,$A213)</f>
        <v>3.9170639999999987E-3</v>
      </c>
      <c r="J213" s="33">
        <f t="shared" ca="1" si="48"/>
        <v>2.8647980280000001</v>
      </c>
      <c r="K213" s="33">
        <f t="shared" ca="1" si="49"/>
        <v>-0.36923121400000003</v>
      </c>
    </row>
    <row r="214" spans="1:11" ht="15.75" hidden="1" customHeight="1">
      <c r="A214" s="1" t="s">
        <v>303</v>
      </c>
      <c r="C214" s="104"/>
      <c r="E214" s="9" t="str">
        <f ca="1">_xll.DBRW(Server&amp;"}ElementAttributes_Indicator",A214,"code_English")</f>
        <v>PL1175_XX - Vector Reconciliation (TPL11) - Impairment on goodwill (full and proportionate consol.)</v>
      </c>
      <c r="F214" s="32">
        <f ca="1">_xll.DBRW($C$1,$C$2,$C$3,$C$4,$C$6,$C$5,$C$7,F$1,F$2,$A214)</f>
        <v>0</v>
      </c>
      <c r="G214" s="32">
        <f ca="1">_xll.DBRW($C$1,$C$2,$C$3,$C$4,$C$6,$C$5,$C$7,G$1,G$2,$A214)</f>
        <v>0</v>
      </c>
      <c r="H214" s="32">
        <f ca="1">_xll.DBRW($C$1,$C$2,$C$3,$C$4,$C$6,$C$5,$C$7,H$1,H$2,$A214)</f>
        <v>0</v>
      </c>
      <c r="J214" s="33">
        <f t="shared" ca="1" si="48"/>
        <v>0</v>
      </c>
      <c r="K214" s="33">
        <f t="shared" ca="1" si="49"/>
        <v>0</v>
      </c>
    </row>
    <row r="215" spans="1:11" ht="15.75" hidden="1" customHeight="1">
      <c r="A215" s="1" t="s">
        <v>304</v>
      </c>
      <c r="C215" s="104"/>
      <c r="E215" s="9" t="str">
        <f ca="1">_xll.DBRW(Server&amp;"}ElementAttributes_Indicator",A215,"code_English")</f>
        <v>PL1180_XX - Vector Reconciliation (TPL11) - Fair value gain/loss on deriv instr related to oper activ excl I12&amp;I4</v>
      </c>
      <c r="F215" s="32">
        <f ca="1">_xll.DBRW($C$1,$C$2,$C$3,$C$4,$C$6,$C$5,$C$7,F$1,F$2,$A215)</f>
        <v>0</v>
      </c>
      <c r="G215" s="32">
        <f ca="1">_xll.DBRW($C$1,$C$2,$C$3,$C$4,$C$6,$C$5,$C$7,G$1,G$2,$A215)</f>
        <v>0</v>
      </c>
      <c r="H215" s="32">
        <f ca="1">_xll.DBRW($C$1,$C$2,$C$3,$C$4,$C$6,$C$5,$C$7,H$1,H$2,$A215)</f>
        <v>0</v>
      </c>
      <c r="J215" s="33">
        <f t="shared" ca="1" si="48"/>
        <v>0</v>
      </c>
      <c r="K215" s="33">
        <f t="shared" ca="1" si="49"/>
        <v>0</v>
      </c>
    </row>
    <row r="216" spans="1:11" ht="15.75" hidden="1" customHeight="1">
      <c r="A216" s="1" t="s">
        <v>305</v>
      </c>
      <c r="C216" s="104"/>
      <c r="E216" s="9" t="str">
        <f ca="1">_xll.DBRW(Server&amp;"}ElementAttributes_Indicator",A216,"code_English")</f>
        <v>PL1181_XX - Vector Reconciliation (TPL11) - Fair value gain/loss on deriv instr related to oper activ I12 fin. Receivables &amp; I4</v>
      </c>
      <c r="F216" s="32">
        <f ca="1">_xll.DBRW($C$1,$C$2,$C$3,$C$4,$C$6,$C$5,$C$7,F$1,F$2,$A216)</f>
        <v>0</v>
      </c>
      <c r="G216" s="32">
        <f ca="1">_xll.DBRW($C$1,$C$2,$C$3,$C$4,$C$6,$C$5,$C$7,G$1,G$2,$A216)</f>
        <v>0</v>
      </c>
      <c r="H216" s="32">
        <f ca="1">_xll.DBRW($C$1,$C$2,$C$3,$C$4,$C$6,$C$5,$C$7,H$1,H$2,$A216)</f>
        <v>0</v>
      </c>
      <c r="J216" s="33">
        <f t="shared" ca="1" si="48"/>
        <v>0</v>
      </c>
      <c r="K216" s="33">
        <f t="shared" ca="1" si="49"/>
        <v>0</v>
      </c>
    </row>
    <row r="217" spans="1:11" ht="15.75" hidden="1" customHeight="1">
      <c r="A217" s="1" t="s">
        <v>306</v>
      </c>
      <c r="C217" s="104"/>
      <c r="E217" s="9" t="str">
        <f ca="1">_xll.DBRW(Server&amp;"}ElementAttributes_Indicator",A217,"code_English")</f>
        <v>PL1182_XX - Vector Reconciliation (TPL11) - Non hedged fair value on derivatives related to operating activities excl.I4 and I12</v>
      </c>
      <c r="F217" s="32">
        <f ca="1">_xll.DBRW($C$1,$C$2,$C$3,$C$4,$C$6,$C$5,$C$7,F$1,F$2,$A217)</f>
        <v>0</v>
      </c>
      <c r="G217" s="32">
        <f ca="1">_xll.DBRW($C$1,$C$2,$C$3,$C$4,$C$6,$C$5,$C$7,G$1,G$2,$A217)</f>
        <v>0</v>
      </c>
      <c r="H217" s="32">
        <f ca="1">_xll.DBRW($C$1,$C$2,$C$3,$C$4,$C$6,$C$5,$C$7,H$1,H$2,$A217)</f>
        <v>0</v>
      </c>
      <c r="J217" s="33">
        <f t="shared" ca="1" si="48"/>
        <v>0</v>
      </c>
      <c r="K217" s="33">
        <f t="shared" ca="1" si="49"/>
        <v>0</v>
      </c>
    </row>
    <row r="218" spans="1:11" ht="15.75" hidden="1" customHeight="1">
      <c r="A218" s="1" t="s">
        <v>307</v>
      </c>
      <c r="C218" s="104"/>
      <c r="E218" s="9" t="str">
        <f ca="1">_xll.DBRW(Server&amp;"}ElementAttributes_Indicator",A218,"code_English")</f>
        <v>PL1183_XX - Vector Reconciliation (TPL11) - Non hedged fair value on derivatives related to financial operating activities(I4 and I12)</v>
      </c>
      <c r="F218" s="32">
        <f ca="1">_xll.DBRW($C$1,$C$2,$C$3,$C$4,$C$6,$C$5,$C$7,F$1,F$2,$A218)</f>
        <v>0</v>
      </c>
      <c r="G218" s="32">
        <f ca="1">_xll.DBRW($C$1,$C$2,$C$3,$C$4,$C$6,$C$5,$C$7,G$1,G$2,$A218)</f>
        <v>0</v>
      </c>
      <c r="H218" s="32">
        <f ca="1">_xll.DBRW($C$1,$C$2,$C$3,$C$4,$C$6,$C$5,$C$7,H$1,H$2,$A218)</f>
        <v>0</v>
      </c>
      <c r="J218" s="33">
        <f t="shared" ca="1" si="48"/>
        <v>0</v>
      </c>
      <c r="K218" s="33">
        <f t="shared" ca="1" si="49"/>
        <v>0</v>
      </c>
    </row>
    <row r="219" spans="1:11" ht="15.75" hidden="1" customHeight="1">
      <c r="A219" s="1" t="s">
        <v>308</v>
      </c>
      <c r="C219" s="104"/>
      <c r="E219" s="9" t="str">
        <f ca="1">_xll.DBRW(Server&amp;"}ElementAttributes_Indicator",A219,"code_English")</f>
        <v>PL1184_XX - Vector Reconciliation (TPL11) - Recycling from Fair value reserves to operating profit (CFH)</v>
      </c>
      <c r="F219" s="32">
        <f ca="1">_xll.DBRW($C$1,$C$2,$C$3,$C$4,$C$6,$C$5,$C$7,F$1,F$2,$A219)</f>
        <v>0</v>
      </c>
      <c r="G219" s="32">
        <f ca="1">_xll.DBRW($C$1,$C$2,$C$3,$C$4,$C$6,$C$5,$C$7,G$1,G$2,$A219)</f>
        <v>0</v>
      </c>
      <c r="H219" s="32">
        <f ca="1">_xll.DBRW($C$1,$C$2,$C$3,$C$4,$C$6,$C$5,$C$7,H$1,H$2,$A219)</f>
        <v>0</v>
      </c>
      <c r="J219" s="33">
        <f t="shared" ca="1" si="48"/>
        <v>0</v>
      </c>
      <c r="K219" s="33">
        <f t="shared" ca="1" si="49"/>
        <v>0</v>
      </c>
    </row>
    <row r="220" spans="1:11" ht="15.5" collapsed="1">
      <c r="A220" s="1" t="s">
        <v>142</v>
      </c>
      <c r="C220" s="104"/>
      <c r="E220" s="23" t="s">
        <v>43</v>
      </c>
      <c r="F220" s="36">
        <f t="shared" ref="F220:H220" ca="1" si="50">SUM(F189:F219)</f>
        <v>-33.964100196394241</v>
      </c>
      <c r="G220" s="36">
        <f t="shared" ca="1" si="50"/>
        <v>-56.891055636328595</v>
      </c>
      <c r="H220" s="36">
        <f t="shared" ca="1" si="50"/>
        <v>-85.891567654248163</v>
      </c>
      <c r="J220" s="33">
        <f t="shared" ca="1" si="48"/>
        <v>22.926955439934353</v>
      </c>
      <c r="K220" s="33">
        <f t="shared" ca="1" si="49"/>
        <v>51.927467457853922</v>
      </c>
    </row>
    <row r="221" spans="1:11" ht="15.5">
      <c r="A221" s="1" t="s">
        <v>142</v>
      </c>
      <c r="C221" s="104"/>
      <c r="E221" s="20" t="s">
        <v>44</v>
      </c>
      <c r="F221" s="37">
        <f t="shared" ref="F221:H221" ca="1" si="51">F32+F43+F82+F100+F116+F188+F220</f>
        <v>40.212600756553144</v>
      </c>
      <c r="G221" s="37">
        <f t="shared" ca="1" si="51"/>
        <v>44.897894478447505</v>
      </c>
      <c r="H221" s="37">
        <f t="shared" ca="1" si="51"/>
        <v>51.770898070944881</v>
      </c>
      <c r="J221" s="98">
        <f ca="1">F221-G221</f>
        <v>-4.6852937218943609</v>
      </c>
      <c r="K221" s="98">
        <f>F224-H224</f>
        <v>0</v>
      </c>
    </row>
    <row r="222" spans="1:11" ht="9" customHeight="1">
      <c r="A222" s="1" t="s">
        <v>142</v>
      </c>
      <c r="C222" s="104"/>
      <c r="E222" s="7"/>
      <c r="F222" s="8"/>
      <c r="G222" s="8"/>
      <c r="H222" s="8"/>
    </row>
    <row r="223" spans="1:11" ht="15.5">
      <c r="A223" s="1" t="s">
        <v>309</v>
      </c>
      <c r="C223" s="104"/>
      <c r="E223" s="20" t="s">
        <v>45</v>
      </c>
      <c r="F223" s="37">
        <f ca="1">F29+F221</f>
        <v>15.209980408498467</v>
      </c>
      <c r="G223" s="37">
        <f t="shared" ref="G223:H223" ca="1" si="52">G29+G221</f>
        <v>7.9270659823758081</v>
      </c>
      <c r="H223" s="37">
        <f t="shared" ca="1" si="52"/>
        <v>25.569463715465659</v>
      </c>
      <c r="J223" s="98">
        <f ca="1">F223-G223</f>
        <v>7.2829144261226588</v>
      </c>
      <c r="K223" s="98">
        <f ca="1">F226-H226</f>
        <v>1.9612510676426842</v>
      </c>
    </row>
    <row r="224" spans="1:11" ht="9" customHeight="1">
      <c r="A224" s="1" t="s">
        <v>142</v>
      </c>
      <c r="C224" s="104"/>
      <c r="E224" s="7"/>
      <c r="F224" s="8"/>
      <c r="G224" s="8"/>
      <c r="H224" s="8"/>
    </row>
    <row r="225" spans="1:11" ht="15.75" hidden="1" customHeight="1">
      <c r="A225" s="1" t="s">
        <v>310</v>
      </c>
      <c r="C225" s="104"/>
      <c r="E225" s="9" t="str">
        <f ca="1">_xll.DBRW(Server&amp;"}ElementAttributes_Indicator",A225,"code_English")</f>
        <v>PL0000_BD - Business development expenses (RESOP)</v>
      </c>
      <c r="F225" s="10">
        <f ca="1">_xll.DBRW($C$1,$C$2,$C$3,$C$4,$C$6,$C$5,$C$7,F$1,F$2,$A225)</f>
        <v>-3.8850989163083351</v>
      </c>
      <c r="G225" s="10">
        <f ca="1">_xll.DBRW($C$1,$C$2,$C$3,$C$4,$C$6,$C$5,$C$7,G$1,G$2,$A225)</f>
        <v>-3.321178009725779</v>
      </c>
      <c r="H225" s="10">
        <f ca="1">_xll.DBRW($C$1,$C$2,$C$3,$C$4,$C$6,$C$5,$C$7,H$1,H$2,$A225)</f>
        <v>-4.2634124346656499</v>
      </c>
    </row>
    <row r="226" spans="1:11" ht="15.75" hidden="1" customHeight="1">
      <c r="A226" s="1" t="s">
        <v>311</v>
      </c>
      <c r="C226" s="104"/>
      <c r="E226" s="9" t="str">
        <f ca="1">_xll.DBRW(Server&amp;"}ElementAttributes_Indicator",A226,"code_English")</f>
        <v>PL0000_TPL12 - Business development expenses - Vector Reconciliation</v>
      </c>
      <c r="F226" s="10">
        <f ca="1">_xll.DBRW($C$1,$C$2,$C$3,$C$4,$C$6,$C$5,$C$7,F$1,F$2,$A226)</f>
        <v>-0.1534448926916655</v>
      </c>
      <c r="G226" s="10">
        <f ca="1">_xll.DBRW($C$1,$C$2,$C$3,$C$4,$C$6,$C$5,$C$7,G$1,G$2,$A226)</f>
        <v>-0.78230370827422058</v>
      </c>
      <c r="H226" s="10">
        <f ca="1">_xll.DBRW($C$1,$C$2,$C$3,$C$4,$C$6,$C$5,$C$7,H$1,H$2,$A226)</f>
        <v>-2.1146959603343496</v>
      </c>
    </row>
    <row r="227" spans="1:11" ht="15.5" collapsed="1">
      <c r="A227" s="1" t="s">
        <v>142</v>
      </c>
      <c r="C227" s="104"/>
      <c r="E227" s="14" t="s">
        <v>46</v>
      </c>
      <c r="F227" s="38">
        <f t="shared" ref="F227:H227" ca="1" si="53">F226+F225</f>
        <v>-4.038543809000001</v>
      </c>
      <c r="G227" s="38">
        <f t="shared" ca="1" si="53"/>
        <v>-4.1034817179999994</v>
      </c>
      <c r="H227" s="38">
        <f t="shared" ca="1" si="53"/>
        <v>-6.3781083949999999</v>
      </c>
      <c r="J227" s="33">
        <f t="shared" ref="J227" ca="1" si="54">F227-G227</f>
        <v>6.4937908999998406E-2</v>
      </c>
      <c r="K227" s="33">
        <f t="shared" ref="K227" ca="1" si="55">F227-H227</f>
        <v>2.3395645859999989</v>
      </c>
    </row>
    <row r="228" spans="1:11" ht="15.75" hidden="1" customHeight="1">
      <c r="A228" s="1" t="s">
        <v>312</v>
      </c>
      <c r="C228" s="104"/>
      <c r="E228" s="9" t="str">
        <f ca="1">_xll.DBRW(Server&amp;"}ElementAttributes_Indicator",A228,"code_English")</f>
        <v>PL0000_CO - Communication</v>
      </c>
      <c r="F228" s="33">
        <f ca="1">_xll.DBRW($C$1,$C$2,$C$3,$C$4,$C$6,$C$5,$C$7,F$1,F$2,$A228)</f>
        <v>-2.7315989655911808</v>
      </c>
      <c r="G228" s="33">
        <f ca="1">_xll.DBRW($C$1,$C$2,$C$3,$C$4,$C$6,$C$5,$C$7,G$1,G$2,$A228)</f>
        <v>-1.3661066571871696</v>
      </c>
      <c r="H228" s="33">
        <f ca="1">_xll.DBRW($C$1,$C$2,$C$3,$C$4,$C$6,$C$5,$C$7,H$1,H$2,$A228)</f>
        <v>-1.7778369417381561</v>
      </c>
      <c r="J228" s="33">
        <f t="shared" ref="J228:J259" ca="1" si="56">F228-G228</f>
        <v>-1.3654923084040111</v>
      </c>
      <c r="K228" s="33">
        <f t="shared" ref="K228:K259" ca="1" si="57">F228-H228</f>
        <v>-0.95376202385302467</v>
      </c>
    </row>
    <row r="229" spans="1:11" ht="15.5">
      <c r="A229" s="1" t="s">
        <v>142</v>
      </c>
      <c r="C229" s="104"/>
      <c r="E229" s="15" t="s">
        <v>47</v>
      </c>
      <c r="F229" s="39">
        <f t="shared" ref="F229:H229" ca="1" si="58">F228</f>
        <v>-2.7315989655911808</v>
      </c>
      <c r="G229" s="39">
        <f t="shared" ca="1" si="58"/>
        <v>-1.3661066571871696</v>
      </c>
      <c r="H229" s="39">
        <f t="shared" ca="1" si="58"/>
        <v>-1.7778369417381561</v>
      </c>
      <c r="J229" s="33">
        <f t="shared" ca="1" si="56"/>
        <v>-1.3654923084040111</v>
      </c>
      <c r="K229" s="33">
        <f t="shared" ca="1" si="57"/>
        <v>-0.95376202385302467</v>
      </c>
    </row>
    <row r="230" spans="1:11" ht="15.75" hidden="1" customHeight="1">
      <c r="A230" s="1" t="s">
        <v>313</v>
      </c>
      <c r="C230" s="104"/>
      <c r="E230" s="9" t="str">
        <f ca="1">_xll.DBRW(Server&amp;"}ElementAttributes_Indicator",A230,"code_English")</f>
        <v>PL0000_FI - Finance</v>
      </c>
      <c r="F230" s="33">
        <f ca="1">_xll.DBRW($C$1,$C$2,$C$3,$C$4,$C$6,$C$5,$C$7,F$1,F$2,$A230)</f>
        <v>-7.4785334776700623</v>
      </c>
      <c r="G230" s="33">
        <f ca="1">_xll.DBRW($C$1,$C$2,$C$3,$C$4,$C$6,$C$5,$C$7,G$1,G$2,$A230)</f>
        <v>-7.1227414427411606</v>
      </c>
      <c r="H230" s="33">
        <f ca="1">_xll.DBRW($C$1,$C$2,$C$3,$C$4,$C$6,$C$5,$C$7,H$1,H$2,$A230)</f>
        <v>-7.7991911486527563</v>
      </c>
      <c r="J230" s="33">
        <f t="shared" ca="1" si="56"/>
        <v>-0.35579203492890166</v>
      </c>
      <c r="K230" s="33">
        <f t="shared" ca="1" si="57"/>
        <v>0.32065767098269404</v>
      </c>
    </row>
    <row r="231" spans="1:11" ht="15.5">
      <c r="A231" s="1" t="s">
        <v>313</v>
      </c>
      <c r="C231" s="104"/>
      <c r="E231" s="15" t="s">
        <v>48</v>
      </c>
      <c r="F231" s="39">
        <f t="shared" ref="F231:H231" ca="1" si="59">F230</f>
        <v>-7.4785334776700623</v>
      </c>
      <c r="G231" s="39">
        <f t="shared" ca="1" si="59"/>
        <v>-7.1227414427411606</v>
      </c>
      <c r="H231" s="39">
        <f t="shared" ca="1" si="59"/>
        <v>-7.7991911486527563</v>
      </c>
      <c r="J231" s="33">
        <f t="shared" ca="1" si="56"/>
        <v>-0.35579203492890166</v>
      </c>
      <c r="K231" s="33">
        <f t="shared" ca="1" si="57"/>
        <v>0.32065767098269404</v>
      </c>
    </row>
    <row r="232" spans="1:11" ht="15.75" hidden="1" customHeight="1">
      <c r="A232" s="1" t="s">
        <v>314</v>
      </c>
      <c r="C232" s="104"/>
      <c r="E232" s="9" t="str">
        <f ca="1">_xll.DBRW(Server&amp;"}ElementAttributes_Indicator",A232,"code_English")</f>
        <v>PL0000_GM - General Management (RESOP)</v>
      </c>
      <c r="F232" s="33">
        <f ca="1">_xll.DBRW($C$1,$C$2,$C$3,$C$4,$C$6,$C$5,$C$7,F$1,F$2,$A232)</f>
        <v>-66.480226780452725</v>
      </c>
      <c r="G232" s="33">
        <f ca="1">_xll.DBRW($C$1,$C$2,$C$3,$C$4,$C$6,$C$5,$C$7,G$1,G$2,$A232)</f>
        <v>-61.777642272590867</v>
      </c>
      <c r="H232" s="33">
        <f ca="1">_xll.DBRW($C$1,$C$2,$C$3,$C$4,$C$6,$C$5,$C$7,H$1,H$2,$A232)</f>
        <v>-52.485523232730912</v>
      </c>
      <c r="J232" s="33">
        <f t="shared" ca="1" si="56"/>
        <v>-4.7025845078618573</v>
      </c>
      <c r="K232" s="33">
        <f t="shared" ca="1" si="57"/>
        <v>-13.994703547721812</v>
      </c>
    </row>
    <row r="233" spans="1:11" ht="15.5">
      <c r="A233" s="1" t="s">
        <v>142</v>
      </c>
      <c r="C233" s="104"/>
      <c r="E233" s="15" t="s">
        <v>49</v>
      </c>
      <c r="F233" s="39">
        <f t="shared" ref="F233:H233" ca="1" si="60">F232</f>
        <v>-66.480226780452725</v>
      </c>
      <c r="G233" s="39">
        <f t="shared" ca="1" si="60"/>
        <v>-61.777642272590867</v>
      </c>
      <c r="H233" s="39">
        <f t="shared" ca="1" si="60"/>
        <v>-52.485523232730912</v>
      </c>
      <c r="J233" s="33">
        <f t="shared" ca="1" si="56"/>
        <v>-4.7025845078618573</v>
      </c>
      <c r="K233" s="33">
        <f t="shared" ca="1" si="57"/>
        <v>-13.994703547721812</v>
      </c>
    </row>
    <row r="234" spans="1:11" ht="15.75" hidden="1" customHeight="1">
      <c r="A234" s="1" t="s">
        <v>315</v>
      </c>
      <c r="C234" s="104"/>
      <c r="E234" s="9" t="str">
        <f ca="1">_xll.DBRW(Server&amp;"}ElementAttributes_Indicator",A234,"code_English")</f>
        <v>PL0000_GS - General Services</v>
      </c>
      <c r="F234" s="33">
        <f ca="1">_xll.DBRW($C$1,$C$2,$C$3,$C$4,$C$6,$C$5,$C$7,F$1,F$2,$A234)</f>
        <v>-1.5875771092605842</v>
      </c>
      <c r="G234" s="33">
        <f ca="1">_xll.DBRW($C$1,$C$2,$C$3,$C$4,$C$6,$C$5,$C$7,G$1,G$2,$A234)</f>
        <v>-1.8877949377151848</v>
      </c>
      <c r="H234" s="33">
        <f ca="1">_xll.DBRW($C$1,$C$2,$C$3,$C$4,$C$6,$C$5,$C$7,H$1,H$2,$A234)</f>
        <v>-1.6502941717701447</v>
      </c>
      <c r="J234" s="33">
        <f t="shared" ca="1" si="56"/>
        <v>0.30021782845460065</v>
      </c>
      <c r="K234" s="33">
        <f t="shared" ca="1" si="57"/>
        <v>6.2717062509560551E-2</v>
      </c>
    </row>
    <row r="235" spans="1:11" ht="15.5">
      <c r="A235" s="1" t="s">
        <v>142</v>
      </c>
      <c r="C235" s="104"/>
      <c r="E235" s="15" t="s">
        <v>50</v>
      </c>
      <c r="F235" s="39">
        <f t="shared" ref="F235:H235" ca="1" si="61">F234</f>
        <v>-1.5875771092605842</v>
      </c>
      <c r="G235" s="39">
        <f t="shared" ca="1" si="61"/>
        <v>-1.8877949377151848</v>
      </c>
      <c r="H235" s="39">
        <f t="shared" ca="1" si="61"/>
        <v>-1.6502941717701447</v>
      </c>
      <c r="J235" s="33">
        <f t="shared" ca="1" si="56"/>
        <v>0.30021782845460065</v>
      </c>
      <c r="K235" s="33">
        <f t="shared" ca="1" si="57"/>
        <v>6.2717062509560551E-2</v>
      </c>
    </row>
    <row r="236" spans="1:11" ht="15.75" hidden="1" customHeight="1">
      <c r="A236" s="1" t="s">
        <v>316</v>
      </c>
      <c r="C236" s="104"/>
      <c r="E236" s="9" t="str">
        <f ca="1">_xll.DBRW(Server&amp;"}ElementAttributes_Indicator",A236,"code_English")</f>
        <v>PL0000_HR - HR department</v>
      </c>
      <c r="F236" s="33">
        <f ca="1">_xll.DBRW($C$1,$C$2,$C$3,$C$4,$C$6,$C$5,$C$7,F$1,F$2,$A236)</f>
        <v>-6.7967920575949892</v>
      </c>
      <c r="G236" s="33">
        <f ca="1">_xll.DBRW($C$1,$C$2,$C$3,$C$4,$C$6,$C$5,$C$7,G$1,G$2,$A236)</f>
        <v>-5.8982014239767251</v>
      </c>
      <c r="H236" s="33">
        <f ca="1">_xll.DBRW($C$1,$C$2,$C$3,$C$4,$C$6,$C$5,$C$7,H$1,H$2,$A236)</f>
        <v>-7.3248261248145061</v>
      </c>
      <c r="J236" s="33">
        <f t="shared" ca="1" si="56"/>
        <v>-0.89859063361826408</v>
      </c>
      <c r="K236" s="33">
        <f t="shared" ca="1" si="57"/>
        <v>0.52803406721951696</v>
      </c>
    </row>
    <row r="237" spans="1:11" ht="15.5">
      <c r="A237" s="1" t="s">
        <v>142</v>
      </c>
      <c r="C237" s="104"/>
      <c r="E237" s="15" t="s">
        <v>51</v>
      </c>
      <c r="F237" s="39">
        <f t="shared" ref="F237:H237" ca="1" si="62">F236</f>
        <v>-6.7967920575949892</v>
      </c>
      <c r="G237" s="39">
        <f t="shared" ca="1" si="62"/>
        <v>-5.8982014239767251</v>
      </c>
      <c r="H237" s="39">
        <f t="shared" ca="1" si="62"/>
        <v>-7.3248261248145061</v>
      </c>
      <c r="J237" s="33">
        <f t="shared" ca="1" si="56"/>
        <v>-0.89859063361826408</v>
      </c>
      <c r="K237" s="33">
        <f t="shared" ca="1" si="57"/>
        <v>0.52803406721951696</v>
      </c>
    </row>
    <row r="238" spans="1:11" ht="15.75" hidden="1" customHeight="1">
      <c r="A238" s="1" t="s">
        <v>317</v>
      </c>
      <c r="C238" s="104"/>
      <c r="E238" s="9" t="str">
        <f ca="1">_xll.DBRW(Server&amp;"}ElementAttributes_Indicator",A238,"code_English")</f>
        <v>PL0000_IA - Internal audit</v>
      </c>
      <c r="F238" s="33">
        <f ca="1">_xll.DBRW($C$1,$C$2,$C$3,$C$4,$C$6,$C$5,$C$7,F$1,F$2,$A238)</f>
        <v>-3.5252643221121406E-2</v>
      </c>
      <c r="G238" s="33">
        <f ca="1">_xll.DBRW($C$1,$C$2,$C$3,$C$4,$C$6,$C$5,$C$7,G$1,G$2,$A238)</f>
        <v>-7.8669159999999988E-2</v>
      </c>
      <c r="H238" s="33">
        <f ca="1">_xll.DBRW($C$1,$C$2,$C$3,$C$4,$C$6,$C$5,$C$7,H$1,H$2,$A238)</f>
        <v>-0.13986863672517841</v>
      </c>
      <c r="J238" s="33">
        <f t="shared" ca="1" si="56"/>
        <v>4.3416516778878582E-2</v>
      </c>
      <c r="K238" s="33">
        <f t="shared" ca="1" si="57"/>
        <v>0.10461599350405701</v>
      </c>
    </row>
    <row r="239" spans="1:11" ht="15.5">
      <c r="C239" s="104"/>
      <c r="E239" s="84" t="s">
        <v>52</v>
      </c>
      <c r="F239" s="39">
        <f t="shared" ref="F239:H239" ca="1" si="63">F238</f>
        <v>-3.5252643221121406E-2</v>
      </c>
      <c r="G239" s="39">
        <f t="shared" ca="1" si="63"/>
        <v>-7.8669159999999988E-2</v>
      </c>
      <c r="H239" s="39">
        <f t="shared" ca="1" si="63"/>
        <v>-0.13986863672517841</v>
      </c>
      <c r="J239" s="33">
        <f t="shared" ca="1" si="56"/>
        <v>4.3416516778878582E-2</v>
      </c>
      <c r="K239" s="33">
        <f t="shared" ca="1" si="57"/>
        <v>0.10461599350405701</v>
      </c>
    </row>
    <row r="240" spans="1:11" ht="15.75" hidden="1" customHeight="1">
      <c r="A240" s="1" t="s">
        <v>318</v>
      </c>
      <c r="C240" s="104"/>
      <c r="E240" s="9" t="str">
        <f ca="1">_xll.DBRW(Server&amp;"}ElementAttributes_Indicator",A240,"code_English")</f>
        <v>PL0000_IT - IT</v>
      </c>
      <c r="F240" s="33">
        <f ca="1">_xll.DBRW($C$1,$C$2,$C$3,$C$4,$C$6,$C$5,$C$7,F$1,F$2,$A240)</f>
        <v>-10.700940686266103</v>
      </c>
      <c r="G240" s="33">
        <f ca="1">_xll.DBRW($C$1,$C$2,$C$3,$C$4,$C$6,$C$5,$C$7,G$1,G$2,$A240)</f>
        <v>-11.593066828094541</v>
      </c>
      <c r="H240" s="33">
        <f ca="1">_xll.DBRW($C$1,$C$2,$C$3,$C$4,$C$6,$C$5,$C$7,H$1,H$2,$A240)</f>
        <v>-9.8038156933062215</v>
      </c>
      <c r="J240" s="33">
        <f t="shared" ca="1" si="56"/>
        <v>0.89212614182843808</v>
      </c>
      <c r="K240" s="33">
        <f t="shared" ca="1" si="57"/>
        <v>-0.89712499295988124</v>
      </c>
    </row>
    <row r="241" spans="1:11" ht="15.5">
      <c r="C241" s="104"/>
      <c r="E241" s="84" t="s">
        <v>53</v>
      </c>
      <c r="F241" s="39">
        <f t="shared" ref="F241:H241" ca="1" si="64">F240</f>
        <v>-10.700940686266103</v>
      </c>
      <c r="G241" s="39">
        <f t="shared" ca="1" si="64"/>
        <v>-11.593066828094541</v>
      </c>
      <c r="H241" s="39">
        <f t="shared" ca="1" si="64"/>
        <v>-9.8038156933062215</v>
      </c>
      <c r="J241" s="33">
        <f t="shared" ca="1" si="56"/>
        <v>0.89212614182843808</v>
      </c>
      <c r="K241" s="33">
        <f t="shared" ca="1" si="57"/>
        <v>-0.89712499295988124</v>
      </c>
    </row>
    <row r="242" spans="1:11" ht="15.75" hidden="1" customHeight="1">
      <c r="A242" s="1" t="s">
        <v>319</v>
      </c>
      <c r="C242" s="104"/>
      <c r="E242" s="9" t="str">
        <f ca="1">_xll.DBRW(Server&amp;"}ElementAttributes_Indicator",A242,"code_English")</f>
        <v>PL0000_LE - Legal</v>
      </c>
      <c r="F242" s="33">
        <f ca="1">_xll.DBRW($C$1,$C$2,$C$3,$C$4,$C$6,$C$5,$C$7,F$1,F$2,$A242)</f>
        <v>-2.9215192018256073</v>
      </c>
      <c r="G242" s="33">
        <f ca="1">_xll.DBRW($C$1,$C$2,$C$3,$C$4,$C$6,$C$5,$C$7,G$1,G$2,$A242)</f>
        <v>-2.0327848010382463</v>
      </c>
      <c r="H242" s="33">
        <f ca="1">_xll.DBRW($C$1,$C$2,$C$3,$C$4,$C$6,$C$5,$C$7,H$1,H$2,$A242)</f>
        <v>-2.1937947191900293</v>
      </c>
      <c r="J242" s="33">
        <f t="shared" ca="1" si="56"/>
        <v>-0.88873440078736099</v>
      </c>
      <c r="K242" s="33">
        <f t="shared" ca="1" si="57"/>
        <v>-0.72772448263557798</v>
      </c>
    </row>
    <row r="243" spans="1:11" ht="15.5">
      <c r="C243" s="104"/>
      <c r="E243" s="84" t="s">
        <v>54</v>
      </c>
      <c r="F243" s="39">
        <f t="shared" ref="F243:H243" ca="1" si="65">F242</f>
        <v>-2.9215192018256073</v>
      </c>
      <c r="G243" s="39">
        <f t="shared" ca="1" si="65"/>
        <v>-2.0327848010382463</v>
      </c>
      <c r="H243" s="39">
        <f t="shared" ca="1" si="65"/>
        <v>-2.1937947191900293</v>
      </c>
      <c r="J243" s="33">
        <f t="shared" ca="1" si="56"/>
        <v>-0.88873440078736099</v>
      </c>
      <c r="K243" s="33">
        <f t="shared" ca="1" si="57"/>
        <v>-0.72772448263557798</v>
      </c>
    </row>
    <row r="244" spans="1:11" ht="15.75" hidden="1" customHeight="1">
      <c r="A244" s="1" t="s">
        <v>320</v>
      </c>
      <c r="C244" s="104"/>
      <c r="E244" s="9" t="str">
        <f ca="1">_xll.DBRW(Server&amp;"}ElementAttributes_Indicator",A244,"code_English")</f>
        <v>PL0000_PU - Purchasing</v>
      </c>
      <c r="F244" s="33">
        <f ca="1">_xll.DBRW($C$1,$C$2,$C$3,$C$4,$C$6,$C$5,$C$7,F$1,F$2,$A244)</f>
        <v>-0.77910392335245304</v>
      </c>
      <c r="G244" s="33">
        <f ca="1">_xll.DBRW($C$1,$C$2,$C$3,$C$4,$C$6,$C$5,$C$7,G$1,G$2,$A244)</f>
        <v>-0.75858047491176794</v>
      </c>
      <c r="H244" s="33">
        <f ca="1">_xll.DBRW($C$1,$C$2,$C$3,$C$4,$C$6,$C$5,$C$7,H$1,H$2,$A244)</f>
        <v>-0.83323552966160686</v>
      </c>
      <c r="J244" s="33">
        <f t="shared" ca="1" si="56"/>
        <v>-2.0523448440685099E-2</v>
      </c>
      <c r="K244" s="33">
        <f t="shared" ca="1" si="57"/>
        <v>5.4131606309153812E-2</v>
      </c>
    </row>
    <row r="245" spans="1:11" ht="15.5">
      <c r="C245" s="104"/>
      <c r="E245" s="84" t="s">
        <v>55</v>
      </c>
      <c r="F245" s="39">
        <f t="shared" ref="F245:H245" ca="1" si="66">F244</f>
        <v>-0.77910392335245304</v>
      </c>
      <c r="G245" s="39">
        <f t="shared" ca="1" si="66"/>
        <v>-0.75858047491176794</v>
      </c>
      <c r="H245" s="39">
        <f t="shared" ca="1" si="66"/>
        <v>-0.83323552966160686</v>
      </c>
      <c r="J245" s="33">
        <f t="shared" ca="1" si="56"/>
        <v>-2.0523448440685099E-2</v>
      </c>
      <c r="K245" s="33">
        <f t="shared" ca="1" si="57"/>
        <v>5.4131606309153812E-2</v>
      </c>
    </row>
    <row r="246" spans="1:11" ht="15.75" hidden="1" customHeight="1">
      <c r="A246" s="1" t="s">
        <v>321</v>
      </c>
      <c r="C246" s="104"/>
      <c r="E246" s="9" t="str">
        <f ca="1">_xll.DBRW(Server&amp;"}ElementAttributes_Indicator",A246,"code_English")</f>
        <v>PL0000_RD - R &amp; D</v>
      </c>
      <c r="F246" s="33">
        <f ca="1">_xll.DBRW($C$1,$C$2,$C$3,$C$4,$C$6,$C$5,$C$7,F$1,F$2,$A246)</f>
        <v>-0.29566024370295402</v>
      </c>
      <c r="G246" s="33">
        <f ca="1">_xll.DBRW($C$1,$C$2,$C$3,$C$4,$C$6,$C$5,$C$7,G$1,G$2,$A246)</f>
        <v>-0.25761295534981909</v>
      </c>
      <c r="H246" s="33">
        <f ca="1">_xll.DBRW($C$1,$C$2,$C$3,$C$4,$C$6,$C$5,$C$7,H$1,H$2,$A246)</f>
        <v>-0.29389032075852634</v>
      </c>
      <c r="J246" s="33">
        <f t="shared" ca="1" si="56"/>
        <v>-3.8047288353134923E-2</v>
      </c>
      <c r="K246" s="33">
        <f t="shared" ca="1" si="57"/>
        <v>-1.7699229444276821E-3</v>
      </c>
    </row>
    <row r="247" spans="1:11" ht="15.5">
      <c r="C247" s="104"/>
      <c r="E247" s="84" t="s">
        <v>56</v>
      </c>
      <c r="F247" s="39">
        <f t="shared" ref="F247:H247" ca="1" si="67">F246</f>
        <v>-0.29566024370295402</v>
      </c>
      <c r="G247" s="39">
        <f t="shared" ca="1" si="67"/>
        <v>-0.25761295534981909</v>
      </c>
      <c r="H247" s="39">
        <f t="shared" ca="1" si="67"/>
        <v>-0.29389032075852634</v>
      </c>
      <c r="J247" s="33">
        <f t="shared" ca="1" si="56"/>
        <v>-3.8047288353134923E-2</v>
      </c>
      <c r="K247" s="33">
        <f t="shared" ca="1" si="57"/>
        <v>-1.7699229444276821E-3</v>
      </c>
    </row>
    <row r="248" spans="1:11" ht="15.75" hidden="1" customHeight="1">
      <c r="A248" s="1" t="s">
        <v>322</v>
      </c>
      <c r="C248" s="104"/>
      <c r="E248" s="9" t="str">
        <f ca="1">_xll.DBRW(Server&amp;"}ElementAttributes_Indicator",A248,"code_English")</f>
        <v>PL0000_RM - Risk management</v>
      </c>
      <c r="F248" s="33">
        <f ca="1">_xll.DBRW($C$1,$C$2,$C$3,$C$4,$C$6,$C$5,$C$7,F$1,F$2,$A248)</f>
        <v>-0.18126470970689951</v>
      </c>
      <c r="G248" s="33">
        <f ca="1">_xll.DBRW($C$1,$C$2,$C$3,$C$4,$C$6,$C$5,$C$7,G$1,G$2,$A248)</f>
        <v>-0.16873893790994621</v>
      </c>
      <c r="H248" s="33">
        <f ca="1">_xll.DBRW($C$1,$C$2,$C$3,$C$4,$C$6,$C$5,$C$7,H$1,H$2,$A248)</f>
        <v>-0.32416697239999992</v>
      </c>
      <c r="J248" s="33">
        <f t="shared" ca="1" si="56"/>
        <v>-1.25257717969533E-2</v>
      </c>
      <c r="K248" s="33">
        <f t="shared" ca="1" si="57"/>
        <v>0.14290226269310041</v>
      </c>
    </row>
    <row r="249" spans="1:11" ht="15.5">
      <c r="C249" s="104"/>
      <c r="E249" s="84" t="s">
        <v>57</v>
      </c>
      <c r="F249" s="39">
        <f t="shared" ref="F249:H249" ca="1" si="68">F248</f>
        <v>-0.18126470970689951</v>
      </c>
      <c r="G249" s="39">
        <f t="shared" ca="1" si="68"/>
        <v>-0.16873893790994621</v>
      </c>
      <c r="H249" s="39">
        <f t="shared" ca="1" si="68"/>
        <v>-0.32416697239999992</v>
      </c>
      <c r="J249" s="33">
        <f t="shared" ca="1" si="56"/>
        <v>-1.25257717969533E-2</v>
      </c>
      <c r="K249" s="33">
        <f t="shared" ca="1" si="57"/>
        <v>0.14290226269310041</v>
      </c>
    </row>
    <row r="250" spans="1:11" ht="15.75" hidden="1" customHeight="1">
      <c r="A250" s="1" t="s">
        <v>323</v>
      </c>
      <c r="C250" s="104"/>
      <c r="E250" s="9" t="str">
        <f ca="1">_xll.DBRW(Server&amp;"}ElementAttributes_Indicator",A250,"code_English")</f>
        <v>PL0000_SE - QHSE</v>
      </c>
      <c r="F250" s="33">
        <f ca="1">_xll.DBRW($C$1,$C$2,$C$3,$C$4,$C$6,$C$5,$C$7,F$1,F$2,$A250)</f>
        <v>-2.0131593143748434</v>
      </c>
      <c r="G250" s="33">
        <f ca="1">_xll.DBRW($C$1,$C$2,$C$3,$C$4,$C$6,$C$5,$C$7,G$1,G$2,$A250)</f>
        <v>-1.6580009237878732</v>
      </c>
      <c r="H250" s="33">
        <f ca="1">_xll.DBRW($C$1,$C$2,$C$3,$C$4,$C$6,$C$5,$C$7,H$1,H$2,$A250)</f>
        <v>-2.1195375434264121</v>
      </c>
      <c r="J250" s="33">
        <f t="shared" ca="1" si="56"/>
        <v>-0.35515839058697019</v>
      </c>
      <c r="K250" s="33">
        <f t="shared" ca="1" si="57"/>
        <v>0.10637822905156868</v>
      </c>
    </row>
    <row r="251" spans="1:11" ht="15.5">
      <c r="C251" s="104"/>
      <c r="E251" s="84" t="s">
        <v>58</v>
      </c>
      <c r="F251" s="39">
        <f t="shared" ref="F251:H251" ca="1" si="69">F250</f>
        <v>-2.0131593143748434</v>
      </c>
      <c r="G251" s="39">
        <f t="shared" ca="1" si="69"/>
        <v>-1.6580009237878732</v>
      </c>
      <c r="H251" s="39">
        <f t="shared" ca="1" si="69"/>
        <v>-2.1195375434264121</v>
      </c>
      <c r="J251" s="33">
        <f t="shared" ca="1" si="56"/>
        <v>-0.35515839058697019</v>
      </c>
      <c r="K251" s="33">
        <f t="shared" ca="1" si="57"/>
        <v>0.10637822905156868</v>
      </c>
    </row>
    <row r="252" spans="1:11" ht="15.75" hidden="1" customHeight="1">
      <c r="A252" s="1" t="s">
        <v>324</v>
      </c>
      <c r="C252" s="104"/>
      <c r="E252" s="9" t="str">
        <f ca="1">_xll.DBRW(Server&amp;"}ElementAttributes_Indicator",A252,"code_English")</f>
        <v>PL0000_TD - Technical department</v>
      </c>
      <c r="F252" s="33">
        <f ca="1">_xll.DBRW($C$1,$C$2,$C$3,$C$4,$C$6,$C$5,$C$7,F$1,F$2,$A252)</f>
        <v>-1.4634083781516274</v>
      </c>
      <c r="G252" s="33">
        <f ca="1">_xll.DBRW($C$1,$C$2,$C$3,$C$4,$C$6,$C$5,$C$7,G$1,G$2,$A252)</f>
        <v>-3.0252932466060867</v>
      </c>
      <c r="H252" s="33">
        <f ca="1">_xll.DBRW($C$1,$C$2,$C$3,$C$4,$C$6,$C$5,$C$7,H$1,H$2,$A252)</f>
        <v>-1.5364811535879377</v>
      </c>
      <c r="J252" s="33">
        <f t="shared" ca="1" si="56"/>
        <v>1.5618848684544593</v>
      </c>
      <c r="K252" s="33">
        <f t="shared" ca="1" si="57"/>
        <v>7.30727754363103E-2</v>
      </c>
    </row>
    <row r="253" spans="1:11" ht="15.5">
      <c r="C253" s="104"/>
      <c r="E253" s="84" t="s">
        <v>59</v>
      </c>
      <c r="F253" s="39">
        <f t="shared" ref="F253:H253" ca="1" si="70">F252</f>
        <v>-1.4634083781516274</v>
      </c>
      <c r="G253" s="39">
        <f t="shared" ca="1" si="70"/>
        <v>-3.0252932466060867</v>
      </c>
      <c r="H253" s="39">
        <f t="shared" ca="1" si="70"/>
        <v>-1.5364811535879377</v>
      </c>
      <c r="J253" s="33">
        <f t="shared" ca="1" si="56"/>
        <v>1.5618848684544593</v>
      </c>
      <c r="K253" s="33">
        <f t="shared" ca="1" si="57"/>
        <v>7.30727754363103E-2</v>
      </c>
    </row>
    <row r="254" spans="1:11" ht="15.75" hidden="1" customHeight="1">
      <c r="A254" s="1" t="s">
        <v>325</v>
      </c>
      <c r="C254" s="104"/>
      <c r="E254" s="9" t="str">
        <f ca="1">_xll.DBRW(Server&amp;"}ElementAttributes_Indicator",A254,"code_English")</f>
        <v>PL0000_TM - Tax Management</v>
      </c>
      <c r="F254" s="33">
        <f ca="1">_xll.DBRW($C$1,$C$2,$C$3,$C$4,$C$6,$C$5,$C$7,F$1,F$2,$A254)</f>
        <v>-6.3854746257475586E-2</v>
      </c>
      <c r="G254" s="33">
        <f ca="1">_xll.DBRW($C$1,$C$2,$C$3,$C$4,$C$6,$C$5,$C$7,G$1,G$2,$A254)</f>
        <v>-6.5061729999999998E-2</v>
      </c>
      <c r="H254" s="33">
        <f ca="1">_xll.DBRW($C$1,$C$2,$C$3,$C$4,$C$6,$C$5,$C$7,H$1,H$2,$A254)</f>
        <v>-6.8573181214999987E-2</v>
      </c>
      <c r="J254" s="33">
        <f t="shared" ca="1" si="56"/>
        <v>1.2069837425244118E-3</v>
      </c>
      <c r="K254" s="33">
        <f t="shared" ca="1" si="57"/>
        <v>4.7184349575244006E-3</v>
      </c>
    </row>
    <row r="255" spans="1:11" ht="15.5">
      <c r="C255" s="104"/>
      <c r="E255" s="84" t="s">
        <v>60</v>
      </c>
      <c r="F255" s="39">
        <f t="shared" ref="F255:H255" ca="1" si="71">F254</f>
        <v>-6.3854746257475586E-2</v>
      </c>
      <c r="G255" s="39">
        <f t="shared" ca="1" si="71"/>
        <v>-6.5061729999999998E-2</v>
      </c>
      <c r="H255" s="39">
        <f t="shared" ca="1" si="71"/>
        <v>-6.8573181214999987E-2</v>
      </c>
      <c r="J255" s="33">
        <f t="shared" ca="1" si="56"/>
        <v>1.2069837425244118E-3</v>
      </c>
      <c r="K255" s="33">
        <f t="shared" ca="1" si="57"/>
        <v>4.7184349575244006E-3</v>
      </c>
    </row>
    <row r="256" spans="1:11" ht="15.75" hidden="1" customHeight="1">
      <c r="A256" s="1" t="s">
        <v>326</v>
      </c>
      <c r="C256" s="104"/>
      <c r="E256" s="9" t="str">
        <f ca="1">_xll.DBRW(Server&amp;"}ElementAttributes_Indicator",A256,"code_English")</f>
        <v>PL0000_MGF - Management fees</v>
      </c>
      <c r="F256" s="33">
        <f ca="1">_xll.DBRW($C$1,$C$2,$C$3,$C$4,$C$6,$C$5,$C$7,F$1,F$2,$A256)</f>
        <v>-6.4046103757445128E-2</v>
      </c>
      <c r="G256" s="33">
        <f ca="1">_xll.DBRW($C$1,$C$2,$C$3,$C$4,$C$6,$C$5,$C$7,G$1,G$2,$A256)</f>
        <v>0.54510358429730399</v>
      </c>
      <c r="H256" s="33">
        <f ca="1">_xll.DBRW($C$1,$C$2,$C$3,$C$4,$C$6,$C$5,$C$7,H$1,H$2,$A256)</f>
        <v>-4.9203454207867754</v>
      </c>
      <c r="J256" s="33">
        <f t="shared" ca="1" si="56"/>
        <v>-0.60914968805474912</v>
      </c>
      <c r="K256" s="33">
        <f t="shared" ca="1" si="57"/>
        <v>4.8562993170293307</v>
      </c>
    </row>
    <row r="257" spans="1:11" ht="15.5">
      <c r="C257" s="104"/>
      <c r="E257" s="84" t="s">
        <v>61</v>
      </c>
      <c r="F257" s="39">
        <f t="shared" ref="F257:H257" ca="1" si="72">F256</f>
        <v>-6.4046103757445128E-2</v>
      </c>
      <c r="G257" s="39">
        <f t="shared" ca="1" si="72"/>
        <v>0.54510358429730399</v>
      </c>
      <c r="H257" s="39">
        <f t="shared" ca="1" si="72"/>
        <v>-4.9203454207867754</v>
      </c>
      <c r="J257" s="33">
        <f t="shared" ca="1" si="56"/>
        <v>-0.60914968805474912</v>
      </c>
      <c r="K257" s="33">
        <f t="shared" ca="1" si="57"/>
        <v>4.8562993170293307</v>
      </c>
    </row>
    <row r="258" spans="1:11" ht="15.75" hidden="1" customHeight="1">
      <c r="A258" s="1" t="s">
        <v>327</v>
      </c>
      <c r="C258" s="104"/>
      <c r="E258" s="9" t="str">
        <f ca="1">_xll.DBRW(Server&amp;"}ElementAttributes_Indicator",A258,"code_English")</f>
        <v>PL0000_TPL13 - G&amp;A Overhead costs - Vector Reconciliation</v>
      </c>
      <c r="F258" s="33">
        <f ca="1">_xll.DBRW($C$1,$C$2,$C$3,$C$4,$C$6,$C$5,$C$7,F$1,F$2,$A258)</f>
        <v>-15.648442565813953</v>
      </c>
      <c r="G258" s="33">
        <f ca="1">_xll.DBRW($C$1,$C$2,$C$3,$C$4,$C$6,$C$5,$C$7,G$1,G$2,$A258)</f>
        <v>-6.9879608743879089</v>
      </c>
      <c r="H258" s="33">
        <f ca="1">_xll.DBRW($C$1,$C$2,$C$3,$C$4,$C$6,$C$5,$C$7,H$1,H$2,$A258)</f>
        <v>-27.430762451235825</v>
      </c>
      <c r="J258" s="33">
        <f t="shared" ca="1" si="56"/>
        <v>-8.6604816914260443</v>
      </c>
      <c r="K258" s="33">
        <f t="shared" ca="1" si="57"/>
        <v>11.782319885421872</v>
      </c>
    </row>
    <row r="259" spans="1:11" ht="15.5">
      <c r="A259" s="1" t="s">
        <v>142</v>
      </c>
      <c r="C259" s="104"/>
      <c r="E259" s="23" t="s">
        <v>62</v>
      </c>
      <c r="F259" s="36">
        <f t="shared" ref="F259:H259" ca="1" si="73">F258</f>
        <v>-15.648442565813953</v>
      </c>
      <c r="G259" s="36">
        <f t="shared" ca="1" si="73"/>
        <v>-6.9879608743879089</v>
      </c>
      <c r="H259" s="36">
        <f t="shared" ca="1" si="73"/>
        <v>-27.430762451235825</v>
      </c>
      <c r="J259" s="33">
        <f t="shared" ca="1" si="56"/>
        <v>-8.6604816914260443</v>
      </c>
      <c r="K259" s="33">
        <f t="shared" ca="1" si="57"/>
        <v>11.782319885421872</v>
      </c>
    </row>
    <row r="260" spans="1:11" ht="15.5" collapsed="1">
      <c r="A260" s="1" t="s">
        <v>63</v>
      </c>
      <c r="C260" s="104"/>
      <c r="E260" s="11" t="s">
        <v>63</v>
      </c>
      <c r="F260" s="35">
        <f ca="1">F227+F229+F231+F233+F235+F237+F239+F241+F243+F245+F247+F249+F251+F253+F255+F257+F259</f>
        <v>-123.27992471600002</v>
      </c>
      <c r="G260" s="35">
        <f t="shared" ref="G260:H260" ca="1" si="74">G227+G229+G231+G233+G235+G237+G239+G241+G243+G245+G247+G249+G251+G253+G255+G257+G259</f>
        <v>-108.23663479999998</v>
      </c>
      <c r="H260" s="35">
        <f t="shared" ca="1" si="74"/>
        <v>-127.08025163699998</v>
      </c>
      <c r="J260" s="31">
        <f ca="1">F260-G260</f>
        <v>-15.043289916000049</v>
      </c>
      <c r="K260" s="31">
        <f ca="1">F260-H260</f>
        <v>3.8003269209999502</v>
      </c>
    </row>
    <row r="261" spans="1:11" ht="15.75" hidden="1" customHeight="1">
      <c r="A261" s="1" t="s">
        <v>328</v>
      </c>
      <c r="C261" s="104"/>
      <c r="E261" s="9" t="str">
        <f ca="1">_xll.DBRW(Server&amp;"}ElementAttributes_Indicator",A261,"code_English")</f>
        <v>PL0000_OO - Other operating rev. &amp; exp.</v>
      </c>
      <c r="F261" s="32">
        <f ca="1">_xll.DBRW($C$1,$C$2,$C$3,$C$4,$C$6,$C$5,$C$7,F$1,F$2,$A261)</f>
        <v>-13.146598797332228</v>
      </c>
      <c r="G261" s="32">
        <f ca="1">_xll.DBRW($C$1,$C$2,$C$3,$C$4,$C$6,$C$5,$C$7,G$1,G$2,$A261)</f>
        <v>9.8285119615476564</v>
      </c>
      <c r="H261" s="32">
        <f ca="1">_xll.DBRW($C$1,$C$2,$C$3,$C$4,$C$6,$C$5,$C$7,H$1,H$2,$A261)</f>
        <v>-29.784028335311092</v>
      </c>
    </row>
    <row r="262" spans="1:11" ht="15.75" hidden="1" customHeight="1">
      <c r="A262" s="1" t="s">
        <v>329</v>
      </c>
      <c r="C262" s="104"/>
      <c r="E262" s="9" t="str">
        <f ca="1">_xll.DBRW(Server&amp;"}ElementAttributes_Indicator",A262,"code_English")</f>
        <v>PL0000_TPL14 - Other operating rev. &amp; exp. - Vector Reconciliation</v>
      </c>
      <c r="F262" s="32">
        <f ca="1">_xll.DBRW($C$1,$C$2,$C$3,$C$4,$C$6,$C$5,$C$7,F$1,F$2,$A262)</f>
        <v>13.569857356332214</v>
      </c>
      <c r="G262" s="32">
        <f ca="1">_xll.DBRW($C$1,$C$2,$C$3,$C$4,$C$6,$C$5,$C$7,G$1,G$2,$A262)</f>
        <v>0.59848803745233115</v>
      </c>
      <c r="H262" s="32">
        <f ca="1">_xll.DBRW($C$1,$C$2,$C$3,$C$4,$C$6,$C$5,$C$7,H$1,H$2,$A262)</f>
        <v>29.784028336311117</v>
      </c>
    </row>
    <row r="263" spans="1:11" ht="15.5" collapsed="1">
      <c r="A263" s="1" t="s">
        <v>142</v>
      </c>
      <c r="C263" s="104"/>
      <c r="E263" s="11" t="s">
        <v>64</v>
      </c>
      <c r="F263" s="35">
        <f t="shared" ref="F263:H263" ca="1" si="75">F261+F262</f>
        <v>0.42325855899998643</v>
      </c>
      <c r="G263" s="35">
        <f t="shared" ca="1" si="75"/>
        <v>10.426999998999987</v>
      </c>
      <c r="H263" s="35">
        <f t="shared" ca="1" si="75"/>
        <v>1.0000249517361226E-9</v>
      </c>
      <c r="J263" s="31">
        <f ca="1">F263-G263</f>
        <v>-10.003741440000001</v>
      </c>
      <c r="K263" s="31">
        <f ca="1">F263-H263</f>
        <v>0.42325855799996148</v>
      </c>
    </row>
    <row r="264" spans="1:11" ht="15.75" hidden="1" customHeight="1">
      <c r="A264" s="1" t="s">
        <v>330</v>
      </c>
      <c r="C264" s="104"/>
      <c r="E264" s="9" t="str">
        <f ca="1">_xll.DBRW(Server&amp;"}ElementAttributes_Indicator",A264,"code_English")</f>
        <v>PL1500_JV - P&amp;L JV - Share in profit or loss of joint ventures (from 2013)</v>
      </c>
      <c r="F264" s="32">
        <f ca="1">_xll.DBRW($C$1,$C$2,$C$3,$C$4,$C$6,$C$5,$C$7,F$1,F$2,$A264)</f>
        <v>1.3097376259228368</v>
      </c>
      <c r="G264" s="32">
        <f ca="1">_xll.DBRW($C$1,$C$2,$C$3,$C$4,$C$6,$C$5,$C$7,G$1,G$2,$A264)</f>
        <v>0.19249424014350835</v>
      </c>
      <c r="H264" s="32">
        <f ca="1">_xll.DBRW($C$1,$C$2,$C$3,$C$4,$C$6,$C$5,$C$7,H$1,H$2,$A264)</f>
        <v>0.35733528549999977</v>
      </c>
    </row>
    <row r="265" spans="1:11" ht="15.75" hidden="1" customHeight="1">
      <c r="A265" s="1" t="s">
        <v>331</v>
      </c>
      <c r="C265" s="104"/>
      <c r="E265" s="9" t="str">
        <f ca="1">_xll.DBRW(Server&amp;"}ElementAttributes_Indicator",A265,"code_English")</f>
        <v>PL1500_XX - Vector Reconciliation (TPL15) - Share in profit or loss of joint ventures (from 2013)</v>
      </c>
      <c r="F265" s="32">
        <f ca="1">_xll.DBRW($C$1,$C$2,$C$3,$C$4,$C$6,$C$5,$C$7,F$1,F$2,$A265)</f>
        <v>-0.34682204392283683</v>
      </c>
      <c r="G265" s="32">
        <f ca="1">_xll.DBRW($C$1,$C$2,$C$3,$C$4,$C$6,$C$5,$C$7,G$1,G$2,$A265)</f>
        <v>-4.7577114143508403E-2</v>
      </c>
      <c r="H265" s="32">
        <f ca="1">_xll.DBRW($C$1,$C$2,$C$3,$C$4,$C$6,$C$5,$C$7,H$1,H$2,$A265)</f>
        <v>0.39940720950000025</v>
      </c>
    </row>
    <row r="266" spans="1:11" ht="15.75" hidden="1" customHeight="1">
      <c r="A266" s="1" t="s">
        <v>332</v>
      </c>
      <c r="C266" s="104"/>
      <c r="E266" s="9" t="str">
        <f ca="1">_xll.DBRW(Server&amp;"}ElementAttributes_Indicator",A266,"code_English")</f>
        <v>PL1520_JV - P&amp;L JV - Impairment - Goodwill (joint ventures)  (from 2013)</v>
      </c>
      <c r="F266" s="32">
        <f ca="1">_xll.DBRW($C$1,$C$2,$C$3,$C$4,$C$6,$C$5,$C$7,F$1,F$2,$A266)</f>
        <v>0</v>
      </c>
      <c r="G266" s="32">
        <f ca="1">_xll.DBRW($C$1,$C$2,$C$3,$C$4,$C$6,$C$5,$C$7,G$1,G$2,$A266)</f>
        <v>0</v>
      </c>
      <c r="H266" s="32">
        <f ca="1">_xll.DBRW($C$1,$C$2,$C$3,$C$4,$C$6,$C$5,$C$7,H$1,H$2,$A266)</f>
        <v>0</v>
      </c>
    </row>
    <row r="267" spans="1:11" ht="15.75" hidden="1" customHeight="1">
      <c r="A267" s="1" t="s">
        <v>333</v>
      </c>
      <c r="C267" s="104"/>
      <c r="E267" s="9" t="str">
        <f ca="1">_xll.DBRW(Server&amp;"}ElementAttributes_Indicator",A267,"code_English")</f>
        <v>PL1520_XX - Vector Reconciliation (TPL15) - Impairment - Goodwill (joint ventures)  (from 2013)</v>
      </c>
      <c r="F267" s="32">
        <f ca="1">_xll.DBRW($C$1,$C$2,$C$3,$C$4,$C$6,$C$5,$C$7,F$1,F$2,$A267)</f>
        <v>0</v>
      </c>
      <c r="G267" s="32">
        <f ca="1">_xll.DBRW($C$1,$C$2,$C$3,$C$4,$C$6,$C$5,$C$7,G$1,G$2,$A267)</f>
        <v>0</v>
      </c>
      <c r="H267" s="32">
        <f ca="1">_xll.DBRW($C$1,$C$2,$C$3,$C$4,$C$6,$C$5,$C$7,H$1,H$2,$A267)</f>
        <v>0</v>
      </c>
    </row>
    <row r="268" spans="1:11" ht="15.5" collapsed="1">
      <c r="A268" s="1" t="s">
        <v>142</v>
      </c>
      <c r="C268" s="104"/>
      <c r="E268" s="11" t="s">
        <v>65</v>
      </c>
      <c r="F268" s="35">
        <f ca="1">SUM(F264:F267)</f>
        <v>0.96291558199999994</v>
      </c>
      <c r="G268" s="35">
        <f ca="1">SUM(G264:G267)</f>
        <v>0.14491712599999995</v>
      </c>
      <c r="H268" s="35">
        <f ca="1">SUM(H264:H267)</f>
        <v>0.75674249500000002</v>
      </c>
      <c r="J268" s="31">
        <f ca="1">F268-G268</f>
        <v>0.81799845599999998</v>
      </c>
      <c r="K268" s="31">
        <f ca="1">F268-H268</f>
        <v>0.20617308699999992</v>
      </c>
    </row>
    <row r="269" spans="1:11" ht="15.75" hidden="1" customHeight="1">
      <c r="A269" s="1" t="s">
        <v>334</v>
      </c>
      <c r="C269" s="104"/>
      <c r="E269" s="9" t="str">
        <f ca="1">_xll.DBRW(Server&amp;"}ElementAttributes_Indicator",A269,"code_English")</f>
        <v>PL1600_AS - P&amp;L AS - Share in profit or loss of associates (from 2013)</v>
      </c>
      <c r="F269" s="32">
        <f ca="1">_xll.DBRW($C$1,$C$2,$C$3,$C$4,$C$6,$C$5,$C$7,F$1,F$2,$A269)</f>
        <v>-0.105540316</v>
      </c>
      <c r="G269" s="32">
        <f ca="1">_xll.DBRW($C$1,$C$2,$C$3,$C$4,$C$6,$C$5,$C$7,G$1,G$2,$A269)</f>
        <v>-6.4803789999998878E-3</v>
      </c>
      <c r="H269" s="32">
        <f ca="1">_xll.DBRW($C$1,$C$2,$C$3,$C$4,$C$6,$C$5,$C$7,H$1,H$2,$A269)</f>
        <v>4.8000000000000001E-2</v>
      </c>
    </row>
    <row r="270" spans="1:11" ht="15.75" hidden="1" customHeight="1">
      <c r="A270" s="1" t="s">
        <v>335</v>
      </c>
      <c r="C270" s="104"/>
      <c r="E270" s="9" t="str">
        <f ca="1">_xll.DBRW(Server&amp;"}ElementAttributes_Indicator",A270,"code_English")</f>
        <v>PL1600_XX - Vector Reconciliation (TPL16) - Share in profit or loss of associates (from 2013)</v>
      </c>
      <c r="F270" s="32">
        <f ca="1">_xll.DBRW($C$1,$C$2,$C$3,$C$4,$C$6,$C$5,$C$7,F$1,F$2,$A270)</f>
        <v>0.224829536</v>
      </c>
      <c r="G270" s="32">
        <f ca="1">_xll.DBRW($C$1,$C$2,$C$3,$C$4,$C$6,$C$5,$C$7,G$1,G$2,$A270)</f>
        <v>0.23712393799999995</v>
      </c>
      <c r="H270" s="32">
        <f ca="1">_xll.DBRW($C$1,$C$2,$C$3,$C$4,$C$6,$C$5,$C$7,H$1,H$2,$A270)</f>
        <v>-1.9000000000000013E-2</v>
      </c>
    </row>
    <row r="271" spans="1:11" ht="15.75" hidden="1" customHeight="1">
      <c r="A271" s="1" t="s">
        <v>336</v>
      </c>
      <c r="C271" s="104"/>
      <c r="E271" s="9" t="str">
        <f ca="1">_xll.DBRW(Server&amp;"}ElementAttributes_Indicator",A271,"code_English")</f>
        <v>PL1620_AS - P&amp;L AS - Impairment - Goodwill (Associates) (from 2013)</v>
      </c>
      <c r="F271" s="32">
        <f ca="1">_xll.DBRW($C$1,$C$2,$C$3,$C$4,$C$6,$C$5,$C$7,F$1,F$2,$A271)</f>
        <v>0</v>
      </c>
      <c r="G271" s="32">
        <f ca="1">_xll.DBRW($C$1,$C$2,$C$3,$C$4,$C$6,$C$5,$C$7,G$1,G$2,$A271)</f>
        <v>0</v>
      </c>
      <c r="H271" s="32">
        <f ca="1">_xll.DBRW($C$1,$C$2,$C$3,$C$4,$C$6,$C$5,$C$7,H$1,H$2,$A271)</f>
        <v>0</v>
      </c>
    </row>
    <row r="272" spans="1:11" ht="15.75" hidden="1" customHeight="1">
      <c r="A272" s="1" t="s">
        <v>337</v>
      </c>
      <c r="C272" s="104"/>
      <c r="E272" s="9" t="str">
        <f ca="1">_xll.DBRW(Server&amp;"}ElementAttributes_Indicator",A272,"code_English")</f>
        <v>PL1620_XX - Vector Reconciliation (TPL16) - Impairment - Goodwill (Associates) (from 2013)</v>
      </c>
      <c r="F272" s="32">
        <f ca="1">_xll.DBRW($C$1,$C$2,$C$3,$C$4,$C$6,$C$5,$C$7,F$1,F$2,$A272)</f>
        <v>0</v>
      </c>
      <c r="G272" s="32">
        <f ca="1">_xll.DBRW($C$1,$C$2,$C$3,$C$4,$C$6,$C$5,$C$7,G$1,G$2,$A272)</f>
        <v>0</v>
      </c>
      <c r="H272" s="32">
        <f ca="1">_xll.DBRW($C$1,$C$2,$C$3,$C$4,$C$6,$C$5,$C$7,H$1,H$2,$A272)</f>
        <v>0</v>
      </c>
    </row>
    <row r="273" spans="1:11" ht="15.5">
      <c r="A273" s="1" t="s">
        <v>338</v>
      </c>
      <c r="C273" s="104"/>
      <c r="E273" s="11" t="s">
        <v>66</v>
      </c>
      <c r="F273" s="35">
        <f t="shared" ref="F273:H273" ca="1" si="76">SUM(F269:F272)</f>
        <v>0.11928922</v>
      </c>
      <c r="G273" s="35">
        <f t="shared" ca="1" si="76"/>
        <v>0.23064355900000005</v>
      </c>
      <c r="H273" s="35">
        <f t="shared" ca="1" si="76"/>
        <v>2.8999999999999988E-2</v>
      </c>
      <c r="J273" s="31">
        <f ca="1">F273-G273</f>
        <v>-0.11135433900000005</v>
      </c>
      <c r="K273" s="31">
        <f ca="1">F273-H273</f>
        <v>9.0289220000000017E-2</v>
      </c>
    </row>
    <row r="274" spans="1:11" ht="15.5" hidden="1" customHeight="1">
      <c r="A274" s="1" t="s">
        <v>339</v>
      </c>
      <c r="C274" s="104"/>
      <c r="E274" s="9" t="str">
        <f ca="1">_xll.DBRW(Server&amp;"}ElementAttributes_Indicator",A274,"code_English")</f>
        <v>RESOP_bef_mgmt_fees - OPERATING PROFIT bef. Mgmt &amp; Brand fees</v>
      </c>
      <c r="F274" s="32">
        <f ca="1">_xll.DBRW($C$1,$C$2,$C$3,$C$4,$C$6,$C$5,$C$7,F$1,F$2,$A274)</f>
        <v>-11.408983302000038</v>
      </c>
      <c r="G274" s="32">
        <f ca="1">_xll.DBRW($C$1,$C$2,$C$3,$C$4,$C$6,$C$5,$C$7,G$1,G$2,$A274)</f>
        <v>-6.8600602209999559</v>
      </c>
      <c r="H274" s="32">
        <f ca="1">_xll.DBRW($C$1,$C$2,$C$3,$C$4,$C$6,$C$5,$C$7,H$1,H$2,$A274)</f>
        <v>-11.55222186799994</v>
      </c>
    </row>
    <row r="275" spans="1:11" ht="15.5" collapsed="1">
      <c r="A275" s="1" t="s">
        <v>142</v>
      </c>
      <c r="C275" s="104"/>
      <c r="E275" s="20" t="s">
        <v>68</v>
      </c>
      <c r="F275" s="37">
        <f ca="1">F274</f>
        <v>-11.408983302000038</v>
      </c>
      <c r="G275" s="37">
        <f t="shared" ref="G275:H275" ca="1" si="77">G274</f>
        <v>-6.8600602209999559</v>
      </c>
      <c r="H275" s="37">
        <f t="shared" ca="1" si="77"/>
        <v>-11.55222186799994</v>
      </c>
      <c r="J275" s="98">
        <f ca="1">F275-G275</f>
        <v>-4.5489230810000825</v>
      </c>
      <c r="K275" s="98">
        <f ca="1">F278-H278</f>
        <v>-1.1557681491128693E-4</v>
      </c>
    </row>
    <row r="276" spans="1:11" ht="15.5" hidden="1" customHeight="1">
      <c r="A276" s="1" t="s">
        <v>340</v>
      </c>
      <c r="C276" s="104"/>
      <c r="E276" s="9" t="str">
        <f ca="1">_xll.DBRW(Server&amp;"}ElementAttributes_Indicator",A276,"code_English")</f>
        <v>TPL1_nat - OPERATING PROFIT (by nature)</v>
      </c>
      <c r="F276" s="32">
        <f ca="1">_xll.DBRW($C$1,$C$2,$C$3,$C$4,$C$6,$C$5,$C$7,F$1,F$2,$A276)</f>
        <v>-11.521573854000446</v>
      </c>
      <c r="G276" s="32">
        <f ca="1">_xll.DBRW($C$1,$C$2,$C$3,$C$4,$C$6,$C$5,$C$7,G$1,G$2,$A276)</f>
        <v>-6.936155950999833</v>
      </c>
      <c r="H276" s="32">
        <f ca="1">_xll.DBRW($C$1,$C$2,$C$3,$C$4,$C$6,$C$5,$C$7,H$1,H$2,$A276)</f>
        <v>-11.665221867999337</v>
      </c>
    </row>
    <row r="277" spans="1:11" ht="15.5" collapsed="1">
      <c r="A277" s="1" t="s">
        <v>142</v>
      </c>
      <c r="C277" s="104"/>
      <c r="E277" s="20" t="s">
        <v>69</v>
      </c>
      <c r="F277" s="37">
        <f ca="1">F276</f>
        <v>-11.521573854000446</v>
      </c>
      <c r="G277" s="37">
        <f t="shared" ref="G277:H277" ca="1" si="78">G276</f>
        <v>-6.936155950999833</v>
      </c>
      <c r="H277" s="37">
        <f t="shared" ca="1" si="78"/>
        <v>-11.665221867999337</v>
      </c>
      <c r="J277" s="98">
        <f ca="1">F277-G277</f>
        <v>-4.5854179030006126</v>
      </c>
      <c r="K277" s="98">
        <f>F280-H280</f>
        <v>0</v>
      </c>
    </row>
    <row r="278" spans="1:11" ht="14.5">
      <c r="A278" s="1" t="s">
        <v>142</v>
      </c>
      <c r="C278" s="104"/>
      <c r="E278" s="21" t="s">
        <v>70</v>
      </c>
      <c r="F278" s="22">
        <f ca="1">IFERROR(F277/F23,"-")</f>
        <v>-8.7032664430429282E-3</v>
      </c>
      <c r="G278" s="22">
        <f t="shared" ref="G278:H278" ca="1" si="79">IFERROR(G277/G23,"-")</f>
        <v>-5.9322365816238095E-3</v>
      </c>
      <c r="H278" s="22">
        <f t="shared" ca="1" si="79"/>
        <v>-8.5876896281316412E-3</v>
      </c>
    </row>
    <row r="279" spans="1:11" ht="14.5">
      <c r="A279" s="1" t="s">
        <v>142</v>
      </c>
      <c r="C279" s="26"/>
      <c r="E279" s="27"/>
      <c r="F279" s="52">
        <f ca="1">ROUND(F277-F223-F260-F263-F268-F273,4)</f>
        <v>95.042900000000003</v>
      </c>
      <c r="G279" s="52">
        <f t="shared" ref="G279" ca="1" si="80">ROUND(G277-G223-G260-G263-G268-G273,4)</f>
        <v>82.570899999999995</v>
      </c>
      <c r="H279" s="52">
        <f ca="1">ROUND(H277-H223-H260-H263-H268-H273,4)</f>
        <v>89.059799999999996</v>
      </c>
    </row>
    <row r="280" spans="1:11" ht="15.5">
      <c r="A280" s="1" t="s">
        <v>142</v>
      </c>
      <c r="E280" s="7"/>
      <c r="F280" s="28"/>
      <c r="G280" s="28"/>
      <c r="H280" s="28"/>
    </row>
    <row r="281" spans="1:11" ht="15.5" hidden="1" customHeight="1">
      <c r="A281" s="1" t="s">
        <v>341</v>
      </c>
      <c r="E281" s="9" t="str">
        <f ca="1">_xll.DBRW(Server&amp;"}ElementAttributes_Indicator",A281,"code_English")</f>
        <v>CAPEX_RS - Gross industrial CAPEX - Rolling stock</v>
      </c>
      <c r="F281" s="10">
        <f ca="1">_xll.DBRW($C$1,$C$2,$C$3,$C$4,$C$6,$C$5,$C$7,F$1,F$2,$A281)</f>
        <v>-21.470584289999998</v>
      </c>
      <c r="G281" s="10">
        <f ca="1">_xll.DBRW($C$1,$C$2,$C$3,$C$4,$C$6,$C$5,$C$7,G$1,G$2,$A281)</f>
        <v>-14.728345468999997</v>
      </c>
      <c r="H281" s="10">
        <f ca="1">_xll.DBRW($C$1,$C$2,$C$3,$C$4,$C$6,$C$5,$C$7,H$1,H$2,$A281)</f>
        <v>0</v>
      </c>
    </row>
    <row r="282" spans="1:11" ht="15.5" hidden="1" customHeight="1">
      <c r="A282" s="1" t="s">
        <v>342</v>
      </c>
      <c r="E282" s="9" t="str">
        <f ca="1">_xll.DBRW(Server&amp;"}ElementAttributes_Indicator",A282,"code_English")</f>
        <v>DISP_RS - Industrial Disposals - Rolling stock</v>
      </c>
      <c r="F282" s="10">
        <f ca="1">_xll.DBRW($C$1,$C$2,$C$3,$C$4,$C$6,$C$5,$C$7,F$1,F$2,$A282)</f>
        <v>1.9093373429999998</v>
      </c>
      <c r="G282" s="10">
        <f ca="1">_xll.DBRW($C$1,$C$2,$C$3,$C$4,$C$6,$C$5,$C$7,G$1,G$2,$A282)</f>
        <v>5.1650251189999983</v>
      </c>
      <c r="H282" s="10">
        <f ca="1">_xll.DBRW($C$1,$C$2,$C$3,$C$4,$C$6,$C$5,$C$7,H$1,H$2,$A282)</f>
        <v>0</v>
      </c>
    </row>
    <row r="283" spans="1:11" ht="15.75" customHeight="1" collapsed="1">
      <c r="C283" s="104" t="s">
        <v>71</v>
      </c>
      <c r="E283" s="86" t="s">
        <v>72</v>
      </c>
      <c r="F283" s="40">
        <f t="shared" ref="F283:H283" ca="1" si="81">SUM(F281:F282)</f>
        <v>-19.561246946999997</v>
      </c>
      <c r="G283" s="40">
        <f t="shared" ca="1" si="81"/>
        <v>-9.5633203499999979</v>
      </c>
      <c r="H283" s="40">
        <f t="shared" ca="1" si="81"/>
        <v>0</v>
      </c>
      <c r="J283" s="109">
        <f t="shared" ref="J283" ca="1" si="82">F283-G283</f>
        <v>-9.9979265969999993</v>
      </c>
      <c r="K283" s="109">
        <f t="shared" ref="K283" ca="1" si="83">F283-H283</f>
        <v>-19.561246946999997</v>
      </c>
    </row>
    <row r="284" spans="1:11" ht="15.75" hidden="1" customHeight="1">
      <c r="A284" s="1" t="s">
        <v>343</v>
      </c>
      <c r="C284" s="104"/>
      <c r="E284" s="9" t="str">
        <f ca="1">_xll.DBRW(Server&amp;"}ElementAttributes_Indicator",A284,"code_English")</f>
        <v>CAPEX_BE - Gross industrial CAPEX - Buildings plants &amp; equipment</v>
      </c>
      <c r="F284" s="33">
        <f ca="1">_xll.DBRW($C$1,$C$2,$C$3,$C$4,$C$6,$C$5,$C$7,F$1,F$2,$A284)</f>
        <v>-15.151782059999999</v>
      </c>
      <c r="G284" s="33">
        <f ca="1">_xll.DBRW($C$1,$C$2,$C$3,$C$4,$C$6,$C$5,$C$7,G$1,G$2,$A284)</f>
        <v>-10.830507364999999</v>
      </c>
      <c r="H284" s="33">
        <f ca="1">_xll.DBRW($C$1,$C$2,$C$3,$C$4,$C$6,$C$5,$C$7,H$1,H$2,$A284)</f>
        <v>0</v>
      </c>
      <c r="J284" s="33">
        <f t="shared" ref="J284:J292" ca="1" si="84">F284-G284</f>
        <v>-4.3212746949999996</v>
      </c>
      <c r="K284" s="33">
        <f t="shared" ref="K284:K292" ca="1" si="85">F284-H284</f>
        <v>-15.151782059999999</v>
      </c>
    </row>
    <row r="285" spans="1:11" ht="15.75" hidden="1" customHeight="1">
      <c r="A285" s="1" t="s">
        <v>344</v>
      </c>
      <c r="C285" s="104"/>
      <c r="E285" s="9" t="s">
        <v>381</v>
      </c>
      <c r="F285" s="33">
        <f ca="1">_xll.DBRW($C$1,$C$2,$C$3,$C$4,$C$6,$C$5,$C$7,F$1,F$2,$A285)</f>
        <v>7.3447573999999946E-2</v>
      </c>
      <c r="G285" s="33">
        <f ca="1">_xll.DBRW($C$1,$C$2,$C$3,$C$4,$C$6,$C$5,$C$7,G$1,G$2,$A285)</f>
        <v>-2.3232871910000004</v>
      </c>
      <c r="H285" s="33">
        <f ca="1">_xll.DBRW($C$1,$C$2,$C$3,$C$4,$C$6,$C$5,$C$7,H$1,H$2,$A285)</f>
        <v>0</v>
      </c>
      <c r="J285" s="33">
        <f t="shared" ca="1" si="84"/>
        <v>2.3967347650000002</v>
      </c>
      <c r="K285" s="33">
        <f t="shared" ca="1" si="85"/>
        <v>7.3447573999999946E-2</v>
      </c>
    </row>
    <row r="286" spans="1:11" ht="15.5" collapsed="1">
      <c r="C286" s="104"/>
      <c r="E286" s="84" t="s">
        <v>73</v>
      </c>
      <c r="F286" s="39">
        <f t="shared" ref="F286:H286" ca="1" si="86">SUM(F284:F285)</f>
        <v>-15.078334485999999</v>
      </c>
      <c r="G286" s="39">
        <f t="shared" ca="1" si="86"/>
        <v>-13.153794555999999</v>
      </c>
      <c r="H286" s="39">
        <f t="shared" ca="1" si="86"/>
        <v>0</v>
      </c>
      <c r="J286" s="33">
        <f t="shared" ca="1" si="84"/>
        <v>-1.9245399299999999</v>
      </c>
      <c r="K286" s="33">
        <f t="shared" ca="1" si="85"/>
        <v>-15.078334485999999</v>
      </c>
    </row>
    <row r="287" spans="1:11" ht="15.75" hidden="1" customHeight="1">
      <c r="A287" s="1" t="s">
        <v>368</v>
      </c>
      <c r="C287" s="104"/>
      <c r="E287" s="9" t="str">
        <f ca="1">_xll.DBRW(Server&amp;"}ElementAttributes_Indicator",A287,"code_English")</f>
        <v>*KEY_ERR</v>
      </c>
      <c r="F287" s="33"/>
      <c r="G287" s="33"/>
      <c r="H287" s="33"/>
      <c r="J287" s="33">
        <f t="shared" ca="1" si="84"/>
        <v>0</v>
      </c>
      <c r="K287" s="33">
        <f t="shared" si="85"/>
        <v>0</v>
      </c>
    </row>
    <row r="288" spans="1:11" ht="15.75" hidden="1" customHeight="1">
      <c r="A288" s="1" t="s">
        <v>369</v>
      </c>
      <c r="C288" s="104"/>
      <c r="E288" s="9" t="str">
        <f ca="1">_xll.DBRW(Server&amp;"}ElementAttributes_Indicator",A288,"code_English")</f>
        <v>*KEY_ERR</v>
      </c>
      <c r="F288" s="33"/>
      <c r="G288" s="33"/>
      <c r="H288" s="33"/>
      <c r="J288" s="33">
        <f t="shared" ca="1" si="84"/>
        <v>0</v>
      </c>
      <c r="K288" s="33">
        <f t="shared" si="85"/>
        <v>0</v>
      </c>
    </row>
    <row r="289" spans="1:11" ht="15.5" collapsed="1">
      <c r="C289" s="104"/>
      <c r="E289" s="84" t="s">
        <v>74</v>
      </c>
      <c r="F289" s="39">
        <f>SUM(F287:F288)</f>
        <v>0</v>
      </c>
      <c r="G289" s="39">
        <f t="shared" ref="G289:H289" si="87">SUM(G287:G288)</f>
        <v>0</v>
      </c>
      <c r="H289" s="39">
        <f t="shared" si="87"/>
        <v>0</v>
      </c>
      <c r="J289" s="33">
        <f t="shared" ca="1" si="84"/>
        <v>0</v>
      </c>
      <c r="K289" s="33">
        <f t="shared" si="85"/>
        <v>0</v>
      </c>
    </row>
    <row r="290" spans="1:11" ht="15.75" hidden="1" customHeight="1">
      <c r="A290" s="1" t="s">
        <v>345</v>
      </c>
      <c r="C290" s="104"/>
      <c r="E290" s="9" t="str">
        <f ca="1">_xll.DBRW(Server&amp;"}ElementAttributes_Indicator",A290,"code_English")</f>
        <v>CAPEX_Other - Gross industrial CAPEX - Other</v>
      </c>
      <c r="F290" s="33">
        <f ca="1">_xll.DBRW($C$1,$C$2,$C$3,$C$4,$C$6,$C$5,$C$7,F$1,F$2,$A290)</f>
        <v>-52.224257864000023</v>
      </c>
      <c r="G290" s="33">
        <f ca="1">_xll.DBRW($C$1,$C$2,$C$3,$C$4,$C$6,$C$5,$C$7,G$1,G$2,$A290)</f>
        <v>-52.10257682200001</v>
      </c>
      <c r="H290" s="33">
        <f ca="1">_xll.DBRW($C$1,$C$2,$C$3,$C$4,$C$6,$C$5,$C$7,H$1,H$2,$A290)</f>
        <v>0</v>
      </c>
      <c r="J290" s="33">
        <f t="shared" ca="1" si="84"/>
        <v>-0.12168104200001295</v>
      </c>
      <c r="K290" s="33">
        <f t="shared" ca="1" si="85"/>
        <v>-52.224257864000023</v>
      </c>
    </row>
    <row r="291" spans="1:11" ht="15.75" hidden="1" customHeight="1">
      <c r="A291" s="1" t="s">
        <v>346</v>
      </c>
      <c r="C291" s="104"/>
      <c r="E291" s="9" t="str">
        <f ca="1">_xll.DBRW(Server&amp;"}ElementAttributes_Indicator",A291,"code_English")</f>
        <v>DISP_Other - Industrial Disposals - Other</v>
      </c>
      <c r="F291" s="33">
        <f ca="1">_xll.DBRW($C$1,$C$2,$C$3,$C$4,$C$6,$C$5,$C$7,F$1,F$2,$A291)</f>
        <v>12.112706340999999</v>
      </c>
      <c r="G291" s="33">
        <f ca="1">_xll.DBRW($C$1,$C$2,$C$3,$C$4,$C$6,$C$5,$C$7,G$1,G$2,$A291)</f>
        <v>38.250526608999998</v>
      </c>
      <c r="H291" s="33">
        <f ca="1">_xll.DBRW($C$1,$C$2,$C$3,$C$4,$C$6,$C$5,$C$7,H$1,H$2,$A291)</f>
        <v>-1.1917382550000009</v>
      </c>
      <c r="J291" s="33">
        <f t="shared" ca="1" si="84"/>
        <v>-26.137820267999999</v>
      </c>
      <c r="K291" s="33">
        <f t="shared" ca="1" si="85"/>
        <v>13.304444596</v>
      </c>
    </row>
    <row r="292" spans="1:11" ht="15.5" collapsed="1">
      <c r="C292" s="104"/>
      <c r="E292" s="87" t="s">
        <v>75</v>
      </c>
      <c r="F292" s="41">
        <f t="shared" ref="F292:H292" ca="1" si="88">SUM(F290:F291)</f>
        <v>-40.111551523000024</v>
      </c>
      <c r="G292" s="41">
        <f t="shared" ca="1" si="88"/>
        <v>-13.852050213000012</v>
      </c>
      <c r="H292" s="41">
        <f t="shared" ca="1" si="88"/>
        <v>-1.1917382550000009</v>
      </c>
      <c r="J292" s="33">
        <f t="shared" ca="1" si="84"/>
        <v>-26.259501310000012</v>
      </c>
      <c r="K292" s="33">
        <f t="shared" ca="1" si="85"/>
        <v>-38.91981326800002</v>
      </c>
    </row>
    <row r="293" spans="1:11" ht="15.5">
      <c r="A293" s="1" t="s">
        <v>142</v>
      </c>
      <c r="C293" s="104"/>
      <c r="E293" s="11" t="s">
        <v>76</v>
      </c>
      <c r="F293" s="35">
        <f t="shared" ref="F293:H293" ca="1" si="89">F283+F286+F292</f>
        <v>-74.751132956000021</v>
      </c>
      <c r="G293" s="35">
        <f t="shared" ca="1" si="89"/>
        <v>-36.569165119000012</v>
      </c>
      <c r="H293" s="35">
        <f t="shared" ca="1" si="89"/>
        <v>-1.1917382550000009</v>
      </c>
      <c r="J293" s="31">
        <f ca="1">F293-G293</f>
        <v>-38.181967837000009</v>
      </c>
      <c r="K293" s="31">
        <f ca="1">F293-H293</f>
        <v>-73.559394701000016</v>
      </c>
    </row>
    <row r="294" spans="1:11" ht="9" customHeight="1">
      <c r="A294" s="1" t="s">
        <v>142</v>
      </c>
      <c r="C294" s="104"/>
      <c r="E294" s="7"/>
      <c r="F294" s="8"/>
      <c r="G294" s="8"/>
      <c r="H294" s="8"/>
    </row>
    <row r="295" spans="1:11" ht="15.75" customHeight="1">
      <c r="A295" s="1" t="s">
        <v>142</v>
      </c>
      <c r="C295" s="104"/>
      <c r="E295" s="7"/>
      <c r="F295" s="8"/>
      <c r="G295" s="8"/>
      <c r="H295" s="8"/>
    </row>
    <row r="296" spans="1:11" ht="15.75" hidden="1" customHeight="1">
      <c r="A296" s="1" t="s">
        <v>339</v>
      </c>
      <c r="C296" s="104"/>
      <c r="E296" s="84" t="s">
        <v>67</v>
      </c>
      <c r="F296" s="39">
        <f ca="1">_xll.DBRW($C$1,$C$2,$C$3,$C$4,$C$6,$C$5,$C$7,F$1,F$2,$A296)</f>
        <v>-11.408983302000038</v>
      </c>
      <c r="G296" s="39">
        <f ca="1">_xll.DBRW($C$1,$C$2,$C$3,$C$4,$C$6,$C$5,$C$7,G$1,G$2,$A296)</f>
        <v>-6.8600602209999559</v>
      </c>
      <c r="H296" s="39">
        <f ca="1">_xll.DBRW($C$1,$C$2,$C$3,$C$4,$C$6,$C$5,$C$7,H$1,H$2,$A296)</f>
        <v>-11.55222186799994</v>
      </c>
    </row>
    <row r="297" spans="1:11" ht="15.75" hidden="1" customHeight="1">
      <c r="A297" s="1" t="s">
        <v>347</v>
      </c>
      <c r="C297" s="104"/>
      <c r="E297" s="84" t="s">
        <v>77</v>
      </c>
      <c r="F297" s="39">
        <f ca="1">_xll.DBRW($C$1,$C$2,$C$3,$C$4,$C$6,$C$5,$C$7,F$1,F$2,$A297)</f>
        <v>0.96978089799999989</v>
      </c>
      <c r="G297" s="39">
        <f ca="1">_xll.DBRW($C$1,$C$2,$C$3,$C$4,$C$6,$C$5,$C$7,G$1,G$2,$A297)</f>
        <v>2.2061690089999999</v>
      </c>
      <c r="H297" s="39">
        <f ca="1">_xll.DBRW($C$1,$C$2,$C$3,$C$4,$C$6,$C$5,$C$7,H$1,H$2,$A297)</f>
        <v>1.302081</v>
      </c>
    </row>
    <row r="298" spans="1:11" ht="15.75" customHeight="1">
      <c r="A298" s="1" t="s">
        <v>142</v>
      </c>
      <c r="C298" s="104"/>
      <c r="E298" s="15" t="s">
        <v>78</v>
      </c>
      <c r="F298" s="39">
        <f ca="1">(-F23+F297)*0.8%</f>
        <v>-10.582816157863999</v>
      </c>
      <c r="G298" s="39">
        <f t="shared" ref="G298:H298" ca="1" si="90">(-G23+G297)*0.8%</f>
        <v>-9.3362000510160001</v>
      </c>
      <c r="H298" s="39">
        <f t="shared" ca="1" si="90"/>
        <v>-10.856507866632001</v>
      </c>
      <c r="J298" s="33">
        <f t="shared" ref="J298" ca="1" si="91">F298-G298</f>
        <v>-1.2466161068479984</v>
      </c>
      <c r="K298" s="33">
        <f t="shared" ref="K298" ca="1" si="92">F298-H298</f>
        <v>0.27369170876800197</v>
      </c>
    </row>
    <row r="299" spans="1:11" ht="15.75" customHeight="1">
      <c r="A299" s="1" t="s">
        <v>142</v>
      </c>
      <c r="C299" s="104"/>
      <c r="E299" s="15" t="s">
        <v>79</v>
      </c>
      <c r="F299" s="39">
        <f ca="1">F296-F297+F298</f>
        <v>-22.961580357864037</v>
      </c>
      <c r="G299" s="39">
        <f t="shared" ref="G299:H299" ca="1" si="93">G296-G297+G298</f>
        <v>-18.402429281015955</v>
      </c>
      <c r="H299" s="39">
        <f t="shared" ca="1" si="93"/>
        <v>-23.710810734631941</v>
      </c>
      <c r="J299" s="33">
        <f t="shared" ref="J299:J300" ca="1" si="94">F299-G299</f>
        <v>-4.5591510768480816</v>
      </c>
      <c r="K299" s="33">
        <f t="shared" ref="K299:K300" ca="1" si="95">F299-H299</f>
        <v>0.74923037676790472</v>
      </c>
    </row>
    <row r="300" spans="1:11" ht="15.5" collapsed="1">
      <c r="A300" s="1" t="s">
        <v>348</v>
      </c>
      <c r="C300" s="104"/>
      <c r="E300" s="88" t="s">
        <v>80</v>
      </c>
      <c r="F300" s="40">
        <f ca="1">_xll.DBRW($C$1,$C$2,$C$3,$C$4,$C$6,$C$5,$C$7,F$1,F$2,$A300)</f>
        <v>1724.6341662159998</v>
      </c>
      <c r="G300" s="40">
        <f ca="1">_xll.DBRW($C$1,$C$2,$C$3,$C$4,$C$6,$C$5,$C$7,G$1,G$2,$A300)</f>
        <v>1744.6602254429988</v>
      </c>
      <c r="H300" s="40">
        <f ca="1">_xll.DBRW($C$1,$C$2,$C$3,$C$4,$C$6,$C$5,$C$7,H$1,H$2,$A300)</f>
        <v>0</v>
      </c>
      <c r="J300" s="110">
        <f t="shared" ca="1" si="94"/>
        <v>-20.026059226998996</v>
      </c>
      <c r="K300" s="110">
        <f t="shared" ca="1" si="95"/>
        <v>1724.6341662159998</v>
      </c>
    </row>
    <row r="301" spans="1:11" ht="15.5">
      <c r="A301" s="1" t="s">
        <v>142</v>
      </c>
      <c r="C301" s="104"/>
      <c r="E301" s="11" t="s">
        <v>81</v>
      </c>
      <c r="F301" s="42">
        <f ca="1">IF(F300&lt;=0,"n/a",F299/AVERAGE(F300:G300))</f>
        <v>-1.3237031952704325E-2</v>
      </c>
      <c r="G301" s="42">
        <f t="shared" ref="G301:J301" ca="1" si="96">IF(G300&lt;=0,"n/a",G299/AVERAGE(F300:G300))</f>
        <v>-1.0608744720690025E-2</v>
      </c>
      <c r="H301" s="42" t="str">
        <f t="shared" ca="1" si="96"/>
        <v>n/a</v>
      </c>
      <c r="J301" s="31">
        <f ca="1">F301-G301</f>
        <v>-2.6282872320143001E-3</v>
      </c>
      <c r="K301" s="31" t="e">
        <f ca="1">F301-H301</f>
        <v>#VALUE!</v>
      </c>
    </row>
    <row r="302" spans="1:11" ht="15.5">
      <c r="A302" s="1" t="s">
        <v>142</v>
      </c>
      <c r="C302" s="26"/>
      <c r="E302" s="62" t="s">
        <v>82</v>
      </c>
      <c r="F302" s="55"/>
      <c r="G302" s="55"/>
      <c r="H302" s="55"/>
    </row>
    <row r="303" spans="1:11" ht="15.5">
      <c r="A303" s="1" t="s">
        <v>142</v>
      </c>
      <c r="E303" s="19"/>
      <c r="F303" s="30"/>
      <c r="G303" s="30"/>
      <c r="H303" s="30"/>
    </row>
    <row r="304" spans="1:11" ht="15.5" hidden="1" customHeight="1">
      <c r="A304" s="1" t="s">
        <v>349</v>
      </c>
      <c r="E304" s="9" t="str">
        <f ca="1">_xll.DBRW(Server&amp;"}ElementAttributes_Indicator",A304,"code_English")</f>
        <v>Tot_km - Total KM self driven</v>
      </c>
      <c r="F304" s="16">
        <f ca="1">_xll.DBRW($C$1,$C$2,$C$3,$C$4,$C$6,$C$5,$C$7,F$1,F$2,$A304)</f>
        <v>330.62010133944091</v>
      </c>
      <c r="G304" s="16">
        <f ca="1">_xll.DBRW($C$1,$C$2,$C$3,$C$4,$C$6,$C$5,$C$7,G$1,G$2,$A304)</f>
        <v>137.24589363093094</v>
      </c>
      <c r="H304" s="16">
        <f ca="1">_xll.DBRW($C$1,$C$2,$C$3,$C$4,$C$6,$C$5,$C$7,H$1,H$2,$A304)</f>
        <v>153.8452106410235</v>
      </c>
    </row>
    <row r="305" spans="1:11" ht="15.5" hidden="1" customHeight="1">
      <c r="A305" s="75" t="s">
        <v>358</v>
      </c>
      <c r="B305" s="75"/>
      <c r="E305" s="9" t="str">
        <f ca="1">_xll.DBRW(Server&amp;"}ElementAttributes_Indicator",A305,"code_English")</f>
        <v>*KEY_ERR</v>
      </c>
      <c r="F305" s="39" t="str">
        <f ca="1">_xll.DBRW($C$1,$C$2,$C$3,$C$4,$C$6,$C$5,$C$7,F$1,F$2,$A305)</f>
        <v>*KEY_ERR</v>
      </c>
      <c r="G305" s="39" t="str">
        <f ca="1">_xll.DBRW($C$1,$C$2,$C$3,$C$4,$C$6,$C$5,$C$7,G$1,G$2,$A305)</f>
        <v>*KEY_ERR</v>
      </c>
      <c r="H305" s="39" t="str">
        <f ca="1">_xll.DBRW($C$1,$C$2,$C$3,$C$4,$C$6,$C$5,$C$7,H$1,H$2,$A305)</f>
        <v>*KEY_ERR</v>
      </c>
    </row>
    <row r="306" spans="1:11" ht="15.5" hidden="1" customHeight="1">
      <c r="A306" s="75" t="s">
        <v>359</v>
      </c>
      <c r="B306" s="75"/>
      <c r="E306" s="9" t="str">
        <f ca="1">_xll.DBRW(Server&amp;"}ElementAttributes_Indicator",A306,"code_English")</f>
        <v>*KEY_ERR</v>
      </c>
      <c r="F306" s="39" t="str">
        <f ca="1">_xll.DBRW($C$1,$C$2,$C$3,$C$4,$C$6,$C$5,$C$7,F$1,F$2,$A306)</f>
        <v>*KEY_ERR</v>
      </c>
      <c r="G306" s="39" t="str">
        <f ca="1">_xll.DBRW($C$1,$C$2,$C$3,$C$4,$C$6,$C$5,$C$7,G$1,G$2,$A306)</f>
        <v>*KEY_ERR</v>
      </c>
      <c r="H306" s="39" t="str">
        <f ca="1">_xll.DBRW($C$1,$C$2,$C$3,$C$4,$C$6,$C$5,$C$7,H$1,H$2,$A306)</f>
        <v>*KEY_ERR</v>
      </c>
    </row>
    <row r="307" spans="1:11" ht="15.5" hidden="1" customHeight="1">
      <c r="A307" s="75" t="s">
        <v>360</v>
      </c>
      <c r="B307" s="75"/>
      <c r="E307" s="9" t="str">
        <f ca="1">_xll.DBRW(Server&amp;"}ElementAttributes_Indicator",A307,"code_English")</f>
        <v>*KEY_ERR</v>
      </c>
      <c r="F307" s="39" t="str">
        <f ca="1">_xll.DBRW($C$1,$C$2,$C$3,$C$4,$C$6,$C$5,$C$7,F$1,F$2,$A307)</f>
        <v>*KEY_ERR</v>
      </c>
      <c r="G307" s="39" t="str">
        <f ca="1">_xll.DBRW($C$1,$C$2,$C$3,$C$4,$C$6,$C$5,$C$7,G$1,G$2,$A307)</f>
        <v>*KEY_ERR</v>
      </c>
      <c r="H307" s="39" t="str">
        <f ca="1">_xll.DBRW($C$1,$C$2,$C$3,$C$4,$C$6,$C$5,$C$7,H$1,H$2,$A307)</f>
        <v>*KEY_ERR</v>
      </c>
    </row>
    <row r="308" spans="1:11" ht="15.5" hidden="1" customHeight="1">
      <c r="A308" s="75" t="s">
        <v>361</v>
      </c>
      <c r="B308" s="75"/>
      <c r="E308" s="9" t="str">
        <f ca="1">_xll.DBRW(Server&amp;"}ElementAttributes_Indicator",A308,"code_English")</f>
        <v>*KEY_ERR</v>
      </c>
      <c r="F308" s="39" t="str">
        <f ca="1">_xll.DBRW($C$1,$C$2,$C$3,$C$4,$C$6,$C$5,$C$7,F$1,F$2,$A308)</f>
        <v>*KEY_ERR</v>
      </c>
      <c r="G308" s="39" t="str">
        <f ca="1">_xll.DBRW($C$1,$C$2,$C$3,$C$4,$C$6,$C$5,$C$7,G$1,G$2,$A308)</f>
        <v>*KEY_ERR</v>
      </c>
      <c r="H308" s="39" t="str">
        <f ca="1">_xll.DBRW($C$1,$C$2,$C$3,$C$4,$C$6,$C$5,$C$7,H$1,H$2,$A308)</f>
        <v>*KEY_ERR</v>
      </c>
    </row>
    <row r="309" spans="1:11" ht="15.5" hidden="1" customHeight="1">
      <c r="A309" s="75" t="s">
        <v>362</v>
      </c>
      <c r="B309" s="75"/>
      <c r="E309" s="9" t="str">
        <f ca="1">_xll.DBRW(Server&amp;"}ElementAttributes_Indicator",A309,"code_English")</f>
        <v>*KEY_ERR</v>
      </c>
      <c r="F309" s="39" t="str">
        <f ca="1">_xll.DBRW($C$1,$C$2,$C$3,$C$4,$C$6,$C$5,$C$7,F$1,F$2,$A309)</f>
        <v>*KEY_ERR</v>
      </c>
      <c r="G309" s="39" t="str">
        <f ca="1">_xll.DBRW($C$1,$C$2,$C$3,$C$4,$C$6,$C$5,$C$7,G$1,G$2,$A309)</f>
        <v>*KEY_ERR</v>
      </c>
      <c r="H309" s="39" t="str">
        <f ca="1">_xll.DBRW($C$1,$C$2,$C$3,$C$4,$C$6,$C$5,$C$7,H$1,H$2,$A309)</f>
        <v>*KEY_ERR</v>
      </c>
    </row>
    <row r="310" spans="1:11" ht="15.5" hidden="1" customHeight="1">
      <c r="A310" s="75" t="s">
        <v>363</v>
      </c>
      <c r="B310" s="75"/>
      <c r="E310" s="9" t="str">
        <f ca="1">_xll.DBRW(Server&amp;"}ElementAttributes_Indicator",A310,"code_English")</f>
        <v>*KEY_ERR</v>
      </c>
      <c r="F310" s="39" t="str">
        <f ca="1">_xll.DBRW($C$1,$C$2,$C$3,$C$4,$C$6,$C$5,$C$7,F$1,F$2,$A310)</f>
        <v>*KEY_ERR</v>
      </c>
      <c r="G310" s="39" t="str">
        <f ca="1">_xll.DBRW($C$1,$C$2,$C$3,$C$4,$C$6,$C$5,$C$7,G$1,G$2,$A310)</f>
        <v>*KEY_ERR</v>
      </c>
      <c r="H310" s="39" t="str">
        <f ca="1">_xll.DBRW($C$1,$C$2,$C$3,$C$4,$C$6,$C$5,$C$7,H$1,H$2,$A310)</f>
        <v>*KEY_ERR</v>
      </c>
    </row>
    <row r="311" spans="1:11" ht="15.5" hidden="1" customHeight="1">
      <c r="A311" s="1" t="s">
        <v>83</v>
      </c>
      <c r="E311" s="9" t="str">
        <f ca="1">_xll.DBRW(Server&amp;"}ElementAttributes_Indicator",A311,"code_English")</f>
        <v>Tot_km_fuel - Total KM driven by fuel</v>
      </c>
      <c r="F311" s="39">
        <f ca="1">_xll.DBRW($C$1,$C$2,$C$3,$C$4,$C$6,$C$5,$C$7,F$1,F$2,$A311)</f>
        <v>78.333188038504005</v>
      </c>
      <c r="G311" s="39">
        <f ca="1">_xll.DBRW($C$1,$C$2,$C$3,$C$4,$C$6,$C$5,$C$7,G$1,G$2,$A311)</f>
        <v>81.504074972104092</v>
      </c>
      <c r="H311" s="39">
        <f ca="1">_xll.DBRW($C$1,$C$2,$C$3,$C$4,$C$6,$C$5,$C$7,H$1,H$2,$A311)</f>
        <v>79.518028912763199</v>
      </c>
    </row>
    <row r="312" spans="1:11" ht="15.5" hidden="1" customHeight="1">
      <c r="A312" s="1" t="s">
        <v>84</v>
      </c>
      <c r="E312" s="9" t="str">
        <f ca="1">_xll.DBRW(Server&amp;"}ElementAttributes_Indicator",A312,"code_English")</f>
        <v>Tot_km_biofuel - Total KM driven by biofuel</v>
      </c>
      <c r="F312" s="39">
        <f ca="1">_xll.DBRW($C$1,$C$2,$C$3,$C$4,$C$6,$C$5,$C$7,F$1,F$2,$A312)</f>
        <v>1.5317250000000002</v>
      </c>
      <c r="G312" s="39">
        <f ca="1">_xll.DBRW($C$1,$C$2,$C$3,$C$4,$C$6,$C$5,$C$7,G$1,G$2,$A312)</f>
        <v>0.90369434999999987</v>
      </c>
      <c r="H312" s="39">
        <f ca="1">_xll.DBRW($C$1,$C$2,$C$3,$C$4,$C$6,$C$5,$C$7,H$1,H$2,$A312)</f>
        <v>2.2802493758713265</v>
      </c>
    </row>
    <row r="313" spans="1:11" ht="15.5" hidden="1" customHeight="1">
      <c r="A313" s="1" t="s">
        <v>85</v>
      </c>
      <c r="E313" s="9" t="str">
        <f ca="1">_xll.DBRW(Server&amp;"}ElementAttributes_Indicator",A313,"code_English")</f>
        <v>Tot_km_elec - Total KM driven by electricity</v>
      </c>
      <c r="F313" s="39">
        <f ca="1">_xll.DBRW($C$1,$C$2,$C$3,$C$4,$C$6,$C$5,$C$7,F$1,F$2,$A313)</f>
        <v>196.5500217</v>
      </c>
      <c r="G313" s="39">
        <f ca="1">_xll.DBRW($C$1,$C$2,$C$3,$C$4,$C$6,$C$5,$C$7,G$1,G$2,$A313)</f>
        <v>2.192305436666667</v>
      </c>
      <c r="H313" s="39">
        <f ca="1">_xll.DBRW($C$1,$C$2,$C$3,$C$4,$C$6,$C$5,$C$7,H$1,H$2,$A313)</f>
        <v>3.2116583179246443</v>
      </c>
    </row>
    <row r="314" spans="1:11" ht="15.5" hidden="1" customHeight="1">
      <c r="A314" s="1" t="s">
        <v>86</v>
      </c>
      <c r="E314" s="9" t="str">
        <f ca="1">_xll.DBRW(Server&amp;"}ElementAttributes_Indicator",A314,"code_English")</f>
        <v>Tot_km_gas - Total KM driven by gas</v>
      </c>
      <c r="F314" s="39">
        <f ca="1">_xll.DBRW($C$1,$C$2,$C$3,$C$4,$C$6,$C$5,$C$7,F$1,F$2,$A314)</f>
        <v>9.4691379100000006</v>
      </c>
      <c r="G314" s="39">
        <f ca="1">_xll.DBRW($C$1,$C$2,$C$3,$C$4,$C$6,$C$5,$C$7,G$1,G$2,$A314)</f>
        <v>6.4969969999999995</v>
      </c>
      <c r="H314" s="39">
        <f ca="1">_xll.DBRW($C$1,$C$2,$C$3,$C$4,$C$6,$C$5,$C$7,H$1,H$2,$A314)</f>
        <v>10.340535026847101</v>
      </c>
    </row>
    <row r="315" spans="1:11" ht="15.75" customHeight="1" collapsed="1">
      <c r="A315" s="1" t="s">
        <v>142</v>
      </c>
      <c r="C315" s="104" t="s">
        <v>87</v>
      </c>
      <c r="E315" s="17" t="s">
        <v>88</v>
      </c>
      <c r="F315" s="43">
        <f t="shared" ref="F315:H315" ca="1" si="97">F304</f>
        <v>330.62010133944091</v>
      </c>
      <c r="G315" s="43">
        <f t="shared" ca="1" si="97"/>
        <v>137.24589363093094</v>
      </c>
      <c r="H315" s="43">
        <f t="shared" ca="1" si="97"/>
        <v>153.8452106410235</v>
      </c>
      <c r="J315" s="109">
        <f t="shared" ref="J315" ca="1" si="98">F315-G315</f>
        <v>193.37420770850997</v>
      </c>
      <c r="K315" s="109">
        <f t="shared" ref="K315" ca="1" si="99">F315-H315</f>
        <v>176.77489069841741</v>
      </c>
    </row>
    <row r="316" spans="1:11" ht="15.75" hidden="1" customHeight="1">
      <c r="A316" s="1" t="s">
        <v>350</v>
      </c>
      <c r="C316" s="104"/>
      <c r="E316" s="9" t="str">
        <f ca="1">_xll.DBRW(Server&amp;"}ElementAttributes_Indicator",A316,"code_English")</f>
        <v>Nb_Drivers - Number of drivers</v>
      </c>
      <c r="F316" s="44">
        <f ca="1">_xll.DBRW($C$1,$C$2,$C$3,$C$4,$C$6,$C$5,$C$7,F$1,F$2,$A316)</f>
        <v>0</v>
      </c>
      <c r="G316" s="44">
        <f ca="1">_xll.DBRW($C$1,$C$2,$C$3,$C$4,$C$6,$C$5,$C$7,G$1,G$2,$A316)</f>
        <v>0</v>
      </c>
      <c r="H316" s="44">
        <f ca="1">_xll.DBRW($C$1,$C$2,$C$3,$C$4,$C$6,$C$5,$C$7,H$1,H$2,$A316)</f>
        <v>0</v>
      </c>
      <c r="J316" s="33">
        <f t="shared" ref="J316:J328" ca="1" si="100">F316-G316</f>
        <v>0</v>
      </c>
      <c r="K316" s="33">
        <f t="shared" ref="K316:K328" ca="1" si="101">F316-H316</f>
        <v>0</v>
      </c>
    </row>
    <row r="317" spans="1:11" ht="15.75" hidden="1" customHeight="1">
      <c r="A317" s="1" t="s">
        <v>351</v>
      </c>
      <c r="C317" s="104"/>
      <c r="E317" s="9" t="str">
        <f ca="1">_xll.DBRW(Server&amp;"}ElementAttributes_Indicator",A317,"code_English")</f>
        <v>Nb_Conductors - Number of conductors</v>
      </c>
      <c r="F317" s="44">
        <f ca="1">_xll.DBRW($C$1,$C$2,$C$3,$C$4,$C$6,$C$5,$C$7,F$1,F$2,$A317)</f>
        <v>0</v>
      </c>
      <c r="G317" s="44">
        <f ca="1">_xll.DBRW($C$1,$C$2,$C$3,$C$4,$C$6,$C$5,$C$7,G$1,G$2,$A317)</f>
        <v>0</v>
      </c>
      <c r="H317" s="44">
        <f ca="1">_xll.DBRW($C$1,$C$2,$C$3,$C$4,$C$6,$C$5,$C$7,H$1,H$2,$A317)</f>
        <v>0</v>
      </c>
      <c r="J317" s="33">
        <f t="shared" ca="1" si="100"/>
        <v>0</v>
      </c>
      <c r="K317" s="33">
        <f t="shared" ca="1" si="101"/>
        <v>0</v>
      </c>
    </row>
    <row r="318" spans="1:11" ht="15.75" hidden="1" customHeight="1">
      <c r="A318" s="1" t="s">
        <v>364</v>
      </c>
      <c r="C318" s="104"/>
      <c r="E318" s="9" t="str">
        <f ca="1">_xll.DBRW(Server&amp;"}ElementAttributes_Indicator",A318,"code_English")</f>
        <v>*KEY_ERR</v>
      </c>
      <c r="F318" s="44" t="str">
        <f ca="1">_xll.DBRW($C$1,$C$2,$C$3,$C$4,$C$6,$C$5,$C$7,F$1,F$2,$A318)</f>
        <v>*KEY_ERR</v>
      </c>
      <c r="G318" s="44" t="str">
        <f ca="1">_xll.DBRW($C$1,$C$2,$C$3,$C$4,$C$6,$C$5,$C$7,G$1,G$2,$A318)</f>
        <v>*KEY_ERR</v>
      </c>
      <c r="H318" s="44" t="str">
        <f ca="1">_xll.DBRW($C$1,$C$2,$C$3,$C$4,$C$6,$C$5,$C$7,H$1,H$2,$A318)</f>
        <v>*KEY_ERR</v>
      </c>
      <c r="J318" s="33" t="e">
        <f t="shared" ca="1" si="100"/>
        <v>#VALUE!</v>
      </c>
      <c r="K318" s="33" t="e">
        <f t="shared" ca="1" si="101"/>
        <v>#VALUE!</v>
      </c>
    </row>
    <row r="319" spans="1:11" ht="15.5" collapsed="1">
      <c r="A319" s="1" t="s">
        <v>142</v>
      </c>
      <c r="C319" s="104"/>
      <c r="E319" s="15" t="s">
        <v>89</v>
      </c>
      <c r="F319" s="45">
        <f ca="1">SUM(F316:F318)</f>
        <v>0</v>
      </c>
      <c r="G319" s="45">
        <f t="shared" ref="G319:H319" ca="1" si="102">SUM(G316:G318)</f>
        <v>0</v>
      </c>
      <c r="H319" s="45">
        <f t="shared" ca="1" si="102"/>
        <v>0</v>
      </c>
      <c r="J319" s="33">
        <f t="shared" ca="1" si="100"/>
        <v>0</v>
      </c>
      <c r="K319" s="33">
        <f t="shared" ca="1" si="101"/>
        <v>0</v>
      </c>
    </row>
    <row r="320" spans="1:11" ht="15.75" hidden="1" customHeight="1">
      <c r="A320" s="1" t="s">
        <v>352</v>
      </c>
      <c r="C320" s="104"/>
      <c r="E320" s="9" t="str">
        <f ca="1">_xll.DBRW(Server&amp;"}ElementAttributes_Indicator",A320,"code_English")</f>
        <v>Nb_Maintenance_team - Number of Maintenance collaborators</v>
      </c>
      <c r="F320" s="44">
        <f ca="1">_xll.DBRW($C$1,$C$2,$C$3,$C$4,$C$6,$C$5,$C$7,F$1,F$2,$A320)</f>
        <v>0</v>
      </c>
      <c r="G320" s="44">
        <f ca="1">_xll.DBRW($C$1,$C$2,$C$3,$C$4,$C$6,$C$5,$C$7,G$1,G$2,$A320)</f>
        <v>0</v>
      </c>
      <c r="H320" s="44">
        <f ca="1">_xll.DBRW($C$1,$C$2,$C$3,$C$4,$C$6,$C$5,$C$7,H$1,H$2,$A320)</f>
        <v>0</v>
      </c>
      <c r="J320" s="33">
        <f t="shared" ca="1" si="100"/>
        <v>0</v>
      </c>
      <c r="K320" s="33">
        <f t="shared" ca="1" si="101"/>
        <v>0</v>
      </c>
    </row>
    <row r="321" spans="1:11" ht="15.75" hidden="1" customHeight="1">
      <c r="A321" s="1" t="s">
        <v>365</v>
      </c>
      <c r="C321" s="104"/>
      <c r="E321" s="9" t="str">
        <f ca="1">_xll.DBRW(Server&amp;"}ElementAttributes_Indicator",A321,"code_English")</f>
        <v>*KEY_ERR</v>
      </c>
      <c r="F321" s="44" t="str">
        <f ca="1">_xll.DBRW($C$1,$C$2,$C$3,$C$4,$C$6,$C$5,$C$7,F$1,F$2,$A321)</f>
        <v>*KEY_ERR</v>
      </c>
      <c r="G321" s="44" t="str">
        <f ca="1">_xll.DBRW($C$1,$C$2,$C$3,$C$4,$C$6,$C$5,$C$7,G$1,G$2,$A321)</f>
        <v>*KEY_ERR</v>
      </c>
      <c r="H321" s="44" t="str">
        <f ca="1">_xll.DBRW($C$1,$C$2,$C$3,$C$4,$C$6,$C$5,$C$7,H$1,H$2,$A321)</f>
        <v>*KEY_ERR</v>
      </c>
      <c r="J321" s="33" t="e">
        <f t="shared" ca="1" si="100"/>
        <v>#VALUE!</v>
      </c>
      <c r="K321" s="33" t="e">
        <f t="shared" ca="1" si="101"/>
        <v>#VALUE!</v>
      </c>
    </row>
    <row r="322" spans="1:11" ht="15.5" collapsed="1">
      <c r="A322" s="1" t="s">
        <v>142</v>
      </c>
      <c r="C322" s="104"/>
      <c r="E322" s="15" t="s">
        <v>90</v>
      </c>
      <c r="F322" s="45">
        <f ca="1">SUM(F320:F321)</f>
        <v>0</v>
      </c>
      <c r="G322" s="45">
        <f t="shared" ref="G322:H322" ca="1" si="103">SUM(G320:G321)</f>
        <v>0</v>
      </c>
      <c r="H322" s="45">
        <f t="shared" ca="1" si="103"/>
        <v>0</v>
      </c>
      <c r="J322" s="33">
        <f t="shared" ca="1" si="100"/>
        <v>0</v>
      </c>
      <c r="K322" s="33">
        <f t="shared" ca="1" si="101"/>
        <v>0</v>
      </c>
    </row>
    <row r="323" spans="1:11" ht="15.75" hidden="1" customHeight="1">
      <c r="A323" s="1" t="s">
        <v>366</v>
      </c>
      <c r="C323" s="104"/>
      <c r="E323" s="9" t="str">
        <f ca="1">_xll.DBRW(Server&amp;"}ElementAttributes_Indicator",A323,"code_English")</f>
        <v>*KEY_ERR</v>
      </c>
      <c r="F323" s="45">
        <f ca="1">SUM(F321:F322)</f>
        <v>0</v>
      </c>
      <c r="G323" s="45">
        <f t="shared" ref="G323:H325" ca="1" si="104">SUM(G321:G322)</f>
        <v>0</v>
      </c>
      <c r="H323" s="45">
        <f t="shared" ca="1" si="104"/>
        <v>0</v>
      </c>
      <c r="J323" s="33">
        <f t="shared" ca="1" si="100"/>
        <v>0</v>
      </c>
      <c r="K323" s="33">
        <f t="shared" ca="1" si="101"/>
        <v>0</v>
      </c>
    </row>
    <row r="324" spans="1:11" ht="15.5" hidden="1" customHeight="1" collapsed="1">
      <c r="A324" s="1" t="s">
        <v>142</v>
      </c>
      <c r="C324" s="104"/>
      <c r="E324" s="82" t="s">
        <v>91</v>
      </c>
      <c r="F324" s="45">
        <f ca="1">SUM(F322:F323)</f>
        <v>0</v>
      </c>
      <c r="G324" s="45">
        <f t="shared" ca="1" si="104"/>
        <v>0</v>
      </c>
      <c r="H324" s="45">
        <f t="shared" ca="1" si="104"/>
        <v>0</v>
      </c>
      <c r="J324" s="33">
        <f t="shared" ca="1" si="100"/>
        <v>0</v>
      </c>
      <c r="K324" s="33">
        <f t="shared" ca="1" si="101"/>
        <v>0</v>
      </c>
    </row>
    <row r="325" spans="1:11" ht="15.75" hidden="1" customHeight="1">
      <c r="A325" s="1" t="s">
        <v>367</v>
      </c>
      <c r="C325" s="104"/>
      <c r="E325" s="9" t="str">
        <f ca="1">_xll.DBRW(Server&amp;"}ElementAttributes_Indicator",A325,"code_English")</f>
        <v>*KEY_ERR</v>
      </c>
      <c r="F325" s="45">
        <f ca="1">SUM(F323:F324)</f>
        <v>0</v>
      </c>
      <c r="G325" s="45">
        <f t="shared" ca="1" si="104"/>
        <v>0</v>
      </c>
      <c r="H325" s="45">
        <f t="shared" ca="1" si="104"/>
        <v>0</v>
      </c>
      <c r="J325" s="33">
        <f t="shared" ca="1" si="100"/>
        <v>0</v>
      </c>
      <c r="K325" s="33">
        <f t="shared" ca="1" si="101"/>
        <v>0</v>
      </c>
    </row>
    <row r="326" spans="1:11" ht="15.5" collapsed="1">
      <c r="A326" s="1" t="s">
        <v>142</v>
      </c>
      <c r="C326" s="104"/>
      <c r="E326" s="82" t="s">
        <v>92</v>
      </c>
      <c r="F326" s="44">
        <f ca="1">SUM(F325)</f>
        <v>0</v>
      </c>
      <c r="G326" s="44">
        <f t="shared" ref="G326:H326" ca="1" si="105">SUM(G325)</f>
        <v>0</v>
      </c>
      <c r="H326" s="44">
        <f t="shared" ca="1" si="105"/>
        <v>0</v>
      </c>
      <c r="J326" s="33">
        <f t="shared" ca="1" si="100"/>
        <v>0</v>
      </c>
      <c r="K326" s="33">
        <f t="shared" ca="1" si="101"/>
        <v>0</v>
      </c>
    </row>
    <row r="327" spans="1:11" ht="15.75" hidden="1" customHeight="1">
      <c r="A327" s="1" t="s">
        <v>353</v>
      </c>
      <c r="C327" s="104"/>
      <c r="E327" s="9" t="str">
        <f ca="1">_xll.DBRW(Server&amp;"}ElementAttributes_Indicator",A327,"code_English")</f>
        <v>Nb_FTE - Number of Full Time Equivalent</v>
      </c>
      <c r="F327" s="44">
        <f ca="1">_xll.DBRW($C$1,$C$2,$C$3,$C$4,$C$6,$C$5,$C$7,F$1,F$2,$A327)</f>
        <v>2.8653798484158142E-2</v>
      </c>
      <c r="G327" s="44">
        <f ca="1">_xll.DBRW($C$1,$C$2,$C$3,$C$4,$C$6,$C$5,$C$7,G$1,G$2,$A327)</f>
        <v>2.4306840409423706E-2</v>
      </c>
      <c r="H327" s="44">
        <f ca="1">_xll.DBRW($C$1,$C$2,$C$3,$C$4,$C$6,$C$5,$C$7,H$1,H$2,$A327)</f>
        <v>3.1804145863260094E-2</v>
      </c>
      <c r="J327" s="33">
        <f t="shared" ca="1" si="100"/>
        <v>4.3469580747344354E-3</v>
      </c>
      <c r="K327" s="33">
        <f t="shared" ca="1" si="101"/>
        <v>-3.1503473791019525E-3</v>
      </c>
    </row>
    <row r="328" spans="1:11" ht="15.5" collapsed="1">
      <c r="A328" s="1" t="s">
        <v>142</v>
      </c>
      <c r="C328" s="104"/>
      <c r="E328" s="83" t="s">
        <v>93</v>
      </c>
      <c r="F328" s="46">
        <f t="shared" ref="F328:H328" ca="1" si="106">SUM(F327)</f>
        <v>2.8653798484158142E-2</v>
      </c>
      <c r="G328" s="46">
        <f t="shared" ca="1" si="106"/>
        <v>2.4306840409423706E-2</v>
      </c>
      <c r="H328" s="46">
        <f t="shared" ca="1" si="106"/>
        <v>3.1804145863260094E-2</v>
      </c>
      <c r="J328" s="111">
        <f t="shared" ca="1" si="100"/>
        <v>4.3469580747344354E-3</v>
      </c>
      <c r="K328" s="111">
        <f t="shared" ca="1" si="101"/>
        <v>-3.1503473791019525E-3</v>
      </c>
    </row>
    <row r="329" spans="1:11" ht="9" customHeight="1">
      <c r="A329" s="1" t="s">
        <v>142</v>
      </c>
      <c r="C329" s="104"/>
      <c r="E329" s="7"/>
      <c r="F329" s="8"/>
      <c r="G329" s="8"/>
      <c r="H329" s="8"/>
    </row>
    <row r="330" spans="1:11" ht="15.75" hidden="1" customHeight="1">
      <c r="A330" s="1" t="s">
        <v>354</v>
      </c>
      <c r="C330" s="104"/>
      <c r="E330" s="9" t="str">
        <f ca="1">_xll.DBRW(Server&amp;"}ElementAttributes_Indicator",A330,"code_English")</f>
        <v>Fuel_consu - Fuel consumed (liters)</v>
      </c>
      <c r="F330" s="10">
        <f ca="1">_xll.DBRW($C$1,$C$2,$C$3,$C$4,$C$6,$C$5,$C$7,F$1,F$2,$A330)</f>
        <v>33.957257079724513</v>
      </c>
      <c r="G330" s="10">
        <f ca="1">_xll.DBRW($C$1,$C$2,$C$3,$C$4,$C$6,$C$5,$C$7,G$1,G$2,$A330)</f>
        <v>35.633416328304975</v>
      </c>
      <c r="H330" s="10">
        <f ca="1">_xll.DBRW($C$1,$C$2,$C$3,$C$4,$C$6,$C$5,$C$7,H$1,H$2,$A330)</f>
        <v>33.203708522378449</v>
      </c>
    </row>
    <row r="331" spans="1:11" ht="15.5" collapsed="1">
      <c r="A331" s="1" t="s">
        <v>142</v>
      </c>
      <c r="C331" s="104"/>
      <c r="E331" s="17" t="s">
        <v>94</v>
      </c>
      <c r="F331" s="43">
        <f t="shared" ref="F331:H331" ca="1" si="107">SUM(F330)</f>
        <v>33.957257079724513</v>
      </c>
      <c r="G331" s="43">
        <f t="shared" ca="1" si="107"/>
        <v>35.633416328304975</v>
      </c>
      <c r="H331" s="43">
        <f t="shared" ca="1" si="107"/>
        <v>33.203708522378449</v>
      </c>
      <c r="J331" s="109">
        <f t="shared" ref="J331" ca="1" si="108">F331-G331</f>
        <v>-1.6761592485804613</v>
      </c>
      <c r="K331" s="109">
        <f t="shared" ref="K331" ca="1" si="109">F331-H331</f>
        <v>0.75354855734606474</v>
      </c>
    </row>
    <row r="332" spans="1:11" ht="15.75" hidden="1" customHeight="1">
      <c r="A332" s="1" t="s">
        <v>355</v>
      </c>
      <c r="C332" s="104"/>
      <c r="E332" s="9" t="s">
        <v>381</v>
      </c>
      <c r="F332" s="44">
        <f ca="1">_xll.DBRW($C$1,$C$2,$C$3,$C$4,$C$6,$C$5,$C$7,F$1,F$2,$A332)</f>
        <v>1.63638445</v>
      </c>
      <c r="G332" s="44">
        <f ca="1">_xll.DBRW($C$1,$C$2,$C$3,$C$4,$C$6,$C$5,$C$7,G$1,G$2,$A332)</f>
        <v>0.97037713000000014</v>
      </c>
      <c r="H332" s="44">
        <f ca="1">_xll.DBRW($C$1,$C$2,$C$3,$C$4,$C$6,$C$5,$C$7,H$1,H$2,$A332)</f>
        <v>0.94812323437992196</v>
      </c>
      <c r="J332" s="33">
        <f t="shared" ref="J332:J348" ca="1" si="110">F332-G332</f>
        <v>0.66600731999999985</v>
      </c>
      <c r="K332" s="33">
        <f t="shared" ref="K332:K348" ca="1" si="111">F332-H332</f>
        <v>0.68826121562007803</v>
      </c>
    </row>
    <row r="333" spans="1:11" ht="15.5" collapsed="1">
      <c r="A333" s="1" t="s">
        <v>142</v>
      </c>
      <c r="C333" s="104"/>
      <c r="E333" s="15" t="s">
        <v>95</v>
      </c>
      <c r="F333" s="45">
        <f t="shared" ref="F333:H333" ca="1" si="112">SUM(F332)</f>
        <v>1.63638445</v>
      </c>
      <c r="G333" s="45">
        <f t="shared" ca="1" si="112"/>
        <v>0.97037713000000014</v>
      </c>
      <c r="H333" s="45">
        <f t="shared" ca="1" si="112"/>
        <v>0.94812323437992196</v>
      </c>
      <c r="J333" s="33">
        <f t="shared" ca="1" si="110"/>
        <v>0.66600731999999985</v>
      </c>
      <c r="K333" s="33">
        <f t="shared" ca="1" si="111"/>
        <v>0.68826121562007803</v>
      </c>
    </row>
    <row r="334" spans="1:11" ht="15.75" hidden="1" customHeight="1">
      <c r="A334" s="1" t="s">
        <v>356</v>
      </c>
      <c r="C334" s="104"/>
      <c r="E334" s="9" t="str">
        <f ca="1">_xll.DBRW(Server&amp;"}ElementAttributes_Indicator",A334,"code_English")</f>
        <v>Gas_consu - Gas consumed (kwh)</v>
      </c>
      <c r="F334" s="44">
        <f ca="1">_xll.DBRW($C$1,$C$2,$C$3,$C$4,$C$6,$C$5,$C$7,F$1,F$2,$A334)</f>
        <v>47.941801455218467</v>
      </c>
      <c r="G334" s="44">
        <f ca="1">_xll.DBRW($C$1,$C$2,$C$3,$C$4,$C$6,$C$5,$C$7,G$1,G$2,$A334)</f>
        <v>0</v>
      </c>
      <c r="H334" s="44">
        <f ca="1">_xll.DBRW($C$1,$C$2,$C$3,$C$4,$C$6,$C$5,$C$7,H$1,H$2,$A334)</f>
        <v>50.177968975667412</v>
      </c>
      <c r="J334" s="33">
        <f t="shared" ca="1" si="110"/>
        <v>47.941801455218467</v>
      </c>
      <c r="K334" s="33">
        <f t="shared" ca="1" si="111"/>
        <v>-2.2361675204489444</v>
      </c>
    </row>
    <row r="335" spans="1:11" ht="15.5" collapsed="1">
      <c r="A335" s="1" t="s">
        <v>142</v>
      </c>
      <c r="C335" s="104"/>
      <c r="E335" s="15" t="s">
        <v>96</v>
      </c>
      <c r="F335" s="44">
        <f t="shared" ref="F335:H335" ca="1" si="113">SUM(F334)</f>
        <v>47.941801455218467</v>
      </c>
      <c r="G335" s="44">
        <f t="shared" ca="1" si="113"/>
        <v>0</v>
      </c>
      <c r="H335" s="44">
        <f t="shared" ca="1" si="113"/>
        <v>50.177968975667412</v>
      </c>
      <c r="J335" s="33">
        <f t="shared" ca="1" si="110"/>
        <v>47.941801455218467</v>
      </c>
      <c r="K335" s="33">
        <f t="shared" ca="1" si="111"/>
        <v>-2.2361675204489444</v>
      </c>
    </row>
    <row r="336" spans="1:11" ht="15.75" hidden="1" customHeight="1">
      <c r="A336" s="1" t="s">
        <v>357</v>
      </c>
      <c r="C336" s="104"/>
      <c r="E336" s="9" t="str">
        <f ca="1">_xll.DBRW(Server&amp;"}ElementAttributes_Indicator",A336,"code_English")</f>
        <v>Elec_consu - Electricity consumed (kwh)</v>
      </c>
      <c r="F336" s="44">
        <f ca="1">_xll.DBRW($C$1,$C$2,$C$3,$C$4,$C$6,$C$5,$C$7,F$1,F$2,$A336)</f>
        <v>7.7933203950999985</v>
      </c>
      <c r="G336" s="44">
        <f ca="1">_xll.DBRW($C$1,$C$2,$C$3,$C$4,$C$6,$C$5,$C$7,G$1,G$2,$A336)</f>
        <v>6.8585709333333327</v>
      </c>
      <c r="H336" s="44">
        <f ca="1">_xll.DBRW($C$1,$C$2,$C$3,$C$4,$C$6,$C$5,$C$7,H$1,H$2,$A336)</f>
        <v>8.0682823281333</v>
      </c>
      <c r="J336" s="33">
        <f t="shared" ca="1" si="110"/>
        <v>0.93474946176666585</v>
      </c>
      <c r="K336" s="33">
        <f t="shared" ca="1" si="111"/>
        <v>-0.27496193303330152</v>
      </c>
    </row>
    <row r="337" spans="1:11" ht="15.5" collapsed="1">
      <c r="A337" s="1" t="s">
        <v>142</v>
      </c>
      <c r="C337" s="104"/>
      <c r="E337" s="15" t="s">
        <v>97</v>
      </c>
      <c r="F337" s="45">
        <f t="shared" ref="F337:H337" ca="1" si="114">SUM(F336)</f>
        <v>7.7933203950999985</v>
      </c>
      <c r="G337" s="45">
        <f t="shared" ca="1" si="114"/>
        <v>6.8585709333333327</v>
      </c>
      <c r="H337" s="45">
        <f t="shared" ca="1" si="114"/>
        <v>8.0682823281333</v>
      </c>
      <c r="J337" s="33">
        <f t="shared" ca="1" si="110"/>
        <v>0.93474946176666585</v>
      </c>
      <c r="K337" s="33">
        <f t="shared" ca="1" si="111"/>
        <v>-0.27496193303330152</v>
      </c>
    </row>
    <row r="338" spans="1:11" ht="15.5" hidden="1" customHeight="1">
      <c r="A338" s="1" t="s">
        <v>370</v>
      </c>
      <c r="C338" s="104"/>
      <c r="E338" s="9" t="str">
        <f ca="1">_xll.DBRW(Server&amp;"}ElementAttributes_Indicator",A338,"code_English")</f>
        <v>*KEY_ERR</v>
      </c>
      <c r="F338" s="44" t="str">
        <f ca="1">_xll.DBRW($C$1,$C$2,$C$3,$C$4,$C$6,$C$5,$C$7,F$1,F$2,$A338)</f>
        <v>*KEY_ERR</v>
      </c>
      <c r="G338" s="44" t="str">
        <f ca="1">_xll.DBRW($C$1,$C$2,$C$3,$C$4,$C$6,$C$5,$C$7,G$1,G$2,$A338)</f>
        <v>*KEY_ERR</v>
      </c>
      <c r="H338" s="44" t="str">
        <f ca="1">_xll.DBRW($C$1,$C$2,$C$3,$C$4,$C$6,$C$5,$C$7,H$1,H$2,$A338)</f>
        <v>*KEY_ERR</v>
      </c>
      <c r="J338" s="33" t="e">
        <f t="shared" ca="1" si="110"/>
        <v>#VALUE!</v>
      </c>
      <c r="K338" s="33" t="e">
        <f t="shared" ca="1" si="111"/>
        <v>#VALUE!</v>
      </c>
    </row>
    <row r="339" spans="1:11" ht="15.5" collapsed="1">
      <c r="A339" s="1" t="s">
        <v>142</v>
      </c>
      <c r="C339" s="104"/>
      <c r="E339" s="15" t="s">
        <v>98</v>
      </c>
      <c r="F339" s="44">
        <f t="shared" ref="F339:H339" ca="1" si="115">SUM(F338)</f>
        <v>0</v>
      </c>
      <c r="G339" s="44">
        <f t="shared" ca="1" si="115"/>
        <v>0</v>
      </c>
      <c r="H339" s="44">
        <f t="shared" ca="1" si="115"/>
        <v>0</v>
      </c>
      <c r="J339" s="33">
        <f t="shared" ca="1" si="110"/>
        <v>0</v>
      </c>
      <c r="K339" s="33">
        <f t="shared" ca="1" si="111"/>
        <v>0</v>
      </c>
    </row>
    <row r="340" spans="1:11" ht="15.5" hidden="1" customHeight="1">
      <c r="A340" s="1" t="s">
        <v>371</v>
      </c>
      <c r="C340" s="104"/>
      <c r="E340" s="9" t="str">
        <f ca="1">_xll.DBRW(Server&amp;"}ElementAttributes_Indicator",A340,"code_English")</f>
        <v>*KEY_ERR</v>
      </c>
      <c r="F340" s="44" t="str">
        <f ca="1">_xll.DBRW($C$1,$C$2,$C$3,$C$4,$C$6,$C$5,$C$7,F$1,F$2,$A340)</f>
        <v>*KEY_ERR</v>
      </c>
      <c r="G340" s="44" t="str">
        <f ca="1">_xll.DBRW($C$1,$C$2,$C$3,$C$4,$C$6,$C$5,$C$7,G$1,G$2,$A340)</f>
        <v>*KEY_ERR</v>
      </c>
      <c r="H340" s="44" t="str">
        <f ca="1">_xll.DBRW($C$1,$C$2,$C$3,$C$4,$C$6,$C$5,$C$7,H$1,H$2,$A340)</f>
        <v>*KEY_ERR</v>
      </c>
      <c r="J340" s="33" t="e">
        <f t="shared" ca="1" si="110"/>
        <v>#VALUE!</v>
      </c>
      <c r="K340" s="33" t="e">
        <f t="shared" ca="1" si="111"/>
        <v>#VALUE!</v>
      </c>
    </row>
    <row r="341" spans="1:11" ht="15.5" collapsed="1">
      <c r="A341" s="1" t="s">
        <v>142</v>
      </c>
      <c r="C341" s="104"/>
      <c r="E341" s="15" t="s">
        <v>99</v>
      </c>
      <c r="F341" s="44">
        <f t="shared" ref="F341:H341" ca="1" si="116">SUM(F340)</f>
        <v>0</v>
      </c>
      <c r="G341" s="44">
        <f t="shared" ca="1" si="116"/>
        <v>0</v>
      </c>
      <c r="H341" s="44">
        <f t="shared" ca="1" si="116"/>
        <v>0</v>
      </c>
      <c r="J341" s="33">
        <f t="shared" ca="1" si="110"/>
        <v>0</v>
      </c>
      <c r="K341" s="33">
        <f t="shared" ca="1" si="111"/>
        <v>0</v>
      </c>
    </row>
    <row r="342" spans="1:11" ht="15.5" hidden="1" customHeight="1">
      <c r="A342" s="1" t="s">
        <v>372</v>
      </c>
      <c r="C342" s="104"/>
      <c r="E342" s="9" t="str">
        <f ca="1">_xll.DBRW(Server&amp;"}ElementAttributes_Indicator",A342,"code_English")</f>
        <v>*KEY_ERR</v>
      </c>
      <c r="F342" s="44" t="str">
        <f ca="1">_xll.DBRW($C$1,$C$2,$C$3,$C$4,$C$6,$C$5,$C$7,F$1,F$2,$A342)</f>
        <v>*KEY_ERR</v>
      </c>
      <c r="G342" s="44" t="str">
        <f ca="1">_xll.DBRW($C$1,$C$2,$C$3,$C$4,$C$6,$C$5,$C$7,G$1,G$2,$A342)</f>
        <v>*KEY_ERR</v>
      </c>
      <c r="H342" s="44" t="str">
        <f ca="1">_xll.DBRW($C$1,$C$2,$C$3,$C$4,$C$6,$C$5,$C$7,H$1,H$2,$A342)</f>
        <v>*KEY_ERR</v>
      </c>
      <c r="J342" s="33" t="e">
        <f t="shared" ca="1" si="110"/>
        <v>#VALUE!</v>
      </c>
      <c r="K342" s="33" t="e">
        <f t="shared" ca="1" si="111"/>
        <v>#VALUE!</v>
      </c>
    </row>
    <row r="343" spans="1:11" ht="15.5" collapsed="1">
      <c r="A343" s="1" t="s">
        <v>142</v>
      </c>
      <c r="C343" s="104"/>
      <c r="E343" s="15" t="s">
        <v>100</v>
      </c>
      <c r="F343" s="44">
        <f t="shared" ref="F343:H343" ca="1" si="117">SUM(F342)</f>
        <v>0</v>
      </c>
      <c r="G343" s="44">
        <f t="shared" ca="1" si="117"/>
        <v>0</v>
      </c>
      <c r="H343" s="44">
        <f t="shared" ca="1" si="117"/>
        <v>0</v>
      </c>
      <c r="J343" s="33">
        <f t="shared" ca="1" si="110"/>
        <v>0</v>
      </c>
      <c r="K343" s="33">
        <f t="shared" ca="1" si="111"/>
        <v>0</v>
      </c>
    </row>
    <row r="344" spans="1:11" ht="15.5" hidden="1" customHeight="1">
      <c r="A344" s="1" t="s">
        <v>373</v>
      </c>
      <c r="C344" s="104"/>
      <c r="E344" s="9" t="str">
        <f ca="1">_xll.DBRW(Server&amp;"}ElementAttributes_Indicator",A344,"code_English")</f>
        <v>*KEY_ERR</v>
      </c>
      <c r="F344" s="44" t="str">
        <f ca="1">_xll.DBRW($C$1,$C$2,$C$3,$C$4,$C$6,$C$5,$C$7,F$1,F$2,$A344)</f>
        <v>*KEY_ERR</v>
      </c>
      <c r="G344" s="44" t="str">
        <f ca="1">_xll.DBRW($C$1,$C$2,$C$3,$C$4,$C$6,$C$5,$C$7,G$1,G$2,$A344)</f>
        <v>*KEY_ERR</v>
      </c>
      <c r="H344" s="44" t="str">
        <f ca="1">_xll.DBRW($C$1,$C$2,$C$3,$C$4,$C$6,$C$5,$C$7,H$1,H$2,$A344)</f>
        <v>*KEY_ERR</v>
      </c>
      <c r="J344" s="33" t="e">
        <f t="shared" ca="1" si="110"/>
        <v>#VALUE!</v>
      </c>
      <c r="K344" s="33" t="e">
        <f t="shared" ca="1" si="111"/>
        <v>#VALUE!</v>
      </c>
    </row>
    <row r="345" spans="1:11" ht="15.5" collapsed="1">
      <c r="A345" s="1" t="s">
        <v>142</v>
      </c>
      <c r="C345" s="104"/>
      <c r="E345" s="15" t="s">
        <v>101</v>
      </c>
      <c r="F345" s="44">
        <f t="shared" ref="F345:H345" ca="1" si="118">SUM(F344)</f>
        <v>0</v>
      </c>
      <c r="G345" s="44">
        <f t="shared" ca="1" si="118"/>
        <v>0</v>
      </c>
      <c r="H345" s="44">
        <f t="shared" ca="1" si="118"/>
        <v>0</v>
      </c>
      <c r="J345" s="33">
        <f t="shared" ca="1" si="110"/>
        <v>0</v>
      </c>
      <c r="K345" s="33">
        <f t="shared" ca="1" si="111"/>
        <v>0</v>
      </c>
    </row>
    <row r="346" spans="1:11" ht="15.5" hidden="1" customHeight="1">
      <c r="A346" s="1" t="s">
        <v>374</v>
      </c>
      <c r="C346" s="104"/>
      <c r="E346" s="9" t="str">
        <f ca="1">_xll.DBRW(Server&amp;"}ElementAttributes_Indicator",A346,"code_English")</f>
        <v>*KEY_ERR</v>
      </c>
      <c r="F346" s="44" t="str">
        <f ca="1">_xll.DBRW($C$1,$C$2,$C$3,$C$4,$C$6,$C$5,$C$7,F$1,F$2,$A346)</f>
        <v>*KEY_ERR</v>
      </c>
      <c r="G346" s="44" t="str">
        <f ca="1">_xll.DBRW($C$1,$C$2,$C$3,$C$4,$C$6,$C$5,$C$7,G$1,G$2,$A346)</f>
        <v>*KEY_ERR</v>
      </c>
      <c r="H346" s="44" t="str">
        <f ca="1">_xll.DBRW($C$1,$C$2,$C$3,$C$4,$C$6,$C$5,$C$7,H$1,H$2,$A346)</f>
        <v>*KEY_ERR</v>
      </c>
      <c r="J346" s="33" t="e">
        <f t="shared" ca="1" si="110"/>
        <v>#VALUE!</v>
      </c>
      <c r="K346" s="33" t="e">
        <f t="shared" ca="1" si="111"/>
        <v>#VALUE!</v>
      </c>
    </row>
    <row r="347" spans="1:11" ht="15.5" collapsed="1">
      <c r="A347" s="1" t="s">
        <v>142</v>
      </c>
      <c r="C347" s="104"/>
      <c r="E347" s="15" t="s">
        <v>102</v>
      </c>
      <c r="F347" s="44">
        <f t="shared" ref="F347:H347" ca="1" si="119">SUM(F346)</f>
        <v>0</v>
      </c>
      <c r="G347" s="44">
        <f t="shared" ca="1" si="119"/>
        <v>0</v>
      </c>
      <c r="H347" s="44">
        <f t="shared" ca="1" si="119"/>
        <v>0</v>
      </c>
      <c r="J347" s="33">
        <f t="shared" ca="1" si="110"/>
        <v>0</v>
      </c>
      <c r="K347" s="33">
        <f t="shared" ca="1" si="111"/>
        <v>0</v>
      </c>
    </row>
    <row r="348" spans="1:11" ht="15.75" hidden="1" customHeight="1">
      <c r="A348" s="1" t="s">
        <v>375</v>
      </c>
      <c r="C348" s="104"/>
      <c r="E348" s="9" t="str">
        <f ca="1">_xll.DBRW(Server&amp;"}ElementAttributes_Indicator",A348,"code_English")</f>
        <v>*KEY_ERR</v>
      </c>
      <c r="F348" s="44" t="str">
        <f ca="1">_xll.DBRW($C$1,$C$2,$C$3,$C$4,$C$6,$C$5,$C$7,F$1,F$2,$A348)</f>
        <v>*KEY_ERR</v>
      </c>
      <c r="G348" s="44" t="str">
        <f ca="1">_xll.DBRW($C$1,$C$2,$C$3,$C$4,$C$6,$C$5,$C$7,G$1,G$2,$A348)</f>
        <v>*KEY_ERR</v>
      </c>
      <c r="H348" s="44" t="str">
        <f ca="1">_xll.DBRW($C$1,$C$2,$C$3,$C$4,$C$6,$C$5,$C$7,H$1,H$2,$A348)</f>
        <v>*KEY_ERR</v>
      </c>
      <c r="J348" s="33" t="e">
        <f t="shared" ca="1" si="110"/>
        <v>#VALUE!</v>
      </c>
      <c r="K348" s="33" t="e">
        <f t="shared" ca="1" si="111"/>
        <v>#VALUE!</v>
      </c>
    </row>
    <row r="349" spans="1:11" ht="15.5" collapsed="1">
      <c r="A349" s="1" t="s">
        <v>142</v>
      </c>
      <c r="C349" s="104"/>
      <c r="E349" s="18" t="s">
        <v>103</v>
      </c>
      <c r="F349" s="44">
        <f t="shared" ref="F349:H349" ca="1" si="120">SUM(F348)</f>
        <v>0</v>
      </c>
      <c r="G349" s="44">
        <f t="shared" ca="1" si="120"/>
        <v>0</v>
      </c>
      <c r="H349" s="44">
        <f t="shared" ca="1" si="120"/>
        <v>0</v>
      </c>
      <c r="J349" s="33">
        <f t="shared" ref="J349" ca="1" si="121">F349-G349</f>
        <v>0</v>
      </c>
      <c r="K349" s="33">
        <f t="shared" ref="K349" ca="1" si="122">F349-H349</f>
        <v>0</v>
      </c>
    </row>
    <row r="350" spans="1:11" ht="9" customHeight="1">
      <c r="A350" s="1" t="s">
        <v>142</v>
      </c>
      <c r="C350" s="104"/>
      <c r="E350" s="7"/>
      <c r="F350" s="8"/>
      <c r="G350" s="8"/>
      <c r="H350" s="8"/>
    </row>
    <row r="351" spans="1:11" ht="15.75" hidden="1" customHeight="1">
      <c r="A351" s="1" t="s">
        <v>376</v>
      </c>
      <c r="C351" s="104"/>
      <c r="E351" s="9" t="str">
        <f ca="1">_xll.DBRW(Server&amp;"}ElementAttributes_Indicator",A351,"code_English")</f>
        <v>*KEY_ERR</v>
      </c>
      <c r="F351" s="10" t="str">
        <f ca="1">_xll.DBRW($C$1,$C$2,$C$3,$C$4,$C$6,$C$5,$C$7,F$1,F$2,$A351)</f>
        <v>*KEY_ERR</v>
      </c>
      <c r="G351" s="10" t="str">
        <f ca="1">_xll.DBRW($C$1,$C$2,$C$3,$C$4,$C$6,$C$5,$C$7,G$1,G$2,$A351)</f>
        <v>*KEY_ERR</v>
      </c>
      <c r="H351" s="10" t="str">
        <f ca="1">_xll.DBRW($C$1,$C$2,$C$3,$C$4,$C$6,$C$5,$C$7,H$1,H$2,$A351)</f>
        <v>*KEY_ERR</v>
      </c>
    </row>
    <row r="352" spans="1:11" ht="15.5" collapsed="1">
      <c r="A352" s="1" t="s">
        <v>142</v>
      </c>
      <c r="C352" s="104"/>
      <c r="E352" s="17" t="s">
        <v>104</v>
      </c>
      <c r="F352" s="43">
        <f t="shared" ref="F352:H352" ca="1" si="123">SUM(F351)</f>
        <v>0</v>
      </c>
      <c r="G352" s="43">
        <f t="shared" ca="1" si="123"/>
        <v>0</v>
      </c>
      <c r="H352" s="43">
        <f t="shared" ca="1" si="123"/>
        <v>0</v>
      </c>
      <c r="J352" s="109">
        <f t="shared" ref="J352" ca="1" si="124">F352-G352</f>
        <v>0</v>
      </c>
      <c r="K352" s="109">
        <f t="shared" ref="K352" ca="1" si="125">F352-H352</f>
        <v>0</v>
      </c>
    </row>
    <row r="353" spans="1:11" ht="15.75" hidden="1" customHeight="1">
      <c r="A353" s="1" t="s">
        <v>377</v>
      </c>
      <c r="C353" s="104"/>
      <c r="E353" s="9" t="str">
        <f ca="1">_xll.DBRW(Server&amp;"}ElementAttributes_Indicator",A353,"code_English")</f>
        <v>*KEY_ERR</v>
      </c>
      <c r="F353" s="44" t="str">
        <f ca="1">_xll.DBRW($C$1,$C$2,$C$3,$C$4,$C$6,$C$5,$C$7,F$1,F$2,$A353)</f>
        <v>*KEY_ERR</v>
      </c>
      <c r="G353" s="44" t="str">
        <f ca="1">_xll.DBRW($C$1,$C$2,$C$3,$C$4,$C$6,$C$5,$C$7,G$1,G$2,$A353)</f>
        <v>*KEY_ERR</v>
      </c>
      <c r="H353" s="44" t="str">
        <f ca="1">_xll.DBRW($C$1,$C$2,$C$3,$C$4,$C$6,$C$5,$C$7,H$1,H$2,$A353)</f>
        <v>*KEY_ERR</v>
      </c>
      <c r="J353" s="33" t="e">
        <f t="shared" ref="J353:J356" ca="1" si="126">F353-G353</f>
        <v>#VALUE!</v>
      </c>
      <c r="K353" s="33" t="e">
        <f t="shared" ref="K353:K356" ca="1" si="127">F353-H353</f>
        <v>#VALUE!</v>
      </c>
    </row>
    <row r="354" spans="1:11" ht="15.5" collapsed="1">
      <c r="A354" s="1" t="s">
        <v>142</v>
      </c>
      <c r="C354" s="104"/>
      <c r="E354" s="84" t="s">
        <v>382</v>
      </c>
      <c r="F354" s="45">
        <f t="shared" ref="F354:H354" ca="1" si="128">SUM(F353)</f>
        <v>0</v>
      </c>
      <c r="G354" s="45">
        <f t="shared" ca="1" si="128"/>
        <v>0</v>
      </c>
      <c r="H354" s="45">
        <f t="shared" ca="1" si="128"/>
        <v>0</v>
      </c>
      <c r="J354" s="33">
        <f t="shared" ca="1" si="126"/>
        <v>0</v>
      </c>
      <c r="K354" s="33">
        <f t="shared" ca="1" si="127"/>
        <v>0</v>
      </c>
    </row>
    <row r="355" spans="1:11" ht="15.75" hidden="1" customHeight="1">
      <c r="A355" s="1" t="s">
        <v>378</v>
      </c>
      <c r="C355" s="104"/>
      <c r="E355" s="9" t="str">
        <f ca="1">_xll.DBRW(Server&amp;"}ElementAttributes_Indicator",A355,"code_English")</f>
        <v>*KEY_ERR</v>
      </c>
      <c r="F355" s="44" t="str">
        <f ca="1">_xll.DBRW($C$1,$C$2,$C$3,$C$4,$C$6,$C$5,$C$7,F$1,F$2,$A355)</f>
        <v>*KEY_ERR</v>
      </c>
      <c r="G355" s="44" t="str">
        <f ca="1">_xll.DBRW($C$1,$C$2,$C$3,$C$4,$C$6,$C$5,$C$7,G$1,G$2,$A355)</f>
        <v>*KEY_ERR</v>
      </c>
      <c r="H355" s="44" t="str">
        <f ca="1">_xll.DBRW($C$1,$C$2,$C$3,$C$4,$C$6,$C$5,$C$7,H$1,H$2,$A355)</f>
        <v>*KEY_ERR</v>
      </c>
      <c r="J355" s="33" t="e">
        <f t="shared" ca="1" si="126"/>
        <v>#VALUE!</v>
      </c>
      <c r="K355" s="33" t="e">
        <f t="shared" ca="1" si="127"/>
        <v>#VALUE!</v>
      </c>
    </row>
    <row r="356" spans="1:11" ht="15.5" collapsed="1">
      <c r="C356" s="104"/>
      <c r="E356" s="87" t="s">
        <v>105</v>
      </c>
      <c r="F356" s="46">
        <f t="shared" ref="F356:H356" ca="1" si="129">SUM(F355)</f>
        <v>0</v>
      </c>
      <c r="G356" s="46">
        <f t="shared" ca="1" si="129"/>
        <v>0</v>
      </c>
      <c r="H356" s="46">
        <f t="shared" ca="1" si="129"/>
        <v>0</v>
      </c>
      <c r="J356" s="111">
        <f t="shared" ca="1" si="126"/>
        <v>0</v>
      </c>
      <c r="K356" s="111">
        <f t="shared" ca="1" si="127"/>
        <v>0</v>
      </c>
    </row>
    <row r="357" spans="1:11" ht="15.5">
      <c r="A357" s="1" t="s">
        <v>142</v>
      </c>
      <c r="C357" s="26"/>
      <c r="E357" s="51"/>
      <c r="F357" s="56"/>
      <c r="G357" s="56"/>
      <c r="H357" s="56"/>
    </row>
    <row r="358" spans="1:11">
      <c r="A358" s="1" t="s">
        <v>142</v>
      </c>
      <c r="C358" s="54"/>
    </row>
    <row r="359" spans="1:11" ht="15.75" customHeight="1">
      <c r="A359" s="1" t="s">
        <v>142</v>
      </c>
      <c r="C359" s="104" t="s">
        <v>106</v>
      </c>
      <c r="E359" s="17" t="s">
        <v>107</v>
      </c>
      <c r="F359" s="78">
        <f t="shared" ref="F359:H359" ca="1" si="130">IFERROR((F43/(F43+F82+F100+F116+F188)),"-")</f>
        <v>0.39404940573171421</v>
      </c>
      <c r="G359" s="78">
        <f t="shared" ca="1" si="130"/>
        <v>0.38949808032000127</v>
      </c>
      <c r="H359" s="78">
        <f t="shared" ca="1" si="130"/>
        <v>0.38494908035149838</v>
      </c>
      <c r="J359" s="109">
        <f t="shared" ref="J359" ca="1" si="131">F359-G359</f>
        <v>4.5513254117129365E-3</v>
      </c>
      <c r="K359" s="109">
        <f t="shared" ref="K359" ca="1" si="132">F359-H359</f>
        <v>9.1003253802158235E-3</v>
      </c>
    </row>
    <row r="360" spans="1:11" ht="15.5">
      <c r="A360" s="1" t="s">
        <v>142</v>
      </c>
      <c r="C360" s="104"/>
      <c r="E360" s="15" t="s">
        <v>108</v>
      </c>
      <c r="F360" s="79">
        <f t="shared" ref="F360:H360" ca="1" si="133">IFERROR((F82/(F43+F82+F100+F116+F188)),"-")</f>
        <v>0.19412760020989925</v>
      </c>
      <c r="G360" s="79">
        <f t="shared" ca="1" si="133"/>
        <v>0.19235569335917085</v>
      </c>
      <c r="H360" s="79">
        <f t="shared" ca="1" si="133"/>
        <v>0.18724131854509365</v>
      </c>
      <c r="J360" s="33">
        <f t="shared" ref="J360:J386" ca="1" si="134">F360-G360</f>
        <v>1.7719068507283942E-3</v>
      </c>
      <c r="K360" s="33">
        <f t="shared" ref="K360:K386" ca="1" si="135">F360-H360</f>
        <v>6.8862816648055936E-3</v>
      </c>
    </row>
    <row r="361" spans="1:11" ht="15.5">
      <c r="A361" s="1" t="s">
        <v>142</v>
      </c>
      <c r="C361" s="104"/>
      <c r="E361" s="15" t="s">
        <v>109</v>
      </c>
      <c r="F361" s="79">
        <f t="shared" ref="F361:H361" ca="1" si="136">IFERROR((F100/(F43+F82+F100+F116+F188)),"-")</f>
        <v>0.10349871860320882</v>
      </c>
      <c r="G361" s="79">
        <f t="shared" ca="1" si="136"/>
        <v>0.10159254400881058</v>
      </c>
      <c r="H361" s="79">
        <f t="shared" ca="1" si="136"/>
        <v>0.11800168531230239</v>
      </c>
      <c r="J361" s="33">
        <f t="shared" ca="1" si="134"/>
        <v>1.9061745943982356E-3</v>
      </c>
      <c r="K361" s="33">
        <f t="shared" ca="1" si="135"/>
        <v>-1.4502966709093568E-2</v>
      </c>
    </row>
    <row r="362" spans="1:11" ht="15.5">
      <c r="A362" s="1" t="s">
        <v>142</v>
      </c>
      <c r="C362" s="104"/>
      <c r="E362" s="15" t="s">
        <v>110</v>
      </c>
      <c r="F362" s="79">
        <f t="shared" ref="F362:H362" ca="1" si="137">IFERROR((F116/(F43+F82+F100+F116+F188)),"-")</f>
        <v>6.1714392940328919E-2</v>
      </c>
      <c r="G362" s="79">
        <f t="shared" ca="1" si="137"/>
        <v>6.8555501948864006E-2</v>
      </c>
      <c r="H362" s="79">
        <f t="shared" ca="1" si="137"/>
        <v>5.9781342380628634E-2</v>
      </c>
      <c r="J362" s="33">
        <f t="shared" ca="1" si="134"/>
        <v>-6.8411090085350873E-3</v>
      </c>
      <c r="K362" s="33">
        <f t="shared" ca="1" si="135"/>
        <v>1.9330505597002848E-3</v>
      </c>
    </row>
    <row r="363" spans="1:11" ht="15.5">
      <c r="A363" s="1" t="s">
        <v>142</v>
      </c>
      <c r="C363" s="104"/>
      <c r="E363" s="15" t="s">
        <v>111</v>
      </c>
      <c r="F363" s="80">
        <f t="shared" ref="F363:H363" ca="1" si="138">IFERROR((F188/(F43+F82+F100+F116+F188)),"-")</f>
        <v>0.2466098825148488</v>
      </c>
      <c r="G363" s="80">
        <f t="shared" ca="1" si="138"/>
        <v>0.24799818036315327</v>
      </c>
      <c r="H363" s="80">
        <f t="shared" ca="1" si="138"/>
        <v>0.25002657341047696</v>
      </c>
      <c r="J363" s="33">
        <f t="shared" ca="1" si="134"/>
        <v>-1.388297848304465E-3</v>
      </c>
      <c r="K363" s="33">
        <f t="shared" ca="1" si="135"/>
        <v>-3.416690895628155E-3</v>
      </c>
    </row>
    <row r="364" spans="1:11" ht="15.5">
      <c r="A364" s="1" t="s">
        <v>142</v>
      </c>
      <c r="C364" s="104"/>
      <c r="E364" s="53" t="s">
        <v>112</v>
      </c>
      <c r="F364" s="81">
        <f t="shared" ref="F364:H364" ca="1" si="139">IFERROR(-F260/F23,"-")</f>
        <v>9.3124259365753498E-2</v>
      </c>
      <c r="G364" s="81">
        <f t="shared" ca="1" si="139"/>
        <v>9.2570773922674154E-2</v>
      </c>
      <c r="H364" s="81">
        <f t="shared" ca="1" si="139"/>
        <v>9.3553793598834756E-2</v>
      </c>
      <c r="J364" s="33">
        <f t="shared" ca="1" si="134"/>
        <v>5.5348544307934344E-4</v>
      </c>
      <c r="K364" s="33">
        <f t="shared" ca="1" si="135"/>
        <v>-4.2953423308125793E-4</v>
      </c>
    </row>
    <row r="365" spans="1:11" ht="9" customHeight="1">
      <c r="A365" s="1" t="s">
        <v>142</v>
      </c>
      <c r="C365" s="104"/>
      <c r="E365" s="7"/>
      <c r="F365" s="8"/>
      <c r="G365" s="8"/>
      <c r="H365" s="8"/>
      <c r="J365" s="99"/>
      <c r="K365" s="99"/>
    </row>
    <row r="366" spans="1:11" ht="15.5">
      <c r="A366" s="1" t="s">
        <v>142</v>
      </c>
      <c r="C366" s="104"/>
      <c r="E366" s="17" t="str">
        <f ca="1">"Revenue "&amp;RIGHT(Context!$E$37,3)&amp;"/km"</f>
        <v>Revenue EUR/km</v>
      </c>
      <c r="F366" s="58">
        <f t="shared" ref="F366:H366" ca="1" si="140">IFERROR(F23/F315,"-")</f>
        <v>4.004057210277904</v>
      </c>
      <c r="G366" s="58">
        <f t="shared" ca="1" si="140"/>
        <v>8.5192434137970583</v>
      </c>
      <c r="H366" s="58">
        <f t="shared" ca="1" si="140"/>
        <v>8.8294302999042209</v>
      </c>
      <c r="J366" s="33">
        <f t="shared" ca="1" si="134"/>
        <v>-4.5151862035191543</v>
      </c>
      <c r="K366" s="33">
        <f t="shared" ca="1" si="135"/>
        <v>-4.8253730896263169</v>
      </c>
    </row>
    <row r="367" spans="1:11" ht="15.5">
      <c r="A367" s="1" t="s">
        <v>142</v>
      </c>
      <c r="C367" s="104"/>
      <c r="E367" s="15" t="s">
        <v>113</v>
      </c>
      <c r="F367" s="57">
        <f ca="1">IFERROR(F331/F311,"-")</f>
        <v>0.43349770295360779</v>
      </c>
      <c r="G367" s="57">
        <f t="shared" ref="G367:H367" ca="1" si="141">IFERROR(G331/G311,"-")</f>
        <v>0.4371979725001604</v>
      </c>
      <c r="H367" s="57">
        <f t="shared" ca="1" si="141"/>
        <v>0.4175620167698727</v>
      </c>
      <c r="J367" s="33">
        <f t="shared" ca="1" si="134"/>
        <v>-3.7002695465526148E-3</v>
      </c>
      <c r="K367" s="33">
        <f t="shared" ca="1" si="135"/>
        <v>1.5935686183735087E-2</v>
      </c>
    </row>
    <row r="368" spans="1:11" ht="15.5">
      <c r="A368" s="1" t="s">
        <v>142</v>
      </c>
      <c r="C368" s="104"/>
      <c r="E368" s="15" t="s">
        <v>114</v>
      </c>
      <c r="F368" s="57">
        <f ca="1">IFERROR(F333/F312,"-")</f>
        <v>1.0683278329987431</v>
      </c>
      <c r="G368" s="57">
        <f t="shared" ref="G368:H368" ca="1" si="142">IFERROR(G333/G312,"-")</f>
        <v>1.073789085878428</v>
      </c>
      <c r="H368" s="57">
        <f t="shared" ca="1" si="142"/>
        <v>0.41579804578068402</v>
      </c>
      <c r="J368" s="33">
        <f t="shared" ca="1" si="134"/>
        <v>-5.461252879684908E-3</v>
      </c>
      <c r="K368" s="33">
        <f t="shared" ca="1" si="135"/>
        <v>0.6525297872180591</v>
      </c>
    </row>
    <row r="369" spans="1:11" ht="15.5">
      <c r="A369" s="1" t="s">
        <v>142</v>
      </c>
      <c r="C369" s="104"/>
      <c r="E369" s="15" t="s">
        <v>115</v>
      </c>
      <c r="F369" s="57">
        <f ca="1">IFERROR(F335/F314,"-")</f>
        <v>5.0629531337365918</v>
      </c>
      <c r="G369" s="57">
        <f t="shared" ref="G369:H369" ca="1" si="143">IFERROR(G335/G314,"-")</f>
        <v>0</v>
      </c>
      <c r="H369" s="57">
        <f t="shared" ca="1" si="143"/>
        <v>4.8525505542402296</v>
      </c>
      <c r="J369" s="33">
        <f t="shared" ca="1" si="134"/>
        <v>5.0629531337365918</v>
      </c>
      <c r="K369" s="33">
        <f t="shared" ca="1" si="135"/>
        <v>0.21040257949636221</v>
      </c>
    </row>
    <row r="370" spans="1:11" ht="15.5">
      <c r="A370" s="1" t="s">
        <v>142</v>
      </c>
      <c r="C370" s="104"/>
      <c r="E370" s="15" t="s">
        <v>116</v>
      </c>
      <c r="F370" s="57">
        <f ca="1">IFERROR(F337/F313,"-")</f>
        <v>3.965057000601694E-2</v>
      </c>
      <c r="G370" s="57">
        <f t="shared" ref="G370:H370" ca="1" si="144">IFERROR(G337/G313,"-")</f>
        <v>3.1284741708990964</v>
      </c>
      <c r="H370" s="57">
        <f t="shared" ca="1" si="144"/>
        <v>2.5121857711647793</v>
      </c>
      <c r="J370" s="33">
        <f t="shared" ca="1" si="134"/>
        <v>-3.0888236008930794</v>
      </c>
      <c r="K370" s="33">
        <f t="shared" ca="1" si="135"/>
        <v>-2.4725352011587622</v>
      </c>
    </row>
    <row r="371" spans="1:11" ht="15.5">
      <c r="A371" s="1" t="s">
        <v>142</v>
      </c>
      <c r="C371" s="104"/>
      <c r="E371" s="15" t="str">
        <f ca="1">"(E2) Cost "&amp;RIGHT(Context!$E$37,3)&amp;"/L (fuel)"</f>
        <v>(E2) Cost EUR/L (fuel)</v>
      </c>
      <c r="F371" s="57">
        <f t="shared" ref="F371:H371" ca="1" si="145">IFERROR(F90/F331,"-")</f>
        <v>-2.2731459867486494</v>
      </c>
      <c r="G371" s="57">
        <f t="shared" ca="1" si="145"/>
        <v>-1.990253897016947</v>
      </c>
      <c r="H371" s="57">
        <f t="shared" ca="1" si="145"/>
        <v>-2.4622933383818513</v>
      </c>
      <c r="J371" s="33">
        <f t="shared" ca="1" si="134"/>
        <v>-0.28289208973170243</v>
      </c>
      <c r="K371" s="33">
        <f t="shared" ca="1" si="135"/>
        <v>0.18914735163320184</v>
      </c>
    </row>
    <row r="372" spans="1:11" ht="15.5">
      <c r="A372" s="1" t="s">
        <v>142</v>
      </c>
      <c r="C372" s="104"/>
      <c r="E372" s="15" t="str">
        <f ca="1">"(E2) Cost "&amp;RIGHT(Context!$E$37,3)&amp;"/L (biofuel)"</f>
        <v>(E2) Cost EUR/L (biofuel)</v>
      </c>
      <c r="F372" s="57">
        <f t="shared" ref="F372:H372" ca="1" si="146">IFERROR(F93/F333,"-")</f>
        <v>-6.7144034839996776</v>
      </c>
      <c r="G372" s="57">
        <f t="shared" ca="1" si="146"/>
        <v>-2.3350190450141577</v>
      </c>
      <c r="H372" s="57">
        <f t="shared" ca="1" si="146"/>
        <v>-13.356403394155453</v>
      </c>
      <c r="J372" s="33">
        <f t="shared" ca="1" si="134"/>
        <v>-4.3793844389855199</v>
      </c>
      <c r="K372" s="33">
        <f t="shared" ca="1" si="135"/>
        <v>6.6419999101557758</v>
      </c>
    </row>
    <row r="373" spans="1:11" ht="15.5">
      <c r="A373" s="1" t="s">
        <v>142</v>
      </c>
      <c r="C373" s="104"/>
      <c r="E373" s="15" t="str">
        <f ca="1">"(E2) Cost "&amp;RIGHT(Context!$E$37,3)&amp;"/kWh (gas)"</f>
        <v>(E2) Cost EUR/kWh (gas)</v>
      </c>
      <c r="F373" s="57">
        <f t="shared" ref="F373:H373" ca="1" si="147">IFERROR(F96/F335,"-")</f>
        <v>-0.25532659027396248</v>
      </c>
      <c r="G373" s="57" t="str">
        <f t="shared" ca="1" si="147"/>
        <v>-</v>
      </c>
      <c r="H373" s="57">
        <f t="shared" ca="1" si="147"/>
        <v>-0.31873326642783756</v>
      </c>
      <c r="J373" s="33" t="e">
        <f t="shared" ca="1" si="134"/>
        <v>#VALUE!</v>
      </c>
      <c r="K373" s="33">
        <f t="shared" ca="1" si="135"/>
        <v>6.3406676153875074E-2</v>
      </c>
    </row>
    <row r="374" spans="1:11" ht="15.5">
      <c r="A374" s="1" t="s">
        <v>142</v>
      </c>
      <c r="C374" s="104"/>
      <c r="E374" s="15" t="str">
        <f ca="1">"(E2) Cost "&amp;RIGHT(Context!$E$37,3)&amp;"/kWh (electricity)"</f>
        <v>(E2) Cost EUR/kWh (electricity)</v>
      </c>
      <c r="F374" s="57">
        <f t="shared" ref="F374:H374" ca="1" si="148">IFERROR(F85/F337,"-")</f>
        <v>-2.0922141834703192</v>
      </c>
      <c r="G374" s="57">
        <f t="shared" ca="1" si="148"/>
        <v>-2.6272495384277486</v>
      </c>
      <c r="H374" s="57">
        <f t="shared" ca="1" si="148"/>
        <v>-2.743348056358609</v>
      </c>
      <c r="J374" s="33">
        <f t="shared" ca="1" si="134"/>
        <v>0.53503535495742938</v>
      </c>
      <c r="K374" s="33">
        <f t="shared" ca="1" si="135"/>
        <v>0.65113387288828983</v>
      </c>
    </row>
    <row r="375" spans="1:11" ht="15.5">
      <c r="A375" s="1" t="s">
        <v>142</v>
      </c>
      <c r="C375" s="104"/>
      <c r="E375" s="15" t="str">
        <f ca="1">"(D1) Payroll "&amp;RIGHT(Context!$E$37,3)&amp;"/FTE (Drivers)"</f>
        <v>(D1) Payroll EUR/FTE (Drivers)</v>
      </c>
      <c r="F375" s="57" t="str">
        <f t="shared" ref="F375:H375" ca="1" si="149">IFERROR(F43/F319,"-")</f>
        <v>-</v>
      </c>
      <c r="G375" s="57" t="str">
        <f t="shared" ca="1" si="149"/>
        <v>-</v>
      </c>
      <c r="H375" s="57" t="str">
        <f t="shared" ca="1" si="149"/>
        <v>-</v>
      </c>
      <c r="J375" s="33" t="e">
        <f t="shared" ca="1" si="134"/>
        <v>#VALUE!</v>
      </c>
      <c r="K375" s="33" t="e">
        <f t="shared" ca="1" si="135"/>
        <v>#VALUE!</v>
      </c>
    </row>
    <row r="376" spans="1:11" ht="15.5">
      <c r="A376" s="1" t="s">
        <v>142</v>
      </c>
      <c r="C376" s="104"/>
      <c r="E376" s="15" t="s">
        <v>117</v>
      </c>
      <c r="F376" s="57" t="str">
        <f t="shared" ref="F376:H376" ca="1" si="150">IFERROR(F315/F319,"-")</f>
        <v>-</v>
      </c>
      <c r="G376" s="57" t="str">
        <f t="shared" ca="1" si="150"/>
        <v>-</v>
      </c>
      <c r="H376" s="57" t="str">
        <f t="shared" ca="1" si="150"/>
        <v>-</v>
      </c>
      <c r="J376" s="33" t="e">
        <f t="shared" ca="1" si="134"/>
        <v>#VALUE!</v>
      </c>
      <c r="K376" s="33" t="e">
        <f t="shared" ca="1" si="135"/>
        <v>#VALUE!</v>
      </c>
    </row>
    <row r="377" spans="1:11" ht="15.5">
      <c r="A377" s="1" t="s">
        <v>142</v>
      </c>
      <c r="C377" s="104"/>
      <c r="E377" s="15" t="str">
        <f ca="1">"(M1) "&amp;RIGHT(Context!$E$37,3)&amp;"/veh"</f>
        <v>(M1) EUR/veh</v>
      </c>
      <c r="F377" s="57" t="str">
        <f t="shared" ref="F377:H377" ca="1" si="151">IFERROR(F46/(F339+F341+F343+F345+F347+F349),"-")</f>
        <v>-</v>
      </c>
      <c r="G377" s="57" t="str">
        <f t="shared" ca="1" si="151"/>
        <v>-</v>
      </c>
      <c r="H377" s="57" t="str">
        <f t="shared" ca="1" si="151"/>
        <v>-</v>
      </c>
      <c r="J377" s="33" t="e">
        <f t="shared" ca="1" si="134"/>
        <v>#VALUE!</v>
      </c>
      <c r="K377" s="33" t="e">
        <f t="shared" ca="1" si="135"/>
        <v>#VALUE!</v>
      </c>
    </row>
    <row r="378" spans="1:11" ht="15.5">
      <c r="A378" s="1" t="s">
        <v>142</v>
      </c>
      <c r="C378" s="104"/>
      <c r="E378" s="15" t="str">
        <f ca="1">"(M2) Payroll "&amp;RIGHT(Context!$E$37,3)&amp;"/FTE (Maintenance)"</f>
        <v>(M2) Payroll EUR/FTE (Maintenance)</v>
      </c>
      <c r="F378" s="57" t="str">
        <f t="shared" ref="F378:H378" ca="1" si="152">IFERROR(F46/(F322+F326),"-")</f>
        <v>-</v>
      </c>
      <c r="G378" s="57" t="str">
        <f t="shared" ca="1" si="152"/>
        <v>-</v>
      </c>
      <c r="H378" s="57" t="str">
        <f t="shared" ca="1" si="152"/>
        <v>-</v>
      </c>
      <c r="J378" s="33" t="e">
        <f t="shared" ca="1" si="134"/>
        <v>#VALUE!</v>
      </c>
      <c r="K378" s="33" t="e">
        <f t="shared" ca="1" si="135"/>
        <v>#VALUE!</v>
      </c>
    </row>
    <row r="379" spans="1:11" ht="15.5">
      <c r="A379" s="1" t="s">
        <v>142</v>
      </c>
      <c r="C379" s="104"/>
      <c r="E379" s="15" t="s">
        <v>118</v>
      </c>
      <c r="F379" s="57" t="str">
        <f ca="1">IFERROR(F322/(F339+F341+F343+F345+F347+F349),"-")</f>
        <v>-</v>
      </c>
      <c r="G379" s="57" t="str">
        <f t="shared" ref="G379:H379" ca="1" si="153">IFERROR(G322/(G339+G341+G343+G345+G347+G349),"-")</f>
        <v>-</v>
      </c>
      <c r="H379" s="57" t="str">
        <f t="shared" ca="1" si="153"/>
        <v>-</v>
      </c>
      <c r="J379" s="33" t="e">
        <f t="shared" ca="1" si="134"/>
        <v>#VALUE!</v>
      </c>
      <c r="K379" s="33" t="e">
        <f t="shared" ca="1" si="135"/>
        <v>#VALUE!</v>
      </c>
    </row>
    <row r="380" spans="1:11" ht="15.5">
      <c r="A380" s="1" t="s">
        <v>142</v>
      </c>
      <c r="C380" s="104"/>
      <c r="E380" s="15" t="s">
        <v>119</v>
      </c>
      <c r="F380" s="57" t="str">
        <f ca="1">IFERROR(F305/F339,"-")</f>
        <v>-</v>
      </c>
      <c r="G380" s="57" t="str">
        <f t="shared" ref="G380:H380" ca="1" si="154">IFERROR(G305/G339,"-")</f>
        <v>-</v>
      </c>
      <c r="H380" s="57" t="str">
        <f t="shared" ca="1" si="154"/>
        <v>-</v>
      </c>
      <c r="J380" s="33" t="e">
        <f t="shared" ca="1" si="134"/>
        <v>#VALUE!</v>
      </c>
      <c r="K380" s="33" t="e">
        <f t="shared" ca="1" si="135"/>
        <v>#VALUE!</v>
      </c>
    </row>
    <row r="381" spans="1:11" ht="15.5">
      <c r="A381" s="1" t="s">
        <v>142</v>
      </c>
      <c r="C381" s="104"/>
      <c r="E381" s="15" t="s">
        <v>120</v>
      </c>
      <c r="F381" s="57" t="str">
        <f ca="1">IFERROR(F306/F341,"-")</f>
        <v>-</v>
      </c>
      <c r="G381" s="57" t="str">
        <f t="shared" ref="G381:H381" ca="1" si="155">IFERROR(G306/G341,"-")</f>
        <v>-</v>
      </c>
      <c r="H381" s="57" t="str">
        <f t="shared" ca="1" si="155"/>
        <v>-</v>
      </c>
      <c r="J381" s="33" t="e">
        <f t="shared" ca="1" si="134"/>
        <v>#VALUE!</v>
      </c>
      <c r="K381" s="33" t="e">
        <f t="shared" ca="1" si="135"/>
        <v>#VALUE!</v>
      </c>
    </row>
    <row r="382" spans="1:11" ht="15.5">
      <c r="A382" s="1" t="s">
        <v>142</v>
      </c>
      <c r="C382" s="104"/>
      <c r="E382" s="15" t="s">
        <v>121</v>
      </c>
      <c r="F382" s="57" t="str">
        <f ca="1">IFERROR(F307/F343,"-")</f>
        <v>-</v>
      </c>
      <c r="G382" s="57" t="str">
        <f t="shared" ref="G382:H382" ca="1" si="156">IFERROR(G307/G343,"-")</f>
        <v>-</v>
      </c>
      <c r="H382" s="57" t="str">
        <f t="shared" ca="1" si="156"/>
        <v>-</v>
      </c>
      <c r="J382" s="33" t="e">
        <f t="shared" ca="1" si="134"/>
        <v>#VALUE!</v>
      </c>
      <c r="K382" s="33" t="e">
        <f t="shared" ca="1" si="135"/>
        <v>#VALUE!</v>
      </c>
    </row>
    <row r="383" spans="1:11" ht="15.5">
      <c r="A383" s="1" t="s">
        <v>142</v>
      </c>
      <c r="C383" s="104"/>
      <c r="E383" s="15" t="s">
        <v>122</v>
      </c>
      <c r="F383" s="57" t="str">
        <f ca="1">IFERROR(F308/F345,"-")</f>
        <v>-</v>
      </c>
      <c r="G383" s="57" t="str">
        <f t="shared" ref="G383:H383" ca="1" si="157">IFERROR(G308/G345,"-")</f>
        <v>-</v>
      </c>
      <c r="H383" s="57" t="str">
        <f t="shared" ca="1" si="157"/>
        <v>-</v>
      </c>
      <c r="J383" s="33" t="e">
        <f t="shared" ca="1" si="134"/>
        <v>#VALUE!</v>
      </c>
      <c r="K383" s="33" t="e">
        <f t="shared" ca="1" si="135"/>
        <v>#VALUE!</v>
      </c>
    </row>
    <row r="384" spans="1:11" ht="15.5">
      <c r="A384" s="1" t="s">
        <v>142</v>
      </c>
      <c r="C384" s="104"/>
      <c r="E384" s="15" t="s">
        <v>123</v>
      </c>
      <c r="F384" s="57" t="str">
        <f ca="1">IFERROR(F309/F347,"-")</f>
        <v>-</v>
      </c>
      <c r="G384" s="57" t="str">
        <f t="shared" ref="G384:H384" ca="1" si="158">IFERROR(G309/G347,"-")</f>
        <v>-</v>
      </c>
      <c r="H384" s="57" t="str">
        <f t="shared" ca="1" si="158"/>
        <v>-</v>
      </c>
      <c r="J384" s="33" t="e">
        <f t="shared" ca="1" si="134"/>
        <v>#VALUE!</v>
      </c>
      <c r="K384" s="33" t="e">
        <f t="shared" ca="1" si="135"/>
        <v>#VALUE!</v>
      </c>
    </row>
    <row r="385" spans="1:11" ht="15.5">
      <c r="A385" s="1" t="s">
        <v>142</v>
      </c>
      <c r="C385" s="104"/>
      <c r="E385" s="15" t="s">
        <v>124</v>
      </c>
      <c r="F385" s="57" t="str">
        <f ca="1">IFERROR(F310/F349,"-")</f>
        <v>-</v>
      </c>
      <c r="G385" s="57" t="str">
        <f t="shared" ref="G385:H385" ca="1" si="159">IFERROR(G310/G349,"-")</f>
        <v>-</v>
      </c>
      <c r="H385" s="57" t="str">
        <f t="shared" ca="1" si="159"/>
        <v>-</v>
      </c>
      <c r="J385" s="33" t="e">
        <f t="shared" ca="1" si="134"/>
        <v>#VALUE!</v>
      </c>
      <c r="K385" s="33" t="e">
        <f t="shared" ca="1" si="135"/>
        <v>#VALUE!</v>
      </c>
    </row>
    <row r="386" spans="1:11" ht="15.5">
      <c r="A386" s="1" t="s">
        <v>142</v>
      </c>
      <c r="C386" s="104"/>
      <c r="E386" s="18" t="str">
        <f ca="1">"(M5) "&amp;RIGHT(Context!$E$37,3)&amp;"/km"</f>
        <v>(M5) EUR/km</v>
      </c>
      <c r="F386" s="59">
        <f t="shared" ref="F386:H386" ca="1" si="160">IFERROR(F46/F315,"-")</f>
        <v>-0.13846810582551494</v>
      </c>
      <c r="G386" s="59">
        <f t="shared" ca="1" si="160"/>
        <v>-0.2974669039694493</v>
      </c>
      <c r="H386" s="59">
        <f t="shared" ca="1" si="160"/>
        <v>-0.30054942907356613</v>
      </c>
      <c r="J386" s="111">
        <f t="shared" ca="1" si="134"/>
        <v>0.15899879814393436</v>
      </c>
      <c r="K386" s="111">
        <f t="shared" ca="1" si="135"/>
        <v>0.16208132324805119</v>
      </c>
    </row>
    <row r="387" spans="1:11">
      <c r="F387" s="5"/>
      <c r="G387" s="5"/>
      <c r="H387" s="5"/>
    </row>
    <row r="388" spans="1:11">
      <c r="F388" s="5"/>
      <c r="G388" s="5"/>
      <c r="H388" s="5"/>
    </row>
    <row r="389" spans="1:11">
      <c r="F389" s="5"/>
      <c r="G389" s="5"/>
      <c r="H389" s="5"/>
    </row>
    <row r="390" spans="1:11">
      <c r="F390" s="5"/>
      <c r="G390" s="5"/>
      <c r="H390" s="5"/>
    </row>
    <row r="391" spans="1:11">
      <c r="F391" s="5"/>
      <c r="G391" s="5"/>
      <c r="H391" s="5"/>
    </row>
    <row r="392" spans="1:11">
      <c r="F392" s="5"/>
      <c r="G392" s="5"/>
      <c r="H392" s="5"/>
    </row>
    <row r="393" spans="1:11">
      <c r="F393" s="5"/>
      <c r="G393" s="5"/>
      <c r="H393" s="5"/>
    </row>
    <row r="394" spans="1:11">
      <c r="F394" s="5"/>
      <c r="G394" s="5"/>
      <c r="H394" s="5"/>
    </row>
    <row r="395" spans="1:11">
      <c r="F395" s="5"/>
      <c r="G395" s="5"/>
      <c r="H395" s="5"/>
    </row>
    <row r="396" spans="1:11">
      <c r="F396" s="5"/>
      <c r="G396" s="5"/>
      <c r="H396" s="5"/>
    </row>
    <row r="397" spans="1:11">
      <c r="F397" s="5"/>
      <c r="G397" s="5"/>
      <c r="H397" s="5"/>
    </row>
    <row r="398" spans="1:11">
      <c r="F398" s="5"/>
      <c r="G398" s="5"/>
      <c r="H398" s="5"/>
    </row>
    <row r="399" spans="1:11">
      <c r="F399" s="5"/>
      <c r="G399" s="5"/>
      <c r="H399" s="5"/>
    </row>
    <row r="400" spans="1:11">
      <c r="F400" s="5"/>
      <c r="G400" s="5"/>
      <c r="H400" s="5"/>
    </row>
    <row r="401" spans="6:8">
      <c r="F401" s="5"/>
      <c r="G401" s="5"/>
      <c r="H401" s="5"/>
    </row>
    <row r="402" spans="6:8">
      <c r="F402" s="5"/>
      <c r="G402" s="5"/>
      <c r="H402" s="5"/>
    </row>
    <row r="403" spans="6:8">
      <c r="F403" s="5"/>
      <c r="G403" s="5"/>
      <c r="H403" s="5"/>
    </row>
    <row r="404" spans="6:8">
      <c r="F404" s="5"/>
      <c r="G404" s="5"/>
      <c r="H404" s="5"/>
    </row>
    <row r="405" spans="6:8">
      <c r="F405" s="5"/>
      <c r="G405" s="5"/>
      <c r="H405" s="5"/>
    </row>
    <row r="406" spans="6:8">
      <c r="F406" s="5"/>
      <c r="G406" s="5"/>
      <c r="H406" s="5"/>
    </row>
    <row r="407" spans="6:8">
      <c r="F407" s="5"/>
      <c r="G407" s="5"/>
      <c r="H407" s="5"/>
    </row>
    <row r="408" spans="6:8">
      <c r="F408" s="5"/>
      <c r="G408" s="5"/>
      <c r="H408" s="5"/>
    </row>
    <row r="409" spans="6:8">
      <c r="F409" s="5"/>
      <c r="G409" s="5"/>
      <c r="H409" s="5"/>
    </row>
    <row r="410" spans="6:8">
      <c r="F410" s="5"/>
      <c r="G410" s="5"/>
      <c r="H410" s="5"/>
    </row>
    <row r="411" spans="6:8">
      <c r="F411" s="5"/>
      <c r="G411" s="5"/>
      <c r="H411" s="5"/>
    </row>
    <row r="412" spans="6:8">
      <c r="F412" s="5"/>
      <c r="G412" s="5"/>
      <c r="H412" s="5"/>
    </row>
    <row r="413" spans="6:8">
      <c r="F413" s="5"/>
      <c r="G413" s="5"/>
      <c r="H413" s="5"/>
    </row>
    <row r="414" spans="6:8">
      <c r="F414" s="5"/>
      <c r="G414" s="5"/>
      <c r="H414" s="5"/>
    </row>
    <row r="415" spans="6:8">
      <c r="F415" s="5"/>
      <c r="G415" s="5"/>
      <c r="H415" s="5"/>
    </row>
    <row r="416" spans="6:8">
      <c r="F416" s="5"/>
      <c r="G416" s="5"/>
      <c r="H416" s="5"/>
    </row>
    <row r="417" spans="6:8">
      <c r="F417" s="5"/>
      <c r="G417" s="5"/>
      <c r="H417" s="5"/>
    </row>
    <row r="418" spans="6:8">
      <c r="F418" s="5"/>
      <c r="G418" s="5"/>
      <c r="H418" s="5"/>
    </row>
    <row r="419" spans="6:8">
      <c r="F419" s="5"/>
      <c r="G419" s="5"/>
      <c r="H419" s="5"/>
    </row>
    <row r="420" spans="6:8">
      <c r="F420" s="5"/>
      <c r="G420" s="5"/>
      <c r="H420" s="5"/>
    </row>
    <row r="421" spans="6:8">
      <c r="F421" s="5"/>
      <c r="G421" s="5"/>
      <c r="H421" s="5"/>
    </row>
    <row r="422" spans="6:8">
      <c r="F422" s="5"/>
      <c r="G422" s="5"/>
      <c r="H422" s="5"/>
    </row>
    <row r="423" spans="6:8">
      <c r="F423" s="5"/>
      <c r="G423" s="5"/>
      <c r="H423" s="5"/>
    </row>
    <row r="424" spans="6:8">
      <c r="F424" s="5"/>
      <c r="G424" s="5"/>
      <c r="H424" s="5"/>
    </row>
    <row r="425" spans="6:8">
      <c r="F425" s="5"/>
      <c r="G425" s="5"/>
      <c r="H425" s="5"/>
    </row>
    <row r="426" spans="6:8">
      <c r="F426" s="5"/>
      <c r="G426" s="5"/>
      <c r="H426" s="5"/>
    </row>
    <row r="427" spans="6:8">
      <c r="F427" s="5"/>
      <c r="G427" s="5"/>
      <c r="H427" s="5"/>
    </row>
    <row r="428" spans="6:8">
      <c r="F428" s="5"/>
      <c r="G428" s="5"/>
      <c r="H428" s="5"/>
    </row>
    <row r="429" spans="6:8">
      <c r="F429" s="5"/>
      <c r="G429" s="5"/>
      <c r="H429" s="5"/>
    </row>
    <row r="430" spans="6:8">
      <c r="F430" s="5"/>
      <c r="G430" s="5"/>
      <c r="H430" s="5"/>
    </row>
    <row r="431" spans="6:8">
      <c r="F431" s="5"/>
      <c r="G431" s="5"/>
      <c r="H431" s="5"/>
    </row>
    <row r="432" spans="6:8">
      <c r="F432" s="5"/>
      <c r="G432" s="5"/>
      <c r="H432" s="5"/>
    </row>
    <row r="433" spans="6:8">
      <c r="F433" s="5"/>
      <c r="G433" s="5"/>
      <c r="H433" s="5"/>
    </row>
    <row r="434" spans="6:8">
      <c r="F434" s="5"/>
      <c r="G434" s="5"/>
      <c r="H434" s="5"/>
    </row>
    <row r="435" spans="6:8">
      <c r="F435" s="5"/>
      <c r="G435" s="5"/>
      <c r="H435" s="5"/>
    </row>
    <row r="436" spans="6:8">
      <c r="F436" s="5"/>
      <c r="G436" s="5"/>
      <c r="H436" s="5"/>
    </row>
    <row r="437" spans="6:8">
      <c r="F437" s="5"/>
      <c r="G437" s="5"/>
      <c r="H437" s="5"/>
    </row>
    <row r="438" spans="6:8">
      <c r="F438" s="5"/>
      <c r="G438" s="5"/>
      <c r="H438" s="5"/>
    </row>
    <row r="439" spans="6:8">
      <c r="F439" s="5"/>
      <c r="G439" s="5"/>
      <c r="H439" s="5"/>
    </row>
    <row r="440" spans="6:8">
      <c r="F440" s="5"/>
      <c r="G440" s="5"/>
      <c r="H440" s="5"/>
    </row>
    <row r="441" spans="6:8">
      <c r="F441" s="5"/>
      <c r="G441" s="5"/>
      <c r="H441" s="5"/>
    </row>
    <row r="442" spans="6:8">
      <c r="F442" s="5"/>
      <c r="G442" s="5"/>
      <c r="H442" s="5"/>
    </row>
    <row r="443" spans="6:8">
      <c r="F443" s="5"/>
      <c r="G443" s="5"/>
      <c r="H443" s="5"/>
    </row>
    <row r="444" spans="6:8">
      <c r="F444" s="5"/>
      <c r="G444" s="5"/>
      <c r="H444" s="5"/>
    </row>
    <row r="445" spans="6:8">
      <c r="F445" s="5"/>
      <c r="G445" s="5"/>
      <c r="H445" s="5"/>
    </row>
    <row r="446" spans="6:8">
      <c r="F446" s="5"/>
      <c r="G446" s="5"/>
      <c r="H446" s="5"/>
    </row>
    <row r="447" spans="6:8">
      <c r="F447" s="5"/>
      <c r="G447" s="5"/>
      <c r="H447" s="5"/>
    </row>
    <row r="448" spans="6:8">
      <c r="F448" s="5"/>
      <c r="G448" s="5"/>
      <c r="H448" s="5"/>
    </row>
    <row r="449" spans="6:8">
      <c r="F449" s="5"/>
      <c r="G449" s="5"/>
      <c r="H449" s="5"/>
    </row>
    <row r="450" spans="6:8">
      <c r="F450" s="5"/>
      <c r="G450" s="5"/>
      <c r="H450" s="5"/>
    </row>
    <row r="451" spans="6:8">
      <c r="F451" s="5"/>
      <c r="G451" s="5"/>
      <c r="H451" s="5"/>
    </row>
    <row r="452" spans="6:8">
      <c r="F452" s="5"/>
      <c r="G452" s="5"/>
      <c r="H452" s="5"/>
    </row>
    <row r="453" spans="6:8">
      <c r="F453" s="5"/>
      <c r="G453" s="5"/>
      <c r="H453" s="5"/>
    </row>
    <row r="454" spans="6:8">
      <c r="F454" s="5"/>
      <c r="G454" s="5"/>
      <c r="H454" s="5"/>
    </row>
    <row r="455" spans="6:8">
      <c r="F455" s="5"/>
      <c r="G455" s="5"/>
      <c r="H455" s="5"/>
    </row>
    <row r="456" spans="6:8">
      <c r="F456" s="5"/>
      <c r="G456" s="5"/>
      <c r="H456" s="5"/>
    </row>
    <row r="457" spans="6:8">
      <c r="F457" s="5"/>
      <c r="G457" s="5"/>
      <c r="H457" s="5"/>
    </row>
    <row r="458" spans="6:8">
      <c r="F458" s="5"/>
      <c r="G458" s="5"/>
      <c r="H458" s="5"/>
    </row>
    <row r="459" spans="6:8">
      <c r="F459" s="5"/>
      <c r="G459" s="5"/>
      <c r="H459" s="5"/>
    </row>
    <row r="460" spans="6:8">
      <c r="F460" s="5"/>
      <c r="G460" s="5"/>
      <c r="H460" s="5"/>
    </row>
    <row r="461" spans="6:8">
      <c r="F461" s="5"/>
      <c r="G461" s="5"/>
      <c r="H461" s="5"/>
    </row>
    <row r="462" spans="6:8">
      <c r="F462" s="5"/>
      <c r="G462" s="5"/>
      <c r="H462" s="5"/>
    </row>
    <row r="463" spans="6:8">
      <c r="F463" s="5"/>
      <c r="G463" s="5"/>
      <c r="H463" s="5"/>
    </row>
    <row r="464" spans="6:8">
      <c r="F464" s="5"/>
      <c r="G464" s="5"/>
      <c r="H464" s="5"/>
    </row>
    <row r="465" spans="6:8">
      <c r="F465" s="5"/>
      <c r="G465" s="5"/>
      <c r="H465" s="5"/>
    </row>
    <row r="466" spans="6:8">
      <c r="F466" s="5"/>
      <c r="G466" s="5"/>
      <c r="H466" s="5"/>
    </row>
    <row r="467" spans="6:8">
      <c r="F467" s="5"/>
      <c r="G467" s="5"/>
      <c r="H467" s="5"/>
    </row>
    <row r="468" spans="6:8">
      <c r="F468" s="5"/>
      <c r="G468" s="5"/>
      <c r="H468" s="5"/>
    </row>
    <row r="469" spans="6:8">
      <c r="F469" s="5"/>
      <c r="G469" s="5"/>
      <c r="H469" s="5"/>
    </row>
    <row r="470" spans="6:8">
      <c r="F470" s="5"/>
      <c r="G470" s="5"/>
      <c r="H470" s="5"/>
    </row>
    <row r="471" spans="6:8">
      <c r="F471" s="5"/>
      <c r="G471" s="5"/>
      <c r="H471" s="5"/>
    </row>
    <row r="472" spans="6:8">
      <c r="F472" s="5"/>
      <c r="G472" s="5"/>
      <c r="H472" s="5"/>
    </row>
    <row r="473" spans="6:8">
      <c r="F473" s="5"/>
      <c r="G473" s="5"/>
      <c r="H473" s="5"/>
    </row>
    <row r="474" spans="6:8">
      <c r="F474" s="5"/>
      <c r="G474" s="5"/>
      <c r="H474" s="5"/>
    </row>
    <row r="475" spans="6:8">
      <c r="F475" s="5"/>
      <c r="G475" s="5"/>
      <c r="H475" s="5"/>
    </row>
    <row r="476" spans="6:8">
      <c r="F476" s="5"/>
      <c r="G476" s="5"/>
      <c r="H476" s="5"/>
    </row>
    <row r="477" spans="6:8">
      <c r="F477" s="5"/>
      <c r="G477" s="5"/>
      <c r="H477" s="5"/>
    </row>
    <row r="478" spans="6:8">
      <c r="F478" s="5"/>
      <c r="G478" s="5"/>
      <c r="H478" s="5"/>
    </row>
    <row r="479" spans="6:8">
      <c r="F479" s="5"/>
      <c r="G479" s="5"/>
      <c r="H479" s="5"/>
    </row>
    <row r="480" spans="6:8">
      <c r="F480" s="5"/>
      <c r="G480" s="5"/>
      <c r="H480" s="5"/>
    </row>
    <row r="481" spans="6:8">
      <c r="F481" s="5"/>
      <c r="G481" s="5"/>
      <c r="H481" s="5"/>
    </row>
    <row r="482" spans="6:8">
      <c r="F482" s="5"/>
      <c r="G482" s="5"/>
      <c r="H482" s="5"/>
    </row>
    <row r="483" spans="6:8">
      <c r="F483" s="5"/>
      <c r="G483" s="5"/>
      <c r="H483" s="5"/>
    </row>
    <row r="484" spans="6:8">
      <c r="F484" s="5"/>
      <c r="G484" s="5"/>
      <c r="H484" s="5"/>
    </row>
    <row r="485" spans="6:8">
      <c r="F485" s="5"/>
      <c r="G485" s="5"/>
      <c r="H485" s="5"/>
    </row>
    <row r="486" spans="6:8">
      <c r="F486" s="5"/>
      <c r="G486" s="5"/>
      <c r="H486" s="5"/>
    </row>
    <row r="487" spans="6:8">
      <c r="F487" s="5"/>
      <c r="G487" s="5"/>
      <c r="H487" s="5"/>
    </row>
    <row r="488" spans="6:8">
      <c r="F488" s="5"/>
      <c r="G488" s="5"/>
      <c r="H488" s="5"/>
    </row>
    <row r="489" spans="6:8">
      <c r="F489" s="5"/>
      <c r="G489" s="5"/>
      <c r="H489" s="5"/>
    </row>
    <row r="490" spans="6:8">
      <c r="F490" s="5"/>
      <c r="G490" s="5"/>
      <c r="H490" s="5"/>
    </row>
    <row r="491" spans="6:8">
      <c r="F491" s="5"/>
      <c r="G491" s="5"/>
      <c r="H491" s="5"/>
    </row>
    <row r="492" spans="6:8">
      <c r="F492" s="5"/>
      <c r="G492" s="5"/>
      <c r="H492" s="5"/>
    </row>
    <row r="493" spans="6:8">
      <c r="F493" s="5"/>
      <c r="G493" s="5"/>
      <c r="H493" s="5"/>
    </row>
    <row r="494" spans="6:8">
      <c r="F494" s="5"/>
      <c r="G494" s="5"/>
      <c r="H494" s="5"/>
    </row>
    <row r="495" spans="6:8">
      <c r="F495" s="5"/>
      <c r="G495" s="5"/>
      <c r="H495" s="5"/>
    </row>
    <row r="496" spans="6:8">
      <c r="F496" s="5"/>
      <c r="G496" s="5"/>
      <c r="H496" s="5"/>
    </row>
    <row r="497" spans="6:8">
      <c r="F497" s="5"/>
      <c r="G497" s="5"/>
      <c r="H497" s="5"/>
    </row>
    <row r="498" spans="6:8">
      <c r="F498" s="5"/>
      <c r="G498" s="5"/>
      <c r="H498" s="5"/>
    </row>
    <row r="499" spans="6:8">
      <c r="F499" s="5"/>
      <c r="G499" s="5"/>
      <c r="H499" s="5"/>
    </row>
    <row r="500" spans="6:8">
      <c r="F500" s="5"/>
      <c r="G500" s="5"/>
      <c r="H500" s="5"/>
    </row>
    <row r="501" spans="6:8">
      <c r="F501" s="5"/>
      <c r="G501" s="5"/>
      <c r="H501" s="5"/>
    </row>
    <row r="502" spans="6:8">
      <c r="F502" s="5"/>
      <c r="G502" s="5"/>
      <c r="H502" s="5"/>
    </row>
    <row r="503" spans="6:8">
      <c r="F503" s="5"/>
      <c r="G503" s="5"/>
      <c r="H503" s="5"/>
    </row>
    <row r="504" spans="6:8">
      <c r="F504" s="5"/>
      <c r="G504" s="5"/>
      <c r="H504" s="5"/>
    </row>
    <row r="505" spans="6:8">
      <c r="F505" s="5"/>
      <c r="G505" s="5"/>
      <c r="H505" s="5"/>
    </row>
    <row r="506" spans="6:8">
      <c r="F506" s="5"/>
      <c r="G506" s="5"/>
      <c r="H506" s="5"/>
    </row>
    <row r="507" spans="6:8">
      <c r="F507" s="5"/>
      <c r="G507" s="5"/>
      <c r="H507" s="5"/>
    </row>
    <row r="508" spans="6:8">
      <c r="F508" s="5"/>
      <c r="G508" s="5"/>
      <c r="H508" s="5"/>
    </row>
    <row r="509" spans="6:8">
      <c r="F509" s="5"/>
      <c r="G509" s="5"/>
      <c r="H509" s="5"/>
    </row>
    <row r="510" spans="6:8">
      <c r="F510" s="5"/>
      <c r="G510" s="5"/>
      <c r="H510" s="5"/>
    </row>
    <row r="511" spans="6:8">
      <c r="F511" s="5"/>
      <c r="G511" s="5"/>
      <c r="H511" s="5"/>
    </row>
    <row r="512" spans="6:8">
      <c r="F512" s="5"/>
      <c r="G512" s="5"/>
      <c r="H512" s="5"/>
    </row>
    <row r="513" spans="6:8">
      <c r="F513" s="5"/>
      <c r="G513" s="5"/>
      <c r="H513" s="5"/>
    </row>
    <row r="514" spans="6:8">
      <c r="F514" s="5"/>
      <c r="G514" s="5"/>
      <c r="H514" s="5"/>
    </row>
    <row r="515" spans="6:8">
      <c r="F515" s="5"/>
      <c r="G515" s="5"/>
      <c r="H515" s="5"/>
    </row>
    <row r="516" spans="6:8">
      <c r="F516" s="5"/>
      <c r="G516" s="5"/>
      <c r="H516" s="5"/>
    </row>
    <row r="517" spans="6:8">
      <c r="F517" s="5"/>
      <c r="G517" s="5"/>
      <c r="H517" s="5"/>
    </row>
    <row r="518" spans="6:8">
      <c r="F518" s="5"/>
      <c r="G518" s="5"/>
      <c r="H518" s="5"/>
    </row>
    <row r="519" spans="6:8">
      <c r="F519" s="5"/>
      <c r="G519" s="5"/>
      <c r="H519" s="5"/>
    </row>
    <row r="520" spans="6:8">
      <c r="F520" s="5"/>
      <c r="G520" s="5"/>
      <c r="H520" s="5"/>
    </row>
    <row r="521" spans="6:8">
      <c r="F521" s="5"/>
      <c r="G521" s="5"/>
      <c r="H521" s="5"/>
    </row>
    <row r="522" spans="6:8">
      <c r="F522" s="5"/>
      <c r="G522" s="5"/>
      <c r="H522" s="5"/>
    </row>
    <row r="523" spans="6:8">
      <c r="F523" s="5"/>
      <c r="G523" s="5"/>
      <c r="H523" s="5"/>
    </row>
    <row r="524" spans="6:8">
      <c r="F524" s="5"/>
      <c r="G524" s="5"/>
      <c r="H524" s="5"/>
    </row>
    <row r="525" spans="6:8">
      <c r="F525" s="5"/>
      <c r="G525" s="5"/>
      <c r="H525" s="5"/>
    </row>
    <row r="526" spans="6:8">
      <c r="F526" s="5"/>
      <c r="G526" s="5"/>
      <c r="H526" s="5"/>
    </row>
    <row r="527" spans="6:8">
      <c r="F527" s="5"/>
      <c r="G527" s="5"/>
      <c r="H527" s="5"/>
    </row>
    <row r="528" spans="6:8">
      <c r="F528" s="5"/>
      <c r="G528" s="5"/>
      <c r="H528" s="5"/>
    </row>
    <row r="529" spans="6:8">
      <c r="F529" s="5"/>
      <c r="G529" s="5"/>
      <c r="H529" s="5"/>
    </row>
    <row r="530" spans="6:8">
      <c r="F530" s="5"/>
      <c r="G530" s="5"/>
      <c r="H530" s="5"/>
    </row>
    <row r="531" spans="6:8">
      <c r="F531" s="5"/>
      <c r="G531" s="5"/>
      <c r="H531" s="5"/>
    </row>
    <row r="532" spans="6:8">
      <c r="F532" s="5"/>
      <c r="G532" s="5"/>
      <c r="H532" s="5"/>
    </row>
    <row r="533" spans="6:8">
      <c r="F533" s="5"/>
      <c r="G533" s="5"/>
      <c r="H533" s="5"/>
    </row>
    <row r="534" spans="6:8">
      <c r="F534" s="5"/>
      <c r="G534" s="5"/>
      <c r="H534" s="5"/>
    </row>
    <row r="535" spans="6:8">
      <c r="F535" s="5"/>
      <c r="G535" s="5"/>
      <c r="H535" s="5"/>
    </row>
    <row r="536" spans="6:8">
      <c r="F536" s="5"/>
      <c r="G536" s="5"/>
      <c r="H536" s="5"/>
    </row>
    <row r="537" spans="6:8">
      <c r="F537" s="5"/>
      <c r="G537" s="5"/>
      <c r="H537" s="5"/>
    </row>
    <row r="538" spans="6:8">
      <c r="F538" s="5"/>
      <c r="G538" s="5"/>
      <c r="H538" s="5"/>
    </row>
    <row r="539" spans="6:8">
      <c r="F539" s="5"/>
      <c r="G539" s="5"/>
      <c r="H539" s="5"/>
    </row>
    <row r="540" spans="6:8">
      <c r="F540" s="5"/>
      <c r="G540" s="5"/>
      <c r="H540" s="5"/>
    </row>
    <row r="541" spans="6:8">
      <c r="F541" s="5"/>
      <c r="G541" s="5"/>
      <c r="H541" s="5"/>
    </row>
    <row r="542" spans="6:8">
      <c r="F542" s="5"/>
      <c r="G542" s="5"/>
      <c r="H542" s="5"/>
    </row>
    <row r="543" spans="6:8">
      <c r="F543" s="5"/>
      <c r="G543" s="5"/>
      <c r="H543" s="5"/>
    </row>
    <row r="544" spans="6:8">
      <c r="F544" s="5"/>
      <c r="G544" s="5"/>
      <c r="H544" s="5"/>
    </row>
    <row r="545" spans="6:8">
      <c r="F545" s="5"/>
      <c r="G545" s="5"/>
      <c r="H545" s="5"/>
    </row>
    <row r="546" spans="6:8">
      <c r="F546" s="5"/>
      <c r="G546" s="5"/>
      <c r="H546" s="5"/>
    </row>
    <row r="547" spans="6:8">
      <c r="F547" s="5"/>
      <c r="G547" s="5"/>
      <c r="H547" s="5"/>
    </row>
    <row r="548" spans="6:8">
      <c r="F548" s="5"/>
      <c r="G548" s="5"/>
      <c r="H548" s="5"/>
    </row>
    <row r="549" spans="6:8">
      <c r="F549" s="5"/>
      <c r="G549" s="5"/>
      <c r="H549" s="5"/>
    </row>
    <row r="550" spans="6:8">
      <c r="F550" s="5"/>
      <c r="G550" s="5"/>
      <c r="H550" s="5"/>
    </row>
    <row r="551" spans="6:8">
      <c r="F551" s="5"/>
      <c r="G551" s="5"/>
      <c r="H551" s="5"/>
    </row>
    <row r="552" spans="6:8">
      <c r="F552" s="5"/>
      <c r="G552" s="5"/>
      <c r="H552" s="5"/>
    </row>
    <row r="553" spans="6:8">
      <c r="F553" s="5"/>
      <c r="G553" s="5"/>
      <c r="H553" s="5"/>
    </row>
    <row r="554" spans="6:8">
      <c r="F554" s="5"/>
      <c r="G554" s="5"/>
      <c r="H554" s="5"/>
    </row>
    <row r="555" spans="6:8">
      <c r="F555" s="5"/>
      <c r="G555" s="5"/>
      <c r="H555" s="5"/>
    </row>
    <row r="556" spans="6:8">
      <c r="F556" s="5"/>
      <c r="G556" s="5"/>
      <c r="H556" s="5"/>
    </row>
    <row r="557" spans="6:8">
      <c r="F557" s="5"/>
      <c r="G557" s="5"/>
      <c r="H557" s="5"/>
    </row>
    <row r="558" spans="6:8">
      <c r="F558" s="5"/>
      <c r="G558" s="5"/>
      <c r="H558" s="5"/>
    </row>
    <row r="559" spans="6:8">
      <c r="F559" s="5"/>
      <c r="G559" s="5"/>
      <c r="H559" s="5"/>
    </row>
    <row r="560" spans="6:8">
      <c r="F560" s="5"/>
      <c r="G560" s="5"/>
      <c r="H560" s="5"/>
    </row>
    <row r="561" spans="6:8">
      <c r="F561" s="5"/>
      <c r="G561" s="5"/>
      <c r="H561" s="5"/>
    </row>
    <row r="562" spans="6:8">
      <c r="F562" s="5"/>
      <c r="G562" s="5"/>
      <c r="H562" s="5"/>
    </row>
    <row r="563" spans="6:8">
      <c r="F563" s="5"/>
      <c r="G563" s="5"/>
      <c r="H563" s="5"/>
    </row>
    <row r="564" spans="6:8">
      <c r="F564" s="5"/>
      <c r="G564" s="5"/>
      <c r="H564" s="5"/>
    </row>
    <row r="565" spans="6:8">
      <c r="F565" s="5"/>
      <c r="G565" s="5"/>
      <c r="H565" s="5"/>
    </row>
    <row r="566" spans="6:8">
      <c r="F566" s="5"/>
      <c r="G566" s="5"/>
      <c r="H566" s="5"/>
    </row>
    <row r="567" spans="6:8">
      <c r="F567" s="5"/>
      <c r="G567" s="5"/>
      <c r="H567" s="5"/>
    </row>
    <row r="568" spans="6:8">
      <c r="F568" s="5"/>
      <c r="G568" s="5"/>
      <c r="H568" s="5"/>
    </row>
    <row r="569" spans="6:8">
      <c r="F569" s="5"/>
      <c r="G569" s="5"/>
      <c r="H569" s="5"/>
    </row>
    <row r="570" spans="6:8">
      <c r="F570" s="5"/>
      <c r="G570" s="5"/>
      <c r="H570" s="5"/>
    </row>
    <row r="571" spans="6:8">
      <c r="F571" s="5"/>
      <c r="G571" s="5"/>
      <c r="H571" s="5"/>
    </row>
    <row r="572" spans="6:8">
      <c r="F572" s="5"/>
      <c r="G572" s="5"/>
      <c r="H572" s="5"/>
    </row>
    <row r="573" spans="6:8">
      <c r="F573" s="5"/>
      <c r="G573" s="5"/>
      <c r="H573" s="5"/>
    </row>
    <row r="574" spans="6:8">
      <c r="F574" s="5"/>
      <c r="G574" s="5"/>
      <c r="H574" s="5"/>
    </row>
    <row r="575" spans="6:8">
      <c r="F575" s="5"/>
      <c r="G575" s="5"/>
      <c r="H575" s="5"/>
    </row>
    <row r="576" spans="6:8">
      <c r="F576" s="5"/>
      <c r="G576" s="5"/>
      <c r="H576" s="5"/>
    </row>
    <row r="577" spans="6:8">
      <c r="F577" s="5"/>
      <c r="G577" s="5"/>
      <c r="H577" s="5"/>
    </row>
    <row r="578" spans="6:8">
      <c r="F578" s="5"/>
      <c r="G578" s="5"/>
      <c r="H578" s="5"/>
    </row>
    <row r="579" spans="6:8">
      <c r="F579" s="5"/>
      <c r="G579" s="5"/>
      <c r="H579" s="5"/>
    </row>
    <row r="580" spans="6:8">
      <c r="F580" s="5"/>
      <c r="G580" s="5"/>
      <c r="H580" s="5"/>
    </row>
    <row r="581" spans="6:8">
      <c r="F581" s="5"/>
      <c r="G581" s="5"/>
      <c r="H581" s="5"/>
    </row>
    <row r="582" spans="6:8">
      <c r="F582" s="5"/>
      <c r="G582" s="5"/>
      <c r="H582" s="5"/>
    </row>
    <row r="583" spans="6:8">
      <c r="F583" s="5"/>
      <c r="G583" s="5"/>
      <c r="H583" s="5"/>
    </row>
    <row r="584" spans="6:8">
      <c r="F584" s="5"/>
      <c r="G584" s="5"/>
      <c r="H584" s="5"/>
    </row>
    <row r="585" spans="6:8">
      <c r="F585" s="5"/>
      <c r="G585" s="5"/>
      <c r="H585" s="5"/>
    </row>
    <row r="586" spans="6:8">
      <c r="F586" s="5"/>
      <c r="G586" s="5"/>
      <c r="H586" s="5"/>
    </row>
    <row r="587" spans="6:8">
      <c r="F587" s="5"/>
      <c r="G587" s="5"/>
      <c r="H587" s="5"/>
    </row>
    <row r="588" spans="6:8">
      <c r="F588" s="5"/>
      <c r="G588" s="5"/>
      <c r="H588" s="5"/>
    </row>
    <row r="589" spans="6:8">
      <c r="F589" s="5"/>
      <c r="G589" s="5"/>
      <c r="H589" s="5"/>
    </row>
    <row r="590" spans="6:8">
      <c r="F590" s="5"/>
      <c r="G590" s="5"/>
      <c r="H590" s="5"/>
    </row>
    <row r="591" spans="6:8">
      <c r="F591" s="5"/>
      <c r="G591" s="5"/>
      <c r="H591" s="5"/>
    </row>
    <row r="592" spans="6:8">
      <c r="F592" s="5"/>
      <c r="G592" s="5"/>
      <c r="H592" s="5"/>
    </row>
    <row r="593" spans="6:8">
      <c r="F593" s="5"/>
      <c r="G593" s="5"/>
      <c r="H593" s="5"/>
    </row>
    <row r="594" spans="6:8">
      <c r="F594" s="5"/>
      <c r="G594" s="5"/>
      <c r="H594" s="5"/>
    </row>
    <row r="595" spans="6:8">
      <c r="F595" s="5"/>
      <c r="G595" s="5"/>
      <c r="H595" s="5"/>
    </row>
    <row r="596" spans="6:8">
      <c r="F596" s="5"/>
      <c r="G596" s="5"/>
      <c r="H596" s="5"/>
    </row>
    <row r="597" spans="6:8">
      <c r="F597" s="5"/>
      <c r="G597" s="5"/>
      <c r="H597" s="5"/>
    </row>
    <row r="598" spans="6:8">
      <c r="F598" s="5"/>
      <c r="G598" s="5"/>
      <c r="H598" s="5"/>
    </row>
    <row r="599" spans="6:8">
      <c r="F599" s="5"/>
      <c r="G599" s="5"/>
      <c r="H599" s="5"/>
    </row>
    <row r="600" spans="6:8">
      <c r="F600" s="5"/>
      <c r="G600" s="5"/>
      <c r="H600" s="5"/>
    </row>
    <row r="601" spans="6:8">
      <c r="F601" s="5"/>
      <c r="G601" s="5"/>
      <c r="H601" s="5"/>
    </row>
  </sheetData>
  <mergeCells count="8">
    <mergeCell ref="E9:P11"/>
    <mergeCell ref="J19:J20"/>
    <mergeCell ref="K19:K20"/>
    <mergeCell ref="E19:E20"/>
    <mergeCell ref="C23:C278"/>
    <mergeCell ref="C283:C301"/>
    <mergeCell ref="C315:C356"/>
    <mergeCell ref="C359:C386"/>
  </mergeCells>
  <dataValidations disablePrompts="1" count="1">
    <dataValidation allowBlank="1" showInputMessage="1" showErrorMessage="1" error="La valeur entrée n'est pas valide._x000a_Un utilisateur dispose de valeurs restreintes pouvant être entrées dans cette cellule." sqref="E9"/>
  </dataValidations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_value">
                <anchor moveWithCells="1" sizeWithCells="1">
                  <from>
                    <xdr:col>3</xdr:col>
                    <xdr:colOff>76200</xdr:colOff>
                    <xdr:row>14</xdr:row>
                    <xdr:rowOff>38100</xdr:rowOff>
                  </from>
                  <to>
                    <xdr:col>4</xdr:col>
                    <xdr:colOff>1174750</xdr:colOff>
                    <xdr:row>16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FE33F40CFD7145B1139C9898BD6259" ma:contentTypeVersion="2" ma:contentTypeDescription="Crée un document." ma:contentTypeScope="" ma:versionID="e0f87a1f6c14262a94e4e090216b84c3">
  <xsd:schema xmlns:xsd="http://www.w3.org/2001/XMLSchema" xmlns:xs="http://www.w3.org/2001/XMLSchema" xmlns:p="http://schemas.microsoft.com/office/2006/metadata/properties" xmlns:ns2="593288d4-c742-43c3-b1b4-ad2f71920d9b" targetNamespace="http://schemas.microsoft.com/office/2006/metadata/properties" ma:root="true" ma:fieldsID="3f055d2b7493998eceb926de075f74dc" ns2:_="">
    <xsd:import namespace="593288d4-c742-43c3-b1b4-ad2f71920d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3288d4-c742-43c3-b1b4-ad2f71920d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4C4DAC5-32E8-4959-B49E-BC9C86CDBF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B47B38-12E1-437C-B06C-F7E294FBB79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593288d4-c742-43c3-b1b4-ad2f71920d9b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FF6F1B6-AE27-43E1-B70A-B2DFBFA272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3288d4-c742-43c3-b1b4-ad2f71920d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Context</vt:lpstr>
      <vt:lpstr>Synthèse</vt:lpstr>
      <vt:lpstr>Restitution</vt:lpstr>
      <vt:lpstr>Current_Period_YTD</vt:lpstr>
      <vt:lpstr>Default_Management_Organization</vt:lpstr>
      <vt:lpstr>Restitution!Print_Area</vt:lpstr>
      <vt:lpstr>Synthèse!Print_Area</vt:lpstr>
      <vt:lpstr>Server</vt:lpstr>
      <vt:lpstr>z_Current_Period_N_1</vt:lpstr>
      <vt:lpstr>z_Current_Phase</vt:lpstr>
      <vt:lpstr>z_Current_Year</vt:lpstr>
      <vt:lpstr>z_Forecast_Phase</vt:lpstr>
      <vt:lpstr>z_Year_N_1</vt:lpstr>
      <vt:lpstr>z_Year_Selected</vt:lpstr>
      <vt:lpstr>zYearSelected</vt:lpstr>
    </vt:vector>
  </TitlesOfParts>
  <Company>TRANSDEV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LEYMARIE, Alexandre</dc:creator>
  <cp:lastModifiedBy>Adm BARKI, Mila</cp:lastModifiedBy>
  <cp:revision/>
  <dcterms:created xsi:type="dcterms:W3CDTF">2023-02-15T16:27:41Z</dcterms:created>
  <dcterms:modified xsi:type="dcterms:W3CDTF">2023-03-23T15:50:47Z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0x0101000AFE33F40CFD7145B1139C9898BD6259</vt:lpwstr>
  </property>
  <property fmtid="{D5CDD505-2E9C-101B-9397-08002B2CF9AE}" pid="3" name="MediaServiceImageTags">
    <vt:lpwstr/>
  </property>
</Properties>
</file>