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360" yWindow="15" windowWidth="19200" windowHeight="9045" activeTab="2"/>
  </bookViews>
  <sheets>
    <sheet name="Context" sheetId="4" r:id="rId1"/>
    <sheet name="LegalList" sheetId="5" r:id="rId2"/>
    <sheet name="Contract" sheetId="1" r:id="rId3"/>
    <sheet name="Contract_DBS" sheetId="2" r:id="rId4"/>
  </sheets>
  <definedNames>
    <definedName name="Activity_Type_Client_Economic_Model">Contract!$A$42:$A$47</definedName>
    <definedName name="Cube1">Context!$B$11</definedName>
    <definedName name="Cube2">Context!$B$12</definedName>
    <definedName name="End_date_with_opt">Contract!$I$32</definedName>
    <definedName name="End_date_without_opt">Contract!$I$30</definedName>
    <definedName name="Flag_Send_Comment">Context!$B$8</definedName>
    <definedName name="Flag_Send_Data">Context!$B$7</definedName>
    <definedName name="LocalLanguage">Context!$B$15</definedName>
    <definedName name="Server">Context!$B$4</definedName>
    <definedName name="Start_Date">Contract!$F$30</definedName>
    <definedName name="TM1REBUILDOPTION">1</definedName>
    <definedName name="TM1RPTDATARNGLegalList0" localSheetId="1">LegalList!$15:$15</definedName>
    <definedName name="TM1RPTFMTIDCOL" localSheetId="1">LegalList!$A$1:$A$8</definedName>
    <definedName name="TM1RPTFMTRNG" localSheetId="1">LegalList!$B$1:$C$8</definedName>
    <definedName name="xActivity">OFFSET(Context!$K$1,1,1,Context!$K$1,1)</definedName>
    <definedName name="xBusinessLine">Contract!$F$24</definedName>
    <definedName name="xBusinessModel">OFFSET(Context!$T$1,1,1,Context!$T$1,1)</definedName>
    <definedName name="xBusinessModelField">Contract!$I$46</definedName>
    <definedName name="xContractCode">Contract!$F$19</definedName>
    <definedName name="xContractName">Contract!$F$26</definedName>
    <definedName name="xContractType">Context!$D$2:$D$5</definedName>
    <definedName name="xCostCenter">Contract!$F$23</definedName>
    <definedName name="xCountryRegionList">OFFSET(Context!$G$1,1,1,Context!$G$1,1)</definedName>
    <definedName name="xEcoModel">OFFSET(Context!$O$1,1,1,Context!$O$1,1)</definedName>
    <definedName name="xEconomicModelField">Contract!$H$46</definedName>
    <definedName name="xGrandparent">Context!$F$23</definedName>
    <definedName name="xHost">Context!$B$6</definedName>
    <definedName name="xLegalEntity">OFFSET(LegalList!$B$14,1,0,LegalList!$B$14,1)</definedName>
    <definedName name="xLegalEntityField">Contract!$E$46</definedName>
    <definedName name="xLegalReference">Context!$F$17</definedName>
    <definedName name="xLocalUMCode">Contract!$F$21</definedName>
    <definedName name="xMngtUnitStatus">Context!$E$2:$E$5</definedName>
    <definedName name="xParent">Context!$F$20</definedName>
    <definedName name="xRegionSelected">Contract!$F$15</definedName>
    <definedName name="xServer">Context!$B$5</definedName>
    <definedName name="xStatus">Contract!$F$32</definedName>
    <definedName name="xSubActivityField">Contract!$F$46</definedName>
    <definedName name="xTM1User">Context!$B$13</definedName>
    <definedName name="xType">Contract!$F$13</definedName>
    <definedName name="xTypeClient">OFFSET(Context!$M$1,1,1,Context!$M$1,1)</definedName>
    <definedName name="xTypeClientField">Contract!$G$46</definedName>
    <definedName name="Z_055CCB1E_587E_4E7F_9527_08A034898E1C_.wvu.Cols" localSheetId="2" hidden="1">Contract!$A:$C</definedName>
    <definedName name="Z_055CCB1E_587E_4E7F_9527_08A034898E1C_.wvu.Rows" localSheetId="2" hidden="1">Contract!$1:$5</definedName>
  </definedNames>
  <calcPr calcId="145621" calcMode="manual" calcCompleted="0" calcOnSave="0" concurrentCalc="0"/>
  <customWorkbookViews>
    <customWorkbookView name="Contract_Toutes_zones" guid="{7267FFFF-8997-4978-9445-B87FCBCB5EFE}" maximized="1" windowWidth="1596" windowHeight="604" activeSheetId="1"/>
    <customWorkbookView name="Contract_zones_masquees" guid="{055CCB1E-587E-4E7F-9527-08A034898E1C}" maximized="1" windowWidth="1596" windowHeight="604" activeSheetId="1"/>
  </customWorkbookViews>
</workbook>
</file>

<file path=xl/calcChain.xml><?xml version="1.0" encoding="utf-8"?>
<calcChain xmlns="http://schemas.openxmlformats.org/spreadsheetml/2006/main">
  <c r="H225" i="4" l="1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1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I46" i="2"/>
  <c r="U2" i="4"/>
  <c r="T1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3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O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A43" i="1"/>
  <c r="A45" i="1"/>
  <c r="A47" i="1"/>
  <c r="F2" i="1"/>
  <c r="G2" i="1"/>
  <c r="F3" i="1"/>
  <c r="Q2" i="4"/>
  <c r="R2" i="4"/>
  <c r="Q3" i="4"/>
  <c r="R3" i="4"/>
  <c r="Q4" i="4"/>
  <c r="R4" i="4"/>
  <c r="Q5" i="4"/>
  <c r="R5" i="4"/>
  <c r="Q6" i="4"/>
  <c r="R6" i="4"/>
  <c r="Q7" i="4"/>
  <c r="R7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Q36" i="4"/>
  <c r="R36" i="4"/>
  <c r="Q37" i="4"/>
  <c r="R37" i="4"/>
  <c r="Q38" i="4"/>
  <c r="R38" i="4"/>
  <c r="Q39" i="4"/>
  <c r="R39" i="4"/>
  <c r="Q40" i="4"/>
  <c r="R40" i="4"/>
  <c r="Q41" i="4"/>
  <c r="R41" i="4"/>
  <c r="Q42" i="4"/>
  <c r="R42" i="4"/>
  <c r="Q43" i="4"/>
  <c r="R43" i="4"/>
  <c r="Q44" i="4"/>
  <c r="R44" i="4"/>
  <c r="Q45" i="4"/>
  <c r="R45" i="4"/>
  <c r="Q46" i="4"/>
  <c r="R46" i="4"/>
  <c r="Q47" i="4"/>
  <c r="R47" i="4"/>
  <c r="Q48" i="4"/>
  <c r="R48" i="4"/>
  <c r="Q49" i="4"/>
  <c r="R49" i="4"/>
  <c r="Q50" i="4"/>
  <c r="R50" i="4"/>
  <c r="Q51" i="4"/>
  <c r="R51" i="4"/>
  <c r="Q52" i="4"/>
  <c r="R52" i="4"/>
  <c r="Q53" i="4"/>
  <c r="R53" i="4"/>
  <c r="Q54" i="4"/>
  <c r="R54" i="4"/>
  <c r="Q55" i="4"/>
  <c r="R55" i="4"/>
  <c r="Q56" i="4"/>
  <c r="R56" i="4"/>
  <c r="Q57" i="4"/>
  <c r="R57" i="4"/>
  <c r="Q58" i="4"/>
  <c r="R58" i="4"/>
  <c r="Q59" i="4"/>
  <c r="R59" i="4"/>
  <c r="Q60" i="4"/>
  <c r="R60" i="4"/>
  <c r="Q61" i="4"/>
  <c r="R61" i="4"/>
  <c r="Q62" i="4"/>
  <c r="R62" i="4"/>
  <c r="Q63" i="4"/>
  <c r="R63" i="4"/>
  <c r="Q64" i="4"/>
  <c r="R64" i="4"/>
  <c r="Q65" i="4"/>
  <c r="R65" i="4"/>
  <c r="Q66" i="4"/>
  <c r="R66" i="4"/>
  <c r="Q67" i="4"/>
  <c r="R67" i="4"/>
  <c r="Q68" i="4"/>
  <c r="R68" i="4"/>
  <c r="Q69" i="4"/>
  <c r="R69" i="4"/>
  <c r="Q70" i="4"/>
  <c r="R70" i="4"/>
  <c r="Q71" i="4"/>
  <c r="R71" i="4"/>
  <c r="Q72" i="4"/>
  <c r="R72" i="4"/>
  <c r="Q73" i="4"/>
  <c r="R73" i="4"/>
  <c r="Q74" i="4"/>
  <c r="R74" i="4"/>
  <c r="Q75" i="4"/>
  <c r="R75" i="4"/>
  <c r="Q76" i="4"/>
  <c r="R76" i="4"/>
  <c r="Q77" i="4"/>
  <c r="R77" i="4"/>
  <c r="Q78" i="4"/>
  <c r="R78" i="4"/>
  <c r="Q79" i="4"/>
  <c r="R79" i="4"/>
  <c r="Q80" i="4"/>
  <c r="R80" i="4"/>
  <c r="Q81" i="4"/>
  <c r="R81" i="4"/>
  <c r="Q82" i="4"/>
  <c r="R82" i="4"/>
  <c r="Q83" i="4"/>
  <c r="R83" i="4"/>
  <c r="Q84" i="4"/>
  <c r="R84" i="4"/>
  <c r="Q85" i="4"/>
  <c r="R85" i="4"/>
  <c r="Q86" i="4"/>
  <c r="R86" i="4"/>
  <c r="Q87" i="4"/>
  <c r="R87" i="4"/>
  <c r="Q88" i="4"/>
  <c r="R88" i="4"/>
  <c r="Q89" i="4"/>
  <c r="R89" i="4"/>
  <c r="Q90" i="4"/>
  <c r="R90" i="4"/>
  <c r="Q91" i="4"/>
  <c r="R91" i="4"/>
  <c r="Q92" i="4"/>
  <c r="R92" i="4"/>
  <c r="Q93" i="4"/>
  <c r="R93" i="4"/>
  <c r="Q94" i="4"/>
  <c r="R94" i="4"/>
  <c r="Q95" i="4"/>
  <c r="R95" i="4"/>
  <c r="Q96" i="4"/>
  <c r="R96" i="4"/>
  <c r="Q97" i="4"/>
  <c r="R97" i="4"/>
  <c r="Q98" i="4"/>
  <c r="R98" i="4"/>
  <c r="Q99" i="4"/>
  <c r="R99" i="4"/>
  <c r="Q100" i="4"/>
  <c r="R100" i="4"/>
  <c r="Q101" i="4"/>
  <c r="R101" i="4"/>
  <c r="Q102" i="4"/>
  <c r="R102" i="4"/>
  <c r="Q103" i="4"/>
  <c r="R103" i="4"/>
  <c r="Q104" i="4"/>
  <c r="R104" i="4"/>
  <c r="Q105" i="4"/>
  <c r="R105" i="4"/>
  <c r="Q106" i="4"/>
  <c r="R106" i="4"/>
  <c r="Q107" i="4"/>
  <c r="R107" i="4"/>
  <c r="Q108" i="4"/>
  <c r="R108" i="4"/>
  <c r="Q109" i="4"/>
  <c r="R109" i="4"/>
  <c r="Q110" i="4"/>
  <c r="R110" i="4"/>
  <c r="Q111" i="4"/>
  <c r="R111" i="4"/>
  <c r="Q112" i="4"/>
  <c r="R112" i="4"/>
  <c r="Q113" i="4"/>
  <c r="R113" i="4"/>
  <c r="Q114" i="4"/>
  <c r="R114" i="4"/>
  <c r="Q115" i="4"/>
  <c r="R115" i="4"/>
  <c r="Q116" i="4"/>
  <c r="R116" i="4"/>
  <c r="Q117" i="4"/>
  <c r="R117" i="4"/>
  <c r="Q118" i="4"/>
  <c r="R118" i="4"/>
  <c r="Q119" i="4"/>
  <c r="R119" i="4"/>
  <c r="Q120" i="4"/>
  <c r="R120" i="4"/>
  <c r="Q121" i="4"/>
  <c r="R121" i="4"/>
  <c r="Q122" i="4"/>
  <c r="R122" i="4"/>
  <c r="Q123" i="4"/>
  <c r="R123" i="4"/>
  <c r="Q124" i="4"/>
  <c r="R124" i="4"/>
  <c r="Q125" i="4"/>
  <c r="R125" i="4"/>
  <c r="Q126" i="4"/>
  <c r="R126" i="4"/>
  <c r="Q127" i="4"/>
  <c r="R127" i="4"/>
  <c r="Q128" i="4"/>
  <c r="R128" i="4"/>
  <c r="Q129" i="4"/>
  <c r="R129" i="4"/>
  <c r="Q130" i="4"/>
  <c r="R130" i="4"/>
  <c r="Q131" i="4"/>
  <c r="R131" i="4"/>
  <c r="Q132" i="4"/>
  <c r="R132" i="4"/>
  <c r="Q133" i="4"/>
  <c r="R133" i="4"/>
  <c r="Q134" i="4"/>
  <c r="R134" i="4"/>
  <c r="Q135" i="4"/>
  <c r="R135" i="4"/>
  <c r="Q136" i="4"/>
  <c r="R136" i="4"/>
  <c r="Q137" i="4"/>
  <c r="R137" i="4"/>
  <c r="Q138" i="4"/>
  <c r="R138" i="4"/>
  <c r="Q139" i="4"/>
  <c r="R139" i="4"/>
  <c r="Q140" i="4"/>
  <c r="R140" i="4"/>
  <c r="Q141" i="4"/>
  <c r="R141" i="4"/>
  <c r="Q142" i="4"/>
  <c r="R142" i="4"/>
  <c r="Q143" i="4"/>
  <c r="R143" i="4"/>
  <c r="Q144" i="4"/>
  <c r="R144" i="4"/>
  <c r="Q145" i="4"/>
  <c r="R145" i="4"/>
  <c r="Q146" i="4"/>
  <c r="R146" i="4"/>
  <c r="Q147" i="4"/>
  <c r="R147" i="4"/>
  <c r="Q148" i="4"/>
  <c r="R148" i="4"/>
  <c r="Q149" i="4"/>
  <c r="R149" i="4"/>
  <c r="Q150" i="4"/>
  <c r="R150" i="4"/>
  <c r="Q151" i="4"/>
  <c r="R151" i="4"/>
  <c r="Q152" i="4"/>
  <c r="R152" i="4"/>
  <c r="Q153" i="4"/>
  <c r="R153" i="4"/>
  <c r="Q154" i="4"/>
  <c r="R154" i="4"/>
  <c r="Q155" i="4"/>
  <c r="R155" i="4"/>
  <c r="Q156" i="4"/>
  <c r="R156" i="4"/>
  <c r="Q157" i="4"/>
  <c r="R157" i="4"/>
  <c r="Q158" i="4"/>
  <c r="R158" i="4"/>
  <c r="Q159" i="4"/>
  <c r="R159" i="4"/>
  <c r="Q160" i="4"/>
  <c r="R160" i="4"/>
  <c r="Q161" i="4"/>
  <c r="R161" i="4"/>
  <c r="Q162" i="4"/>
  <c r="R162" i="4"/>
  <c r="Q163" i="4"/>
  <c r="R163" i="4"/>
  <c r="Q164" i="4"/>
  <c r="R164" i="4"/>
  <c r="Q165" i="4"/>
  <c r="R165" i="4"/>
  <c r="Q166" i="4"/>
  <c r="R166" i="4"/>
  <c r="Q167" i="4"/>
  <c r="R167" i="4"/>
  <c r="Q168" i="4"/>
  <c r="R168" i="4"/>
  <c r="Q169" i="4"/>
  <c r="R169" i="4"/>
  <c r="Q170" i="4"/>
  <c r="R170" i="4"/>
  <c r="Q171" i="4"/>
  <c r="R171" i="4"/>
  <c r="Q172" i="4"/>
  <c r="R172" i="4"/>
  <c r="Q173" i="4"/>
  <c r="R173" i="4"/>
  <c r="Q174" i="4"/>
  <c r="R174" i="4"/>
  <c r="Q175" i="4"/>
  <c r="R175" i="4"/>
  <c r="Q176" i="4"/>
  <c r="R176" i="4"/>
  <c r="Q177" i="4"/>
  <c r="R177" i="4"/>
  <c r="Q178" i="4"/>
  <c r="R178" i="4"/>
  <c r="Q179" i="4"/>
  <c r="R179" i="4"/>
  <c r="Q180" i="4"/>
  <c r="R180" i="4"/>
  <c r="Q181" i="4"/>
  <c r="R181" i="4"/>
  <c r="Q182" i="4"/>
  <c r="R182" i="4"/>
  <c r="Q183" i="4"/>
  <c r="R183" i="4"/>
  <c r="Q184" i="4"/>
  <c r="R184" i="4"/>
  <c r="Q185" i="4"/>
  <c r="R185" i="4"/>
  <c r="Q186" i="4"/>
  <c r="R186" i="4"/>
  <c r="Q187" i="4"/>
  <c r="R187" i="4"/>
  <c r="Q188" i="4"/>
  <c r="R188" i="4"/>
  <c r="Q189" i="4"/>
  <c r="R189" i="4"/>
  <c r="Q190" i="4"/>
  <c r="R190" i="4"/>
  <c r="Q191" i="4"/>
  <c r="R191" i="4"/>
  <c r="Q192" i="4"/>
  <c r="R192" i="4"/>
  <c r="Q193" i="4"/>
  <c r="R193" i="4"/>
  <c r="Q194" i="4"/>
  <c r="R194" i="4"/>
  <c r="Q195" i="4"/>
  <c r="R195" i="4"/>
  <c r="Q196" i="4"/>
  <c r="R196" i="4"/>
  <c r="Q197" i="4"/>
  <c r="R197" i="4"/>
  <c r="Q198" i="4"/>
  <c r="R198" i="4"/>
  <c r="Q199" i="4"/>
  <c r="R199" i="4"/>
  <c r="Q200" i="4"/>
  <c r="R200" i="4"/>
  <c r="G3" i="1"/>
  <c r="B5" i="4"/>
  <c r="B13" i="4"/>
  <c r="B15" i="4"/>
  <c r="B9" i="5"/>
  <c r="C11" i="5"/>
  <c r="C12" i="5"/>
  <c r="I32" i="2"/>
  <c r="I30" i="2"/>
  <c r="F30" i="2"/>
  <c r="K30" i="1"/>
  <c r="F3" i="4"/>
  <c r="F7" i="4"/>
  <c r="F11" i="4"/>
  <c r="F14" i="4"/>
  <c r="F17" i="4"/>
  <c r="B13" i="5"/>
  <c r="F20" i="4"/>
  <c r="F23" i="4"/>
  <c r="A15" i="1"/>
  <c r="B15" i="5"/>
  <c r="D15" i="5"/>
  <c r="F15" i="5"/>
  <c r="F14" i="5"/>
  <c r="F32" i="2"/>
  <c r="F26" i="2"/>
  <c r="F24" i="2"/>
  <c r="F23" i="2"/>
  <c r="F13" i="2"/>
  <c r="F21" i="2"/>
  <c r="F15" i="2"/>
  <c r="H46" i="2"/>
  <c r="G46" i="2"/>
  <c r="F46" i="2"/>
  <c r="E46" i="2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" i="4"/>
  <c r="L3" i="4"/>
  <c r="L4" i="4"/>
  <c r="L5" i="4"/>
  <c r="L6" i="4"/>
  <c r="L7" i="4"/>
  <c r="L8" i="4"/>
  <c r="L9" i="4"/>
  <c r="L10" i="4"/>
  <c r="L11" i="4"/>
  <c r="L2" i="4"/>
  <c r="B14" i="5"/>
  <c r="A15" i="5"/>
  <c r="H32" i="1"/>
  <c r="H30" i="1"/>
  <c r="E30" i="1"/>
  <c r="D14" i="5"/>
  <c r="C15" i="5"/>
  <c r="A5" i="5"/>
  <c r="A4" i="5"/>
  <c r="A3" i="5"/>
  <c r="A2" i="5"/>
  <c r="G3" i="4"/>
  <c r="I3" i="4"/>
  <c r="J3" i="4"/>
  <c r="G2" i="4"/>
  <c r="I2" i="4"/>
  <c r="J2" i="4"/>
  <c r="G4" i="4"/>
  <c r="I4" i="4"/>
  <c r="J4" i="4"/>
  <c r="G5" i="4"/>
  <c r="I5" i="4"/>
  <c r="J5" i="4"/>
  <c r="G6" i="4"/>
  <c r="I6" i="4"/>
  <c r="J6" i="4"/>
  <c r="G7" i="4"/>
  <c r="I7" i="4"/>
  <c r="J7" i="4"/>
  <c r="G8" i="4"/>
  <c r="I8" i="4"/>
  <c r="J8" i="4"/>
  <c r="G9" i="4"/>
  <c r="I9" i="4"/>
  <c r="J9" i="4"/>
  <c r="G10" i="4"/>
  <c r="I10" i="4"/>
  <c r="J10" i="4"/>
  <c r="G11" i="4"/>
  <c r="I11" i="4"/>
  <c r="J11" i="4"/>
  <c r="G12" i="4"/>
  <c r="I12" i="4"/>
  <c r="J12" i="4"/>
  <c r="G13" i="4"/>
  <c r="I13" i="4"/>
  <c r="J13" i="4"/>
  <c r="G14" i="4"/>
  <c r="I14" i="4"/>
  <c r="J14" i="4"/>
  <c r="G15" i="4"/>
  <c r="I15" i="4"/>
  <c r="J15" i="4"/>
  <c r="G16" i="4"/>
  <c r="I16" i="4"/>
  <c r="J16" i="4"/>
  <c r="G17" i="4"/>
  <c r="I17" i="4"/>
  <c r="J17" i="4"/>
  <c r="G18" i="4"/>
  <c r="I18" i="4"/>
  <c r="J18" i="4"/>
  <c r="G19" i="4"/>
  <c r="I19" i="4"/>
  <c r="J19" i="4"/>
  <c r="G20" i="4"/>
  <c r="I20" i="4"/>
  <c r="J20" i="4"/>
  <c r="G21" i="4"/>
  <c r="I21" i="4"/>
  <c r="J21" i="4"/>
  <c r="G22" i="4"/>
  <c r="I22" i="4"/>
  <c r="J22" i="4"/>
  <c r="G23" i="4"/>
  <c r="I23" i="4"/>
  <c r="J23" i="4"/>
  <c r="G24" i="4"/>
  <c r="I24" i="4"/>
  <c r="J24" i="4"/>
  <c r="G25" i="4"/>
  <c r="I25" i="4"/>
  <c r="J25" i="4"/>
  <c r="G26" i="4"/>
  <c r="I26" i="4"/>
  <c r="J26" i="4"/>
  <c r="G27" i="4"/>
  <c r="I27" i="4"/>
  <c r="J27" i="4"/>
  <c r="G28" i="4"/>
  <c r="I28" i="4"/>
  <c r="J28" i="4"/>
  <c r="G29" i="4"/>
  <c r="I29" i="4"/>
  <c r="J29" i="4"/>
  <c r="G30" i="4"/>
  <c r="I30" i="4"/>
  <c r="J30" i="4"/>
  <c r="G31" i="4"/>
  <c r="I31" i="4"/>
  <c r="J31" i="4"/>
  <c r="G32" i="4"/>
  <c r="I32" i="4"/>
  <c r="J32" i="4"/>
  <c r="G33" i="4"/>
  <c r="I33" i="4"/>
  <c r="J33" i="4"/>
  <c r="G34" i="4"/>
  <c r="I34" i="4"/>
  <c r="J34" i="4"/>
  <c r="G35" i="4"/>
  <c r="I35" i="4"/>
  <c r="J35" i="4"/>
  <c r="G36" i="4"/>
  <c r="I36" i="4"/>
  <c r="J36" i="4"/>
  <c r="G37" i="4"/>
  <c r="I37" i="4"/>
  <c r="J37" i="4"/>
  <c r="G38" i="4"/>
  <c r="I38" i="4"/>
  <c r="J38" i="4"/>
  <c r="G39" i="4"/>
  <c r="I39" i="4"/>
  <c r="J39" i="4"/>
  <c r="G40" i="4"/>
  <c r="I40" i="4"/>
  <c r="J40" i="4"/>
  <c r="G41" i="4"/>
  <c r="I41" i="4"/>
  <c r="J41" i="4"/>
  <c r="G42" i="4"/>
  <c r="I42" i="4"/>
  <c r="J42" i="4"/>
  <c r="G43" i="4"/>
  <c r="I43" i="4"/>
  <c r="J43" i="4"/>
  <c r="G44" i="4"/>
  <c r="I44" i="4"/>
  <c r="J44" i="4"/>
  <c r="G45" i="4"/>
  <c r="I45" i="4"/>
  <c r="J45" i="4"/>
  <c r="G46" i="4"/>
  <c r="I46" i="4"/>
  <c r="J46" i="4"/>
  <c r="G47" i="4"/>
  <c r="I47" i="4"/>
  <c r="J47" i="4"/>
  <c r="G48" i="4"/>
  <c r="I48" i="4"/>
  <c r="J48" i="4"/>
  <c r="G49" i="4"/>
  <c r="I49" i="4"/>
  <c r="J49" i="4"/>
  <c r="G50" i="4"/>
  <c r="I50" i="4"/>
  <c r="J50" i="4"/>
  <c r="G51" i="4"/>
  <c r="I51" i="4"/>
  <c r="J51" i="4"/>
  <c r="G52" i="4"/>
  <c r="I52" i="4"/>
  <c r="J52" i="4"/>
  <c r="G53" i="4"/>
  <c r="I53" i="4"/>
  <c r="J53" i="4"/>
  <c r="G54" i="4"/>
  <c r="I54" i="4"/>
  <c r="J54" i="4"/>
  <c r="G55" i="4"/>
  <c r="I55" i="4"/>
  <c r="J55" i="4"/>
  <c r="G56" i="4"/>
  <c r="I56" i="4"/>
  <c r="J56" i="4"/>
  <c r="G57" i="4"/>
  <c r="I57" i="4"/>
  <c r="J57" i="4"/>
  <c r="G58" i="4"/>
  <c r="I58" i="4"/>
  <c r="J58" i="4"/>
  <c r="G59" i="4"/>
  <c r="I59" i="4"/>
  <c r="J59" i="4"/>
  <c r="G60" i="4"/>
  <c r="I60" i="4"/>
  <c r="J60" i="4"/>
  <c r="G61" i="4"/>
  <c r="I61" i="4"/>
  <c r="J61" i="4"/>
  <c r="G62" i="4"/>
  <c r="I62" i="4"/>
  <c r="J62" i="4"/>
  <c r="G63" i="4"/>
  <c r="I63" i="4"/>
  <c r="J63" i="4"/>
  <c r="G64" i="4"/>
  <c r="I64" i="4"/>
  <c r="J64" i="4"/>
  <c r="G65" i="4"/>
  <c r="I65" i="4"/>
  <c r="J65" i="4"/>
  <c r="G66" i="4"/>
  <c r="I66" i="4"/>
  <c r="J66" i="4"/>
  <c r="G67" i="4"/>
  <c r="I67" i="4"/>
  <c r="J67" i="4"/>
  <c r="G68" i="4"/>
  <c r="I68" i="4"/>
  <c r="J68" i="4"/>
  <c r="G69" i="4"/>
  <c r="I69" i="4"/>
  <c r="J69" i="4"/>
  <c r="G70" i="4"/>
  <c r="I70" i="4"/>
  <c r="J70" i="4"/>
  <c r="G71" i="4"/>
  <c r="I71" i="4"/>
  <c r="J71" i="4"/>
  <c r="G72" i="4"/>
  <c r="I72" i="4"/>
  <c r="J72" i="4"/>
  <c r="G73" i="4"/>
  <c r="I73" i="4"/>
  <c r="J73" i="4"/>
  <c r="G74" i="4"/>
  <c r="I74" i="4"/>
  <c r="J74" i="4"/>
  <c r="G75" i="4"/>
  <c r="I75" i="4"/>
  <c r="J75" i="4"/>
  <c r="G76" i="4"/>
  <c r="I76" i="4"/>
  <c r="J76" i="4"/>
  <c r="G77" i="4"/>
  <c r="I77" i="4"/>
  <c r="J77" i="4"/>
  <c r="G78" i="4"/>
  <c r="I78" i="4"/>
  <c r="J78" i="4"/>
  <c r="G79" i="4"/>
  <c r="I79" i="4"/>
  <c r="J79" i="4"/>
  <c r="G80" i="4"/>
  <c r="I80" i="4"/>
  <c r="J80" i="4"/>
  <c r="G81" i="4"/>
  <c r="I81" i="4"/>
  <c r="J81" i="4"/>
  <c r="G82" i="4"/>
  <c r="I82" i="4"/>
  <c r="J82" i="4"/>
  <c r="G83" i="4"/>
  <c r="I83" i="4"/>
  <c r="J83" i="4"/>
  <c r="G84" i="4"/>
  <c r="I84" i="4"/>
  <c r="J84" i="4"/>
  <c r="G85" i="4"/>
  <c r="I85" i="4"/>
  <c r="J85" i="4"/>
  <c r="G86" i="4"/>
  <c r="I86" i="4"/>
  <c r="J86" i="4"/>
  <c r="G87" i="4"/>
  <c r="I87" i="4"/>
  <c r="J87" i="4"/>
  <c r="G88" i="4"/>
  <c r="I88" i="4"/>
  <c r="J88" i="4"/>
  <c r="G89" i="4"/>
  <c r="I89" i="4"/>
  <c r="J89" i="4"/>
  <c r="G90" i="4"/>
  <c r="I90" i="4"/>
  <c r="J90" i="4"/>
  <c r="G91" i="4"/>
  <c r="I91" i="4"/>
  <c r="J91" i="4"/>
  <c r="G92" i="4"/>
  <c r="I92" i="4"/>
  <c r="J92" i="4"/>
  <c r="G93" i="4"/>
  <c r="I93" i="4"/>
  <c r="J93" i="4"/>
  <c r="G94" i="4"/>
  <c r="I94" i="4"/>
  <c r="J94" i="4"/>
  <c r="G95" i="4"/>
  <c r="I95" i="4"/>
  <c r="J95" i="4"/>
  <c r="G96" i="4"/>
  <c r="I96" i="4"/>
  <c r="J96" i="4"/>
  <c r="G97" i="4"/>
  <c r="I97" i="4"/>
  <c r="J97" i="4"/>
  <c r="G98" i="4"/>
  <c r="I98" i="4"/>
  <c r="J98" i="4"/>
  <c r="G99" i="4"/>
  <c r="I99" i="4"/>
  <c r="J99" i="4"/>
  <c r="G100" i="4"/>
  <c r="I100" i="4"/>
  <c r="J100" i="4"/>
  <c r="G101" i="4"/>
  <c r="I101" i="4"/>
  <c r="J101" i="4"/>
  <c r="G102" i="4"/>
  <c r="I102" i="4"/>
  <c r="J102" i="4"/>
  <c r="G103" i="4"/>
  <c r="I103" i="4"/>
  <c r="J103" i="4"/>
  <c r="G104" i="4"/>
  <c r="I104" i="4"/>
  <c r="J104" i="4"/>
  <c r="G105" i="4"/>
  <c r="I105" i="4"/>
  <c r="J105" i="4"/>
  <c r="G106" i="4"/>
  <c r="I106" i="4"/>
  <c r="J106" i="4"/>
  <c r="G107" i="4"/>
  <c r="I107" i="4"/>
  <c r="J107" i="4"/>
  <c r="G108" i="4"/>
  <c r="I108" i="4"/>
  <c r="J108" i="4"/>
  <c r="G109" i="4"/>
  <c r="I109" i="4"/>
  <c r="J109" i="4"/>
  <c r="G110" i="4"/>
  <c r="I110" i="4"/>
  <c r="J110" i="4"/>
  <c r="G111" i="4"/>
  <c r="I111" i="4"/>
  <c r="J111" i="4"/>
  <c r="G112" i="4"/>
  <c r="I112" i="4"/>
  <c r="J112" i="4"/>
  <c r="G113" i="4"/>
  <c r="I113" i="4"/>
  <c r="J113" i="4"/>
  <c r="G114" i="4"/>
  <c r="I114" i="4"/>
  <c r="J114" i="4"/>
  <c r="G115" i="4"/>
  <c r="I115" i="4"/>
  <c r="J115" i="4"/>
  <c r="G116" i="4"/>
  <c r="I116" i="4"/>
  <c r="J116" i="4"/>
  <c r="G117" i="4"/>
  <c r="I117" i="4"/>
  <c r="J117" i="4"/>
  <c r="G118" i="4"/>
  <c r="I118" i="4"/>
  <c r="J118" i="4"/>
  <c r="G119" i="4"/>
  <c r="I119" i="4"/>
  <c r="J119" i="4"/>
  <c r="G120" i="4"/>
  <c r="I120" i="4"/>
  <c r="J120" i="4"/>
  <c r="G121" i="4"/>
  <c r="I121" i="4"/>
  <c r="J121" i="4"/>
  <c r="G122" i="4"/>
  <c r="I122" i="4"/>
  <c r="J122" i="4"/>
  <c r="G123" i="4"/>
  <c r="I123" i="4"/>
  <c r="J123" i="4"/>
  <c r="G124" i="4"/>
  <c r="I124" i="4"/>
  <c r="J124" i="4"/>
  <c r="G125" i="4"/>
  <c r="I125" i="4"/>
  <c r="J125" i="4"/>
  <c r="G126" i="4"/>
  <c r="I126" i="4"/>
  <c r="J126" i="4"/>
  <c r="G127" i="4"/>
  <c r="I127" i="4"/>
  <c r="J127" i="4"/>
  <c r="G128" i="4"/>
  <c r="I128" i="4"/>
  <c r="J128" i="4"/>
  <c r="G129" i="4"/>
  <c r="I129" i="4"/>
  <c r="J129" i="4"/>
  <c r="G130" i="4"/>
  <c r="I130" i="4"/>
  <c r="J130" i="4"/>
  <c r="G131" i="4"/>
  <c r="I131" i="4"/>
  <c r="J131" i="4"/>
  <c r="G132" i="4"/>
  <c r="I132" i="4"/>
  <c r="J132" i="4"/>
  <c r="G133" i="4"/>
  <c r="I133" i="4"/>
  <c r="J133" i="4"/>
  <c r="G134" i="4"/>
  <c r="I134" i="4"/>
  <c r="J134" i="4"/>
  <c r="G135" i="4"/>
  <c r="I135" i="4"/>
  <c r="J135" i="4"/>
  <c r="G136" i="4"/>
  <c r="I136" i="4"/>
  <c r="J136" i="4"/>
  <c r="G137" i="4"/>
  <c r="I137" i="4"/>
  <c r="J137" i="4"/>
  <c r="G138" i="4"/>
  <c r="I138" i="4"/>
  <c r="J138" i="4"/>
  <c r="G139" i="4"/>
  <c r="I139" i="4"/>
  <c r="J139" i="4"/>
  <c r="G140" i="4"/>
  <c r="I140" i="4"/>
  <c r="J140" i="4"/>
  <c r="G141" i="4"/>
  <c r="I141" i="4"/>
  <c r="J141" i="4"/>
  <c r="G142" i="4"/>
  <c r="I142" i="4"/>
  <c r="J142" i="4"/>
  <c r="G143" i="4"/>
  <c r="I143" i="4"/>
  <c r="J143" i="4"/>
  <c r="G144" i="4"/>
  <c r="I144" i="4"/>
  <c r="J144" i="4"/>
  <c r="G145" i="4"/>
  <c r="I145" i="4"/>
  <c r="J145" i="4"/>
  <c r="G146" i="4"/>
  <c r="I146" i="4"/>
  <c r="J146" i="4"/>
  <c r="G147" i="4"/>
  <c r="I147" i="4"/>
  <c r="J147" i="4"/>
  <c r="G148" i="4"/>
  <c r="I148" i="4"/>
  <c r="J148" i="4"/>
  <c r="G149" i="4"/>
  <c r="I149" i="4"/>
  <c r="J149" i="4"/>
  <c r="G150" i="4"/>
  <c r="I150" i="4"/>
  <c r="J150" i="4"/>
  <c r="G151" i="4"/>
  <c r="I151" i="4"/>
  <c r="J151" i="4"/>
  <c r="G152" i="4"/>
  <c r="I152" i="4"/>
  <c r="J152" i="4"/>
  <c r="G153" i="4"/>
  <c r="I153" i="4"/>
  <c r="J153" i="4"/>
  <c r="G154" i="4"/>
  <c r="I154" i="4"/>
  <c r="J154" i="4"/>
  <c r="G155" i="4"/>
  <c r="I155" i="4"/>
  <c r="J155" i="4"/>
  <c r="G156" i="4"/>
  <c r="I156" i="4"/>
  <c r="J156" i="4"/>
  <c r="G157" i="4"/>
  <c r="I157" i="4"/>
  <c r="J157" i="4"/>
  <c r="G158" i="4"/>
  <c r="I158" i="4"/>
  <c r="J158" i="4"/>
  <c r="G159" i="4"/>
  <c r="I159" i="4"/>
  <c r="J159" i="4"/>
  <c r="G160" i="4"/>
  <c r="I160" i="4"/>
  <c r="J160" i="4"/>
  <c r="G161" i="4"/>
  <c r="I161" i="4"/>
  <c r="J161" i="4"/>
  <c r="G162" i="4"/>
  <c r="I162" i="4"/>
  <c r="J162" i="4"/>
  <c r="G163" i="4"/>
  <c r="I163" i="4"/>
  <c r="J163" i="4"/>
  <c r="G164" i="4"/>
  <c r="I164" i="4"/>
  <c r="J164" i="4"/>
  <c r="G165" i="4"/>
  <c r="I165" i="4"/>
  <c r="J165" i="4"/>
  <c r="G166" i="4"/>
  <c r="I166" i="4"/>
  <c r="J166" i="4"/>
  <c r="G167" i="4"/>
  <c r="I167" i="4"/>
  <c r="J167" i="4"/>
  <c r="G168" i="4"/>
  <c r="I168" i="4"/>
  <c r="J168" i="4"/>
  <c r="G169" i="4"/>
  <c r="I169" i="4"/>
  <c r="J169" i="4"/>
  <c r="G170" i="4"/>
  <c r="I170" i="4"/>
  <c r="J170" i="4"/>
  <c r="G171" i="4"/>
  <c r="I171" i="4"/>
  <c r="J171" i="4"/>
  <c r="G172" i="4"/>
  <c r="I172" i="4"/>
  <c r="J172" i="4"/>
  <c r="G173" i="4"/>
  <c r="I173" i="4"/>
  <c r="J173" i="4"/>
  <c r="G174" i="4"/>
  <c r="I174" i="4"/>
  <c r="J174" i="4"/>
  <c r="G175" i="4"/>
  <c r="I175" i="4"/>
  <c r="J175" i="4"/>
  <c r="G176" i="4"/>
  <c r="I176" i="4"/>
  <c r="J176" i="4"/>
  <c r="G177" i="4"/>
  <c r="I177" i="4"/>
  <c r="J177" i="4"/>
  <c r="G178" i="4"/>
  <c r="I178" i="4"/>
  <c r="J178" i="4"/>
  <c r="G179" i="4"/>
  <c r="I179" i="4"/>
  <c r="J179" i="4"/>
  <c r="G180" i="4"/>
  <c r="I180" i="4"/>
  <c r="J180" i="4"/>
  <c r="G181" i="4"/>
  <c r="I181" i="4"/>
  <c r="J181" i="4"/>
  <c r="G182" i="4"/>
  <c r="I182" i="4"/>
  <c r="J182" i="4"/>
  <c r="G183" i="4"/>
  <c r="I183" i="4"/>
  <c r="J183" i="4"/>
  <c r="G184" i="4"/>
  <c r="I184" i="4"/>
  <c r="J184" i="4"/>
  <c r="G185" i="4"/>
  <c r="I185" i="4"/>
  <c r="J185" i="4"/>
  <c r="G186" i="4"/>
  <c r="I186" i="4"/>
  <c r="J186" i="4"/>
  <c r="G187" i="4"/>
  <c r="I187" i="4"/>
  <c r="J187" i="4"/>
  <c r="G188" i="4"/>
  <c r="I188" i="4"/>
  <c r="J188" i="4"/>
  <c r="G189" i="4"/>
  <c r="I189" i="4"/>
  <c r="J189" i="4"/>
  <c r="G190" i="4"/>
  <c r="I190" i="4"/>
  <c r="J190" i="4"/>
  <c r="G191" i="4"/>
  <c r="I191" i="4"/>
  <c r="J191" i="4"/>
  <c r="G192" i="4"/>
  <c r="I192" i="4"/>
  <c r="J192" i="4"/>
  <c r="G193" i="4"/>
  <c r="I193" i="4"/>
  <c r="J193" i="4"/>
  <c r="G194" i="4"/>
  <c r="I194" i="4"/>
  <c r="J194" i="4"/>
  <c r="G195" i="4"/>
  <c r="I195" i="4"/>
  <c r="J195" i="4"/>
  <c r="G196" i="4"/>
  <c r="I196" i="4"/>
  <c r="J196" i="4"/>
  <c r="G197" i="4"/>
  <c r="I197" i="4"/>
  <c r="J197" i="4"/>
  <c r="G198" i="4"/>
  <c r="I198" i="4"/>
  <c r="J198" i="4"/>
  <c r="G199" i="4"/>
  <c r="I199" i="4"/>
  <c r="J199" i="4"/>
  <c r="G200" i="4"/>
  <c r="I200" i="4"/>
  <c r="J200" i="4"/>
  <c r="E23" i="1"/>
  <c r="B14" i="4"/>
  <c r="E39" i="2"/>
  <c r="E38" i="2"/>
  <c r="E37" i="2"/>
  <c r="E36" i="2"/>
  <c r="E32" i="1"/>
  <c r="E24" i="1"/>
  <c r="E26" i="1"/>
  <c r="E21" i="1"/>
  <c r="E19" i="1"/>
  <c r="E15" i="1"/>
  <c r="H45" i="1"/>
  <c r="G45" i="1"/>
  <c r="F45" i="1"/>
  <c r="E45" i="1"/>
  <c r="E43" i="1"/>
  <c r="E35" i="1"/>
  <c r="E28" i="1"/>
  <c r="E17" i="1"/>
  <c r="E13" i="1"/>
  <c r="E11" i="1"/>
  <c r="I7" i="1"/>
  <c r="E7" i="1"/>
  <c r="M1" i="4"/>
  <c r="K1" i="4"/>
  <c r="I1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</calcChain>
</file>

<file path=xl/sharedStrings.xml><?xml version="1.0" encoding="utf-8"?>
<sst xmlns="http://schemas.openxmlformats.org/spreadsheetml/2006/main" count="325" uniqueCount="123">
  <si>
    <t>Area</t>
  </si>
  <si>
    <t>Type :</t>
  </si>
  <si>
    <t>Contract</t>
  </si>
  <si>
    <t>Country / Region :</t>
  </si>
  <si>
    <t>Management unit details</t>
  </si>
  <si>
    <t>Tango management unit Code :</t>
  </si>
  <si>
    <t>Local management unit code :</t>
  </si>
  <si>
    <t>Contract Name :</t>
  </si>
  <si>
    <t>Cost center (VTOD)</t>
  </si>
  <si>
    <t>Line of business (VTNL)</t>
  </si>
  <si>
    <t>Management unit other details</t>
  </si>
  <si>
    <t>Start Date :</t>
  </si>
  <si>
    <t>End Date :</t>
  </si>
  <si>
    <t>Management unit status :</t>
  </si>
  <si>
    <t>Current</t>
  </si>
  <si>
    <t>Option years in management unit:</t>
  </si>
  <si>
    <t>Comments</t>
  </si>
  <si>
    <t>Management unit parameters</t>
  </si>
  <si>
    <t>Legal Entity</t>
  </si>
  <si>
    <t>Sub-Activity</t>
  </si>
  <si>
    <t>Type of Client</t>
  </si>
  <si>
    <t>Economic Model</t>
  </si>
  <si>
    <t>Type of contract</t>
  </si>
  <si>
    <t>Contract Bundle</t>
  </si>
  <si>
    <t>Profit Center</t>
  </si>
  <si>
    <t>Management unit status</t>
  </si>
  <si>
    <t>Lost</t>
  </si>
  <si>
    <t>User :</t>
  </si>
  <si>
    <t>Organization :</t>
  </si>
  <si>
    <t>Server Name :</t>
  </si>
  <si>
    <t>Management organization</t>
  </si>
  <si>
    <t>Legal entity</t>
  </si>
  <si>
    <t>Activity</t>
  </si>
  <si>
    <t>Type of client</t>
  </si>
  <si>
    <t>Economic model</t>
  </si>
  <si>
    <t>Lookup for the selected region in dimension Legal_Organization</t>
  </si>
  <si>
    <t>Lookup for the parent of the selected region in dimension Legal_Organization</t>
  </si>
  <si>
    <t>Lookup for the grandparent of the selected region in dimension Legal_Organization</t>
  </si>
  <si>
    <t>Index of the element in Legal_Organization</t>
  </si>
  <si>
    <t>Element code</t>
  </si>
  <si>
    <t>Administration Generic Context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</si>
  <si>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</si>
  <si>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</si>
  <si>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</si>
  <si>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</si>
  <si>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</si>
  <si>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</si>
  <si>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</si>
  <si>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Language List :</t>
  </si>
  <si>
    <t>English</t>
  </si>
  <si>
    <t>French</t>
  </si>
  <si>
    <t>Dutch</t>
  </si>
  <si>
    <t>German</t>
  </si>
  <si>
    <t>Portugese</t>
  </si>
  <si>
    <t>Management unit form Context :</t>
  </si>
  <si>
    <t>z_Contract_Pending_Approval</t>
  </si>
  <si>
    <t>z_Comments_Contract</t>
  </si>
  <si>
    <t>Local language :</t>
  </si>
  <si>
    <t>z_Translate_Report</t>
  </si>
  <si>
    <t>new_management_unit_form</t>
  </si>
  <si>
    <t>input</t>
  </si>
  <si>
    <t>area</t>
  </si>
  <si>
    <t>type</t>
  </si>
  <si>
    <t>country_region</t>
  </si>
  <si>
    <t>management_unit_detail</t>
  </si>
  <si>
    <t>tango_management_unit_code</t>
  </si>
  <si>
    <t>local_management_unit_code</t>
  </si>
  <si>
    <t>contract_name</t>
  </si>
  <si>
    <t>cost_center</t>
  </si>
  <si>
    <t>line_of_business</t>
  </si>
  <si>
    <t>management_unit_other_details</t>
  </si>
  <si>
    <t>start_date</t>
  </si>
  <si>
    <t>end_date</t>
  </si>
  <si>
    <t>management_unit_status</t>
  </si>
  <si>
    <t>option_years</t>
  </si>
  <si>
    <t>comments</t>
  </si>
  <si>
    <t>management_unit_parameters</t>
  </si>
  <si>
    <t>legal_entity</t>
  </si>
  <si>
    <t>sub_activity</t>
  </si>
  <si>
    <t>economic_model</t>
  </si>
  <si>
    <t>Comment_1</t>
  </si>
  <si>
    <t>Comment_2</t>
  </si>
  <si>
    <t>Comment_3</t>
  </si>
  <si>
    <t>Comment_4</t>
  </si>
  <si>
    <t>Type</t>
  </si>
  <si>
    <t>Country_Region</t>
  </si>
  <si>
    <t>Local_Management_Unit_Code</t>
  </si>
  <si>
    <t>Management_Unit_Name</t>
  </si>
  <si>
    <t>Cost_center</t>
  </si>
  <si>
    <t>Line_of_business</t>
  </si>
  <si>
    <t>Start_Date</t>
  </si>
  <si>
    <t>End_Date</t>
  </si>
  <si>
    <t>Management_unit_status</t>
  </si>
  <si>
    <t>Option_years</t>
  </si>
  <si>
    <t>Legal_entity</t>
  </si>
  <si>
    <t>Type_of_client</t>
  </si>
  <si>
    <t>Economic_model</t>
  </si>
  <si>
    <t>type_of_client</t>
  </si>
  <si>
    <t>Check existence on Tango management unit code :</t>
  </si>
  <si>
    <t>Check existence on Management unit name :</t>
  </si>
  <si>
    <t>Temporary Contracts Names</t>
  </si>
  <si>
    <t>exist</t>
  </si>
  <si>
    <t xml:space="preserve"> </t>
  </si>
  <si>
    <t>Internal growth</t>
  </si>
  <si>
    <t>External growth</t>
  </si>
  <si>
    <t>Calcul champs réservé VTNL/VTOD :</t>
  </si>
  <si>
    <t>Type_Client</t>
  </si>
  <si>
    <t>Economic_Model</t>
  </si>
  <si>
    <t>z_management_organization</t>
  </si>
  <si>
    <t>z_Str_Var</t>
  </si>
  <si>
    <t>D</t>
  </si>
  <si>
    <t>N</t>
  </si>
  <si>
    <t>[Begin Format Range]</t>
  </si>
  <si>
    <t>[End Format Range]</t>
  </si>
  <si>
    <t>Date_format</t>
  </si>
  <si>
    <t xml:space="preserve">Management Parent code </t>
  </si>
  <si>
    <t xml:space="preserve">Management Grandparent code </t>
  </si>
  <si>
    <t>TFR-AP019298</t>
  </si>
  <si>
    <t>Business Model</t>
  </si>
  <si>
    <t>Business model</t>
  </si>
  <si>
    <t>Business_Model</t>
  </si>
  <si>
    <t>tango_core_model:</t>
  </si>
  <si>
    <t>Holding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</si>
</sst>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name val="Calibri"/>
      <family val="2"/>
    </font>
    <font>
      <sz val="10"/>
      <name val="Calibri"/>
      <family val="2"/>
    </font>
    <font>
      <b/>
      <sz val="14"/>
      <color rgb="FF7E408F"/>
      <name val="Calibri"/>
      <family val="2"/>
    </font>
    <font>
      <sz val="14"/>
      <color indexed="46"/>
      <name val="Calibri"/>
      <family val="2"/>
    </font>
    <font>
      <b/>
      <sz val="10"/>
      <color rgb="FF7E408F"/>
      <name val="Calibri"/>
      <family val="2"/>
    </font>
    <font>
      <b/>
      <sz val="10"/>
      <color indexed="10"/>
      <name val="Calibri"/>
      <family val="2"/>
    </font>
    <font>
      <b/>
      <sz val="22"/>
      <color indexed="9"/>
      <name val="Calibri"/>
      <family val="2"/>
    </font>
    <font>
      <sz val="10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4"/>
      <color rgb="FF7E408F"/>
      <name val="Arial"/>
      <family val="2"/>
    </font>
    <font>
      <b/>
      <sz val="10"/>
      <color rgb="FF7E408F"/>
      <name val="Arial"/>
      <family val="2"/>
    </font>
    <font>
      <b/>
      <sz val="11"/>
      <color rgb="FFFF0000"/>
      <name val="Calibri"/>
      <family val="2"/>
      <scheme val="minor"/>
    </font>
    <font>
      <b/>
      <i/>
      <sz val="16"/>
      <color indexed="9"/>
      <name val="Calibri"/>
      <family val="2"/>
    </font>
    <font>
      <b/>
      <sz val="11"/>
      <color rgb="FFFFC0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D0C2A4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D3D3D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7E408F"/>
      </bottom>
      <diagonal/>
    </border>
    <border>
      <left/>
      <right/>
      <top/>
      <bottom style="thin">
        <color rgb="FFD0C2A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rgb="FFD0C2A4"/>
      </top>
      <bottom style="thin">
        <color rgb="FFD0C2A4"/>
      </bottom>
      <diagonal/>
    </border>
    <border>
      <left/>
      <right/>
      <top style="thin">
        <color rgb="FF7E408F"/>
      </top>
      <bottom style="thin">
        <color rgb="FFD0C2A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36"/>
      </left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 applyBorder="1" applyAlignment="1">
      <alignment vertical="center"/>
    </xf>
    <xf numFmtId="0" fontId="1" fillId="0" borderId="0" xfId="0" applyFont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6" xfId="0" applyBorder="1"/>
    <xf numFmtId="0" fontId="2" fillId="0" borderId="0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3" fillId="0" borderId="0" xfId="0" applyFont="1" applyBorder="1" applyAlignment="1">
      <alignment horizontal="right" vertical="center"/>
    </xf>
    <xf numFmtId="49" fontId="3" fillId="2" borderId="0" xfId="0" applyNumberFormat="1" applyFont="1" applyFill="1" applyBorder="1" applyAlignment="1" applyProtection="1">
      <alignment vertical="center"/>
      <protection locked="0"/>
    </xf>
    <xf numFmtId="0" fontId="3" fillId="0" borderId="0" xfId="0" applyFont="1" applyBorder="1" applyAlignment="1">
      <alignment vertical="center"/>
    </xf>
    <xf numFmtId="0" fontId="3" fillId="2" borderId="0" xfId="0" applyNumberFormat="1" applyFont="1" applyFill="1" applyBorder="1" applyAlignment="1" applyProtection="1">
      <alignment vertical="center"/>
      <protection locked="0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49" fontId="6" fillId="2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>
      <alignment vertical="center"/>
    </xf>
    <xf numFmtId="49" fontId="3" fillId="0" borderId="0" xfId="0" applyNumberFormat="1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7" xfId="0" applyBorder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2" fillId="0" borderId="0" xfId="0" applyFont="1" applyFill="1" applyProtection="1">
      <protection locked="0"/>
    </xf>
    <xf numFmtId="0" fontId="10" fillId="5" borderId="9" xfId="0" applyFont="1" applyFill="1" applyBorder="1" applyAlignment="1" applyProtection="1">
      <alignment horizontal="left"/>
      <protection locked="0"/>
    </xf>
    <xf numFmtId="0" fontId="11" fillId="5" borderId="10" xfId="0" applyFont="1" applyFill="1" applyBorder="1" applyProtection="1">
      <protection locked="0"/>
    </xf>
    <xf numFmtId="0" fontId="13" fillId="4" borderId="12" xfId="0" applyFont="1" applyFill="1" applyBorder="1" applyProtection="1">
      <protection locked="0"/>
    </xf>
    <xf numFmtId="0" fontId="13" fillId="0" borderId="12" xfId="0" applyFont="1" applyBorder="1" applyProtection="1">
      <protection locked="0"/>
    </xf>
    <xf numFmtId="0" fontId="13" fillId="0" borderId="12" xfId="0" applyNumberFormat="1" applyFont="1" applyBorder="1" applyProtection="1">
      <protection locked="0"/>
    </xf>
    <xf numFmtId="0" fontId="13" fillId="0" borderId="11" xfId="0" applyFont="1" applyBorder="1" applyProtection="1">
      <protection locked="0"/>
    </xf>
    <xf numFmtId="0" fontId="2" fillId="0" borderId="8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4" fillId="0" borderId="0" xfId="0" applyFont="1"/>
    <xf numFmtId="0" fontId="0" fillId="0" borderId="0" xfId="0" applyFont="1"/>
    <xf numFmtId="0" fontId="0" fillId="0" borderId="0" xfId="0" applyBorder="1" applyProtection="1"/>
    <xf numFmtId="0" fontId="0" fillId="7" borderId="0" xfId="0" applyFill="1" applyBorder="1"/>
    <xf numFmtId="0" fontId="16" fillId="8" borderId="0" xfId="0" applyFont="1" applyFill="1"/>
    <xf numFmtId="0" fontId="0" fillId="7" borderId="0" xfId="0" applyFill="1"/>
    <xf numFmtId="0" fontId="0" fillId="6" borderId="16" xfId="0" applyFill="1" applyBorder="1" applyProtection="1">
      <protection locked="0"/>
    </xf>
    <xf numFmtId="0" fontId="1" fillId="9" borderId="0" xfId="0" applyFont="1" applyFill="1"/>
    <xf numFmtId="0" fontId="17" fillId="0" borderId="0" xfId="0" applyFont="1"/>
    <xf numFmtId="0" fontId="0" fillId="10" borderId="0" xfId="0" applyFill="1"/>
    <xf numFmtId="0" fontId="0" fillId="11" borderId="0" xfId="0" applyFill="1"/>
    <xf numFmtId="0" fontId="18" fillId="10" borderId="0" xfId="0" applyNumberFormat="1" applyFont="1" applyFill="1"/>
    <xf numFmtId="0" fontId="18" fillId="11" borderId="0" xfId="0" applyNumberFormat="1" applyFont="1" applyFill="1"/>
    <xf numFmtId="0" fontId="18" fillId="0" borderId="0" xfId="0" applyNumberFormat="1" applyFont="1"/>
    <xf numFmtId="49" fontId="0" fillId="0" borderId="0" xfId="0" applyNumberFormat="1" applyAlignment="1"/>
    <xf numFmtId="0" fontId="19" fillId="0" borderId="17" xfId="0" applyFont="1" applyBorder="1" applyAlignment="1">
      <alignment horizontal="left" vertical="center"/>
    </xf>
    <xf numFmtId="0" fontId="5" fillId="0" borderId="17" xfId="0" applyFont="1" applyBorder="1" applyAlignment="1">
      <alignment vertical="center"/>
    </xf>
    <xf numFmtId="0" fontId="21" fillId="14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Border="1" applyProtection="1">
      <protection locked="0"/>
    </xf>
    <xf numFmtId="49" fontId="3" fillId="14" borderId="0" xfId="0" applyNumberFormat="1" applyFont="1" applyFill="1" applyBorder="1" applyAlignment="1" applyProtection="1">
      <alignment vertical="center"/>
      <protection locked="0"/>
    </xf>
    <xf numFmtId="0" fontId="3" fillId="14" borderId="0" xfId="0" applyNumberFormat="1" applyFont="1" applyFill="1" applyBorder="1" applyAlignment="1" applyProtection="1">
      <alignment vertical="center"/>
      <protection locked="0"/>
    </xf>
    <xf numFmtId="49" fontId="0" fillId="0" borderId="0" xfId="0" applyNumberFormat="1"/>
    <xf numFmtId="14" fontId="3" fillId="14" borderId="0" xfId="0" applyNumberFormat="1" applyFont="1" applyFill="1" applyBorder="1" applyAlignment="1" applyProtection="1">
      <alignment vertical="center"/>
      <protection locked="0"/>
    </xf>
    <xf numFmtId="0" fontId="21" fillId="14" borderId="18" xfId="0" applyNumberFormat="1" applyFont="1" applyFill="1" applyBorder="1" applyAlignment="1" applyProtection="1">
      <alignment vertical="center"/>
      <protection locked="0"/>
    </xf>
    <xf numFmtId="0" fontId="0" fillId="0" borderId="19" xfId="0" applyBorder="1" applyAlignment="1" applyProtection="1">
      <protection locked="0"/>
    </xf>
    <xf numFmtId="49" fontId="0" fillId="0" borderId="19" xfId="0" applyNumberFormat="1" applyBorder="1" applyAlignment="1" applyProtection="1">
      <protection locked="0"/>
    </xf>
    <xf numFmtId="0" fontId="1" fillId="0" borderId="0" xfId="0" applyFont="1" applyAlignment="1">
      <alignment horizontal="center" wrapText="1"/>
    </xf>
    <xf numFmtId="0" fontId="11" fillId="5" borderId="13" xfId="0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 applyAlignment="1" applyProtection="1">
      <alignment horizontal="left" vertical="center"/>
      <protection locked="0"/>
    </xf>
    <xf numFmtId="0" fontId="11" fillId="5" borderId="15" xfId="0" applyFont="1" applyFill="1" applyBorder="1" applyAlignment="1" applyProtection="1">
      <alignment horizontal="left" vertical="center"/>
      <protection locked="0"/>
    </xf>
    <xf numFmtId="0" fontId="2" fillId="0" borderId="19" xfId="0" applyFont="1" applyBorder="1" applyAlignment="1" applyProtection="1">
      <alignment horizontal="left" vertical="center"/>
      <protection locked="0"/>
    </xf>
    <xf numFmtId="0" fontId="15" fillId="12" borderId="0" xfId="0" applyFont="1" applyFill="1" applyBorder="1" applyAlignment="1">
      <alignment horizontal="left" vertical="center" indent="12"/>
    </xf>
    <xf numFmtId="0" fontId="2" fillId="0" borderId="0" xfId="0" applyFont="1" applyBorder="1" applyAlignment="1" applyProtection="1">
      <alignment horizontal="left" vertical="center"/>
      <protection locked="0"/>
    </xf>
    <xf numFmtId="0" fontId="8" fillId="13" borderId="0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 indent="12"/>
    </xf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3D3D3"/>
      <color rgb="FF7E408F"/>
      <color rgb="FFFF00FF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723900</xdr:colOff>
      <xdr:row>17</xdr:row>
      <xdr:rowOff>104775</xdr:rowOff>
    </xdr:from>
    <xdr:to>
      <xdr:col>10</xdr:col>
      <xdr:colOff>369474</xdr:colOff>
      <xdr:row>19</xdr:row>
      <xdr:rowOff>31987</xdr:rowOff>
    </xdr:to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1748117</xdr:colOff>
      <xdr:row>6</xdr:row>
      <xdr:rowOff>67234</xdr:rowOff>
    </xdr:from>
    <xdr:to>
      <xdr:col>9</xdr:col>
      <xdr:colOff>11208</xdr:colOff>
      <xdr:row>7</xdr:row>
      <xdr:rowOff>324970</xdr:rowOff>
    </xdr:to>
    <xdr:grpSp>
      <xdr:nvGrpSpPr>
        <xdr:cNvPr id="1037" name="Group 3"/>
        <xdr:cNvGrpSpPr>
          <a:grpSpLocks/>
        </xdr:cNvGrpSpPr>
      </xdr:nvGrpSpPr>
      <xdr:grpSpPr bwMode="auto">
        <a:xfrm>
          <a:off x="10029264" y="313763"/>
          <a:ext cx="582709" cy="504266"/>
          <a:chOff x="1741" y="124"/>
          <a:chExt cx="105" cy="74"/>
        </a:xfrm>
      </xdr:grpSpPr>
      <xdr:pic>
        <xdr:nvPicPr>
          <xdr:cNvPr id="10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18</xdr:row>
          <xdr:rowOff>190500</xdr:rowOff>
        </xdr:from>
        <xdr:to>
          <xdr:col>8</xdr:col>
          <xdr:colOff>2085975</xdr:colOff>
          <xdr:row>20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Create Management unit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403412</xdr:colOff>
      <xdr:row>6</xdr:row>
      <xdr:rowOff>56028</xdr:rowOff>
    </xdr:from>
    <xdr:to>
      <xdr:col>4</xdr:col>
      <xdr:colOff>1277471</xdr:colOff>
      <xdr:row>7</xdr:row>
      <xdr:rowOff>287609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60"/>
        <a:stretch/>
      </xdr:blipFill>
      <xdr:spPr>
        <a:xfrm>
          <a:off x="403412" y="302557"/>
          <a:ext cx="1322294" cy="478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ext">
    <tabColor rgb="FFFF0000"/>
  </sheetPr>
  <dimension ref="A1:U251"/>
  <sheetViews>
    <sheetView topLeftCell="E1" zoomScale="70" zoomScaleNormal="70" workbookViewId="0">
      <selection activeCell="H252" sqref="H252"/>
    </sheetView>
  </sheetViews>
  <sheetFormatPr baseColWidth="10" defaultColWidth="9.140625" defaultRowHeight="15" x14ac:dyDescent="0.25"/>
  <cols>
    <col min="1" max="1" width="43.85546875" customWidth="1"/>
    <col min="2" max="2" width="29.42578125" customWidth="1"/>
    <col min="4" max="4" width="15.28515625" bestFit="1" customWidth="1"/>
    <col min="5" max="5" width="23.140625" customWidth="1"/>
    <col min="6" max="6" width="39.28515625" customWidth="1"/>
    <col min="7" max="7" width="6.5703125" customWidth="1"/>
    <col min="8" max="8" width="30.28515625" customWidth="1"/>
    <col min="9" max="9" width="12.28515625" customWidth="1"/>
    <col min="10" max="10" width="37.140625" customWidth="1"/>
    <col min="11" max="11" width="5.140625" customWidth="1"/>
    <col min="12" max="12" width="31.85546875" customWidth="1"/>
    <col min="13" max="13" width="4.28515625" customWidth="1"/>
    <col min="14" max="14" width="56.5703125" bestFit="1" customWidth="1"/>
    <col min="15" max="15" width="3" bestFit="1" customWidth="1"/>
    <col min="16" max="16" width="57.7109375" bestFit="1" customWidth="1"/>
    <col min="18" max="18" width="53.28515625" customWidth="1"/>
    <col min="20" max="20" width="5" bestFit="1" customWidth="1"/>
    <col min="21" max="21" width="57.7109375" bestFit="1" customWidth="1"/>
  </cols>
  <sheetData>
    <row r="1" spans="1:21" ht="18" x14ac:dyDescent="0.25">
      <c r="A1" s="24" t="s">
        <v>54</v>
      </c>
      <c r="B1" s="22"/>
      <c r="D1" s="8" t="s">
        <v>22</v>
      </c>
      <c r="E1" s="8" t="s">
        <v>25</v>
      </c>
      <c r="F1" s="59" t="s">
        <v>35</v>
      </c>
      <c r="G1" s="9">
        <f ca="1">COUNTA(H2:H250)-COUNTBLANK(H2:H250)</f>
        <v>223</v>
      </c>
      <c r="H1" s="8" t="s">
        <v>30</v>
      </c>
      <c r="I1" s="9">
        <f ca="1">COUNTA(J2:J200)-COUNTBLANK(J2:J200)</f>
        <v>0</v>
      </c>
      <c r="J1" s="8" t="s">
        <v>31</v>
      </c>
      <c r="K1" s="9">
        <f ca="1">COUNTA(L2:L200)-COUNTBLANK(L2:L200)</f>
        <v>50</v>
      </c>
      <c r="L1" s="8" t="s">
        <v>32</v>
      </c>
      <c r="M1" s="9">
        <f ca="1">COUNTA(N2:N200)-COUNTBLANK(N2:N200)</f>
        <v>7</v>
      </c>
      <c r="N1" s="8" t="s">
        <v>33</v>
      </c>
      <c r="O1" s="9">
        <f ca="1">COUNTA(P2:P200)-COUNTBLANK(P2:P200)</f>
        <v>10</v>
      </c>
      <c r="P1" s="8" t="s">
        <v>34</v>
      </c>
      <c r="R1" s="8" t="s">
        <v>100</v>
      </c>
      <c r="T1" s="9">
        <f ca="1">_xll.ELCOMPN(Server&amp;"Management_organization","VTD_CORP_BM")+1</f>
        <v>4</v>
      </c>
      <c r="U1" s="8" t="s">
        <v>119</v>
      </c>
    </row>
    <row r="2" spans="1:21" x14ac:dyDescent="0.25">
      <c r="A2" s="22"/>
      <c r="B2" s="22"/>
      <c r="D2" t="s">
        <v>2</v>
      </c>
      <c r="E2" t="s">
        <v>14</v>
      </c>
      <c r="F2" s="59"/>
      <c r="G2">
        <f>ROW()-1</f>
        <v>1</v>
      </c>
      <c r="H2" t="str">
        <f ca="1">_xll.SUBNM(Server&amp;"Management_Organization","CountryRegionList",G2)</f>
        <v>Zone France</v>
      </c>
      <c r="I2" s="20" t="str">
        <f ca="1">_xll.ELCOMP(Server&amp;"Legal_Organization",$F$17,G2)</f>
        <v/>
      </c>
      <c r="J2" t="str">
        <f ca="1">_xll.DBRA(Server&amp;"Legal_Organization",I2,LocalLanguage)</f>
        <v/>
      </c>
      <c r="L2" t="str">
        <f ca="1">_xll.SUBNM(Server&amp;"Activity","AllActivities",G2)</f>
        <v>UR_BU</v>
      </c>
      <c r="N2" t="str">
        <f ca="1">_xll.SUBNM(Server&amp;"Type_Client","AllTypeClient",G2)</f>
        <v>PTA</v>
      </c>
      <c r="P2" t="str">
        <f ca="1">_xll.SUBNM(Server&amp;"Economic_Model","AllEcoModel",G2)</f>
        <v>Eco_model_1</v>
      </c>
      <c r="Q2" t="str">
        <f ca="1">_xll.DIMNM(Server&amp;"z_Contract_Pending_Approval",$G2)</f>
        <v>INIT</v>
      </c>
      <c r="R2" t="str">
        <f ca="1">_xll.DBRW(Server&amp;Cube1,Q2,"Management_Unit_Name")</f>
        <v/>
      </c>
      <c r="S2" t="s">
        <v>101</v>
      </c>
      <c r="U2" t="str">
        <f>""</f>
        <v/>
      </c>
    </row>
    <row r="3" spans="1:21" ht="15.75" x14ac:dyDescent="0.25">
      <c r="A3" s="25" t="s">
        <v>40</v>
      </c>
      <c r="B3" s="22"/>
      <c r="D3" t="s">
        <v>23</v>
      </c>
      <c r="E3" t="s">
        <v>103</v>
      </c>
      <c r="F3">
        <f ca="1">_xll.DIMIX(Server&amp;"Legal_Organization",xRegionSelected)</f>
        <v>0</v>
      </c>
      <c r="G3">
        <f t="shared" ref="G3:G66" si="0">ROW()-1</f>
        <v>2</v>
      </c>
      <c r="H3" t="str">
        <f ca="1">_xll.SUBNM(Server&amp;"Management_Organization","CountryRegionList",G3)</f>
        <v>FR</v>
      </c>
      <c r="I3" s="20" t="str">
        <f ca="1">_xll.ELCOMP(Server&amp;"Legal_Organization",$F$17,G3)</f>
        <v/>
      </c>
      <c r="J3" t="str">
        <f ca="1">_xll.DBRA(Server&amp;"Legal_Organization",I3,LocalLanguage)</f>
        <v/>
      </c>
      <c r="L3" t="str">
        <f ca="1">_xll.SUBNM(Server&amp;"Activity","AllActivities",G3)</f>
        <v>UR_LR</v>
      </c>
      <c r="N3" t="str">
        <f ca="1">_xll.SUBNM(Server&amp;"Type_Client","AllTypeClient",G3)</f>
        <v>BtC</v>
      </c>
      <c r="P3" t="str">
        <f ca="1">_xll.SUBNM(Server&amp;"Economic_Model","AllEcoModel",G3)</f>
        <v>Eco_model_2</v>
      </c>
      <c r="Q3" t="str">
        <f ca="1">_xll.DIMNM(Server&amp;"z_Contract_Pending_Approval",$G3)</f>
        <v/>
      </c>
      <c r="R3" t="str">
        <f ca="1">_xll.DBRW(Server&amp;Cube1,Q3,"Management_Unit_Name")</f>
        <v/>
      </c>
      <c r="S3" t="s">
        <v>101</v>
      </c>
      <c r="U3" t="str">
        <f ca="1">_xll.ELCOMP(Server&amp;"Management_organization","VTD_CORP_BM",ROW()-ROW($U$2))</f>
        <v>BM01</v>
      </c>
    </row>
    <row r="4" spans="1:21" x14ac:dyDescent="0.25">
      <c r="A4" s="26" t="s">
        <v>29</v>
      </c>
      <c r="B4" s="27" t="s">
        <v>121</v>
      </c>
      <c r="D4" t="s">
        <v>24</v>
      </c>
      <c r="E4" t="s">
        <v>104</v>
      </c>
      <c r="G4">
        <f t="shared" si="0"/>
        <v>3</v>
      </c>
      <c r="H4" t="str">
        <f ca="1">_xll.SUBNM(Server&amp;"Management_Organization","CountryRegionList",G4)</f>
        <v>FR_Z_IDF</v>
      </c>
      <c r="I4" s="20" t="str">
        <f ca="1">_xll.ELCOMP(Server&amp;"Legal_Organization",$F$17,G4)</f>
        <v/>
      </c>
      <c r="J4" t="str">
        <f ca="1">_xll.DBRA(Server&amp;"Legal_Organization",I4,LocalLanguage)</f>
        <v/>
      </c>
      <c r="L4" t="str">
        <f ca="1">_xll.SUBNM(Server&amp;"Activity","AllActivities",G4)</f>
        <v>UR_M</v>
      </c>
      <c r="N4" t="str">
        <f ca="1">_xll.SUBNM(Server&amp;"Type_Client","AllTypeClient",G4)</f>
        <v>BtB</v>
      </c>
      <c r="P4" t="str">
        <f ca="1">_xll.SUBNM(Server&amp;"Economic_Model","AllEcoModel",G4)</f>
        <v>Eco_model_3</v>
      </c>
      <c r="Q4" t="str">
        <f ca="1">_xll.DIMNM(Server&amp;"z_Contract_Pending_Approval",$G4)</f>
        <v/>
      </c>
      <c r="R4" t="str">
        <f ca="1">_xll.DBRW(Server&amp;Cube1,Q4,"Management_Unit_Name")</f>
        <v/>
      </c>
      <c r="S4" t="s">
        <v>101</v>
      </c>
      <c r="U4" t="str">
        <f ca="1">_xll.ELCOMP(Server&amp;"Management_organization","VTD_CORP_BM",ROW()-ROW($U$2))</f>
        <v>BM02</v>
      </c>
    </row>
    <row r="5" spans="1:21" x14ac:dyDescent="0.25">
      <c r="A5" s="26" t="s">
        <v>41</v>
      </c>
      <c r="B5" s="28" t="str">
        <f>LEFT(Server,LEN(Server)-1)</f>
        <v>tango_core_model</v>
      </c>
      <c r="D5" t="s">
        <v>122</v>
      </c>
      <c r="E5" t="s">
        <v>26</v>
      </c>
      <c r="F5" s="59" t="s">
        <v>36</v>
      </c>
      <c r="G5">
        <f t="shared" si="0"/>
        <v>4</v>
      </c>
      <c r="H5" t="str">
        <f ca="1">_xll.SUBNM(Server&amp;"Management_Organization","CountryRegionList",G5)</f>
        <v>FR_Z_IDF_EST</v>
      </c>
      <c r="I5" s="20" t="str">
        <f ca="1">_xll.ELCOMP(Server&amp;"Legal_Organization",$F$17,G5)</f>
        <v/>
      </c>
      <c r="J5" t="str">
        <f ca="1">_xll.DBRA(Server&amp;"Legal_Organization",I5,LocalLanguage)</f>
        <v/>
      </c>
      <c r="L5" t="str">
        <f ca="1">_xll.SUBNM(Server&amp;"Activity","AllActivities",G5)</f>
        <v>UR_MM</v>
      </c>
      <c r="N5" t="str">
        <f ca="1">_xll.SUBNM(Server&amp;"Type_Client","AllTypeClient",G5)</f>
        <v>Airport</v>
      </c>
      <c r="P5" t="str">
        <f ca="1">_xll.SUBNM(Server&amp;"Economic_Model","AllEcoModel",G5)</f>
        <v>Eco_model_4</v>
      </c>
      <c r="Q5" t="str">
        <f ca="1">_xll.DIMNM(Server&amp;"z_Contract_Pending_Approval",$G5)</f>
        <v/>
      </c>
      <c r="R5" t="str">
        <f ca="1">_xll.DBRW(Server&amp;Cube1,Q5,"Management_Unit_Name")</f>
        <v/>
      </c>
      <c r="S5" t="s">
        <v>101</v>
      </c>
      <c r="U5" t="str">
        <f ca="1">_xll.ELCOMP(Server&amp;"Management_organization","VTD_CORP_BM",ROW()-ROW($U$2))</f>
        <v>BM03</v>
      </c>
    </row>
    <row r="6" spans="1:21" x14ac:dyDescent="0.25">
      <c r="A6" s="26" t="s">
        <v>42</v>
      </c>
      <c r="B6" s="28" t="s">
        <v>117</v>
      </c>
      <c r="F6" s="59"/>
      <c r="G6">
        <f t="shared" si="0"/>
        <v>5</v>
      </c>
      <c r="H6" t="str">
        <f ca="1">_xll.SUBNM(Server&amp;"Management_Organization","CountryRegionList",G6)</f>
        <v>FR_Z_IDF_NORD</v>
      </c>
      <c r="I6" s="20" t="str">
        <f ca="1">_xll.ELCOMP(Server&amp;"Legal_Organization",$F$17,G6)</f>
        <v/>
      </c>
      <c r="J6" t="str">
        <f ca="1">_xll.DBRA(Server&amp;"Legal_Organization",I6,LocalLanguage)</f>
        <v/>
      </c>
      <c r="L6" t="str">
        <f ca="1">_xll.SUBNM(Server&amp;"Activity","AllActivities",G6)</f>
        <v>UR_CY</v>
      </c>
      <c r="N6" t="str">
        <f ca="1">_xll.SUBNM(Server&amp;"Type_Client","AllTypeClient",G6)</f>
        <v>Intern</v>
      </c>
      <c r="P6" t="str">
        <f ca="1">_xll.SUBNM(Server&amp;"Economic_Model","AllEcoModel",G6)</f>
        <v>Eco_model_5</v>
      </c>
      <c r="Q6" t="str">
        <f ca="1">_xll.DIMNM(Server&amp;"z_Contract_Pending_Approval",$G6)</f>
        <v/>
      </c>
      <c r="R6" t="str">
        <f ca="1">_xll.DBRW(Server&amp;Cube1,Q6,"Management_Unit_Name")</f>
        <v/>
      </c>
      <c r="S6" t="s">
        <v>101</v>
      </c>
      <c r="U6" t="str">
        <f ca="1">_xll.ELCOMP(Server&amp;"Management_organization","VTD_CORP_BM",ROW()-ROW($U$2))</f>
        <v/>
      </c>
    </row>
    <row r="7" spans="1:21" x14ac:dyDescent="0.25">
      <c r="A7" s="26" t="s">
        <v>43</v>
      </c>
      <c r="B7" s="28">
        <v>0</v>
      </c>
      <c r="F7">
        <f ca="1">_xll.DIMIX(Server&amp;"Legal_Organization",_xll.ELPAR(Server&amp;"Management_Organization",xRegionSelected,1))</f>
        <v>0</v>
      </c>
      <c r="G7">
        <f t="shared" si="0"/>
        <v>6</v>
      </c>
      <c r="H7" t="str">
        <f ca="1">_xll.SUBNM(Server&amp;"Management_Organization","CountryRegionList",G7)</f>
        <v>FR_Z_IDF_OUEST</v>
      </c>
      <c r="I7" s="20" t="str">
        <f ca="1">_xll.ELCOMP(Server&amp;"Legal_Organization",$F$17,G7)</f>
        <v/>
      </c>
      <c r="J7" t="str">
        <f ca="1">_xll.DBRA(Server&amp;"Legal_Organization",I7,LocalLanguage)</f>
        <v/>
      </c>
      <c r="L7" t="str">
        <f ca="1">_xll.SUBNM(Server&amp;"Activity","AllActivities",G7)</f>
        <v>UR_CA</v>
      </c>
      <c r="N7" t="str">
        <f ca="1">_xll.SUBNM(Server&amp;"Type_Client","AllTypeClient",G7)</f>
        <v>NA</v>
      </c>
      <c r="P7" t="str">
        <f ca="1">_xll.SUBNM(Server&amp;"Economic_Model","AllEcoModel",G7)</f>
        <v>Eco_model_6</v>
      </c>
      <c r="Q7" t="str">
        <f ca="1">_xll.DIMNM(Server&amp;"z_Contract_Pending_Approval",$G7)</f>
        <v/>
      </c>
      <c r="R7" t="str">
        <f ca="1">_xll.DBRW(Server&amp;Cube1,Q7,"Management_Unit_Name")</f>
        <v/>
      </c>
      <c r="S7" t="s">
        <v>101</v>
      </c>
      <c r="U7" t="str">
        <f ca="1">_xll.ELCOMP(Server&amp;"Management_organization","VTD_CORP_BM",ROW()-ROW($U$2))</f>
        <v/>
      </c>
    </row>
    <row r="8" spans="1:21" x14ac:dyDescent="0.25">
      <c r="A8" s="26" t="s">
        <v>44</v>
      </c>
      <c r="B8" s="28">
        <v>0</v>
      </c>
      <c r="G8">
        <f t="shared" si="0"/>
        <v>7</v>
      </c>
      <c r="H8" t="str">
        <f ca="1">_xll.SUBNM(Server&amp;"Management_Organization","CountryRegionList",G8)</f>
        <v>FR_Z_IDF_SUD</v>
      </c>
      <c r="I8" s="20" t="str">
        <f ca="1">_xll.ELCOMP(Server&amp;"Legal_Organization",$F$17,G8)</f>
        <v/>
      </c>
      <c r="J8" t="str">
        <f ca="1">_xll.DBRA(Server&amp;"Legal_Organization",I8,LocalLanguage)</f>
        <v/>
      </c>
      <c r="L8" t="str">
        <f ca="1">_xll.SUBNM(Server&amp;"Activity","AllActivities",G8)</f>
        <v>UR_BO</v>
      </c>
      <c r="N8" t="str">
        <f ca="1">_xll.SUBNM(Server&amp;"Type_Client","AllTypeClient",G8)</f>
        <v>Reject_Data</v>
      </c>
      <c r="P8" t="str">
        <f ca="1">_xll.SUBNM(Server&amp;"Economic_Model","AllEcoModel",G8)</f>
        <v>Eco_model_7</v>
      </c>
      <c r="Q8" t="str">
        <f ca="1">_xll.DIMNM(Server&amp;"z_Contract_Pending_Approval",$G8)</f>
        <v/>
      </c>
      <c r="R8" t="str">
        <f ca="1">_xll.DBRW(Server&amp;Cube1,Q8,"Management_Unit_Name")</f>
        <v/>
      </c>
      <c r="S8" t="s">
        <v>101</v>
      </c>
      <c r="U8" t="str">
        <f ca="1">_xll.ELCOMP(Server&amp;"Management_organization","VTD_CORP_BM",ROW()-ROW($U$2))</f>
        <v/>
      </c>
    </row>
    <row r="9" spans="1:21" ht="15" customHeight="1" x14ac:dyDescent="0.25">
      <c r="A9" s="23"/>
      <c r="B9" s="23"/>
      <c r="F9" s="59" t="s">
        <v>37</v>
      </c>
      <c r="G9">
        <f t="shared" si="0"/>
        <v>8</v>
      </c>
      <c r="H9" t="str">
        <f ca="1">_xll.SUBNM(Server&amp;"Management_Organization","CountryRegionList",G9)</f>
        <v>FR_Z_IDF_TAS</v>
      </c>
      <c r="I9" s="20" t="str">
        <f ca="1">_xll.ELCOMP(Server&amp;"Legal_Organization",$F$17,G9)</f>
        <v/>
      </c>
      <c r="J9" t="str">
        <f ca="1">_xll.DBRA(Server&amp;"Legal_Organization",I9,LocalLanguage)</f>
        <v/>
      </c>
      <c r="L9" t="str">
        <f ca="1">_xll.SUBNM(Server&amp;"Activity","AllActivities",G9)</f>
        <v>UR_input</v>
      </c>
      <c r="N9" t="str">
        <f ca="1">_xll.SUBNM(Server&amp;"Type_Client","AllTypeClient",G9)</f>
        <v/>
      </c>
      <c r="P9" t="str">
        <f ca="1">_xll.SUBNM(Server&amp;"Economic_Model","AllEcoModel",G9)</f>
        <v>Eco_model_8</v>
      </c>
      <c r="Q9" t="str">
        <f ca="1">_xll.DIMNM(Server&amp;"z_Contract_Pending_Approval",$G9)</f>
        <v/>
      </c>
      <c r="R9" t="str">
        <f ca="1">_xll.DBRW(Server&amp;Cube1,Q9,"Management_Unit_Name")</f>
        <v/>
      </c>
      <c r="S9" t="s">
        <v>101</v>
      </c>
      <c r="U9" t="str">
        <f ca="1">_xll.ELCOMP(Server&amp;"Management_organization","VTD_CORP_BM",ROW()-ROW($U$2))</f>
        <v/>
      </c>
    </row>
    <row r="10" spans="1:21" ht="15.75" x14ac:dyDescent="0.25">
      <c r="A10" s="25" t="s">
        <v>45</v>
      </c>
      <c r="B10" s="23"/>
      <c r="F10" s="59"/>
      <c r="G10">
        <f t="shared" si="0"/>
        <v>9</v>
      </c>
      <c r="H10" t="str">
        <f ca="1">_xll.SUBNM(Server&amp;"Management_Organization","CountryRegionList",G10)</f>
        <v>FR_VEA</v>
      </c>
      <c r="I10" s="20" t="str">
        <f ca="1">_xll.ELCOMP(Server&amp;"Legal_Organization",$F$17,G10)</f>
        <v/>
      </c>
      <c r="J10" t="str">
        <f ca="1">_xll.DBRA(Server&amp;"Legal_Organization",I10,LocalLanguage)</f>
        <v/>
      </c>
      <c r="L10" t="str">
        <f ca="1">_xll.SUBNM(Server&amp;"Activity","AllActivities",G10)</f>
        <v>SU_B</v>
      </c>
      <c r="N10" t="str">
        <f ca="1">_xll.SUBNM(Server&amp;"Type_Client","AllTypeClient",G10)</f>
        <v/>
      </c>
      <c r="P10" t="str">
        <f ca="1">_xll.SUBNM(Server&amp;"Economic_Model","AllEcoModel",G10)</f>
        <v>NA</v>
      </c>
      <c r="Q10" t="str">
        <f ca="1">_xll.DIMNM(Server&amp;"z_Contract_Pending_Approval",$G10)</f>
        <v/>
      </c>
      <c r="R10" t="str">
        <f ca="1">_xll.DBRW(Server&amp;Cube1,Q10,"Management_Unit_Name")</f>
        <v/>
      </c>
      <c r="S10" t="s">
        <v>101</v>
      </c>
      <c r="U10" t="str">
        <f ca="1">_xll.ELCOMP(Server&amp;"Management_organization","VTD_CORP_BM",ROW()-ROW($U$2))</f>
        <v/>
      </c>
    </row>
    <row r="11" spans="1:21" x14ac:dyDescent="0.25">
      <c r="A11" s="26" t="s">
        <v>46</v>
      </c>
      <c r="B11" s="28" t="s">
        <v>55</v>
      </c>
      <c r="F11">
        <f ca="1">_xll.DIMIX(Server&amp;"Legal_Organization",_xll.ELPAR(Server&amp;"Management_Organization",_xll.ELPAR(Server&amp;"Management_Organization",xRegionSelected,1),1))</f>
        <v>0</v>
      </c>
      <c r="G11">
        <f t="shared" si="0"/>
        <v>10</v>
      </c>
      <c r="H11" t="str">
        <f ca="1">_xll.SUBNM(Server&amp;"Management_Organization","CountryRegionList",G11)</f>
        <v>FR_Z_NORD</v>
      </c>
      <c r="I11" s="20" t="str">
        <f ca="1">_xll.ELCOMP(Server&amp;"Legal_Organization",$F$17,G11)</f>
        <v/>
      </c>
      <c r="J11" t="str">
        <f ca="1">_xll.DBRA(Server&amp;"Legal_Organization",I11,LocalLanguage)</f>
        <v/>
      </c>
      <c r="L11" t="str">
        <f ca="1">_xll.SUBNM(Server&amp;"Activity","AllActivities",G11)</f>
        <v>SU_H</v>
      </c>
      <c r="N11" t="str">
        <f ca="1">_xll.SUBNM(Server&amp;"Type_Client","AllTypeClient",G11)</f>
        <v/>
      </c>
      <c r="P11" t="str">
        <f ca="1">_xll.SUBNM(Server&amp;"Economic_Model","AllEcoModel",G11)</f>
        <v>Reject_Data</v>
      </c>
      <c r="Q11" t="str">
        <f ca="1">_xll.DIMNM(Server&amp;"z_Contract_Pending_Approval",$G11)</f>
        <v/>
      </c>
      <c r="R11" t="str">
        <f ca="1">_xll.DBRW(Server&amp;Cube1,Q11,"Management_Unit_Name")</f>
        <v/>
      </c>
      <c r="S11" t="s">
        <v>101</v>
      </c>
      <c r="U11" t="str">
        <f ca="1">_xll.ELCOMP(Server&amp;"Management_organization","VTD_CORP_BM",ROW()-ROW($U$2))</f>
        <v/>
      </c>
    </row>
    <row r="12" spans="1:21" x14ac:dyDescent="0.25">
      <c r="A12" s="26" t="s">
        <v>47</v>
      </c>
      <c r="B12" s="28" t="s">
        <v>56</v>
      </c>
      <c r="G12">
        <f t="shared" si="0"/>
        <v>11</v>
      </c>
      <c r="H12" t="str">
        <f ca="1">_xll.SUBNM(Server&amp;"Management_Organization","CountryRegionList",G12)</f>
        <v>FR_Z_NORD_BC</v>
      </c>
      <c r="I12" s="20" t="str">
        <f ca="1">_xll.ELCOMP(Server&amp;"Legal_Organization",$F$17,G12)</f>
        <v/>
      </c>
      <c r="J12" t="str">
        <f ca="1">_xll.DBRA(Server&amp;"Legal_Organization",I12,LocalLanguage)</f>
        <v/>
      </c>
      <c r="L12" t="str">
        <f ca="1">_xll.SUBNM(Server&amp;"Activity","AllActivities",G12)</f>
        <v>SU_MM</v>
      </c>
      <c r="N12" t="str">
        <f ca="1">_xll.SUBNM(Server&amp;"Type_Client","AllTypeClient",G12)</f>
        <v/>
      </c>
      <c r="P12" t="str">
        <f ca="1">_xll.SUBNM(Server&amp;"Economic_Model","AllEcoModel",G12)</f>
        <v/>
      </c>
      <c r="Q12" t="str">
        <f ca="1">_xll.DIMNM(Server&amp;"z_Contract_Pending_Approval",$G12)</f>
        <v/>
      </c>
      <c r="R12" t="str">
        <f ca="1">_xll.DBRW(Server&amp;Cube1,Q12,"Management_Unit_Name")</f>
        <v/>
      </c>
      <c r="S12" t="s">
        <v>101</v>
      </c>
      <c r="U12" t="str">
        <f ca="1">_xll.ELCOMP(Server&amp;"Management_organization","VTD_CORP_BM",ROW()-ROW($U$2))</f>
        <v/>
      </c>
    </row>
    <row r="13" spans="1:21" x14ac:dyDescent="0.25">
      <c r="A13" s="26" t="s">
        <v>27</v>
      </c>
      <c r="B13" s="28" t="str">
        <f ca="1">_xll.TM1USER(xServer)</f>
        <v>rozenn.decrevecoeur</v>
      </c>
      <c r="F13" s="2" t="s">
        <v>38</v>
      </c>
      <c r="G13">
        <f t="shared" si="0"/>
        <v>12</v>
      </c>
      <c r="H13" t="str">
        <f ca="1">_xll.SUBNM(Server&amp;"Management_Organization","CountryRegionList",G13)</f>
        <v>FR_Z_NORD_BPL</v>
      </c>
      <c r="I13" s="20" t="str">
        <f ca="1">_xll.ELCOMP(Server&amp;"Legal_Organization",$F$17,G13)</f>
        <v/>
      </c>
      <c r="J13" t="str">
        <f ca="1">_xll.DBRA(Server&amp;"Legal_Organization",I13,LocalLanguage)</f>
        <v/>
      </c>
      <c r="L13" t="str">
        <f ca="1">_xll.SUBNM(Server&amp;"Activity","AllActivities",G13)</f>
        <v>SU_input</v>
      </c>
      <c r="N13" t="str">
        <f ca="1">_xll.SUBNM(Server&amp;"Type_Client","AllTypeClient",G13)</f>
        <v/>
      </c>
      <c r="P13" t="str">
        <f ca="1">_xll.SUBNM(Server&amp;"Economic_Model","AllEcoModel",G13)</f>
        <v/>
      </c>
      <c r="Q13" t="str">
        <f ca="1">_xll.DIMNM(Server&amp;"z_Contract_Pending_Approval",$G13)</f>
        <v/>
      </c>
      <c r="R13" t="str">
        <f ca="1">_xll.DBRW(Server&amp;Cube1,Q13,"Management_Unit_Name")</f>
        <v/>
      </c>
      <c r="S13" t="s">
        <v>101</v>
      </c>
      <c r="U13" t="str">
        <f ca="1">_xll.ELCOMP(Server&amp;"Management_organization","VTD_CORP_BM",ROW()-ROW($U$2))</f>
        <v/>
      </c>
    </row>
    <row r="14" spans="1:21" x14ac:dyDescent="0.25">
      <c r="A14" s="26" t="s">
        <v>28</v>
      </c>
      <c r="B14" s="28" t="str">
        <f ca="1">_xll.DBRW(Server&amp;"z_Client_Properties","Default_Legal_Organization",xTM1User)</f>
        <v>VTD_corp</v>
      </c>
      <c r="F14">
        <f ca="1">IF(F3=0,IF(F7=0,F11,F7),F3)</f>
        <v>0</v>
      </c>
      <c r="G14">
        <f t="shared" si="0"/>
        <v>13</v>
      </c>
      <c r="H14" t="str">
        <f ca="1">_xll.SUBNM(Server&amp;"Management_Organization","CountryRegionList",G14)</f>
        <v>FR_Z_NORD_CPC</v>
      </c>
      <c r="I14" s="20" t="str">
        <f ca="1">_xll.ELCOMP(Server&amp;"Legal_Organization",$F$17,G14)</f>
        <v/>
      </c>
      <c r="J14" t="str">
        <f ca="1">_xll.DBRA(Server&amp;"Legal_Organization",I14,LocalLanguage)</f>
        <v/>
      </c>
      <c r="L14" t="str">
        <f ca="1">_xll.SUBNM(Server&amp;"Activity","AllActivities",G14)</f>
        <v>SD_PA</v>
      </c>
      <c r="N14" t="str">
        <f ca="1">_xll.SUBNM(Server&amp;"Type_Client","AllTypeClient",G14)</f>
        <v/>
      </c>
      <c r="P14" t="str">
        <f ca="1">_xll.SUBNM(Server&amp;"Economic_Model","AllEcoModel",G14)</f>
        <v/>
      </c>
      <c r="Q14" t="str">
        <f ca="1">_xll.DIMNM(Server&amp;"z_Contract_Pending_Approval",$G14)</f>
        <v/>
      </c>
      <c r="R14" t="str">
        <f ca="1">_xll.DBRW(Server&amp;Cube1,Q14,"Management_Unit_Name")</f>
        <v/>
      </c>
      <c r="S14" t="s">
        <v>101</v>
      </c>
      <c r="U14" t="str">
        <f ca="1">_xll.ELCOMP(Server&amp;"Management_organization","VTD_CORP_BM",ROW()-ROW($U$2))</f>
        <v/>
      </c>
    </row>
    <row r="15" spans="1:21" x14ac:dyDescent="0.25">
      <c r="A15" s="26" t="s">
        <v>57</v>
      </c>
      <c r="B15" s="29" t="str">
        <f ca="1">_xll.DBR(Server&amp;"z_Client_Properties","Language",xTM1User)</f>
        <v>English</v>
      </c>
      <c r="G15">
        <f t="shared" si="0"/>
        <v>14</v>
      </c>
      <c r="H15" t="str">
        <f ca="1">_xll.SUBNM(Server&amp;"Management_Organization","CountryRegionList",G15)</f>
        <v>FR_Z_NORD_NORM</v>
      </c>
      <c r="I15" s="20" t="str">
        <f ca="1">_xll.ELCOMP(Server&amp;"Legal_Organization",$F$17,G15)</f>
        <v/>
      </c>
      <c r="J15" t="str">
        <f ca="1">_xll.DBRA(Server&amp;"Legal_Organization",I15,LocalLanguage)</f>
        <v/>
      </c>
      <c r="L15" t="str">
        <f ca="1">_xll.SUBNM(Server&amp;"Activity","AllActivities",G15)</f>
        <v>SD_MM</v>
      </c>
      <c r="N15" t="str">
        <f ca="1">_xll.SUBNM(Server&amp;"Type_Client","AllTypeClient",G15)</f>
        <v/>
      </c>
      <c r="P15" t="str">
        <f ca="1">_xll.SUBNM(Server&amp;"Economic_Model","AllEcoModel",G15)</f>
        <v/>
      </c>
      <c r="Q15" t="str">
        <f ca="1">_xll.DIMNM(Server&amp;"z_Contract_Pending_Approval",$G15)</f>
        <v/>
      </c>
      <c r="R15" t="str">
        <f ca="1">_xll.DBRW(Server&amp;Cube1,Q15,"Management_Unit_Name")</f>
        <v/>
      </c>
      <c r="S15" t="s">
        <v>101</v>
      </c>
      <c r="U15" t="str">
        <f ca="1">_xll.ELCOMP(Server&amp;"Management_organization","VTD_CORP_BM",ROW()-ROW($U$2))</f>
        <v/>
      </c>
    </row>
    <row r="16" spans="1:21" x14ac:dyDescent="0.25">
      <c r="A16" s="60" t="s">
        <v>48</v>
      </c>
      <c r="B16" s="30" t="s">
        <v>49</v>
      </c>
      <c r="F16" s="2" t="s">
        <v>39</v>
      </c>
      <c r="G16">
        <f t="shared" si="0"/>
        <v>15</v>
      </c>
      <c r="H16" t="str">
        <f ca="1">_xll.SUBNM(Server&amp;"Management_Organization","CountryRegionList",G16)</f>
        <v>FR_Z_NORD_PNPC</v>
      </c>
      <c r="I16" s="20" t="str">
        <f ca="1">_xll.ELCOMP(Server&amp;"Legal_Organization",$F$17,G16)</f>
        <v/>
      </c>
      <c r="J16" t="str">
        <f ca="1">_xll.DBRA(Server&amp;"Legal_Organization",I16,LocalLanguage)</f>
        <v/>
      </c>
      <c r="L16" t="str">
        <f ca="1">_xll.SUBNM(Server&amp;"Activity","AllActivities",G16)</f>
        <v>SO_input</v>
      </c>
      <c r="N16" t="str">
        <f ca="1">_xll.SUBNM(Server&amp;"Type_Client","AllTypeClient",G16)</f>
        <v/>
      </c>
      <c r="P16" t="str">
        <f ca="1">_xll.SUBNM(Server&amp;"Economic_Model","AllEcoModel",G16)</f>
        <v/>
      </c>
      <c r="Q16" t="str">
        <f ca="1">_xll.DIMNM(Server&amp;"z_Contract_Pending_Approval",$G16)</f>
        <v/>
      </c>
      <c r="R16" t="str">
        <f ca="1">_xll.DBRW(Server&amp;Cube1,Q16,"Management_Unit_Name")</f>
        <v/>
      </c>
      <c r="S16" t="s">
        <v>101</v>
      </c>
      <c r="U16" t="str">
        <f ca="1">_xll.ELCOMP(Server&amp;"Management_organization","VTD_CORP_BM",ROW()-ROW($U$2))</f>
        <v/>
      </c>
    </row>
    <row r="17" spans="1:21" x14ac:dyDescent="0.25">
      <c r="A17" s="61"/>
      <c r="B17" s="30" t="s">
        <v>50</v>
      </c>
      <c r="F17" t="str">
        <f ca="1">_xll.DIMNM(Server&amp;"Legal_Organization",F14)</f>
        <v/>
      </c>
      <c r="G17">
        <f t="shared" si="0"/>
        <v>16</v>
      </c>
      <c r="H17" t="str">
        <f ca="1">_xll.SUBNM(Server&amp;"Management_Organization","CountryRegionList",G17)</f>
        <v>FR_Z_NORD_URB</v>
      </c>
      <c r="I17" s="20" t="str">
        <f ca="1">_xll.ELCOMP(Server&amp;"Legal_Organization",$F$17,G17)</f>
        <v/>
      </c>
      <c r="J17" t="str">
        <f ca="1">_xll.DBRA(Server&amp;"Legal_Organization",I17,LocalLanguage)</f>
        <v/>
      </c>
      <c r="L17" t="str">
        <f ca="1">_xll.SUBNM(Server&amp;"Activity","AllActivities",G17)</f>
        <v>RC_S</v>
      </c>
      <c r="N17" t="str">
        <f ca="1">_xll.SUBNM(Server&amp;"Type_Client","AllTypeClient",G17)</f>
        <v/>
      </c>
      <c r="P17" t="str">
        <f ca="1">_xll.SUBNM(Server&amp;"Economic_Model","AllEcoModel",G17)</f>
        <v/>
      </c>
      <c r="Q17" t="str">
        <f ca="1">_xll.DIMNM(Server&amp;"z_Contract_Pending_Approval",$G17)</f>
        <v/>
      </c>
      <c r="R17" t="str">
        <f ca="1">_xll.DBRW(Server&amp;Cube1,Q17,"Management_Unit_Name")</f>
        <v/>
      </c>
      <c r="S17" t="s">
        <v>101</v>
      </c>
      <c r="U17" t="str">
        <f ca="1">_xll.ELCOMP(Server&amp;"Management_organization","VTD_CORP_BM",ROW()-ROW($U$2))</f>
        <v/>
      </c>
    </row>
    <row r="18" spans="1:21" x14ac:dyDescent="0.25">
      <c r="A18" s="61"/>
      <c r="B18" s="30" t="s">
        <v>51</v>
      </c>
      <c r="G18">
        <f t="shared" si="0"/>
        <v>17</v>
      </c>
      <c r="H18" t="str">
        <f ca="1">_xll.SUBNM(Server&amp;"Management_Organization","CountryRegionList",G18)</f>
        <v>FR_Z_NORD_AERO</v>
      </c>
      <c r="I18" s="20" t="str">
        <f ca="1">_xll.ELCOMP(Server&amp;"Legal_Organization",$F$17,G18)</f>
        <v/>
      </c>
      <c r="J18" t="str">
        <f ca="1">_xll.DBRA(Server&amp;"Legal_Organization",I18,LocalLanguage)</f>
        <v/>
      </c>
      <c r="L18" t="str">
        <f ca="1">_xll.SUBNM(Server&amp;"Activity","AllActivities",G18)</f>
        <v>RC_RL</v>
      </c>
      <c r="N18" t="str">
        <f ca="1">_xll.SUBNM(Server&amp;"Type_Client","AllTypeClient",G18)</f>
        <v/>
      </c>
      <c r="P18" t="str">
        <f ca="1">_xll.SUBNM(Server&amp;"Economic_Model","AllEcoModel",G18)</f>
        <v/>
      </c>
      <c r="Q18" t="str">
        <f ca="1">_xll.DIMNM(Server&amp;"z_Contract_Pending_Approval",$G18)</f>
        <v/>
      </c>
      <c r="R18" t="str">
        <f ca="1">_xll.DBRW(Server&amp;Cube1,Q18,"Management_Unit_Name")</f>
        <v/>
      </c>
      <c r="S18" t="s">
        <v>101</v>
      </c>
      <c r="U18" t="str">
        <f ca="1">_xll.ELCOMP(Server&amp;"Management_organization","VTD_CORP_BM",ROW()-ROW($U$2))</f>
        <v/>
      </c>
    </row>
    <row r="19" spans="1:21" x14ac:dyDescent="0.25">
      <c r="A19" s="61"/>
      <c r="B19" s="30" t="s">
        <v>52</v>
      </c>
      <c r="F19" s="2" t="s">
        <v>115</v>
      </c>
      <c r="G19">
        <f t="shared" si="0"/>
        <v>18</v>
      </c>
      <c r="H19" t="str">
        <f ca="1">_xll.SUBNM(Server&amp;"Management_Organization","CountryRegionList",G19)</f>
        <v>FR_Z_NORD_GE</v>
      </c>
      <c r="I19" s="20" t="str">
        <f ca="1">_xll.ELCOMP(Server&amp;"Legal_Organization",$F$17,G19)</f>
        <v/>
      </c>
      <c r="J19" t="str">
        <f ca="1">_xll.DBRA(Server&amp;"Legal_Organization",I19,LocalLanguage)</f>
        <v/>
      </c>
      <c r="L19" t="str">
        <f ca="1">_xll.SUBNM(Server&amp;"Activity","AllActivities",G19)</f>
        <v>RC_CH</v>
      </c>
      <c r="N19" t="str">
        <f ca="1">_xll.SUBNM(Server&amp;"Type_Client","AllTypeClient",G19)</f>
        <v/>
      </c>
      <c r="P19" t="str">
        <f ca="1">_xll.SUBNM(Server&amp;"Economic_Model","AllEcoModel",G19)</f>
        <v/>
      </c>
      <c r="Q19" t="str">
        <f ca="1">_xll.DIMNM(Server&amp;"z_Contract_Pending_Approval",$G19)</f>
        <v/>
      </c>
      <c r="R19" t="str">
        <f ca="1">_xll.DBRW(Server&amp;Cube1,Q19,"Management_Unit_Name")</f>
        <v/>
      </c>
      <c r="S19" t="s">
        <v>101</v>
      </c>
      <c r="U19" t="str">
        <f ca="1">_xll.ELCOMP(Server&amp;"Management_organization","VTD_CORP_BM",ROW()-ROW($U$2))</f>
        <v/>
      </c>
    </row>
    <row r="20" spans="1:21" x14ac:dyDescent="0.25">
      <c r="A20" s="62"/>
      <c r="B20" s="30" t="s">
        <v>53</v>
      </c>
      <c r="F20" t="str">
        <f ca="1">_xll.ELPAR(Server&amp;"Management_Organization",xRegionSelected,1)</f>
        <v/>
      </c>
      <c r="G20">
        <f t="shared" si="0"/>
        <v>19</v>
      </c>
      <c r="H20" t="str">
        <f ca="1">_xll.SUBNM(Server&amp;"Management_Organization","CountryRegionList",G20)</f>
        <v>FR_Z_SUD</v>
      </c>
      <c r="I20" s="20" t="str">
        <f ca="1">_xll.ELCOMP(Server&amp;"Legal_Organization",$F$17,G20)</f>
        <v/>
      </c>
      <c r="J20" t="str">
        <f ca="1">_xll.DBRA(Server&amp;"Legal_Organization",I20,LocalLanguage)</f>
        <v/>
      </c>
      <c r="L20" t="str">
        <f ca="1">_xll.SUBNM(Server&amp;"Activity","AllActivities",G20)</f>
        <v>RC_SC</v>
      </c>
      <c r="N20" t="str">
        <f ca="1">_xll.SUBNM(Server&amp;"Type_Client","AllTypeClient",G20)</f>
        <v/>
      </c>
      <c r="P20" t="str">
        <f ca="1">_xll.SUBNM(Server&amp;"Economic_Model","AllEcoModel",G20)</f>
        <v/>
      </c>
      <c r="Q20" t="str">
        <f ca="1">_xll.DIMNM(Server&amp;"z_Contract_Pending_Approval",$G20)</f>
        <v/>
      </c>
      <c r="R20" t="str">
        <f ca="1">_xll.DBRW(Server&amp;Cube1,Q20,"Management_Unit_Name")</f>
        <v/>
      </c>
      <c r="S20" t="s">
        <v>101</v>
      </c>
    </row>
    <row r="21" spans="1:21" x14ac:dyDescent="0.25">
      <c r="G21">
        <f t="shared" si="0"/>
        <v>20</v>
      </c>
      <c r="H21" t="str">
        <f ca="1">_xll.SUBNM(Server&amp;"Management_Organization","CountryRegionList",G21)</f>
        <v>FR_Z_SUD_AQ_LIM</v>
      </c>
      <c r="I21" s="20" t="str">
        <f ca="1">_xll.ELCOMP(Server&amp;"Legal_Organization",$F$17,G21)</f>
        <v/>
      </c>
      <c r="J21" t="str">
        <f ca="1">_xll.DBRA(Server&amp;"Legal_Organization",I21,LocalLanguage)</f>
        <v/>
      </c>
      <c r="L21" t="str">
        <f ca="1">_xll.SUBNM(Server&amp;"Activity","AllActivities",G21)</f>
        <v>RC_SHC</v>
      </c>
      <c r="N21" t="str">
        <f ca="1">_xll.SUBNM(Server&amp;"Type_Client","AllTypeClient",G21)</f>
        <v/>
      </c>
      <c r="P21" t="str">
        <f ca="1">_xll.SUBNM(Server&amp;"Economic_Model","AllEcoModel",G21)</f>
        <v/>
      </c>
      <c r="Q21" t="str">
        <f ca="1">_xll.DIMNM(Server&amp;"z_Contract_Pending_Approval",$G21)</f>
        <v/>
      </c>
      <c r="R21" t="str">
        <f ca="1">_xll.DBRW(Server&amp;Cube1,Q21,"Management_Unit_Name")</f>
        <v/>
      </c>
      <c r="S21" t="s">
        <v>101</v>
      </c>
    </row>
    <row r="22" spans="1:21" x14ac:dyDescent="0.25">
      <c r="F22" s="2" t="s">
        <v>116</v>
      </c>
      <c r="G22">
        <f t="shared" si="0"/>
        <v>21</v>
      </c>
      <c r="H22" t="str">
        <f ca="1">_xll.SUBNM(Server&amp;"Management_Organization","CountryRegionList",G22)</f>
        <v>FR_Z_SUD_MP_LR</v>
      </c>
      <c r="I22" s="20" t="str">
        <f ca="1">_xll.ELCOMP(Server&amp;"Legal_Organization",$F$17,G22)</f>
        <v/>
      </c>
      <c r="J22" t="str">
        <f ca="1">_xll.DBRA(Server&amp;"Legal_Organization",I22,LocalLanguage)</f>
        <v/>
      </c>
      <c r="L22" t="str">
        <f ca="1">_xll.SUBNM(Server&amp;"Activity","AllActivities",G22)</f>
        <v>RC_input</v>
      </c>
      <c r="N22" t="str">
        <f ca="1">_xll.SUBNM(Server&amp;"Type_Client","AllTypeClient",G22)</f>
        <v/>
      </c>
      <c r="P22" t="str">
        <f ca="1">_xll.SUBNM(Server&amp;"Economic_Model","AllEcoModel",G22)</f>
        <v/>
      </c>
      <c r="Q22" t="str">
        <f ca="1">_xll.DIMNM(Server&amp;"z_Contract_Pending_Approval",$G22)</f>
        <v/>
      </c>
      <c r="R22" t="str">
        <f ca="1">_xll.DBRW(Server&amp;Cube1,Q22,"Management_Unit_Name")</f>
        <v/>
      </c>
      <c r="S22" t="s">
        <v>101</v>
      </c>
    </row>
    <row r="23" spans="1:21" x14ac:dyDescent="0.25">
      <c r="F23" t="str">
        <f ca="1">_xll.ELPAR(Server&amp;"Management_Organization",xParent,1)</f>
        <v/>
      </c>
      <c r="G23">
        <f t="shared" si="0"/>
        <v>22</v>
      </c>
      <c r="H23" t="str">
        <f ca="1">_xll.SUBNM(Server&amp;"Management_Organization","CountryRegionList",G23)</f>
        <v>FR_Z_SUD_AZ_COR</v>
      </c>
      <c r="I23" s="20" t="str">
        <f ca="1">_xll.ELCOMP(Server&amp;"Legal_Organization",$F$17,G23)</f>
        <v/>
      </c>
      <c r="J23" t="str">
        <f ca="1">_xll.DBRA(Server&amp;"Legal_Organization",I23,LocalLanguage)</f>
        <v/>
      </c>
      <c r="L23" t="str">
        <f ca="1">_xll.SUBNM(Server&amp;"Activity","AllActivities",G23)</f>
        <v>RH</v>
      </c>
      <c r="N23" t="str">
        <f ca="1">_xll.SUBNM(Server&amp;"Type_Client","AllTypeClient",G23)</f>
        <v/>
      </c>
      <c r="P23" t="str">
        <f ca="1">_xll.SUBNM(Server&amp;"Economic_Model","AllEcoModel",G23)</f>
        <v/>
      </c>
      <c r="Q23" t="str">
        <f ca="1">_xll.DIMNM(Server&amp;"z_Contract_Pending_Approval",$G23)</f>
        <v/>
      </c>
      <c r="R23" t="str">
        <f ca="1">_xll.DBRW(Server&amp;Cube1,Q23,"Management_Unit_Name")</f>
        <v/>
      </c>
      <c r="S23" t="s">
        <v>101</v>
      </c>
    </row>
    <row r="24" spans="1:21" x14ac:dyDescent="0.25">
      <c r="G24">
        <f t="shared" si="0"/>
        <v>23</v>
      </c>
      <c r="H24" t="str">
        <f ca="1">_xll.SUBNM(Server&amp;"Management_Organization","CountryRegionList",G24)</f>
        <v>FR_Z_SUD_OM</v>
      </c>
      <c r="I24" s="20" t="str">
        <f ca="1">_xll.ELCOMP(Server&amp;"Legal_Organization",$F$17,G24)</f>
        <v/>
      </c>
      <c r="J24" t="str">
        <f ca="1">_xll.DBRA(Server&amp;"Legal_Organization",I24,LocalLanguage)</f>
        <v/>
      </c>
      <c r="L24" t="str">
        <f ca="1">_xll.SUBNM(Server&amp;"Activity","AllActivities",G24)</f>
        <v>NIH</v>
      </c>
      <c r="N24" t="str">
        <f ca="1">_xll.SUBNM(Server&amp;"Type_Client","AllTypeClient",G24)</f>
        <v/>
      </c>
      <c r="P24" t="str">
        <f ca="1">_xll.SUBNM(Server&amp;"Economic_Model","AllEcoModel",G24)</f>
        <v/>
      </c>
      <c r="Q24" t="str">
        <f ca="1">_xll.DIMNM(Server&amp;"z_Contract_Pending_Approval",$G24)</f>
        <v/>
      </c>
      <c r="R24" t="str">
        <f ca="1">_xll.DBRW(Server&amp;Cube1,Q24,"Management_Unit_Name")</f>
        <v/>
      </c>
      <c r="S24" t="s">
        <v>101</v>
      </c>
    </row>
    <row r="25" spans="1:21" x14ac:dyDescent="0.25">
      <c r="G25">
        <f t="shared" si="0"/>
        <v>24</v>
      </c>
      <c r="H25" t="str">
        <f ca="1">_xll.SUBNM(Server&amp;"Management_Organization","CountryRegionList",G25)</f>
        <v>FR_Z_SUD_PROV</v>
      </c>
      <c r="I25" s="20" t="str">
        <f ca="1">_xll.ELCOMP(Server&amp;"Legal_Organization",$F$17,G25)</f>
        <v/>
      </c>
      <c r="J25" t="str">
        <f ca="1">_xll.DBRA(Server&amp;"Legal_Organization",I25,LocalLanguage)</f>
        <v/>
      </c>
      <c r="L25" t="str">
        <f ca="1">_xll.SUBNM(Server&amp;"Activity","AllActivities",G25)</f>
        <v>HRAIL_input</v>
      </c>
      <c r="N25" t="str">
        <f ca="1">_xll.SUBNM(Server&amp;"Type_Client","AllTypeClient",G25)</f>
        <v/>
      </c>
      <c r="P25" t="str">
        <f ca="1">_xll.SUBNM(Server&amp;"Economic_Model","AllEcoModel",G25)</f>
        <v/>
      </c>
      <c r="Q25" t="str">
        <f ca="1">_xll.DIMNM(Server&amp;"z_Contract_Pending_Approval",$G25)</f>
        <v/>
      </c>
      <c r="R25" t="str">
        <f ca="1">_xll.DBRW(Server&amp;Cube1,Q25,"Management_Unit_Name")</f>
        <v/>
      </c>
      <c r="S25" t="s">
        <v>101</v>
      </c>
    </row>
    <row r="26" spans="1:21" x14ac:dyDescent="0.25">
      <c r="G26">
        <f t="shared" si="0"/>
        <v>25</v>
      </c>
      <c r="H26" t="str">
        <f ca="1">_xll.SUBNM(Server&amp;"Management_Organization","CountryRegionList",G26)</f>
        <v>FR_Z_SUD_RAA</v>
      </c>
      <c r="I26" s="20" t="str">
        <f ca="1">_xll.ELCOMP(Server&amp;"Legal_Organization",$F$17,G26)</f>
        <v/>
      </c>
      <c r="J26" t="str">
        <f ca="1">_xll.DBRA(Server&amp;"Legal_Organization",I26,LocalLanguage)</f>
        <v/>
      </c>
      <c r="L26" t="str">
        <f ca="1">_xll.SUBNM(Server&amp;"Activity","AllActivities",G26)</f>
        <v>NIC</v>
      </c>
      <c r="N26" t="str">
        <f ca="1">_xll.SUBNM(Server&amp;"Type_Client","AllTypeClient",G26)</f>
        <v/>
      </c>
      <c r="P26" t="str">
        <f ca="1">_xll.SUBNM(Server&amp;"Economic_Model","AllEcoModel",G26)</f>
        <v/>
      </c>
      <c r="Q26" t="str">
        <f ca="1">_xll.DIMNM(Server&amp;"z_Contract_Pending_Approval",$G26)</f>
        <v/>
      </c>
      <c r="R26" t="str">
        <f ca="1">_xll.DBRW(Server&amp;Cube1,Q26,"Management_Unit_Name")</f>
        <v/>
      </c>
      <c r="S26" t="s">
        <v>101</v>
      </c>
    </row>
    <row r="27" spans="1:21" x14ac:dyDescent="0.25">
      <c r="G27">
        <f t="shared" si="0"/>
        <v>26</v>
      </c>
      <c r="H27" t="str">
        <f ca="1">_xll.SUBNM(Server&amp;"Management_Organization","CountryRegionList",G27)</f>
        <v>FR_Z_SUD_URB</v>
      </c>
      <c r="I27" s="20" t="str">
        <f ca="1">_xll.ELCOMP(Server&amp;"Legal_Organization",$F$17,G27)</f>
        <v/>
      </c>
      <c r="J27" t="str">
        <f ca="1">_xll.DBRA(Server&amp;"Legal_Organization",I27,LocalLanguage)</f>
        <v/>
      </c>
      <c r="L27" t="str">
        <f ca="1">_xll.SUBNM(Server&amp;"Activity","AllActivities",G27)</f>
        <v>FE</v>
      </c>
      <c r="N27" t="str">
        <f ca="1">_xll.SUBNM(Server&amp;"Type_Client","AllTypeClient",G27)</f>
        <v/>
      </c>
      <c r="P27" t="str">
        <f ca="1">_xll.SUBNM(Server&amp;"Economic_Model","AllEcoModel",G27)</f>
        <v/>
      </c>
      <c r="Q27" t="str">
        <f ca="1">_xll.DIMNM(Server&amp;"z_Contract_Pending_Approval",$G27)</f>
        <v/>
      </c>
      <c r="R27" t="str">
        <f ca="1">_xll.DBRW(Server&amp;Cube1,Q27,"Management_Unit_Name")</f>
        <v/>
      </c>
      <c r="S27" t="s">
        <v>101</v>
      </c>
    </row>
    <row r="28" spans="1:21" x14ac:dyDescent="0.25">
      <c r="G28">
        <f t="shared" si="0"/>
        <v>27</v>
      </c>
      <c r="H28" t="str">
        <f ca="1">_xll.SUBNM(Server&amp;"Management_Organization","CountryRegionList",G28)</f>
        <v>FR_FER</v>
      </c>
      <c r="I28" s="20" t="str">
        <f ca="1">_xll.ELCOMP(Server&amp;"Legal_Organization",$F$17,G28)</f>
        <v/>
      </c>
      <c r="J28" t="str">
        <f ca="1">_xll.DBRA(Server&amp;"Legal_Organization",I28,LocalLanguage)</f>
        <v/>
      </c>
      <c r="L28" t="str">
        <f ca="1">_xll.SUBNM(Server&amp;"Activity","AllActivities",G28)</f>
        <v>CO_SR</v>
      </c>
      <c r="N28" t="str">
        <f ca="1">_xll.SUBNM(Server&amp;"Type_Client","AllTypeClient",G28)</f>
        <v/>
      </c>
      <c r="P28" t="str">
        <f ca="1">_xll.SUBNM(Server&amp;"Economic_Model","AllEcoModel",G28)</f>
        <v/>
      </c>
      <c r="Q28" t="str">
        <f ca="1">_xll.DIMNM(Server&amp;"z_Contract_Pending_Approval",$G28)</f>
        <v/>
      </c>
      <c r="R28" t="str">
        <f ca="1">_xll.DBRW(Server&amp;Cube1,Q28,"Management_Unit_Name")</f>
        <v/>
      </c>
      <c r="S28" t="s">
        <v>101</v>
      </c>
    </row>
    <row r="29" spans="1:21" x14ac:dyDescent="0.25">
      <c r="G29">
        <f t="shared" si="0"/>
        <v>28</v>
      </c>
      <c r="H29" t="str">
        <f ca="1">_xll.SUBNM(Server&amp;"Management_Organization","CountryRegionList",G29)</f>
        <v>FR_SPE</v>
      </c>
      <c r="I29" s="20" t="str">
        <f ca="1">_xll.ELCOMP(Server&amp;"Legal_Organization",$F$17,G29)</f>
        <v/>
      </c>
      <c r="J29" t="str">
        <f ca="1">_xll.DBRA(Server&amp;"Legal_Organization",I29,LocalLanguage)</f>
        <v/>
      </c>
      <c r="L29" t="str">
        <f ca="1">_xll.SUBNM(Server&amp;"Activity","AllActivities",G29)</f>
        <v>CO_SHR</v>
      </c>
      <c r="N29" t="str">
        <f ca="1">_xll.SUBNM(Server&amp;"Type_Client","AllTypeClient",G29)</f>
        <v/>
      </c>
      <c r="P29" t="str">
        <f ca="1">_xll.SUBNM(Server&amp;"Economic_Model","AllEcoModel",G29)</f>
        <v/>
      </c>
      <c r="Q29" t="str">
        <f ca="1">_xll.DIMNM(Server&amp;"z_Contract_Pending_Approval",$G29)</f>
        <v/>
      </c>
      <c r="R29" t="str">
        <f ca="1">_xll.DBRW(Server&amp;Cube1,Q29,"Management_Unit_Name")</f>
        <v/>
      </c>
      <c r="S29" t="s">
        <v>101</v>
      </c>
    </row>
    <row r="30" spans="1:21" x14ac:dyDescent="0.25">
      <c r="G30">
        <f t="shared" si="0"/>
        <v>29</v>
      </c>
      <c r="H30" t="str">
        <f ca="1">_xll.SUBNM(Server&amp;"Management_Organization","CountryRegionList",G30)</f>
        <v>FR_ARCH</v>
      </c>
      <c r="I30" s="20" t="str">
        <f ca="1">_xll.ELCOMP(Server&amp;"Legal_Organization",$F$17,G30)</f>
        <v/>
      </c>
      <c r="J30" t="str">
        <f ca="1">_xll.DBRA(Server&amp;"Legal_Organization",I30,LocalLanguage)</f>
        <v/>
      </c>
      <c r="L30" t="str">
        <f ca="1">_xll.SUBNM(Server&amp;"Activity","AllActivities",G30)</f>
        <v>CO_input</v>
      </c>
      <c r="N30" t="str">
        <f ca="1">_xll.SUBNM(Server&amp;"Type_Client","AllTypeClient",G30)</f>
        <v/>
      </c>
      <c r="P30" t="str">
        <f ca="1">_xll.SUBNM(Server&amp;"Economic_Model","AllEcoModel",G30)</f>
        <v/>
      </c>
      <c r="Q30" t="str">
        <f ca="1">_xll.DIMNM(Server&amp;"z_Contract_Pending_Approval",$G30)</f>
        <v/>
      </c>
      <c r="R30" t="str">
        <f ca="1">_xll.DBRW(Server&amp;Cube1,Q30,"Management_Unit_Name")</f>
        <v/>
      </c>
      <c r="S30" t="s">
        <v>101</v>
      </c>
    </row>
    <row r="31" spans="1:21" x14ac:dyDescent="0.25">
      <c r="G31">
        <f t="shared" si="0"/>
        <v>30</v>
      </c>
      <c r="H31" t="str">
        <f ca="1">_xll.SUBNM(Server&amp;"Management_Organization","CountryRegionList",G31)</f>
        <v>FR_CO</v>
      </c>
      <c r="I31" s="20" t="str">
        <f ca="1">_xll.ELCOMP(Server&amp;"Legal_Organization",$F$17,G31)</f>
        <v/>
      </c>
      <c r="J31" t="str">
        <f ca="1">_xll.DBRA(Server&amp;"Legal_Organization",I31,LocalLanguage)</f>
        <v/>
      </c>
      <c r="L31" t="str">
        <f ca="1">_xll.SUBNM(Server&amp;"Activity","AllActivities",G31)</f>
        <v>AT_AS</v>
      </c>
      <c r="N31" t="str">
        <f ca="1">_xll.SUBNM(Server&amp;"Type_Client","AllTypeClient",G31)</f>
        <v/>
      </c>
      <c r="P31" t="str">
        <f ca="1">_xll.SUBNM(Server&amp;"Economic_Model","AllEcoModel",G31)</f>
        <v/>
      </c>
      <c r="Q31" t="str">
        <f ca="1">_xll.DIMNM(Server&amp;"z_Contract_Pending_Approval",$G31)</f>
        <v/>
      </c>
      <c r="R31" t="str">
        <f ca="1">_xll.DBRW(Server&amp;Cube1,Q31,"Management_Unit_Name")</f>
        <v/>
      </c>
      <c r="S31" t="s">
        <v>101</v>
      </c>
    </row>
    <row r="32" spans="1:21" x14ac:dyDescent="0.25">
      <c r="G32">
        <f t="shared" si="0"/>
        <v>31</v>
      </c>
      <c r="H32" t="str">
        <f ca="1">_xll.SUBNM(Server&amp;"Management_Organization","CountryRegionList",G32)</f>
        <v>FR_NO</v>
      </c>
      <c r="I32" s="20" t="str">
        <f ca="1">_xll.ELCOMP(Server&amp;"Legal_Organization",$F$17,G32)</f>
        <v/>
      </c>
      <c r="J32" t="str">
        <f ca="1">_xll.DBRA(Server&amp;"Legal_Organization",I32,LocalLanguage)</f>
        <v/>
      </c>
      <c r="L32" t="str">
        <f ca="1">_xll.SUBNM(Server&amp;"Activity","AllActivities",G32)</f>
        <v>AT_LS</v>
      </c>
      <c r="N32" t="str">
        <f ca="1">_xll.SUBNM(Server&amp;"Type_Client","AllTypeClient",G32)</f>
        <v/>
      </c>
      <c r="P32" t="str">
        <f ca="1">_xll.SUBNM(Server&amp;"Economic_Model","AllEcoModel",G32)</f>
        <v/>
      </c>
      <c r="Q32" t="str">
        <f ca="1">_xll.DIMNM(Server&amp;"z_Contract_Pending_Approval",$G32)</f>
        <v/>
      </c>
      <c r="R32" t="str">
        <f ca="1">_xll.DBRW(Server&amp;Cube1,Q32,"Management_Unit_Name")</f>
        <v/>
      </c>
      <c r="S32" t="s">
        <v>101</v>
      </c>
    </row>
    <row r="33" spans="7:19" x14ac:dyDescent="0.25">
      <c r="G33">
        <f t="shared" si="0"/>
        <v>32</v>
      </c>
      <c r="H33" t="str">
        <f ca="1">_xll.SUBNM(Server&amp;"Management_Organization","CountryRegionList",G33)</f>
        <v>FR_CE</v>
      </c>
      <c r="I33" s="20" t="str">
        <f ca="1">_xll.ELCOMP(Server&amp;"Legal_Organization",$F$17,G33)</f>
        <v/>
      </c>
      <c r="J33" t="str">
        <f ca="1">_xll.DBRA(Server&amp;"Legal_Organization",I33,LocalLanguage)</f>
        <v/>
      </c>
      <c r="L33" t="str">
        <f ca="1">_xll.SUBNM(Server&amp;"Activity","AllActivities",G33)</f>
        <v>AT_input</v>
      </c>
      <c r="N33" t="str">
        <f ca="1">_xll.SUBNM(Server&amp;"Type_Client","AllTypeClient",G33)</f>
        <v/>
      </c>
      <c r="P33" t="str">
        <f ca="1">_xll.SUBNM(Server&amp;"Economic_Model","AllEcoModel",G33)</f>
        <v/>
      </c>
      <c r="Q33" t="str">
        <f ca="1">_xll.DIMNM(Server&amp;"z_Contract_Pending_Approval",$G33)</f>
        <v/>
      </c>
      <c r="R33" t="str">
        <f ca="1">_xll.DBRW(Server&amp;Cube1,Q33,"Management_Unit_Name")</f>
        <v/>
      </c>
      <c r="S33" t="s">
        <v>101</v>
      </c>
    </row>
    <row r="34" spans="7:19" x14ac:dyDescent="0.25">
      <c r="G34">
        <f t="shared" si="0"/>
        <v>33</v>
      </c>
      <c r="H34" t="str">
        <f ca="1">_xll.SUBNM(Server&amp;"Management_Organization","CountryRegionList",G34)</f>
        <v>FR_SO</v>
      </c>
      <c r="I34" s="20" t="str">
        <f ca="1">_xll.ELCOMP(Server&amp;"Legal_Organization",$F$17,G34)</f>
        <v/>
      </c>
      <c r="J34" t="str">
        <f ca="1">_xll.DBRA(Server&amp;"Legal_Organization",I34,LocalLanguage)</f>
        <v/>
      </c>
      <c r="L34" t="str">
        <f ca="1">_xll.SUBNM(Server&amp;"Activity","AllActivities",G34)</f>
        <v>OS_AS</v>
      </c>
      <c r="N34" t="str">
        <f ca="1">_xll.SUBNM(Server&amp;"Type_Client","AllTypeClient",G34)</f>
        <v/>
      </c>
      <c r="P34" t="str">
        <f ca="1">_xll.SUBNM(Server&amp;"Economic_Model","AllEcoModel",G34)</f>
        <v/>
      </c>
      <c r="Q34" t="str">
        <f ca="1">_xll.DIMNM(Server&amp;"z_Contract_Pending_Approval",$G34)</f>
        <v/>
      </c>
      <c r="R34" t="str">
        <f ca="1">_xll.DBRW(Server&amp;Cube1,Q34,"Management_Unit_Name")</f>
        <v/>
      </c>
      <c r="S34" t="s">
        <v>101</v>
      </c>
    </row>
    <row r="35" spans="7:19" x14ac:dyDescent="0.25">
      <c r="G35">
        <f t="shared" si="0"/>
        <v>34</v>
      </c>
      <c r="H35" t="str">
        <f ca="1">_xll.SUBNM(Server&amp;"Management_Organization","CountryRegionList",G35)</f>
        <v>FR_NE</v>
      </c>
      <c r="I35" s="20" t="str">
        <f ca="1">_xll.ELCOMP(Server&amp;"Legal_Organization",$F$17,G35)</f>
        <v/>
      </c>
      <c r="J35" t="str">
        <f ca="1">_xll.DBRA(Server&amp;"Legal_Organization",I35,LocalLanguage)</f>
        <v/>
      </c>
      <c r="L35" t="str">
        <f ca="1">_xll.SUBNM(Server&amp;"Activity","AllActivities",G35)</f>
        <v>OS_MA</v>
      </c>
      <c r="N35" t="str">
        <f ca="1">_xll.SUBNM(Server&amp;"Type_Client","AllTypeClient",G35)</f>
        <v/>
      </c>
      <c r="P35" t="str">
        <f ca="1">_xll.SUBNM(Server&amp;"Economic_Model","AllEcoModel",G35)</f>
        <v/>
      </c>
      <c r="Q35" t="str">
        <f ca="1">_xll.DIMNM(Server&amp;"z_Contract_Pending_Approval",$G35)</f>
        <v/>
      </c>
      <c r="R35" t="str">
        <f ca="1">_xll.DBRW(Server&amp;Cube1,Q35,"Management_Unit_Name")</f>
        <v/>
      </c>
      <c r="S35" t="s">
        <v>101</v>
      </c>
    </row>
    <row r="36" spans="7:19" x14ac:dyDescent="0.25">
      <c r="G36">
        <f t="shared" si="0"/>
        <v>35</v>
      </c>
      <c r="H36" t="str">
        <f ca="1">_xll.SUBNM(Server&amp;"Management_Organization","CountryRegionList",G36)</f>
        <v>FR_SE</v>
      </c>
      <c r="I36" s="20" t="str">
        <f ca="1">_xll.ELCOMP(Server&amp;"Legal_Organization",$F$17,G36)</f>
        <v/>
      </c>
      <c r="J36" t="str">
        <f ca="1">_xll.DBRA(Server&amp;"Legal_Organization",I36,LocalLanguage)</f>
        <v/>
      </c>
      <c r="L36" t="str">
        <f ca="1">_xll.SUBNM(Server&amp;"Activity","AllActivities",G36)</f>
        <v>OS_CO</v>
      </c>
      <c r="N36" t="str">
        <f ca="1">_xll.SUBNM(Server&amp;"Type_Client","AllTypeClient",G36)</f>
        <v/>
      </c>
      <c r="P36" t="str">
        <f ca="1">_xll.SUBNM(Server&amp;"Economic_Model","AllEcoModel",G36)</f>
        <v/>
      </c>
      <c r="Q36" t="str">
        <f ca="1">_xll.DIMNM(Server&amp;"z_Contract_Pending_Approval",$G36)</f>
        <v/>
      </c>
      <c r="R36" t="str">
        <f ca="1">_xll.DBRW(Server&amp;Cube1,Q36,"Management_Unit_Name")</f>
        <v/>
      </c>
      <c r="S36" t="s">
        <v>101</v>
      </c>
    </row>
    <row r="37" spans="7:19" x14ac:dyDescent="0.25">
      <c r="G37">
        <f t="shared" si="0"/>
        <v>36</v>
      </c>
      <c r="H37" t="str">
        <f ca="1">_xll.SUBNM(Server&amp;"Management_Organization","CountryRegionList",G37)</f>
        <v>FR_IDF</v>
      </c>
      <c r="I37" s="20" t="str">
        <f ca="1">_xll.ELCOMP(Server&amp;"Legal_Organization",$F$17,G37)</f>
        <v/>
      </c>
      <c r="J37" t="str">
        <f ca="1">_xll.DBRA(Server&amp;"Legal_Organization",I37,LocalLanguage)</f>
        <v/>
      </c>
      <c r="L37" t="str">
        <f ca="1">_xll.SUBNM(Server&amp;"Activity","AllActivities",G37)</f>
        <v>OS_IS</v>
      </c>
      <c r="N37" t="str">
        <f ca="1">_xll.SUBNM(Server&amp;"Type_Client","AllTypeClient",G37)</f>
        <v/>
      </c>
      <c r="P37" t="str">
        <f ca="1">_xll.SUBNM(Server&amp;"Economic_Model","AllEcoModel",G37)</f>
        <v/>
      </c>
      <c r="Q37" t="str">
        <f ca="1">_xll.DIMNM(Server&amp;"z_Contract_Pending_Approval",$G37)</f>
        <v/>
      </c>
      <c r="R37" t="str">
        <f ca="1">_xll.DBRW(Server&amp;Cube1,Q37,"Management_Unit_Name")</f>
        <v/>
      </c>
      <c r="S37" t="s">
        <v>101</v>
      </c>
    </row>
    <row r="38" spans="7:19" x14ac:dyDescent="0.25">
      <c r="G38">
        <f t="shared" si="0"/>
        <v>37</v>
      </c>
      <c r="H38" t="str">
        <f ca="1">_xll.SUBNM(Server&amp;"Management_Organization","CountryRegionList",G38)</f>
        <v>Other_FR</v>
      </c>
      <c r="I38" s="20" t="str">
        <f ca="1">_xll.ELCOMP(Server&amp;"Legal_Organization",$F$17,G38)</f>
        <v/>
      </c>
      <c r="J38" t="str">
        <f ca="1">_xll.DBRA(Server&amp;"Legal_Organization",I38,LocalLanguage)</f>
        <v/>
      </c>
      <c r="L38" t="str">
        <f ca="1">_xll.SUBNM(Server&amp;"Activity","AllActivities",G38)</f>
        <v>OS_DS</v>
      </c>
      <c r="N38" t="str">
        <f ca="1">_xll.SUBNM(Server&amp;"Type_Client","AllTypeClient",G38)</f>
        <v/>
      </c>
      <c r="P38" t="str">
        <f ca="1">_xll.SUBNM(Server&amp;"Economic_Model","AllEcoModel",G38)</f>
        <v/>
      </c>
      <c r="Q38" t="str">
        <f ca="1">_xll.DIMNM(Server&amp;"z_Contract_Pending_Approval",$G38)</f>
        <v/>
      </c>
      <c r="R38" t="str">
        <f ca="1">_xll.DBRW(Server&amp;Cube1,Q38,"Management_Unit_Name")</f>
        <v/>
      </c>
      <c r="S38" t="s">
        <v>101</v>
      </c>
    </row>
    <row r="39" spans="7:19" x14ac:dyDescent="0.25">
      <c r="G39">
        <f t="shared" si="0"/>
        <v>38</v>
      </c>
      <c r="H39" t="str">
        <f ca="1">_xll.SUBNM(Server&amp;"Management_Organization","CountryRegionList",G39)</f>
        <v>FR_HOLD</v>
      </c>
      <c r="I39" s="20" t="str">
        <f ca="1">_xll.ELCOMP(Server&amp;"Legal_Organization",$F$17,G39)</f>
        <v/>
      </c>
      <c r="J39" t="str">
        <f ca="1">_xll.DBRA(Server&amp;"Legal_Organization",I39,LocalLanguage)</f>
        <v/>
      </c>
      <c r="L39" t="str">
        <f ca="1">_xll.SUBNM(Server&amp;"Activity","AllActivities",G39)</f>
        <v>OS_D</v>
      </c>
      <c r="N39" t="str">
        <f ca="1">_xll.SUBNM(Server&amp;"Type_Client","AllTypeClient",G39)</f>
        <v/>
      </c>
      <c r="P39" t="str">
        <f ca="1">_xll.SUBNM(Server&amp;"Economic_Model","AllEcoModel",G39)</f>
        <v/>
      </c>
      <c r="Q39" t="str">
        <f ca="1">_xll.DIMNM(Server&amp;"z_Contract_Pending_Approval",$G39)</f>
        <v/>
      </c>
      <c r="R39" t="str">
        <f ca="1">_xll.DBRW(Server&amp;Cube1,Q39,"Management_Unit_Name")</f>
        <v/>
      </c>
      <c r="S39" t="s">
        <v>101</v>
      </c>
    </row>
    <row r="40" spans="7:19" x14ac:dyDescent="0.25">
      <c r="G40">
        <f t="shared" si="0"/>
        <v>39</v>
      </c>
      <c r="H40" t="str">
        <f ca="1">_xll.SUBNM(Server&amp;"Management_Organization","CountryRegionList",G40)</f>
        <v>FR_HOLD_1</v>
      </c>
      <c r="I40" s="20" t="str">
        <f ca="1">_xll.ELCOMP(Server&amp;"Legal_Organization",$F$17,G40)</f>
        <v/>
      </c>
      <c r="J40" t="str">
        <f ca="1">_xll.DBRA(Server&amp;"Legal_Organization",I40,LocalLanguage)</f>
        <v/>
      </c>
      <c r="L40" t="str">
        <f ca="1">_xll.SUBNM(Server&amp;"Activity","AllActivities",G40)</f>
        <v>OS_CC</v>
      </c>
      <c r="N40" t="str">
        <f ca="1">_xll.SUBNM(Server&amp;"Type_Client","AllTypeClient",G40)</f>
        <v/>
      </c>
      <c r="P40" t="str">
        <f ca="1">_xll.SUBNM(Server&amp;"Economic_Model","AllEcoModel",G40)</f>
        <v/>
      </c>
      <c r="Q40" t="str">
        <f ca="1">_xll.DIMNM(Server&amp;"z_Contract_Pending_Approval",$G40)</f>
        <v/>
      </c>
      <c r="R40" t="str">
        <f ca="1">_xll.DBRW(Server&amp;Cube1,Q40,"Management_Unit_Name")</f>
        <v/>
      </c>
      <c r="S40" t="s">
        <v>101</v>
      </c>
    </row>
    <row r="41" spans="7:19" x14ac:dyDescent="0.25">
      <c r="G41">
        <f t="shared" si="0"/>
        <v>40</v>
      </c>
      <c r="H41" t="str">
        <f ca="1">_xll.SUBNM(Server&amp;"Management_Organization","CountryRegionList",G41)</f>
        <v>FR_HOLD_2</v>
      </c>
      <c r="I41" s="20" t="str">
        <f ca="1">_xll.ELCOMP(Server&amp;"Legal_Organization",$F$17,G41)</f>
        <v/>
      </c>
      <c r="J41" t="str">
        <f ca="1">_xll.DBRA(Server&amp;"Legal_Organization",I41,LocalLanguage)</f>
        <v/>
      </c>
      <c r="L41" t="str">
        <f ca="1">_xll.SUBNM(Server&amp;"Activity","AllActivities",G41)</f>
        <v>OS_TA</v>
      </c>
      <c r="N41" t="str">
        <f ca="1">_xll.SUBNM(Server&amp;"Type_Client","AllTypeClient",G41)</f>
        <v/>
      </c>
      <c r="P41" t="str">
        <f ca="1">_xll.SUBNM(Server&amp;"Economic_Model","AllEcoModel",G41)</f>
        <v/>
      </c>
      <c r="Q41" t="str">
        <f ca="1">_xll.DIMNM(Server&amp;"z_Contract_Pending_Approval",$G41)</f>
        <v/>
      </c>
      <c r="R41" t="str">
        <f ca="1">_xll.DBRW(Server&amp;Cube1,Q41,"Management_Unit_Name")</f>
        <v/>
      </c>
      <c r="S41" t="s">
        <v>101</v>
      </c>
    </row>
    <row r="42" spans="7:19" x14ac:dyDescent="0.25">
      <c r="G42">
        <f t="shared" si="0"/>
        <v>41</v>
      </c>
      <c r="H42" t="str">
        <f ca="1">_xll.SUBNM(Server&amp;"Management_Organization","CountryRegionList",G42)</f>
        <v>FR_HOLD_3</v>
      </c>
      <c r="I42" s="20" t="str">
        <f ca="1">_xll.ELCOMP(Server&amp;"Legal_Organization",$F$17,G42)</f>
        <v/>
      </c>
      <c r="J42" t="str">
        <f ca="1">_xll.DBRA(Server&amp;"Legal_Organization",I42,LocalLanguage)</f>
        <v/>
      </c>
      <c r="L42" t="str">
        <f ca="1">_xll.SUBNM(Server&amp;"Activity","AllActivities",G42)</f>
        <v>OS_PR</v>
      </c>
      <c r="N42" t="str">
        <f ca="1">_xll.SUBNM(Server&amp;"Type_Client","AllTypeClient",G42)</f>
        <v/>
      </c>
      <c r="P42" t="str">
        <f ca="1">_xll.SUBNM(Server&amp;"Economic_Model","AllEcoModel",G42)</f>
        <v/>
      </c>
      <c r="Q42" t="str">
        <f ca="1">_xll.DIMNM(Server&amp;"z_Contract_Pending_Approval",$G42)</f>
        <v/>
      </c>
      <c r="R42" t="str">
        <f ca="1">_xll.DBRW(Server&amp;Cube1,Q42,"Management_Unit_Name")</f>
        <v/>
      </c>
      <c r="S42" t="s">
        <v>101</v>
      </c>
    </row>
    <row r="43" spans="7:19" x14ac:dyDescent="0.25">
      <c r="G43">
        <f t="shared" si="0"/>
        <v>42</v>
      </c>
      <c r="H43" t="str">
        <f ca="1">_xll.SUBNM(Server&amp;"Management_Organization","CountryRegionList",G43)</f>
        <v>FR_Z_STA</v>
      </c>
      <c r="I43" s="20" t="str">
        <f ca="1">_xll.ELCOMP(Server&amp;"Legal_Organization",$F$17,G43)</f>
        <v/>
      </c>
      <c r="J43" t="str">
        <f ca="1">_xll.DBRA(Server&amp;"Legal_Organization",I43,LocalLanguage)</f>
        <v/>
      </c>
      <c r="L43" t="str">
        <f ca="1">_xll.SUBNM(Server&amp;"Activity","AllActivities",G43)</f>
        <v>OS_AV</v>
      </c>
      <c r="N43" t="str">
        <f ca="1">_xll.SUBNM(Server&amp;"Type_Client","AllTypeClient",G43)</f>
        <v/>
      </c>
      <c r="P43" t="str">
        <f ca="1">_xll.SUBNM(Server&amp;"Economic_Model","AllEcoModel",G43)</f>
        <v/>
      </c>
      <c r="Q43" t="str">
        <f ca="1">_xll.DIMNM(Server&amp;"z_Contract_Pending_Approval",$G43)</f>
        <v/>
      </c>
      <c r="R43" t="str">
        <f ca="1">_xll.DBRW(Server&amp;Cube1,Q43,"Management_Unit_Name")</f>
        <v/>
      </c>
      <c r="S43" t="s">
        <v>101</v>
      </c>
    </row>
    <row r="44" spans="7:19" x14ac:dyDescent="0.25">
      <c r="G44">
        <f t="shared" si="0"/>
        <v>43</v>
      </c>
      <c r="H44" t="str">
        <f ca="1">_xll.SUBNM(Server&amp;"Management_Organization","CountryRegionList",G44)</f>
        <v>FR_SNCM</v>
      </c>
      <c r="I44" s="20" t="str">
        <f ca="1">_xll.ELCOMP(Server&amp;"Legal_Organization",$F$17,G44)</f>
        <v/>
      </c>
      <c r="J44" t="str">
        <f ca="1">_xll.DBRA(Server&amp;"Legal_Organization",I44,LocalLanguage)</f>
        <v/>
      </c>
      <c r="L44" t="str">
        <f ca="1">_xll.SUBNM(Server&amp;"Activity","AllActivities",G44)</f>
        <v>OS_input</v>
      </c>
      <c r="N44" t="str">
        <f ca="1">_xll.SUBNM(Server&amp;"Type_Client","AllTypeClient",G44)</f>
        <v/>
      </c>
      <c r="P44" t="str">
        <f ca="1">_xll.SUBNM(Server&amp;"Economic_Model","AllEcoModel",G44)</f>
        <v/>
      </c>
      <c r="Q44" t="str">
        <f ca="1">_xll.DIMNM(Server&amp;"z_Contract_Pending_Approval",$G44)</f>
        <v/>
      </c>
      <c r="R44" t="str">
        <f ca="1">_xll.DBRW(Server&amp;Cube1,Q44,"Management_Unit_Name")</f>
        <v/>
      </c>
      <c r="S44" t="s">
        <v>101</v>
      </c>
    </row>
    <row r="45" spans="7:19" x14ac:dyDescent="0.25">
      <c r="G45">
        <f t="shared" si="0"/>
        <v>44</v>
      </c>
      <c r="H45" t="str">
        <f ca="1">_xll.SUBNM(Server&amp;"Management_Organization","CountryRegionList",G45)</f>
        <v>FR_SNCF_ARCH</v>
      </c>
      <c r="I45" s="20" t="str">
        <f ca="1">_xll.ELCOMP(Server&amp;"Legal_Organization",$F$17,G45)</f>
        <v/>
      </c>
      <c r="J45" t="str">
        <f ca="1">_xll.DBRA(Server&amp;"Legal_Organization",I45,LocalLanguage)</f>
        <v/>
      </c>
      <c r="L45" t="str">
        <f ca="1">_xll.SUBNM(Server&amp;"Activity","AllActivities",G45)</f>
        <v>STA_PK</v>
      </c>
      <c r="N45" t="str">
        <f ca="1">_xll.SUBNM(Server&amp;"Type_Client","AllTypeClient",G45)</f>
        <v/>
      </c>
      <c r="P45" t="str">
        <f ca="1">_xll.SUBNM(Server&amp;"Economic_Model","AllEcoModel",G45)</f>
        <v/>
      </c>
      <c r="Q45" t="str">
        <f ca="1">_xll.DIMNM(Server&amp;"z_Contract_Pending_Approval",$G45)</f>
        <v/>
      </c>
      <c r="R45" t="str">
        <f ca="1">_xll.DBRW(Server&amp;Cube1,Q45,"Management_Unit_Name")</f>
        <v/>
      </c>
      <c r="S45" t="s">
        <v>101</v>
      </c>
    </row>
    <row r="46" spans="7:19" x14ac:dyDescent="0.25">
      <c r="G46">
        <f t="shared" si="0"/>
        <v>45</v>
      </c>
      <c r="H46" t="str">
        <f ca="1">_xll.SUBNM(Server&amp;"Management_Organization","CountryRegionList",G46)</f>
        <v>Zone France_Other</v>
      </c>
      <c r="I46" s="20" t="str">
        <f ca="1">_xll.ELCOMP(Server&amp;"Legal_Organization",$F$17,G46)</f>
        <v/>
      </c>
      <c r="J46" t="str">
        <f ca="1">_xll.DBRA(Server&amp;"Legal_Organization",I46,LocalLanguage)</f>
        <v/>
      </c>
      <c r="L46" t="str">
        <f ca="1">_xll.SUBNM(Server&amp;"Activity","AllActivities",G46)</f>
        <v>STA_VO</v>
      </c>
      <c r="N46" t="str">
        <f ca="1">_xll.SUBNM(Server&amp;"Type_Client","AllTypeClient",G46)</f>
        <v/>
      </c>
      <c r="P46" t="str">
        <f ca="1">_xll.SUBNM(Server&amp;"Economic_Model","AllEcoModel",G46)</f>
        <v/>
      </c>
      <c r="Q46" t="str">
        <f ca="1">_xll.DIMNM(Server&amp;"z_Contract_Pending_Approval",$G46)</f>
        <v/>
      </c>
      <c r="R46" t="str">
        <f ca="1">_xll.DBRW(Server&amp;Cube1,Q46,"Management_Unit_Name")</f>
        <v/>
      </c>
      <c r="S46" t="s">
        <v>101</v>
      </c>
    </row>
    <row r="47" spans="7:19" x14ac:dyDescent="0.25">
      <c r="G47">
        <f t="shared" si="0"/>
        <v>46</v>
      </c>
      <c r="H47" t="str">
        <f ca="1">_xll.SUBNM(Server&amp;"Management_Organization","CountryRegionList",G47)</f>
        <v>Zone France_Other_ARCH</v>
      </c>
      <c r="I47" s="20" t="str">
        <f ca="1">_xll.ELCOMP(Server&amp;"Legal_Organization",$F$17,G47)</f>
        <v/>
      </c>
      <c r="J47" t="str">
        <f ca="1">_xll.DBRA(Server&amp;"Legal_Organization",I47,LocalLanguage)</f>
        <v/>
      </c>
      <c r="L47" t="str">
        <f ca="1">_xll.SUBNM(Server&amp;"Activity","AllActivities",G47)</f>
        <v>STA_HO</v>
      </c>
      <c r="N47" t="str">
        <f ca="1">_xll.SUBNM(Server&amp;"Type_Client","AllTypeClient",G47)</f>
        <v/>
      </c>
      <c r="P47" t="str">
        <f ca="1">_xll.SUBNM(Server&amp;"Economic_Model","AllEcoModel",G47)</f>
        <v/>
      </c>
      <c r="Q47" t="str">
        <f ca="1">_xll.DIMNM(Server&amp;"z_Contract_Pending_Approval",$G47)</f>
        <v/>
      </c>
      <c r="R47" t="str">
        <f ca="1">_xll.DBRW(Server&amp;Cube1,Q47,"Management_Unit_Name")</f>
        <v/>
      </c>
      <c r="S47" t="s">
        <v>101</v>
      </c>
    </row>
    <row r="48" spans="7:19" x14ac:dyDescent="0.25">
      <c r="G48">
        <f t="shared" si="0"/>
        <v>47</v>
      </c>
      <c r="H48" t="str">
        <f ca="1">_xll.SUBNM(Server&amp;"Management_Organization","CountryRegionList",G48)</f>
        <v>UK_Ireland</v>
      </c>
      <c r="I48" s="20" t="str">
        <f ca="1">_xll.ELCOMP(Server&amp;"Legal_Organization",$F$17,G48)</f>
        <v/>
      </c>
      <c r="J48" t="str">
        <f ca="1">_xll.DBRA(Server&amp;"Legal_Organization",I48,LocalLanguage)</f>
        <v/>
      </c>
      <c r="L48" t="str">
        <f ca="1">_xll.SUBNM(Server&amp;"Activity","AllActivities",G48)</f>
        <v>STA_CTRL</v>
      </c>
      <c r="N48" t="str">
        <f ca="1">_xll.SUBNM(Server&amp;"Type_Client","AllTypeClient",G48)</f>
        <v/>
      </c>
      <c r="P48" t="str">
        <f ca="1">_xll.SUBNM(Server&amp;"Economic_Model","AllEcoModel",G48)</f>
        <v/>
      </c>
      <c r="Q48" t="str">
        <f ca="1">_xll.DIMNM(Server&amp;"z_Contract_Pending_Approval",$G48)</f>
        <v/>
      </c>
      <c r="R48" t="str">
        <f ca="1">_xll.DBRW(Server&amp;Cube1,Q48,"Management_Unit_Name")</f>
        <v/>
      </c>
      <c r="S48" t="s">
        <v>101</v>
      </c>
    </row>
    <row r="49" spans="7:19" x14ac:dyDescent="0.25">
      <c r="G49">
        <f t="shared" si="0"/>
        <v>48</v>
      </c>
      <c r="H49" t="str">
        <f ca="1">_xll.SUBNM(Server&amp;"Management_Organization","CountryRegionList",G49)</f>
        <v>UK_TOD_FR</v>
      </c>
      <c r="I49" s="20" t="str">
        <f ca="1">_xll.ELCOMP(Server&amp;"Legal_Organization",$F$17,G49)</f>
        <v/>
      </c>
      <c r="J49" t="str">
        <f ca="1">_xll.DBRA(Server&amp;"Legal_Organization",I49,LocalLanguage)</f>
        <v/>
      </c>
      <c r="L49" t="str">
        <f ca="1">_xll.SUBNM(Server&amp;"Activity","AllActivities",G49)</f>
        <v>HO</v>
      </c>
      <c r="N49" t="str">
        <f ca="1">_xll.SUBNM(Server&amp;"Type_Client","AllTypeClient",G49)</f>
        <v/>
      </c>
      <c r="P49" t="str">
        <f ca="1">_xll.SUBNM(Server&amp;"Economic_Model","AllEcoModel",G49)</f>
        <v/>
      </c>
      <c r="Q49" t="str">
        <f ca="1">_xll.DIMNM(Server&amp;"z_Contract_Pending_Approval",$G49)</f>
        <v/>
      </c>
      <c r="R49" t="str">
        <f ca="1">_xll.DBRW(Server&amp;Cube1,Q49,"Management_Unit_Name")</f>
        <v/>
      </c>
      <c r="S49" t="s">
        <v>101</v>
      </c>
    </row>
    <row r="50" spans="7:19" x14ac:dyDescent="0.25">
      <c r="G50">
        <f t="shared" si="0"/>
        <v>49</v>
      </c>
      <c r="H50" t="str">
        <f ca="1">_xll.SUBNM(Server&amp;"Management_Organization","CountryRegionList",G50)</f>
        <v>UK_TOD_FR_ARCH</v>
      </c>
      <c r="I50" s="20" t="str">
        <f ca="1">_xll.ELCOMP(Server&amp;"Legal_Organization",$F$17,G50)</f>
        <v/>
      </c>
      <c r="J50" t="str">
        <f ca="1">_xll.DBRA(Server&amp;"Legal_Organization",I50,LocalLanguage)</f>
        <v/>
      </c>
      <c r="L50" t="str">
        <f ca="1">_xll.SUBNM(Server&amp;"Activity","AllActivities",G50)</f>
        <v>NA</v>
      </c>
      <c r="N50" t="str">
        <f ca="1">_xll.SUBNM(Server&amp;"Type_Client","AllTypeClient",G50)</f>
        <v/>
      </c>
      <c r="P50" t="str">
        <f ca="1">_xll.SUBNM(Server&amp;"Economic_Model","AllEcoModel",G50)</f>
        <v/>
      </c>
      <c r="Q50" t="str">
        <f ca="1">_xll.DIMNM(Server&amp;"z_Contract_Pending_Approval",$G50)</f>
        <v/>
      </c>
      <c r="R50" t="str">
        <f ca="1">_xll.DBRW(Server&amp;Cube1,Q50,"Management_Unit_Name")</f>
        <v/>
      </c>
      <c r="S50" t="s">
        <v>101</v>
      </c>
    </row>
    <row r="51" spans="7:19" x14ac:dyDescent="0.25">
      <c r="G51">
        <f t="shared" si="0"/>
        <v>50</v>
      </c>
      <c r="H51" t="str">
        <f ca="1">_xll.SUBNM(Server&amp;"Management_Organization","CountryRegionList",G51)</f>
        <v>IR</v>
      </c>
      <c r="I51" s="20" t="str">
        <f ca="1">_xll.ELCOMP(Server&amp;"Legal_Organization",$F$17,G51)</f>
        <v/>
      </c>
      <c r="J51" t="str">
        <f ca="1">_xll.DBRA(Server&amp;"Legal_Organization",I51,LocalLanguage)</f>
        <v/>
      </c>
      <c r="L51" t="str">
        <f ca="1">_xll.SUBNM(Server&amp;"Activity","AllActivities",G51)</f>
        <v>Reject_Data</v>
      </c>
      <c r="N51" t="str">
        <f ca="1">_xll.SUBNM(Server&amp;"Type_Client","AllTypeClient",G51)</f>
        <v/>
      </c>
      <c r="P51" t="str">
        <f ca="1">_xll.SUBNM(Server&amp;"Economic_Model","AllEcoModel",G51)</f>
        <v/>
      </c>
      <c r="Q51" t="str">
        <f ca="1">_xll.DIMNM(Server&amp;"z_Contract_Pending_Approval",$G51)</f>
        <v/>
      </c>
      <c r="R51" t="str">
        <f ca="1">_xll.DBRW(Server&amp;Cube1,Q51,"Management_Unit_Name")</f>
        <v/>
      </c>
      <c r="S51" t="s">
        <v>101</v>
      </c>
    </row>
    <row r="52" spans="7:19" x14ac:dyDescent="0.25">
      <c r="G52">
        <f t="shared" si="0"/>
        <v>51</v>
      </c>
      <c r="H52" t="str">
        <f ca="1">_xll.SUBNM(Server&amp;"Management_Organization","CountryRegionList",G52)</f>
        <v>IR_ARCH</v>
      </c>
      <c r="I52" s="20" t="str">
        <f ca="1">_xll.ELCOMP(Server&amp;"Legal_Organization",$F$17,G52)</f>
        <v/>
      </c>
      <c r="J52" t="str">
        <f ca="1">_xll.DBRA(Server&amp;"Legal_Organization",I52,LocalLanguage)</f>
        <v/>
      </c>
      <c r="L52" t="str">
        <f ca="1">_xll.SUBNM(Server&amp;"Activity","AllActivities",G52)</f>
        <v/>
      </c>
      <c r="N52" t="str">
        <f ca="1">_xll.SUBNM(Server&amp;"Type_Client","AllTypeClient",G52)</f>
        <v/>
      </c>
      <c r="P52" t="str">
        <f ca="1">_xll.SUBNM(Server&amp;"Economic_Model","AllEcoModel",G52)</f>
        <v/>
      </c>
      <c r="Q52" t="str">
        <f ca="1">_xll.DIMNM(Server&amp;"z_Contract_Pending_Approval",$G52)</f>
        <v/>
      </c>
      <c r="R52" t="str">
        <f ca="1">_xll.DBRW(Server&amp;Cube1,Q52,"Management_Unit_Name")</f>
        <v/>
      </c>
      <c r="S52" t="s">
        <v>101</v>
      </c>
    </row>
    <row r="53" spans="7:19" x14ac:dyDescent="0.25">
      <c r="G53">
        <f t="shared" si="0"/>
        <v>52</v>
      </c>
      <c r="H53" t="str">
        <f ca="1">_xll.SUBNM(Server&amp;"Management_Organization","CountryRegionList",G53)</f>
        <v>UK</v>
      </c>
      <c r="I53" s="20" t="str">
        <f ca="1">_xll.ELCOMP(Server&amp;"Legal_Organization",$F$17,G53)</f>
        <v/>
      </c>
      <c r="J53" t="str">
        <f ca="1">_xll.DBRA(Server&amp;"Legal_Organization",I53,LocalLanguage)</f>
        <v/>
      </c>
      <c r="L53" t="str">
        <f ca="1">_xll.SUBNM(Server&amp;"Activity","AllActivities",G53)</f>
        <v/>
      </c>
      <c r="N53" t="str">
        <f ca="1">_xll.SUBNM(Server&amp;"Type_Client","AllTypeClient",G53)</f>
        <v/>
      </c>
      <c r="P53" t="str">
        <f ca="1">_xll.SUBNM(Server&amp;"Economic_Model","AllEcoModel",G53)</f>
        <v/>
      </c>
      <c r="Q53" t="str">
        <f ca="1">_xll.DIMNM(Server&amp;"z_Contract_Pending_Approval",$G53)</f>
        <v/>
      </c>
      <c r="R53" t="str">
        <f ca="1">_xll.DBRW(Server&amp;Cube1,Q53,"Management_Unit_Name")</f>
        <v/>
      </c>
      <c r="S53" t="s">
        <v>101</v>
      </c>
    </row>
    <row r="54" spans="7:19" x14ac:dyDescent="0.25">
      <c r="G54">
        <f t="shared" si="0"/>
        <v>53</v>
      </c>
      <c r="H54" t="str">
        <f ca="1">_xll.SUBNM(Server&amp;"Management_Organization","CountryRegionList",G54)</f>
        <v>UK_Blazefield</v>
      </c>
      <c r="I54" s="20" t="str">
        <f ca="1">_xll.ELCOMP(Server&amp;"Legal_Organization",$F$17,G54)</f>
        <v/>
      </c>
      <c r="J54" t="str">
        <f ca="1">_xll.DBRA(Server&amp;"Legal_Organization",I54,LocalLanguage)</f>
        <v/>
      </c>
      <c r="L54" t="str">
        <f ca="1">_xll.SUBNM(Server&amp;"Activity","AllActivities",G54)</f>
        <v/>
      </c>
      <c r="N54" t="str">
        <f ca="1">_xll.SUBNM(Server&amp;"Type_Client","AllTypeClient",G54)</f>
        <v/>
      </c>
      <c r="P54" t="str">
        <f ca="1">_xll.SUBNM(Server&amp;"Economic_Model","AllEcoModel",G54)</f>
        <v/>
      </c>
      <c r="Q54" t="str">
        <f ca="1">_xll.DIMNM(Server&amp;"z_Contract_Pending_Approval",$G54)</f>
        <v/>
      </c>
      <c r="R54" t="str">
        <f ca="1">_xll.DBRW(Server&amp;Cube1,Q54,"Management_Unit_Name")</f>
        <v/>
      </c>
      <c r="S54" t="s">
        <v>101</v>
      </c>
    </row>
    <row r="55" spans="7:19" x14ac:dyDescent="0.25">
      <c r="G55">
        <f t="shared" si="0"/>
        <v>54</v>
      </c>
      <c r="H55" t="str">
        <f ca="1">_xll.SUBNM(Server&amp;"Management_Organization","CountryRegionList",G55)</f>
        <v>UK_Other</v>
      </c>
      <c r="I55" s="20" t="str">
        <f ca="1">_xll.ELCOMP(Server&amp;"Legal_Organization",$F$17,G55)</f>
        <v/>
      </c>
      <c r="J55" t="str">
        <f ca="1">_xll.DBRA(Server&amp;"Legal_Organization",I55,LocalLanguage)</f>
        <v/>
      </c>
      <c r="L55" t="str">
        <f ca="1">_xll.SUBNM(Server&amp;"Activity","AllActivities",G55)</f>
        <v/>
      </c>
      <c r="N55" t="str">
        <f ca="1">_xll.SUBNM(Server&amp;"Type_Client","AllTypeClient",G55)</f>
        <v/>
      </c>
      <c r="P55" t="str">
        <f ca="1">_xll.SUBNM(Server&amp;"Economic_Model","AllEcoModel",G55)</f>
        <v/>
      </c>
      <c r="Q55" t="str">
        <f ca="1">_xll.DIMNM(Server&amp;"z_Contract_Pending_Approval",$G55)</f>
        <v/>
      </c>
      <c r="R55" t="str">
        <f ca="1">_xll.DBRW(Server&amp;Cube1,Q55,"Management_Unit_Name")</f>
        <v/>
      </c>
      <c r="S55" t="s">
        <v>101</v>
      </c>
    </row>
    <row r="56" spans="7:19" x14ac:dyDescent="0.25">
      <c r="G56">
        <f t="shared" si="0"/>
        <v>55</v>
      </c>
      <c r="H56" t="str">
        <f ca="1">_xll.SUBNM(Server&amp;"Management_Organization","CountryRegionList",G56)</f>
        <v>UK_ARCH</v>
      </c>
      <c r="I56" s="20" t="str">
        <f ca="1">_xll.ELCOMP(Server&amp;"Legal_Organization",$F$17,G56)</f>
        <v/>
      </c>
      <c r="J56" t="str">
        <f ca="1">_xll.DBRA(Server&amp;"Legal_Organization",I56,LocalLanguage)</f>
        <v/>
      </c>
      <c r="L56" t="str">
        <f ca="1">_xll.SUBNM(Server&amp;"Activity","AllActivities",G56)</f>
        <v/>
      </c>
      <c r="N56" t="str">
        <f ca="1">_xll.SUBNM(Server&amp;"Type_Client","AllTypeClient",G56)</f>
        <v/>
      </c>
      <c r="P56" t="str">
        <f ca="1">_xll.SUBNM(Server&amp;"Economic_Model","AllEcoModel",G56)</f>
        <v/>
      </c>
      <c r="Q56" t="str">
        <f ca="1">_xll.DIMNM(Server&amp;"z_Contract_Pending_Approval",$G56)</f>
        <v/>
      </c>
      <c r="R56" t="str">
        <f ca="1">_xll.DBRW(Server&amp;Cube1,Q56,"Management_Unit_Name")</f>
        <v/>
      </c>
      <c r="S56" t="s">
        <v>101</v>
      </c>
    </row>
    <row r="57" spans="7:19" x14ac:dyDescent="0.25">
      <c r="G57">
        <f t="shared" si="0"/>
        <v>56</v>
      </c>
      <c r="H57" t="str">
        <f ca="1">_xll.SUBNM(Server&amp;"Management_Organization","CountryRegionList",G57)</f>
        <v>UK_Techn_Ent</v>
      </c>
      <c r="I57" s="20" t="str">
        <f ca="1">_xll.ELCOMP(Server&amp;"Legal_Organization",$F$17,G57)</f>
        <v/>
      </c>
      <c r="J57" t="str">
        <f ca="1">_xll.DBRA(Server&amp;"Legal_Organization",I57,LocalLanguage)</f>
        <v/>
      </c>
      <c r="L57" t="str">
        <f ca="1">_xll.SUBNM(Server&amp;"Activity","AllActivities",G57)</f>
        <v/>
      </c>
      <c r="N57" t="str">
        <f ca="1">_xll.SUBNM(Server&amp;"Type_Client","AllTypeClient",G57)</f>
        <v/>
      </c>
      <c r="P57" t="str">
        <f ca="1">_xll.SUBNM(Server&amp;"Economic_Model","AllEcoModel",G57)</f>
        <v/>
      </c>
      <c r="Q57" t="str">
        <f ca="1">_xll.DIMNM(Server&amp;"z_Contract_Pending_Approval",$G57)</f>
        <v/>
      </c>
      <c r="R57" t="str">
        <f ca="1">_xll.DBRW(Server&amp;Cube1,Q57,"Management_Unit_Name")</f>
        <v/>
      </c>
      <c r="S57" t="s">
        <v>101</v>
      </c>
    </row>
    <row r="58" spans="7:19" x14ac:dyDescent="0.25">
      <c r="G58">
        <f t="shared" si="0"/>
        <v>57</v>
      </c>
      <c r="H58" t="str">
        <f ca="1">_xll.SUBNM(Server&amp;"Management_Organization","CountryRegionList",G58)</f>
        <v>VTD_Corporate</v>
      </c>
      <c r="I58" s="20" t="str">
        <f ca="1">_xll.ELCOMP(Server&amp;"Legal_Organization",$F$17,G58)</f>
        <v/>
      </c>
      <c r="J58" t="str">
        <f ca="1">_xll.DBRA(Server&amp;"Legal_Organization",I58,LocalLanguage)</f>
        <v/>
      </c>
      <c r="L58" t="str">
        <f ca="1">_xll.SUBNM(Server&amp;"Activity","AllActivities",G58)</f>
        <v/>
      </c>
      <c r="N58" t="str">
        <f ca="1">_xll.SUBNM(Server&amp;"Type_Client","AllTypeClient",G58)</f>
        <v/>
      </c>
      <c r="P58" t="str">
        <f ca="1">_xll.SUBNM(Server&amp;"Economic_Model","AllEcoModel",G58)</f>
        <v/>
      </c>
      <c r="Q58" t="str">
        <f ca="1">_xll.DIMNM(Server&amp;"z_Contract_Pending_Approval",$G58)</f>
        <v/>
      </c>
      <c r="R58" t="str">
        <f ca="1">_xll.DBRW(Server&amp;Cube1,Q58,"Management_Unit_Name")</f>
        <v/>
      </c>
      <c r="S58" t="s">
        <v>101</v>
      </c>
    </row>
    <row r="59" spans="7:19" x14ac:dyDescent="0.25">
      <c r="G59">
        <f t="shared" si="0"/>
        <v>58</v>
      </c>
      <c r="H59" t="str">
        <f ca="1">_xll.SUBNM(Server&amp;"Management_Organization","CountryRegionList",G59)</f>
        <v>VTD_Corporate_ARCH</v>
      </c>
      <c r="I59" s="20" t="str">
        <f ca="1">_xll.ELCOMP(Server&amp;"Legal_Organization",$F$17,G59)</f>
        <v/>
      </c>
      <c r="J59" t="str">
        <f ca="1">_xll.DBRA(Server&amp;"Legal_Organization",I59,LocalLanguage)</f>
        <v/>
      </c>
      <c r="L59" t="str">
        <f ca="1">_xll.SUBNM(Server&amp;"Activity","AllActivities",G59)</f>
        <v/>
      </c>
      <c r="N59" t="str">
        <f ca="1">_xll.SUBNM(Server&amp;"Type_Client","AllTypeClient",G59)</f>
        <v/>
      </c>
      <c r="P59" t="str">
        <f ca="1">_xll.SUBNM(Server&amp;"Economic_Model","AllEcoModel",G59)</f>
        <v/>
      </c>
      <c r="Q59" t="str">
        <f ca="1">_xll.DIMNM(Server&amp;"z_Contract_Pending_Approval",$G59)</f>
        <v/>
      </c>
      <c r="R59" t="str">
        <f ca="1">_xll.DBRW(Server&amp;Cube1,Q59,"Management_Unit_Name")</f>
        <v/>
      </c>
      <c r="S59" t="s">
        <v>101</v>
      </c>
    </row>
    <row r="60" spans="7:19" x14ac:dyDescent="0.25">
      <c r="G60">
        <f t="shared" si="0"/>
        <v>59</v>
      </c>
      <c r="H60" t="str">
        <f ca="1">_xll.SUBNM(Server&amp;"Management_Organization","CountryRegionList",G60)</f>
        <v>Germany_Central_Europe</v>
      </c>
      <c r="I60" s="20" t="str">
        <f ca="1">_xll.ELCOMP(Server&amp;"Legal_Organization",$F$17,G60)</f>
        <v/>
      </c>
      <c r="J60" t="str">
        <f ca="1">_xll.DBRA(Server&amp;"Legal_Organization",I60,LocalLanguage)</f>
        <v/>
      </c>
      <c r="L60" t="str">
        <f ca="1">_xll.SUBNM(Server&amp;"Activity","AllActivities",G60)</f>
        <v/>
      </c>
      <c r="N60" t="str">
        <f ca="1">_xll.SUBNM(Server&amp;"Type_Client","AllTypeClient",G60)</f>
        <v/>
      </c>
      <c r="P60" t="str">
        <f ca="1">_xll.SUBNM(Server&amp;"Economic_Model","AllEcoModel",G60)</f>
        <v/>
      </c>
      <c r="Q60" t="str">
        <f ca="1">_xll.DIMNM(Server&amp;"z_Contract_Pending_Approval",$G60)</f>
        <v/>
      </c>
      <c r="R60" t="str">
        <f ca="1">_xll.DBRW(Server&amp;Cube1,Q60,"Management_Unit_Name")</f>
        <v/>
      </c>
      <c r="S60" t="s">
        <v>101</v>
      </c>
    </row>
    <row r="61" spans="7:19" x14ac:dyDescent="0.25">
      <c r="G61">
        <f t="shared" si="0"/>
        <v>60</v>
      </c>
      <c r="H61" t="str">
        <f ca="1">_xll.SUBNM(Server&amp;"Management_Organization","CountryRegionList",G61)</f>
        <v>GER</v>
      </c>
      <c r="I61" s="20" t="str">
        <f ca="1">_xll.ELCOMP(Server&amp;"Legal_Organization",$F$17,G61)</f>
        <v/>
      </c>
      <c r="J61" t="str">
        <f ca="1">_xll.DBRA(Server&amp;"Legal_Organization",I61,LocalLanguage)</f>
        <v/>
      </c>
      <c r="L61" t="str">
        <f ca="1">_xll.SUBNM(Server&amp;"Activity","AllActivities",G61)</f>
        <v/>
      </c>
      <c r="N61" t="str">
        <f ca="1">_xll.SUBNM(Server&amp;"Type_Client","AllTypeClient",G61)</f>
        <v/>
      </c>
      <c r="P61" t="str">
        <f ca="1">_xll.SUBNM(Server&amp;"Economic_Model","AllEcoModel",G61)</f>
        <v/>
      </c>
      <c r="Q61" t="str">
        <f ca="1">_xll.DIMNM(Server&amp;"z_Contract_Pending_Approval",$G61)</f>
        <v/>
      </c>
      <c r="R61" t="str">
        <f ca="1">_xll.DBRW(Server&amp;Cube1,Q61,"Management_Unit_Name")</f>
        <v/>
      </c>
      <c r="S61" t="s">
        <v>101</v>
      </c>
    </row>
    <row r="62" spans="7:19" x14ac:dyDescent="0.25">
      <c r="G62">
        <f t="shared" si="0"/>
        <v>61</v>
      </c>
      <c r="H62" t="str">
        <f ca="1">_xll.SUBNM(Server&amp;"Management_Organization","CountryRegionList",G62)</f>
        <v>GER_HQ</v>
      </c>
      <c r="I62" s="20" t="str">
        <f ca="1">_xll.ELCOMP(Server&amp;"Legal_Organization",$F$17,G62)</f>
        <v/>
      </c>
      <c r="J62" t="str">
        <f ca="1">_xll.DBRA(Server&amp;"Legal_Organization",I62,LocalLanguage)</f>
        <v/>
      </c>
      <c r="L62" t="str">
        <f ca="1">_xll.SUBNM(Server&amp;"Activity","AllActivities",G62)</f>
        <v/>
      </c>
      <c r="N62" t="str">
        <f ca="1">_xll.SUBNM(Server&amp;"Type_Client","AllTypeClient",G62)</f>
        <v/>
      </c>
      <c r="P62" t="str">
        <f ca="1">_xll.SUBNM(Server&amp;"Economic_Model","AllEcoModel",G62)</f>
        <v/>
      </c>
      <c r="Q62" t="str">
        <f ca="1">_xll.DIMNM(Server&amp;"z_Contract_Pending_Approval",$G62)</f>
        <v/>
      </c>
      <c r="R62" t="str">
        <f ca="1">_xll.DBRW(Server&amp;Cube1,Q62,"Management_Unit_Name")</f>
        <v/>
      </c>
      <c r="S62" t="s">
        <v>101</v>
      </c>
    </row>
    <row r="63" spans="7:19" x14ac:dyDescent="0.25">
      <c r="G63">
        <f t="shared" si="0"/>
        <v>62</v>
      </c>
      <c r="H63" t="str">
        <f ca="1">_xll.SUBNM(Server&amp;"Management_Organization","CountryRegionList",G63)</f>
        <v>GER_Train</v>
      </c>
      <c r="I63" s="20" t="str">
        <f ca="1">_xll.ELCOMP(Server&amp;"Legal_Organization",$F$17,G63)</f>
        <v/>
      </c>
      <c r="J63" t="str">
        <f ca="1">_xll.DBRA(Server&amp;"Legal_Organization",I63,LocalLanguage)</f>
        <v/>
      </c>
      <c r="L63" t="str">
        <f ca="1">_xll.SUBNM(Server&amp;"Activity","AllActivities",G63)</f>
        <v/>
      </c>
      <c r="N63" t="str">
        <f ca="1">_xll.SUBNM(Server&amp;"Type_Client","AllTypeClient",G63)</f>
        <v/>
      </c>
      <c r="P63" t="str">
        <f ca="1">_xll.SUBNM(Server&amp;"Economic_Model","AllEcoModel",G63)</f>
        <v/>
      </c>
      <c r="Q63" t="str">
        <f ca="1">_xll.DIMNM(Server&amp;"z_Contract_Pending_Approval",$G63)</f>
        <v/>
      </c>
      <c r="R63" t="str">
        <f ca="1">_xll.DBRW(Server&amp;Cube1,Q63,"Management_Unit_Name")</f>
        <v/>
      </c>
      <c r="S63" t="s">
        <v>101</v>
      </c>
    </row>
    <row r="64" spans="7:19" x14ac:dyDescent="0.25">
      <c r="G64">
        <f t="shared" si="0"/>
        <v>63</v>
      </c>
      <c r="H64" t="str">
        <f ca="1">_xll.SUBNM(Server&amp;"Management_Organization","CountryRegionList",G64)</f>
        <v>GER_Bus</v>
      </c>
      <c r="I64" s="20" t="str">
        <f ca="1">_xll.ELCOMP(Server&amp;"Legal_Organization",$F$17,G64)</f>
        <v/>
      </c>
      <c r="J64" t="str">
        <f ca="1">_xll.DBRA(Server&amp;"Legal_Organization",I64,LocalLanguage)</f>
        <v/>
      </c>
      <c r="L64" t="str">
        <f ca="1">_xll.SUBNM(Server&amp;"Activity","AllActivities",G64)</f>
        <v/>
      </c>
      <c r="N64" t="str">
        <f ca="1">_xll.SUBNM(Server&amp;"Type_Client","AllTypeClient",G64)</f>
        <v/>
      </c>
      <c r="P64" t="str">
        <f ca="1">_xll.SUBNM(Server&amp;"Economic_Model","AllEcoModel",G64)</f>
        <v/>
      </c>
      <c r="Q64" t="str">
        <f ca="1">_xll.DIMNM(Server&amp;"z_Contract_Pending_Approval",$G64)</f>
        <v/>
      </c>
      <c r="R64" t="str">
        <f ca="1">_xll.DBRW(Server&amp;Cube1,Q64,"Management_Unit_Name")</f>
        <v/>
      </c>
      <c r="S64" t="s">
        <v>101</v>
      </c>
    </row>
    <row r="65" spans="7:19" x14ac:dyDescent="0.25">
      <c r="G65">
        <f t="shared" si="0"/>
        <v>64</v>
      </c>
      <c r="H65" t="str">
        <f ca="1">_xll.SUBNM(Server&amp;"Management_Organization","CountryRegionList",G65)</f>
        <v>GER_ARCH</v>
      </c>
      <c r="I65" s="20" t="str">
        <f ca="1">_xll.ELCOMP(Server&amp;"Legal_Organization",$F$17,G65)</f>
        <v/>
      </c>
      <c r="J65" t="str">
        <f ca="1">_xll.DBRA(Server&amp;"Legal_Organization",I65,LocalLanguage)</f>
        <v/>
      </c>
      <c r="L65" t="str">
        <f ca="1">_xll.SUBNM(Server&amp;"Activity","AllActivities",G65)</f>
        <v/>
      </c>
      <c r="N65" t="str">
        <f ca="1">_xll.SUBNM(Server&amp;"Type_Client","AllTypeClient",G65)</f>
        <v/>
      </c>
      <c r="P65" t="str">
        <f ca="1">_xll.SUBNM(Server&amp;"Economic_Model","AllEcoModel",G65)</f>
        <v/>
      </c>
      <c r="Q65" t="str">
        <f ca="1">_xll.DIMNM(Server&amp;"z_Contract_Pending_Approval",$G65)</f>
        <v/>
      </c>
      <c r="R65" t="str">
        <f ca="1">_xll.DBRW(Server&amp;Cube1,Q65,"Management_Unit_Name")</f>
        <v/>
      </c>
      <c r="S65" t="s">
        <v>101</v>
      </c>
    </row>
    <row r="66" spans="7:19" x14ac:dyDescent="0.25">
      <c r="G66">
        <f t="shared" si="0"/>
        <v>65</v>
      </c>
      <c r="H66" t="str">
        <f ca="1">_xll.SUBNM(Server&amp;"Management_Organization","CountryRegionList",G66)</f>
        <v>Germany_Central_Europe_ARCH</v>
      </c>
      <c r="I66" s="20" t="str">
        <f ca="1">_xll.ELCOMP(Server&amp;"Legal_Organization",$F$17,G66)</f>
        <v/>
      </c>
      <c r="J66" t="str">
        <f ca="1">_xll.DBRA(Server&amp;"Legal_Organization",I66,LocalLanguage)</f>
        <v/>
      </c>
      <c r="L66" t="str">
        <f ca="1">_xll.SUBNM(Server&amp;"Activity","AllActivities",G66)</f>
        <v/>
      </c>
      <c r="N66" t="str">
        <f ca="1">_xll.SUBNM(Server&amp;"Type_Client","AllTypeClient",G66)</f>
        <v/>
      </c>
      <c r="P66" t="str">
        <f ca="1">_xll.SUBNM(Server&amp;"Economic_Model","AllEcoModel",G66)</f>
        <v/>
      </c>
      <c r="Q66" t="str">
        <f ca="1">_xll.DIMNM(Server&amp;"z_Contract_Pending_Approval",$G66)</f>
        <v/>
      </c>
      <c r="R66" t="str">
        <f ca="1">_xll.DBRW(Server&amp;Cube1,Q66,"Management_Unit_Name")</f>
        <v/>
      </c>
      <c r="S66" t="s">
        <v>101</v>
      </c>
    </row>
    <row r="67" spans="7:19" x14ac:dyDescent="0.25">
      <c r="G67">
        <f t="shared" ref="G67:G101" si="1">ROW()-1</f>
        <v>66</v>
      </c>
      <c r="H67" t="str">
        <f ca="1">_xll.SUBNM(Server&amp;"Management_Organization","CountryRegionList",G67)</f>
        <v>Central_Europe</v>
      </c>
      <c r="I67" s="20" t="str">
        <f ca="1">_xll.ELCOMP(Server&amp;"Legal_Organization",$F$17,G67)</f>
        <v/>
      </c>
      <c r="J67" t="str">
        <f ca="1">_xll.DBRA(Server&amp;"Legal_Organization",I67,LocalLanguage)</f>
        <v/>
      </c>
      <c r="L67" t="str">
        <f ca="1">_xll.SUBNM(Server&amp;"Activity","AllActivities",G67)</f>
        <v/>
      </c>
      <c r="N67" t="str">
        <f ca="1">_xll.SUBNM(Server&amp;"Type_Client","AllTypeClient",G67)</f>
        <v/>
      </c>
      <c r="P67" t="str">
        <f ca="1">_xll.SUBNM(Server&amp;"Economic_Model","AllEcoModel",G67)</f>
        <v/>
      </c>
      <c r="Q67" t="str">
        <f ca="1">_xll.DIMNM(Server&amp;"z_Contract_Pending_Approval",$G67)</f>
        <v/>
      </c>
      <c r="R67" t="str">
        <f ca="1">_xll.DBRW(Server&amp;Cube1,Q67,"Management_Unit_Name")</f>
        <v/>
      </c>
      <c r="S67" t="s">
        <v>101</v>
      </c>
    </row>
    <row r="68" spans="7:19" x14ac:dyDescent="0.25">
      <c r="G68">
        <f t="shared" si="1"/>
        <v>67</v>
      </c>
      <c r="H68" t="str">
        <f ca="1">_xll.SUBNM(Server&amp;"Management_Organization","CountryRegionList",G68)</f>
        <v>RU</v>
      </c>
      <c r="I68" s="20" t="str">
        <f ca="1">_xll.ELCOMP(Server&amp;"Legal_Organization",$F$17,G68)</f>
        <v/>
      </c>
      <c r="J68" t="str">
        <f ca="1">_xll.DBRA(Server&amp;"Legal_Organization",I68,LocalLanguage)</f>
        <v/>
      </c>
      <c r="L68" t="str">
        <f ca="1">_xll.SUBNM(Server&amp;"Activity","AllActivities",G68)</f>
        <v/>
      </c>
      <c r="N68" t="str">
        <f ca="1">_xll.SUBNM(Server&amp;"Type_Client","AllTypeClient",G68)</f>
        <v/>
      </c>
      <c r="P68" t="str">
        <f ca="1">_xll.SUBNM(Server&amp;"Economic_Model","AllEcoModel",G68)</f>
        <v/>
      </c>
      <c r="Q68" t="str">
        <f ca="1">_xll.DIMNM(Server&amp;"z_Contract_Pending_Approval",$G68)</f>
        <v/>
      </c>
      <c r="R68" t="str">
        <f ca="1">_xll.DBRW(Server&amp;Cube1,Q68,"Management_Unit_Name")</f>
        <v/>
      </c>
      <c r="S68" t="s">
        <v>101</v>
      </c>
    </row>
    <row r="69" spans="7:19" x14ac:dyDescent="0.25">
      <c r="G69">
        <f t="shared" si="1"/>
        <v>68</v>
      </c>
      <c r="H69" t="str">
        <f ca="1">_xll.SUBNM(Server&amp;"Management_Organization","CountryRegionList",G69)</f>
        <v>POL</v>
      </c>
      <c r="I69" s="20" t="str">
        <f ca="1">_xll.ELCOMP(Server&amp;"Legal_Organization",$F$17,G69)</f>
        <v/>
      </c>
      <c r="J69" t="str">
        <f ca="1">_xll.DBRA(Server&amp;"Legal_Organization",I69,LocalLanguage)</f>
        <v/>
      </c>
      <c r="L69" t="str">
        <f ca="1">_xll.SUBNM(Server&amp;"Activity","AllActivities",G69)</f>
        <v/>
      </c>
      <c r="N69" t="str">
        <f ca="1">_xll.SUBNM(Server&amp;"Type_Client","AllTypeClient",G69)</f>
        <v/>
      </c>
      <c r="P69" t="str">
        <f ca="1">_xll.SUBNM(Server&amp;"Economic_Model","AllEcoModel",G69)</f>
        <v/>
      </c>
      <c r="Q69" t="str">
        <f ca="1">_xll.DIMNM(Server&amp;"z_Contract_Pending_Approval",$G69)</f>
        <v/>
      </c>
      <c r="R69" t="str">
        <f ca="1">_xll.DBRW(Server&amp;Cube1,Q69,"Management_Unit_Name")</f>
        <v/>
      </c>
      <c r="S69" t="s">
        <v>101</v>
      </c>
    </row>
    <row r="70" spans="7:19" x14ac:dyDescent="0.25">
      <c r="G70">
        <f t="shared" si="1"/>
        <v>69</v>
      </c>
      <c r="H70" t="str">
        <f ca="1">_xll.SUBNM(Server&amp;"Management_Organization","CountryRegionList",G70)</f>
        <v>CR</v>
      </c>
      <c r="I70" s="20" t="str">
        <f ca="1">_xll.ELCOMP(Server&amp;"Legal_Organization",$F$17,G70)</f>
        <v/>
      </c>
      <c r="J70" t="str">
        <f ca="1">_xll.DBRA(Server&amp;"Legal_Organization",I70,LocalLanguage)</f>
        <v/>
      </c>
      <c r="L70" t="str">
        <f ca="1">_xll.SUBNM(Server&amp;"Activity","AllActivities",G70)</f>
        <v/>
      </c>
      <c r="N70" t="str">
        <f ca="1">_xll.SUBNM(Server&amp;"Type_Client","AllTypeClient",G70)</f>
        <v/>
      </c>
      <c r="P70" t="str">
        <f ca="1">_xll.SUBNM(Server&amp;"Economic_Model","AllEcoModel",G70)</f>
        <v/>
      </c>
      <c r="Q70" t="str">
        <f ca="1">_xll.DIMNM(Server&amp;"z_Contract_Pending_Approval",$G70)</f>
        <v/>
      </c>
      <c r="R70" t="str">
        <f ca="1">_xll.DBRW(Server&amp;Cube1,Q70,"Management_Unit_Name")</f>
        <v/>
      </c>
      <c r="S70" t="s">
        <v>101</v>
      </c>
    </row>
    <row r="71" spans="7:19" x14ac:dyDescent="0.25">
      <c r="G71">
        <f t="shared" si="1"/>
        <v>70</v>
      </c>
      <c r="H71" t="str">
        <f ca="1">_xll.SUBNM(Server&amp;"Management_Organization","CountryRegionList",G71)</f>
        <v>SER</v>
      </c>
      <c r="I71" s="20" t="str">
        <f ca="1">_xll.ELCOMP(Server&amp;"Legal_Organization",$F$17,G71)</f>
        <v/>
      </c>
      <c r="J71" t="str">
        <f ca="1">_xll.DBRA(Server&amp;"Legal_Organization",I71,LocalLanguage)</f>
        <v/>
      </c>
      <c r="L71" t="str">
        <f ca="1">_xll.SUBNM(Server&amp;"Activity","AllActivities",G71)</f>
        <v/>
      </c>
      <c r="N71" t="str">
        <f ca="1">_xll.SUBNM(Server&amp;"Type_Client","AllTypeClient",G71)</f>
        <v/>
      </c>
      <c r="P71" t="str">
        <f ca="1">_xll.SUBNM(Server&amp;"Economic_Model","AllEcoModel",G71)</f>
        <v/>
      </c>
      <c r="Q71" t="str">
        <f ca="1">_xll.DIMNM(Server&amp;"z_Contract_Pending_Approval",$G71)</f>
        <v/>
      </c>
      <c r="R71" t="str">
        <f ca="1">_xll.DBRW(Server&amp;Cube1,Q71,"Management_Unit_Name")</f>
        <v/>
      </c>
      <c r="S71" t="s">
        <v>101</v>
      </c>
    </row>
    <row r="72" spans="7:19" x14ac:dyDescent="0.25">
      <c r="G72">
        <f t="shared" si="1"/>
        <v>71</v>
      </c>
      <c r="H72" t="str">
        <f ca="1">_xll.SUBNM(Server&amp;"Management_Organization","CountryRegionList",G72)</f>
        <v>HU</v>
      </c>
      <c r="I72" s="20" t="str">
        <f ca="1">_xll.ELCOMP(Server&amp;"Legal_Organization",$F$17,G72)</f>
        <v/>
      </c>
      <c r="J72" t="str">
        <f ca="1">_xll.DBRA(Server&amp;"Legal_Organization",I72,LocalLanguage)</f>
        <v/>
      </c>
      <c r="L72" t="str">
        <f ca="1">_xll.SUBNM(Server&amp;"Activity","AllActivities",G72)</f>
        <v/>
      </c>
      <c r="N72" t="str">
        <f ca="1">_xll.SUBNM(Server&amp;"Type_Client","AllTypeClient",G72)</f>
        <v/>
      </c>
      <c r="P72" t="str">
        <f ca="1">_xll.SUBNM(Server&amp;"Economic_Model","AllEcoModel",G72)</f>
        <v/>
      </c>
      <c r="Q72" t="str">
        <f ca="1">_xll.DIMNM(Server&amp;"z_Contract_Pending_Approval",$G72)</f>
        <v/>
      </c>
      <c r="R72" t="str">
        <f ca="1">_xll.DBRW(Server&amp;Cube1,Q72,"Management_Unit_Name")</f>
        <v/>
      </c>
      <c r="S72" t="s">
        <v>101</v>
      </c>
    </row>
    <row r="73" spans="7:19" x14ac:dyDescent="0.25">
      <c r="G73">
        <f t="shared" si="1"/>
        <v>72</v>
      </c>
      <c r="H73" t="str">
        <f ca="1">_xll.SUBNM(Server&amp;"Management_Organization","CountryRegionList",G73)</f>
        <v>CZ</v>
      </c>
      <c r="I73" s="20" t="str">
        <f ca="1">_xll.ELCOMP(Server&amp;"Legal_Organization",$F$17,G73)</f>
        <v/>
      </c>
      <c r="J73" t="str">
        <f ca="1">_xll.DBRA(Server&amp;"Legal_Organization",I73,LocalLanguage)</f>
        <v/>
      </c>
      <c r="L73" t="str">
        <f ca="1">_xll.SUBNM(Server&amp;"Activity","AllActivities",G73)</f>
        <v/>
      </c>
      <c r="N73" t="str">
        <f ca="1">_xll.SUBNM(Server&amp;"Type_Client","AllTypeClient",G73)</f>
        <v/>
      </c>
      <c r="P73" t="str">
        <f ca="1">_xll.SUBNM(Server&amp;"Economic_Model","AllEcoModel",G73)</f>
        <v/>
      </c>
      <c r="Q73" t="str">
        <f ca="1">_xll.DIMNM(Server&amp;"z_Contract_Pending_Approval",$G73)</f>
        <v/>
      </c>
      <c r="R73" t="str">
        <f ca="1">_xll.DBRW(Server&amp;Cube1,Q73,"Management_Unit_Name")</f>
        <v/>
      </c>
      <c r="S73" t="s">
        <v>101</v>
      </c>
    </row>
    <row r="74" spans="7:19" x14ac:dyDescent="0.25">
      <c r="G74">
        <f t="shared" si="1"/>
        <v>73</v>
      </c>
      <c r="H74" t="str">
        <f ca="1">_xll.SUBNM(Server&amp;"Management_Organization","CountryRegionList",G74)</f>
        <v>SLK</v>
      </c>
      <c r="I74" s="20" t="str">
        <f ca="1">_xll.ELCOMP(Server&amp;"Legal_Organization",$F$17,G74)</f>
        <v/>
      </c>
      <c r="J74" t="str">
        <f ca="1">_xll.DBRA(Server&amp;"Legal_Organization",I74,LocalLanguage)</f>
        <v/>
      </c>
      <c r="L74" t="str">
        <f ca="1">_xll.SUBNM(Server&amp;"Activity","AllActivities",G74)</f>
        <v/>
      </c>
      <c r="N74" t="str">
        <f ca="1">_xll.SUBNM(Server&amp;"Type_Client","AllTypeClient",G74)</f>
        <v/>
      </c>
      <c r="P74" t="str">
        <f ca="1">_xll.SUBNM(Server&amp;"Economic_Model","AllEcoModel",G74)</f>
        <v/>
      </c>
      <c r="Q74" t="str">
        <f ca="1">_xll.DIMNM(Server&amp;"z_Contract_Pending_Approval",$G74)</f>
        <v/>
      </c>
      <c r="R74" t="str">
        <f ca="1">_xll.DBRW(Server&amp;Cube1,Q74,"Management_Unit_Name")</f>
        <v/>
      </c>
      <c r="S74" t="s">
        <v>101</v>
      </c>
    </row>
    <row r="75" spans="7:19" x14ac:dyDescent="0.25">
      <c r="G75">
        <f t="shared" si="1"/>
        <v>74</v>
      </c>
      <c r="H75" t="str">
        <f ca="1">_xll.SUBNM(Server&amp;"Management_Organization","CountryRegionList",G75)</f>
        <v>SLV</v>
      </c>
      <c r="I75" s="20" t="str">
        <f ca="1">_xll.ELCOMP(Server&amp;"Legal_Organization",$F$17,G75)</f>
        <v/>
      </c>
      <c r="J75" t="str">
        <f ca="1">_xll.DBRA(Server&amp;"Legal_Organization",I75,LocalLanguage)</f>
        <v/>
      </c>
      <c r="L75" t="str">
        <f ca="1">_xll.SUBNM(Server&amp;"Activity","AllActivities",G75)</f>
        <v/>
      </c>
      <c r="N75" t="str">
        <f ca="1">_xll.SUBNM(Server&amp;"Type_Client","AllTypeClient",G75)</f>
        <v/>
      </c>
      <c r="P75" t="str">
        <f ca="1">_xll.SUBNM(Server&amp;"Economic_Model","AllEcoModel",G75)</f>
        <v/>
      </c>
      <c r="Q75" t="str">
        <f ca="1">_xll.DIMNM(Server&amp;"z_Contract_Pending_Approval",$G75)</f>
        <v/>
      </c>
      <c r="R75" t="str">
        <f ca="1">_xll.DBRW(Server&amp;Cube1,Q75,"Management_Unit_Name")</f>
        <v/>
      </c>
      <c r="S75" t="s">
        <v>101</v>
      </c>
    </row>
    <row r="76" spans="7:19" x14ac:dyDescent="0.25">
      <c r="G76">
        <f t="shared" si="1"/>
        <v>75</v>
      </c>
      <c r="H76" t="str">
        <f ca="1">_xll.SUBNM(Server&amp;"Management_Organization","CountryRegionList",G76)</f>
        <v>Inter_Coaches</v>
      </c>
      <c r="I76" s="20" t="str">
        <f ca="1">_xll.ELCOMP(Server&amp;"Legal_Organization",$F$17,G76)</f>
        <v/>
      </c>
      <c r="J76" t="str">
        <f ca="1">_xll.DBRA(Server&amp;"Legal_Organization",I76,LocalLanguage)</f>
        <v/>
      </c>
      <c r="L76" t="str">
        <f ca="1">_xll.SUBNM(Server&amp;"Activity","AllActivities",G76)</f>
        <v/>
      </c>
      <c r="N76" t="str">
        <f ca="1">_xll.SUBNM(Server&amp;"Type_Client","AllTypeClient",G76)</f>
        <v/>
      </c>
      <c r="P76" t="str">
        <f ca="1">_xll.SUBNM(Server&amp;"Economic_Model","AllEcoModel",G76)</f>
        <v/>
      </c>
      <c r="Q76" t="str">
        <f ca="1">_xll.DIMNM(Server&amp;"z_Contract_Pending_Approval",$G76)</f>
        <v/>
      </c>
      <c r="R76" t="str">
        <f ca="1">_xll.DBRW(Server&amp;Cube1,Q76,"Management_Unit_Name")</f>
        <v/>
      </c>
      <c r="S76" t="s">
        <v>101</v>
      </c>
    </row>
    <row r="77" spans="7:19" x14ac:dyDescent="0.25">
      <c r="G77">
        <f t="shared" si="1"/>
        <v>76</v>
      </c>
      <c r="H77" t="str">
        <f ca="1">_xll.SUBNM(Server&amp;"Management_Organization","CountryRegionList",G77)</f>
        <v>Inter_Coaches_internorte</v>
      </c>
      <c r="I77" s="20" t="str">
        <f ca="1">_xll.ELCOMP(Server&amp;"Legal_Organization",$F$17,G77)</f>
        <v/>
      </c>
      <c r="J77" t="str">
        <f ca="1">_xll.DBRA(Server&amp;"Legal_Organization",I77,LocalLanguage)</f>
        <v/>
      </c>
      <c r="L77" t="str">
        <f ca="1">_xll.SUBNM(Server&amp;"Activity","AllActivities",G77)</f>
        <v/>
      </c>
      <c r="N77" t="str">
        <f ca="1">_xll.SUBNM(Server&amp;"Type_Client","AllTypeClient",G77)</f>
        <v/>
      </c>
      <c r="P77" t="str">
        <f ca="1">_xll.SUBNM(Server&amp;"Economic_Model","AllEcoModel",G77)</f>
        <v/>
      </c>
      <c r="Q77" t="str">
        <f ca="1">_xll.DIMNM(Server&amp;"z_Contract_Pending_Approval",$G77)</f>
        <v/>
      </c>
      <c r="R77" t="str">
        <f ca="1">_xll.DBRW(Server&amp;Cube1,Q77,"Management_Unit_Name")</f>
        <v/>
      </c>
      <c r="S77" t="s">
        <v>101</v>
      </c>
    </row>
    <row r="78" spans="7:19" x14ac:dyDescent="0.25">
      <c r="G78">
        <f t="shared" si="1"/>
        <v>77</v>
      </c>
      <c r="H78" t="str">
        <f ca="1">_xll.SUBNM(Server&amp;"Management_Organization","CountryRegionList",G78)</f>
        <v>Inter_Coaches_internorte_ARCH</v>
      </c>
      <c r="I78" s="20" t="str">
        <f ca="1">_xll.ELCOMP(Server&amp;"Legal_Organization",$F$17,G78)</f>
        <v/>
      </c>
      <c r="J78" t="str">
        <f ca="1">_xll.DBRA(Server&amp;"Legal_Organization",I78,LocalLanguage)</f>
        <v/>
      </c>
      <c r="L78" t="str">
        <f ca="1">_xll.SUBNM(Server&amp;"Activity","AllActivities",G78)</f>
        <v/>
      </c>
      <c r="N78" t="str">
        <f ca="1">_xll.SUBNM(Server&amp;"Type_Client","AllTypeClient",G78)</f>
        <v/>
      </c>
      <c r="P78" t="str">
        <f ca="1">_xll.SUBNM(Server&amp;"Economic_Model","AllEcoModel",G78)</f>
        <v/>
      </c>
      <c r="Q78" t="str">
        <f ca="1">_xll.DIMNM(Server&amp;"z_Contract_Pending_Approval",$G78)</f>
        <v/>
      </c>
      <c r="R78" t="str">
        <f ca="1">_xll.DBRW(Server&amp;Cube1,Q78,"Management_Unit_Name")</f>
        <v/>
      </c>
      <c r="S78" t="s">
        <v>101</v>
      </c>
    </row>
    <row r="79" spans="7:19" x14ac:dyDescent="0.25">
      <c r="G79">
        <f t="shared" si="1"/>
        <v>78</v>
      </c>
      <c r="H79" t="str">
        <f ca="1">_xll.SUBNM(Server&amp;"Management_Organization","CountryRegionList",G79)</f>
        <v>Inter_Coaches_Eurolines</v>
      </c>
      <c r="I79" s="20" t="str">
        <f ca="1">_xll.ELCOMP(Server&amp;"Legal_Organization",$F$17,G79)</f>
        <v/>
      </c>
      <c r="J79" t="str">
        <f ca="1">_xll.DBRA(Server&amp;"Legal_Organization",I79,LocalLanguage)</f>
        <v/>
      </c>
      <c r="L79" t="str">
        <f ca="1">_xll.SUBNM(Server&amp;"Activity","AllActivities",G79)</f>
        <v/>
      </c>
      <c r="N79" t="str">
        <f ca="1">_xll.SUBNM(Server&amp;"Type_Client","AllTypeClient",G79)</f>
        <v/>
      </c>
      <c r="P79" t="str">
        <f ca="1">_xll.SUBNM(Server&amp;"Economic_Model","AllEcoModel",G79)</f>
        <v/>
      </c>
      <c r="Q79" t="str">
        <f ca="1">_xll.DIMNM(Server&amp;"z_Contract_Pending_Approval",$G79)</f>
        <v/>
      </c>
      <c r="R79" t="str">
        <f ca="1">_xll.DBRW(Server&amp;Cube1,Q79,"Management_Unit_Name")</f>
        <v/>
      </c>
      <c r="S79" t="s">
        <v>101</v>
      </c>
    </row>
    <row r="80" spans="7:19" x14ac:dyDescent="0.25">
      <c r="G80">
        <f t="shared" si="1"/>
        <v>79</v>
      </c>
      <c r="H80" t="str">
        <f ca="1">_xll.SUBNM(Server&amp;"Management_Organization","CountryRegionList",G80)</f>
        <v>NETH</v>
      </c>
      <c r="I80" s="20" t="str">
        <f ca="1">_xll.ELCOMP(Server&amp;"Legal_Organization",$F$17,G80)</f>
        <v/>
      </c>
      <c r="J80" t="str">
        <f ca="1">_xll.DBRA(Server&amp;"Legal_Organization",I80,LocalLanguage)</f>
        <v/>
      </c>
      <c r="L80" t="str">
        <f ca="1">_xll.SUBNM(Server&amp;"Activity","AllActivities",G80)</f>
        <v/>
      </c>
      <c r="N80" t="str">
        <f ca="1">_xll.SUBNM(Server&amp;"Type_Client","AllTypeClient",G80)</f>
        <v/>
      </c>
      <c r="P80" t="str">
        <f ca="1">_xll.SUBNM(Server&amp;"Economic_Model","AllEcoModel",G80)</f>
        <v/>
      </c>
      <c r="Q80" t="str">
        <f ca="1">_xll.DIMNM(Server&amp;"z_Contract_Pending_Approval",$G80)</f>
        <v/>
      </c>
      <c r="R80" t="str">
        <f ca="1">_xll.DBRW(Server&amp;Cube1,Q80,"Management_Unit_Name")</f>
        <v/>
      </c>
      <c r="S80" t="s">
        <v>101</v>
      </c>
    </row>
    <row r="81" spans="7:19" x14ac:dyDescent="0.25">
      <c r="G81">
        <f t="shared" si="1"/>
        <v>80</v>
      </c>
      <c r="H81" t="str">
        <f ca="1">_xll.SUBNM(Server&amp;"Management_Organization","CountryRegionList",G81)</f>
        <v>VTNL</v>
      </c>
      <c r="I81" s="20" t="str">
        <f ca="1">_xll.ELCOMP(Server&amp;"Legal_Organization",$F$17,G81)</f>
        <v/>
      </c>
      <c r="J81" t="str">
        <f ca="1">_xll.DBRA(Server&amp;"Legal_Organization",I81,LocalLanguage)</f>
        <v/>
      </c>
      <c r="L81" t="str">
        <f ca="1">_xll.SUBNM(Server&amp;"Activity","AllActivities",G81)</f>
        <v/>
      </c>
      <c r="N81" t="str">
        <f ca="1">_xll.SUBNM(Server&amp;"Type_Client","AllTypeClient",G81)</f>
        <v/>
      </c>
      <c r="P81" t="str">
        <f ca="1">_xll.SUBNM(Server&amp;"Economic_Model","AllEcoModel",G81)</f>
        <v/>
      </c>
      <c r="Q81" t="str">
        <f ca="1">_xll.DIMNM(Server&amp;"z_Contract_Pending_Approval",$G81)</f>
        <v/>
      </c>
      <c r="R81" t="str">
        <f ca="1">_xll.DBRW(Server&amp;Cube1,Q81,"Management_Unit_Name")</f>
        <v/>
      </c>
      <c r="S81" t="s">
        <v>101</v>
      </c>
    </row>
    <row r="82" spans="7:19" x14ac:dyDescent="0.25">
      <c r="G82">
        <f t="shared" si="1"/>
        <v>81</v>
      </c>
      <c r="H82" t="str">
        <f ca="1">_xll.SUBNM(Server&amp;"Management_Organization","CountryRegionList",G82)</f>
        <v>NL_LI</v>
      </c>
      <c r="I82" s="20" t="str">
        <f ca="1">_xll.ELCOMP(Server&amp;"Legal_Organization",$F$17,G82)</f>
        <v/>
      </c>
      <c r="J82" t="str">
        <f ca="1">_xll.DBRA(Server&amp;"Legal_Organization",I82,LocalLanguage)</f>
        <v/>
      </c>
      <c r="L82" t="str">
        <f ca="1">_xll.SUBNM(Server&amp;"Activity","AllActivities",G82)</f>
        <v/>
      </c>
      <c r="N82" t="str">
        <f ca="1">_xll.SUBNM(Server&amp;"Type_Client","AllTypeClient",G82)</f>
        <v/>
      </c>
      <c r="P82" t="str">
        <f ca="1">_xll.SUBNM(Server&amp;"Economic_Model","AllEcoModel",G82)</f>
        <v/>
      </c>
      <c r="Q82" t="str">
        <f ca="1">_xll.DIMNM(Server&amp;"z_Contract_Pending_Approval",$G82)</f>
        <v/>
      </c>
      <c r="R82" t="str">
        <f ca="1">_xll.DBRW(Server&amp;Cube1,Q82,"Management_Unit_Name")</f>
        <v/>
      </c>
      <c r="S82" t="s">
        <v>101</v>
      </c>
    </row>
    <row r="83" spans="7:19" x14ac:dyDescent="0.25">
      <c r="G83">
        <f t="shared" si="1"/>
        <v>82</v>
      </c>
      <c r="H83" t="str">
        <f ca="1">_xll.SUBNM(Server&amp;"Management_Organization","CountryRegionList",G83)</f>
        <v>NL_HQ</v>
      </c>
      <c r="I83" s="20" t="str">
        <f ca="1">_xll.ELCOMP(Server&amp;"Legal_Organization",$F$17,G83)</f>
        <v/>
      </c>
      <c r="J83" t="str">
        <f ca="1">_xll.DBRA(Server&amp;"Legal_Organization",I83,LocalLanguage)</f>
        <v/>
      </c>
      <c r="L83" t="str">
        <f ca="1">_xll.SUBNM(Server&amp;"Activity","AllActivities",G83)</f>
        <v/>
      </c>
      <c r="N83" t="str">
        <f ca="1">_xll.SUBNM(Server&amp;"Type_Client","AllTypeClient",G83)</f>
        <v/>
      </c>
      <c r="P83" t="str">
        <f ca="1">_xll.SUBNM(Server&amp;"Economic_Model","AllEcoModel",G83)</f>
        <v/>
      </c>
      <c r="Q83" t="str">
        <f ca="1">_xll.DIMNM(Server&amp;"z_Contract_Pending_Approval",$G83)</f>
        <v/>
      </c>
      <c r="R83" t="str">
        <f ca="1">_xll.DBRW(Server&amp;Cube1,Q83,"Management_Unit_Name")</f>
        <v/>
      </c>
      <c r="S83" t="s">
        <v>101</v>
      </c>
    </row>
    <row r="84" spans="7:19" x14ac:dyDescent="0.25">
      <c r="G84">
        <f t="shared" si="1"/>
        <v>83</v>
      </c>
      <c r="H84" t="str">
        <f ca="1">_xll.SUBNM(Server&amp;"Management_Organization","CountryRegionList",G84)</f>
        <v>VTNL_ARCH</v>
      </c>
      <c r="I84" s="20" t="str">
        <f ca="1">_xll.ELCOMP(Server&amp;"Legal_Organization",$F$17,G84)</f>
        <v/>
      </c>
      <c r="J84" t="str">
        <f ca="1">_xll.DBRA(Server&amp;"Legal_Organization",I84,LocalLanguage)</f>
        <v/>
      </c>
      <c r="L84" t="str">
        <f ca="1">_xll.SUBNM(Server&amp;"Activity","AllActivities",G84)</f>
        <v/>
      </c>
      <c r="N84" t="str">
        <f ca="1">_xll.SUBNM(Server&amp;"Type_Client","AllTypeClient",G84)</f>
        <v/>
      </c>
      <c r="P84" t="str">
        <f ca="1">_xll.SUBNM(Server&amp;"Economic_Model","AllEcoModel",G84)</f>
        <v/>
      </c>
      <c r="Q84" t="str">
        <f ca="1">_xll.DIMNM(Server&amp;"z_Contract_Pending_Approval",$G84)</f>
        <v/>
      </c>
      <c r="R84" t="str">
        <f ca="1">_xll.DBRW(Server&amp;Cube1,Q84,"Management_Unit_Name")</f>
        <v/>
      </c>
      <c r="S84" t="s">
        <v>101</v>
      </c>
    </row>
    <row r="85" spans="7:19" x14ac:dyDescent="0.25">
      <c r="G85">
        <f t="shared" si="1"/>
        <v>84</v>
      </c>
      <c r="H85" t="str">
        <f ca="1">_xll.SUBNM(Server&amp;"Management_Organization","CountryRegionList",G85)</f>
        <v>Cxx</v>
      </c>
      <c r="I85" s="20" t="str">
        <f ca="1">_xll.ELCOMP(Server&amp;"Legal_Organization",$F$17,G85)</f>
        <v/>
      </c>
      <c r="J85" t="str">
        <f ca="1">_xll.DBRA(Server&amp;"Legal_Organization",I85,LocalLanguage)</f>
        <v/>
      </c>
      <c r="L85" t="str">
        <f ca="1">_xll.SUBNM(Server&amp;"Activity","AllActivities",G85)</f>
        <v/>
      </c>
      <c r="N85" t="str">
        <f ca="1">_xll.SUBNM(Server&amp;"Type_Client","AllTypeClient",G85)</f>
        <v/>
      </c>
      <c r="P85" t="str">
        <f ca="1">_xll.SUBNM(Server&amp;"Economic_Model","AllEcoModel",G85)</f>
        <v/>
      </c>
      <c r="Q85" t="str">
        <f ca="1">_xll.DIMNM(Server&amp;"z_Contract_Pending_Approval",$G85)</f>
        <v/>
      </c>
      <c r="R85" t="str">
        <f ca="1">_xll.DBRW(Server&amp;Cube1,Q85,"Management_Unit_Name")</f>
        <v/>
      </c>
      <c r="S85" t="s">
        <v>101</v>
      </c>
    </row>
    <row r="86" spans="7:19" x14ac:dyDescent="0.25">
      <c r="G86">
        <f t="shared" si="1"/>
        <v>85</v>
      </c>
      <c r="H86" t="str">
        <f ca="1">_xll.SUBNM(Server&amp;"Management_Organization","CountryRegionList",G86)</f>
        <v>CXX_Region_AMB</v>
      </c>
      <c r="I86" s="20" t="str">
        <f ca="1">_xll.ELCOMP(Server&amp;"Legal_Organization",$F$17,G86)</f>
        <v/>
      </c>
      <c r="J86" t="str">
        <f ca="1">_xll.DBRA(Server&amp;"Legal_Organization",I86,LocalLanguage)</f>
        <v/>
      </c>
      <c r="L86" t="str">
        <f ca="1">_xll.SUBNM(Server&amp;"Activity","AllActivities",G86)</f>
        <v/>
      </c>
      <c r="N86" t="str">
        <f ca="1">_xll.SUBNM(Server&amp;"Type_Client","AllTypeClient",G86)</f>
        <v/>
      </c>
      <c r="P86" t="str">
        <f ca="1">_xll.SUBNM(Server&amp;"Economic_Model","AllEcoModel",G86)</f>
        <v/>
      </c>
      <c r="Q86" t="str">
        <f ca="1">_xll.DIMNM(Server&amp;"z_Contract_Pending_Approval",$G86)</f>
        <v/>
      </c>
      <c r="R86" t="str">
        <f ca="1">_xll.DBRW(Server&amp;Cube1,Q86,"Management_Unit_Name")</f>
        <v/>
      </c>
      <c r="S86" t="s">
        <v>101</v>
      </c>
    </row>
    <row r="87" spans="7:19" x14ac:dyDescent="0.25">
      <c r="G87">
        <f t="shared" si="1"/>
        <v>86</v>
      </c>
      <c r="H87" t="str">
        <f ca="1">_xll.SUBNM(Server&amp;"Management_Organization","CountryRegionList",G87)</f>
        <v>CXX_Region_HQ</v>
      </c>
      <c r="I87" s="20" t="str">
        <f ca="1">_xll.ELCOMP(Server&amp;"Legal_Organization",$F$17,G87)</f>
        <v/>
      </c>
      <c r="J87" t="str">
        <f ca="1">_xll.DBRA(Server&amp;"Legal_Organization",I87,LocalLanguage)</f>
        <v/>
      </c>
      <c r="L87" t="str">
        <f ca="1">_xll.SUBNM(Server&amp;"Activity","AllActivities",G87)</f>
        <v/>
      </c>
      <c r="N87" t="str">
        <f ca="1">_xll.SUBNM(Server&amp;"Type_Client","AllTypeClient",G87)</f>
        <v/>
      </c>
      <c r="P87" t="str">
        <f ca="1">_xll.SUBNM(Server&amp;"Economic_Model","AllEcoModel",G87)</f>
        <v/>
      </c>
      <c r="Q87" t="str">
        <f ca="1">_xll.DIMNM(Server&amp;"z_Contract_Pending_Approval",$G87)</f>
        <v/>
      </c>
      <c r="R87" t="str">
        <f ca="1">_xll.DBRW(Server&amp;Cube1,Q87,"Management_Unit_Name")</f>
        <v/>
      </c>
      <c r="S87" t="s">
        <v>101</v>
      </c>
    </row>
    <row r="88" spans="7:19" x14ac:dyDescent="0.25">
      <c r="G88">
        <f t="shared" si="1"/>
        <v>87</v>
      </c>
      <c r="H88" t="str">
        <f ca="1">_xll.SUBNM(Server&amp;"Management_Organization","CountryRegionList",G88)</f>
        <v>CXX_Region_Tour</v>
      </c>
      <c r="I88" s="20" t="str">
        <f ca="1">_xll.ELCOMP(Server&amp;"Legal_Organization",$F$17,G88)</f>
        <v/>
      </c>
      <c r="J88" t="str">
        <f ca="1">_xll.DBRA(Server&amp;"Legal_Organization",I88,LocalLanguage)</f>
        <v/>
      </c>
      <c r="L88" t="str">
        <f ca="1">_xll.SUBNM(Server&amp;"Activity","AllActivities",G88)</f>
        <v/>
      </c>
      <c r="N88" t="str">
        <f ca="1">_xll.SUBNM(Server&amp;"Type_Client","AllTypeClient",G88)</f>
        <v/>
      </c>
      <c r="P88" t="str">
        <f ca="1">_xll.SUBNM(Server&amp;"Economic_Model","AllEcoModel",G88)</f>
        <v/>
      </c>
      <c r="Q88" t="str">
        <f ca="1">_xll.DIMNM(Server&amp;"z_Contract_Pending_Approval",$G88)</f>
        <v/>
      </c>
      <c r="R88" t="str">
        <f ca="1">_xll.DBRW(Server&amp;Cube1,Q88,"Management_Unit_Name")</f>
        <v/>
      </c>
      <c r="S88" t="s">
        <v>101</v>
      </c>
    </row>
    <row r="89" spans="7:19" x14ac:dyDescent="0.25">
      <c r="G89">
        <f t="shared" si="1"/>
        <v>88</v>
      </c>
      <c r="H89" t="str">
        <f ca="1">_xll.SUBNM(Server&amp;"Management_Organization","CountryRegionList",G89)</f>
        <v>CXX_Region_Taxi</v>
      </c>
      <c r="I89" s="20" t="str">
        <f ca="1">_xll.ELCOMP(Server&amp;"Legal_Organization",$F$17,G89)</f>
        <v/>
      </c>
      <c r="J89" t="str">
        <f ca="1">_xll.DBRA(Server&amp;"Legal_Organization",I89,LocalLanguage)</f>
        <v/>
      </c>
      <c r="L89" t="str">
        <f ca="1">_xll.SUBNM(Server&amp;"Activity","AllActivities",G89)</f>
        <v/>
      </c>
      <c r="N89" t="str">
        <f ca="1">_xll.SUBNM(Server&amp;"Type_Client","AllTypeClient",G89)</f>
        <v/>
      </c>
      <c r="P89" t="str">
        <f ca="1">_xll.SUBNM(Server&amp;"Economic_Model","AllEcoModel",G89)</f>
        <v/>
      </c>
      <c r="Q89" t="str">
        <f ca="1">_xll.DIMNM(Server&amp;"z_Contract_Pending_Approval",$G89)</f>
        <v/>
      </c>
      <c r="R89" t="str">
        <f ca="1">_xll.DBRW(Server&amp;Cube1,Q89,"Management_Unit_Name")</f>
        <v/>
      </c>
      <c r="S89" t="s">
        <v>101</v>
      </c>
    </row>
    <row r="90" spans="7:19" x14ac:dyDescent="0.25">
      <c r="G90">
        <f t="shared" si="1"/>
        <v>89</v>
      </c>
      <c r="H90" t="str">
        <f ca="1">_xll.SUBNM(Server&amp;"Management_Organization","CountryRegionList",G90)</f>
        <v>CXX_PT_Reg</v>
      </c>
      <c r="I90" s="20" t="str">
        <f ca="1">_xll.ELCOMP(Server&amp;"Legal_Organization",$F$17,G90)</f>
        <v/>
      </c>
      <c r="J90" t="str">
        <f ca="1">_xll.DBRA(Server&amp;"Legal_Organization",I90,LocalLanguage)</f>
        <v/>
      </c>
      <c r="L90" t="str">
        <f ca="1">_xll.SUBNM(Server&amp;"Activity","AllActivities",G90)</f>
        <v/>
      </c>
      <c r="N90" t="str">
        <f ca="1">_xll.SUBNM(Server&amp;"Type_Client","AllTypeClient",G90)</f>
        <v/>
      </c>
      <c r="P90" t="str">
        <f ca="1">_xll.SUBNM(Server&amp;"Economic_Model","AllEcoModel",G90)</f>
        <v/>
      </c>
      <c r="Q90" t="str">
        <f ca="1">_xll.DIMNM(Server&amp;"z_Contract_Pending_Approval",$G90)</f>
        <v/>
      </c>
      <c r="R90" t="str">
        <f ca="1">_xll.DBRW(Server&amp;Cube1,Q90,"Management_Unit_Name")</f>
        <v/>
      </c>
      <c r="S90" t="s">
        <v>101</v>
      </c>
    </row>
    <row r="91" spans="7:19" x14ac:dyDescent="0.25">
      <c r="G91">
        <f t="shared" si="1"/>
        <v>90</v>
      </c>
      <c r="H91" t="str">
        <f ca="1">_xll.SUBNM(Server&amp;"Management_Organization","CountryRegionList",G91)</f>
        <v>CXX_PT_C</v>
      </c>
      <c r="I91" s="20" t="str">
        <f ca="1">_xll.ELCOMP(Server&amp;"Legal_Organization",$F$17,G91)</f>
        <v/>
      </c>
      <c r="J91" t="str">
        <f ca="1">_xll.DBRA(Server&amp;"Legal_Organization",I91,LocalLanguage)</f>
        <v/>
      </c>
      <c r="L91" t="str">
        <f ca="1">_xll.SUBNM(Server&amp;"Activity","AllActivities",G91)</f>
        <v/>
      </c>
      <c r="N91" t="str">
        <f ca="1">_xll.SUBNM(Server&amp;"Type_Client","AllTypeClient",G91)</f>
        <v/>
      </c>
      <c r="P91" t="str">
        <f ca="1">_xll.SUBNM(Server&amp;"Economic_Model","AllEcoModel",G91)</f>
        <v/>
      </c>
      <c r="Q91" t="str">
        <f ca="1">_xll.DIMNM(Server&amp;"z_Contract_Pending_Approval",$G91)</f>
        <v/>
      </c>
      <c r="R91" t="str">
        <f ca="1">_xll.DBRW(Server&amp;Cube1,Q91,"Management_Unit_Name")</f>
        <v/>
      </c>
      <c r="S91" t="s">
        <v>101</v>
      </c>
    </row>
    <row r="92" spans="7:19" x14ac:dyDescent="0.25">
      <c r="G92">
        <f t="shared" si="1"/>
        <v>91</v>
      </c>
      <c r="H92" t="str">
        <f ca="1">_xll.SUBNM(Server&amp;"Management_Organization","CountryRegionList",G92)</f>
        <v>CXX_PT_SW</v>
      </c>
      <c r="I92" s="20" t="str">
        <f ca="1">_xll.ELCOMP(Server&amp;"Legal_Organization",$F$17,G92)</f>
        <v/>
      </c>
      <c r="J92" t="str">
        <f ca="1">_xll.DBRA(Server&amp;"Legal_Organization",I92,LocalLanguage)</f>
        <v/>
      </c>
      <c r="L92" t="str">
        <f ca="1">_xll.SUBNM(Server&amp;"Activity","AllActivities",G92)</f>
        <v/>
      </c>
      <c r="N92" t="str">
        <f ca="1">_xll.SUBNM(Server&amp;"Type_Client","AllTypeClient",G92)</f>
        <v/>
      </c>
      <c r="P92" t="str">
        <f ca="1">_xll.SUBNM(Server&amp;"Economic_Model","AllEcoModel",G92)</f>
        <v/>
      </c>
      <c r="Q92" t="str">
        <f ca="1">_xll.DIMNM(Server&amp;"z_Contract_Pending_Approval",$G92)</f>
        <v/>
      </c>
      <c r="R92" t="str">
        <f ca="1">_xll.DBRW(Server&amp;Cube1,Q92,"Management_Unit_Name")</f>
        <v/>
      </c>
      <c r="S92" t="s">
        <v>101</v>
      </c>
    </row>
    <row r="93" spans="7:19" x14ac:dyDescent="0.25">
      <c r="G93">
        <f t="shared" si="1"/>
        <v>92</v>
      </c>
      <c r="H93" t="str">
        <f ca="1">_xll.SUBNM(Server&amp;"Management_Organization","CountryRegionList",G93)</f>
        <v>CXX_PT_NW</v>
      </c>
      <c r="I93" s="20" t="str">
        <f ca="1">_xll.ELCOMP(Server&amp;"Legal_Organization",$F$17,G93)</f>
        <v/>
      </c>
      <c r="J93" t="str">
        <f ca="1">_xll.DBRA(Server&amp;"Legal_Organization",I93,LocalLanguage)</f>
        <v/>
      </c>
      <c r="L93" t="str">
        <f ca="1">_xll.SUBNM(Server&amp;"Activity","AllActivities",G93)</f>
        <v/>
      </c>
      <c r="N93" t="str">
        <f ca="1">_xll.SUBNM(Server&amp;"Type_Client","AllTypeClient",G93)</f>
        <v/>
      </c>
      <c r="P93" t="str">
        <f ca="1">_xll.SUBNM(Server&amp;"Economic_Model","AllEcoModel",G93)</f>
        <v/>
      </c>
      <c r="Q93" t="str">
        <f ca="1">_xll.DIMNM(Server&amp;"z_Contract_Pending_Approval",$G93)</f>
        <v/>
      </c>
      <c r="R93" t="str">
        <f ca="1">_xll.DBRW(Server&amp;Cube1,Q93,"Management_Unit_Name")</f>
        <v/>
      </c>
      <c r="S93" t="s">
        <v>101</v>
      </c>
    </row>
    <row r="94" spans="7:19" x14ac:dyDescent="0.25">
      <c r="G94">
        <f t="shared" si="1"/>
        <v>93</v>
      </c>
      <c r="H94" t="str">
        <f ca="1">_xll.SUBNM(Server&amp;"Management_Organization","CountryRegionList",G94)</f>
        <v>CXX_PT_E</v>
      </c>
      <c r="I94" s="20" t="str">
        <f ca="1">_xll.ELCOMP(Server&amp;"Legal_Organization",$F$17,G94)</f>
        <v/>
      </c>
      <c r="J94" t="str">
        <f ca="1">_xll.DBRA(Server&amp;"Legal_Organization",I94,LocalLanguage)</f>
        <v/>
      </c>
      <c r="L94" t="str">
        <f ca="1">_xll.SUBNM(Server&amp;"Activity","AllActivities",G94)</f>
        <v/>
      </c>
      <c r="N94" t="str">
        <f ca="1">_xll.SUBNM(Server&amp;"Type_Client","AllTypeClient",G94)</f>
        <v/>
      </c>
      <c r="P94" t="str">
        <f ca="1">_xll.SUBNM(Server&amp;"Economic_Model","AllEcoModel",G94)</f>
        <v/>
      </c>
      <c r="Q94" t="str">
        <f ca="1">_xll.DIMNM(Server&amp;"z_Contract_Pending_Approval",$G94)</f>
        <v/>
      </c>
      <c r="R94" t="str">
        <f ca="1">_xll.DBRW(Server&amp;Cube1,Q94,"Management_Unit_Name")</f>
        <v/>
      </c>
      <c r="S94" t="s">
        <v>101</v>
      </c>
    </row>
    <row r="95" spans="7:19" x14ac:dyDescent="0.25">
      <c r="G95">
        <f t="shared" si="1"/>
        <v>94</v>
      </c>
      <c r="H95" t="str">
        <f ca="1">_xll.SUBNM(Server&amp;"Management_Organization","CountryRegionList",G95)</f>
        <v>CXX_PT_Oth</v>
      </c>
      <c r="I95" s="20" t="str">
        <f ca="1">_xll.ELCOMP(Server&amp;"Legal_Organization",$F$17,G95)</f>
        <v/>
      </c>
      <c r="J95" t="str">
        <f ca="1">_xll.DBRA(Server&amp;"Legal_Organization",I95,LocalLanguage)</f>
        <v/>
      </c>
      <c r="L95" t="str">
        <f ca="1">_xll.SUBNM(Server&amp;"Activity","AllActivities",G95)</f>
        <v/>
      </c>
      <c r="N95" t="str">
        <f ca="1">_xll.SUBNM(Server&amp;"Type_Client","AllTypeClient",G95)</f>
        <v/>
      </c>
      <c r="P95" t="str">
        <f ca="1">_xll.SUBNM(Server&amp;"Economic_Model","AllEcoModel",G95)</f>
        <v/>
      </c>
      <c r="Q95" t="str">
        <f ca="1">_xll.DIMNM(Server&amp;"z_Contract_Pending_Approval",$G95)</f>
        <v/>
      </c>
      <c r="R95" t="str">
        <f ca="1">_xll.DBRW(Server&amp;Cube1,Q95,"Management_Unit_Name")</f>
        <v/>
      </c>
      <c r="S95" t="s">
        <v>101</v>
      </c>
    </row>
    <row r="96" spans="7:19" x14ac:dyDescent="0.25">
      <c r="G96">
        <f t="shared" si="1"/>
        <v>95</v>
      </c>
      <c r="H96" t="str">
        <f ca="1">_xll.SUBNM(Server&amp;"Management_Organization","CountryRegionList",G96)</f>
        <v>Cxx_ARCH</v>
      </c>
      <c r="I96" s="20" t="str">
        <f ca="1">_xll.ELCOMP(Server&amp;"Legal_Organization",$F$17,G96)</f>
        <v/>
      </c>
      <c r="J96" t="str">
        <f ca="1">_xll.DBRA(Server&amp;"Legal_Organization",I96,LocalLanguage)</f>
        <v/>
      </c>
      <c r="L96" t="str">
        <f ca="1">_xll.SUBNM(Server&amp;"Activity","AllActivities",G96)</f>
        <v/>
      </c>
      <c r="N96" t="str">
        <f ca="1">_xll.SUBNM(Server&amp;"Type_Client","AllTypeClient",G96)</f>
        <v/>
      </c>
      <c r="P96" t="str">
        <f ca="1">_xll.SUBNM(Server&amp;"Economic_Model","AllEcoModel",G96)</f>
        <v/>
      </c>
      <c r="Q96" t="str">
        <f ca="1">_xll.DIMNM(Server&amp;"z_Contract_Pending_Approval",$G96)</f>
        <v/>
      </c>
      <c r="R96" t="str">
        <f ca="1">_xll.DBRW(Server&amp;Cube1,Q96,"Management_Unit_Name")</f>
        <v/>
      </c>
      <c r="S96" t="s">
        <v>101</v>
      </c>
    </row>
    <row r="97" spans="7:19" x14ac:dyDescent="0.25">
      <c r="G97">
        <f t="shared" si="1"/>
        <v>96</v>
      </c>
      <c r="H97" t="str">
        <f ca="1">_xll.SUBNM(Server&amp;"Management_Organization","CountryRegionList",G97)</f>
        <v>NETH_Other</v>
      </c>
      <c r="I97" s="20" t="str">
        <f ca="1">_xll.ELCOMP(Server&amp;"Legal_Organization",$F$17,G97)</f>
        <v/>
      </c>
      <c r="J97" t="str">
        <f ca="1">_xll.DBRA(Server&amp;"Legal_Organization",I97,LocalLanguage)</f>
        <v/>
      </c>
      <c r="L97" t="str">
        <f ca="1">_xll.SUBNM(Server&amp;"Activity","AllActivities",G97)</f>
        <v/>
      </c>
      <c r="N97" t="str">
        <f ca="1">_xll.SUBNM(Server&amp;"Type_Client","AllTypeClient",G97)</f>
        <v/>
      </c>
      <c r="P97" t="str">
        <f ca="1">_xll.SUBNM(Server&amp;"Economic_Model","AllEcoModel",G97)</f>
        <v/>
      </c>
      <c r="Q97" t="str">
        <f ca="1">_xll.DIMNM(Server&amp;"z_Contract_Pending_Approval",$G97)</f>
        <v/>
      </c>
      <c r="R97" t="str">
        <f ca="1">_xll.DBRW(Server&amp;Cube1,Q97,"Management_Unit_Name")</f>
        <v/>
      </c>
      <c r="S97" t="s">
        <v>101</v>
      </c>
    </row>
    <row r="98" spans="7:19" x14ac:dyDescent="0.25">
      <c r="G98">
        <f t="shared" si="1"/>
        <v>97</v>
      </c>
      <c r="H98" t="str">
        <f ca="1">_xll.SUBNM(Server&amp;"Management_Organization","CountryRegionList",G98)</f>
        <v>NETH_Other_ARCH</v>
      </c>
      <c r="I98" s="20" t="str">
        <f ca="1">_xll.ELCOMP(Server&amp;"Legal_Organization",$F$17,G98)</f>
        <v/>
      </c>
      <c r="J98" t="str">
        <f ca="1">_xll.DBRA(Server&amp;"Legal_Organization",I98,LocalLanguage)</f>
        <v/>
      </c>
      <c r="L98" t="str">
        <f ca="1">_xll.SUBNM(Server&amp;"Activity","AllActivities",G98)</f>
        <v/>
      </c>
      <c r="N98" t="str">
        <f ca="1">_xll.SUBNM(Server&amp;"Type_Client","AllTypeClient",G98)</f>
        <v/>
      </c>
      <c r="P98" t="str">
        <f ca="1">_xll.SUBNM(Server&amp;"Economic_Model","AllEcoModel",G98)</f>
        <v/>
      </c>
      <c r="Q98" t="str">
        <f ca="1">_xll.DIMNM(Server&amp;"z_Contract_Pending_Approval",$G98)</f>
        <v/>
      </c>
      <c r="R98" t="str">
        <f ca="1">_xll.DBRW(Server&amp;Cube1,Q98,"Management_Unit_Name")</f>
        <v/>
      </c>
      <c r="S98" t="s">
        <v>101</v>
      </c>
    </row>
    <row r="99" spans="7:19" x14ac:dyDescent="0.25">
      <c r="G99">
        <f t="shared" si="1"/>
        <v>98</v>
      </c>
      <c r="H99" t="str">
        <f ca="1">_xll.SUBNM(Server&amp;"Management_Organization","CountryRegionList",G99)</f>
        <v>BEL</v>
      </c>
      <c r="I99" s="20" t="str">
        <f ca="1">_xll.ELCOMP(Server&amp;"Legal_Organization",$F$17,G99)</f>
        <v/>
      </c>
      <c r="J99" t="str">
        <f ca="1">_xll.DBRA(Server&amp;"Legal_Organization",I99,LocalLanguage)</f>
        <v/>
      </c>
      <c r="L99" t="str">
        <f ca="1">_xll.SUBNM(Server&amp;"Activity","AllActivities",G99)</f>
        <v/>
      </c>
      <c r="N99" t="str">
        <f ca="1">_xll.SUBNM(Server&amp;"Type_Client","AllTypeClient",G99)</f>
        <v/>
      </c>
      <c r="P99" t="str">
        <f ca="1">_xll.SUBNM(Server&amp;"Economic_Model","AllEcoModel",G99)</f>
        <v/>
      </c>
      <c r="Q99" t="str">
        <f ca="1">_xll.DIMNM(Server&amp;"z_Contract_Pending_Approval",$G99)</f>
        <v/>
      </c>
      <c r="R99" t="str">
        <f ca="1">_xll.DBRW(Server&amp;Cube1,Q99,"Management_Unit_Name")</f>
        <v/>
      </c>
      <c r="S99" t="s">
        <v>101</v>
      </c>
    </row>
    <row r="100" spans="7:19" x14ac:dyDescent="0.25">
      <c r="G100">
        <f t="shared" si="1"/>
        <v>99</v>
      </c>
      <c r="H100" t="str">
        <f ca="1">_xll.SUBNM(Server&amp;"Management_Organization","CountryRegionList",G100)</f>
        <v>BEL_ARCH</v>
      </c>
      <c r="I100" s="20" t="str">
        <f ca="1">_xll.ELCOMP(Server&amp;"Legal_Organization",$F$17,G100)</f>
        <v/>
      </c>
      <c r="J100" t="str">
        <f ca="1">_xll.DBRA(Server&amp;"Legal_Organization",I100,LocalLanguage)</f>
        <v/>
      </c>
      <c r="L100" t="str">
        <f ca="1">_xll.SUBNM(Server&amp;"Activity","AllActivities",G100)</f>
        <v/>
      </c>
      <c r="N100" t="str">
        <f ca="1">_xll.SUBNM(Server&amp;"Type_Client","AllTypeClient",G100)</f>
        <v/>
      </c>
      <c r="P100" t="str">
        <f ca="1">_xll.SUBNM(Server&amp;"Economic_Model","AllEcoModel",G100)</f>
        <v/>
      </c>
      <c r="Q100" t="str">
        <f ca="1">_xll.DIMNM(Server&amp;"z_Contract_Pending_Approval",$G100)</f>
        <v/>
      </c>
      <c r="R100" t="str">
        <f ca="1">_xll.DBRW(Server&amp;Cube1,Q100,"Management_Unit_Name")</f>
        <v/>
      </c>
      <c r="S100" t="s">
        <v>101</v>
      </c>
    </row>
    <row r="101" spans="7:19" x14ac:dyDescent="0.25">
      <c r="G101">
        <f t="shared" si="1"/>
        <v>100</v>
      </c>
      <c r="H101" t="str">
        <f ca="1">_xll.SUBNM(Server&amp;"Management_Organization","CountryRegionList",G101)</f>
        <v>AMEA</v>
      </c>
      <c r="I101" s="20" t="str">
        <f ca="1">_xll.ELCOMP(Server&amp;"Legal_Organization",$F$17,G101)</f>
        <v/>
      </c>
      <c r="J101" t="str">
        <f ca="1">_xll.DBRA(Server&amp;"Legal_Organization",I101,LocalLanguage)</f>
        <v/>
      </c>
      <c r="L101" t="str">
        <f ca="1">_xll.SUBNM(Server&amp;"Activity","AllActivities",G101)</f>
        <v/>
      </c>
      <c r="N101" t="str">
        <f ca="1">_xll.SUBNM(Server&amp;"Type_Client","AllTypeClient",G101)</f>
        <v/>
      </c>
      <c r="P101" t="str">
        <f ca="1">_xll.SUBNM(Server&amp;"Economic_Model","AllEcoModel",G101)</f>
        <v/>
      </c>
      <c r="Q101" t="str">
        <f ca="1">_xll.DIMNM(Server&amp;"z_Contract_Pending_Approval",$G101)</f>
        <v/>
      </c>
      <c r="R101" t="str">
        <f ca="1">_xll.DBRW(Server&amp;Cube1,Q101,"Management_Unit_Name")</f>
        <v/>
      </c>
      <c r="S101" t="s">
        <v>101</v>
      </c>
    </row>
    <row r="102" spans="7:19" x14ac:dyDescent="0.25">
      <c r="G102">
        <f>ROW()-1</f>
        <v>101</v>
      </c>
      <c r="H102" t="str">
        <f ca="1">_xll.SUBNM(Server&amp;"Management_Organization","CountryRegionList",G102)</f>
        <v>ASIA</v>
      </c>
      <c r="I102" s="20" t="str">
        <f ca="1">_xll.ELCOMP(Server&amp;"Legal_Organization",$F$17,G102)</f>
        <v/>
      </c>
      <c r="J102" t="str">
        <f ca="1">_xll.DBRA(Server&amp;"Legal_Organization",I102,LocalLanguage)</f>
        <v/>
      </c>
      <c r="L102" t="str">
        <f ca="1">_xll.SUBNM(Server&amp;"Activity","AllActivities",G102)</f>
        <v/>
      </c>
      <c r="N102" t="str">
        <f ca="1">_xll.SUBNM(Server&amp;"Type_Client","AllTypeClient",G102)</f>
        <v/>
      </c>
      <c r="P102" t="str">
        <f ca="1">_xll.SUBNM(Server&amp;"Economic_Model","AllEcoModel",G102)</f>
        <v/>
      </c>
      <c r="Q102" t="str">
        <f ca="1">_xll.DIMNM(Server&amp;"z_Contract_Pending_Approval",$G102)</f>
        <v/>
      </c>
      <c r="R102" t="str">
        <f ca="1">_xll.DBRW(Server&amp;Cube1,Q102,"Management_Unit_Name")</f>
        <v/>
      </c>
      <c r="S102" t="s">
        <v>101</v>
      </c>
    </row>
    <row r="103" spans="7:19" x14ac:dyDescent="0.25">
      <c r="G103">
        <f t="shared" ref="G103:G166" si="2">ROW()-1</f>
        <v>102</v>
      </c>
      <c r="H103" t="str">
        <f ca="1">_xll.SUBNM(Server&amp;"Management_Organization","CountryRegionList",G103)</f>
        <v>ASIA_Corp</v>
      </c>
      <c r="I103" s="20" t="str">
        <f ca="1">_xll.ELCOMP(Server&amp;"Legal_Organization",$F$17,G103)</f>
        <v/>
      </c>
      <c r="J103" t="str">
        <f ca="1">_xll.DBRA(Server&amp;"Legal_Organization",I103,LocalLanguage)</f>
        <v/>
      </c>
      <c r="L103" t="str">
        <f ca="1">_xll.SUBNM(Server&amp;"Activity","AllActivities",G103)</f>
        <v/>
      </c>
      <c r="N103" t="str">
        <f ca="1">_xll.SUBNM(Server&amp;"Type_Client","AllTypeClient",G103)</f>
        <v/>
      </c>
      <c r="P103" t="str">
        <f ca="1">_xll.SUBNM(Server&amp;"Economic_Model","AllEcoModel",G103)</f>
        <v/>
      </c>
      <c r="Q103" t="str">
        <f ca="1">_xll.DIMNM(Server&amp;"z_Contract_Pending_Approval",$G103)</f>
        <v/>
      </c>
      <c r="R103" t="str">
        <f ca="1">_xll.DBRW(Server&amp;Cube1,Q103,"Management_Unit_Name")</f>
        <v/>
      </c>
      <c r="S103" t="s">
        <v>101</v>
      </c>
    </row>
    <row r="104" spans="7:19" x14ac:dyDescent="0.25">
      <c r="G104">
        <f t="shared" si="2"/>
        <v>103</v>
      </c>
      <c r="H104" t="str">
        <f ca="1">_xll.SUBNM(Server&amp;"Management_Organization","CountryRegionList",G104)</f>
        <v>IN</v>
      </c>
      <c r="I104" s="20" t="str">
        <f ca="1">_xll.ELCOMP(Server&amp;"Legal_Organization",$F$17,G104)</f>
        <v/>
      </c>
      <c r="J104" t="str">
        <f ca="1">_xll.DBRA(Server&amp;"Legal_Organization",I104,LocalLanguage)</f>
        <v/>
      </c>
      <c r="L104" t="str">
        <f ca="1">_xll.SUBNM(Server&amp;"Activity","AllActivities",G104)</f>
        <v/>
      </c>
      <c r="N104" t="str">
        <f ca="1">_xll.SUBNM(Server&amp;"Type_Client","AllTypeClient",G104)</f>
        <v/>
      </c>
      <c r="P104" t="str">
        <f ca="1">_xll.SUBNM(Server&amp;"Economic_Model","AllEcoModel",G104)</f>
        <v/>
      </c>
      <c r="Q104" t="str">
        <f ca="1">_xll.DIMNM(Server&amp;"z_Contract_Pending_Approval",$G104)</f>
        <v/>
      </c>
      <c r="R104" t="str">
        <f ca="1">_xll.DBRW(Server&amp;Cube1,Q104,"Management_Unit_Name")</f>
        <v/>
      </c>
      <c r="S104" t="s">
        <v>101</v>
      </c>
    </row>
    <row r="105" spans="7:19" x14ac:dyDescent="0.25">
      <c r="G105">
        <f t="shared" si="2"/>
        <v>104</v>
      </c>
      <c r="H105" t="str">
        <f ca="1">_xll.SUBNM(Server&amp;"Management_Organization","CountryRegionList",G105)</f>
        <v>IN_ARCH</v>
      </c>
      <c r="I105" s="20" t="str">
        <f ca="1">_xll.ELCOMP(Server&amp;"Legal_Organization",$F$17,G105)</f>
        <v/>
      </c>
      <c r="J105" t="str">
        <f ca="1">_xll.DBRA(Server&amp;"Legal_Organization",I105,LocalLanguage)</f>
        <v/>
      </c>
      <c r="L105" t="str">
        <f ca="1">_xll.SUBNM(Server&amp;"Activity","AllActivities",G105)</f>
        <v/>
      </c>
      <c r="N105" t="str">
        <f ca="1">_xll.SUBNM(Server&amp;"Type_Client","AllTypeClient",G105)</f>
        <v/>
      </c>
      <c r="P105" t="str">
        <f ca="1">_xll.SUBNM(Server&amp;"Economic_Model","AllEcoModel",G105)</f>
        <v/>
      </c>
      <c r="Q105" t="str">
        <f ca="1">_xll.DIMNM(Server&amp;"z_Contract_Pending_Approval",$G105)</f>
        <v/>
      </c>
      <c r="R105" t="str">
        <f ca="1">_xll.DBRW(Server&amp;Cube1,Q105,"Management_Unit_Name")</f>
        <v/>
      </c>
      <c r="S105" t="s">
        <v>101</v>
      </c>
    </row>
    <row r="106" spans="7:19" x14ac:dyDescent="0.25">
      <c r="G106">
        <f t="shared" si="2"/>
        <v>105</v>
      </c>
      <c r="H106" t="str">
        <f ca="1">_xll.SUBNM(Server&amp;"Management_Organization","CountryRegionList",G106)</f>
        <v>CHN</v>
      </c>
      <c r="I106" s="20" t="str">
        <f ca="1">_xll.ELCOMP(Server&amp;"Legal_Organization",$F$17,G106)</f>
        <v/>
      </c>
      <c r="J106" t="str">
        <f ca="1">_xll.DBRA(Server&amp;"Legal_Organization",I106,LocalLanguage)</f>
        <v/>
      </c>
      <c r="L106" t="str">
        <f ca="1">_xll.SUBNM(Server&amp;"Activity","AllActivities",G106)</f>
        <v/>
      </c>
      <c r="N106" t="str">
        <f ca="1">_xll.SUBNM(Server&amp;"Type_Client","AllTypeClient",G106)</f>
        <v/>
      </c>
      <c r="P106" t="str">
        <f ca="1">_xll.SUBNM(Server&amp;"Economic_Model","AllEcoModel",G106)</f>
        <v/>
      </c>
      <c r="Q106" t="str">
        <f ca="1">_xll.DIMNM(Server&amp;"z_Contract_Pending_Approval",$G106)</f>
        <v/>
      </c>
      <c r="R106" t="str">
        <f ca="1">_xll.DBRW(Server&amp;Cube1,Q106,"Management_Unit_Name")</f>
        <v/>
      </c>
      <c r="S106" t="s">
        <v>101</v>
      </c>
    </row>
    <row r="107" spans="7:19" x14ac:dyDescent="0.25">
      <c r="G107">
        <f t="shared" si="2"/>
        <v>106</v>
      </c>
      <c r="H107" t="str">
        <f ca="1">_xll.SUBNM(Server&amp;"Management_Organization","CountryRegionList",G107)</f>
        <v>CHN_ARCH</v>
      </c>
      <c r="I107" s="20" t="str">
        <f ca="1">_xll.ELCOMP(Server&amp;"Legal_Organization",$F$17,G107)</f>
        <v/>
      </c>
      <c r="J107" t="str">
        <f ca="1">_xll.DBRA(Server&amp;"Legal_Organization",I107,LocalLanguage)</f>
        <v/>
      </c>
      <c r="L107" t="str">
        <f ca="1">_xll.SUBNM(Server&amp;"Activity","AllActivities",G107)</f>
        <v/>
      </c>
      <c r="N107" t="str">
        <f ca="1">_xll.SUBNM(Server&amp;"Type_Client","AllTypeClient",G107)</f>
        <v/>
      </c>
      <c r="P107" t="str">
        <f ca="1">_xll.SUBNM(Server&amp;"Economic_Model","AllEcoModel",G107)</f>
        <v/>
      </c>
      <c r="Q107" t="str">
        <f ca="1">_xll.DIMNM(Server&amp;"z_Contract_Pending_Approval",$G107)</f>
        <v/>
      </c>
      <c r="R107" t="str">
        <f ca="1">_xll.DBRW(Server&amp;Cube1,Q107,"Management_Unit_Name")</f>
        <v/>
      </c>
      <c r="S107" t="s">
        <v>101</v>
      </c>
    </row>
    <row r="108" spans="7:19" x14ac:dyDescent="0.25">
      <c r="G108">
        <f t="shared" si="2"/>
        <v>107</v>
      </c>
      <c r="H108" t="str">
        <f ca="1">_xll.SUBNM(Server&amp;"Management_Organization","CountryRegionList",G108)</f>
        <v>HK</v>
      </c>
      <c r="I108" s="20" t="str">
        <f ca="1">_xll.ELCOMP(Server&amp;"Legal_Organization",$F$17,G108)</f>
        <v/>
      </c>
      <c r="J108" t="str">
        <f ca="1">_xll.DBRA(Server&amp;"Legal_Organization",I108,LocalLanguage)</f>
        <v/>
      </c>
      <c r="L108" t="str">
        <f ca="1">_xll.SUBNM(Server&amp;"Activity","AllActivities",G108)</f>
        <v/>
      </c>
      <c r="N108" t="str">
        <f ca="1">_xll.SUBNM(Server&amp;"Type_Client","AllTypeClient",G108)</f>
        <v/>
      </c>
      <c r="P108" t="str">
        <f ca="1">_xll.SUBNM(Server&amp;"Economic_Model","AllEcoModel",G108)</f>
        <v/>
      </c>
      <c r="Q108" t="str">
        <f ca="1">_xll.DIMNM(Server&amp;"z_Contract_Pending_Approval",$G108)</f>
        <v/>
      </c>
      <c r="R108" t="str">
        <f ca="1">_xll.DBRW(Server&amp;Cube1,Q108,"Management_Unit_Name")</f>
        <v/>
      </c>
      <c r="S108" t="s">
        <v>101</v>
      </c>
    </row>
    <row r="109" spans="7:19" x14ac:dyDescent="0.25">
      <c r="G109">
        <f t="shared" si="2"/>
        <v>108</v>
      </c>
      <c r="H109" t="str">
        <f ca="1">_xll.SUBNM(Server&amp;"Management_Organization","CountryRegionList",G109)</f>
        <v>KR</v>
      </c>
      <c r="I109" s="20" t="str">
        <f ca="1">_xll.ELCOMP(Server&amp;"Legal_Organization",$F$17,G109)</f>
        <v/>
      </c>
      <c r="J109" t="str">
        <f ca="1">_xll.DBRA(Server&amp;"Legal_Organization",I109,LocalLanguage)</f>
        <v/>
      </c>
      <c r="L109" t="str">
        <f ca="1">_xll.SUBNM(Server&amp;"Activity","AllActivities",G109)</f>
        <v/>
      </c>
      <c r="N109" t="str">
        <f ca="1">_xll.SUBNM(Server&amp;"Type_Client","AllTypeClient",G109)</f>
        <v/>
      </c>
      <c r="P109" t="str">
        <f ca="1">_xll.SUBNM(Server&amp;"Economic_Model","AllEcoModel",G109)</f>
        <v/>
      </c>
      <c r="Q109" t="str">
        <f ca="1">_xll.DIMNM(Server&amp;"z_Contract_Pending_Approval",$G109)</f>
        <v/>
      </c>
      <c r="R109" t="str">
        <f ca="1">_xll.DBRW(Server&amp;Cube1,Q109,"Management_Unit_Name")</f>
        <v/>
      </c>
      <c r="S109" t="s">
        <v>101</v>
      </c>
    </row>
    <row r="110" spans="7:19" x14ac:dyDescent="0.25">
      <c r="G110">
        <f t="shared" si="2"/>
        <v>109</v>
      </c>
      <c r="H110" t="str">
        <f ca="1">_xll.SUBNM(Server&amp;"Management_Organization","CountryRegionList",G110)</f>
        <v>KR_ARCH</v>
      </c>
      <c r="I110" s="20" t="str">
        <f ca="1">_xll.ELCOMP(Server&amp;"Legal_Organization",$F$17,G110)</f>
        <v/>
      </c>
      <c r="J110" t="str">
        <f ca="1">_xll.DBRA(Server&amp;"Legal_Organization",I110,LocalLanguage)</f>
        <v/>
      </c>
      <c r="L110" t="str">
        <f ca="1">_xll.SUBNM(Server&amp;"Activity","AllActivities",G110)</f>
        <v/>
      </c>
      <c r="N110" t="str">
        <f ca="1">_xll.SUBNM(Server&amp;"Type_Client","AllTypeClient",G110)</f>
        <v/>
      </c>
      <c r="P110" t="str">
        <f ca="1">_xll.SUBNM(Server&amp;"Economic_Model","AllEcoModel",G110)</f>
        <v/>
      </c>
      <c r="Q110" t="str">
        <f ca="1">_xll.DIMNM(Server&amp;"z_Contract_Pending_Approval",$G110)</f>
        <v/>
      </c>
      <c r="R110" t="str">
        <f ca="1">_xll.DBRW(Server&amp;Cube1,Q110,"Management_Unit_Name")</f>
        <v/>
      </c>
      <c r="S110" t="s">
        <v>101</v>
      </c>
    </row>
    <row r="111" spans="7:19" x14ac:dyDescent="0.25">
      <c r="G111">
        <f t="shared" si="2"/>
        <v>110</v>
      </c>
      <c r="H111" t="str">
        <f ca="1">_xll.SUBNM(Server&amp;"Management_Organization","CountryRegionList",G111)</f>
        <v>PH</v>
      </c>
      <c r="I111" s="20" t="str">
        <f ca="1">_xll.ELCOMP(Server&amp;"Legal_Organization",$F$17,G111)</f>
        <v/>
      </c>
      <c r="J111" t="str">
        <f ca="1">_xll.DBRA(Server&amp;"Legal_Organization",I111,LocalLanguage)</f>
        <v/>
      </c>
      <c r="L111" t="str">
        <f ca="1">_xll.SUBNM(Server&amp;"Activity","AllActivities",G111)</f>
        <v/>
      </c>
      <c r="N111" t="str">
        <f ca="1">_xll.SUBNM(Server&amp;"Type_Client","AllTypeClient",G111)</f>
        <v/>
      </c>
      <c r="P111" t="str">
        <f ca="1">_xll.SUBNM(Server&amp;"Economic_Model","AllEcoModel",G111)</f>
        <v/>
      </c>
      <c r="Q111" t="str">
        <f ca="1">_xll.DIMNM(Server&amp;"z_Contract_Pending_Approval",$G111)</f>
        <v/>
      </c>
      <c r="R111" t="str">
        <f ca="1">_xll.DBRW(Server&amp;Cube1,Q111,"Management_Unit_Name")</f>
        <v/>
      </c>
      <c r="S111" t="s">
        <v>101</v>
      </c>
    </row>
    <row r="112" spans="7:19" x14ac:dyDescent="0.25">
      <c r="G112">
        <f t="shared" si="2"/>
        <v>111</v>
      </c>
      <c r="H112" t="str">
        <f ca="1">_xll.SUBNM(Server&amp;"Management_Organization","CountryRegionList",G112)</f>
        <v>PH_ARCH</v>
      </c>
      <c r="I112" s="20" t="str">
        <f ca="1">_xll.ELCOMP(Server&amp;"Legal_Organization",$F$17,G112)</f>
        <v/>
      </c>
      <c r="J112" t="str">
        <f ca="1">_xll.DBRA(Server&amp;"Legal_Organization",I112,LocalLanguage)</f>
        <v/>
      </c>
      <c r="L112" t="str">
        <f ca="1">_xll.SUBNM(Server&amp;"Activity","AllActivities",G112)</f>
        <v/>
      </c>
      <c r="N112" t="str">
        <f ca="1">_xll.SUBNM(Server&amp;"Type_Client","AllTypeClient",G112)</f>
        <v/>
      </c>
      <c r="P112" t="str">
        <f ca="1">_xll.SUBNM(Server&amp;"Economic_Model","AllEcoModel",G112)</f>
        <v/>
      </c>
      <c r="Q112" t="str">
        <f ca="1">_xll.DIMNM(Server&amp;"z_Contract_Pending_Approval",$G112)</f>
        <v/>
      </c>
      <c r="R112" t="str">
        <f ca="1">_xll.DBRW(Server&amp;Cube1,Q112,"Management_Unit_Name")</f>
        <v/>
      </c>
      <c r="S112" t="s">
        <v>101</v>
      </c>
    </row>
    <row r="113" spans="7:19" x14ac:dyDescent="0.25">
      <c r="G113">
        <f t="shared" si="2"/>
        <v>112</v>
      </c>
      <c r="H113" t="str">
        <f ca="1">_xll.SUBNM(Server&amp;"Management_Organization","CountryRegionList",G113)</f>
        <v>MR</v>
      </c>
      <c r="I113" s="20" t="str">
        <f ca="1">_xll.ELCOMP(Server&amp;"Legal_Organization",$F$17,G113)</f>
        <v/>
      </c>
      <c r="J113" t="str">
        <f ca="1">_xll.DBRA(Server&amp;"Legal_Organization",I113,LocalLanguage)</f>
        <v/>
      </c>
      <c r="L113" t="str">
        <f ca="1">_xll.SUBNM(Server&amp;"Activity","AllActivities",G113)</f>
        <v/>
      </c>
      <c r="N113" t="str">
        <f ca="1">_xll.SUBNM(Server&amp;"Type_Client","AllTypeClient",G113)</f>
        <v/>
      </c>
      <c r="P113" t="str">
        <f ca="1">_xll.SUBNM(Server&amp;"Economic_Model","AllEcoModel",G113)</f>
        <v/>
      </c>
      <c r="Q113" t="str">
        <f ca="1">_xll.DIMNM(Server&amp;"z_Contract_Pending_Approval",$G113)</f>
        <v/>
      </c>
      <c r="R113" t="str">
        <f ca="1">_xll.DBRW(Server&amp;Cube1,Q113,"Management_Unit_Name")</f>
        <v/>
      </c>
      <c r="S113" t="s">
        <v>101</v>
      </c>
    </row>
    <row r="114" spans="7:19" x14ac:dyDescent="0.25">
      <c r="G114">
        <f t="shared" si="2"/>
        <v>113</v>
      </c>
      <c r="H114" t="str">
        <f ca="1">_xll.SUBNM(Server&amp;"Management_Organization","CountryRegionList",G114)</f>
        <v>MR_ARCH</v>
      </c>
      <c r="I114" s="20" t="str">
        <f ca="1">_xll.ELCOMP(Server&amp;"Legal_Organization",$F$17,G114)</f>
        <v/>
      </c>
      <c r="J114" t="str">
        <f ca="1">_xll.DBRA(Server&amp;"Legal_Organization",I114,LocalLanguage)</f>
        <v/>
      </c>
      <c r="L114" t="str">
        <f ca="1">_xll.SUBNM(Server&amp;"Activity","AllActivities",G114)</f>
        <v/>
      </c>
      <c r="N114" t="str">
        <f ca="1">_xll.SUBNM(Server&amp;"Type_Client","AllTypeClient",G114)</f>
        <v/>
      </c>
      <c r="P114" t="str">
        <f ca="1">_xll.SUBNM(Server&amp;"Economic_Model","AllEcoModel",G114)</f>
        <v/>
      </c>
      <c r="Q114" t="str">
        <f ca="1">_xll.DIMNM(Server&amp;"z_Contract_Pending_Approval",$G114)</f>
        <v/>
      </c>
      <c r="R114" t="str">
        <f ca="1">_xll.DBRW(Server&amp;Cube1,Q114,"Management_Unit_Name")</f>
        <v/>
      </c>
      <c r="S114" t="s">
        <v>101</v>
      </c>
    </row>
    <row r="115" spans="7:19" x14ac:dyDescent="0.25">
      <c r="G115">
        <f t="shared" si="2"/>
        <v>114</v>
      </c>
      <c r="H115" t="str">
        <f ca="1">_xll.SUBNM(Server&amp;"Management_Organization","CountryRegionList",G115)</f>
        <v>IS</v>
      </c>
      <c r="I115" s="20" t="str">
        <f ca="1">_xll.ELCOMP(Server&amp;"Legal_Organization",$F$17,G115)</f>
        <v/>
      </c>
      <c r="J115" t="str">
        <f ca="1">_xll.DBRA(Server&amp;"Legal_Organization",I115,LocalLanguage)</f>
        <v/>
      </c>
      <c r="L115" t="str">
        <f ca="1">_xll.SUBNM(Server&amp;"Activity","AllActivities",G115)</f>
        <v/>
      </c>
      <c r="N115" t="str">
        <f ca="1">_xll.SUBNM(Server&amp;"Type_Client","AllTypeClient",G115)</f>
        <v/>
      </c>
      <c r="P115" t="str">
        <f ca="1">_xll.SUBNM(Server&amp;"Economic_Model","AllEcoModel",G115)</f>
        <v/>
      </c>
      <c r="Q115" t="str">
        <f ca="1">_xll.DIMNM(Server&amp;"z_Contract_Pending_Approval",$G115)</f>
        <v/>
      </c>
      <c r="R115" t="str">
        <f ca="1">_xll.DBRW(Server&amp;Cube1,Q115,"Management_Unit_Name")</f>
        <v/>
      </c>
      <c r="S115" t="s">
        <v>101</v>
      </c>
    </row>
    <row r="116" spans="7:19" x14ac:dyDescent="0.25">
      <c r="G116">
        <f t="shared" si="2"/>
        <v>115</v>
      </c>
      <c r="H116" t="str">
        <f ca="1">_xll.SUBNM(Server&amp;"Management_Organization","CountryRegionList",G116)</f>
        <v>AMEA_ARCH</v>
      </c>
      <c r="I116" s="20" t="str">
        <f ca="1">_xll.ELCOMP(Server&amp;"Legal_Organization",$F$17,G116)</f>
        <v/>
      </c>
      <c r="J116" t="str">
        <f ca="1">_xll.DBRA(Server&amp;"Legal_Organization",I116,LocalLanguage)</f>
        <v/>
      </c>
      <c r="L116" t="str">
        <f ca="1">_xll.SUBNM(Server&amp;"Activity","AllActivities",G116)</f>
        <v/>
      </c>
      <c r="N116" t="str">
        <f ca="1">_xll.SUBNM(Server&amp;"Type_Client","AllTypeClient",G116)</f>
        <v/>
      </c>
      <c r="P116" t="str">
        <f ca="1">_xll.SUBNM(Server&amp;"Economic_Model","AllEcoModel",G116)</f>
        <v/>
      </c>
      <c r="Q116" t="str">
        <f ca="1">_xll.DIMNM(Server&amp;"z_Contract_Pending_Approval",$G116)</f>
        <v/>
      </c>
      <c r="R116" t="str">
        <f ca="1">_xll.DBRW(Server&amp;Cube1,Q116,"Management_Unit_Name")</f>
        <v/>
      </c>
      <c r="S116" t="s">
        <v>101</v>
      </c>
    </row>
    <row r="117" spans="7:19" x14ac:dyDescent="0.25">
      <c r="G117">
        <f t="shared" si="2"/>
        <v>116</v>
      </c>
      <c r="H117" t="str">
        <f ca="1">_xll.SUBNM(Server&amp;"Management_Organization","CountryRegionList",G117)</f>
        <v>AL</v>
      </c>
      <c r="I117" s="20" t="str">
        <f ca="1">_xll.ELCOMP(Server&amp;"Legal_Organization",$F$17,G117)</f>
        <v/>
      </c>
      <c r="J117" t="str">
        <f ca="1">_xll.DBRA(Server&amp;"Legal_Organization",I117,LocalLanguage)</f>
        <v/>
      </c>
      <c r="L117" t="str">
        <f ca="1">_xll.SUBNM(Server&amp;"Activity","AllActivities",G117)</f>
        <v/>
      </c>
      <c r="N117" t="str">
        <f ca="1">_xll.SUBNM(Server&amp;"Type_Client","AllTypeClient",G117)</f>
        <v/>
      </c>
      <c r="P117" t="str">
        <f ca="1">_xll.SUBNM(Server&amp;"Economic_Model","AllEcoModel",G117)</f>
        <v/>
      </c>
      <c r="Q117" t="str">
        <f ca="1">_xll.DIMNM(Server&amp;"z_Contract_Pending_Approval",$G117)</f>
        <v/>
      </c>
      <c r="R117" t="str">
        <f ca="1">_xll.DBRW(Server&amp;Cube1,Q117,"Management_Unit_Name")</f>
        <v/>
      </c>
      <c r="S117" t="s">
        <v>101</v>
      </c>
    </row>
    <row r="118" spans="7:19" x14ac:dyDescent="0.25">
      <c r="G118">
        <f t="shared" si="2"/>
        <v>117</v>
      </c>
      <c r="H118" t="str">
        <f ca="1">_xll.SUBNM(Server&amp;"Management_Organization","CountryRegionList",G118)</f>
        <v>LI</v>
      </c>
      <c r="I118" s="20" t="str">
        <f ca="1">_xll.ELCOMP(Server&amp;"Legal_Organization",$F$17,G118)</f>
        <v/>
      </c>
      <c r="J118" t="str">
        <f ca="1">_xll.DBRA(Server&amp;"Legal_Organization",I118,LocalLanguage)</f>
        <v/>
      </c>
      <c r="L118" t="str">
        <f ca="1">_xll.SUBNM(Server&amp;"Activity","AllActivities",G118)</f>
        <v/>
      </c>
      <c r="N118" t="str">
        <f ca="1">_xll.SUBNM(Server&amp;"Type_Client","AllTypeClient",G118)</f>
        <v/>
      </c>
      <c r="P118" t="str">
        <f ca="1">_xll.SUBNM(Server&amp;"Economic_Model","AllEcoModel",G118)</f>
        <v/>
      </c>
      <c r="Q118" t="str">
        <f ca="1">_xll.DIMNM(Server&amp;"z_Contract_Pending_Approval",$G118)</f>
        <v/>
      </c>
      <c r="R118" t="str">
        <f ca="1">_xll.DBRW(Server&amp;Cube1,Q118,"Management_Unit_Name")</f>
        <v/>
      </c>
      <c r="S118" t="s">
        <v>101</v>
      </c>
    </row>
    <row r="119" spans="7:19" x14ac:dyDescent="0.25">
      <c r="G119">
        <f t="shared" si="2"/>
        <v>118</v>
      </c>
      <c r="H119" t="str">
        <f ca="1">_xll.SUBNM(Server&amp;"Management_Organization","CountryRegionList",G119)</f>
        <v>South_Europe</v>
      </c>
      <c r="I119" s="20" t="str">
        <f ca="1">_xll.ELCOMP(Server&amp;"Legal_Organization",$F$17,G119)</f>
        <v/>
      </c>
      <c r="J119" t="str">
        <f ca="1">_xll.DBRA(Server&amp;"Legal_Organization",I119,LocalLanguage)</f>
        <v/>
      </c>
      <c r="L119" t="str">
        <f ca="1">_xll.SUBNM(Server&amp;"Activity","AllActivities",G119)</f>
        <v/>
      </c>
      <c r="N119" t="str">
        <f ca="1">_xll.SUBNM(Server&amp;"Type_Client","AllTypeClient",G119)</f>
        <v/>
      </c>
      <c r="P119" t="str">
        <f ca="1">_xll.SUBNM(Server&amp;"Economic_Model","AllEcoModel",G119)</f>
        <v/>
      </c>
      <c r="Q119" t="str">
        <f ca="1">_xll.DIMNM(Server&amp;"z_Contract_Pending_Approval",$G119)</f>
        <v/>
      </c>
      <c r="R119" t="str">
        <f ca="1">_xll.DBRW(Server&amp;Cube1,Q119,"Management_Unit_Name")</f>
        <v/>
      </c>
      <c r="S119" t="s">
        <v>101</v>
      </c>
    </row>
    <row r="120" spans="7:19" x14ac:dyDescent="0.25">
      <c r="G120">
        <f t="shared" si="2"/>
        <v>119</v>
      </c>
      <c r="H120" t="str">
        <f ca="1">_xll.SUBNM(Server&amp;"Management_Organization","CountryRegionList",G120)</f>
        <v>POR</v>
      </c>
      <c r="I120" s="20" t="str">
        <f ca="1">_xll.ELCOMP(Server&amp;"Legal_Organization",$F$17,G120)</f>
        <v/>
      </c>
      <c r="J120" t="str">
        <f ca="1">_xll.DBRA(Server&amp;"Legal_Organization",I120,LocalLanguage)</f>
        <v/>
      </c>
      <c r="L120" t="str">
        <f ca="1">_xll.SUBNM(Server&amp;"Activity","AllActivities",G120)</f>
        <v/>
      </c>
      <c r="N120" t="str">
        <f ca="1">_xll.SUBNM(Server&amp;"Type_Client","AllTypeClient",G120)</f>
        <v/>
      </c>
      <c r="P120" t="str">
        <f ca="1">_xll.SUBNM(Server&amp;"Economic_Model","AllEcoModel",G120)</f>
        <v/>
      </c>
      <c r="Q120" t="str">
        <f ca="1">_xll.DIMNM(Server&amp;"z_Contract_Pending_Approval",$G120)</f>
        <v/>
      </c>
      <c r="R120" t="str">
        <f ca="1">_xll.DBRW(Server&amp;Cube1,Q120,"Management_Unit_Name")</f>
        <v/>
      </c>
      <c r="S120" t="s">
        <v>101</v>
      </c>
    </row>
    <row r="121" spans="7:19" x14ac:dyDescent="0.25">
      <c r="G121">
        <f t="shared" si="2"/>
        <v>120</v>
      </c>
      <c r="H121" t="str">
        <f ca="1">_xll.SUBNM(Server&amp;"Management_Organization","CountryRegionList",G121)</f>
        <v>POR_PR</v>
      </c>
      <c r="I121" s="20" t="str">
        <f ca="1">_xll.ELCOMP(Server&amp;"Legal_Organization",$F$17,G121)</f>
        <v/>
      </c>
      <c r="J121" t="str">
        <f ca="1">_xll.DBRA(Server&amp;"Legal_Organization",I121,LocalLanguage)</f>
        <v/>
      </c>
      <c r="L121" t="str">
        <f ca="1">_xll.SUBNM(Server&amp;"Activity","AllActivities",G121)</f>
        <v/>
      </c>
      <c r="N121" t="str">
        <f ca="1">_xll.SUBNM(Server&amp;"Type_Client","AllTypeClient",G121)</f>
        <v/>
      </c>
      <c r="P121" t="str">
        <f ca="1">_xll.SUBNM(Server&amp;"Economic_Model","AllEcoModel",G121)</f>
        <v/>
      </c>
      <c r="Q121" t="str">
        <f ca="1">_xll.DIMNM(Server&amp;"z_Contract_Pending_Approval",$G121)</f>
        <v/>
      </c>
      <c r="R121" t="str">
        <f ca="1">_xll.DBRW(Server&amp;Cube1,Q121,"Management_Unit_Name")</f>
        <v/>
      </c>
      <c r="S121" t="s">
        <v>101</v>
      </c>
    </row>
    <row r="122" spans="7:19" x14ac:dyDescent="0.25">
      <c r="G122">
        <f t="shared" si="2"/>
        <v>121</v>
      </c>
      <c r="H122" t="str">
        <f ca="1">_xll.SUBNM(Server&amp;"Management_Organization","CountryRegionList",G122)</f>
        <v>POR_PR_NR</v>
      </c>
      <c r="I122" s="20" t="str">
        <f ca="1">_xll.ELCOMP(Server&amp;"Legal_Organization",$F$17,G122)</f>
        <v/>
      </c>
      <c r="J122" t="str">
        <f ca="1">_xll.DBRA(Server&amp;"Legal_Organization",I122,LocalLanguage)</f>
        <v/>
      </c>
      <c r="L122" t="str">
        <f ca="1">_xll.SUBNM(Server&amp;"Activity","AllActivities",G122)</f>
        <v/>
      </c>
      <c r="N122" t="str">
        <f ca="1">_xll.SUBNM(Server&amp;"Type_Client","AllTypeClient",G122)</f>
        <v/>
      </c>
      <c r="P122" t="str">
        <f ca="1">_xll.SUBNM(Server&amp;"Economic_Model","AllEcoModel",G122)</f>
        <v/>
      </c>
      <c r="Q122" t="str">
        <f ca="1">_xll.DIMNM(Server&amp;"z_Contract_Pending_Approval",$G122)</f>
        <v/>
      </c>
      <c r="R122" t="str">
        <f ca="1">_xll.DBRW(Server&amp;Cube1,Q122,"Management_Unit_Name")</f>
        <v/>
      </c>
      <c r="S122" t="s">
        <v>101</v>
      </c>
    </row>
    <row r="123" spans="7:19" x14ac:dyDescent="0.25">
      <c r="G123">
        <f t="shared" si="2"/>
        <v>122</v>
      </c>
      <c r="H123" t="str">
        <f ca="1">_xll.SUBNM(Server&amp;"Management_Organization","CountryRegionList",G123)</f>
        <v>POR_PR_SR</v>
      </c>
      <c r="I123" s="20" t="str">
        <f ca="1">_xll.ELCOMP(Server&amp;"Legal_Organization",$F$17,G123)</f>
        <v/>
      </c>
      <c r="J123" t="str">
        <f ca="1">_xll.DBRA(Server&amp;"Legal_Organization",I123,LocalLanguage)</f>
        <v/>
      </c>
      <c r="L123" t="str">
        <f ca="1">_xll.SUBNM(Server&amp;"Activity","AllActivities",G123)</f>
        <v/>
      </c>
      <c r="N123" t="str">
        <f ca="1">_xll.SUBNM(Server&amp;"Type_Client","AllTypeClient",G123)</f>
        <v/>
      </c>
      <c r="P123" t="str">
        <f ca="1">_xll.SUBNM(Server&amp;"Economic_Model","AllEcoModel",G123)</f>
        <v/>
      </c>
      <c r="Q123" t="str">
        <f ca="1">_xll.DIMNM(Server&amp;"z_Contract_Pending_Approval",$G123)</f>
        <v/>
      </c>
      <c r="R123" t="str">
        <f ca="1">_xll.DBRW(Server&amp;Cube1,Q123,"Management_Unit_Name")</f>
        <v/>
      </c>
      <c r="S123" t="s">
        <v>101</v>
      </c>
    </row>
    <row r="124" spans="7:19" x14ac:dyDescent="0.25">
      <c r="G124">
        <f t="shared" si="2"/>
        <v>123</v>
      </c>
      <c r="H124" t="str">
        <f ca="1">_xll.SUBNM(Server&amp;"Management_Organization","CountryRegionList",G124)</f>
        <v>POR_Holdings</v>
      </c>
      <c r="I124" s="20" t="str">
        <f ca="1">_xll.ELCOMP(Server&amp;"Legal_Organization",$F$17,G124)</f>
        <v/>
      </c>
      <c r="J124" t="str">
        <f ca="1">_xll.DBRA(Server&amp;"Legal_Organization",I124,LocalLanguage)</f>
        <v/>
      </c>
      <c r="L124" t="str">
        <f ca="1">_xll.SUBNM(Server&amp;"Activity","AllActivities",G124)</f>
        <v/>
      </c>
      <c r="N124" t="str">
        <f ca="1">_xll.SUBNM(Server&amp;"Type_Client","AllTypeClient",G124)</f>
        <v/>
      </c>
      <c r="P124" t="str">
        <f ca="1">_xll.SUBNM(Server&amp;"Economic_Model","AllEcoModel",G124)</f>
        <v/>
      </c>
      <c r="Q124" t="str">
        <f ca="1">_xll.DIMNM(Server&amp;"z_Contract_Pending_Approval",$G124)</f>
        <v/>
      </c>
      <c r="R124" t="str">
        <f ca="1">_xll.DBRW(Server&amp;Cube1,Q124,"Management_Unit_Name")</f>
        <v/>
      </c>
      <c r="S124" t="s">
        <v>101</v>
      </c>
    </row>
    <row r="125" spans="7:19" x14ac:dyDescent="0.25">
      <c r="G125">
        <f t="shared" si="2"/>
        <v>124</v>
      </c>
      <c r="H125" t="str">
        <f ca="1">_xll.SUBNM(Server&amp;"Management_Organization","CountryRegionList",G125)</f>
        <v>POR_MP</v>
      </c>
      <c r="I125" s="20" t="str">
        <f ca="1">_xll.ELCOMP(Server&amp;"Legal_Organization",$F$17,G125)</f>
        <v/>
      </c>
      <c r="J125" t="str">
        <f ca="1">_xll.DBRA(Server&amp;"Legal_Organization",I125,LocalLanguage)</f>
        <v/>
      </c>
      <c r="L125" t="str">
        <f ca="1">_xll.SUBNM(Server&amp;"Activity","AllActivities",G125)</f>
        <v/>
      </c>
      <c r="N125" t="str">
        <f ca="1">_xll.SUBNM(Server&amp;"Type_Client","AllTypeClient",G125)</f>
        <v/>
      </c>
      <c r="P125" t="str">
        <f ca="1">_xll.SUBNM(Server&amp;"Economic_Model","AllEcoModel",G125)</f>
        <v/>
      </c>
      <c r="Q125" t="str">
        <f ca="1">_xll.DIMNM(Server&amp;"z_Contract_Pending_Approval",$G125)</f>
        <v/>
      </c>
      <c r="R125" t="str">
        <f ca="1">_xll.DBRW(Server&amp;Cube1,Q125,"Management_Unit_Name")</f>
        <v/>
      </c>
      <c r="S125" t="s">
        <v>101</v>
      </c>
    </row>
    <row r="126" spans="7:19" x14ac:dyDescent="0.25">
      <c r="G126">
        <f t="shared" si="2"/>
        <v>125</v>
      </c>
      <c r="H126" t="str">
        <f ca="1">_xll.SUBNM(Server&amp;"Management_Organization","CountryRegionList",G126)</f>
        <v>POR_ARCH</v>
      </c>
      <c r="I126" s="20" t="str">
        <f ca="1">_xll.ELCOMP(Server&amp;"Legal_Organization",$F$17,G126)</f>
        <v/>
      </c>
      <c r="J126" t="str">
        <f ca="1">_xll.DBRA(Server&amp;"Legal_Organization",I126,LocalLanguage)</f>
        <v/>
      </c>
      <c r="L126" t="str">
        <f ca="1">_xll.SUBNM(Server&amp;"Activity","AllActivities",G126)</f>
        <v/>
      </c>
      <c r="N126" t="str">
        <f ca="1">_xll.SUBNM(Server&amp;"Type_Client","AllTypeClient",G126)</f>
        <v/>
      </c>
      <c r="P126" t="str">
        <f ca="1">_xll.SUBNM(Server&amp;"Economic_Model","AllEcoModel",G126)</f>
        <v/>
      </c>
      <c r="Q126" t="str">
        <f ca="1">_xll.DIMNM(Server&amp;"z_Contract_Pending_Approval",$G126)</f>
        <v/>
      </c>
      <c r="R126" t="str">
        <f ca="1">_xll.DBRW(Server&amp;Cube1,Q126,"Management_Unit_Name")</f>
        <v/>
      </c>
      <c r="S126" t="s">
        <v>101</v>
      </c>
    </row>
    <row r="127" spans="7:19" x14ac:dyDescent="0.25">
      <c r="G127">
        <f t="shared" si="2"/>
        <v>126</v>
      </c>
      <c r="H127" t="str">
        <f ca="1">_xll.SUBNM(Server&amp;"Management_Organization","CountryRegionList",G127)</f>
        <v>POR_Old_mgmt</v>
      </c>
      <c r="I127" s="20" t="str">
        <f ca="1">_xll.ELCOMP(Server&amp;"Legal_Organization",$F$17,G127)</f>
        <v/>
      </c>
      <c r="J127" t="str">
        <f ca="1">_xll.DBRA(Server&amp;"Legal_Organization",I127,LocalLanguage)</f>
        <v/>
      </c>
      <c r="L127" t="str">
        <f ca="1">_xll.SUBNM(Server&amp;"Activity","AllActivities",G127)</f>
        <v/>
      </c>
      <c r="N127" t="str">
        <f ca="1">_xll.SUBNM(Server&amp;"Type_Client","AllTypeClient",G127)</f>
        <v/>
      </c>
      <c r="P127" t="str">
        <f ca="1">_xll.SUBNM(Server&amp;"Economic_Model","AllEcoModel",G127)</f>
        <v/>
      </c>
      <c r="Q127" t="str">
        <f ca="1">_xll.DIMNM(Server&amp;"z_Contract_Pending_Approval",$G127)</f>
        <v/>
      </c>
      <c r="R127" t="str">
        <f ca="1">_xll.DBRW(Server&amp;Cube1,Q127,"Management_Unit_Name")</f>
        <v/>
      </c>
      <c r="S127" t="s">
        <v>101</v>
      </c>
    </row>
    <row r="128" spans="7:19" x14ac:dyDescent="0.25">
      <c r="G128">
        <f t="shared" si="2"/>
        <v>127</v>
      </c>
      <c r="H128" t="str">
        <f ca="1">_xll.SUBNM(Server&amp;"Management_Organization","CountryRegionList",G128)</f>
        <v>ESP</v>
      </c>
      <c r="I128" s="20" t="str">
        <f ca="1">_xll.ELCOMP(Server&amp;"Legal_Organization",$F$17,G128)</f>
        <v/>
      </c>
      <c r="J128" t="str">
        <f ca="1">_xll.DBRA(Server&amp;"Legal_Organization",I128,LocalLanguage)</f>
        <v/>
      </c>
      <c r="L128" t="str">
        <f ca="1">_xll.SUBNM(Server&amp;"Activity","AllActivities",G128)</f>
        <v/>
      </c>
      <c r="N128" t="str">
        <f ca="1">_xll.SUBNM(Server&amp;"Type_Client","AllTypeClient",G128)</f>
        <v/>
      </c>
      <c r="P128" t="str">
        <f ca="1">_xll.SUBNM(Server&amp;"Economic_Model","AllEcoModel",G128)</f>
        <v/>
      </c>
      <c r="Q128" t="str">
        <f ca="1">_xll.DIMNM(Server&amp;"z_Contract_Pending_Approval",$G128)</f>
        <v/>
      </c>
      <c r="R128" t="str">
        <f ca="1">_xll.DBRW(Server&amp;Cube1,Q128,"Management_Unit_Name")</f>
        <v/>
      </c>
      <c r="S128" t="s">
        <v>101</v>
      </c>
    </row>
    <row r="129" spans="6:19" x14ac:dyDescent="0.25">
      <c r="G129">
        <f t="shared" si="2"/>
        <v>128</v>
      </c>
      <c r="H129" t="str">
        <f ca="1">_xll.SUBNM(Server&amp;"Management_Organization","CountryRegionList",G129)</f>
        <v>ESP_ARCH</v>
      </c>
      <c r="I129" s="20" t="str">
        <f ca="1">_xll.ELCOMP(Server&amp;"Legal_Organization",$F$17,G129)</f>
        <v/>
      </c>
      <c r="J129" t="str">
        <f ca="1">_xll.DBRA(Server&amp;"Legal_Organization",I129,LocalLanguage)</f>
        <v/>
      </c>
      <c r="L129" t="str">
        <f ca="1">_xll.SUBNM(Server&amp;"Activity","AllActivities",G129)</f>
        <v/>
      </c>
      <c r="N129" t="str">
        <f ca="1">_xll.SUBNM(Server&amp;"Type_Client","AllTypeClient",G129)</f>
        <v/>
      </c>
      <c r="P129" t="str">
        <f ca="1">_xll.SUBNM(Server&amp;"Economic_Model","AllEcoModel",G129)</f>
        <v/>
      </c>
      <c r="Q129" t="str">
        <f ca="1">_xll.DIMNM(Server&amp;"z_Contract_Pending_Approval",$G129)</f>
        <v/>
      </c>
      <c r="R129" t="str">
        <f ca="1">_xll.DBRW(Server&amp;Cube1,Q129,"Management_Unit_Name")</f>
        <v/>
      </c>
      <c r="S129" t="s">
        <v>101</v>
      </c>
    </row>
    <row r="130" spans="6:19" x14ac:dyDescent="0.25">
      <c r="G130">
        <f t="shared" si="2"/>
        <v>129</v>
      </c>
      <c r="H130" t="str">
        <f ca="1">_xll.SUBNM(Server&amp;"Management_Organization","CountryRegionList",G130)</f>
        <v>South_Europe_ARCH</v>
      </c>
      <c r="I130" s="20" t="str">
        <f ca="1">_xll.ELCOMP(Server&amp;"Legal_Organization",$F$17,G130)</f>
        <v/>
      </c>
      <c r="J130" t="str">
        <f ca="1">_xll.DBRA(Server&amp;"Legal_Organization",I130,LocalLanguage)</f>
        <v/>
      </c>
      <c r="L130" t="str">
        <f ca="1">_xll.SUBNM(Server&amp;"Activity","AllActivities",G130)</f>
        <v/>
      </c>
      <c r="N130" t="str">
        <f ca="1">_xll.SUBNM(Server&amp;"Type_Client","AllTypeClient",G130)</f>
        <v/>
      </c>
      <c r="P130" t="str">
        <f ca="1">_xll.SUBNM(Server&amp;"Economic_Model","AllEcoModel",G130)</f>
        <v/>
      </c>
      <c r="Q130" t="str">
        <f ca="1">_xll.DIMNM(Server&amp;"z_Contract_Pending_Approval",$G130)</f>
        <v/>
      </c>
      <c r="R130" t="str">
        <f ca="1">_xll.DBRW(Server&amp;Cube1,Q130,"Management_Unit_Name")</f>
        <v/>
      </c>
      <c r="S130" t="s">
        <v>101</v>
      </c>
    </row>
    <row r="131" spans="6:19" x14ac:dyDescent="0.25">
      <c r="F131" t="str">
        <f ca="1">_xll.DIMNM(Server&amp;"Management_Organization",_xll.DIMIX(Server&amp;"Management_Organization",H131))</f>
        <v>IT</v>
      </c>
      <c r="G131">
        <f t="shared" si="2"/>
        <v>130</v>
      </c>
      <c r="H131" t="str">
        <f ca="1">_xll.SUBNM(Server&amp;"Management_Organization","CountryRegionList",G131)</f>
        <v>IT</v>
      </c>
      <c r="I131" s="20" t="str">
        <f ca="1">_xll.ELCOMP(Server&amp;"Legal_Organization",$F$17,G131)</f>
        <v/>
      </c>
      <c r="J131" t="str">
        <f ca="1">_xll.DBRA(Server&amp;"Legal_Organization",I131,LocalLanguage)</f>
        <v/>
      </c>
      <c r="L131" t="str">
        <f ca="1">_xll.SUBNM(Server&amp;"Activity","AllActivities",G131)</f>
        <v/>
      </c>
      <c r="N131" t="str">
        <f ca="1">_xll.SUBNM(Server&amp;"Type_Client","AllTypeClient",G131)</f>
        <v/>
      </c>
      <c r="P131" t="str">
        <f ca="1">_xll.SUBNM(Server&amp;"Economic_Model","AllEcoModel",G131)</f>
        <v/>
      </c>
      <c r="Q131" t="str">
        <f ca="1">_xll.DIMNM(Server&amp;"z_Contract_Pending_Approval",$G131)</f>
        <v/>
      </c>
      <c r="R131" t="str">
        <f ca="1">_xll.DBRW(Server&amp;Cube1,Q131,"Management_Unit_Name")</f>
        <v/>
      </c>
      <c r="S131" t="s">
        <v>101</v>
      </c>
    </row>
    <row r="132" spans="6:19" x14ac:dyDescent="0.25">
      <c r="F132" t="str">
        <f ca="1">_xll.DIMNM(Server&amp;"Management_Organization",_xll.DIMIX(Server&amp;"Management_Organization",H132))</f>
        <v>Australia_new_zealand</v>
      </c>
      <c r="G132">
        <f t="shared" si="2"/>
        <v>131</v>
      </c>
      <c r="H132" t="str">
        <f ca="1">_xll.SUBNM(Server&amp;"Management_Organization","CountryRegionList",G132)</f>
        <v>Australia_new_zealand</v>
      </c>
      <c r="I132" s="20" t="str">
        <f ca="1">_xll.ELCOMP(Server&amp;"Legal_Organization",$F$17,G132)</f>
        <v/>
      </c>
      <c r="J132" t="str">
        <f ca="1">_xll.DBRA(Server&amp;"Legal_Organization",I132,LocalLanguage)</f>
        <v/>
      </c>
      <c r="L132" t="str">
        <f ca="1">_xll.SUBNM(Server&amp;"Activity","AllActivities",G132)</f>
        <v/>
      </c>
      <c r="N132" t="str">
        <f ca="1">_xll.SUBNM(Server&amp;"Type_Client","AllTypeClient",G132)</f>
        <v/>
      </c>
      <c r="P132" t="str">
        <f ca="1">_xll.SUBNM(Server&amp;"Economic_Model","AllEcoModel",G132)</f>
        <v/>
      </c>
      <c r="Q132" t="str">
        <f ca="1">_xll.DIMNM(Server&amp;"z_Contract_Pending_Approval",$G132)</f>
        <v/>
      </c>
      <c r="R132" t="str">
        <f ca="1">_xll.DBRW(Server&amp;Cube1,Q132,"Management_Unit_Name")</f>
        <v/>
      </c>
      <c r="S132" t="s">
        <v>101</v>
      </c>
    </row>
    <row r="133" spans="6:19" x14ac:dyDescent="0.25">
      <c r="F133" t="str">
        <f ca="1">_xll.DIMNM(Server&amp;"Management_Organization",_xll.DIMIX(Server&amp;"Management_Organization",H133))</f>
        <v>AUS</v>
      </c>
      <c r="G133">
        <f t="shared" si="2"/>
        <v>132</v>
      </c>
      <c r="H133" t="str">
        <f ca="1">_xll.SUBNM(Server&amp;"Management_Organization","CountryRegionList",G133)</f>
        <v>AUS</v>
      </c>
      <c r="I133" s="20" t="str">
        <f ca="1">_xll.ELCOMP(Server&amp;"Legal_Organization",$F$17,G133)</f>
        <v/>
      </c>
      <c r="J133" t="str">
        <f ca="1">_xll.DBRA(Server&amp;"Legal_Organization",I133,LocalLanguage)</f>
        <v/>
      </c>
      <c r="L133" t="str">
        <f ca="1">_xll.SUBNM(Server&amp;"Activity","AllActivities",G133)</f>
        <v/>
      </c>
      <c r="N133" t="str">
        <f ca="1">_xll.SUBNM(Server&amp;"Type_Client","AllTypeClient",G133)</f>
        <v/>
      </c>
      <c r="P133" t="str">
        <f ca="1">_xll.SUBNM(Server&amp;"Economic_Model","AllEcoModel",G133)</f>
        <v/>
      </c>
      <c r="Q133" t="str">
        <f ca="1">_xll.DIMNM(Server&amp;"z_Contract_Pending_Approval",$G133)</f>
        <v/>
      </c>
      <c r="R133" t="str">
        <f ca="1">_xll.DBRW(Server&amp;Cube1,Q133,"Management_Unit_Name")</f>
        <v/>
      </c>
      <c r="S133" t="s">
        <v>101</v>
      </c>
    </row>
    <row r="134" spans="6:19" x14ac:dyDescent="0.25">
      <c r="F134" t="str">
        <f ca="1">_xll.DIMNM(Server&amp;"Management_Organization",_xll.DIMIX(Server&amp;"Management_Organization",H134))</f>
        <v>AUS_Sydney_Ferries</v>
      </c>
      <c r="G134">
        <f t="shared" si="2"/>
        <v>133</v>
      </c>
      <c r="H134" t="str">
        <f ca="1">_xll.SUBNM(Server&amp;"Management_Organization","CountryRegionList",G134)</f>
        <v>AUS_Sydney_Ferries</v>
      </c>
      <c r="I134" s="20" t="str">
        <f ca="1">_xll.ELCOMP(Server&amp;"Legal_Organization",$F$17,G134)</f>
        <v/>
      </c>
      <c r="J134" t="str">
        <f ca="1">_xll.DBRA(Server&amp;"Legal_Organization",I134,LocalLanguage)</f>
        <v/>
      </c>
      <c r="L134" t="str">
        <f ca="1">_xll.SUBNM(Server&amp;"Activity","AllActivities",G134)</f>
        <v/>
      </c>
      <c r="N134" t="str">
        <f ca="1">_xll.SUBNM(Server&amp;"Type_Client","AllTypeClient",G134)</f>
        <v/>
      </c>
      <c r="P134" t="str">
        <f ca="1">_xll.SUBNM(Server&amp;"Economic_Model","AllEcoModel",G134)</f>
        <v/>
      </c>
      <c r="Q134" t="str">
        <f ca="1">_xll.DIMNM(Server&amp;"z_Contract_Pending_Approval",$G134)</f>
        <v/>
      </c>
      <c r="R134" t="str">
        <f ca="1">_xll.DBRW(Server&amp;Cube1,Q134,"Management_Unit_Name")</f>
        <v/>
      </c>
      <c r="S134" t="s">
        <v>101</v>
      </c>
    </row>
    <row r="135" spans="6:19" x14ac:dyDescent="0.25">
      <c r="F135" t="str">
        <f ca="1">_xll.DIMNM(Server&amp;"Management_Organization",_xll.DIMIX(Server&amp;"Management_Organization",H135))</f>
        <v>AUS_Ichthys</v>
      </c>
      <c r="G135">
        <f t="shared" si="2"/>
        <v>134</v>
      </c>
      <c r="H135" t="str">
        <f ca="1">_xll.SUBNM(Server&amp;"Management_Organization","CountryRegionList",G135)</f>
        <v>AUS_Ichthys</v>
      </c>
      <c r="I135" s="20" t="str">
        <f ca="1">_xll.ELCOMP(Server&amp;"Legal_Organization",$F$17,G135)</f>
        <v/>
      </c>
      <c r="J135" t="str">
        <f ca="1">_xll.DBRA(Server&amp;"Legal_Organization",I135,LocalLanguage)</f>
        <v/>
      </c>
      <c r="L135" t="str">
        <f ca="1">_xll.SUBNM(Server&amp;"Activity","AllActivities",G135)</f>
        <v/>
      </c>
      <c r="N135" t="str">
        <f ca="1">_xll.SUBNM(Server&amp;"Type_Client","AllTypeClient",G135)</f>
        <v/>
      </c>
      <c r="P135" t="str">
        <f ca="1">_xll.SUBNM(Server&amp;"Economic_Model","AllEcoModel",G135)</f>
        <v/>
      </c>
      <c r="Q135" t="str">
        <f ca="1">_xll.DIMNM(Server&amp;"z_Contract_Pending_Approval",$G135)</f>
        <v/>
      </c>
      <c r="R135" t="str">
        <f ca="1">_xll.DBRW(Server&amp;Cube1,Q135,"Management_Unit_Name")</f>
        <v/>
      </c>
      <c r="S135" t="s">
        <v>101</v>
      </c>
    </row>
    <row r="136" spans="6:19" x14ac:dyDescent="0.25">
      <c r="F136" t="str">
        <f ca="1">_xll.DIMNM(Server&amp;"Management_Organization",_xll.DIMIX(Server&amp;"Management_Organization",H136))</f>
        <v>AUS_NSW</v>
      </c>
      <c r="G136">
        <f t="shared" si="2"/>
        <v>135</v>
      </c>
      <c r="H136" t="str">
        <f ca="1">_xll.SUBNM(Server&amp;"Management_Organization","CountryRegionList",G136)</f>
        <v>AUS_NSW</v>
      </c>
      <c r="I136" s="20" t="str">
        <f ca="1">_xll.ELCOMP(Server&amp;"Legal_Organization",$F$17,G136)</f>
        <v/>
      </c>
      <c r="J136" t="str">
        <f ca="1">_xll.DBRA(Server&amp;"Legal_Organization",I136,LocalLanguage)</f>
        <v/>
      </c>
      <c r="L136" t="str">
        <f ca="1">_xll.SUBNM(Server&amp;"Activity","AllActivities",G136)</f>
        <v/>
      </c>
      <c r="N136" t="str">
        <f ca="1">_xll.SUBNM(Server&amp;"Type_Client","AllTypeClient",G136)</f>
        <v/>
      </c>
      <c r="P136" t="str">
        <f ca="1">_xll.SUBNM(Server&amp;"Economic_Model","AllEcoModel",G136)</f>
        <v/>
      </c>
      <c r="Q136" t="str">
        <f ca="1">_xll.DIMNM(Server&amp;"z_Contract_Pending_Approval",$G136)</f>
        <v/>
      </c>
      <c r="R136" t="str">
        <f ca="1">_xll.DBRW(Server&amp;Cube1,Q136,"Management_Unit_Name")</f>
        <v/>
      </c>
      <c r="S136" t="s">
        <v>101</v>
      </c>
    </row>
    <row r="137" spans="6:19" x14ac:dyDescent="0.25">
      <c r="F137" t="str">
        <f ca="1">_xll.DIMNM(Server&amp;"Management_Organization",_xll.DIMIX(Server&amp;"Management_Organization",H137))</f>
        <v>AUS_NSW_Regions</v>
      </c>
      <c r="G137">
        <f t="shared" si="2"/>
        <v>136</v>
      </c>
      <c r="H137" t="str">
        <f ca="1">_xll.SUBNM(Server&amp;"Management_Organization","CountryRegionList",G137)</f>
        <v>AUS_NSW_Regions</v>
      </c>
      <c r="I137" s="20" t="str">
        <f ca="1">_xll.ELCOMP(Server&amp;"Legal_Organization",$F$17,G137)</f>
        <v/>
      </c>
      <c r="J137" t="str">
        <f ca="1">_xll.DBRA(Server&amp;"Legal_Organization",I137,LocalLanguage)</f>
        <v/>
      </c>
      <c r="L137" t="str">
        <f ca="1">_xll.SUBNM(Server&amp;"Activity","AllActivities",G137)</f>
        <v/>
      </c>
      <c r="N137" t="str">
        <f ca="1">_xll.SUBNM(Server&amp;"Type_Client","AllTypeClient",G137)</f>
        <v/>
      </c>
      <c r="P137" t="str">
        <f ca="1">_xll.SUBNM(Server&amp;"Economic_Model","AllEcoModel",G137)</f>
        <v/>
      </c>
      <c r="Q137" t="str">
        <f ca="1">_xll.DIMNM(Server&amp;"z_Contract_Pending_Approval",$G137)</f>
        <v/>
      </c>
      <c r="R137" t="str">
        <f ca="1">_xll.DBRW(Server&amp;Cube1,Q137,"Management_Unit_Name")</f>
        <v/>
      </c>
      <c r="S137" t="s">
        <v>101</v>
      </c>
    </row>
    <row r="138" spans="6:19" x14ac:dyDescent="0.25">
      <c r="F138" t="str">
        <f ca="1">_xll.DIMNM(Server&amp;"Management_Organization",_xll.DIMIX(Server&amp;"Management_Organization",H138))</f>
        <v>AUS_WA</v>
      </c>
      <c r="G138">
        <f t="shared" si="2"/>
        <v>137</v>
      </c>
      <c r="H138" t="str">
        <f ca="1">_xll.SUBNM(Server&amp;"Management_Organization","CountryRegionList",G138)</f>
        <v>AUS_WA</v>
      </c>
      <c r="I138" s="20" t="str">
        <f ca="1">_xll.ELCOMP(Server&amp;"Legal_Organization",$F$17,G138)</f>
        <v/>
      </c>
      <c r="J138" t="str">
        <f ca="1">_xll.DBRA(Server&amp;"Legal_Organization",I138,LocalLanguage)</f>
        <v/>
      </c>
      <c r="L138" t="str">
        <f ca="1">_xll.SUBNM(Server&amp;"Activity","AllActivities",G138)</f>
        <v/>
      </c>
      <c r="N138" t="str">
        <f ca="1">_xll.SUBNM(Server&amp;"Type_Client","AllTypeClient",G138)</f>
        <v/>
      </c>
      <c r="P138" t="str">
        <f ca="1">_xll.SUBNM(Server&amp;"Economic_Model","AllEcoModel",G138)</f>
        <v/>
      </c>
      <c r="Q138" t="str">
        <f ca="1">_xll.DIMNM(Server&amp;"z_Contract_Pending_Approval",$G138)</f>
        <v/>
      </c>
      <c r="R138" t="str">
        <f ca="1">_xll.DBRW(Server&amp;Cube1,Q138,"Management_Unit_Name")</f>
        <v/>
      </c>
      <c r="S138" t="s">
        <v>101</v>
      </c>
    </row>
    <row r="139" spans="6:19" x14ac:dyDescent="0.25">
      <c r="F139" t="str">
        <f ca="1">_xll.DIMNM(Server&amp;"Management_Organization",_xll.DIMIX(Server&amp;"Management_Organization",H139))</f>
        <v>AUS_WA_Other</v>
      </c>
      <c r="G139">
        <f t="shared" si="2"/>
        <v>138</v>
      </c>
      <c r="H139" t="str">
        <f ca="1">_xll.SUBNM(Server&amp;"Management_Organization","CountryRegionList",G139)</f>
        <v>AUS_WA_Other</v>
      </c>
      <c r="I139" s="20" t="str">
        <f ca="1">_xll.ELCOMP(Server&amp;"Legal_Organization",$F$17,G139)</f>
        <v/>
      </c>
      <c r="J139" t="str">
        <f ca="1">_xll.DBRA(Server&amp;"Legal_Organization",I139,LocalLanguage)</f>
        <v/>
      </c>
      <c r="L139" t="str">
        <f ca="1">_xll.SUBNM(Server&amp;"Activity","AllActivities",G139)</f>
        <v/>
      </c>
      <c r="N139" t="str">
        <f ca="1">_xll.SUBNM(Server&amp;"Type_Client","AllTypeClient",G139)</f>
        <v/>
      </c>
      <c r="P139" t="str">
        <f ca="1">_xll.SUBNM(Server&amp;"Economic_Model","AllEcoModel",G139)</f>
        <v/>
      </c>
      <c r="Q139" t="str">
        <f ca="1">_xll.DIMNM(Server&amp;"z_Contract_Pending_Approval",$G139)</f>
        <v/>
      </c>
      <c r="R139" t="str">
        <f ca="1">_xll.DBRW(Server&amp;Cube1,Q139,"Management_Unit_Name")</f>
        <v/>
      </c>
      <c r="S139" t="s">
        <v>101</v>
      </c>
    </row>
    <row r="140" spans="6:19" x14ac:dyDescent="0.25">
      <c r="F140" t="str">
        <f ca="1">_xll.DIMNM(Server&amp;"Management_Organization",_xll.DIMIX(Server&amp;"Management_Organization",H140))</f>
        <v>AUS_Queensland</v>
      </c>
      <c r="G140">
        <f t="shared" si="2"/>
        <v>139</v>
      </c>
      <c r="H140" t="str">
        <f ca="1">_xll.SUBNM(Server&amp;"Management_Organization","CountryRegionList",G140)</f>
        <v>AUS_Queensland</v>
      </c>
      <c r="I140" s="20" t="str">
        <f ca="1">_xll.ELCOMP(Server&amp;"Legal_Organization",$F$17,G140)</f>
        <v/>
      </c>
      <c r="J140" t="str">
        <f ca="1">_xll.DBRA(Server&amp;"Legal_Organization",I140,LocalLanguage)</f>
        <v/>
      </c>
      <c r="L140" t="str">
        <f ca="1">_xll.SUBNM(Server&amp;"Activity","AllActivities",G140)</f>
        <v/>
      </c>
      <c r="N140" t="str">
        <f ca="1">_xll.SUBNM(Server&amp;"Type_Client","AllTypeClient",G140)</f>
        <v/>
      </c>
      <c r="P140" t="str">
        <f ca="1">_xll.SUBNM(Server&amp;"Economic_Model","AllEcoModel",G140)</f>
        <v/>
      </c>
      <c r="Q140" t="str">
        <f ca="1">_xll.DIMNM(Server&amp;"z_Contract_Pending_Approval",$G140)</f>
        <v/>
      </c>
      <c r="R140" t="str">
        <f ca="1">_xll.DBRW(Server&amp;Cube1,Q140,"Management_Unit_Name")</f>
        <v/>
      </c>
      <c r="S140" t="s">
        <v>101</v>
      </c>
    </row>
    <row r="141" spans="6:19" x14ac:dyDescent="0.25">
      <c r="F141" t="str">
        <f ca="1">_xll.DIMNM(Server&amp;"Management_Organization",_xll.DIMIX(Server&amp;"Management_Organization",H141))</f>
        <v>AUS_Brisbane_Ferries</v>
      </c>
      <c r="G141">
        <f t="shared" si="2"/>
        <v>140</v>
      </c>
      <c r="H141" t="str">
        <f ca="1">_xll.SUBNM(Server&amp;"Management_Organization","CountryRegionList",G141)</f>
        <v>AUS_Brisbane_Ferries</v>
      </c>
      <c r="I141" s="20" t="str">
        <f ca="1">_xll.ELCOMP(Server&amp;"Legal_Organization",$F$17,G141)</f>
        <v/>
      </c>
      <c r="J141" t="str">
        <f ca="1">_xll.DBRA(Server&amp;"Legal_Organization",I141,LocalLanguage)</f>
        <v/>
      </c>
      <c r="L141" t="str">
        <f ca="1">_xll.SUBNM(Server&amp;"Activity","AllActivities",G141)</f>
        <v/>
      </c>
      <c r="N141" t="str">
        <f ca="1">_xll.SUBNM(Server&amp;"Type_Client","AllTypeClient",G141)</f>
        <v/>
      </c>
      <c r="P141" t="str">
        <f ca="1">_xll.SUBNM(Server&amp;"Economic_Model","AllEcoModel",G141)</f>
        <v/>
      </c>
      <c r="Q141" t="str">
        <f ca="1">_xll.DIMNM(Server&amp;"z_Contract_Pending_Approval",$G141)</f>
        <v/>
      </c>
      <c r="R141" t="str">
        <f ca="1">_xll.DBRW(Server&amp;Cube1,Q141,"Management_Unit_Name")</f>
        <v/>
      </c>
      <c r="S141" t="s">
        <v>101</v>
      </c>
    </row>
    <row r="142" spans="6:19" x14ac:dyDescent="0.25">
      <c r="F142" t="str">
        <f ca="1">_xll.DIMNM(Server&amp;"Management_Organization",_xll.DIMIX(Server&amp;"Management_Organization",H142))</f>
        <v>AUS_Holding</v>
      </c>
      <c r="G142">
        <f t="shared" si="2"/>
        <v>141</v>
      </c>
      <c r="H142" t="str">
        <f ca="1">_xll.SUBNM(Server&amp;"Management_Organization","CountryRegionList",G142)</f>
        <v>AUS_Holding</v>
      </c>
      <c r="I142" s="20" t="str">
        <f ca="1">_xll.ELCOMP(Server&amp;"Legal_Organization",$F$17,G142)</f>
        <v/>
      </c>
      <c r="J142" t="str">
        <f ca="1">_xll.DBRA(Server&amp;"Legal_Organization",I142,LocalLanguage)</f>
        <v/>
      </c>
      <c r="L142" t="str">
        <f ca="1">_xll.SUBNM(Server&amp;"Activity","AllActivities",G142)</f>
        <v/>
      </c>
      <c r="N142" t="str">
        <f ca="1">_xll.SUBNM(Server&amp;"Type_Client","AllTypeClient",G142)</f>
        <v/>
      </c>
      <c r="P142" t="str">
        <f ca="1">_xll.SUBNM(Server&amp;"Economic_Model","AllEcoModel",G142)</f>
        <v/>
      </c>
      <c r="Q142" t="str">
        <f ca="1">_xll.DIMNM(Server&amp;"z_Contract_Pending_Approval",$G142)</f>
        <v/>
      </c>
      <c r="R142" t="str">
        <f ca="1">_xll.DBRW(Server&amp;Cube1,Q142,"Management_Unit_Name")</f>
        <v/>
      </c>
      <c r="S142" t="s">
        <v>101</v>
      </c>
    </row>
    <row r="143" spans="6:19" x14ac:dyDescent="0.25">
      <c r="F143" t="str">
        <f ca="1">_xll.DIMNM(Server&amp;"Management_Organization",_xll.DIMIX(Server&amp;"Management_Organization",H143))</f>
        <v>AUS_ARCH</v>
      </c>
      <c r="G143">
        <f t="shared" si="2"/>
        <v>142</v>
      </c>
      <c r="H143" t="str">
        <f ca="1">_xll.SUBNM(Server&amp;"Management_Organization","CountryRegionList",G143)</f>
        <v>AUS_ARCH</v>
      </c>
      <c r="I143" s="20" t="str">
        <f ca="1">_xll.ELCOMP(Server&amp;"Legal_Organization",$F$17,G143)</f>
        <v/>
      </c>
      <c r="J143" t="str">
        <f ca="1">_xll.DBRA(Server&amp;"Legal_Organization",I143,LocalLanguage)</f>
        <v/>
      </c>
      <c r="L143" t="str">
        <f ca="1">_xll.SUBNM(Server&amp;"Activity","AllActivities",G143)</f>
        <v/>
      </c>
      <c r="N143" t="str">
        <f ca="1">_xll.SUBNM(Server&amp;"Type_Client","AllTypeClient",G143)</f>
        <v/>
      </c>
      <c r="P143" t="str">
        <f ca="1">_xll.SUBNM(Server&amp;"Economic_Model","AllEcoModel",G143)</f>
        <v/>
      </c>
      <c r="Q143" t="str">
        <f ca="1">_xll.DIMNM(Server&amp;"z_Contract_Pending_Approval",$G143)</f>
        <v/>
      </c>
      <c r="R143" t="str">
        <f ca="1">_xll.DBRW(Server&amp;Cube1,Q143,"Management_Unit_Name")</f>
        <v/>
      </c>
      <c r="S143" t="s">
        <v>101</v>
      </c>
    </row>
    <row r="144" spans="6:19" x14ac:dyDescent="0.25">
      <c r="F144" t="str">
        <f ca="1">_xll.DIMNM(Server&amp;"Management_Organization",_xll.DIMIX(Server&amp;"Management_Organization",H144))</f>
        <v>AUS_Old_mgmt</v>
      </c>
      <c r="G144">
        <f t="shared" si="2"/>
        <v>143</v>
      </c>
      <c r="H144" t="str">
        <f ca="1">_xll.SUBNM(Server&amp;"Management_Organization","CountryRegionList",G144)</f>
        <v>AUS_Old_mgmt</v>
      </c>
      <c r="I144" s="20" t="str">
        <f ca="1">_xll.ELCOMP(Server&amp;"Legal_Organization",$F$17,G144)</f>
        <v/>
      </c>
      <c r="J144" t="str">
        <f ca="1">_xll.DBRA(Server&amp;"Legal_Organization",I144,LocalLanguage)</f>
        <v/>
      </c>
      <c r="L144" t="str">
        <f ca="1">_xll.SUBNM(Server&amp;"Activity","AllActivities",G144)</f>
        <v/>
      </c>
      <c r="N144" t="str">
        <f ca="1">_xll.SUBNM(Server&amp;"Type_Client","AllTypeClient",G144)</f>
        <v/>
      </c>
      <c r="P144" t="str">
        <f ca="1">_xll.SUBNM(Server&amp;"Economic_Model","AllEcoModel",G144)</f>
        <v/>
      </c>
      <c r="Q144" t="str">
        <f ca="1">_xll.DIMNM(Server&amp;"z_Contract_Pending_Approval",$G144)</f>
        <v/>
      </c>
      <c r="R144" t="str">
        <f ca="1">_xll.DBRW(Server&amp;Cube1,Q144,"Management_Unit_Name")</f>
        <v/>
      </c>
      <c r="S144" t="s">
        <v>101</v>
      </c>
    </row>
    <row r="145" spans="6:19" x14ac:dyDescent="0.25">
      <c r="F145" t="str">
        <f ca="1">_xll.DIMNM(Server&amp;"Management_Organization",_xll.DIMIX(Server&amp;"Management_Organization",H145))</f>
        <v>AUS_Techn_Ent</v>
      </c>
      <c r="G145">
        <f t="shared" si="2"/>
        <v>144</v>
      </c>
      <c r="H145" t="str">
        <f ca="1">_xll.SUBNM(Server&amp;"Management_Organization","CountryRegionList",G145)</f>
        <v>AUS_Techn_Ent</v>
      </c>
      <c r="I145" s="20" t="str">
        <f ca="1">_xll.ELCOMP(Server&amp;"Legal_Organization",$F$17,G145)</f>
        <v/>
      </c>
      <c r="J145" t="str">
        <f ca="1">_xll.DBRA(Server&amp;"Legal_Organization",I145,LocalLanguage)</f>
        <v/>
      </c>
      <c r="L145" t="str">
        <f ca="1">_xll.SUBNM(Server&amp;"Activity","AllActivities",G145)</f>
        <v/>
      </c>
      <c r="N145" t="str">
        <f ca="1">_xll.SUBNM(Server&amp;"Type_Client","AllTypeClient",G145)</f>
        <v/>
      </c>
      <c r="P145" t="str">
        <f ca="1">_xll.SUBNM(Server&amp;"Economic_Model","AllEcoModel",G145)</f>
        <v/>
      </c>
      <c r="Q145" t="str">
        <f ca="1">_xll.DIMNM(Server&amp;"z_Contract_Pending_Approval",$G145)</f>
        <v/>
      </c>
      <c r="R145" t="str">
        <f ca="1">_xll.DBRW(Server&amp;Cube1,Q145,"Management_Unit_Name")</f>
        <v/>
      </c>
      <c r="S145" t="s">
        <v>101</v>
      </c>
    </row>
    <row r="146" spans="6:19" x14ac:dyDescent="0.25">
      <c r="F146" t="str">
        <f ca="1">_xll.DIMNM(Server&amp;"Management_Organization",_xll.DIMIX(Server&amp;"Management_Organization",H146))</f>
        <v>NZ</v>
      </c>
      <c r="G146">
        <f t="shared" si="2"/>
        <v>145</v>
      </c>
      <c r="H146" t="str">
        <f ca="1">_xll.SUBNM(Server&amp;"Management_Organization","CountryRegionList",G146)</f>
        <v>NZ</v>
      </c>
      <c r="I146" s="20" t="str">
        <f ca="1">_xll.ELCOMP(Server&amp;"Legal_Organization",$F$17,G146)</f>
        <v/>
      </c>
      <c r="J146" t="str">
        <f ca="1">_xll.DBRA(Server&amp;"Legal_Organization",I146,LocalLanguage)</f>
        <v/>
      </c>
      <c r="L146" t="str">
        <f ca="1">_xll.SUBNM(Server&amp;"Activity","AllActivities",G146)</f>
        <v/>
      </c>
      <c r="N146" t="str">
        <f ca="1">_xll.SUBNM(Server&amp;"Type_Client","AllTypeClient",G146)</f>
        <v/>
      </c>
      <c r="P146" t="str">
        <f ca="1">_xll.SUBNM(Server&amp;"Economic_Model","AllEcoModel",G146)</f>
        <v/>
      </c>
      <c r="Q146" t="str">
        <f ca="1">_xll.DIMNM(Server&amp;"z_Contract_Pending_Approval",$G146)</f>
        <v/>
      </c>
      <c r="R146" t="str">
        <f ca="1">_xll.DBRW(Server&amp;Cube1,Q146,"Management_Unit_Name")</f>
        <v/>
      </c>
      <c r="S146" t="s">
        <v>101</v>
      </c>
    </row>
    <row r="147" spans="6:19" x14ac:dyDescent="0.25">
      <c r="F147" t="str">
        <f ca="1">_xll.DIMNM(Server&amp;"Management_Organization",_xll.DIMIX(Server&amp;"Management_Organization",H147))</f>
        <v>NE</v>
      </c>
      <c r="G147">
        <f t="shared" si="2"/>
        <v>146</v>
      </c>
      <c r="H147" t="str">
        <f ca="1">_xll.SUBNM(Server&amp;"Management_Organization","CountryRegionList",G147)</f>
        <v>NE</v>
      </c>
      <c r="I147" s="20" t="str">
        <f ca="1">_xll.ELCOMP(Server&amp;"Legal_Organization",$F$17,G147)</f>
        <v/>
      </c>
      <c r="J147" t="str">
        <f ca="1">_xll.DBRA(Server&amp;"Legal_Organization",I147,LocalLanguage)</f>
        <v/>
      </c>
      <c r="L147" t="str">
        <f ca="1">_xll.SUBNM(Server&amp;"Activity","AllActivities",G147)</f>
        <v/>
      </c>
      <c r="N147" t="str">
        <f ca="1">_xll.SUBNM(Server&amp;"Type_Client","AllTypeClient",G147)</f>
        <v/>
      </c>
      <c r="P147" t="str">
        <f ca="1">_xll.SUBNM(Server&amp;"Economic_Model","AllEcoModel",G147)</f>
        <v/>
      </c>
      <c r="Q147" t="str">
        <f ca="1">_xll.DIMNM(Server&amp;"z_Contract_Pending_Approval",$G147)</f>
        <v/>
      </c>
      <c r="R147" t="str">
        <f ca="1">_xll.DBRW(Server&amp;Cube1,Q147,"Management_Unit_Name")</f>
        <v/>
      </c>
      <c r="S147" t="s">
        <v>101</v>
      </c>
    </row>
    <row r="148" spans="6:19" x14ac:dyDescent="0.25">
      <c r="F148" t="str">
        <f ca="1">_xll.DIMNM(Server&amp;"Management_Organization",_xll.DIMIX(Server&amp;"Management_Organization",H148))</f>
        <v>SW</v>
      </c>
      <c r="G148">
        <f t="shared" si="2"/>
        <v>147</v>
      </c>
      <c r="H148" t="str">
        <f ca="1">_xll.SUBNM(Server&amp;"Management_Organization","CountryRegionList",G148)</f>
        <v>SW</v>
      </c>
      <c r="I148" s="20" t="str">
        <f ca="1">_xll.ELCOMP(Server&amp;"Legal_Organization",$F$17,G148)</f>
        <v/>
      </c>
      <c r="J148" t="str">
        <f ca="1">_xll.DBRA(Server&amp;"Legal_Organization",I148,LocalLanguage)</f>
        <v/>
      </c>
      <c r="L148" t="str">
        <f ca="1">_xll.SUBNM(Server&amp;"Activity","AllActivities",G148)</f>
        <v/>
      </c>
      <c r="N148" t="str">
        <f ca="1">_xll.SUBNM(Server&amp;"Type_Client","AllTypeClient",G148)</f>
        <v/>
      </c>
      <c r="P148" t="str">
        <f ca="1">_xll.SUBNM(Server&amp;"Economic_Model","AllEcoModel",G148)</f>
        <v/>
      </c>
      <c r="Q148" t="str">
        <f ca="1">_xll.DIMNM(Server&amp;"z_Contract_Pending_Approval",$G148)</f>
        <v/>
      </c>
      <c r="R148" t="str">
        <f ca="1">_xll.DBRW(Server&amp;Cube1,Q148,"Management_Unit_Name")</f>
        <v/>
      </c>
      <c r="S148" t="s">
        <v>101</v>
      </c>
    </row>
    <row r="149" spans="6:19" x14ac:dyDescent="0.25">
      <c r="F149" t="str">
        <f ca="1">_xll.DIMNM(Server&amp;"Management_Organization",_xll.DIMIX(Server&amp;"Management_Organization",H149))</f>
        <v>SW_ARCH</v>
      </c>
      <c r="G149">
        <f t="shared" si="2"/>
        <v>148</v>
      </c>
      <c r="H149" t="str">
        <f ca="1">_xll.SUBNM(Server&amp;"Management_Organization","CountryRegionList",G149)</f>
        <v>SW_ARCH</v>
      </c>
      <c r="I149" s="20" t="str">
        <f ca="1">_xll.ELCOMP(Server&amp;"Legal_Organization",$F$17,G149)</f>
        <v/>
      </c>
      <c r="J149" t="str">
        <f ca="1">_xll.DBRA(Server&amp;"Legal_Organization",I149,LocalLanguage)</f>
        <v/>
      </c>
      <c r="L149" t="str">
        <f ca="1">_xll.SUBNM(Server&amp;"Activity","AllActivities",G149)</f>
        <v/>
      </c>
      <c r="N149" t="str">
        <f ca="1">_xll.SUBNM(Server&amp;"Type_Client","AllTypeClient",G149)</f>
        <v/>
      </c>
      <c r="P149" t="str">
        <f ca="1">_xll.SUBNM(Server&amp;"Economic_Model","AllEcoModel",G149)</f>
        <v/>
      </c>
      <c r="Q149" t="str">
        <f ca="1">_xll.DIMNM(Server&amp;"z_Contract_Pending_Approval",$G149)</f>
        <v/>
      </c>
      <c r="R149" t="str">
        <f ca="1">_xll.DBRW(Server&amp;Cube1,Q149,"Management_Unit_Name")</f>
        <v/>
      </c>
      <c r="S149" t="s">
        <v>101</v>
      </c>
    </row>
    <row r="150" spans="6:19" x14ac:dyDescent="0.25">
      <c r="F150" t="str">
        <f ca="1">_xll.DIMNM(Server&amp;"Management_Organization",_xll.DIMIX(Server&amp;"Management_Organization",H150))</f>
        <v>SW_Bus</v>
      </c>
      <c r="G150">
        <f t="shared" si="2"/>
        <v>149</v>
      </c>
      <c r="H150" t="str">
        <f ca="1">_xll.SUBNM(Server&amp;"Management_Organization","CountryRegionList",G150)</f>
        <v>SW_Bus</v>
      </c>
      <c r="I150" s="20" t="str">
        <f ca="1">_xll.ELCOMP(Server&amp;"Legal_Organization",$F$17,G150)</f>
        <v/>
      </c>
      <c r="J150" t="str">
        <f ca="1">_xll.DBRA(Server&amp;"Legal_Organization",I150,LocalLanguage)</f>
        <v/>
      </c>
      <c r="L150" t="str">
        <f ca="1">_xll.SUBNM(Server&amp;"Activity","AllActivities",G150)</f>
        <v/>
      </c>
      <c r="N150" t="str">
        <f ca="1">_xll.SUBNM(Server&amp;"Type_Client","AllTypeClient",G150)</f>
        <v/>
      </c>
      <c r="P150" t="str">
        <f ca="1">_xll.SUBNM(Server&amp;"Economic_Model","AllEcoModel",G150)</f>
        <v/>
      </c>
      <c r="Q150" t="str">
        <f ca="1">_xll.DIMNM(Server&amp;"z_Contract_Pending_Approval",$G150)</f>
        <v/>
      </c>
      <c r="R150" t="str">
        <f ca="1">_xll.DBRW(Server&amp;Cube1,Q150,"Management_Unit_Name")</f>
        <v/>
      </c>
      <c r="S150" t="s">
        <v>101</v>
      </c>
    </row>
    <row r="151" spans="6:19" x14ac:dyDescent="0.25">
      <c r="F151" t="str">
        <f ca="1">_xll.DIMNM(Server&amp;"Management_Organization",_xll.DIMIX(Server&amp;"Management_Organization",H151))</f>
        <v>SW_Bus_HO</v>
      </c>
      <c r="G151">
        <f t="shared" si="2"/>
        <v>150</v>
      </c>
      <c r="H151" t="str">
        <f ca="1">_xll.SUBNM(Server&amp;"Management_Organization","CountryRegionList",G151)</f>
        <v>SW_Bus_HO</v>
      </c>
      <c r="I151" s="20" t="str">
        <f ca="1">_xll.ELCOMP(Server&amp;"Legal_Organization",$F$17,G151)</f>
        <v/>
      </c>
      <c r="J151" t="str">
        <f ca="1">_xll.DBRA(Server&amp;"Legal_Organization",I151,LocalLanguage)</f>
        <v/>
      </c>
      <c r="L151" t="str">
        <f ca="1">_xll.SUBNM(Server&amp;"Activity","AllActivities",G151)</f>
        <v/>
      </c>
      <c r="N151" t="str">
        <f ca="1">_xll.SUBNM(Server&amp;"Type_Client","AllTypeClient",G151)</f>
        <v/>
      </c>
      <c r="P151" t="str">
        <f ca="1">_xll.SUBNM(Server&amp;"Economic_Model","AllEcoModel",G151)</f>
        <v/>
      </c>
      <c r="Q151" t="str">
        <f ca="1">_xll.DIMNM(Server&amp;"z_Contract_Pending_Approval",$G151)</f>
        <v/>
      </c>
      <c r="R151" t="str">
        <f ca="1">_xll.DBRW(Server&amp;Cube1,Q151,"Management_Unit_Name")</f>
        <v/>
      </c>
      <c r="S151" t="s">
        <v>101</v>
      </c>
    </row>
    <row r="152" spans="6:19" x14ac:dyDescent="0.25">
      <c r="F152" t="str">
        <f ca="1">_xll.DIMNM(Server&amp;"Management_Organization",_xll.DIMIX(Server&amp;"Management_Organization",H152))</f>
        <v>SW_Ferry</v>
      </c>
      <c r="G152">
        <f t="shared" si="2"/>
        <v>151</v>
      </c>
      <c r="H152" t="str">
        <f ca="1">_xll.SUBNM(Server&amp;"Management_Organization","CountryRegionList",G152)</f>
        <v>SW_Ferry</v>
      </c>
      <c r="I152" s="20" t="str">
        <f ca="1">_xll.ELCOMP(Server&amp;"Legal_Organization",$F$17,G152)</f>
        <v/>
      </c>
      <c r="J152" t="str">
        <f ca="1">_xll.DBRA(Server&amp;"Legal_Organization",I152,LocalLanguage)</f>
        <v/>
      </c>
      <c r="L152" t="str">
        <f ca="1">_xll.SUBNM(Server&amp;"Activity","AllActivities",G152)</f>
        <v/>
      </c>
      <c r="N152" t="str">
        <f ca="1">_xll.SUBNM(Server&amp;"Type_Client","AllTypeClient",G152)</f>
        <v/>
      </c>
      <c r="P152" t="str">
        <f ca="1">_xll.SUBNM(Server&amp;"Economic_Model","AllEcoModel",G152)</f>
        <v/>
      </c>
      <c r="Q152" t="str">
        <f ca="1">_xll.DIMNM(Server&amp;"z_Contract_Pending_Approval",$G152)</f>
        <v/>
      </c>
      <c r="R152" t="str">
        <f ca="1">_xll.DBRW(Server&amp;Cube1,Q152,"Management_Unit_Name")</f>
        <v/>
      </c>
      <c r="S152" t="s">
        <v>101</v>
      </c>
    </row>
    <row r="153" spans="6:19" x14ac:dyDescent="0.25">
      <c r="F153" t="str">
        <f ca="1">_xll.DIMNM(Server&amp;"Management_Organization",_xll.DIMIX(Server&amp;"Management_Organization",H153))</f>
        <v>SW_Rail</v>
      </c>
      <c r="G153">
        <f t="shared" si="2"/>
        <v>152</v>
      </c>
      <c r="H153" t="str">
        <f ca="1">_xll.SUBNM(Server&amp;"Management_Organization","CountryRegionList",G153)</f>
        <v>SW_Rail</v>
      </c>
      <c r="I153" s="20" t="str">
        <f ca="1">_xll.ELCOMP(Server&amp;"Legal_Organization",$F$17,G153)</f>
        <v/>
      </c>
      <c r="J153" t="str">
        <f ca="1">_xll.DBRA(Server&amp;"Legal_Organization",I153,LocalLanguage)</f>
        <v/>
      </c>
      <c r="L153" t="str">
        <f ca="1">_xll.SUBNM(Server&amp;"Activity","AllActivities",G153)</f>
        <v/>
      </c>
      <c r="N153" t="str">
        <f ca="1">_xll.SUBNM(Server&amp;"Type_Client","AllTypeClient",G153)</f>
        <v/>
      </c>
      <c r="P153" t="str">
        <f ca="1">_xll.SUBNM(Server&amp;"Economic_Model","AllEcoModel",G153)</f>
        <v/>
      </c>
      <c r="Q153" t="str">
        <f ca="1">_xll.DIMNM(Server&amp;"z_Contract_Pending_Approval",$G153)</f>
        <v/>
      </c>
      <c r="R153" t="str">
        <f ca="1">_xll.DBRW(Server&amp;Cube1,Q153,"Management_Unit_Name")</f>
        <v/>
      </c>
      <c r="S153" t="s">
        <v>101</v>
      </c>
    </row>
    <row r="154" spans="6:19" x14ac:dyDescent="0.25">
      <c r="F154" t="str">
        <f ca="1">_xll.DIMNM(Server&amp;"Management_Organization",_xll.DIMIX(Server&amp;"Management_Organization",H154))</f>
        <v>SW_Commercial</v>
      </c>
      <c r="G154">
        <f t="shared" si="2"/>
        <v>153</v>
      </c>
      <c r="H154" t="str">
        <f ca="1">_xll.SUBNM(Server&amp;"Management_Organization","CountryRegionList",G154)</f>
        <v>SW_Commercial</v>
      </c>
      <c r="I154" s="20" t="str">
        <f ca="1">_xll.ELCOMP(Server&amp;"Legal_Organization",$F$17,G154)</f>
        <v/>
      </c>
      <c r="J154" t="str">
        <f ca="1">_xll.DBRA(Server&amp;"Legal_Organization",I154,LocalLanguage)</f>
        <v/>
      </c>
      <c r="L154" t="str">
        <f ca="1">_xll.SUBNM(Server&amp;"Activity","AllActivities",G154)</f>
        <v/>
      </c>
      <c r="N154" t="str">
        <f ca="1">_xll.SUBNM(Server&amp;"Type_Client","AllTypeClient",G154)</f>
        <v/>
      </c>
      <c r="P154" t="str">
        <f ca="1">_xll.SUBNM(Server&amp;"Economic_Model","AllEcoModel",G154)</f>
        <v/>
      </c>
      <c r="Q154" t="str">
        <f ca="1">_xll.DIMNM(Server&amp;"z_Contract_Pending_Approval",$G154)</f>
        <v/>
      </c>
      <c r="R154" t="str">
        <f ca="1">_xll.DBRW(Server&amp;Cube1,Q154,"Management_Unit_Name")</f>
        <v/>
      </c>
      <c r="S154" t="s">
        <v>101</v>
      </c>
    </row>
    <row r="155" spans="6:19" x14ac:dyDescent="0.25">
      <c r="F155" t="str">
        <f ca="1">_xll.DIMNM(Server&amp;"Management_Organization",_xll.DIMIX(Server&amp;"Management_Organization",H155))</f>
        <v>FIN</v>
      </c>
      <c r="G155">
        <f t="shared" si="2"/>
        <v>154</v>
      </c>
      <c r="H155" t="str">
        <f ca="1">_xll.SUBNM(Server&amp;"Management_Organization","CountryRegionList",G155)</f>
        <v>FIN</v>
      </c>
      <c r="I155" s="20" t="str">
        <f ca="1">_xll.ELCOMP(Server&amp;"Legal_Organization",$F$17,G155)</f>
        <v/>
      </c>
      <c r="J155" t="str">
        <f ca="1">_xll.DBRA(Server&amp;"Legal_Organization",I155,LocalLanguage)</f>
        <v/>
      </c>
      <c r="L155" t="str">
        <f ca="1">_xll.SUBNM(Server&amp;"Activity","AllActivities",G155)</f>
        <v/>
      </c>
      <c r="N155" t="str">
        <f ca="1">_xll.SUBNM(Server&amp;"Type_Client","AllTypeClient",G155)</f>
        <v/>
      </c>
      <c r="P155" t="str">
        <f ca="1">_xll.SUBNM(Server&amp;"Economic_Model","AllEcoModel",G155)</f>
        <v/>
      </c>
      <c r="Q155" t="str">
        <f ca="1">_xll.DIMNM(Server&amp;"z_Contract_Pending_Approval",$G155)</f>
        <v/>
      </c>
      <c r="R155" t="str">
        <f ca="1">_xll.DBRW(Server&amp;Cube1,Q155,"Management_Unit_Name")</f>
        <v/>
      </c>
      <c r="S155" t="s">
        <v>101</v>
      </c>
    </row>
    <row r="156" spans="6:19" x14ac:dyDescent="0.25">
      <c r="F156" t="str">
        <f ca="1">_xll.DIMNM(Server&amp;"Management_Organization",_xll.DIMIX(Server&amp;"Management_Organization",H156))</f>
        <v>FIN_ARCH</v>
      </c>
      <c r="G156">
        <f t="shared" si="2"/>
        <v>155</v>
      </c>
      <c r="H156" t="str">
        <f ca="1">_xll.SUBNM(Server&amp;"Management_Organization","CountryRegionList",G156)</f>
        <v>FIN_ARCH</v>
      </c>
      <c r="I156" s="20" t="str">
        <f ca="1">_xll.ELCOMP(Server&amp;"Legal_Organization",$F$17,G156)</f>
        <v/>
      </c>
      <c r="J156" t="str">
        <f ca="1">_xll.DBRA(Server&amp;"Legal_Organization",I156,LocalLanguage)</f>
        <v/>
      </c>
      <c r="L156" t="str">
        <f ca="1">_xll.SUBNM(Server&amp;"Activity","AllActivities",G156)</f>
        <v/>
      </c>
      <c r="N156" t="str">
        <f ca="1">_xll.SUBNM(Server&amp;"Type_Client","AllTypeClient",G156)</f>
        <v/>
      </c>
      <c r="P156" t="str">
        <f ca="1">_xll.SUBNM(Server&amp;"Economic_Model","AllEcoModel",G156)</f>
        <v/>
      </c>
      <c r="Q156" t="str">
        <f ca="1">_xll.DIMNM(Server&amp;"z_Contract_Pending_Approval",$G156)</f>
        <v/>
      </c>
      <c r="R156" t="str">
        <f ca="1">_xll.DBRW(Server&amp;Cube1,Q156,"Management_Unit_Name")</f>
        <v/>
      </c>
      <c r="S156" t="s">
        <v>101</v>
      </c>
    </row>
    <row r="157" spans="6:19" x14ac:dyDescent="0.25">
      <c r="F157" t="str">
        <f ca="1">_xll.DIMNM(Server&amp;"Management_Organization",_xll.DIMIX(Server&amp;"Management_Organization",H157))</f>
        <v>NE_ARCH</v>
      </c>
      <c r="G157">
        <f t="shared" si="2"/>
        <v>156</v>
      </c>
      <c r="H157" t="str">
        <f ca="1">_xll.SUBNM(Server&amp;"Management_Organization","CountryRegionList",G157)</f>
        <v>NE_ARCH</v>
      </c>
      <c r="I157" s="20" t="str">
        <f ca="1">_xll.ELCOMP(Server&amp;"Legal_Organization",$F$17,G157)</f>
        <v/>
      </c>
      <c r="J157" t="str">
        <f ca="1">_xll.DBRA(Server&amp;"Legal_Organization",I157,LocalLanguage)</f>
        <v/>
      </c>
      <c r="L157" t="str">
        <f ca="1">_xll.SUBNM(Server&amp;"Activity","AllActivities",G157)</f>
        <v/>
      </c>
      <c r="N157" t="str">
        <f ca="1">_xll.SUBNM(Server&amp;"Type_Client","AllTypeClient",G157)</f>
        <v/>
      </c>
      <c r="P157" t="str">
        <f ca="1">_xll.SUBNM(Server&amp;"Economic_Model","AllEcoModel",G157)</f>
        <v/>
      </c>
      <c r="Q157" t="str">
        <f ca="1">_xll.DIMNM(Server&amp;"z_Contract_Pending_Approval",$G157)</f>
        <v/>
      </c>
      <c r="R157" t="str">
        <f ca="1">_xll.DBRW(Server&amp;Cube1,Q157,"Management_Unit_Name")</f>
        <v/>
      </c>
      <c r="S157" t="s">
        <v>101</v>
      </c>
    </row>
    <row r="158" spans="6:19" x14ac:dyDescent="0.25">
      <c r="F158" t="str">
        <f ca="1">_xll.DIMNM(Server&amp;"Management_Organization",_xll.DIMIX(Server&amp;"Management_Organization",H158))</f>
        <v>NO</v>
      </c>
      <c r="G158">
        <f t="shared" si="2"/>
        <v>157</v>
      </c>
      <c r="H158" t="str">
        <f ca="1">_xll.SUBNM(Server&amp;"Management_Organization","CountryRegionList",G158)</f>
        <v>NO</v>
      </c>
      <c r="I158" s="20" t="str">
        <f ca="1">_xll.ELCOMP(Server&amp;"Legal_Organization",$F$17,G158)</f>
        <v/>
      </c>
      <c r="J158" t="str">
        <f ca="1">_xll.DBRA(Server&amp;"Legal_Organization",I158,LocalLanguage)</f>
        <v/>
      </c>
      <c r="L158" t="str">
        <f ca="1">_xll.SUBNM(Server&amp;"Activity","AllActivities",G158)</f>
        <v/>
      </c>
      <c r="N158" t="str">
        <f ca="1">_xll.SUBNM(Server&amp;"Type_Client","AllTypeClient",G158)</f>
        <v/>
      </c>
      <c r="P158" t="str">
        <f ca="1">_xll.SUBNM(Server&amp;"Economic_Model","AllEcoModel",G158)</f>
        <v/>
      </c>
      <c r="Q158" t="str">
        <f ca="1">_xll.DIMNM(Server&amp;"z_Contract_Pending_Approval",$G158)</f>
        <v/>
      </c>
      <c r="R158" t="str">
        <f ca="1">_xll.DBRW(Server&amp;Cube1,Q158,"Management_Unit_Name")</f>
        <v/>
      </c>
      <c r="S158" t="s">
        <v>101</v>
      </c>
    </row>
    <row r="159" spans="6:19" x14ac:dyDescent="0.25">
      <c r="F159" t="str">
        <f ca="1">_xll.DIMNM(Server&amp;"Management_Organization",_xll.DIMIX(Server&amp;"Management_Organization",H159))</f>
        <v>CH</v>
      </c>
      <c r="G159">
        <f t="shared" si="2"/>
        <v>158</v>
      </c>
      <c r="H159" t="str">
        <f ca="1">_xll.SUBNM(Server&amp;"Management_Organization","CountryRegionList",G159)</f>
        <v>CH</v>
      </c>
      <c r="I159" s="20" t="str">
        <f ca="1">_xll.ELCOMP(Server&amp;"Legal_Organization",$F$17,G159)</f>
        <v/>
      </c>
      <c r="J159" t="str">
        <f ca="1">_xll.DBRA(Server&amp;"Legal_Organization",I159,LocalLanguage)</f>
        <v/>
      </c>
      <c r="L159" t="str">
        <f ca="1">_xll.SUBNM(Server&amp;"Activity","AllActivities",G159)</f>
        <v/>
      </c>
      <c r="N159" t="str">
        <f ca="1">_xll.SUBNM(Server&amp;"Type_Client","AllTypeClient",G159)</f>
        <v/>
      </c>
      <c r="P159" t="str">
        <f ca="1">_xll.SUBNM(Server&amp;"Economic_Model","AllEcoModel",G159)</f>
        <v/>
      </c>
      <c r="Q159" t="str">
        <f ca="1">_xll.DIMNM(Server&amp;"z_Contract_Pending_Approval",$G159)</f>
        <v/>
      </c>
      <c r="R159" t="str">
        <f ca="1">_xll.DBRW(Server&amp;Cube1,Q159,"Management_Unit_Name")</f>
        <v/>
      </c>
      <c r="S159" t="s">
        <v>101</v>
      </c>
    </row>
    <row r="160" spans="6:19" x14ac:dyDescent="0.25">
      <c r="F160" t="str">
        <f ca="1">_xll.DIMNM(Server&amp;"Management_Organization",_xll.DIMIX(Server&amp;"Management_Organization",H160))</f>
        <v>DK</v>
      </c>
      <c r="G160">
        <f t="shared" si="2"/>
        <v>159</v>
      </c>
      <c r="H160" t="str">
        <f ca="1">_xll.SUBNM(Server&amp;"Management_Organization","CountryRegionList",G160)</f>
        <v>DK</v>
      </c>
      <c r="I160" s="20" t="str">
        <f ca="1">_xll.ELCOMP(Server&amp;"Legal_Organization",$F$17,G160)</f>
        <v/>
      </c>
      <c r="J160" t="str">
        <f ca="1">_xll.DBRA(Server&amp;"Legal_Organization",I160,LocalLanguage)</f>
        <v/>
      </c>
      <c r="L160" t="str">
        <f ca="1">_xll.SUBNM(Server&amp;"Activity","AllActivities",G160)</f>
        <v/>
      </c>
      <c r="N160" t="str">
        <f ca="1">_xll.SUBNM(Server&amp;"Type_Client","AllTypeClient",G160)</f>
        <v/>
      </c>
      <c r="P160" t="str">
        <f ca="1">_xll.SUBNM(Server&amp;"Economic_Model","AllEcoModel",G160)</f>
        <v/>
      </c>
      <c r="Q160" t="str">
        <f ca="1">_xll.DIMNM(Server&amp;"z_Contract_Pending_Approval",$G160)</f>
        <v/>
      </c>
      <c r="R160" t="str">
        <f ca="1">_xll.DBRW(Server&amp;Cube1,Q160,"Management_Unit_Name")</f>
        <v/>
      </c>
      <c r="S160" t="s">
        <v>101</v>
      </c>
    </row>
    <row r="161" spans="6:19" x14ac:dyDescent="0.25">
      <c r="F161" t="str">
        <f ca="1">_xll.DIMNM(Server&amp;"Management_Organization",_xll.DIMIX(Server&amp;"Management_Organization",H161))</f>
        <v>South_Central_America</v>
      </c>
      <c r="G161">
        <f t="shared" si="2"/>
        <v>160</v>
      </c>
      <c r="H161" t="str">
        <f ca="1">_xll.SUBNM(Server&amp;"Management_Organization","CountryRegionList",G161)</f>
        <v>South_Central_America</v>
      </c>
      <c r="I161" s="20" t="str">
        <f ca="1">_xll.ELCOMP(Server&amp;"Legal_Organization",$F$17,G161)</f>
        <v/>
      </c>
      <c r="J161" t="str">
        <f ca="1">_xll.DBRA(Server&amp;"Legal_Organization",I161,LocalLanguage)</f>
        <v/>
      </c>
      <c r="L161" t="str">
        <f ca="1">_xll.SUBNM(Server&amp;"Activity","AllActivities",G161)</f>
        <v/>
      </c>
      <c r="N161" t="str">
        <f ca="1">_xll.SUBNM(Server&amp;"Type_Client","AllTypeClient",G161)</f>
        <v/>
      </c>
      <c r="P161" t="str">
        <f ca="1">_xll.SUBNM(Server&amp;"Economic_Model","AllEcoModel",G161)</f>
        <v/>
      </c>
      <c r="Q161" t="str">
        <f ca="1">_xll.DIMNM(Server&amp;"z_Contract_Pending_Approval",$G161)</f>
        <v/>
      </c>
      <c r="R161" t="str">
        <f ca="1">_xll.DBRW(Server&amp;Cube1,Q161,"Management_Unit_Name")</f>
        <v/>
      </c>
      <c r="S161" t="s">
        <v>101</v>
      </c>
    </row>
    <row r="162" spans="6:19" x14ac:dyDescent="0.25">
      <c r="F162" t="str">
        <f ca="1">_xll.DIMNM(Server&amp;"Management_Organization",_xll.DIMIX(Server&amp;"Management_Organization",H162))</f>
        <v>CHL</v>
      </c>
      <c r="G162">
        <f t="shared" si="2"/>
        <v>161</v>
      </c>
      <c r="H162" t="str">
        <f ca="1">_xll.SUBNM(Server&amp;"Management_Organization","CountryRegionList",G162)</f>
        <v>CHL</v>
      </c>
      <c r="I162" s="20" t="str">
        <f ca="1">_xll.ELCOMP(Server&amp;"Legal_Organization",$F$17,G162)</f>
        <v/>
      </c>
      <c r="J162" t="str">
        <f ca="1">_xll.DBRA(Server&amp;"Legal_Organization",I162,LocalLanguage)</f>
        <v/>
      </c>
      <c r="L162" t="str">
        <f ca="1">_xll.SUBNM(Server&amp;"Activity","AllActivities",G162)</f>
        <v/>
      </c>
      <c r="N162" t="str">
        <f ca="1">_xll.SUBNM(Server&amp;"Type_Client","AllTypeClient",G162)</f>
        <v/>
      </c>
      <c r="P162" t="str">
        <f ca="1">_xll.SUBNM(Server&amp;"Economic_Model","AllEcoModel",G162)</f>
        <v/>
      </c>
      <c r="Q162" t="str">
        <f ca="1">_xll.DIMNM(Server&amp;"z_Contract_Pending_Approval",$G162)</f>
        <v/>
      </c>
      <c r="R162" t="str">
        <f ca="1">_xll.DBRW(Server&amp;Cube1,Q162,"Management_Unit_Name")</f>
        <v/>
      </c>
      <c r="S162" t="s">
        <v>101</v>
      </c>
    </row>
    <row r="163" spans="6:19" x14ac:dyDescent="0.25">
      <c r="F163" t="str">
        <f ca="1">_xll.DIMNM(Server&amp;"Management_Organization",_xll.DIMIX(Server&amp;"Management_Organization",H163))</f>
        <v>CHL_ARCH</v>
      </c>
      <c r="G163">
        <f t="shared" si="2"/>
        <v>162</v>
      </c>
      <c r="H163" t="str">
        <f ca="1">_xll.SUBNM(Server&amp;"Management_Organization","CountryRegionList",G163)</f>
        <v>CHL_ARCH</v>
      </c>
      <c r="I163" s="20" t="str">
        <f ca="1">_xll.ELCOMP(Server&amp;"Legal_Organization",$F$17,G163)</f>
        <v/>
      </c>
      <c r="J163" t="str">
        <f ca="1">_xll.DBRA(Server&amp;"Legal_Organization",I163,LocalLanguage)</f>
        <v/>
      </c>
      <c r="L163" t="str">
        <f ca="1">_xll.SUBNM(Server&amp;"Activity","AllActivities",G163)</f>
        <v/>
      </c>
      <c r="N163" t="str">
        <f ca="1">_xll.SUBNM(Server&amp;"Type_Client","AllTypeClient",G163)</f>
        <v/>
      </c>
      <c r="P163" t="str">
        <f ca="1">_xll.SUBNM(Server&amp;"Economic_Model","AllEcoModel",G163)</f>
        <v/>
      </c>
      <c r="Q163" t="str">
        <f ca="1">_xll.DIMNM(Server&amp;"z_Contract_Pending_Approval",$G163)</f>
        <v/>
      </c>
      <c r="R163" t="str">
        <f ca="1">_xll.DBRW(Server&amp;Cube1,Q163,"Management_Unit_Name")</f>
        <v/>
      </c>
      <c r="S163" t="s">
        <v>101</v>
      </c>
    </row>
    <row r="164" spans="6:19" x14ac:dyDescent="0.25">
      <c r="F164" t="str">
        <f ca="1">_xll.DIMNM(Server&amp;"Management_Organization",_xll.DIMIX(Server&amp;"Management_Organization",H164))</f>
        <v>CO</v>
      </c>
      <c r="G164">
        <f t="shared" si="2"/>
        <v>163</v>
      </c>
      <c r="H164" t="str">
        <f ca="1">_xll.SUBNM(Server&amp;"Management_Organization","CountryRegionList",G164)</f>
        <v>CO</v>
      </c>
      <c r="I164" s="20" t="str">
        <f ca="1">_xll.ELCOMP(Server&amp;"Legal_Organization",$F$17,G164)</f>
        <v/>
      </c>
      <c r="J164" t="str">
        <f ca="1">_xll.DBRA(Server&amp;"Legal_Organization",I164,LocalLanguage)</f>
        <v/>
      </c>
      <c r="L164" t="str">
        <f ca="1">_xll.SUBNM(Server&amp;"Activity","AllActivities",G164)</f>
        <v/>
      </c>
      <c r="N164" t="str">
        <f ca="1">_xll.SUBNM(Server&amp;"Type_Client","AllTypeClient",G164)</f>
        <v/>
      </c>
      <c r="P164" t="str">
        <f ca="1">_xll.SUBNM(Server&amp;"Economic_Model","AllEcoModel",G164)</f>
        <v/>
      </c>
      <c r="Q164" t="str">
        <f ca="1">_xll.DIMNM(Server&amp;"z_Contract_Pending_Approval",$G164)</f>
        <v/>
      </c>
      <c r="R164" t="str">
        <f ca="1">_xll.DBRW(Server&amp;Cube1,Q164,"Management_Unit_Name")</f>
        <v/>
      </c>
      <c r="S164" t="s">
        <v>101</v>
      </c>
    </row>
    <row r="165" spans="6:19" x14ac:dyDescent="0.25">
      <c r="F165" t="str">
        <f ca="1">_xll.DIMNM(Server&amp;"Management_Organization",_xll.DIMIX(Server&amp;"Management_Organization",H165))</f>
        <v>Transit</v>
      </c>
      <c r="G165">
        <f t="shared" si="2"/>
        <v>164</v>
      </c>
      <c r="H165" t="str">
        <f ca="1">_xll.SUBNM(Server&amp;"Management_Organization","CountryRegionList",G165)</f>
        <v>Transit</v>
      </c>
      <c r="I165" s="20" t="str">
        <f ca="1">_xll.ELCOMP(Server&amp;"Legal_Organization",$F$17,G165)</f>
        <v/>
      </c>
      <c r="J165" t="str">
        <f ca="1">_xll.DBRA(Server&amp;"Legal_Organization",I165,LocalLanguage)</f>
        <v/>
      </c>
      <c r="L165" t="str">
        <f ca="1">_xll.SUBNM(Server&amp;"Activity","AllActivities",G165)</f>
        <v/>
      </c>
      <c r="N165" t="str">
        <f ca="1">_xll.SUBNM(Server&amp;"Type_Client","AllTypeClient",G165)</f>
        <v/>
      </c>
      <c r="P165" t="str">
        <f ca="1">_xll.SUBNM(Server&amp;"Economic_Model","AllEcoModel",G165)</f>
        <v/>
      </c>
      <c r="Q165" t="str">
        <f ca="1">_xll.DIMNM(Server&amp;"z_Contract_Pending_Approval",$G165)</f>
        <v/>
      </c>
      <c r="R165" t="str">
        <f ca="1">_xll.DBRW(Server&amp;Cube1,Q165,"Management_Unit_Name")</f>
        <v/>
      </c>
      <c r="S165" t="s">
        <v>101</v>
      </c>
    </row>
    <row r="166" spans="6:19" x14ac:dyDescent="0.25">
      <c r="F166" t="str">
        <f ca="1">_xll.DIMNM(Server&amp;"Management_Organization",_xll.DIMIX(Server&amp;"Management_Organization",H166))</f>
        <v>US_NBT</v>
      </c>
      <c r="G166">
        <f t="shared" si="2"/>
        <v>165</v>
      </c>
      <c r="H166" t="str">
        <f ca="1">_xll.SUBNM(Server&amp;"Management_Organization","CountryRegionList",G166)</f>
        <v>US_NBT</v>
      </c>
      <c r="I166" s="20" t="str">
        <f ca="1">_xll.ELCOMP(Server&amp;"Legal_Organization",$F$17,G166)</f>
        <v/>
      </c>
      <c r="J166" t="str">
        <f ca="1">_xll.DBRA(Server&amp;"Legal_Organization",I166,LocalLanguage)</f>
        <v/>
      </c>
      <c r="L166" t="str">
        <f ca="1">_xll.SUBNM(Server&amp;"Activity","AllActivities",G166)</f>
        <v/>
      </c>
      <c r="N166" t="str">
        <f ca="1">_xll.SUBNM(Server&amp;"Type_Client","AllTypeClient",G166)</f>
        <v/>
      </c>
      <c r="P166" t="str">
        <f ca="1">_xll.SUBNM(Server&amp;"Economic_Model","AllEcoModel",G166)</f>
        <v/>
      </c>
      <c r="Q166" t="str">
        <f ca="1">_xll.DIMNM(Server&amp;"z_Contract_Pending_Approval",$G166)</f>
        <v/>
      </c>
      <c r="R166" t="str">
        <f ca="1">_xll.DBRW(Server&amp;Cube1,Q166,"Management_Unit_Name")</f>
        <v/>
      </c>
      <c r="S166" t="s">
        <v>101</v>
      </c>
    </row>
    <row r="167" spans="6:19" x14ac:dyDescent="0.25">
      <c r="F167" t="str">
        <f ca="1">_xll.DIMNM(Server&amp;"Management_Organization",_xll.DIMIX(Server&amp;"Management_Organization",H167))</f>
        <v>US_ET</v>
      </c>
      <c r="G167">
        <f t="shared" ref="G167:G230" si="3">ROW()-1</f>
        <v>166</v>
      </c>
      <c r="H167" t="str">
        <f ca="1">_xll.SUBNM(Server&amp;"Management_Organization","CountryRegionList",G167)</f>
        <v>US_ET</v>
      </c>
      <c r="I167" s="20" t="str">
        <f ca="1">_xll.ELCOMP(Server&amp;"Legal_Organization",$F$17,G167)</f>
        <v/>
      </c>
      <c r="J167" t="str">
        <f ca="1">_xll.DBRA(Server&amp;"Legal_Organization",I167,LocalLanguage)</f>
        <v/>
      </c>
      <c r="L167" t="str">
        <f ca="1">_xll.SUBNM(Server&amp;"Activity","AllActivities",G167)</f>
        <v/>
      </c>
      <c r="N167" t="str">
        <f ca="1">_xll.SUBNM(Server&amp;"Type_Client","AllTypeClient",G167)</f>
        <v/>
      </c>
      <c r="P167" t="str">
        <f ca="1">_xll.SUBNM(Server&amp;"Economic_Model","AllEcoModel",G167)</f>
        <v/>
      </c>
      <c r="Q167" t="str">
        <f ca="1">_xll.DIMNM(Server&amp;"z_Contract_Pending_Approval",$G167)</f>
        <v/>
      </c>
      <c r="R167" t="str">
        <f ca="1">_xll.DBRW(Server&amp;Cube1,Q167,"Management_Unit_Name")</f>
        <v/>
      </c>
      <c r="S167" t="s">
        <v>101</v>
      </c>
    </row>
    <row r="168" spans="6:19" x14ac:dyDescent="0.25">
      <c r="F168" t="str">
        <f ca="1">_xll.DIMNM(Server&amp;"Management_Organization",_xll.DIMIX(Server&amp;"Management_Organization",H168))</f>
        <v>US_ENA</v>
      </c>
      <c r="G168">
        <f t="shared" si="3"/>
        <v>167</v>
      </c>
      <c r="H168" t="str">
        <f ca="1">_xll.SUBNM(Server&amp;"Management_Organization","CountryRegionList",G168)</f>
        <v>US_ENA</v>
      </c>
      <c r="I168" s="20" t="str">
        <f ca="1">_xll.ELCOMP(Server&amp;"Legal_Organization",$F$17,G168)</f>
        <v/>
      </c>
      <c r="J168" t="str">
        <f ca="1">_xll.DBRA(Server&amp;"Legal_Organization",I168,LocalLanguage)</f>
        <v/>
      </c>
      <c r="L168" t="str">
        <f ca="1">_xll.SUBNM(Server&amp;"Activity","AllActivities",G168)</f>
        <v/>
      </c>
      <c r="N168" t="str">
        <f ca="1">_xll.SUBNM(Server&amp;"Type_Client","AllTypeClient",G168)</f>
        <v/>
      </c>
      <c r="P168" t="str">
        <f ca="1">_xll.SUBNM(Server&amp;"Economic_Model","AllEcoModel",G168)</f>
        <v/>
      </c>
      <c r="Q168" t="str">
        <f ca="1">_xll.DIMNM(Server&amp;"z_Contract_Pending_Approval",$G168)</f>
        <v/>
      </c>
      <c r="R168" t="str">
        <f ca="1">_xll.DBRW(Server&amp;Cube1,Q168,"Management_Unit_Name")</f>
        <v/>
      </c>
      <c r="S168" t="s">
        <v>101</v>
      </c>
    </row>
    <row r="169" spans="6:19" x14ac:dyDescent="0.25">
      <c r="F169" t="str">
        <f ca="1">_xll.DIMNM(Server&amp;"Management_Organization",_xll.DIMIX(Server&amp;"Management_Organization",H169))</f>
        <v>US_ESA</v>
      </c>
      <c r="G169">
        <f t="shared" si="3"/>
        <v>168</v>
      </c>
      <c r="H169" t="str">
        <f ca="1">_xll.SUBNM(Server&amp;"Management_Organization","CountryRegionList",G169)</f>
        <v>US_ESA</v>
      </c>
      <c r="I169" s="20" t="str">
        <f ca="1">_xll.ELCOMP(Server&amp;"Legal_Organization",$F$17,G169)</f>
        <v/>
      </c>
      <c r="J169" t="str">
        <f ca="1">_xll.DBRA(Server&amp;"Legal_Organization",I169,LocalLanguage)</f>
        <v/>
      </c>
      <c r="L169" t="str">
        <f ca="1">_xll.SUBNM(Server&amp;"Activity","AllActivities",G169)</f>
        <v/>
      </c>
      <c r="N169" t="str">
        <f ca="1">_xll.SUBNM(Server&amp;"Type_Client","AllTypeClient",G169)</f>
        <v/>
      </c>
      <c r="P169" t="str">
        <f ca="1">_xll.SUBNM(Server&amp;"Economic_Model","AllEcoModel",G169)</f>
        <v/>
      </c>
      <c r="Q169" t="str">
        <f ca="1">_xll.DIMNM(Server&amp;"z_Contract_Pending_Approval",$G169)</f>
        <v/>
      </c>
      <c r="R169" t="str">
        <f ca="1">_xll.DBRW(Server&amp;Cube1,Q169,"Management_Unit_Name")</f>
        <v/>
      </c>
      <c r="S169" t="s">
        <v>101</v>
      </c>
    </row>
    <row r="170" spans="6:19" x14ac:dyDescent="0.25">
      <c r="F170" t="str">
        <f ca="1">_xll.DIMNM(Server&amp;"Management_Organization",_xll.DIMIX(Server&amp;"Management_Organization",H170))</f>
        <v>US_CEN</v>
      </c>
      <c r="G170">
        <f t="shared" si="3"/>
        <v>169</v>
      </c>
      <c r="H170" t="str">
        <f ca="1">_xll.SUBNM(Server&amp;"Management_Organization","CountryRegionList",G170)</f>
        <v>US_CEN</v>
      </c>
      <c r="I170" s="20" t="str">
        <f ca="1">_xll.ELCOMP(Server&amp;"Legal_Organization",$F$17,G170)</f>
        <v/>
      </c>
      <c r="J170" t="str">
        <f ca="1">_xll.DBRA(Server&amp;"Legal_Organization",I170,LocalLanguage)</f>
        <v/>
      </c>
      <c r="L170" t="str">
        <f ca="1">_xll.SUBNM(Server&amp;"Activity","AllActivities",G170)</f>
        <v/>
      </c>
      <c r="N170" t="str">
        <f ca="1">_xll.SUBNM(Server&amp;"Type_Client","AllTypeClient",G170)</f>
        <v/>
      </c>
      <c r="P170" t="str">
        <f ca="1">_xll.SUBNM(Server&amp;"Economic_Model","AllEcoModel",G170)</f>
        <v/>
      </c>
      <c r="Q170" t="str">
        <f ca="1">_xll.DIMNM(Server&amp;"z_Contract_Pending_Approval",$G170)</f>
        <v/>
      </c>
      <c r="R170" t="str">
        <f ca="1">_xll.DBRW(Server&amp;Cube1,Q170,"Management_Unit_Name")</f>
        <v/>
      </c>
      <c r="S170" t="s">
        <v>101</v>
      </c>
    </row>
    <row r="171" spans="6:19" x14ac:dyDescent="0.25">
      <c r="F171" t="str">
        <f ca="1">_xll.DIMNM(Server&amp;"Management_Organization",_xll.DIMIX(Server&amp;"Management_Organization",H171))</f>
        <v>US_ESR</v>
      </c>
      <c r="G171">
        <f t="shared" si="3"/>
        <v>170</v>
      </c>
      <c r="H171" t="str">
        <f ca="1">_xll.SUBNM(Server&amp;"Management_Organization","CountryRegionList",G171)</f>
        <v>US_ESR</v>
      </c>
      <c r="I171" s="20" t="str">
        <f ca="1">_xll.ELCOMP(Server&amp;"Legal_Organization",$F$17,G171)</f>
        <v/>
      </c>
      <c r="J171" t="str">
        <f ca="1">_xll.DBRA(Server&amp;"Legal_Organization",I171,LocalLanguage)</f>
        <v/>
      </c>
      <c r="L171" t="str">
        <f ca="1">_xll.SUBNM(Server&amp;"Activity","AllActivities",G171)</f>
        <v/>
      </c>
      <c r="N171" t="str">
        <f ca="1">_xll.SUBNM(Server&amp;"Type_Client","AllTypeClient",G171)</f>
        <v/>
      </c>
      <c r="P171" t="str">
        <f ca="1">_xll.SUBNM(Server&amp;"Economic_Model","AllEcoModel",G171)</f>
        <v/>
      </c>
      <c r="Q171" t="str">
        <f ca="1">_xll.DIMNM(Server&amp;"z_Contract_Pending_Approval",$G171)</f>
        <v/>
      </c>
      <c r="R171" t="str">
        <f ca="1">_xll.DBRW(Server&amp;Cube1,Q171,"Management_Unit_Name")</f>
        <v/>
      </c>
      <c r="S171" t="s">
        <v>101</v>
      </c>
    </row>
    <row r="172" spans="6:19" x14ac:dyDescent="0.25">
      <c r="F172" t="str">
        <f ca="1">_xll.DIMNM(Server&amp;"Management_Organization",_xll.DIMIX(Server&amp;"Management_Organization",H172))</f>
        <v>US_WT</v>
      </c>
      <c r="G172">
        <f t="shared" si="3"/>
        <v>171</v>
      </c>
      <c r="H172" t="str">
        <f ca="1">_xll.SUBNM(Server&amp;"Management_Organization","CountryRegionList",G172)</f>
        <v>US_WT</v>
      </c>
      <c r="I172" s="20" t="str">
        <f ca="1">_xll.ELCOMP(Server&amp;"Legal_Organization",$F$17,G172)</f>
        <v/>
      </c>
      <c r="J172" t="str">
        <f ca="1">_xll.DBRA(Server&amp;"Legal_Organization",I172,LocalLanguage)</f>
        <v/>
      </c>
      <c r="L172" t="str">
        <f ca="1">_xll.SUBNM(Server&amp;"Activity","AllActivities",G172)</f>
        <v/>
      </c>
      <c r="N172" t="str">
        <f ca="1">_xll.SUBNM(Server&amp;"Type_Client","AllTypeClient",G172)</f>
        <v/>
      </c>
      <c r="P172" t="str">
        <f ca="1">_xll.SUBNM(Server&amp;"Economic_Model","AllEcoModel",G172)</f>
        <v/>
      </c>
      <c r="Q172" t="str">
        <f ca="1">_xll.DIMNM(Server&amp;"z_Contract_Pending_Approval",$G172)</f>
        <v/>
      </c>
      <c r="R172" t="str">
        <f ca="1">_xll.DBRW(Server&amp;Cube1,Q172,"Management_Unit_Name")</f>
        <v/>
      </c>
      <c r="S172" t="s">
        <v>101</v>
      </c>
    </row>
    <row r="173" spans="6:19" x14ac:dyDescent="0.25">
      <c r="F173" t="str">
        <f ca="1">_xll.DIMNM(Server&amp;"Management_Organization",_xll.DIMIX(Server&amp;"Management_Organization",H173))</f>
        <v>US_WAA</v>
      </c>
      <c r="G173">
        <f t="shared" si="3"/>
        <v>172</v>
      </c>
      <c r="H173" t="str">
        <f ca="1">_xll.SUBNM(Server&amp;"Management_Organization","CountryRegionList",G173)</f>
        <v>US_WAA</v>
      </c>
      <c r="I173" s="20" t="str">
        <f ca="1">_xll.ELCOMP(Server&amp;"Legal_Organization",$F$17,G173)</f>
        <v/>
      </c>
      <c r="J173" t="str">
        <f ca="1">_xll.DBRA(Server&amp;"Legal_Organization",I173,LocalLanguage)</f>
        <v/>
      </c>
      <c r="L173" t="str">
        <f ca="1">_xll.SUBNM(Server&amp;"Activity","AllActivities",G173)</f>
        <v/>
      </c>
      <c r="N173" t="str">
        <f ca="1">_xll.SUBNM(Server&amp;"Type_Client","AllTypeClient",G173)</f>
        <v/>
      </c>
      <c r="P173" t="str">
        <f ca="1">_xll.SUBNM(Server&amp;"Economic_Model","AllEcoModel",G173)</f>
        <v/>
      </c>
      <c r="Q173" t="str">
        <f ca="1">_xll.DIMNM(Server&amp;"z_Contract_Pending_Approval",$G173)</f>
        <v/>
      </c>
      <c r="R173" t="str">
        <f ca="1">_xll.DBRW(Server&amp;Cube1,Q173,"Management_Unit_Name")</f>
        <v/>
      </c>
      <c r="S173" t="s">
        <v>101</v>
      </c>
    </row>
    <row r="174" spans="6:19" x14ac:dyDescent="0.25">
      <c r="F174" t="str">
        <f ca="1">_xll.DIMNM(Server&amp;"Management_Organization",_xll.DIMIX(Server&amp;"Management_Organization",H174))</f>
        <v>US_WNC</v>
      </c>
      <c r="G174">
        <f t="shared" si="3"/>
        <v>173</v>
      </c>
      <c r="H174" t="str">
        <f ca="1">_xll.SUBNM(Server&amp;"Management_Organization","CountryRegionList",G174)</f>
        <v>US_WNC</v>
      </c>
      <c r="I174" s="20" t="str">
        <f ca="1">_xll.ELCOMP(Server&amp;"Legal_Organization",$F$17,G174)</f>
        <v/>
      </c>
      <c r="J174" t="str">
        <f ca="1">_xll.DBRA(Server&amp;"Legal_Organization",I174,LocalLanguage)</f>
        <v/>
      </c>
      <c r="L174" t="str">
        <f ca="1">_xll.SUBNM(Server&amp;"Activity","AllActivities",G174)</f>
        <v/>
      </c>
      <c r="N174" t="str">
        <f ca="1">_xll.SUBNM(Server&amp;"Type_Client","AllTypeClient",G174)</f>
        <v/>
      </c>
      <c r="P174" t="str">
        <f ca="1">_xll.SUBNM(Server&amp;"Economic_Model","AllEcoModel",G174)</f>
        <v/>
      </c>
      <c r="Q174" t="str">
        <f ca="1">_xll.DIMNM(Server&amp;"z_Contract_Pending_Approval",$G174)</f>
        <v/>
      </c>
      <c r="R174" t="str">
        <f ca="1">_xll.DBRW(Server&amp;Cube1,Q174,"Management_Unit_Name")</f>
        <v/>
      </c>
      <c r="S174" t="s">
        <v>101</v>
      </c>
    </row>
    <row r="175" spans="6:19" x14ac:dyDescent="0.25">
      <c r="F175" t="str">
        <f ca="1">_xll.DIMNM(Server&amp;"Management_Organization",_xll.DIMIX(Server&amp;"Management_Organization",H175))</f>
        <v>US_WSD</v>
      </c>
      <c r="G175">
        <f t="shared" si="3"/>
        <v>174</v>
      </c>
      <c r="H175" t="str">
        <f ca="1">_xll.SUBNM(Server&amp;"Management_Organization","CountryRegionList",G175)</f>
        <v>US_WSD</v>
      </c>
      <c r="I175" s="20" t="str">
        <f ca="1">_xll.ELCOMP(Server&amp;"Legal_Organization",$F$17,G175)</f>
        <v/>
      </c>
      <c r="J175" t="str">
        <f ca="1">_xll.DBRA(Server&amp;"Legal_Organization",I175,LocalLanguage)</f>
        <v/>
      </c>
      <c r="L175" t="str">
        <f ca="1">_xll.SUBNM(Server&amp;"Activity","AllActivities",G175)</f>
        <v/>
      </c>
      <c r="N175" t="str">
        <f ca="1">_xll.SUBNM(Server&amp;"Type_Client","AllTypeClient",G175)</f>
        <v/>
      </c>
      <c r="P175" t="str">
        <f ca="1">_xll.SUBNM(Server&amp;"Economic_Model","AllEcoModel",G175)</f>
        <v/>
      </c>
      <c r="Q175" t="str">
        <f ca="1">_xll.DIMNM(Server&amp;"z_Contract_Pending_Approval",$G175)</f>
        <v/>
      </c>
      <c r="R175" t="str">
        <f ca="1">_xll.DBRW(Server&amp;Cube1,Q175,"Management_Unit_Name")</f>
        <v/>
      </c>
      <c r="S175" t="s">
        <v>101</v>
      </c>
    </row>
    <row r="176" spans="6:19" x14ac:dyDescent="0.25">
      <c r="F176" t="str">
        <f ca="1">_xll.DIMNM(Server&amp;"Management_Organization",_xll.DIMIX(Server&amp;"Management_Organization",H176))</f>
        <v>US_FHR</v>
      </c>
      <c r="G176">
        <f t="shared" si="3"/>
        <v>175</v>
      </c>
      <c r="H176" t="str">
        <f ca="1">_xll.SUBNM(Server&amp;"Management_Organization","CountryRegionList",G176)</f>
        <v>US_FHR</v>
      </c>
      <c r="I176" s="20" t="str">
        <f ca="1">_xll.ELCOMP(Server&amp;"Legal_Organization",$F$17,G176)</f>
        <v/>
      </c>
      <c r="J176" t="str">
        <f ca="1">_xll.DBRA(Server&amp;"Legal_Organization",I176,LocalLanguage)</f>
        <v/>
      </c>
      <c r="L176" t="str">
        <f ca="1">_xll.SUBNM(Server&amp;"Activity","AllActivities",G176)</f>
        <v/>
      </c>
      <c r="N176" t="str">
        <f ca="1">_xll.SUBNM(Server&amp;"Type_Client","AllTypeClient",G176)</f>
        <v/>
      </c>
      <c r="P176" t="str">
        <f ca="1">_xll.SUBNM(Server&amp;"Economic_Model","AllEcoModel",G176)</f>
        <v/>
      </c>
      <c r="Q176" t="str">
        <f ca="1">_xll.DIMNM(Server&amp;"z_Contract_Pending_Approval",$G176)</f>
        <v/>
      </c>
      <c r="R176" t="str">
        <f ca="1">_xll.DBRW(Server&amp;Cube1,Q176,"Management_Unit_Name")</f>
        <v/>
      </c>
      <c r="S176" t="s">
        <v>101</v>
      </c>
    </row>
    <row r="177" spans="6:19" x14ac:dyDescent="0.25">
      <c r="F177" t="str">
        <f ca="1">_xll.DIMNM(Server&amp;"Management_Organization",_xll.DIMIX(Server&amp;"Management_Organization",H177))</f>
        <v>US_WSR</v>
      </c>
      <c r="G177">
        <f t="shared" si="3"/>
        <v>176</v>
      </c>
      <c r="H177" t="str">
        <f ca="1">_xll.SUBNM(Server&amp;"Management_Organization","CountryRegionList",G177)</f>
        <v>US_WSR</v>
      </c>
      <c r="I177" s="20" t="str">
        <f ca="1">_xll.ELCOMP(Server&amp;"Legal_Organization",$F$17,G177)</f>
        <v/>
      </c>
      <c r="J177" t="str">
        <f ca="1">_xll.DBRA(Server&amp;"Legal_Organization",I177,LocalLanguage)</f>
        <v/>
      </c>
      <c r="L177" t="str">
        <f ca="1">_xll.SUBNM(Server&amp;"Activity","AllActivities",G177)</f>
        <v/>
      </c>
      <c r="N177" t="str">
        <f ca="1">_xll.SUBNM(Server&amp;"Type_Client","AllTypeClient",G177)</f>
        <v/>
      </c>
      <c r="P177" t="str">
        <f ca="1">_xll.SUBNM(Server&amp;"Economic_Model","AllEcoModel",G177)</f>
        <v/>
      </c>
      <c r="Q177" t="str">
        <f ca="1">_xll.DIMNM(Server&amp;"z_Contract_Pending_Approval",$G177)</f>
        <v/>
      </c>
      <c r="R177" t="str">
        <f ca="1">_xll.DBRW(Server&amp;Cube1,Q177,"Management_Unit_Name")</f>
        <v/>
      </c>
      <c r="S177" t="s">
        <v>101</v>
      </c>
    </row>
    <row r="178" spans="6:19" x14ac:dyDescent="0.25">
      <c r="F178" t="str">
        <f ca="1">_xll.DIMNM(Server&amp;"Management_Organization",_xll.DIMIX(Server&amp;"Management_Organization",H178))</f>
        <v>US_INS</v>
      </c>
      <c r="G178">
        <f t="shared" si="3"/>
        <v>177</v>
      </c>
      <c r="H178" t="str">
        <f ca="1">_xll.SUBNM(Server&amp;"Management_Organization","CountryRegionList",G178)</f>
        <v>US_INS</v>
      </c>
      <c r="I178" s="20" t="str">
        <f ca="1">_xll.ELCOMP(Server&amp;"Legal_Organization",$F$17,G178)</f>
        <v/>
      </c>
      <c r="J178" t="str">
        <f ca="1">_xll.DBRA(Server&amp;"Legal_Organization",I178,LocalLanguage)</f>
        <v/>
      </c>
      <c r="L178" t="str">
        <f ca="1">_xll.SUBNM(Server&amp;"Activity","AllActivities",G178)</f>
        <v/>
      </c>
      <c r="N178" t="str">
        <f ca="1">_xll.SUBNM(Server&amp;"Type_Client","AllTypeClient",G178)</f>
        <v/>
      </c>
      <c r="P178" t="str">
        <f ca="1">_xll.SUBNM(Server&amp;"Economic_Model","AllEcoModel",G178)</f>
        <v/>
      </c>
      <c r="Q178" t="str">
        <f ca="1">_xll.DIMNM(Server&amp;"z_Contract_Pending_Approval",$G178)</f>
        <v/>
      </c>
      <c r="R178" t="str">
        <f ca="1">_xll.DBRW(Server&amp;Cube1,Q178,"Management_Unit_Name")</f>
        <v/>
      </c>
      <c r="S178" t="s">
        <v>101</v>
      </c>
    </row>
    <row r="179" spans="6:19" x14ac:dyDescent="0.25">
      <c r="F179" t="str">
        <f ca="1">_xll.DIMNM(Server&amp;"Management_Organization",_xll.DIMIX(Server&amp;"Management_Organization",H179))</f>
        <v>US_VTI</v>
      </c>
      <c r="G179">
        <f t="shared" si="3"/>
        <v>178</v>
      </c>
      <c r="H179" t="str">
        <f ca="1">_xll.SUBNM(Server&amp;"Management_Organization","CountryRegionList",G179)</f>
        <v>US_VTI</v>
      </c>
      <c r="I179" s="20" t="str">
        <f ca="1">_xll.ELCOMP(Server&amp;"Legal_Organization",$F$17,G179)</f>
        <v/>
      </c>
      <c r="J179" t="str">
        <f ca="1">_xll.DBRA(Server&amp;"Legal_Organization",I179,LocalLanguage)</f>
        <v/>
      </c>
      <c r="L179" t="str">
        <f ca="1">_xll.SUBNM(Server&amp;"Activity","AllActivities",G179)</f>
        <v/>
      </c>
      <c r="N179" t="str">
        <f ca="1">_xll.SUBNM(Server&amp;"Type_Client","AllTypeClient",G179)</f>
        <v/>
      </c>
      <c r="P179" t="str">
        <f ca="1">_xll.SUBNM(Server&amp;"Economic_Model","AllEcoModel",G179)</f>
        <v/>
      </c>
      <c r="Q179" t="str">
        <f ca="1">_xll.DIMNM(Server&amp;"z_Contract_Pending_Approval",$G179)</f>
        <v/>
      </c>
      <c r="R179" t="str">
        <f ca="1">_xll.DBRW(Server&amp;Cube1,Q179,"Management_Unit_Name")</f>
        <v/>
      </c>
      <c r="S179" t="s">
        <v>101</v>
      </c>
    </row>
    <row r="180" spans="6:19" x14ac:dyDescent="0.25">
      <c r="F180" t="str">
        <f ca="1">_xll.DIMNM(Server&amp;"Management_Organization",_xll.DIMIX(Server&amp;"Management_Organization",H180))</f>
        <v>US_CNA</v>
      </c>
      <c r="G180">
        <f t="shared" si="3"/>
        <v>179</v>
      </c>
      <c r="H180" t="str">
        <f ca="1">_xll.SUBNM(Server&amp;"Management_Organization","CountryRegionList",G180)</f>
        <v>US_CNA</v>
      </c>
      <c r="I180" s="20" t="str">
        <f ca="1">_xll.ELCOMP(Server&amp;"Legal_Organization",$F$17,G180)</f>
        <v/>
      </c>
      <c r="J180" t="str">
        <f ca="1">_xll.DBRA(Server&amp;"Legal_Organization",I180,LocalLanguage)</f>
        <v/>
      </c>
      <c r="L180" t="str">
        <f ca="1">_xll.SUBNM(Server&amp;"Activity","AllActivities",G180)</f>
        <v/>
      </c>
      <c r="N180" t="str">
        <f ca="1">_xll.SUBNM(Server&amp;"Type_Client","AllTypeClient",G180)</f>
        <v/>
      </c>
      <c r="P180" t="str">
        <f ca="1">_xll.SUBNM(Server&amp;"Economic_Model","AllEcoModel",G180)</f>
        <v/>
      </c>
      <c r="Q180" t="str">
        <f ca="1">_xll.DIMNM(Server&amp;"z_Contract_Pending_Approval",$G180)</f>
        <v/>
      </c>
      <c r="R180" t="str">
        <f ca="1">_xll.DBRW(Server&amp;Cube1,Q180,"Management_Unit_Name")</f>
        <v/>
      </c>
      <c r="S180" t="s">
        <v>101</v>
      </c>
    </row>
    <row r="181" spans="6:19" x14ac:dyDescent="0.25">
      <c r="F181" t="str">
        <f ca="1">_xll.DIMNM(Server&amp;"Management_Organization",_xll.DIMIX(Server&amp;"Management_Organization",H181))</f>
        <v>US_CVT</v>
      </c>
      <c r="G181">
        <f t="shared" si="3"/>
        <v>180</v>
      </c>
      <c r="H181" t="str">
        <f ca="1">_xll.SUBNM(Server&amp;"Management_Organization","CountryRegionList",G181)</f>
        <v>US_CVT</v>
      </c>
      <c r="I181" s="20" t="str">
        <f ca="1">_xll.ELCOMP(Server&amp;"Legal_Organization",$F$17,G181)</f>
        <v/>
      </c>
      <c r="J181" t="str">
        <f ca="1">_xll.DBRA(Server&amp;"Legal_Organization",I181,LocalLanguage)</f>
        <v/>
      </c>
      <c r="L181" t="str">
        <f ca="1">_xll.SUBNM(Server&amp;"Activity","AllActivities",G181)</f>
        <v/>
      </c>
      <c r="N181" t="str">
        <f ca="1">_xll.SUBNM(Server&amp;"Type_Client","AllTypeClient",G181)</f>
        <v/>
      </c>
      <c r="P181" t="str">
        <f ca="1">_xll.SUBNM(Server&amp;"Economic_Model","AllEcoModel",G181)</f>
        <v/>
      </c>
      <c r="Q181" t="str">
        <f ca="1">_xll.DIMNM(Server&amp;"z_Contract_Pending_Approval",$G181)</f>
        <v/>
      </c>
      <c r="R181" t="str">
        <f ca="1">_xll.DBRW(Server&amp;Cube1,Q181,"Management_Unit_Name")</f>
        <v/>
      </c>
      <c r="S181" t="s">
        <v>101</v>
      </c>
    </row>
    <row r="182" spans="6:19" x14ac:dyDescent="0.25">
      <c r="F182" t="str">
        <f ca="1">_xll.DIMNM(Server&amp;"Management_Organization",_xll.DIMIX(Server&amp;"Management_Organization",H182))</f>
        <v>Former_Transit_Org</v>
      </c>
      <c r="G182">
        <f t="shared" si="3"/>
        <v>181</v>
      </c>
      <c r="H182" t="str">
        <f ca="1">_xll.SUBNM(Server&amp;"Management_Organization","CountryRegionList",G182)</f>
        <v>Former_Transit_Org</v>
      </c>
      <c r="I182" s="20" t="str">
        <f ca="1">_xll.ELCOMP(Server&amp;"Legal_Organization",$F$17,G182)</f>
        <v/>
      </c>
      <c r="J182" t="str">
        <f ca="1">_xll.DBRA(Server&amp;"Legal_Organization",I182,LocalLanguage)</f>
        <v/>
      </c>
      <c r="L182" t="str">
        <f ca="1">_xll.SUBNM(Server&amp;"Activity","AllActivities",G182)</f>
        <v/>
      </c>
      <c r="N182" t="str">
        <f ca="1">_xll.SUBNM(Server&amp;"Type_Client","AllTypeClient",G182)</f>
        <v/>
      </c>
      <c r="P182" t="str">
        <f ca="1">_xll.SUBNM(Server&amp;"Economic_Model","AllEcoModel",G182)</f>
        <v/>
      </c>
      <c r="Q182" t="str">
        <f ca="1">_xll.DIMNM(Server&amp;"z_Contract_Pending_Approval",$G182)</f>
        <v/>
      </c>
      <c r="R182" t="str">
        <f ca="1">_xll.DBRW(Server&amp;Cube1,Q182,"Management_Unit_Name")</f>
        <v/>
      </c>
      <c r="S182" t="s">
        <v>101</v>
      </c>
    </row>
    <row r="183" spans="6:19" x14ac:dyDescent="0.25">
      <c r="F183" t="str">
        <f ca="1">_xll.DIMNM(Server&amp;"Management_Organization",_xll.DIMIX(Server&amp;"Management_Organization",H183))</f>
        <v>US_SE</v>
      </c>
      <c r="G183">
        <f t="shared" si="3"/>
        <v>182</v>
      </c>
      <c r="H183" t="str">
        <f ca="1">_xll.SUBNM(Server&amp;"Management_Organization","CountryRegionList",G183)</f>
        <v>US_SE</v>
      </c>
      <c r="I183" s="20" t="str">
        <f ca="1">_xll.ELCOMP(Server&amp;"Legal_Organization",$F$17,G183)</f>
        <v/>
      </c>
      <c r="J183" t="str">
        <f ca="1">_xll.DBRA(Server&amp;"Legal_Organization",I183,LocalLanguage)</f>
        <v/>
      </c>
      <c r="L183" t="str">
        <f ca="1">_xll.SUBNM(Server&amp;"Activity","AllActivities",G183)</f>
        <v/>
      </c>
      <c r="N183" t="str">
        <f ca="1">_xll.SUBNM(Server&amp;"Type_Client","AllTypeClient",G183)</f>
        <v/>
      </c>
      <c r="P183" t="str">
        <f ca="1">_xll.SUBNM(Server&amp;"Economic_Model","AllEcoModel",G183)</f>
        <v/>
      </c>
      <c r="Q183" t="str">
        <f ca="1">_xll.DIMNM(Server&amp;"z_Contract_Pending_Approval",$G183)</f>
        <v/>
      </c>
      <c r="R183" t="str">
        <f ca="1">_xll.DBRW(Server&amp;Cube1,Q183,"Management_Unit_Name")</f>
        <v/>
      </c>
      <c r="S183" t="s">
        <v>101</v>
      </c>
    </row>
    <row r="184" spans="6:19" x14ac:dyDescent="0.25">
      <c r="F184" t="str">
        <f ca="1">_xll.DIMNM(Server&amp;"Management_Organization",_xll.DIMIX(Server&amp;"Management_Organization",H184))</f>
        <v>US_VT</v>
      </c>
      <c r="G184">
        <f t="shared" si="3"/>
        <v>183</v>
      </c>
      <c r="H184" t="str">
        <f ca="1">_xll.SUBNM(Server&amp;"Management_Organization","CountryRegionList",G184)</f>
        <v>US_VT</v>
      </c>
      <c r="I184" s="20" t="str">
        <f ca="1">_xll.ELCOMP(Server&amp;"Legal_Organization",$F$17,G184)</f>
        <v/>
      </c>
      <c r="J184" t="str">
        <f ca="1">_xll.DBRA(Server&amp;"Legal_Organization",I184,LocalLanguage)</f>
        <v/>
      </c>
      <c r="L184" t="str">
        <f ca="1">_xll.SUBNM(Server&amp;"Activity","AllActivities",G184)</f>
        <v/>
      </c>
      <c r="N184" t="str">
        <f ca="1">_xll.SUBNM(Server&amp;"Type_Client","AllTypeClient",G184)</f>
        <v/>
      </c>
      <c r="P184" t="str">
        <f ca="1">_xll.SUBNM(Server&amp;"Economic_Model","AllEcoModel",G184)</f>
        <v/>
      </c>
      <c r="Q184" t="str">
        <f ca="1">_xll.DIMNM(Server&amp;"z_Contract_Pending_Approval",$G184)</f>
        <v/>
      </c>
      <c r="R184" t="str">
        <f ca="1">_xll.DBRW(Server&amp;Cube1,Q184,"Management_Unit_Name")</f>
        <v/>
      </c>
      <c r="S184" t="s">
        <v>101</v>
      </c>
    </row>
    <row r="185" spans="6:19" x14ac:dyDescent="0.25">
      <c r="F185" t="str">
        <f ca="1">_xll.DIMNM(Server&amp;"Management_Organization",_xll.DIMIX(Server&amp;"Management_Organization",H185))</f>
        <v>US_VTNA</v>
      </c>
      <c r="G185">
        <f t="shared" si="3"/>
        <v>184</v>
      </c>
      <c r="H185" t="str">
        <f ca="1">_xll.SUBNM(Server&amp;"Management_Organization","CountryRegionList",G185)</f>
        <v>US_VTNA</v>
      </c>
      <c r="I185" s="20" t="str">
        <f ca="1">_xll.ELCOMP(Server&amp;"Legal_Organization",$F$17,G185)</f>
        <v/>
      </c>
      <c r="J185" t="str">
        <f ca="1">_xll.DBRA(Server&amp;"Legal_Organization",I185,LocalLanguage)</f>
        <v/>
      </c>
      <c r="L185" t="str">
        <f ca="1">_xll.SUBNM(Server&amp;"Activity","AllActivities",G185)</f>
        <v/>
      </c>
      <c r="N185" t="str">
        <f ca="1">_xll.SUBNM(Server&amp;"Type_Client","AllTypeClient",G185)</f>
        <v/>
      </c>
      <c r="P185" t="str">
        <f ca="1">_xll.SUBNM(Server&amp;"Economic_Model","AllEcoModel",G185)</f>
        <v/>
      </c>
      <c r="Q185" t="str">
        <f ca="1">_xll.DIMNM(Server&amp;"z_Contract_Pending_Approval",$G185)</f>
        <v/>
      </c>
      <c r="R185" t="str">
        <f ca="1">_xll.DBRW(Server&amp;Cube1,Q185,"Management_Unit_Name")</f>
        <v/>
      </c>
      <c r="S185" t="s">
        <v>101</v>
      </c>
    </row>
    <row r="186" spans="6:19" x14ac:dyDescent="0.25">
      <c r="F186" t="str">
        <f ca="1">_xll.DIMNM(Server&amp;"Management_Organization",_xll.DIMIX(Server&amp;"Management_Organization",H186))</f>
        <v>Transit_ARCH</v>
      </c>
      <c r="G186">
        <f t="shared" si="3"/>
        <v>185</v>
      </c>
      <c r="H186" t="str">
        <f ca="1">_xll.SUBNM(Server&amp;"Management_Organization","CountryRegionList",G186)</f>
        <v>Transit_ARCH</v>
      </c>
      <c r="I186" s="20" t="str">
        <f ca="1">_xll.ELCOMP(Server&amp;"Legal_Organization",$F$17,G186)</f>
        <v/>
      </c>
      <c r="J186" t="str">
        <f ca="1">_xll.DBRA(Server&amp;"Legal_Organization",I186,LocalLanguage)</f>
        <v/>
      </c>
      <c r="L186" t="str">
        <f ca="1">_xll.SUBNM(Server&amp;"Activity","AllActivities",G186)</f>
        <v/>
      </c>
      <c r="N186" t="str">
        <f ca="1">_xll.SUBNM(Server&amp;"Type_Client","AllTypeClient",G186)</f>
        <v/>
      </c>
      <c r="P186" t="str">
        <f ca="1">_xll.SUBNM(Server&amp;"Economic_Model","AllEcoModel",G186)</f>
        <v/>
      </c>
      <c r="Q186" t="str">
        <f ca="1">_xll.DIMNM(Server&amp;"z_Contract_Pending_Approval",$G186)</f>
        <v/>
      </c>
      <c r="R186" t="str">
        <f ca="1">_xll.DBRW(Server&amp;Cube1,Q186,"Management_Unit_Name")</f>
        <v/>
      </c>
      <c r="S186" t="s">
        <v>101</v>
      </c>
    </row>
    <row r="187" spans="6:19" x14ac:dyDescent="0.25">
      <c r="F187" t="str">
        <f ca="1">_xll.DIMNM(Server&amp;"Management_Organization",_xll.DIMIX(Server&amp;"Management_Organization",H187))</f>
        <v>US_IFR</v>
      </c>
      <c r="G187">
        <f t="shared" si="3"/>
        <v>186</v>
      </c>
      <c r="H187" t="str">
        <f ca="1">_xll.SUBNM(Server&amp;"Management_Organization","CountryRegionList",G187)</f>
        <v>US_IFR</v>
      </c>
      <c r="I187" s="20" t="str">
        <f ca="1">_xll.ELCOMP(Server&amp;"Legal_Organization",$F$17,G187)</f>
        <v/>
      </c>
      <c r="J187" t="str">
        <f ca="1">_xll.DBRA(Server&amp;"Legal_Organization",I187,LocalLanguage)</f>
        <v/>
      </c>
      <c r="L187" t="str">
        <f ca="1">_xll.SUBNM(Server&amp;"Activity","AllActivities",G187)</f>
        <v/>
      </c>
      <c r="N187" t="str">
        <f ca="1">_xll.SUBNM(Server&amp;"Type_Client","AllTypeClient",G187)</f>
        <v/>
      </c>
      <c r="P187" t="str">
        <f ca="1">_xll.SUBNM(Server&amp;"Economic_Model","AllEcoModel",G187)</f>
        <v/>
      </c>
      <c r="Q187" t="str">
        <f ca="1">_xll.DIMNM(Server&amp;"z_Contract_Pending_Approval",$G187)</f>
        <v/>
      </c>
      <c r="R187" t="str">
        <f ca="1">_xll.DBRW(Server&amp;Cube1,Q187,"Management_Unit_Name")</f>
        <v/>
      </c>
      <c r="S187" t="s">
        <v>101</v>
      </c>
    </row>
    <row r="188" spans="6:19" x14ac:dyDescent="0.25">
      <c r="F188" t="str">
        <f ca="1">_xll.DIMNM(Server&amp;"Management_Organization",_xll.DIMIX(Server&amp;"Management_Organization",H188))</f>
        <v>US_AMT</v>
      </c>
      <c r="G188">
        <f t="shared" si="3"/>
        <v>187</v>
      </c>
      <c r="H188" t="str">
        <f ca="1">_xll.SUBNM(Server&amp;"Management_Organization","CountryRegionList",G188)</f>
        <v>US_AMT</v>
      </c>
      <c r="I188" s="20" t="str">
        <f ca="1">_xll.ELCOMP(Server&amp;"Legal_Organization",$F$17,G188)</f>
        <v/>
      </c>
      <c r="J188" t="str">
        <f ca="1">_xll.DBRA(Server&amp;"Legal_Organization",I188,LocalLanguage)</f>
        <v/>
      </c>
      <c r="L188" t="str">
        <f ca="1">_xll.SUBNM(Server&amp;"Activity","AllActivities",G188)</f>
        <v/>
      </c>
      <c r="N188" t="str">
        <f ca="1">_xll.SUBNM(Server&amp;"Type_Client","AllTypeClient",G188)</f>
        <v/>
      </c>
      <c r="P188" t="str">
        <f ca="1">_xll.SUBNM(Server&amp;"Economic_Model","AllEcoModel",G188)</f>
        <v/>
      </c>
      <c r="Q188" t="str">
        <f ca="1">_xll.DIMNM(Server&amp;"z_Contract_Pending_Approval",$G188)</f>
        <v/>
      </c>
      <c r="R188" t="str">
        <f ca="1">_xll.DBRW(Server&amp;Cube1,Q188,"Management_Unit_Name")</f>
        <v/>
      </c>
      <c r="S188" t="s">
        <v>101</v>
      </c>
    </row>
    <row r="189" spans="6:19" x14ac:dyDescent="0.25">
      <c r="F189" t="str">
        <f ca="1">_xll.DIMNM(Server&amp;"Management_Organization",_xll.DIMIX(Server&amp;"Management_Organization",H189))</f>
        <v>US_NW</v>
      </c>
      <c r="G189">
        <f t="shared" si="3"/>
        <v>188</v>
      </c>
      <c r="H189" t="str">
        <f ca="1">_xll.SUBNM(Server&amp;"Management_Organization","CountryRegionList",G189)</f>
        <v>US_NW</v>
      </c>
      <c r="I189" s="20" t="str">
        <f ca="1">_xll.ELCOMP(Server&amp;"Legal_Organization",$F$17,G189)</f>
        <v/>
      </c>
      <c r="J189" t="str">
        <f ca="1">_xll.DBRA(Server&amp;"Legal_Organization",I189,LocalLanguage)</f>
        <v/>
      </c>
      <c r="L189" t="str">
        <f ca="1">_xll.SUBNM(Server&amp;"Activity","AllActivities",G189)</f>
        <v/>
      </c>
      <c r="N189" t="str">
        <f ca="1">_xll.SUBNM(Server&amp;"Type_Client","AllTypeClient",G189)</f>
        <v/>
      </c>
      <c r="P189" t="str">
        <f ca="1">_xll.SUBNM(Server&amp;"Economic_Model","AllEcoModel",G189)</f>
        <v/>
      </c>
      <c r="Q189" t="str">
        <f ca="1">_xll.DIMNM(Server&amp;"z_Contract_Pending_Approval",$G189)</f>
        <v/>
      </c>
      <c r="R189" t="str">
        <f ca="1">_xll.DBRW(Server&amp;Cube1,Q189,"Management_Unit_Name")</f>
        <v/>
      </c>
      <c r="S189" t="s">
        <v>101</v>
      </c>
    </row>
    <row r="190" spans="6:19" x14ac:dyDescent="0.25">
      <c r="F190" t="str">
        <f ca="1">_xll.DIMNM(Server&amp;"Management_Organization",_xll.DIMIX(Server&amp;"Management_Organization",H190))</f>
        <v>Sup_shut</v>
      </c>
      <c r="G190">
        <f t="shared" si="3"/>
        <v>189</v>
      </c>
      <c r="H190" t="str">
        <f ca="1">_xll.SUBNM(Server&amp;"Management_Organization","CountryRegionList",G190)</f>
        <v>Sup_shut</v>
      </c>
      <c r="I190" s="20" t="str">
        <f ca="1">_xll.ELCOMP(Server&amp;"Legal_Organization",$F$17,G190)</f>
        <v/>
      </c>
      <c r="J190" t="str">
        <f ca="1">_xll.DBRA(Server&amp;"Legal_Organization",I190,LocalLanguage)</f>
        <v/>
      </c>
      <c r="L190" t="str">
        <f ca="1">_xll.SUBNM(Server&amp;"Activity","AllActivities",G190)</f>
        <v/>
      </c>
      <c r="N190" t="str">
        <f ca="1">_xll.SUBNM(Server&amp;"Type_Client","AllTypeClient",G190)</f>
        <v/>
      </c>
      <c r="P190" t="str">
        <f ca="1">_xll.SUBNM(Server&amp;"Economic_Model","AllEcoModel",G190)</f>
        <v/>
      </c>
      <c r="Q190" t="str">
        <f ca="1">_xll.DIMNM(Server&amp;"z_Contract_Pending_Approval",$G190)</f>
        <v/>
      </c>
      <c r="R190" t="str">
        <f ca="1">_xll.DBRW(Server&amp;Cube1,Q190,"Management_Unit_Name")</f>
        <v/>
      </c>
      <c r="S190" t="s">
        <v>101</v>
      </c>
    </row>
    <row r="191" spans="6:19" x14ac:dyDescent="0.25">
      <c r="F191" t="str">
        <f ca="1">_xll.DIMNM(Server&amp;"Management_Organization",_xll.DIMIX(Server&amp;"Management_Organization",H191))</f>
        <v>Sup_shut_OP</v>
      </c>
      <c r="G191">
        <f t="shared" si="3"/>
        <v>190</v>
      </c>
      <c r="H191" t="str">
        <f ca="1">_xll.SUBNM(Server&amp;"Management_Organization","CountryRegionList",G191)</f>
        <v>Sup_shut_OP</v>
      </c>
      <c r="I191" s="20" t="str">
        <f ca="1">_xll.ELCOMP(Server&amp;"Legal_Organization",$F$17,G191)</f>
        <v/>
      </c>
      <c r="J191" t="str">
        <f ca="1">_xll.DBRA(Server&amp;"Legal_Organization",I191,LocalLanguage)</f>
        <v/>
      </c>
      <c r="L191" t="str">
        <f ca="1">_xll.SUBNM(Server&amp;"Activity","AllActivities",G191)</f>
        <v/>
      </c>
      <c r="N191" t="str">
        <f ca="1">_xll.SUBNM(Server&amp;"Type_Client","AllTypeClient",G191)</f>
        <v/>
      </c>
      <c r="P191" t="str">
        <f ca="1">_xll.SUBNM(Server&amp;"Economic_Model","AllEcoModel",G191)</f>
        <v/>
      </c>
      <c r="Q191" t="str">
        <f ca="1">_xll.DIMNM(Server&amp;"z_Contract_Pending_Approval",$G191)</f>
        <v/>
      </c>
      <c r="R191" t="str">
        <f ca="1">_xll.DBRW(Server&amp;Cube1,Q191,"Management_Unit_Name")</f>
        <v/>
      </c>
      <c r="S191" t="s">
        <v>101</v>
      </c>
    </row>
    <row r="192" spans="6:19" x14ac:dyDescent="0.25">
      <c r="F192" t="str">
        <f ca="1">_xll.DIMNM(Server&amp;"Management_Organization",_xll.DIMIX(Server&amp;"Management_Organization",H192))</f>
        <v>Execucar</v>
      </c>
      <c r="G192">
        <f t="shared" si="3"/>
        <v>191</v>
      </c>
      <c r="H192" t="str">
        <f ca="1">_xll.SUBNM(Server&amp;"Management_Organization","CountryRegionList",G192)</f>
        <v>Execucar</v>
      </c>
      <c r="I192" s="20" t="str">
        <f ca="1">_xll.ELCOMP(Server&amp;"Legal_Organization",$F$17,G192)</f>
        <v/>
      </c>
      <c r="J192" t="str">
        <f ca="1">_xll.DBRA(Server&amp;"Legal_Organization",I192,LocalLanguage)</f>
        <v/>
      </c>
      <c r="L192" t="str">
        <f ca="1">_xll.SUBNM(Server&amp;"Activity","AllActivities",G192)</f>
        <v/>
      </c>
      <c r="N192" t="str">
        <f ca="1">_xll.SUBNM(Server&amp;"Type_Client","AllTypeClient",G192)</f>
        <v/>
      </c>
      <c r="P192" t="str">
        <f ca="1">_xll.SUBNM(Server&amp;"Economic_Model","AllEcoModel",G192)</f>
        <v/>
      </c>
      <c r="Q192" t="str">
        <f ca="1">_xll.DIMNM(Server&amp;"z_Contract_Pending_Approval",$G192)</f>
        <v/>
      </c>
      <c r="R192" t="str">
        <f ca="1">_xll.DBRW(Server&amp;Cube1,Q192,"Management_Unit_Name")</f>
        <v/>
      </c>
      <c r="S192" t="s">
        <v>101</v>
      </c>
    </row>
    <row r="193" spans="6:19" x14ac:dyDescent="0.25">
      <c r="F193" t="str">
        <f ca="1">_xll.DIMNM(Server&amp;"Management_Organization",_xll.DIMIX(Server&amp;"Management_Organization",H193))</f>
        <v>Captive</v>
      </c>
      <c r="G193">
        <f t="shared" si="3"/>
        <v>192</v>
      </c>
      <c r="H193" t="str">
        <f ca="1">_xll.SUBNM(Server&amp;"Management_Organization","CountryRegionList",G193)</f>
        <v>Captive</v>
      </c>
      <c r="I193" s="20" t="str">
        <f ca="1">_xll.ELCOMP(Server&amp;"Legal_Organization",$F$17,G193)</f>
        <v/>
      </c>
      <c r="J193" t="str">
        <f ca="1">_xll.DBRA(Server&amp;"Legal_Organization",I193,LocalLanguage)</f>
        <v/>
      </c>
      <c r="L193" t="str">
        <f ca="1">_xll.SUBNM(Server&amp;"Activity","AllActivities",G193)</f>
        <v/>
      </c>
      <c r="N193" t="str">
        <f ca="1">_xll.SUBNM(Server&amp;"Type_Client","AllTypeClient",G193)</f>
        <v/>
      </c>
      <c r="P193" t="str">
        <f ca="1">_xll.SUBNM(Server&amp;"Economic_Model","AllEcoModel",G193)</f>
        <v/>
      </c>
      <c r="Q193" t="str">
        <f ca="1">_xll.DIMNM(Server&amp;"z_Contract_Pending_Approval",$G193)</f>
        <v/>
      </c>
      <c r="R193" t="str">
        <f ca="1">_xll.DBRW(Server&amp;Cube1,Q193,"Management_Unit_Name")</f>
        <v/>
      </c>
      <c r="S193" t="s">
        <v>101</v>
      </c>
    </row>
    <row r="194" spans="6:19" x14ac:dyDescent="0.25">
      <c r="F194" t="str">
        <f ca="1">_xll.DIMNM(Server&amp;"Management_Organization",_xll.DIMIX(Server&amp;"Management_Organization",H194))</f>
        <v>Sup_taxi</v>
      </c>
      <c r="G194">
        <f t="shared" si="3"/>
        <v>193</v>
      </c>
      <c r="H194" t="str">
        <f ca="1">_xll.SUBNM(Server&amp;"Management_Organization","CountryRegionList",G194)</f>
        <v>Sup_taxi</v>
      </c>
      <c r="I194" s="20" t="str">
        <f ca="1">_xll.ELCOMP(Server&amp;"Legal_Organization",$F$17,G194)</f>
        <v/>
      </c>
      <c r="J194" t="str">
        <f ca="1">_xll.DBRA(Server&amp;"Legal_Organization",I194,LocalLanguage)</f>
        <v/>
      </c>
      <c r="L194" t="str">
        <f ca="1">_xll.SUBNM(Server&amp;"Activity","AllActivities",G194)</f>
        <v/>
      </c>
      <c r="N194" t="str">
        <f ca="1">_xll.SUBNM(Server&amp;"Type_Client","AllTypeClient",G194)</f>
        <v/>
      </c>
      <c r="P194" t="str">
        <f ca="1">_xll.SUBNM(Server&amp;"Economic_Model","AllEcoModel",G194)</f>
        <v/>
      </c>
      <c r="Q194" t="str">
        <f ca="1">_xll.DIMNM(Server&amp;"z_Contract_Pending_Approval",$G194)</f>
        <v/>
      </c>
      <c r="R194" t="str">
        <f ca="1">_xll.DBRW(Server&amp;Cube1,Q194,"Management_Unit_Name")</f>
        <v/>
      </c>
      <c r="S194" t="s">
        <v>101</v>
      </c>
    </row>
    <row r="195" spans="6:19" x14ac:dyDescent="0.25">
      <c r="F195" t="str">
        <f ca="1">_xll.DIMNM(Server&amp;"Management_Organization",_xll.DIMIX(Server&amp;"Management_Organization",H195))</f>
        <v>10/10_Taxi</v>
      </c>
      <c r="G195">
        <f t="shared" si="3"/>
        <v>194</v>
      </c>
      <c r="H195" t="str">
        <f ca="1">_xll.SUBNM(Server&amp;"Management_Organization","CountryRegionList",G195)</f>
        <v>10/10_Taxi</v>
      </c>
      <c r="I195" s="20" t="str">
        <f ca="1">_xll.ELCOMP(Server&amp;"Legal_Organization",$F$17,G195)</f>
        <v/>
      </c>
      <c r="J195" t="str">
        <f ca="1">_xll.DBRA(Server&amp;"Legal_Organization",I195,LocalLanguage)</f>
        <v/>
      </c>
      <c r="L195" t="str">
        <f ca="1">_xll.SUBNM(Server&amp;"Activity","AllActivities",G195)</f>
        <v/>
      </c>
      <c r="N195" t="str">
        <f ca="1">_xll.SUBNM(Server&amp;"Type_Client","AllTypeClient",G195)</f>
        <v/>
      </c>
      <c r="P195" t="str">
        <f ca="1">_xll.SUBNM(Server&amp;"Economic_Model","AllEcoModel",G195)</f>
        <v/>
      </c>
      <c r="Q195" t="str">
        <f ca="1">_xll.DIMNM(Server&amp;"z_Contract_Pending_Approval",$G195)</f>
        <v/>
      </c>
      <c r="R195" t="str">
        <f ca="1">_xll.DBRW(Server&amp;Cube1,Q195,"Management_Unit_Name")</f>
        <v/>
      </c>
      <c r="S195" t="s">
        <v>101</v>
      </c>
    </row>
    <row r="196" spans="6:19" x14ac:dyDescent="0.25">
      <c r="F196" t="str">
        <f ca="1">_xll.DIMNM(Server&amp;"Management_Organization",_xll.DIMIX(Server&amp;"Management_Organization",H196))</f>
        <v>PTG</v>
      </c>
      <c r="G196">
        <f t="shared" si="3"/>
        <v>195</v>
      </c>
      <c r="H196" t="str">
        <f ca="1">_xll.SUBNM(Server&amp;"Management_Organization","CountryRegionList",G196)</f>
        <v>PTG</v>
      </c>
      <c r="I196" s="20" t="str">
        <f ca="1">_xll.ELCOMP(Server&amp;"Legal_Organization",$F$17,G196)</f>
        <v/>
      </c>
      <c r="J196" t="str">
        <f ca="1">_xll.DBRA(Server&amp;"Legal_Organization",I196,LocalLanguage)</f>
        <v/>
      </c>
      <c r="L196" t="str">
        <f ca="1">_xll.SUBNM(Server&amp;"Activity","AllActivities",G196)</f>
        <v/>
      </c>
      <c r="N196" t="str">
        <f ca="1">_xll.SUBNM(Server&amp;"Type_Client","AllTypeClient",G196)</f>
        <v/>
      </c>
      <c r="P196" t="str">
        <f ca="1">_xll.SUBNM(Server&amp;"Economic_Model","AllEcoModel",G196)</f>
        <v/>
      </c>
      <c r="Q196" t="str">
        <f ca="1">_xll.DIMNM(Server&amp;"z_Contract_Pending_Approval",$G196)</f>
        <v/>
      </c>
      <c r="R196" t="str">
        <f ca="1">_xll.DBRW(Server&amp;Cube1,Q196,"Management_Unit_Name")</f>
        <v/>
      </c>
      <c r="S196" t="s">
        <v>101</v>
      </c>
    </row>
    <row r="197" spans="6:19" x14ac:dyDescent="0.25">
      <c r="F197" t="str">
        <f ca="1">_xll.DIMNM(Server&amp;"Management_Organization",_xll.DIMIX(Server&amp;"Management_Organization",H197))</f>
        <v>zTrip Activity</v>
      </c>
      <c r="G197">
        <f t="shared" si="3"/>
        <v>196</v>
      </c>
      <c r="H197" t="str">
        <f ca="1">_xll.SUBNM(Server&amp;"Management_Organization","CountryRegionList",G197)</f>
        <v>zTrip Activity</v>
      </c>
      <c r="I197" s="20" t="str">
        <f ca="1">_xll.ELCOMP(Server&amp;"Legal_Organization",$F$17,G197)</f>
        <v/>
      </c>
      <c r="J197" t="str">
        <f ca="1">_xll.DBRA(Server&amp;"Legal_Organization",I197,LocalLanguage)</f>
        <v/>
      </c>
      <c r="L197" t="str">
        <f ca="1">_xll.SUBNM(Server&amp;"Activity","AllActivities",G197)</f>
        <v/>
      </c>
      <c r="N197" t="str">
        <f ca="1">_xll.SUBNM(Server&amp;"Type_Client","AllTypeClient",G197)</f>
        <v/>
      </c>
      <c r="P197" t="str">
        <f ca="1">_xll.SUBNM(Server&amp;"Economic_Model","AllEcoModel",G197)</f>
        <v/>
      </c>
      <c r="Q197" t="str">
        <f ca="1">_xll.DIMNM(Server&amp;"z_Contract_Pending_Approval",$G197)</f>
        <v/>
      </c>
      <c r="R197" t="str">
        <f ca="1">_xll.DBRW(Server&amp;Cube1,Q197,"Management_Unit_Name")</f>
        <v/>
      </c>
      <c r="S197" t="s">
        <v>101</v>
      </c>
    </row>
    <row r="198" spans="6:19" x14ac:dyDescent="0.25">
      <c r="F198" t="str">
        <f ca="1">_xll.DIMNM(Server&amp;"Management_Organization",_xll.DIMIX(Server&amp;"Management_Organization",H198))</f>
        <v>VTOD_inc</v>
      </c>
      <c r="G198">
        <f t="shared" si="3"/>
        <v>197</v>
      </c>
      <c r="H198" t="str">
        <f ca="1">_xll.SUBNM(Server&amp;"Management_Organization","CountryRegionList",G198)</f>
        <v>VTOD_inc</v>
      </c>
      <c r="I198" s="20" t="str">
        <f ca="1">_xll.ELCOMP(Server&amp;"Legal_Organization",$F$17,G198)</f>
        <v/>
      </c>
      <c r="J198" t="str">
        <f ca="1">_xll.DBRA(Server&amp;"Legal_Organization",I198,LocalLanguage)</f>
        <v/>
      </c>
      <c r="L198" t="str">
        <f ca="1">_xll.SUBNM(Server&amp;"Activity","AllActivities",G198)</f>
        <v/>
      </c>
      <c r="N198" t="str">
        <f ca="1">_xll.SUBNM(Server&amp;"Type_Client","AllTypeClient",G198)</f>
        <v/>
      </c>
      <c r="P198" t="str">
        <f ca="1">_xll.SUBNM(Server&amp;"Economic_Model","AllEcoModel",G198)</f>
        <v/>
      </c>
      <c r="Q198" t="str">
        <f ca="1">_xll.DIMNM(Server&amp;"z_Contract_Pending_Approval",$G198)</f>
        <v/>
      </c>
      <c r="R198" t="str">
        <f ca="1">_xll.DBRW(Server&amp;Cube1,Q198,"Management_Unit_Name")</f>
        <v/>
      </c>
      <c r="S198" t="s">
        <v>101</v>
      </c>
    </row>
    <row r="199" spans="6:19" x14ac:dyDescent="0.25">
      <c r="F199" t="str">
        <f ca="1">_xll.DIMNM(Server&amp;"Management_Organization",_xll.DIMIX(Server&amp;"Management_Organization",H199))</f>
        <v>OnDemand_ARCH</v>
      </c>
      <c r="G199">
        <f t="shared" si="3"/>
        <v>198</v>
      </c>
      <c r="H199" t="str">
        <f ca="1">_xll.SUBNM(Server&amp;"Management_Organization","CountryRegionList",G199)</f>
        <v>OnDemand_ARCH</v>
      </c>
      <c r="I199" s="20" t="str">
        <f ca="1">_xll.ELCOMP(Server&amp;"Legal_Organization",$F$17,G199)</f>
        <v/>
      </c>
      <c r="J199" t="str">
        <f ca="1">_xll.DBRA(Server&amp;"Legal_Organization",I199,LocalLanguage)</f>
        <v/>
      </c>
      <c r="L199" t="str">
        <f ca="1">_xll.SUBNM(Server&amp;"Activity","AllActivities",G199)</f>
        <v/>
      </c>
      <c r="N199" t="str">
        <f ca="1">_xll.SUBNM(Server&amp;"Type_Client","AllTypeClient",G199)</f>
        <v/>
      </c>
      <c r="P199" t="str">
        <f ca="1">_xll.SUBNM(Server&amp;"Economic_Model","AllEcoModel",G199)</f>
        <v/>
      </c>
      <c r="Q199" t="str">
        <f ca="1">_xll.DIMNM(Server&amp;"z_Contract_Pending_Approval",$G199)</f>
        <v/>
      </c>
      <c r="R199" t="str">
        <f ca="1">_xll.DBRW(Server&amp;Cube1,Q199,"Management_Unit_Name")</f>
        <v/>
      </c>
      <c r="S199" t="s">
        <v>101</v>
      </c>
    </row>
    <row r="200" spans="6:19" x14ac:dyDescent="0.25">
      <c r="F200" t="str">
        <f ca="1">_xll.DIMNM(Server&amp;"Management_Organization",_xll.DIMIX(Server&amp;"Management_Organization",H200))</f>
        <v>USB2B</v>
      </c>
      <c r="G200">
        <f t="shared" si="3"/>
        <v>199</v>
      </c>
      <c r="H200" t="str">
        <f ca="1">_xll.SUBNM(Server&amp;"Management_Organization","CountryRegionList",G200)</f>
        <v>USB2B</v>
      </c>
      <c r="I200" s="20" t="str">
        <f ca="1">_xll.ELCOMP(Server&amp;"Legal_Organization",$F$17,G200)</f>
        <v/>
      </c>
      <c r="J200" t="str">
        <f ca="1">_xll.DBRA(Server&amp;"Legal_Organization",I200,LocalLanguage)</f>
        <v/>
      </c>
      <c r="L200" t="str">
        <f ca="1">_xll.SUBNM(Server&amp;"Activity","AllActivities",G200)</f>
        <v/>
      </c>
      <c r="N200" t="str">
        <f ca="1">_xll.SUBNM(Server&amp;"Type_Client","AllTypeClient",G200)</f>
        <v/>
      </c>
      <c r="P200" t="str">
        <f ca="1">_xll.SUBNM(Server&amp;"Economic_Model","AllEcoModel",G200)</f>
        <v/>
      </c>
      <c r="Q200" t="str">
        <f ca="1">_xll.DIMNM(Server&amp;"z_Contract_Pending_Approval",$G200)</f>
        <v/>
      </c>
      <c r="R200" t="str">
        <f ca="1">_xll.DBRW(Server&amp;Cube1,Q200,"Management_Unit_Name")</f>
        <v/>
      </c>
      <c r="S200" t="s">
        <v>101</v>
      </c>
    </row>
    <row r="201" spans="6:19" x14ac:dyDescent="0.25">
      <c r="G201">
        <f t="shared" si="3"/>
        <v>200</v>
      </c>
      <c r="H201" t="str">
        <f ca="1">_xll.SUBNM(Server&amp;"Management_Organization","CountryRegionList",G201)</f>
        <v>Bus_B2B</v>
      </c>
    </row>
    <row r="202" spans="6:19" x14ac:dyDescent="0.25">
      <c r="G202">
        <f t="shared" si="3"/>
        <v>201</v>
      </c>
      <c r="H202" t="str">
        <f ca="1">_xll.SUBNM(Server&amp;"Management_Organization","CountryRegionList",G202)</f>
        <v>Bus_TOD</v>
      </c>
    </row>
    <row r="203" spans="6:19" x14ac:dyDescent="0.25">
      <c r="G203">
        <f t="shared" si="3"/>
        <v>202</v>
      </c>
      <c r="H203" t="str">
        <f ca="1">_xll.SUBNM(Server&amp;"Management_Organization","CountryRegionList",G203)</f>
        <v>US_SFA</v>
      </c>
    </row>
    <row r="204" spans="6:19" x14ac:dyDescent="0.25">
      <c r="G204">
        <f t="shared" si="3"/>
        <v>203</v>
      </c>
      <c r="H204" t="str">
        <f ca="1">_xll.SUBNM(Server&amp;"Management_Organization","CountryRegionList",G204)</f>
        <v>Gold_touch</v>
      </c>
    </row>
    <row r="205" spans="6:19" x14ac:dyDescent="0.25">
      <c r="G205">
        <f t="shared" si="3"/>
        <v>204</v>
      </c>
      <c r="H205" t="str">
        <f ca="1">_xll.SUBNM(Server&amp;"Management_Organization","CountryRegionList",G205)</f>
        <v>US_Rail</v>
      </c>
    </row>
    <row r="206" spans="6:19" x14ac:dyDescent="0.25">
      <c r="G206">
        <f t="shared" si="3"/>
        <v>205</v>
      </c>
      <c r="H206" t="str">
        <f ca="1">_xll.SUBNM(Server&amp;"Management_Organization","CountryRegionList",G206)</f>
        <v>US_LRA_R</v>
      </c>
    </row>
    <row r="207" spans="6:19" x14ac:dyDescent="0.25">
      <c r="G207">
        <f t="shared" si="3"/>
        <v>206</v>
      </c>
      <c r="H207" t="str">
        <f ca="1">_xll.SUBNM(Server&amp;"Management_Organization","CountryRegionList",G207)</f>
        <v>US_CLR</v>
      </c>
    </row>
    <row r="208" spans="6:19" x14ac:dyDescent="0.25">
      <c r="G208">
        <f t="shared" si="3"/>
        <v>207</v>
      </c>
      <c r="H208" t="str">
        <f ca="1">_xll.SUBNM(Server&amp;"Management_Organization","CountryRegionList",G208)</f>
        <v>US_VTM</v>
      </c>
    </row>
    <row r="209" spans="7:8" x14ac:dyDescent="0.25">
      <c r="G209">
        <f t="shared" si="3"/>
        <v>208</v>
      </c>
      <c r="H209" t="str">
        <f ca="1">_xll.SUBNM(Server&amp;"Management_Organization","CountryRegionList",G209)</f>
        <v>US_NBV</v>
      </c>
    </row>
    <row r="210" spans="7:8" x14ac:dyDescent="0.25">
      <c r="G210">
        <f t="shared" si="3"/>
        <v>209</v>
      </c>
      <c r="H210" t="str">
        <f ca="1">_xll.SUBNM(Server&amp;"Management_Organization","CountryRegionList",G210)</f>
        <v>US_Rail_ARCH</v>
      </c>
    </row>
    <row r="211" spans="7:8" x14ac:dyDescent="0.25">
      <c r="G211">
        <f t="shared" si="3"/>
        <v>210</v>
      </c>
      <c r="H211" t="str">
        <f ca="1">_xll.SUBNM(Server&amp;"Management_Organization","CountryRegionList",G211)</f>
        <v>US_ITL</v>
      </c>
    </row>
    <row r="212" spans="7:8" x14ac:dyDescent="0.25">
      <c r="G212">
        <f t="shared" si="3"/>
        <v>211</v>
      </c>
      <c r="H212" t="str">
        <f ca="1">_xll.SUBNM(Server&amp;"Management_Organization","CountryRegionList",G212)</f>
        <v>USA_Holding</v>
      </c>
    </row>
    <row r="213" spans="7:8" x14ac:dyDescent="0.25">
      <c r="G213">
        <f t="shared" si="3"/>
        <v>212</v>
      </c>
      <c r="H213" t="str">
        <f ca="1">_xll.SUBNM(Server&amp;"Management_Organization","CountryRegionList",G213)</f>
        <v>CAN</v>
      </c>
    </row>
    <row r="214" spans="7:8" x14ac:dyDescent="0.25">
      <c r="G214">
        <f t="shared" si="3"/>
        <v>213</v>
      </c>
      <c r="H214" t="str">
        <f ca="1">_xll.SUBNM(Server&amp;"Management_Organization","CountryRegionList",G214)</f>
        <v>Transit_CA</v>
      </c>
    </row>
    <row r="215" spans="7:8" x14ac:dyDescent="0.25">
      <c r="G215">
        <f t="shared" si="3"/>
        <v>214</v>
      </c>
      <c r="H215" t="str">
        <f ca="1">_xll.SUBNM(Server&amp;"Management_Organization","CountryRegionList",G215)</f>
        <v>CAN_Sherbrooke</v>
      </c>
    </row>
    <row r="216" spans="7:8" x14ac:dyDescent="0.25">
      <c r="G216">
        <f t="shared" si="3"/>
        <v>215</v>
      </c>
      <c r="H216" t="str">
        <f ca="1">_xll.SUBNM(Server&amp;"Management_Organization","CountryRegionList",G216)</f>
        <v>CAN_Saint-Jean</v>
      </c>
    </row>
    <row r="217" spans="7:8" x14ac:dyDescent="0.25">
      <c r="G217">
        <f t="shared" si="3"/>
        <v>216</v>
      </c>
      <c r="H217" t="str">
        <f ca="1">_xll.SUBNM(Server&amp;"Management_Organization","CountryRegionList",G217)</f>
        <v>CAN_Boucherville</v>
      </c>
    </row>
    <row r="218" spans="7:8" x14ac:dyDescent="0.25">
      <c r="G218">
        <f t="shared" si="3"/>
        <v>217</v>
      </c>
      <c r="H218" t="str">
        <f ca="1">_xll.SUBNM(Server&amp;"Management_Organization","CountryRegionList",G218)</f>
        <v>CAN_Other_Ent</v>
      </c>
    </row>
    <row r="219" spans="7:8" x14ac:dyDescent="0.25">
      <c r="G219">
        <f t="shared" si="3"/>
        <v>218</v>
      </c>
      <c r="H219" t="str">
        <f ca="1">_xll.SUBNM(Server&amp;"Management_Organization","CountryRegionList",G219)</f>
        <v>CAN_East_Angus</v>
      </c>
    </row>
    <row r="220" spans="7:8" x14ac:dyDescent="0.25">
      <c r="G220">
        <f t="shared" si="3"/>
        <v>219</v>
      </c>
      <c r="H220" t="str">
        <f ca="1">_xll.SUBNM(Server&amp;"Management_Organization","CountryRegionList",G220)</f>
        <v>CAN_Boisbriand</v>
      </c>
    </row>
    <row r="221" spans="7:8" x14ac:dyDescent="0.25">
      <c r="G221">
        <f t="shared" si="3"/>
        <v>220</v>
      </c>
      <c r="H221" t="str">
        <f ca="1">_xll.SUBNM(Server&amp;"Management_Organization","CountryRegionList",G221)</f>
        <v>CAN_St_Philippe</v>
      </c>
    </row>
    <row r="222" spans="7:8" x14ac:dyDescent="0.25">
      <c r="G222">
        <f t="shared" si="3"/>
        <v>221</v>
      </c>
      <c r="H222" t="str">
        <f ca="1">_xll.SUBNM(Server&amp;"Management_Organization","CountryRegionList",G222)</f>
        <v>CAN_Beloeil</v>
      </c>
    </row>
    <row r="223" spans="7:8" x14ac:dyDescent="0.25">
      <c r="G223">
        <f t="shared" si="3"/>
        <v>222</v>
      </c>
      <c r="H223" t="str">
        <f ca="1">_xll.SUBNM(Server&amp;"Management_Organization","CountryRegionList",G223)</f>
        <v>CAN_Chateau_Guay</v>
      </c>
    </row>
    <row r="224" spans="7:8" x14ac:dyDescent="0.25">
      <c r="G224">
        <f t="shared" si="3"/>
        <v>223</v>
      </c>
      <c r="H224" t="str">
        <f ca="1">_xll.SUBNM(Server&amp;"Management_Organization","CountryRegionList",G224)</f>
        <v>CAN_ARCH</v>
      </c>
    </row>
    <row r="225" spans="7:8" x14ac:dyDescent="0.25">
      <c r="G225">
        <f t="shared" si="3"/>
        <v>224</v>
      </c>
      <c r="H225" t="str">
        <f ca="1">_xll.SUBNM(Server&amp;"Management_Organization","CountryRegionList",G225)</f>
        <v/>
      </c>
    </row>
    <row r="226" spans="7:8" x14ac:dyDescent="0.25">
      <c r="G226">
        <f t="shared" si="3"/>
        <v>225</v>
      </c>
      <c r="H226" t="str">
        <f ca="1">_xll.SUBNM(Server&amp;"Management_Organization","CountryRegionList",G226)</f>
        <v/>
      </c>
    </row>
    <row r="227" spans="7:8" x14ac:dyDescent="0.25">
      <c r="G227">
        <f t="shared" si="3"/>
        <v>226</v>
      </c>
      <c r="H227" t="str">
        <f ca="1">_xll.SUBNM(Server&amp;"Management_Organization","CountryRegionList",G227)</f>
        <v/>
      </c>
    </row>
    <row r="228" spans="7:8" x14ac:dyDescent="0.25">
      <c r="G228">
        <f t="shared" si="3"/>
        <v>227</v>
      </c>
      <c r="H228" t="str">
        <f ca="1">_xll.SUBNM(Server&amp;"Management_Organization","CountryRegionList",G228)</f>
        <v/>
      </c>
    </row>
    <row r="229" spans="7:8" x14ac:dyDescent="0.25">
      <c r="G229">
        <f t="shared" si="3"/>
        <v>228</v>
      </c>
      <c r="H229" t="str">
        <f ca="1">_xll.SUBNM(Server&amp;"Management_Organization","CountryRegionList",G229)</f>
        <v/>
      </c>
    </row>
    <row r="230" spans="7:8" x14ac:dyDescent="0.25">
      <c r="G230">
        <f t="shared" si="3"/>
        <v>229</v>
      </c>
      <c r="H230" t="str">
        <f ca="1">_xll.SUBNM(Server&amp;"Management_Organization","CountryRegionList",G230)</f>
        <v/>
      </c>
    </row>
    <row r="231" spans="7:8" x14ac:dyDescent="0.25">
      <c r="G231">
        <f t="shared" ref="G231:G252" si="4">ROW()-1</f>
        <v>230</v>
      </c>
      <c r="H231" t="str">
        <f ca="1">_xll.SUBNM(Server&amp;"Management_Organization","CountryRegionList",G231)</f>
        <v/>
      </c>
    </row>
    <row r="232" spans="7:8" x14ac:dyDescent="0.25">
      <c r="G232">
        <f t="shared" si="4"/>
        <v>231</v>
      </c>
      <c r="H232" t="str">
        <f ca="1">_xll.SUBNM(Server&amp;"Management_Organization","CountryRegionList",G232)</f>
        <v/>
      </c>
    </row>
    <row r="233" spans="7:8" x14ac:dyDescent="0.25">
      <c r="G233">
        <f t="shared" si="4"/>
        <v>232</v>
      </c>
      <c r="H233" t="str">
        <f ca="1">_xll.SUBNM(Server&amp;"Management_Organization","CountryRegionList",G233)</f>
        <v/>
      </c>
    </row>
    <row r="234" spans="7:8" x14ac:dyDescent="0.25">
      <c r="G234">
        <f t="shared" si="4"/>
        <v>233</v>
      </c>
      <c r="H234" t="str">
        <f ca="1">_xll.SUBNM(Server&amp;"Management_Organization","CountryRegionList",G234)</f>
        <v/>
      </c>
    </row>
    <row r="235" spans="7:8" x14ac:dyDescent="0.25">
      <c r="G235">
        <f t="shared" si="4"/>
        <v>234</v>
      </c>
      <c r="H235" t="str">
        <f ca="1">_xll.SUBNM(Server&amp;"Management_Organization","CountryRegionList",G235)</f>
        <v/>
      </c>
    </row>
    <row r="236" spans="7:8" x14ac:dyDescent="0.25">
      <c r="G236">
        <f t="shared" si="4"/>
        <v>235</v>
      </c>
      <c r="H236" t="str">
        <f ca="1">_xll.SUBNM(Server&amp;"Management_Organization","CountryRegionList",G236)</f>
        <v/>
      </c>
    </row>
    <row r="237" spans="7:8" x14ac:dyDescent="0.25">
      <c r="G237">
        <f t="shared" si="4"/>
        <v>236</v>
      </c>
      <c r="H237" t="str">
        <f ca="1">_xll.SUBNM(Server&amp;"Management_Organization","CountryRegionList",G237)</f>
        <v/>
      </c>
    </row>
    <row r="238" spans="7:8" x14ac:dyDescent="0.25">
      <c r="G238">
        <f t="shared" si="4"/>
        <v>237</v>
      </c>
      <c r="H238" t="str">
        <f ca="1">_xll.SUBNM(Server&amp;"Management_Organization","CountryRegionList",G238)</f>
        <v/>
      </c>
    </row>
    <row r="239" spans="7:8" x14ac:dyDescent="0.25">
      <c r="G239">
        <f t="shared" si="4"/>
        <v>238</v>
      </c>
      <c r="H239" t="str">
        <f ca="1">_xll.SUBNM(Server&amp;"Management_Organization","CountryRegionList",G239)</f>
        <v/>
      </c>
    </row>
    <row r="240" spans="7:8" x14ac:dyDescent="0.25">
      <c r="G240">
        <f t="shared" si="4"/>
        <v>239</v>
      </c>
      <c r="H240" t="str">
        <f ca="1">_xll.SUBNM(Server&amp;"Management_Organization","CountryRegionList",G240)</f>
        <v/>
      </c>
    </row>
    <row r="241" spans="7:8" x14ac:dyDescent="0.25">
      <c r="G241">
        <f t="shared" si="4"/>
        <v>240</v>
      </c>
      <c r="H241" t="str">
        <f ca="1">_xll.SUBNM(Server&amp;"Management_Organization","CountryRegionList",G241)</f>
        <v/>
      </c>
    </row>
    <row r="242" spans="7:8" x14ac:dyDescent="0.25">
      <c r="G242">
        <f t="shared" si="4"/>
        <v>241</v>
      </c>
      <c r="H242" t="str">
        <f ca="1">_xll.SUBNM(Server&amp;"Management_Organization","CountryRegionList",G242)</f>
        <v/>
      </c>
    </row>
    <row r="243" spans="7:8" x14ac:dyDescent="0.25">
      <c r="G243">
        <f t="shared" si="4"/>
        <v>242</v>
      </c>
      <c r="H243" t="str">
        <f ca="1">_xll.SUBNM(Server&amp;"Management_Organization","CountryRegionList",G243)</f>
        <v/>
      </c>
    </row>
    <row r="244" spans="7:8" x14ac:dyDescent="0.25">
      <c r="G244">
        <f t="shared" si="4"/>
        <v>243</v>
      </c>
      <c r="H244" t="str">
        <f ca="1">_xll.SUBNM(Server&amp;"Management_Organization","CountryRegionList",G244)</f>
        <v/>
      </c>
    </row>
    <row r="245" spans="7:8" x14ac:dyDescent="0.25">
      <c r="G245">
        <f t="shared" si="4"/>
        <v>244</v>
      </c>
      <c r="H245" t="str">
        <f ca="1">_xll.SUBNM(Server&amp;"Management_Organization","CountryRegionList",G245)</f>
        <v/>
      </c>
    </row>
    <row r="246" spans="7:8" x14ac:dyDescent="0.25">
      <c r="G246">
        <f t="shared" si="4"/>
        <v>245</v>
      </c>
      <c r="H246" t="str">
        <f ca="1">_xll.SUBNM(Server&amp;"Management_Organization","CountryRegionList",G246)</f>
        <v/>
      </c>
    </row>
    <row r="247" spans="7:8" x14ac:dyDescent="0.25">
      <c r="G247">
        <f t="shared" si="4"/>
        <v>246</v>
      </c>
      <c r="H247" t="str">
        <f ca="1">_xll.SUBNM(Server&amp;"Management_Organization","CountryRegionList",G247)</f>
        <v/>
      </c>
    </row>
    <row r="248" spans="7:8" x14ac:dyDescent="0.25">
      <c r="G248">
        <f t="shared" si="4"/>
        <v>247</v>
      </c>
      <c r="H248" t="str">
        <f ca="1">_xll.SUBNM(Server&amp;"Management_Organization","CountryRegionList",G248)</f>
        <v/>
      </c>
    </row>
    <row r="249" spans="7:8" x14ac:dyDescent="0.25">
      <c r="G249">
        <f t="shared" si="4"/>
        <v>248</v>
      </c>
      <c r="H249" t="str">
        <f ca="1">_xll.SUBNM(Server&amp;"Management_Organization","CountryRegionList",G249)</f>
        <v/>
      </c>
    </row>
    <row r="250" spans="7:8" x14ac:dyDescent="0.25">
      <c r="G250">
        <f t="shared" si="4"/>
        <v>249</v>
      </c>
      <c r="H250" t="str">
        <f ca="1">_xll.SUBNM(Server&amp;"Management_Organization","CountryRegionList",G250)</f>
        <v/>
      </c>
    </row>
    <row r="251" spans="7:8" x14ac:dyDescent="0.25">
      <c r="G251">
        <f t="shared" si="4"/>
        <v>250</v>
      </c>
      <c r="H251" t="str">
        <f ca="1">_xll.SUBNM(Server&amp;"Management_Organization","CountryRegionList",G251)</f>
        <v/>
      </c>
    </row>
  </sheetData>
  <customSheetViews>
    <customSheetView guid="{7267FFFF-8997-4978-9445-B87FCBCB5EFE}" topLeftCell="D1">
      <selection activeCell="I18" sqref="I18"/>
      <pageMargins left="0.7" right="0.7" top="0.75" bottom="0.75" header="0.3" footer="0.3"/>
      <pageSetup paperSize="9" orientation="portrait" r:id="rId1"/>
    </customSheetView>
    <customSheetView guid="{055CCB1E-587E-4E7F-9527-08A034898E1C}" topLeftCell="D1">
      <selection activeCell="I18" sqref="I18"/>
      <pageMargins left="0.7" right="0.7" top="0.75" bottom="0.75" header="0.3" footer="0.3"/>
      <pageSetup paperSize="9" orientation="portrait" r:id="rId2"/>
    </customSheetView>
  </customSheetViews>
  <mergeCells count="4">
    <mergeCell ref="F1:F2"/>
    <mergeCell ref="F5:F6"/>
    <mergeCell ref="F9:F10"/>
    <mergeCell ref="A16:A20"/>
  </mergeCell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galList">
    <tabColor rgb="FFFF0000"/>
  </sheetPr>
  <dimension ref="A1:F15"/>
  <sheetViews>
    <sheetView workbookViewId="0"/>
  </sheetViews>
  <sheetFormatPr baseColWidth="10" defaultColWidth="9.140625" defaultRowHeight="15" x14ac:dyDescent="0.25"/>
  <cols>
    <col min="1" max="1" width="20.28515625" customWidth="1"/>
    <col min="2" max="2" width="34.85546875" bestFit="1" customWidth="1"/>
    <col min="3" max="3" width="9.85546875" bestFit="1" customWidth="1"/>
    <col min="4" max="4" width="42.85546875" customWidth="1"/>
  </cols>
  <sheetData>
    <row r="1" spans="1:6" x14ac:dyDescent="0.25">
      <c r="A1" t="s">
        <v>112</v>
      </c>
    </row>
    <row r="2" spans="1:6" x14ac:dyDescent="0.25">
      <c r="A2">
        <f>0</f>
        <v>0</v>
      </c>
      <c r="B2" s="42"/>
      <c r="C2" s="44"/>
    </row>
    <row r="3" spans="1:6" x14ac:dyDescent="0.25">
      <c r="A3">
        <f>1</f>
        <v>1</v>
      </c>
      <c r="B3" s="43"/>
      <c r="C3" s="45"/>
    </row>
    <row r="4" spans="1:6" x14ac:dyDescent="0.25">
      <c r="A4">
        <f>2</f>
        <v>2</v>
      </c>
      <c r="B4" s="43"/>
      <c r="C4" s="45"/>
    </row>
    <row r="5" spans="1:6" x14ac:dyDescent="0.25">
      <c r="A5">
        <f>3</f>
        <v>3</v>
      </c>
      <c r="B5" s="43"/>
      <c r="C5" s="45"/>
    </row>
    <row r="6" spans="1:6" x14ac:dyDescent="0.25">
      <c r="A6" t="s">
        <v>110</v>
      </c>
      <c r="B6" s="43"/>
      <c r="C6" s="45"/>
    </row>
    <row r="7" spans="1:6" x14ac:dyDescent="0.25">
      <c r="A7" t="s">
        <v>111</v>
      </c>
      <c r="C7" s="46"/>
    </row>
    <row r="8" spans="1:6" x14ac:dyDescent="0.25">
      <c r="A8" t="s">
        <v>113</v>
      </c>
    </row>
    <row r="9" spans="1:6" x14ac:dyDescent="0.25">
      <c r="B9" t="str">
        <f ca="1">_xll.TM1RPTVIEW(Server&amp;"TC_CONTRACT:LegalList0", 0, _xll.TM1RPTTITLE(Server&amp;"z_management_organization",$C$11), _xll.TM1RPTTITLE(Server&amp;"z_Str_Var",$C$12),TM1RPTFMTRNG,TM1RPTFMTIDCOL)</f>
        <v>tango_core_model:TC_CONTRACT:LegalList0</v>
      </c>
    </row>
    <row r="11" spans="1:6" x14ac:dyDescent="0.25">
      <c r="B11" s="2" t="s">
        <v>108</v>
      </c>
      <c r="C11" t="str">
        <f ca="1">_xll.SUBNM(Server&amp;"z_management_organization","","NA")</f>
        <v>NA</v>
      </c>
    </row>
    <row r="12" spans="1:6" x14ac:dyDescent="0.25">
      <c r="B12" s="2" t="s">
        <v>109</v>
      </c>
      <c r="C12" t="str">
        <f ca="1">_xll.SUBNM(Server&amp;"z_Str_Var","","STR_VAR1")</f>
        <v>STR_VAR1</v>
      </c>
    </row>
    <row r="13" spans="1:6" x14ac:dyDescent="0.25">
      <c r="B13" t="str">
        <f ca="1">xLegalReference</f>
        <v/>
      </c>
    </row>
    <row r="14" spans="1:6" x14ac:dyDescent="0.25">
      <c r="B14">
        <f ca="1">COUNTA(B15:B175)</f>
        <v>1</v>
      </c>
      <c r="D14">
        <f ca="1">COUNTA(D15:D175)</f>
        <v>1</v>
      </c>
      <c r="F14">
        <f ca="1">COUNTA(F15:F175)</f>
        <v>1</v>
      </c>
    </row>
    <row r="15" spans="1:6" x14ac:dyDescent="0.25">
      <c r="A15" t="str">
        <f ca="1">IF(_xll.TM1RPTELISCONSOLIDATED($B$15,$B15),IF(_xll.TM1RPTELLEV($B$15,$B15)&lt;=3,_xll.TM1RPTELLEV($B$15,$B15),"D"),"N")</f>
        <v>N</v>
      </c>
      <c r="B15" s="47" t="str">
        <f ca="1">_xll.TM1RPTROW($B$9,Server&amp;"Legal_Organization","",$B$13,"",0,"{TM1FILTERBYLEVEL({DESCENDANTS(TM1SubsetBasis())},0)}")</f>
        <v/>
      </c>
      <c r="C15" s="46" t="str">
        <f ca="1">_xll.DBRW($B$9,$C$11,$B15,$C$12)</f>
        <v/>
      </c>
      <c r="D15" t="str">
        <f ca="1">_xll.DBRA(Server&amp;"Legal_Organization",$B15,LocalLanguage)</f>
        <v/>
      </c>
      <c r="F15" t="str">
        <f ca="1">CONCATENATE(B15," - ",D15)</f>
        <v xml:space="preserve"> - </v>
      </c>
    </row>
  </sheetData>
  <customSheetViews>
    <customSheetView guid="{7267FFFF-8997-4978-9445-B87FCBCB5EFE}">
      <selection activeCell="B14" sqref="B14"/>
      <pageMargins left="0.7" right="0.7" top="0.75" bottom="0.75" header="0.3" footer="0.3"/>
      <pageSetup orientation="portrait" r:id="rId1"/>
    </customSheetView>
    <customSheetView guid="{055CCB1E-587E-4E7F-9527-08A034898E1C}">
      <selection activeCell="B14" sqref="B14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act">
    <tabColor rgb="FFFF0000"/>
  </sheetPr>
  <dimension ref="A1:N48"/>
  <sheetViews>
    <sheetView showGridLines="0" tabSelected="1" topLeftCell="D6" zoomScale="85" zoomScaleNormal="85" workbookViewId="0">
      <selection activeCell="F13" sqref="F13"/>
    </sheetView>
  </sheetViews>
  <sheetFormatPr baseColWidth="10" defaultColWidth="9.140625" defaultRowHeight="15" x14ac:dyDescent="0.25"/>
  <cols>
    <col min="1" max="1" width="32" hidden="1" customWidth="1"/>
    <col min="2" max="2" width="29.42578125" hidden="1" customWidth="1"/>
    <col min="3" max="3" width="30.28515625" hidden="1" customWidth="1"/>
    <col min="4" max="4" width="6.7109375" customWidth="1"/>
    <col min="5" max="5" width="42.7109375" customWidth="1"/>
    <col min="6" max="6" width="33.7109375" customWidth="1"/>
    <col min="7" max="7" width="16.85546875" customWidth="1"/>
    <col min="8" max="8" width="24.140625" customWidth="1"/>
    <col min="9" max="9" width="34.7109375" customWidth="1"/>
    <col min="10" max="10" width="4.5703125" customWidth="1"/>
  </cols>
  <sheetData>
    <row r="1" spans="1:10" hidden="1" x14ac:dyDescent="0.25"/>
    <row r="2" spans="1:10" hidden="1" x14ac:dyDescent="0.25">
      <c r="D2" t="s">
        <v>98</v>
      </c>
      <c r="F2">
        <f ca="1">_xll.DIMIX(Server&amp;"Management_Organization",xContractCode)</f>
        <v>0</v>
      </c>
      <c r="G2">
        <f ca="1">_xll.DIMIX(Server&amp;"z_Contract_Pending_Approval",xContractCode)</f>
        <v>0</v>
      </c>
    </row>
    <row r="3" spans="1:10" hidden="1" x14ac:dyDescent="0.25">
      <c r="D3" t="s">
        <v>99</v>
      </c>
      <c r="F3">
        <f ca="1">_xll.DIMIX(Server&amp;"Management_Organization",F26)</f>
        <v>0</v>
      </c>
      <c r="G3" t="str">
        <f ca="1">IF(ISNA(VLOOKUP(F26,Context!R2:S200,2,FALSE)),"",VLOOKUP(F26,Context!R2:S200,2,FALSE))</f>
        <v/>
      </c>
    </row>
    <row r="4" spans="1:10" hidden="1" x14ac:dyDescent="0.25"/>
    <row r="5" spans="1:10" ht="20.25" hidden="1" thickBot="1" x14ac:dyDescent="0.3">
      <c r="J5" s="1"/>
    </row>
    <row r="6" spans="1:10" ht="19.5" customHeight="1" x14ac:dyDescent="0.25">
      <c r="B6" s="33" t="s">
        <v>58</v>
      </c>
      <c r="C6" s="33" t="s">
        <v>55</v>
      </c>
      <c r="D6" s="4"/>
      <c r="E6" s="3"/>
      <c r="F6" s="3"/>
      <c r="G6" s="3"/>
      <c r="H6" s="3"/>
      <c r="I6" s="3"/>
      <c r="J6" s="1"/>
    </row>
    <row r="7" spans="1:10" ht="19.5" customHeight="1" x14ac:dyDescent="0.25">
      <c r="B7" t="s">
        <v>59</v>
      </c>
      <c r="D7" s="5"/>
      <c r="E7" s="66" t="str">
        <f ca="1">_xll.DBRA(Server&amp;$B$6,B7,LocalLanguage)</f>
        <v>New Management unit Form</v>
      </c>
      <c r="F7" s="66"/>
      <c r="G7" s="66"/>
      <c r="H7" s="66"/>
      <c r="I7" s="64" t="str">
        <f ca="1">_xll.DBRA(Server&amp;$B$6,B8,LocalLanguage)</f>
        <v>Input</v>
      </c>
      <c r="J7" s="1"/>
    </row>
    <row r="8" spans="1:10" ht="28.5" customHeight="1" x14ac:dyDescent="0.25">
      <c r="B8" t="s">
        <v>60</v>
      </c>
      <c r="D8" s="5"/>
      <c r="E8" s="66"/>
      <c r="F8" s="66"/>
      <c r="G8" s="66"/>
      <c r="H8" s="66"/>
      <c r="I8" s="64"/>
      <c r="J8" s="1"/>
    </row>
    <row r="9" spans="1:10" ht="19.5" x14ac:dyDescent="0.25">
      <c r="D9" s="5"/>
      <c r="E9" s="7"/>
      <c r="F9" s="7"/>
      <c r="G9" s="7"/>
      <c r="H9" s="7"/>
      <c r="I9" s="7"/>
      <c r="J9" s="1"/>
    </row>
    <row r="10" spans="1:10" ht="19.5" x14ac:dyDescent="0.25">
      <c r="D10" s="5"/>
      <c r="E10" s="7"/>
      <c r="F10" s="7"/>
      <c r="G10" s="7"/>
      <c r="H10" s="7"/>
      <c r="I10" s="7"/>
      <c r="J10" s="1"/>
    </row>
    <row r="11" spans="1:10" ht="19.5" x14ac:dyDescent="0.25">
      <c r="A11">
        <v>1</v>
      </c>
      <c r="B11" t="s">
        <v>61</v>
      </c>
      <c r="D11" s="5"/>
      <c r="E11" s="48" t="str">
        <f ca="1">_xll.DBRA(Server&amp;$B$6,B11,LocalLanguage)</f>
        <v>Area</v>
      </c>
      <c r="F11" s="49"/>
      <c r="G11" s="49"/>
      <c r="H11" s="49"/>
      <c r="I11" s="49"/>
      <c r="J11" s="1"/>
    </row>
    <row r="12" spans="1:10" ht="19.5" x14ac:dyDescent="0.25">
      <c r="D12" s="5"/>
      <c r="E12" s="7"/>
      <c r="F12" s="7"/>
      <c r="G12" s="7"/>
      <c r="H12" s="7"/>
      <c r="I12" s="7"/>
      <c r="J12" s="1"/>
    </row>
    <row r="13" spans="1:10" ht="19.5" x14ac:dyDescent="0.25">
      <c r="A13" s="36"/>
      <c r="B13" t="s">
        <v>62</v>
      </c>
      <c r="C13" t="s">
        <v>84</v>
      </c>
      <c r="D13" s="5"/>
      <c r="E13" s="10" t="str">
        <f ca="1">_xll.DBRA(Server&amp;$B$6,B13,LocalLanguage) &amp; " : "</f>
        <v xml:space="preserve">Type : </v>
      </c>
      <c r="F13" s="52"/>
      <c r="G13" s="12"/>
      <c r="H13" s="12"/>
      <c r="I13" s="12"/>
      <c r="J13" s="1"/>
    </row>
    <row r="14" spans="1:10" ht="19.5" x14ac:dyDescent="0.25">
      <c r="A14" s="37" t="s">
        <v>105</v>
      </c>
      <c r="B14" s="38"/>
      <c r="D14" s="5"/>
      <c r="E14" s="12"/>
      <c r="F14" s="12"/>
      <c r="G14" s="12"/>
      <c r="H14" s="12"/>
      <c r="I14" s="12"/>
      <c r="J14" s="1"/>
    </row>
    <row r="15" spans="1:10" ht="19.5" x14ac:dyDescent="0.25">
      <c r="A15" s="39" t="str">
        <f ca="1">IF(OR(xRegionSelected="VTNL",xParent="VTNL",xGrandparent="VTNL"),"VTNL",IF(OR(xRegionSelected="OnDemand",xParent="OnDemand",xGrandparent="OnDemand"),"On Demand","Other"))</f>
        <v>Other</v>
      </c>
      <c r="B15" t="s">
        <v>63</v>
      </c>
      <c r="C15" t="s">
        <v>85</v>
      </c>
      <c r="D15" s="5"/>
      <c r="E15" s="10" t="str">
        <f ca="1">_xll.DBRA(Server&amp;$B$6,B15,LocalLanguage) &amp; " : "</f>
        <v xml:space="preserve">Country / Region : </v>
      </c>
      <c r="F15" s="53"/>
      <c r="G15" s="12"/>
      <c r="H15" s="12"/>
      <c r="I15" s="12"/>
      <c r="J15" s="1"/>
    </row>
    <row r="16" spans="1:10" ht="19.5" x14ac:dyDescent="0.25">
      <c r="D16" s="5"/>
      <c r="E16" s="7"/>
      <c r="F16" s="7"/>
      <c r="G16" s="7"/>
      <c r="H16" s="7"/>
      <c r="I16" s="7"/>
      <c r="J16" s="1"/>
    </row>
    <row r="17" spans="1:14" ht="19.5" x14ac:dyDescent="0.25">
      <c r="B17" t="s">
        <v>64</v>
      </c>
      <c r="D17" s="5"/>
      <c r="E17" s="48" t="str">
        <f ca="1">_xll.DBRA(Server&amp;$B$6,B17,LocalLanguage)</f>
        <v>Management unit details</v>
      </c>
      <c r="F17" s="49"/>
      <c r="G17" s="49"/>
      <c r="H17" s="49"/>
      <c r="I17" s="49"/>
      <c r="J17" s="1"/>
    </row>
    <row r="18" spans="1:14" ht="19.5" x14ac:dyDescent="0.25">
      <c r="D18" s="5"/>
      <c r="E18" s="7"/>
      <c r="F18" s="7"/>
      <c r="G18" s="7"/>
      <c r="H18" s="7"/>
      <c r="I18" s="7"/>
      <c r="J18" s="1"/>
    </row>
    <row r="19" spans="1:14" ht="19.5" x14ac:dyDescent="0.25">
      <c r="B19" t="s">
        <v>65</v>
      </c>
      <c r="D19" s="5"/>
      <c r="E19" s="10" t="str">
        <f ca="1">_xll.DBRA(Server&amp;$B$6,B19,LocalLanguage) &amp; " : "</f>
        <v xml:space="preserve">Tango management unit code : </v>
      </c>
      <c r="F19" s="52"/>
      <c r="G19" s="17"/>
      <c r="H19" s="12"/>
      <c r="I19" s="12"/>
      <c r="J19" s="1"/>
    </row>
    <row r="20" spans="1:14" ht="19.5" x14ac:dyDescent="0.25">
      <c r="D20" s="5"/>
      <c r="E20" s="12"/>
      <c r="F20" s="12"/>
      <c r="G20" s="12"/>
      <c r="H20" s="12"/>
      <c r="I20" s="12"/>
      <c r="J20" s="1"/>
    </row>
    <row r="21" spans="1:14" ht="19.5" x14ac:dyDescent="0.25">
      <c r="B21" t="s">
        <v>66</v>
      </c>
      <c r="C21" t="s">
        <v>86</v>
      </c>
      <c r="D21" s="5"/>
      <c r="E21" s="10" t="str">
        <f ca="1">_xll.DBRA(Server&amp;$B$6,B21,LocalLanguage) &amp; " : "</f>
        <v xml:space="preserve">Local management unit code : </v>
      </c>
      <c r="F21" s="52"/>
      <c r="G21" s="12"/>
      <c r="H21" s="12"/>
      <c r="I21" s="12"/>
      <c r="J21" s="1"/>
    </row>
    <row r="22" spans="1:14" ht="19.5" x14ac:dyDescent="0.25">
      <c r="D22" s="5"/>
      <c r="E22" s="10"/>
      <c r="F22" s="18"/>
      <c r="G22" s="12"/>
      <c r="H22" s="12"/>
      <c r="I22" s="12"/>
      <c r="J22" s="1"/>
    </row>
    <row r="23" spans="1:14" ht="19.5" hidden="1" x14ac:dyDescent="0.25">
      <c r="B23" t="s">
        <v>68</v>
      </c>
      <c r="C23" t="s">
        <v>88</v>
      </c>
      <c r="D23" s="5"/>
      <c r="E23" s="10" t="str">
        <f ca="1">_xll.DBRA(Server&amp;$B$6,B23,LocalLanguage) &amp; " : "</f>
        <v xml:space="preserve">Cost Center : </v>
      </c>
      <c r="F23" s="11"/>
      <c r="G23" s="12"/>
      <c r="J23" s="1"/>
    </row>
    <row r="24" spans="1:14" ht="19.5" hidden="1" x14ac:dyDescent="0.25">
      <c r="B24" t="s">
        <v>69</v>
      </c>
      <c r="C24" t="s">
        <v>89</v>
      </c>
      <c r="D24" s="5"/>
      <c r="E24" s="10" t="str">
        <f ca="1">_xll.DBRA(Server&amp;$B$6,B24,LocalLanguage) &amp; " : "</f>
        <v xml:space="preserve">Business line : </v>
      </c>
      <c r="F24" s="11"/>
      <c r="G24" s="12"/>
      <c r="H24" s="12"/>
      <c r="I24" s="12"/>
      <c r="J24" s="1"/>
    </row>
    <row r="25" spans="1:14" ht="19.5" hidden="1" x14ac:dyDescent="0.25">
      <c r="D25" s="5"/>
      <c r="E25" s="10"/>
      <c r="F25" s="18"/>
      <c r="G25" s="12"/>
      <c r="H25" s="12"/>
      <c r="I25" s="12"/>
      <c r="J25" s="7"/>
    </row>
    <row r="26" spans="1:14" ht="19.5" x14ac:dyDescent="0.25">
      <c r="B26" t="s">
        <v>67</v>
      </c>
      <c r="C26" t="s">
        <v>87</v>
      </c>
      <c r="D26" s="5"/>
      <c r="E26" s="10" t="str">
        <f ca="1">_xll.DBRA(Server&amp;$B$6,B26,LocalLanguage) &amp; " : "</f>
        <v xml:space="preserve">Contract Name : </v>
      </c>
      <c r="F26" s="52"/>
      <c r="G26" s="12"/>
      <c r="H26" s="12"/>
      <c r="I26" s="12"/>
      <c r="J26" s="7"/>
    </row>
    <row r="27" spans="1:14" ht="19.5" x14ac:dyDescent="0.25">
      <c r="D27" s="5"/>
      <c r="E27" s="12"/>
      <c r="F27" s="12"/>
      <c r="G27" s="12"/>
      <c r="J27" s="1"/>
    </row>
    <row r="28" spans="1:14" ht="19.5" x14ac:dyDescent="0.25">
      <c r="B28" t="s">
        <v>70</v>
      </c>
      <c r="D28" s="5"/>
      <c r="E28" s="48" t="str">
        <f ca="1">_xll.DBRA(Server&amp;$B$6,B28,LocalLanguage)</f>
        <v>Mangement unit other details</v>
      </c>
      <c r="F28" s="49"/>
      <c r="G28" s="49"/>
      <c r="H28" s="49"/>
      <c r="I28" s="49"/>
      <c r="J28" s="1"/>
    </row>
    <row r="29" spans="1:14" ht="19.5" x14ac:dyDescent="0.25">
      <c r="D29" s="5"/>
      <c r="E29" s="7"/>
      <c r="F29" s="7"/>
      <c r="G29" s="7"/>
      <c r="H29" s="7"/>
      <c r="I29" s="7"/>
      <c r="J29" s="1"/>
    </row>
    <row r="30" spans="1:14" ht="19.5" x14ac:dyDescent="0.25">
      <c r="A30" t="s">
        <v>114</v>
      </c>
      <c r="B30" t="s">
        <v>71</v>
      </c>
      <c r="C30" t="s">
        <v>90</v>
      </c>
      <c r="D30" s="5"/>
      <c r="E30" s="10" t="str">
        <f ca="1">_xll.DBRA(Server&amp;$B$6,B30,LocalLanguage) &amp;"  (" &amp; _xll.DBRA(Server&amp;$B$6,$A$30,LocalLanguage) &amp; ")  : "</f>
        <v xml:space="preserve">Start Date  (DD/MM/YYYY)  : </v>
      </c>
      <c r="F30" s="55"/>
      <c r="G30" s="12"/>
      <c r="H30" s="10" t="str">
        <f ca="1">_xll.DBRA(Server&amp;$B$6,B31,LocalLanguage) &amp;"  (" &amp; _xll.DBRA(Server&amp;$B$6,$A$30,LocalLanguage) &amp; ")  : "</f>
        <v xml:space="preserve">End date without option  (DD/MM/YYYY)  : </v>
      </c>
      <c r="I30" s="55"/>
      <c r="J30" s="1"/>
      <c r="K30" t="str">
        <f>IF(TEXT(Start_Date,"JJ/MM/AAAA")="00/01/1900","",TEXT(Start_Date,"JJ/MM/AAAA"))</f>
        <v/>
      </c>
      <c r="N30" s="54"/>
    </row>
    <row r="31" spans="1:14" ht="19.5" x14ac:dyDescent="0.25">
      <c r="B31" t="s">
        <v>72</v>
      </c>
      <c r="C31" t="s">
        <v>91</v>
      </c>
      <c r="D31" s="5"/>
      <c r="E31" s="12"/>
      <c r="F31" s="12"/>
      <c r="G31" s="12"/>
      <c r="H31" s="12"/>
      <c r="I31" s="12"/>
      <c r="J31" s="1"/>
    </row>
    <row r="32" spans="1:14" ht="19.5" x14ac:dyDescent="0.25">
      <c r="B32" t="s">
        <v>73</v>
      </c>
      <c r="C32" t="s">
        <v>92</v>
      </c>
      <c r="D32" s="5"/>
      <c r="E32" s="10" t="str">
        <f ca="1">_xll.DBRA(Server&amp;$B$6,B32,LocalLanguage) &amp; " : "</f>
        <v xml:space="preserve">Management unit status : </v>
      </c>
      <c r="F32" s="52"/>
      <c r="G32" s="12"/>
      <c r="H32" s="10" t="str">
        <f ca="1">_xll.DBRA(Server&amp;$B$6,B33,LocalLanguage) &amp;"  (" &amp; _xll.DBRA(Server&amp;$B$6,$A$30,LocalLanguage) &amp; ")  : "</f>
        <v xml:space="preserve">End date with option  (DD/MM/YYYY)  : </v>
      </c>
      <c r="I32" s="55"/>
      <c r="J32" s="1"/>
    </row>
    <row r="33" spans="1:10" ht="19.5" x14ac:dyDescent="0.25">
      <c r="B33" t="s">
        <v>74</v>
      </c>
      <c r="C33" t="s">
        <v>93</v>
      </c>
      <c r="D33" s="5"/>
      <c r="E33" s="7"/>
      <c r="F33" s="7"/>
      <c r="G33" s="7"/>
      <c r="H33" s="7"/>
      <c r="I33" s="7"/>
      <c r="J33" s="1"/>
    </row>
    <row r="34" spans="1:10" ht="19.5" x14ac:dyDescent="0.25">
      <c r="D34" s="5"/>
      <c r="E34" s="7"/>
      <c r="F34" s="7"/>
      <c r="G34" s="7"/>
      <c r="H34" s="7"/>
      <c r="I34" s="7"/>
      <c r="J34" s="1"/>
    </row>
    <row r="35" spans="1:10" ht="19.5" x14ac:dyDescent="0.25">
      <c r="B35" t="s">
        <v>75</v>
      </c>
      <c r="C35" s="33" t="s">
        <v>55</v>
      </c>
      <c r="D35" s="5"/>
      <c r="E35" s="48" t="str">
        <f ca="1">_xll.DBRA(Server&amp;$B$6,B35,LocalLanguage)</f>
        <v>Comments</v>
      </c>
      <c r="F35" s="49"/>
      <c r="G35" s="49"/>
      <c r="H35" s="49"/>
      <c r="I35" s="49"/>
      <c r="J35" s="1"/>
    </row>
    <row r="36" spans="1:10" ht="19.5" x14ac:dyDescent="0.25">
      <c r="C36" s="35" t="s">
        <v>80</v>
      </c>
      <c r="D36" s="5"/>
      <c r="E36" s="65"/>
      <c r="F36" s="65"/>
      <c r="G36" s="65"/>
      <c r="H36" s="65"/>
      <c r="I36" s="65"/>
      <c r="J36" s="1"/>
    </row>
    <row r="37" spans="1:10" ht="19.5" x14ac:dyDescent="0.25">
      <c r="C37" s="35" t="s">
        <v>81</v>
      </c>
      <c r="D37" s="5"/>
      <c r="E37" s="63"/>
      <c r="F37" s="63"/>
      <c r="G37" s="63"/>
      <c r="H37" s="63"/>
      <c r="I37" s="63"/>
      <c r="J37" s="1"/>
    </row>
    <row r="38" spans="1:10" ht="19.5" x14ac:dyDescent="0.25">
      <c r="C38" s="35" t="s">
        <v>82</v>
      </c>
      <c r="D38" s="5"/>
      <c r="E38" s="63" t="s">
        <v>102</v>
      </c>
      <c r="F38" s="63"/>
      <c r="G38" s="63"/>
      <c r="H38" s="63"/>
      <c r="I38" s="63"/>
      <c r="J38" s="1"/>
    </row>
    <row r="39" spans="1:10" ht="19.5" x14ac:dyDescent="0.25">
      <c r="C39" s="35" t="s">
        <v>83</v>
      </c>
      <c r="D39" s="5"/>
      <c r="E39" s="63"/>
      <c r="F39" s="63"/>
      <c r="G39" s="63"/>
      <c r="H39" s="63"/>
      <c r="I39" s="63"/>
      <c r="J39" s="1"/>
    </row>
    <row r="40" spans="1:10" ht="19.5" x14ac:dyDescent="0.25">
      <c r="D40" s="5"/>
      <c r="E40" s="7"/>
      <c r="F40" s="7"/>
      <c r="G40" s="7"/>
      <c r="H40" s="7"/>
      <c r="I40" s="7"/>
      <c r="J40" s="1"/>
    </row>
    <row r="41" spans="1:10" ht="19.5" x14ac:dyDescent="0.25">
      <c r="D41" s="5"/>
      <c r="E41" s="7"/>
      <c r="F41" s="7"/>
      <c r="G41" s="7"/>
      <c r="H41" s="7"/>
      <c r="I41" s="7"/>
      <c r="J41" s="1"/>
    </row>
    <row r="42" spans="1:10" ht="19.5" x14ac:dyDescent="0.25">
      <c r="A42" s="40" t="s">
        <v>32</v>
      </c>
      <c r="D42" s="5"/>
      <c r="E42" s="7"/>
      <c r="F42" s="7"/>
      <c r="G42" s="7"/>
      <c r="H42" s="7"/>
      <c r="I42" s="7"/>
      <c r="J42" s="1"/>
    </row>
    <row r="43" spans="1:10" ht="19.5" x14ac:dyDescent="0.25">
      <c r="A43" s="41" t="str">
        <f ca="1">_xll.SUBNM(Server&amp; A42,"",F46,"")</f>
        <v/>
      </c>
      <c r="B43" s="34" t="s">
        <v>76</v>
      </c>
      <c r="C43" s="6"/>
      <c r="D43" s="5"/>
      <c r="E43" s="48" t="str">
        <f ca="1">_xll.DBRA(Server&amp;$B$6,B43,LocalLanguage)</f>
        <v>Management unit parameters</v>
      </c>
      <c r="F43" s="49"/>
      <c r="G43" s="49"/>
      <c r="H43" s="49"/>
      <c r="I43" s="49"/>
    </row>
    <row r="44" spans="1:10" ht="19.5" x14ac:dyDescent="0.25">
      <c r="A44" s="40" t="s">
        <v>106</v>
      </c>
      <c r="B44" t="s">
        <v>77</v>
      </c>
      <c r="C44" s="6" t="s">
        <v>94</v>
      </c>
      <c r="J44" s="1"/>
    </row>
    <row r="45" spans="1:10" ht="19.5" x14ac:dyDescent="0.25">
      <c r="A45" s="41" t="str">
        <f ca="1">_xll.SUBNM(Server&amp; A44,"",G46,"")</f>
        <v/>
      </c>
      <c r="B45" t="s">
        <v>78</v>
      </c>
      <c r="C45" s="6" t="s">
        <v>19</v>
      </c>
      <c r="D45" s="7"/>
      <c r="E45" s="50" t="str">
        <f ca="1">_xll.DBRA(Server&amp;$B$6,B44,LocalLanguage)</f>
        <v>Legal Entity</v>
      </c>
      <c r="F45" s="50" t="str">
        <f ca="1">_xll.DBRA(Server&amp;$B$6,B45,LocalLanguage)</f>
        <v>Sub-Activity</v>
      </c>
      <c r="G45" s="50" t="str">
        <f ca="1">_xll.DBRA(Server&amp;$B$6,B46,LocalLanguage)</f>
        <v>Type of client</v>
      </c>
      <c r="H45" s="56" t="str">
        <f ca="1">_xll.DBRA(Server&amp;$B$6,B47,LocalLanguage)</f>
        <v>Economic Model</v>
      </c>
      <c r="I45" s="56" t="s">
        <v>118</v>
      </c>
    </row>
    <row r="46" spans="1:10" x14ac:dyDescent="0.25">
      <c r="A46" s="40" t="s">
        <v>107</v>
      </c>
      <c r="B46" t="s">
        <v>97</v>
      </c>
      <c r="C46" s="6" t="s">
        <v>95</v>
      </c>
      <c r="E46" s="51"/>
      <c r="F46" s="51"/>
      <c r="G46" s="51"/>
      <c r="H46" s="57"/>
      <c r="I46" s="58"/>
    </row>
    <row r="47" spans="1:10" x14ac:dyDescent="0.25">
      <c r="A47" s="41" t="str">
        <f ca="1">_xll.SUBNM(Server&amp; A46,"",H46,"")</f>
        <v/>
      </c>
      <c r="B47" t="s">
        <v>79</v>
      </c>
      <c r="C47" s="6" t="s">
        <v>96</v>
      </c>
    </row>
    <row r="48" spans="1:10" x14ac:dyDescent="0.25">
      <c r="C48" s="6"/>
    </row>
  </sheetData>
  <sheetProtection formatColumns="0" formatRows="0"/>
  <customSheetViews>
    <customSheetView guid="{7267FFFF-8997-4978-9445-B87FCBCB5EFE}" scale="85" showGridLines="0">
      <selection activeCell="C10" sqref="C10"/>
      <pageMargins left="0.7" right="0.7" top="0.75" bottom="0.75" header="0.3" footer="0.3"/>
      <pageSetup paperSize="9" scale="45" orientation="portrait" r:id="rId1"/>
    </customSheetView>
    <customSheetView guid="{055CCB1E-587E-4E7F-9527-08A034898E1C}" scale="85" showGridLines="0" hiddenRows="1" hiddenColumns="1" topLeftCell="D6">
      <selection activeCell="L14" sqref="L14"/>
      <pageMargins left="0.7" right="0.7" top="0.75" bottom="0.75" header="0.3" footer="0.3"/>
      <pageSetup paperSize="9" scale="45" orientation="portrait" r:id="rId2"/>
    </customSheetView>
  </customSheetViews>
  <mergeCells count="6">
    <mergeCell ref="E39:I39"/>
    <mergeCell ref="I7:I8"/>
    <mergeCell ref="E36:I36"/>
    <mergeCell ref="E37:I37"/>
    <mergeCell ref="E38:I38"/>
    <mergeCell ref="E7:H8"/>
  </mergeCells>
  <conditionalFormatting sqref="F46">
    <cfRule type="expression" dxfId="7" priority="8">
      <formula>AND(F46&lt;&gt;"",NOT(EXACT(VLOOKUP(F46,xActivity,1,0),F46)))</formula>
    </cfRule>
  </conditionalFormatting>
  <conditionalFormatting sqref="G46">
    <cfRule type="expression" dxfId="6" priority="7">
      <formula>AND(G46&lt;&gt;"",NOT(EXACT(VLOOKUP(G46,xTypeClient,1,0),G46)))</formula>
    </cfRule>
  </conditionalFormatting>
  <conditionalFormatting sqref="E46">
    <cfRule type="expression" dxfId="5" priority="6">
      <formula>AND(E46&lt;&gt;"",NOT(EXACT(VLOOKUP(E46,xLegalEntity,1,0),E46)))</formula>
    </cfRule>
  </conditionalFormatting>
  <conditionalFormatting sqref="H46">
    <cfRule type="expression" dxfId="4" priority="5">
      <formula>AND(H46&lt;&gt;"",NOT(EXACT(VLOOKUP(H46,xEcoModel,1,0),H46)))</formula>
    </cfRule>
  </conditionalFormatting>
  <conditionalFormatting sqref="I46">
    <cfRule type="expression" dxfId="3" priority="4">
      <formula>AND(I46&lt;&gt;"",NOT(EXACT(VLOOKUP(I46,xBusinessModel,1,0),I46)))</formula>
    </cfRule>
  </conditionalFormatting>
  <conditionalFormatting sqref="F32">
    <cfRule type="expression" dxfId="2" priority="3">
      <formula>AND(F32&lt;&gt;"",NOT(EXACT(VLOOKUP(F32,xMngtUnitStatus,1,0),F32)))</formula>
    </cfRule>
  </conditionalFormatting>
  <conditionalFormatting sqref="F15">
    <cfRule type="expression" dxfId="1" priority="2">
      <formula>AND(F15&lt;&gt;"",NOT(EXACT(VLOOKUP(F15,xCountryRegionList,1,0),F15)))</formula>
    </cfRule>
  </conditionalFormatting>
  <conditionalFormatting sqref="F13">
    <cfRule type="expression" dxfId="0" priority="1">
      <formula>AND(F13&lt;&gt;"",NOT(EXACT(VLOOKUP(F13,xContractType,1,0),F13)))</formula>
    </cfRule>
  </conditionalFormatting>
  <dataValidations count="10">
    <dataValidation type="list" showInputMessage="1" showErrorMessage="1" sqref="F13">
      <formula1>xContractType</formula1>
    </dataValidation>
    <dataValidation type="list" showInputMessage="1" showErrorMessage="1" sqref="F32">
      <formula1>xMngtUnitStatus</formula1>
    </dataValidation>
    <dataValidation type="list" showInputMessage="1" showErrorMessage="1" sqref="F15">
      <formula1>xCountryRegionList</formula1>
    </dataValidation>
    <dataValidation type="list" showInputMessage="1" showErrorMessage="1" sqref="E46">
      <formula1>xLegalEntity</formula1>
    </dataValidation>
    <dataValidation type="list" showInputMessage="1" showErrorMessage="1" sqref="F46">
      <formula1>xActivity</formula1>
    </dataValidation>
    <dataValidation type="list" showInputMessage="1" showErrorMessage="1" sqref="G46">
      <formula1>xTypeClient</formula1>
    </dataValidation>
    <dataValidation type="list" showInputMessage="1" showErrorMessage="1" sqref="H46">
      <formula1>xEcoModel</formula1>
    </dataValidation>
    <dataValidation type="date" operator="greaterThan" allowBlank="1" showInputMessage="1" showErrorMessage="1" errorTitle="Error format date" error="Date format should be DD/MM/YYYY_x000a__x000a_La date doit être au format JJ/MM/AAAA" sqref="F30">
      <formula1>36526</formula1>
    </dataValidation>
    <dataValidation type="date" operator="greaterThan" allowBlank="1" showInputMessage="1" showErrorMessage="1" errorTitle="Error format date" error="Date format should be DD/MM/YYYY_x000a__x000a_La date doit être au format JJ/MM/AAAA" sqref="I30 I32">
      <formula1>36526</formula1>
    </dataValidation>
    <dataValidation type="list" showInputMessage="1" showErrorMessage="1" sqref="I46">
      <formula1>xBusinessModel</formula1>
    </dataValidation>
  </dataValidations>
  <pageMargins left="0.7" right="0.7" top="0.75" bottom="0.75" header="0.3" footer="0.3"/>
  <pageSetup paperSize="9" scale="45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ntract.CreateContractTempClick">
                <anchor moveWithCells="1" sizeWithCells="1">
                  <from>
                    <xdr:col>8</xdr:col>
                    <xdr:colOff>381000</xdr:colOff>
                    <xdr:row>18</xdr:row>
                    <xdr:rowOff>190500</xdr:rowOff>
                  </from>
                  <to>
                    <xdr:col>8</xdr:col>
                    <xdr:colOff>2085975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_DBS">
    <tabColor rgb="FFFF0000"/>
  </sheetPr>
  <dimension ref="C5:I48"/>
  <sheetViews>
    <sheetView showGridLines="0" topLeftCell="C16" zoomScale="85" zoomScaleNormal="85" workbookViewId="0"/>
  </sheetViews>
  <sheetFormatPr baseColWidth="10" defaultColWidth="9.140625" defaultRowHeight="15" x14ac:dyDescent="0.25"/>
  <cols>
    <col min="1" max="1" width="9.28515625" customWidth="1"/>
    <col min="2" max="2" width="22.85546875" bestFit="1" customWidth="1"/>
    <col min="4" max="4" width="7.85546875" customWidth="1"/>
    <col min="5" max="5" width="42.7109375" customWidth="1"/>
    <col min="6" max="6" width="26.140625" customWidth="1"/>
    <col min="7" max="7" width="16.85546875" customWidth="1"/>
    <col min="8" max="8" width="28.140625" customWidth="1"/>
    <col min="9" max="9" width="34.7109375" customWidth="1"/>
  </cols>
  <sheetData>
    <row r="5" spans="4:9" ht="15.75" thickBot="1" x14ac:dyDescent="0.3"/>
    <row r="6" spans="4:9" ht="19.5" x14ac:dyDescent="0.25">
      <c r="D6" s="4"/>
      <c r="E6" s="3"/>
      <c r="F6" s="3"/>
      <c r="G6" s="3"/>
      <c r="H6" s="3"/>
      <c r="I6" s="3"/>
    </row>
    <row r="7" spans="4:9" ht="28.5" x14ac:dyDescent="0.25">
      <c r="D7" s="5"/>
      <c r="E7" s="19"/>
      <c r="F7" s="67"/>
      <c r="G7" s="67"/>
      <c r="H7" s="67"/>
      <c r="I7" s="68"/>
    </row>
    <row r="8" spans="4:9" ht="28.5" x14ac:dyDescent="0.25">
      <c r="D8" s="5"/>
      <c r="E8" s="19"/>
      <c r="F8" s="67"/>
      <c r="G8" s="67"/>
      <c r="H8" s="67"/>
      <c r="I8" s="68"/>
    </row>
    <row r="9" spans="4:9" ht="19.5" x14ac:dyDescent="0.25">
      <c r="D9" s="5"/>
      <c r="E9" s="7"/>
      <c r="F9" s="7"/>
      <c r="G9" s="7"/>
      <c r="H9" s="7"/>
      <c r="I9" s="7"/>
    </row>
    <row r="10" spans="4:9" ht="19.5" x14ac:dyDescent="0.25">
      <c r="D10" s="5"/>
      <c r="E10" s="7"/>
      <c r="F10" s="7"/>
      <c r="G10" s="7"/>
      <c r="H10" s="7"/>
      <c r="I10" s="7"/>
    </row>
    <row r="11" spans="4:9" ht="19.5" x14ac:dyDescent="0.25">
      <c r="D11" s="5"/>
      <c r="E11" s="14" t="s">
        <v>0</v>
      </c>
      <c r="F11" s="15"/>
      <c r="G11" s="15"/>
      <c r="H11" s="15"/>
      <c r="I11" s="15"/>
    </row>
    <row r="12" spans="4:9" ht="19.5" x14ac:dyDescent="0.25">
      <c r="D12" s="5"/>
      <c r="E12" s="7"/>
      <c r="F12" s="7"/>
      <c r="G12" s="7"/>
      <c r="H12" s="7"/>
      <c r="I12" s="7"/>
    </row>
    <row r="13" spans="4:9" ht="19.5" x14ac:dyDescent="0.25">
      <c r="D13" s="5"/>
      <c r="E13" s="10" t="s">
        <v>1</v>
      </c>
      <c r="F13" s="13" t="str">
        <f>IF(Flag_Send_Data=1,_xll.DBSW(xType,Server&amp;Cube1,xContractCode,"Type"),"")</f>
        <v/>
      </c>
      <c r="G13" s="12"/>
      <c r="H13" s="12"/>
      <c r="I13" s="12"/>
    </row>
    <row r="14" spans="4:9" ht="19.5" x14ac:dyDescent="0.25">
      <c r="D14" s="5"/>
      <c r="E14" s="12"/>
      <c r="F14" s="12"/>
      <c r="G14" s="12"/>
      <c r="H14" s="12"/>
      <c r="I14" s="12"/>
    </row>
    <row r="15" spans="4:9" ht="19.5" x14ac:dyDescent="0.25">
      <c r="D15" s="5"/>
      <c r="E15" s="10" t="s">
        <v>3</v>
      </c>
      <c r="F15" s="13" t="str">
        <f ca="1">IF(Flag_Send_Data=1,_xll.DBSW(xRegionSelected,Server&amp;Cube1,xContractCode,"Country_Region"),"")</f>
        <v/>
      </c>
      <c r="G15" s="12"/>
      <c r="H15" s="12"/>
      <c r="I15" s="12"/>
    </row>
    <row r="16" spans="4:9" ht="19.5" x14ac:dyDescent="0.25">
      <c r="D16" s="5"/>
      <c r="E16" s="7"/>
      <c r="F16" s="7"/>
      <c r="G16" s="7"/>
      <c r="H16" s="7"/>
      <c r="I16" s="7"/>
    </row>
    <row r="17" spans="4:9" ht="19.5" x14ac:dyDescent="0.25">
      <c r="D17" s="5"/>
      <c r="E17" s="14" t="s">
        <v>4</v>
      </c>
      <c r="F17" s="15"/>
      <c r="G17" s="15"/>
      <c r="H17" s="15"/>
      <c r="I17" s="15"/>
    </row>
    <row r="18" spans="4:9" ht="19.5" x14ac:dyDescent="0.25">
      <c r="D18" s="5"/>
      <c r="E18" s="7"/>
      <c r="F18" s="7"/>
      <c r="G18" s="7"/>
      <c r="H18" s="7"/>
      <c r="I18" s="7"/>
    </row>
    <row r="19" spans="4:9" ht="19.5" x14ac:dyDescent="0.25">
      <c r="D19" s="5"/>
      <c r="E19" s="10" t="s">
        <v>5</v>
      </c>
      <c r="F19" s="11"/>
      <c r="G19" s="17"/>
      <c r="H19" s="12"/>
      <c r="I19" s="12"/>
    </row>
    <row r="20" spans="4:9" ht="19.5" x14ac:dyDescent="0.25">
      <c r="D20" s="5"/>
      <c r="E20" s="12"/>
      <c r="F20" s="12"/>
      <c r="G20" s="12"/>
      <c r="H20" s="12"/>
      <c r="I20" s="12"/>
    </row>
    <row r="21" spans="4:9" ht="19.5" x14ac:dyDescent="0.25">
      <c r="D21" s="5"/>
      <c r="E21" s="10" t="s">
        <v>6</v>
      </c>
      <c r="F21" s="13" t="str">
        <f>IF(Flag_Send_Data=1,_xll.DBSW(xLocalUMCode,Server&amp;Cube1,xContractCode,"Local_Management_Unit_Code"),"")</f>
        <v/>
      </c>
      <c r="G21" s="12"/>
      <c r="H21" s="12"/>
      <c r="I21" s="12"/>
    </row>
    <row r="22" spans="4:9" ht="19.5" x14ac:dyDescent="0.25">
      <c r="D22" s="5"/>
      <c r="E22" s="10"/>
      <c r="F22" s="18"/>
      <c r="G22" s="12"/>
      <c r="H22" s="12"/>
      <c r="I22" s="12"/>
    </row>
    <row r="23" spans="4:9" ht="19.5" x14ac:dyDescent="0.25">
      <c r="D23" s="5"/>
      <c r="E23" s="10" t="s">
        <v>8</v>
      </c>
      <c r="F23" s="13" t="str">
        <f>IF(Flag_Send_Data=1,_xll.DBSW(xCostCenter,Server&amp;Cube1,xContractCode,"Cost_center"),"")</f>
        <v/>
      </c>
      <c r="G23" s="12"/>
    </row>
    <row r="24" spans="4:9" ht="19.5" x14ac:dyDescent="0.25">
      <c r="D24" s="5"/>
      <c r="E24" s="10" t="s">
        <v>9</v>
      </c>
      <c r="F24" s="13" t="str">
        <f>IF(Flag_Send_Data=1,_xll.DBSW(xBusinessLine,Server&amp;Cube1,xContractCode,"Line_of_business"),"")</f>
        <v/>
      </c>
      <c r="G24" s="12"/>
      <c r="H24" s="12"/>
      <c r="I24" s="12"/>
    </row>
    <row r="25" spans="4:9" ht="19.5" x14ac:dyDescent="0.25">
      <c r="D25" s="5"/>
      <c r="E25" s="10"/>
      <c r="F25" s="18"/>
      <c r="G25" s="12"/>
      <c r="H25" s="12"/>
      <c r="I25" s="12"/>
    </row>
    <row r="26" spans="4:9" ht="19.5" x14ac:dyDescent="0.25">
      <c r="D26" s="5"/>
      <c r="E26" s="10" t="s">
        <v>7</v>
      </c>
      <c r="F26" s="13" t="str">
        <f>IF(Flag_Send_Data=1,_xll.DBSW(xContractName,Server&amp;Cube1,xContractCode,"Management_Unit_Name"),"")</f>
        <v/>
      </c>
      <c r="G26" s="12"/>
      <c r="H26" s="12"/>
      <c r="I26" s="12"/>
    </row>
    <row r="27" spans="4:9" ht="19.5" x14ac:dyDescent="0.25">
      <c r="D27" s="5"/>
      <c r="E27" s="12"/>
      <c r="F27" s="12"/>
      <c r="G27" s="12"/>
    </row>
    <row r="28" spans="4:9" ht="19.5" x14ac:dyDescent="0.25">
      <c r="D28" s="5"/>
      <c r="E28" s="14" t="s">
        <v>10</v>
      </c>
      <c r="F28" s="15"/>
      <c r="G28" s="15"/>
      <c r="H28" s="15"/>
      <c r="I28" s="15"/>
    </row>
    <row r="29" spans="4:9" ht="19.5" x14ac:dyDescent="0.25">
      <c r="D29" s="5"/>
      <c r="E29" s="7"/>
      <c r="F29" s="7"/>
      <c r="G29" s="7"/>
      <c r="H29" s="7"/>
      <c r="I29" s="7"/>
    </row>
    <row r="30" spans="4:9" ht="19.5" x14ac:dyDescent="0.25">
      <c r="D30" s="5"/>
      <c r="E30" s="10" t="s">
        <v>11</v>
      </c>
      <c r="F30" s="13" t="str">
        <f>IF(Flag_Send_Data=1,_xll.DBSW(IF(TEXT(Start_Date,"JJ/MM/AAAA")="00/01/1900","",TEXT(Start_Date,"JJ/MM/AAAA")),Server&amp;Cube1,xContractCode,"Start_Date"),"")</f>
        <v/>
      </c>
      <c r="G30" s="12"/>
      <c r="H30" s="10" t="s">
        <v>12</v>
      </c>
      <c r="I30" s="13" t="str">
        <f>IF(Flag_Send_Data=1,_xll.DBSW(IF(TEXT(End_date_without_opt,"JJ/MM/AAAA")="00/01/1900","",TEXT(End_date_without_opt,"JJ/MM/AAAA")),Server&amp;Cube1,xContractCode,"End_Date"),"")</f>
        <v/>
      </c>
    </row>
    <row r="31" spans="4:9" ht="19.5" x14ac:dyDescent="0.25">
      <c r="D31" s="5"/>
      <c r="E31" s="12"/>
      <c r="F31" s="12"/>
      <c r="G31" s="12"/>
      <c r="H31" s="12"/>
      <c r="I31" s="12"/>
    </row>
    <row r="32" spans="4:9" ht="19.5" x14ac:dyDescent="0.25">
      <c r="D32" s="5"/>
      <c r="E32" s="10" t="s">
        <v>13</v>
      </c>
      <c r="F32" s="13" t="str">
        <f>IF(Flag_Send_Data=1,_xll.DBSW(xStatus,Server&amp;Cube1,xContractCode,"Management_unit_status"),"")</f>
        <v/>
      </c>
      <c r="G32" s="12"/>
      <c r="H32" s="10" t="s">
        <v>15</v>
      </c>
      <c r="I32" s="13" t="str">
        <f>IF(Flag_Send_Data=1,_xll.DBSW(IF(TEXT(End_date_with_opt,"JJ/MM/AAAA")="00/01/1900","",TEXT(End_date_with_opt,"JJ/MM/AAAA")),Server&amp;Cube1,xContractCode,"Option_years"),"")</f>
        <v/>
      </c>
    </row>
    <row r="33" spans="3:9" ht="19.5" x14ac:dyDescent="0.25">
      <c r="D33" s="5"/>
      <c r="E33" s="7"/>
      <c r="F33" s="7"/>
      <c r="G33" s="7"/>
      <c r="H33" s="7"/>
      <c r="I33" s="7"/>
    </row>
    <row r="34" spans="3:9" ht="19.5" x14ac:dyDescent="0.25">
      <c r="D34" s="5"/>
      <c r="E34" s="7"/>
      <c r="F34" s="7"/>
      <c r="G34" s="7"/>
      <c r="H34" s="7"/>
      <c r="I34" s="7"/>
    </row>
    <row r="35" spans="3:9" ht="19.5" x14ac:dyDescent="0.25">
      <c r="D35" s="5"/>
      <c r="E35" s="14" t="s">
        <v>16</v>
      </c>
      <c r="F35" s="15"/>
      <c r="G35" s="15"/>
      <c r="H35" s="15"/>
      <c r="I35" s="15"/>
    </row>
    <row r="36" spans="3:9" ht="19.5" x14ac:dyDescent="0.25">
      <c r="D36" s="5"/>
      <c r="E36" s="31" t="str">
        <f>IF(Flag_Send_Comment=1,_xll.DBSS(Contract!E36,Server&amp;Cube2,xContractCode,Contract!$C36),"")</f>
        <v/>
      </c>
      <c r="F36" s="31"/>
      <c r="G36" s="31"/>
      <c r="H36" s="31"/>
      <c r="I36" s="31"/>
    </row>
    <row r="37" spans="3:9" ht="19.5" x14ac:dyDescent="0.25">
      <c r="D37" s="5"/>
      <c r="E37" s="32" t="str">
        <f>IF(Flag_Send_Comment=1,_xll.DBSS(Contract!E37,Server&amp;Cube2,xContractCode,Contract!$C37),"")</f>
        <v/>
      </c>
      <c r="F37" s="32"/>
      <c r="G37" s="32"/>
      <c r="H37" s="32"/>
      <c r="I37" s="32"/>
    </row>
    <row r="38" spans="3:9" ht="19.5" x14ac:dyDescent="0.25">
      <c r="D38" s="5"/>
      <c r="E38" s="32" t="str">
        <f>IF(Flag_Send_Comment=1,_xll.DBSS(Contract!E38,Server&amp;Cube2,xContractCode,Contract!$C38),"")</f>
        <v/>
      </c>
      <c r="F38" s="32"/>
      <c r="G38" s="32"/>
      <c r="H38" s="32"/>
      <c r="I38" s="32"/>
    </row>
    <row r="39" spans="3:9" ht="19.5" x14ac:dyDescent="0.25">
      <c r="D39" s="5"/>
      <c r="E39" s="32" t="str">
        <f>IF(Flag_Send_Comment=1,_xll.DBSS(Contract!E39,Server&amp;Cube2,xContractCode,Contract!$C39),"")</f>
        <v/>
      </c>
      <c r="F39" s="32"/>
      <c r="G39" s="32"/>
      <c r="H39" s="32"/>
      <c r="I39" s="32"/>
    </row>
    <row r="40" spans="3:9" ht="19.5" x14ac:dyDescent="0.25">
      <c r="D40" s="5"/>
      <c r="E40" s="7"/>
      <c r="F40" s="7"/>
      <c r="G40" s="7"/>
      <c r="H40" s="7"/>
      <c r="I40" s="7"/>
    </row>
    <row r="41" spans="3:9" ht="19.5" x14ac:dyDescent="0.25">
      <c r="D41" s="5"/>
      <c r="E41" s="7"/>
      <c r="F41" s="7"/>
      <c r="G41" s="7"/>
      <c r="H41" s="7"/>
      <c r="I41" s="7"/>
    </row>
    <row r="42" spans="3:9" ht="19.5" x14ac:dyDescent="0.25">
      <c r="C42" s="6"/>
      <c r="D42" s="7"/>
      <c r="E42" s="7"/>
      <c r="F42" s="7"/>
      <c r="G42" s="7"/>
      <c r="H42" s="7"/>
      <c r="I42" s="7"/>
    </row>
    <row r="43" spans="3:9" ht="19.5" x14ac:dyDescent="0.25">
      <c r="C43" s="6"/>
      <c r="D43" s="7"/>
      <c r="E43" s="14" t="s">
        <v>17</v>
      </c>
      <c r="F43" s="15"/>
      <c r="G43" s="15"/>
      <c r="H43" s="15"/>
      <c r="I43" s="15"/>
    </row>
    <row r="44" spans="3:9" x14ac:dyDescent="0.25">
      <c r="C44" s="6"/>
    </row>
    <row r="45" spans="3:9" ht="19.5" x14ac:dyDescent="0.25">
      <c r="C45" s="6"/>
      <c r="D45" s="7"/>
      <c r="E45" s="16" t="s">
        <v>18</v>
      </c>
      <c r="F45" s="16" t="s">
        <v>19</v>
      </c>
      <c r="G45" s="16" t="s">
        <v>20</v>
      </c>
      <c r="H45" s="16" t="s">
        <v>21</v>
      </c>
      <c r="I45" s="16" t="s">
        <v>120</v>
      </c>
    </row>
    <row r="46" spans="3:9" x14ac:dyDescent="0.25">
      <c r="C46" s="6"/>
      <c r="E46" s="21" t="str">
        <f>IF(Flag_Send_Data=1,_xll.DBSW(xLegalEntityField,Server&amp;Cube1,xContractCode,"Legal_Entity"),"")</f>
        <v/>
      </c>
      <c r="F46" s="21" t="str">
        <f>IF(Flag_Send_Data=1,_xll.DBSW(xSubActivityField,Server&amp;Cube1,xContractCode,"Sub-Activity"),"")</f>
        <v/>
      </c>
      <c r="G46" s="21" t="str">
        <f>IF(Flag_Send_Data=1,_xll.DBSW(xTypeClientField,Server&amp;Cube1,xContractCode,"Type_of_client"),"")</f>
        <v/>
      </c>
      <c r="H46" s="21" t="str">
        <f>IF(Flag_Send_Data=1,_xll.DBSW(xEconomicModelField,Server&amp;Cube1,xContractCode,"Economic_model"),"")</f>
        <v/>
      </c>
      <c r="I46" s="21" t="str">
        <f>IF(Flag_Send_Data=1,_xll.DBSW(xBusinessModelField,Server&amp;Cube1,xContractCode,"Business_model"),"")</f>
        <v/>
      </c>
    </row>
    <row r="47" spans="3:9" x14ac:dyDescent="0.25">
      <c r="C47" s="6"/>
    </row>
    <row r="48" spans="3:9" x14ac:dyDescent="0.25">
      <c r="C48" s="6"/>
    </row>
  </sheetData>
  <customSheetViews>
    <customSheetView guid="{7267FFFF-8997-4978-9445-B87FCBCB5EFE}" scale="85" showGridLines="0" topLeftCell="A22">
      <selection activeCell="H46" sqref="H46"/>
      <pageMargins left="0.7" right="0.7" top="0.75" bottom="0.75" header="0.3" footer="0.3"/>
    </customSheetView>
    <customSheetView guid="{055CCB1E-587E-4E7F-9527-08A034898E1C}" scale="85" showGridLines="0" topLeftCell="A22">
      <selection activeCell="H46" sqref="H46"/>
      <pageMargins left="0.7" right="0.7" top="0.75" bottom="0.75" header="0.3" footer="0.3"/>
    </customSheetView>
  </customSheetViews>
  <mergeCells count="2">
    <mergeCell ref="F7:H8"/>
    <mergeCell ref="I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34</vt:i4>
      </vt:variant>
    </vt:vector>
  </HeadingPairs>
  <TitlesOfParts>
    <vt:vector size="38" baseType="lpstr">
      <vt:lpstr>Context</vt:lpstr>
      <vt:lpstr>LegalList</vt:lpstr>
      <vt:lpstr>Contract</vt:lpstr>
      <vt:lpstr>Contract_DBS</vt:lpstr>
      <vt:lpstr>Activity_Type_Client_Economic_Model</vt:lpstr>
      <vt:lpstr>Cube1</vt:lpstr>
      <vt:lpstr>Cube2</vt:lpstr>
      <vt:lpstr>End_date_with_opt</vt:lpstr>
      <vt:lpstr>End_date_without_opt</vt:lpstr>
      <vt:lpstr>Flag_Send_Comment</vt:lpstr>
      <vt:lpstr>Flag_Send_Data</vt:lpstr>
      <vt:lpstr>LocalLanguage</vt:lpstr>
      <vt:lpstr>Server</vt:lpstr>
      <vt:lpstr>Start_Date</vt:lpstr>
      <vt:lpstr>LegalList!TM1RPTDATARNGLegalList0</vt:lpstr>
      <vt:lpstr>LegalList!TM1RPTFMTIDCOL</vt:lpstr>
      <vt:lpstr>LegalList!TM1RPTFMTRNG</vt:lpstr>
      <vt:lpstr>xBusinessLine</vt:lpstr>
      <vt:lpstr>xBusinessModelField</vt:lpstr>
      <vt:lpstr>xContractCode</vt:lpstr>
      <vt:lpstr>xContractName</vt:lpstr>
      <vt:lpstr>xContractType</vt:lpstr>
      <vt:lpstr>xCostCenter</vt:lpstr>
      <vt:lpstr>xEconomicModelField</vt:lpstr>
      <vt:lpstr>xGrandparent</vt:lpstr>
      <vt:lpstr>xHost</vt:lpstr>
      <vt:lpstr>xLegalEntityField</vt:lpstr>
      <vt:lpstr>xLegalReference</vt:lpstr>
      <vt:lpstr>xLocalUMCode</vt:lpstr>
      <vt:lpstr>xMngtUnitStatus</vt:lpstr>
      <vt:lpstr>xParent</vt:lpstr>
      <vt:lpstr>xRegionSelected</vt:lpstr>
      <vt:lpstr>xServer</vt:lpstr>
      <vt:lpstr>xStatus</vt:lpstr>
      <vt:lpstr>xSubActivityField</vt:lpstr>
      <vt:lpstr>xTM1User</vt:lpstr>
      <vt:lpstr>xType</vt:lpstr>
      <vt:lpstr>xTypeClientField</vt:lpstr>
    </vt:vector>
  </TitlesOfParts>
  <Company>Groupe 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REDOUIN, Matthieu</dc:creator>
  <cp:lastModifiedBy>SAINT JOHN de CREVECOEUR, Rozenn</cp:lastModifiedBy>
  <dcterms:created xsi:type="dcterms:W3CDTF">2011-09-13T14:54:44Z</dcterms:created>
  <dcterms:modified xsi:type="dcterms:W3CDTF">2018-02-01T10:36:51Z</dcterms:modified>
</cp:coreProperties>
</file>