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910" yWindow="1785" windowWidth="7605" windowHeight="3930" tabRatio="852" firstSheet="1" activeTab="1"/>
  </bookViews>
  <sheets>
    <sheet name="Context" sheetId="66" state="hidden" r:id="rId1"/>
    <sheet name="Recapitulatif_frais_annexes" sheetId="67" r:id="rId2"/>
  </sheets>
  <functionGroups builtInGroupCount="17"/>
  <definedNames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MonthYTD">Context!$F$13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Recapitulatif_frais_annexes!$Q$56:$Z$63</definedName>
    <definedName name="AutoRefresh_Couts_bruts_Couts_net">#REF!</definedName>
    <definedName name="AutoRefresh_Input_PL">#REF!</definedName>
    <definedName name="AutoRefresh_Recapitulatif_frais_annexes">Recapitulatif_frais_annexes!$E$14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Recapitulatif_frais_annexes!$C:$Z,Recapitulatif_frais_annexes!$15:$56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1" localSheetId="1">Recapitulatif_frais_annexes!$60:$62</definedName>
    <definedName name="TM1RPTFMTIDCOL" localSheetId="1">Recapitulatif_frais_annexes!$A$1:$A$8</definedName>
    <definedName name="TM1RPTFMTRNG" localSheetId="1">Recapitulatif_frais_annexes!$D$1:$AF$8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Recapitulatif_frais_annexes!$C$15:$AA$99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62" i="67" l="1"/>
  <c r="A61" i="67"/>
  <c r="D36" i="67"/>
  <c r="AF19" i="67"/>
  <c r="E30" i="67"/>
  <c r="E38" i="67"/>
  <c r="E23" i="67"/>
  <c r="E39" i="67"/>
  <c r="E24" i="67"/>
  <c r="E40" i="67"/>
  <c r="E29" i="67"/>
  <c r="E41" i="67"/>
  <c r="E26" i="67"/>
  <c r="E42" i="67"/>
  <c r="E28" i="67"/>
  <c r="E43" i="67"/>
  <c r="E44" i="67"/>
  <c r="E27" i="67"/>
  <c r="E45" i="67"/>
  <c r="AF62" i="67"/>
  <c r="AE62" i="67"/>
  <c r="AD62" i="67"/>
  <c r="AC62" i="67"/>
  <c r="E13" i="67"/>
  <c r="F11" i="67"/>
  <c r="J62" i="67"/>
  <c r="K62" i="67"/>
  <c r="L62" i="67"/>
  <c r="M62" i="67"/>
  <c r="O62" i="67"/>
  <c r="G11" i="67"/>
  <c r="Q62" i="67"/>
  <c r="R62" i="67"/>
  <c r="S62" i="67"/>
  <c r="T62" i="67"/>
  <c r="V62" i="67"/>
  <c r="X62" i="67"/>
  <c r="Y62" i="67"/>
  <c r="Z62" i="67"/>
  <c r="AF61" i="67"/>
  <c r="AE61" i="67"/>
  <c r="AD61" i="67"/>
  <c r="AC61" i="67"/>
  <c r="J61" i="67"/>
  <c r="K61" i="67"/>
  <c r="L61" i="67"/>
  <c r="M61" i="67"/>
  <c r="O61" i="67"/>
  <c r="Q61" i="67"/>
  <c r="R61" i="67"/>
  <c r="S61" i="67"/>
  <c r="T61" i="67"/>
  <c r="V61" i="67"/>
  <c r="X61" i="67"/>
  <c r="Y61" i="67"/>
  <c r="Z61" i="67"/>
  <c r="B5" i="66"/>
  <c r="B13" i="66"/>
  <c r="D34" i="67"/>
  <c r="D59" i="67"/>
  <c r="C13" i="66"/>
  <c r="D13" i="66"/>
  <c r="E13" i="66"/>
  <c r="F13" i="66"/>
  <c r="V16" i="67"/>
  <c r="D16" i="67"/>
  <c r="AE73" i="67"/>
  <c r="AG73" i="67"/>
  <c r="AF74" i="67"/>
  <c r="AE79" i="67"/>
  <c r="AF75" i="67"/>
  <c r="AF76" i="67"/>
  <c r="AK79" i="67"/>
  <c r="AK80" i="67"/>
  <c r="AK81" i="67"/>
  <c r="AI78" i="67"/>
  <c r="AK82" i="67"/>
  <c r="AE88" i="67"/>
  <c r="AK91" i="67"/>
  <c r="AJ79" i="67"/>
  <c r="AJ80" i="67"/>
  <c r="AJ81" i="67"/>
  <c r="AJ82" i="67"/>
  <c r="AJ91" i="67"/>
  <c r="AI79" i="67"/>
  <c r="AI80" i="67"/>
  <c r="AI81" i="67"/>
  <c r="AI82" i="67"/>
  <c r="AI91" i="67"/>
  <c r="AH79" i="67"/>
  <c r="AH80" i="67"/>
  <c r="AH81" i="67"/>
  <c r="AH82" i="67"/>
  <c r="AH91" i="67"/>
  <c r="AG79" i="67"/>
  <c r="AG80" i="67"/>
  <c r="AG81" i="67"/>
  <c r="AG82" i="67"/>
  <c r="AG91" i="67"/>
  <c r="AK88" i="67"/>
  <c r="AJ88" i="67"/>
  <c r="AI88" i="67"/>
  <c r="AH88" i="67"/>
  <c r="AG88" i="67"/>
  <c r="AF79" i="67"/>
  <c r="AF80" i="67"/>
  <c r="AF81" i="67"/>
  <c r="AF82" i="67"/>
  <c r="AE91" i="67"/>
  <c r="AF91" i="67"/>
  <c r="AF88" i="67"/>
  <c r="AE85" i="67"/>
  <c r="AK85" i="67"/>
  <c r="AJ85" i="67"/>
  <c r="AI85" i="67"/>
  <c r="AH85" i="67"/>
  <c r="AG85" i="67"/>
  <c r="AF85" i="67"/>
  <c r="D64" i="67"/>
  <c r="R56" i="67"/>
  <c r="Q64" i="67"/>
  <c r="B17" i="66"/>
  <c r="C17" i="66"/>
  <c r="D60" i="67"/>
  <c r="T64" i="67"/>
  <c r="S64" i="67"/>
  <c r="R64" i="67"/>
  <c r="J59" i="67"/>
  <c r="K59" i="67"/>
  <c r="L59" i="67"/>
  <c r="M59" i="67"/>
  <c r="O59" i="67"/>
  <c r="Q59" i="67"/>
  <c r="R59" i="67"/>
  <c r="S59" i="67"/>
  <c r="T59" i="67"/>
  <c r="V59" i="67"/>
  <c r="X59" i="67"/>
  <c r="Y59" i="67"/>
  <c r="Z64" i="67"/>
  <c r="Y64" i="67"/>
  <c r="X64" i="67"/>
  <c r="V64" i="67"/>
  <c r="Q60" i="67"/>
  <c r="D28" i="67"/>
  <c r="D70" i="67"/>
  <c r="D69" i="67"/>
  <c r="D68" i="67"/>
  <c r="D67" i="67"/>
  <c r="AD91" i="67"/>
  <c r="AF83" i="67"/>
  <c r="AF89" i="67"/>
  <c r="AF86" i="67"/>
  <c r="AE92" i="67"/>
  <c r="AD92" i="67"/>
  <c r="AE89" i="67"/>
  <c r="AD89" i="67"/>
  <c r="AD88" i="67"/>
  <c r="AD86" i="67"/>
  <c r="AD85" i="67"/>
  <c r="AE86" i="67"/>
  <c r="AJ84" i="67"/>
  <c r="D46" i="67"/>
  <c r="E46" i="67"/>
  <c r="X56" i="67"/>
  <c r="X54" i="67"/>
  <c r="J60" i="67"/>
  <c r="K60" i="67"/>
  <c r="L60" i="67"/>
  <c r="M60" i="67"/>
  <c r="O60" i="67"/>
  <c r="AF84" i="67"/>
  <c r="AD90" i="67"/>
  <c r="AD87" i="67"/>
  <c r="AD84" i="67"/>
  <c r="AJ83" i="67"/>
  <c r="AJ92" i="67"/>
  <c r="AG83" i="67"/>
  <c r="AG92" i="67"/>
  <c r="AH83" i="67"/>
  <c r="AH92" i="67"/>
  <c r="AI83" i="67"/>
  <c r="AI92" i="67"/>
  <c r="AK83" i="67"/>
  <c r="AK92" i="67"/>
  <c r="AF92" i="67"/>
  <c r="AJ89" i="67"/>
  <c r="AG89" i="67"/>
  <c r="AH89" i="67"/>
  <c r="AI89" i="67"/>
  <c r="AK89" i="67"/>
  <c r="AG86" i="67"/>
  <c r="AH86" i="67"/>
  <c r="AI86" i="67"/>
  <c r="AJ86" i="67"/>
  <c r="AK86" i="67"/>
  <c r="AK84" i="67"/>
  <c r="AI84" i="67"/>
  <c r="AH84" i="67"/>
  <c r="AG84" i="67"/>
  <c r="R60" i="67"/>
  <c r="T60" i="67"/>
  <c r="S60" i="67"/>
  <c r="V60" i="67"/>
  <c r="X60" i="67"/>
  <c r="Y60" i="67"/>
  <c r="Z60" i="67"/>
  <c r="D66" i="67"/>
  <c r="Z59" i="67"/>
  <c r="Z56" i="67"/>
  <c r="T56" i="67"/>
  <c r="AC60" i="67"/>
  <c r="Q54" i="67"/>
  <c r="J54" i="67"/>
  <c r="S56" i="67"/>
  <c r="Q56" i="67"/>
  <c r="M56" i="67"/>
  <c r="L56" i="67"/>
  <c r="K56" i="67"/>
  <c r="J56" i="67"/>
  <c r="D25" i="67"/>
  <c r="D24" i="67"/>
  <c r="D23" i="67"/>
  <c r="D30" i="67"/>
  <c r="D29" i="67"/>
  <c r="D26" i="67"/>
  <c r="D27" i="67"/>
  <c r="D22" i="67"/>
  <c r="AE16" i="67"/>
  <c r="AD60" i="67"/>
  <c r="AE60" i="67"/>
  <c r="AF60" i="67"/>
  <c r="A60" i="67"/>
  <c r="A5" i="67"/>
  <c r="A4" i="67"/>
  <c r="A3" i="67"/>
  <c r="A2" i="67"/>
  <c r="B14" i="66"/>
  <c r="B16" i="66"/>
  <c r="B15" i="66"/>
</calcChain>
</file>

<file path=xl/sharedStrings.xml><?xml version="1.0" encoding="utf-8"?>
<sst xmlns="http://schemas.openxmlformats.org/spreadsheetml/2006/main" count="146" uniqueCount="123">
  <si>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</si>
  <si>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</si>
  <si>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</si>
  <si>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</si>
  <si>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</si>
  <si>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</si>
  <si>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</si>
  <si>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</si>
  <si>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</si>
  <si>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</si>
  <si>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</si>
  <si>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</si>
  <si>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</si>
  <si>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</si>
  <si>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</si>
  <si>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</si>
  <si>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</si>
  <si>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</si>
  <si>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</si>
  <si>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</si>
  <si>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</si>
  <si>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</si>
  <si>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</si>
  <si>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</si>
  <si>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</si>
  <si>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</si>
  <si>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</si>
  <si>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</si>
  <si>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</si>
  <si>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</si>
  <si>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</si>
  <si>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</si>
  <si>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</si>
  <si>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</si>
  <si>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</si>
  <si>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</si>
  <si>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</si>
  <si>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</si>
  <si>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</si>
  <si>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</si>
  <si>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TFR-AP019298</t>
  </si>
  <si>
    <t>Forecast Version 2</t>
  </si>
  <si>
    <t>List 1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</si>
  <si>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</si>
  <si>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</si>
  <si>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</si>
  <si>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</si>
  <si>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</si>
  <si>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</si>
  <si>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</si>
  <si>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</si>
  <si>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</si>
  <si>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</si>
  <si>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</si>
  <si>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</si>
  <si>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</si>
  <si>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</si>
  <si>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</si>
  <si>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Total</t>
  </si>
  <si>
    <t>ACT_TOT</t>
  </si>
  <si>
    <t>Eléments fixes</t>
  </si>
  <si>
    <t>RP_Comments_PL_Corp</t>
  </si>
  <si>
    <t>Integration_rate</t>
  </si>
  <si>
    <t>Month</t>
  </si>
  <si>
    <t>Previous Month</t>
  </si>
  <si>
    <t>YTD</t>
  </si>
  <si>
    <t>Actual_N_1</t>
  </si>
  <si>
    <t>Variances</t>
  </si>
  <si>
    <t>Variance</t>
  </si>
  <si>
    <t>Tot_tiers</t>
  </si>
  <si>
    <t>VTD</t>
  </si>
  <si>
    <t>Trend arrows</t>
  </si>
  <si>
    <t>ì</t>
  </si>
  <si>
    <t>î</t>
  </si>
  <si>
    <t>è</t>
  </si>
  <si>
    <t>YearToDate</t>
  </si>
  <si>
    <t>Ytd</t>
  </si>
  <si>
    <t>Management_Organization_Corp</t>
  </si>
  <si>
    <t>Notes de Frais</t>
  </si>
  <si>
    <t>Déplacements</t>
  </si>
  <si>
    <t>Téléphonie mobile</t>
  </si>
  <si>
    <t>Cout véhicules de fonction</t>
  </si>
  <si>
    <t>Actual</t>
  </si>
  <si>
    <t>output</t>
  </si>
  <si>
    <t>Recapitulatif_des_frais_annexes_personnel</t>
  </si>
  <si>
    <t>Notes_frais</t>
  </si>
  <si>
    <t>Depl</t>
  </si>
  <si>
    <t>Cout_vehic_fonct</t>
  </si>
  <si>
    <t>tel_mob</t>
  </si>
  <si>
    <t>Periode</t>
  </si>
  <si>
    <t>2nd particule</t>
  </si>
  <si>
    <t>Mois 1 à 6</t>
  </si>
  <si>
    <t>Mois 7 à 12</t>
  </si>
  <si>
    <t>Mois 4 à 9</t>
  </si>
  <si>
    <t>Year</t>
  </si>
  <si>
    <t>Notes_frais_Direction</t>
  </si>
  <si>
    <t>Depl_Direction</t>
  </si>
  <si>
    <t>tel_mob_Direction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</si>
  <si>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</si>
  <si>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</si>
  <si>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</si>
  <si>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</si>
  <si>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</si>
  <si>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</si>
  <si>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</si>
  <si>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</si>
  <si>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</si>
  <si>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</si>
  <si>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</si>
  <si>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</si>
  <si>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ACTUAL</t>
  </si>
  <si>
    <t>ACTUAL N-1</t>
  </si>
  <si>
    <t>AutoRefresh_Recapitulatif_frais_annexes</t>
  </si>
  <si>
    <t>Phase comments</t>
  </si>
  <si>
    <t>ACT</t>
  </si>
  <si>
    <t>Prior Period</t>
  </si>
  <si>
    <t>Indicator_Corp for comments</t>
  </si>
  <si>
    <t>Chges_ope</t>
  </si>
  <si>
    <t>Recapitulatif_frais_annexes :</t>
  </si>
  <si>
    <t>NA</t>
  </si>
  <si>
    <t>tango_core_model:</t>
  </si>
  <si>
    <t>Directions Métiers</t>
  </si>
  <si>
    <t>Holding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</si>
</sst>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00"/>
    <numFmt numFmtId="173" formatCode="#,##0.0;&quot;(&quot;#,##0.0&quot;)&quot;"/>
    <numFmt numFmtId="174" formatCode="#,##0;&quot;(&quot;#,##0&quot;)&quot;"/>
  </numFmts>
  <fonts count="8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1"/>
      <color rgb="FF0070C0"/>
      <name val="Calibri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8"/>
      <name val="Wingdings"/>
      <charset val="2"/>
    </font>
    <font>
      <b/>
      <sz val="18"/>
      <color indexed="57"/>
      <name val="Wingdings"/>
      <charset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1"/>
      <color rgb="FF0070C0"/>
      <name val="Arial"/>
      <family val="2"/>
    </font>
    <font>
      <sz val="15"/>
      <name val="Arial"/>
      <family val="2"/>
    </font>
    <font>
      <sz val="18"/>
      <name val="Arial"/>
      <family val="2"/>
    </font>
    <font>
      <b/>
      <sz val="10"/>
      <color rgb="FFFF0000"/>
      <name val="Arial"/>
      <family val="2"/>
    </font>
    <font>
      <b/>
      <sz val="18"/>
      <name val="Calibri"/>
      <family val="2"/>
    </font>
    <font>
      <sz val="18"/>
      <name val="Calibri"/>
      <family val="2"/>
    </font>
    <font>
      <b/>
      <sz val="16"/>
      <name val="Calibri"/>
      <family val="2"/>
    </font>
    <font>
      <sz val="16"/>
      <name val="Calibri"/>
      <family val="2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5"/>
      <name val="Calibri"/>
      <family val="2"/>
      <scheme val="minor"/>
    </font>
    <font>
      <b/>
      <sz val="16"/>
      <color indexed="57"/>
      <name val="Wingdings"/>
      <charset val="2"/>
    </font>
    <font>
      <b/>
      <sz val="15"/>
      <name val="Calibri"/>
      <family val="2"/>
      <scheme val="minor"/>
    </font>
    <font>
      <b/>
      <sz val="15"/>
      <color indexed="57"/>
      <name val="Wingdings"/>
      <charset val="2"/>
    </font>
    <font>
      <b/>
      <sz val="16"/>
      <color indexed="9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rgb="FF7E408F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8"/>
      </patternFill>
    </fill>
    <fill>
      <patternFill patternType="solid">
        <fgColor rgb="FFD0C2A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F707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FF0000"/>
        <bgColor auto="1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</borders>
  <cellStyleXfs count="288">
    <xf numFmtId="0" fontId="0" fillId="0" borderId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10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3" fillId="3" borderId="0" applyNumberFormat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166" fontId="24" fillId="22" borderId="0" applyNumberFormat="0" applyBorder="0">
      <alignment horizontal="right"/>
      <protection locked="0"/>
    </xf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167" fontId="25" fillId="23" borderId="0" applyNumberFormat="0" applyBorder="0">
      <alignment horizontal="right" vertical="center"/>
      <protection locked="0"/>
    </xf>
    <xf numFmtId="168" fontId="2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6" fillId="25" borderId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6" fillId="25" borderId="0"/>
    <xf numFmtId="0" fontId="26" fillId="25" borderId="0"/>
    <xf numFmtId="169" fontId="28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26" fillId="25" borderId="0"/>
    <xf numFmtId="0" fontId="29" fillId="7" borderId="10" applyNumberFormat="0" applyAlignment="0" applyProtection="0"/>
    <xf numFmtId="0" fontId="29" fillId="7" borderId="10" applyNumberFormat="0" applyAlignment="0" applyProtection="0"/>
    <xf numFmtId="0" fontId="29" fillId="7" borderId="10" applyNumberFormat="0" applyAlignment="0" applyProtection="0"/>
    <xf numFmtId="0" fontId="2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8" fillId="12" borderId="0" applyNumberFormat="0" applyBorder="0" applyAlignment="0" applyProtection="0"/>
    <xf numFmtId="0" fontId="29" fillId="27" borderId="10" applyNumberFormat="0" applyAlignment="0" applyProtection="0"/>
    <xf numFmtId="0" fontId="1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2" fillId="28" borderId="0" applyNumberFormat="0" applyBorder="0">
      <alignment horizontal="left" vertical="center"/>
      <protection locked="0"/>
    </xf>
    <xf numFmtId="170" fontId="33" fillId="22" borderId="0" applyNumberFormat="0" applyBorder="0">
      <alignment horizontal="left"/>
      <protection locked="0"/>
    </xf>
    <xf numFmtId="0" fontId="34" fillId="0" borderId="6" applyNumberFormat="0" applyFill="0" applyAlignment="0" applyProtection="0"/>
    <xf numFmtId="0" fontId="35" fillId="0" borderId="11" applyNumberFormat="0" applyFill="0" applyAlignment="0" applyProtection="0"/>
    <xf numFmtId="0" fontId="36" fillId="0" borderId="12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8" fillId="20" borderId="3" applyNumberFormat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84">
    <xf numFmtId="0" fontId="0" fillId="0" borderId="0" xfId="0"/>
    <xf numFmtId="0" fontId="58" fillId="51" borderId="0" xfId="0" applyFont="1" applyFill="1" applyAlignment="1" applyProtection="1">
      <alignment horizontal="center" vertical="center"/>
    </xf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4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5" fillId="30" borderId="14" xfId="0" applyFont="1" applyFill="1" applyBorder="1" applyAlignment="1" applyProtection="1">
      <alignment horizontal="left"/>
      <protection locked="0"/>
    </xf>
    <xf numFmtId="0" fontId="43" fillId="30" borderId="15" xfId="0" applyFont="1" applyFill="1" applyBorder="1" applyProtection="1">
      <protection locked="0"/>
    </xf>
    <xf numFmtId="0" fontId="42" fillId="31" borderId="16" xfId="0" applyFont="1" applyFill="1" applyBorder="1" applyProtection="1">
      <protection locked="0"/>
    </xf>
    <xf numFmtId="0" fontId="42" fillId="0" borderId="16" xfId="0" applyFont="1" applyBorder="1" applyProtection="1">
      <protection locked="0"/>
    </xf>
    <xf numFmtId="0" fontId="42" fillId="0" borderId="16" xfId="0" applyNumberFormat="1" applyFont="1" applyBorder="1" applyProtection="1">
      <protection locked="0"/>
    </xf>
    <xf numFmtId="0" fontId="0" fillId="0" borderId="0" xfId="0" applyBorder="1" applyProtection="1"/>
    <xf numFmtId="0" fontId="4" fillId="0" borderId="0" xfId="0" applyFont="1" applyFill="1" applyAlignment="1" applyProtection="1">
      <alignment horizontal="left" indent="1"/>
    </xf>
    <xf numFmtId="0" fontId="6" fillId="32" borderId="0" xfId="0" applyFont="1" applyFill="1" applyBorder="1" applyAlignment="1" applyProtection="1">
      <alignment horizontal="left" vertical="center"/>
    </xf>
    <xf numFmtId="0" fontId="5" fillId="29" borderId="17" xfId="0" applyFont="1" applyFill="1" applyBorder="1" applyAlignment="1" applyProtection="1">
      <alignment horizontal="left" vertical="center"/>
    </xf>
    <xf numFmtId="0" fontId="46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2" fillId="0" borderId="18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2" fillId="0" borderId="21" xfId="0" applyFont="1" applyBorder="1" applyProtection="1"/>
    <xf numFmtId="0" fontId="3" fillId="36" borderId="21" xfId="205" applyFont="1" applyFill="1" applyBorder="1" applyAlignment="1" applyProtection="1">
      <alignment horizontal="center" vertical="center"/>
    </xf>
    <xf numFmtId="0" fontId="0" fillId="0" borderId="24" xfId="0" applyBorder="1" applyProtection="1"/>
    <xf numFmtId="0" fontId="0" fillId="0" borderId="23" xfId="0" applyBorder="1" applyProtection="1"/>
    <xf numFmtId="0" fontId="46" fillId="0" borderId="24" xfId="0" applyFont="1" applyBorder="1" applyAlignment="1" applyProtection="1">
      <alignment horizontal="center"/>
    </xf>
    <xf numFmtId="0" fontId="0" fillId="35" borderId="0" xfId="0" applyFill="1" applyBorder="1" applyProtection="1"/>
    <xf numFmtId="0" fontId="41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41" fillId="35" borderId="0" xfId="0" applyFont="1" applyFill="1" applyBorder="1" applyAlignment="1" applyProtection="1">
      <alignment horizontal="right"/>
    </xf>
    <xf numFmtId="0" fontId="2" fillId="35" borderId="0" xfId="0" applyFont="1" applyFill="1" applyBorder="1" applyProtection="1"/>
    <xf numFmtId="0" fontId="0" fillId="36" borderId="4" xfId="0" applyFill="1" applyBorder="1" applyProtection="1">
      <protection locked="0"/>
    </xf>
    <xf numFmtId="0" fontId="47" fillId="0" borderId="0" xfId="0" applyFont="1" applyAlignment="1" applyProtection="1">
      <alignment horizontal="right"/>
    </xf>
    <xf numFmtId="0" fontId="47" fillId="0" borderId="24" xfId="0" applyFont="1" applyBorder="1" applyAlignment="1" applyProtection="1">
      <alignment horizontal="center"/>
    </xf>
    <xf numFmtId="0" fontId="2" fillId="0" borderId="24" xfId="0" applyFont="1" applyBorder="1" applyProtection="1"/>
    <xf numFmtId="0" fontId="49" fillId="38" borderId="0" xfId="0" applyFont="1" applyFill="1" applyBorder="1" applyProtection="1"/>
    <xf numFmtId="0" fontId="49" fillId="30" borderId="25" xfId="0" applyFont="1" applyFill="1" applyBorder="1" applyProtection="1"/>
    <xf numFmtId="0" fontId="10" fillId="35" borderId="0" xfId="0" applyFont="1" applyFill="1" applyAlignment="1" applyProtection="1">
      <alignment horizontal="right" vertical="center"/>
    </xf>
    <xf numFmtId="0" fontId="50" fillId="0" borderId="0" xfId="205" applyFont="1" applyFill="1" applyBorder="1" applyAlignment="1" applyProtection="1">
      <alignment vertical="center"/>
    </xf>
    <xf numFmtId="0" fontId="51" fillId="0" borderId="0" xfId="0" applyFont="1"/>
    <xf numFmtId="0" fontId="0" fillId="0" borderId="0" xfId="0" applyFill="1" applyBorder="1" applyProtection="1"/>
    <xf numFmtId="0" fontId="41" fillId="0" borderId="0" xfId="0" applyFont="1" applyFill="1" applyBorder="1" applyProtection="1"/>
    <xf numFmtId="0" fontId="0" fillId="0" borderId="0" xfId="0" applyFill="1"/>
    <xf numFmtId="0" fontId="52" fillId="0" borderId="0" xfId="0" applyFont="1"/>
    <xf numFmtId="0" fontId="3" fillId="0" borderId="0" xfId="222" applyFont="1" applyProtection="1"/>
    <xf numFmtId="0" fontId="55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55" fillId="0" borderId="0" xfId="205" applyFont="1" applyFill="1" applyBorder="1" applyAlignment="1" applyProtection="1">
      <alignment horizontal="right" vertical="center" indent="1"/>
    </xf>
    <xf numFmtId="0" fontId="56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7" fillId="32" borderId="28" xfId="0" applyFont="1" applyFill="1" applyBorder="1" applyAlignment="1" applyProtection="1">
      <alignment horizontal="center" vertical="center" wrapText="1"/>
    </xf>
    <xf numFmtId="0" fontId="0" fillId="0" borderId="23" xfId="0" applyFill="1" applyBorder="1" applyProtection="1"/>
    <xf numFmtId="0" fontId="1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7" fillId="32" borderId="36" xfId="0" applyFont="1" applyFill="1" applyBorder="1" applyAlignment="1" applyProtection="1">
      <alignment horizontal="center" vertical="center" wrapText="1"/>
    </xf>
    <xf numFmtId="0" fontId="7" fillId="32" borderId="37" xfId="0" applyFont="1" applyFill="1" applyBorder="1" applyAlignment="1" applyProtection="1">
      <alignment horizontal="center" vertical="center" wrapText="1"/>
    </xf>
    <xf numFmtId="0" fontId="59" fillId="0" borderId="24" xfId="0" applyFont="1" applyBorder="1" applyAlignment="1" applyProtection="1">
      <alignment horizontal="center"/>
    </xf>
    <xf numFmtId="0" fontId="4" fillId="29" borderId="0" xfId="205" applyFont="1" applyFill="1" applyBorder="1" applyAlignment="1" applyProtection="1">
      <alignment horizontal="left" vertical="center"/>
    </xf>
    <xf numFmtId="0" fontId="4" fillId="29" borderId="0" xfId="205" applyFont="1" applyFill="1" applyBorder="1" applyAlignment="1" applyProtection="1">
      <alignment vertical="center"/>
    </xf>
    <xf numFmtId="0" fontId="4" fillId="39" borderId="0" xfId="205" applyFont="1" applyFill="1" applyBorder="1" applyAlignment="1" applyProtection="1">
      <alignment vertical="center"/>
    </xf>
    <xf numFmtId="0" fontId="4" fillId="39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47" fillId="0" borderId="0" xfId="0" applyFont="1" applyAlignment="1" applyProtection="1">
      <alignment horizontal="left" vertical="center"/>
    </xf>
    <xf numFmtId="0" fontId="61" fillId="0" borderId="0" xfId="205" applyFont="1" applyFill="1" applyBorder="1" applyAlignment="1" applyProtection="1">
      <alignment horizontal="center" vertical="center"/>
    </xf>
    <xf numFmtId="0" fontId="62" fillId="0" borderId="0" xfId="205" applyFont="1" applyFill="1" applyBorder="1" applyAlignment="1" applyProtection="1">
      <alignment horizontal="right" vertical="center"/>
    </xf>
    <xf numFmtId="0" fontId="62" fillId="0" borderId="0" xfId="205" applyFont="1" applyFill="1" applyBorder="1" applyAlignment="1" applyProtection="1">
      <alignment vertical="center"/>
    </xf>
    <xf numFmtId="0" fontId="63" fillId="0" borderId="0" xfId="205" applyFont="1" applyFill="1" applyBorder="1" applyAlignment="1" applyProtection="1">
      <alignment vertical="center"/>
    </xf>
    <xf numFmtId="3" fontId="64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65" fillId="0" borderId="0" xfId="205" applyNumberFormat="1" applyFont="1" applyFill="1" applyBorder="1" applyAlignment="1" applyProtection="1">
      <alignment vertical="center"/>
    </xf>
    <xf numFmtId="0" fontId="43" fillId="40" borderId="0" xfId="0" applyFont="1" applyFill="1" applyAlignment="1">
      <alignment horizontal="center"/>
    </xf>
    <xf numFmtId="0" fontId="48" fillId="0" borderId="0" xfId="0" applyNumberFormat="1" applyFont="1"/>
    <xf numFmtId="0" fontId="2" fillId="0" borderId="21" xfId="0" applyFont="1" applyBorder="1"/>
    <xf numFmtId="0" fontId="0" fillId="0" borderId="22" xfId="0" applyBorder="1"/>
    <xf numFmtId="0" fontId="10" fillId="0" borderId="0" xfId="0" applyFont="1" applyFill="1" applyAlignment="1" applyProtection="1">
      <alignment horizontal="right" vertical="center"/>
    </xf>
    <xf numFmtId="0" fontId="52" fillId="0" borderId="0" xfId="0" applyFont="1" applyFill="1"/>
    <xf numFmtId="0" fontId="51" fillId="0" borderId="0" xfId="0" applyFont="1" applyFill="1"/>
    <xf numFmtId="0" fontId="6" fillId="0" borderId="0" xfId="0" applyFont="1" applyFill="1" applyBorder="1" applyAlignment="1">
      <alignment vertical="center"/>
    </xf>
    <xf numFmtId="0" fontId="58" fillId="0" borderId="0" xfId="0" applyFont="1" applyFill="1" applyAlignment="1" applyProtection="1">
      <alignment horizontal="center" vertical="center"/>
    </xf>
    <xf numFmtId="0" fontId="54" fillId="0" borderId="0" xfId="0" applyFont="1" applyProtection="1"/>
    <xf numFmtId="1" fontId="0" fillId="0" borderId="0" xfId="0" applyNumberFormat="1" applyProtection="1"/>
    <xf numFmtId="0" fontId="3" fillId="0" borderId="0" xfId="205" applyFont="1" applyFill="1" applyBorder="1" applyAlignment="1" applyProtection="1">
      <alignment horizontal="center" vertical="center"/>
    </xf>
    <xf numFmtId="0" fontId="66" fillId="0" borderId="0" xfId="0" applyFont="1" applyProtection="1"/>
    <xf numFmtId="0" fontId="60" fillId="0" borderId="0" xfId="196" applyFont="1" applyFill="1" applyBorder="1" applyAlignment="1">
      <alignment horizontal="center" vertical="center"/>
    </xf>
    <xf numFmtId="0" fontId="59" fillId="0" borderId="0" xfId="0" applyFont="1" applyFill="1" applyBorder="1" applyAlignment="1" applyProtection="1">
      <alignment horizontal="center"/>
    </xf>
    <xf numFmtId="0" fontId="0" fillId="0" borderId="21" xfId="0" applyBorder="1" applyProtection="1"/>
    <xf numFmtId="0" fontId="65" fillId="0" borderId="23" xfId="205" applyFont="1" applyFill="1" applyBorder="1" applyAlignment="1" applyProtection="1">
      <alignment vertical="center"/>
    </xf>
    <xf numFmtId="0" fontId="65" fillId="0" borderId="22" xfId="205" applyFont="1" applyFill="1" applyBorder="1" applyAlignment="1" applyProtection="1">
      <alignment vertical="center"/>
    </xf>
    <xf numFmtId="0" fontId="2" fillId="0" borderId="21" xfId="0" applyFont="1" applyFill="1" applyBorder="1"/>
    <xf numFmtId="0" fontId="2" fillId="0" borderId="23" xfId="0" applyFont="1" applyFill="1" applyBorder="1"/>
    <xf numFmtId="0" fontId="0" fillId="0" borderId="23" xfId="0" applyBorder="1"/>
    <xf numFmtId="0" fontId="2" fillId="42" borderId="0" xfId="0" applyFont="1" applyFill="1" applyProtection="1"/>
    <xf numFmtId="0" fontId="6" fillId="43" borderId="0" xfId="0" applyFont="1" applyFill="1" applyBorder="1" applyAlignment="1">
      <alignment vertical="center"/>
    </xf>
    <xf numFmtId="0" fontId="0" fillId="43" borderId="0" xfId="0" applyFill="1"/>
    <xf numFmtId="173" fontId="39" fillId="0" borderId="0" xfId="0" applyNumberFormat="1" applyFont="1" applyFill="1" applyBorder="1" applyAlignment="1">
      <alignment horizontal="right" vertical="center" indent="1"/>
    </xf>
    <xf numFmtId="0" fontId="6" fillId="32" borderId="0" xfId="0" applyFont="1" applyFill="1" applyBorder="1" applyAlignment="1" applyProtection="1">
      <alignment horizontal="center" vertical="center" wrapText="1"/>
    </xf>
    <xf numFmtId="0" fontId="68" fillId="0" borderId="0" xfId="0" applyFont="1"/>
    <xf numFmtId="173" fontId="6" fillId="32" borderId="0" xfId="0" applyNumberFormat="1" applyFont="1" applyFill="1" applyBorder="1" applyAlignment="1" applyProtection="1">
      <alignment horizontal="right" vertical="center" wrapText="1" indent="1"/>
    </xf>
    <xf numFmtId="0" fontId="68" fillId="0" borderId="0" xfId="0" applyFont="1" applyFill="1"/>
    <xf numFmtId="173" fontId="67" fillId="0" borderId="0" xfId="0" applyNumberFormat="1" applyFont="1" applyFill="1" applyAlignment="1">
      <alignment horizontal="right" vertical="center" indent="1"/>
    </xf>
    <xf numFmtId="0" fontId="46" fillId="35" borderId="0" xfId="0" applyFont="1" applyFill="1" applyBorder="1" applyProtection="1"/>
    <xf numFmtId="0" fontId="0" fillId="35" borderId="41" xfId="0" applyFill="1" applyBorder="1" applyProtection="1"/>
    <xf numFmtId="0" fontId="47" fillId="35" borderId="0" xfId="0" applyFont="1" applyFill="1" applyBorder="1" applyProtection="1"/>
    <xf numFmtId="0" fontId="10" fillId="35" borderId="41" xfId="0" applyFont="1" applyFill="1" applyBorder="1" applyProtection="1"/>
    <xf numFmtId="0" fontId="0" fillId="35" borderId="0" xfId="0" applyFill="1" applyBorder="1"/>
    <xf numFmtId="0" fontId="0" fillId="35" borderId="41" xfId="0" applyFill="1" applyBorder="1"/>
    <xf numFmtId="0" fontId="0" fillId="35" borderId="0" xfId="0" applyFill="1"/>
    <xf numFmtId="0" fontId="0" fillId="35" borderId="42" xfId="0" applyFill="1" applyBorder="1"/>
    <xf numFmtId="0" fontId="0" fillId="35" borderId="42" xfId="0" applyFill="1" applyBorder="1" applyProtection="1"/>
    <xf numFmtId="0" fontId="10" fillId="44" borderId="42" xfId="0" applyFont="1" applyFill="1" applyBorder="1" applyAlignment="1" applyProtection="1">
      <alignment horizontal="left" vertical="center"/>
    </xf>
    <xf numFmtId="0" fontId="46" fillId="35" borderId="0" xfId="0" applyFont="1" applyFill="1"/>
    <xf numFmtId="0" fontId="47" fillId="35" borderId="0" xfId="0" applyFont="1" applyFill="1" applyAlignment="1">
      <alignment horizontal="right"/>
    </xf>
    <xf numFmtId="0" fontId="69" fillId="35" borderId="0" xfId="0" applyFont="1" applyFill="1" applyBorder="1"/>
    <xf numFmtId="174" fontId="6" fillId="32" borderId="0" xfId="0" applyNumberFormat="1" applyFont="1" applyFill="1" applyBorder="1" applyAlignment="1" applyProtection="1">
      <alignment horizontal="right" vertical="center" wrapText="1" indent="1"/>
    </xf>
    <xf numFmtId="174" fontId="68" fillId="0" borderId="0" xfId="0" applyNumberFormat="1" applyFont="1" applyFill="1"/>
    <xf numFmtId="174" fontId="39" fillId="0" borderId="0" xfId="0" applyNumberFormat="1" applyFont="1" applyFill="1" applyBorder="1" applyAlignment="1">
      <alignment horizontal="right" vertical="center" indent="1"/>
    </xf>
    <xf numFmtId="174" fontId="0" fillId="0" borderId="0" xfId="0" applyNumberFormat="1"/>
    <xf numFmtId="174" fontId="0" fillId="0" borderId="0" xfId="0" applyNumberFormat="1" applyFill="1"/>
    <xf numFmtId="9" fontId="0" fillId="0" borderId="0" xfId="0" applyNumberFormat="1"/>
    <xf numFmtId="173" fontId="70" fillId="45" borderId="0" xfId="0" applyNumberFormat="1" applyFont="1" applyFill="1" applyBorder="1" applyAlignment="1">
      <alignment horizontal="left" vertical="center" indent="1"/>
    </xf>
    <xf numFmtId="173" fontId="73" fillId="48" borderId="0" xfId="0" applyNumberFormat="1" applyFont="1" applyFill="1" applyAlignment="1">
      <alignment horizontal="left" vertical="center" indent="1"/>
    </xf>
    <xf numFmtId="173" fontId="39" fillId="49" borderId="0" xfId="0" applyNumberFormat="1" applyFont="1" applyFill="1" applyAlignment="1">
      <alignment horizontal="left" vertical="center" indent="1"/>
    </xf>
    <xf numFmtId="174" fontId="74" fillId="45" borderId="0" xfId="0" applyNumberFormat="1" applyFont="1" applyFill="1" applyBorder="1" applyAlignment="1">
      <alignment horizontal="right" vertical="center" indent="1"/>
    </xf>
    <xf numFmtId="174" fontId="77" fillId="48" borderId="0" xfId="0" applyNumberFormat="1" applyFont="1" applyFill="1" applyAlignment="1">
      <alignment horizontal="right" vertical="center" indent="1"/>
    </xf>
    <xf numFmtId="174" fontId="78" fillId="0" borderId="0" xfId="0" applyNumberFormat="1" applyFont="1" applyFill="1" applyAlignment="1">
      <alignment horizontal="right" vertical="center" indent="1"/>
    </xf>
    <xf numFmtId="9" fontId="78" fillId="0" borderId="0" xfId="0" applyNumberFormat="1" applyFont="1" applyFill="1" applyAlignment="1">
      <alignment horizontal="right" vertical="center" indent="1"/>
    </xf>
    <xf numFmtId="174" fontId="39" fillId="0" borderId="0" xfId="0" applyNumberFormat="1" applyFont="1" applyFill="1" applyAlignment="1">
      <alignment horizontal="right" vertical="center" indent="1"/>
    </xf>
    <xf numFmtId="9" fontId="39" fillId="0" borderId="0" xfId="0" applyNumberFormat="1" applyFont="1" applyFill="1" applyAlignment="1">
      <alignment horizontal="right" vertical="center" indent="1"/>
    </xf>
    <xf numFmtId="0" fontId="39" fillId="0" borderId="0" xfId="0" applyNumberFormat="1" applyFont="1" applyFill="1" applyAlignment="1">
      <alignment horizontal="left" vertical="center"/>
    </xf>
    <xf numFmtId="173" fontId="67" fillId="0" borderId="0" xfId="0" applyNumberFormat="1" applyFont="1" applyFill="1" applyAlignment="1">
      <alignment horizontal="left" vertical="center" indent="1"/>
    </xf>
    <xf numFmtId="173" fontId="71" fillId="46" borderId="0" xfId="0" applyNumberFormat="1" applyFont="1" applyFill="1" applyBorder="1" applyAlignment="1">
      <alignment horizontal="left" vertical="center" indent="1"/>
    </xf>
    <xf numFmtId="174" fontId="75" fillId="46" borderId="0" xfId="0" applyNumberFormat="1" applyFont="1" applyFill="1" applyBorder="1" applyAlignment="1">
      <alignment horizontal="right" vertical="center" indent="1"/>
    </xf>
    <xf numFmtId="173" fontId="72" fillId="47" borderId="44" xfId="0" applyNumberFormat="1" applyFont="1" applyFill="1" applyBorder="1" applyAlignment="1">
      <alignment horizontal="left" vertical="center" indent="1"/>
    </xf>
    <xf numFmtId="174" fontId="76" fillId="47" borderId="44" xfId="0" applyNumberFormat="1" applyFont="1" applyFill="1" applyBorder="1" applyAlignment="1">
      <alignment horizontal="right" vertical="center" indent="1"/>
    </xf>
    <xf numFmtId="0" fontId="79" fillId="0" borderId="0" xfId="196" applyFont="1" applyFill="1" applyBorder="1" applyAlignment="1">
      <alignment horizontal="center" vertical="center"/>
    </xf>
    <xf numFmtId="0" fontId="7" fillId="32" borderId="27" xfId="0" applyFont="1" applyFill="1" applyBorder="1" applyAlignment="1" applyProtection="1">
      <alignment horizontal="center" vertical="center" wrapText="1"/>
    </xf>
    <xf numFmtId="0" fontId="6" fillId="32" borderId="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174" fontId="76" fillId="45" borderId="43" xfId="0" applyNumberFormat="1" applyFont="1" applyFill="1" applyBorder="1" applyAlignment="1">
      <alignment horizontal="right" vertical="center" indent="1"/>
    </xf>
    <xf numFmtId="9" fontId="76" fillId="45" borderId="43" xfId="0" applyNumberFormat="1" applyFont="1" applyFill="1" applyBorder="1" applyAlignment="1">
      <alignment horizontal="right" vertical="center" indent="1"/>
    </xf>
    <xf numFmtId="174" fontId="77" fillId="46" borderId="0" xfId="0" applyNumberFormat="1" applyFont="1" applyFill="1" applyBorder="1" applyAlignment="1">
      <alignment horizontal="right" vertical="center" indent="1"/>
    </xf>
    <xf numFmtId="9" fontId="77" fillId="46" borderId="0" xfId="0" applyNumberFormat="1" applyFont="1" applyFill="1" applyBorder="1" applyAlignment="1">
      <alignment horizontal="right" vertical="center" indent="1"/>
    </xf>
    <xf numFmtId="174" fontId="80" fillId="47" borderId="44" xfId="0" applyNumberFormat="1" applyFont="1" applyFill="1" applyBorder="1" applyAlignment="1">
      <alignment horizontal="right" vertical="center" indent="1"/>
    </xf>
    <xf numFmtId="9" fontId="80" fillId="47" borderId="44" xfId="0" applyNumberFormat="1" applyFont="1" applyFill="1" applyBorder="1" applyAlignment="1">
      <alignment horizontal="right" vertical="center" indent="1"/>
    </xf>
    <xf numFmtId="0" fontId="81" fillId="47" borderId="44" xfId="196" applyFont="1" applyFill="1" applyBorder="1" applyAlignment="1">
      <alignment horizontal="center" vertical="center"/>
    </xf>
    <xf numFmtId="174" fontId="78" fillId="48" borderId="0" xfId="0" applyNumberFormat="1" applyFont="1" applyFill="1" applyAlignment="1">
      <alignment horizontal="right" vertical="center" indent="1"/>
    </xf>
    <xf numFmtId="9" fontId="78" fillId="48" borderId="0" xfId="0" applyNumberFormat="1" applyFont="1" applyFill="1" applyAlignment="1">
      <alignment horizontal="right" vertical="center" indent="1"/>
    </xf>
    <xf numFmtId="0" fontId="81" fillId="48" borderId="0" xfId="196" applyFont="1" applyFill="1" applyBorder="1" applyAlignment="1">
      <alignment horizontal="center" vertical="center"/>
    </xf>
    <xf numFmtId="0" fontId="81" fillId="0" borderId="0" xfId="196" applyFont="1" applyFill="1" applyBorder="1" applyAlignment="1">
      <alignment horizontal="center" vertical="center"/>
    </xf>
    <xf numFmtId="0" fontId="81" fillId="45" borderId="43" xfId="196" applyFont="1" applyFill="1" applyBorder="1" applyAlignment="1">
      <alignment horizontal="center" vertical="center"/>
    </xf>
    <xf numFmtId="0" fontId="81" fillId="46" borderId="0" xfId="196" applyFont="1" applyFill="1" applyBorder="1" applyAlignment="1">
      <alignment horizontal="center" vertical="center"/>
    </xf>
    <xf numFmtId="0" fontId="79" fillId="50" borderId="0" xfId="196" applyFont="1" applyFill="1" applyBorder="1" applyAlignment="1">
      <alignment horizontal="center" vertical="center"/>
    </xf>
    <xf numFmtId="174" fontId="82" fillId="32" borderId="0" xfId="0" applyNumberFormat="1" applyFont="1" applyFill="1" applyBorder="1" applyAlignment="1" applyProtection="1">
      <alignment horizontal="right" vertical="center" wrapText="1" indent="1"/>
    </xf>
    <xf numFmtId="9" fontId="82" fillId="32" borderId="0" xfId="0" applyNumberFormat="1" applyFont="1" applyFill="1" applyBorder="1" applyAlignment="1" applyProtection="1">
      <alignment horizontal="right" vertical="center" wrapText="1" indent="1"/>
    </xf>
    <xf numFmtId="0" fontId="43" fillId="30" borderId="14" xfId="0" applyFont="1" applyFill="1" applyBorder="1" applyAlignment="1" applyProtection="1">
      <alignment horizontal="left" vertical="center"/>
      <protection locked="0"/>
    </xf>
    <xf numFmtId="0" fontId="54" fillId="0" borderId="38" xfId="0" applyFont="1" applyBorder="1" applyAlignment="1" applyProtection="1">
      <alignment horizontal="center"/>
    </xf>
    <xf numFmtId="0" fontId="54" fillId="0" borderId="39" xfId="0" applyFont="1" applyBorder="1" applyAlignment="1" applyProtection="1">
      <alignment horizontal="center"/>
    </xf>
    <xf numFmtId="0" fontId="54" fillId="0" borderId="40" xfId="0" applyFont="1" applyBorder="1" applyAlignment="1" applyProtection="1">
      <alignment horizontal="center"/>
    </xf>
    <xf numFmtId="0" fontId="38" fillId="52" borderId="0" xfId="0" applyFont="1" applyFill="1" applyBorder="1" applyAlignment="1" applyProtection="1">
      <alignment horizontal="center" vertical="center" wrapText="1"/>
    </xf>
    <xf numFmtId="0" fontId="38" fillId="52" borderId="26" xfId="0" applyFont="1" applyFill="1" applyBorder="1" applyAlignment="1" applyProtection="1">
      <alignment horizontal="center" vertical="center" wrapText="1"/>
    </xf>
    <xf numFmtId="0" fontId="57" fillId="31" borderId="30" xfId="205" applyFont="1" applyFill="1" applyBorder="1" applyAlignment="1" applyProtection="1">
      <alignment horizontal="left" vertical="center"/>
      <protection locked="0"/>
    </xf>
    <xf numFmtId="0" fontId="57" fillId="31" borderId="31" xfId="205" applyFont="1" applyFill="1" applyBorder="1" applyAlignment="1" applyProtection="1">
      <alignment horizontal="left" vertical="center"/>
      <protection locked="0"/>
    </xf>
    <xf numFmtId="0" fontId="57" fillId="31" borderId="32" xfId="205" applyFont="1" applyFill="1" applyBorder="1" applyAlignment="1" applyProtection="1">
      <alignment horizontal="left" vertical="center"/>
      <protection locked="0"/>
    </xf>
    <xf numFmtId="0" fontId="57" fillId="31" borderId="19" xfId="205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58" fillId="51" borderId="0" xfId="0" applyFont="1" applyFill="1" applyAlignment="1" applyProtection="1">
      <alignment horizontal="center" vertical="center"/>
    </xf>
    <xf numFmtId="0" fontId="57" fillId="31" borderId="34" xfId="205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7" fillId="32" borderId="27" xfId="0" applyFont="1" applyFill="1" applyBorder="1" applyAlignment="1" applyProtection="1">
      <alignment horizontal="center" vertical="center" wrapText="1"/>
    </xf>
    <xf numFmtId="0" fontId="7" fillId="32" borderId="28" xfId="0" applyFont="1" applyFill="1" applyBorder="1" applyAlignment="1" applyProtection="1">
      <alignment horizontal="center" vertical="center" wrapText="1"/>
    </xf>
    <xf numFmtId="0" fontId="38" fillId="41" borderId="0" xfId="0" applyFont="1" applyFill="1" applyBorder="1" applyAlignment="1">
      <alignment horizontal="center" vertical="center" wrapText="1"/>
    </xf>
    <xf numFmtId="0" fontId="38" fillId="41" borderId="26" xfId="0" applyFont="1" applyFill="1" applyBorder="1" applyAlignment="1">
      <alignment horizontal="center" vertical="center" wrapText="1"/>
    </xf>
    <xf numFmtId="171" fontId="70" fillId="45" borderId="0" xfId="0" applyNumberFormat="1" applyFont="1" applyFill="1" applyBorder="1" applyAlignment="1">
      <alignment horizontal="left" vertical="center"/>
    </xf>
    <xf numFmtId="0" fontId="53" fillId="53" borderId="0" xfId="0" applyFont="1" applyFill="1" applyAlignment="1" applyProtection="1">
      <alignment horizontal="right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27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BDD6E7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EAEAEA"/>
      <color rgb="FF6F7072"/>
      <color rgb="FFD0C2A4"/>
      <color rgb="FF7E408F"/>
      <color rgb="FFFF5353"/>
      <color rgb="FF3F1260"/>
      <color rgb="FFDDDDDD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Recapitulatif_frais_annexes!$AD$84</c:f>
          <c:strCache>
            <c:ptCount val="1"/>
            <c:pt idx="0">
              <c:v>Notes de frais Direction (Cumulé)</c:v>
            </c:pt>
          </c:strCache>
        </c:strRef>
      </c:tx>
      <c:layout>
        <c:manualLayout>
          <c:xMode val="edge"/>
          <c:yMode val="edge"/>
          <c:x val="0.18723930150514659"/>
          <c:y val="1.57844603355154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991033453034451E-2"/>
          <c:y val="0.13644524236983843"/>
          <c:w val="0.88426841188369887"/>
          <c:h val="0.63734290843806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Recapitulatif_frais_annexes!$AD$85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Recapitulatif_frais_annexes!$AF$84:$AK$84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Recapitulatif_frais_annexes!$AF$85:$AK$85</c:f>
              <c:numCache>
                <c:formatCode>#,##0</c:formatCode>
                <c:ptCount val="6"/>
                <c:pt idx="0">
                  <c:v>41.028109999999998</c:v>
                </c:pt>
                <c:pt idx="1">
                  <c:v>-72.313639999999978</c:v>
                </c:pt>
                <c:pt idx="2">
                  <c:v>-72.313639999999978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Recapitulatif_frais_annexes!$AD$86</c:f>
              <c:strCache>
                <c:ptCount val="1"/>
                <c:pt idx="0">
                  <c:v>Réalisé N-1</c:v>
                </c:pt>
              </c:strCache>
            </c:strRef>
          </c:tx>
          <c:spPr>
            <a:solidFill>
              <a:srgbClr val="D0C2A4"/>
            </a:solidFill>
            <a:ln w="25400">
              <a:noFill/>
            </a:ln>
          </c:spPr>
          <c:invertIfNegative val="0"/>
          <c:cat>
            <c:strRef>
              <c:f>Recapitulatif_frais_annexes!$AF$84:$AK$84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Recapitulatif_frais_annexes!$AF$86:$AK$86</c:f>
              <c:numCache>
                <c:formatCode>#,##0</c:formatCode>
                <c:ptCount val="6"/>
                <c:pt idx="0">
                  <c:v>-14.71626</c:v>
                </c:pt>
                <c:pt idx="1">
                  <c:v>-49.019750000000002</c:v>
                </c:pt>
                <c:pt idx="2">
                  <c:v>-92.021499999999989</c:v>
                </c:pt>
                <c:pt idx="3">
                  <c:v>-173.98571000000001</c:v>
                </c:pt>
                <c:pt idx="4">
                  <c:v>-282.21400999999997</c:v>
                </c:pt>
                <c:pt idx="5">
                  <c:v>-358.95964999999995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97530880"/>
        <c:axId val="297532416"/>
      </c:barChart>
      <c:catAx>
        <c:axId val="29753088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7532416"/>
        <c:crosses val="autoZero"/>
        <c:auto val="1"/>
        <c:lblAlgn val="ctr"/>
        <c:lblOffset val="100"/>
        <c:noMultiLvlLbl val="0"/>
      </c:catAx>
      <c:valAx>
        <c:axId val="29753241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75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126591219936019"/>
          <c:y val="0.9174147217235189"/>
          <c:w val="0.78661913940574446"/>
          <c:h val="3.7701974865350089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Recapitulatif_frais_annexes!$AD$87</c:f>
          <c:strCache>
            <c:ptCount val="1"/>
            <c:pt idx="0">
              <c:v>Billets de transport Direction (Cumulé)</c:v>
            </c:pt>
          </c:strCache>
        </c:strRef>
      </c:tx>
      <c:layout>
        <c:manualLayout>
          <c:xMode val="edge"/>
          <c:yMode val="edge"/>
          <c:x val="0.22007150453215643"/>
          <c:y val="0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991033453034465E-2"/>
          <c:y val="0.13644524236983849"/>
          <c:w val="0.88426841188369887"/>
          <c:h val="0.63734290843806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Recapitulatif_frais_annexes!$AD$88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Recapitulatif_frais_annexes!$AF$84:$AK$84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Recapitulatif_frais_annexes!$AF$88:$AK$88</c:f>
              <c:numCache>
                <c:formatCode>#,##0</c:formatCode>
                <c:ptCount val="6"/>
                <c:pt idx="0">
                  <c:v>-55.698580000000007</c:v>
                </c:pt>
                <c:pt idx="1">
                  <c:v>-183.31113000000005</c:v>
                </c:pt>
                <c:pt idx="2">
                  <c:v>-183.31113000000005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Recapitulatif_frais_annexes!$AD$89</c:f>
              <c:strCache>
                <c:ptCount val="1"/>
                <c:pt idx="0">
                  <c:v>Réalisé N-1</c:v>
                </c:pt>
              </c:strCache>
            </c:strRef>
          </c:tx>
          <c:spPr>
            <a:solidFill>
              <a:srgbClr val="D0C2A4"/>
            </a:solidFill>
            <a:ln w="25400">
              <a:noFill/>
            </a:ln>
          </c:spPr>
          <c:invertIfNegative val="0"/>
          <c:cat>
            <c:strRef>
              <c:f>Recapitulatif_frais_annexes!$AF$84:$AK$84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Recapitulatif_frais_annexes!$AF$89:$AK$89</c:f>
              <c:numCache>
                <c:formatCode>#,##0</c:formatCode>
                <c:ptCount val="6"/>
                <c:pt idx="0">
                  <c:v>0</c:v>
                </c:pt>
                <c:pt idx="1">
                  <c:v>-70.919909999999987</c:v>
                </c:pt>
                <c:pt idx="2">
                  <c:v>-191.41698999999997</c:v>
                </c:pt>
                <c:pt idx="3">
                  <c:v>-418.82579999999996</c:v>
                </c:pt>
                <c:pt idx="4">
                  <c:v>-438.90234000000009</c:v>
                </c:pt>
                <c:pt idx="5">
                  <c:v>-540.25649999999996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97369600"/>
        <c:axId val="297371136"/>
      </c:barChart>
      <c:catAx>
        <c:axId val="29736960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7371136"/>
        <c:crosses val="autoZero"/>
        <c:auto val="1"/>
        <c:lblAlgn val="ctr"/>
        <c:lblOffset val="100"/>
        <c:noMultiLvlLbl val="0"/>
      </c:catAx>
      <c:valAx>
        <c:axId val="29737113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7369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126591219936019"/>
          <c:y val="0.9174147217235189"/>
          <c:w val="0.78661913940574446"/>
          <c:h val="3.7701974865350089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155" l="0.70000000000000062" r="0.70000000000000062" t="0.75000000000000155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Recapitulatif_frais_annexes!$AD$90</c:f>
          <c:strCache>
            <c:ptCount val="1"/>
            <c:pt idx="0">
              <c:v>Téléphonie Direction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991033453034465E-2"/>
          <c:y val="0.13644524236983857"/>
          <c:w val="0.88426841188369887"/>
          <c:h val="0.63734290843806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Recapitulatif_frais_annexes!$AD$91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Recapitulatif_frais_annexes!$AF$84:$AK$84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Recapitulatif_frais_annexes!$AF$91:$AK$91</c:f>
              <c:numCache>
                <c:formatCode>#,##0</c:formatCode>
                <c:ptCount val="6"/>
                <c:pt idx="0">
                  <c:v>-4.3613500000000016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Recapitulatif_frais_annexes!$AD$92</c:f>
              <c:strCache>
                <c:ptCount val="1"/>
                <c:pt idx="0">
                  <c:v>Réalisé N-1</c:v>
                </c:pt>
              </c:strCache>
            </c:strRef>
          </c:tx>
          <c:spPr>
            <a:solidFill>
              <a:srgbClr val="D0C2A4"/>
            </a:solidFill>
            <a:ln w="25400">
              <a:noFill/>
            </a:ln>
          </c:spPr>
          <c:invertIfNegative val="0"/>
          <c:cat>
            <c:strRef>
              <c:f>Recapitulatif_frais_annexes!$AF$84:$AK$84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Recapitulatif_frais_annexes!$AF$92:$AK$92</c:f>
              <c:numCache>
                <c:formatCode>#,##0</c:formatCode>
                <c:ptCount val="6"/>
                <c:pt idx="0">
                  <c:v>0</c:v>
                </c:pt>
                <c:pt idx="1">
                  <c:v>-7.4990000000000001E-2</c:v>
                </c:pt>
                <c:pt idx="2">
                  <c:v>-0.53798999999999997</c:v>
                </c:pt>
                <c:pt idx="3">
                  <c:v>-34.421450000000036</c:v>
                </c:pt>
                <c:pt idx="4">
                  <c:v>-37.041370000000022</c:v>
                </c:pt>
                <c:pt idx="5">
                  <c:v>-42.925010000000007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97433344"/>
        <c:axId val="297447424"/>
      </c:barChart>
      <c:catAx>
        <c:axId val="29743334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7447424"/>
        <c:crosses val="autoZero"/>
        <c:auto val="1"/>
        <c:lblAlgn val="ctr"/>
        <c:lblOffset val="100"/>
        <c:noMultiLvlLbl val="0"/>
      </c:catAx>
      <c:valAx>
        <c:axId val="297447424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743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9457592338657336E-2"/>
          <c:y val="0.9174147217235189"/>
          <c:w val="0.78661913940574446"/>
          <c:h val="3.7701974865350089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155" l="0.70000000000000062" r="0.70000000000000062" t="0.75000000000000155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738043</xdr:colOff>
      <xdr:row>15</xdr:row>
      <xdr:rowOff>60325</xdr:rowOff>
    </xdr:from>
    <xdr:to>
      <xdr:col>25</xdr:col>
      <xdr:colOff>374295</xdr:colOff>
      <xdr:row>16</xdr:row>
      <xdr:rowOff>325495</xdr:rowOff>
    </xdr:to>
    <xdr:pic>
      <xdr:nvPicPr>
        <xdr:cNvPr id="5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06543" y="891598"/>
          <a:ext cx="813888" cy="784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50223</xdr:colOff>
      <xdr:row>74</xdr:row>
      <xdr:rowOff>86591</xdr:rowOff>
    </xdr:from>
    <xdr:to>
      <xdr:col>4</xdr:col>
      <xdr:colOff>1974273</xdr:colOff>
      <xdr:row>94</xdr:row>
      <xdr:rowOff>82264</xdr:rowOff>
    </xdr:to>
    <xdr:graphicFrame macro="">
      <xdr:nvGraphicFramePr>
        <xdr:cNvPr id="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26810</xdr:colOff>
      <xdr:row>74</xdr:row>
      <xdr:rowOff>121228</xdr:rowOff>
    </xdr:from>
    <xdr:to>
      <xdr:col>18</xdr:col>
      <xdr:colOff>1004455</xdr:colOff>
      <xdr:row>95</xdr:row>
      <xdr:rowOff>32976</xdr:rowOff>
    </xdr:to>
    <xdr:graphicFrame macro="">
      <xdr:nvGraphicFramePr>
        <xdr:cNvPr id="8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1175906</xdr:colOff>
      <xdr:row>74</xdr:row>
      <xdr:rowOff>86592</xdr:rowOff>
    </xdr:from>
    <xdr:to>
      <xdr:col>25</xdr:col>
      <xdr:colOff>484909</xdr:colOff>
      <xdr:row>95</xdr:row>
      <xdr:rowOff>138623</xdr:rowOff>
    </xdr:to>
    <xdr:graphicFrame macro="">
      <xdr:nvGraphicFramePr>
        <xdr:cNvPr id="9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14</xdr:row>
          <xdr:rowOff>180975</xdr:rowOff>
        </xdr:from>
        <xdr:to>
          <xdr:col>3</xdr:col>
          <xdr:colOff>2438400</xdr:colOff>
          <xdr:row>14</xdr:row>
          <xdr:rowOff>619125</xdr:rowOff>
        </xdr:to>
        <xdr:sp macro="" textlink="">
          <xdr:nvSpPr>
            <xdr:cNvPr id="161794" name="Refresh_Report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17318</xdr:colOff>
      <xdr:row>15</xdr:row>
      <xdr:rowOff>103909</xdr:rowOff>
    </xdr:from>
    <xdr:to>
      <xdr:col>3</xdr:col>
      <xdr:colOff>2268682</xdr:colOff>
      <xdr:row>16</xdr:row>
      <xdr:rowOff>346364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935182"/>
          <a:ext cx="2251364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8" bestFit="1" customWidth="1"/>
    <col min="2" max="2" width="17.85546875" style="8" bestFit="1" customWidth="1"/>
    <col min="3" max="3" width="9.140625" style="8"/>
    <col min="4" max="4" width="27.7109375" style="8" customWidth="1"/>
    <col min="5" max="16384" width="9.140625" style="8"/>
  </cols>
  <sheetData>
    <row r="1" spans="1:7" ht="18" x14ac:dyDescent="0.25">
      <c r="A1" s="6" t="s">
        <v>118</v>
      </c>
      <c r="B1" s="7"/>
    </row>
    <row r="2" spans="1:7" x14ac:dyDescent="0.2">
      <c r="A2" s="7"/>
      <c r="B2" s="7"/>
    </row>
    <row r="3" spans="1:7" ht="15.75" x14ac:dyDescent="0.25">
      <c r="A3" s="9" t="s">
        <v>5</v>
      </c>
      <c r="B3" s="7"/>
    </row>
    <row r="4" spans="1:7" x14ac:dyDescent="0.2">
      <c r="A4" s="10" t="s">
        <v>4</v>
      </c>
      <c r="B4" s="11" t="s">
        <v>120</v>
      </c>
    </row>
    <row r="5" spans="1:7" x14ac:dyDescent="0.2">
      <c r="A5" s="10" t="s">
        <v>7</v>
      </c>
      <c r="B5" s="12" t="str">
        <f>LEFT(Server,LEN(Server)-1)</f>
        <v>tango_core_model</v>
      </c>
    </row>
    <row r="6" spans="1:7" x14ac:dyDescent="0.2">
      <c r="A6" s="10" t="s">
        <v>3</v>
      </c>
      <c r="B6" s="12" t="s">
        <v>40</v>
      </c>
    </row>
    <row r="7" spans="1:7" x14ac:dyDescent="0.2">
      <c r="A7" s="10" t="s">
        <v>18</v>
      </c>
      <c r="B7" s="12">
        <v>0</v>
      </c>
    </row>
    <row r="8" spans="1:7" x14ac:dyDescent="0.2">
      <c r="A8" s="10" t="s">
        <v>34</v>
      </c>
      <c r="B8" s="12">
        <v>0</v>
      </c>
    </row>
    <row r="10" spans="1:7" ht="15.75" x14ac:dyDescent="0.25">
      <c r="A10" s="9" t="s">
        <v>6</v>
      </c>
    </row>
    <row r="11" spans="1:7" ht="13.5" customHeight="1" x14ac:dyDescent="0.2">
      <c r="A11" s="10" t="s">
        <v>14</v>
      </c>
      <c r="B11" s="12" t="s">
        <v>45</v>
      </c>
    </row>
    <row r="12" spans="1:7" ht="13.5" customHeight="1" x14ac:dyDescent="0.2">
      <c r="A12" s="10" t="s">
        <v>15</v>
      </c>
      <c r="B12" s="12" t="s">
        <v>61</v>
      </c>
      <c r="C12" s="59" t="s">
        <v>63</v>
      </c>
      <c r="D12" s="59" t="s">
        <v>64</v>
      </c>
      <c r="E12" s="59" t="s">
        <v>64</v>
      </c>
      <c r="F12" s="59" t="s">
        <v>65</v>
      </c>
      <c r="G12" s="59"/>
    </row>
    <row r="13" spans="1:7" x14ac:dyDescent="0.2">
      <c r="A13" s="10" t="s">
        <v>9</v>
      </c>
      <c r="B13" s="12" t="str">
        <f ca="1">_xll.DBR(Server&amp;"z_Admin_Param","MONTH_CORPORATE","STR_VAR1")</f>
        <v>2013.03</v>
      </c>
      <c r="C13" s="60" t="str">
        <f ca="1">RIGHT($B$13,2)</f>
        <v>03</v>
      </c>
      <c r="D13" s="61">
        <f ca="1">IF($C$13="01","1",$C$13-1)</f>
        <v>2</v>
      </c>
      <c r="E13" s="8" t="str">
        <f ca="1">IF(OR($D$13= 10,$D$13= 11,$D$13= 12),$D$13,"0"&amp;D13)</f>
        <v>02</v>
      </c>
      <c r="F13" s="8" t="str">
        <f ca="1">LEFT($B$13,5)&amp;$E$13&amp;"_YTD"</f>
        <v>2013.02_YTD</v>
      </c>
    </row>
    <row r="14" spans="1:7" x14ac:dyDescent="0.2">
      <c r="A14" s="10" t="s">
        <v>19</v>
      </c>
      <c r="B14" s="12" t="str">
        <f ca="1">_xll.DBR(Server&amp;"z_Admin_Param","BUDGET_VERSION_BUDGET_FORECAST","STR_VAR1")</f>
        <v>VC</v>
      </c>
    </row>
    <row r="15" spans="1:7" x14ac:dyDescent="0.2">
      <c r="A15" s="10" t="s">
        <v>20</v>
      </c>
      <c r="B15" s="12" t="str">
        <f ca="1">_xll.DBR(Server&amp;"z_Admin_Param","FORECAST_1_VERSION_BUDGET_FORECAST","STR_VAR1")</f>
        <v>VC</v>
      </c>
    </row>
    <row r="16" spans="1:7" x14ac:dyDescent="0.2">
      <c r="A16" s="10" t="s">
        <v>41</v>
      </c>
      <c r="B16" s="12" t="str">
        <f ca="1">_xll.DBR(Server&amp;"z_Admin_Param","FORECAST_2_VERSION_BUDGET_FORECAST","STR_VAR1")</f>
        <v>VC</v>
      </c>
    </row>
    <row r="17" spans="1:6" x14ac:dyDescent="0.2">
      <c r="A17" s="10" t="s">
        <v>2</v>
      </c>
      <c r="B17" s="13" t="str">
        <f ca="1">_xll.DBR(Server&amp;"z_Client_Properties","Language",_xll.TM1USER(xServer))</f>
        <v>English</v>
      </c>
      <c r="C17" s="8" t="str">
        <f ca="1">IF(LocalLanguage="French","Français",LocalLanguage)</f>
        <v>English</v>
      </c>
    </row>
    <row r="18" spans="1:6" x14ac:dyDescent="0.2">
      <c r="A18" s="162" t="s">
        <v>28</v>
      </c>
      <c r="B18" s="21" t="s">
        <v>1</v>
      </c>
    </row>
    <row r="19" spans="1:6" x14ac:dyDescent="0.2">
      <c r="A19" s="162"/>
      <c r="B19" s="21" t="s">
        <v>46</v>
      </c>
    </row>
    <row r="20" spans="1:6" x14ac:dyDescent="0.2">
      <c r="A20" s="162"/>
      <c r="B20" s="21" t="s">
        <v>11</v>
      </c>
    </row>
    <row r="21" spans="1:6" x14ac:dyDescent="0.2">
      <c r="A21" s="162"/>
      <c r="B21" s="21" t="s">
        <v>12</v>
      </c>
    </row>
    <row r="22" spans="1:6" x14ac:dyDescent="0.2">
      <c r="A22" s="162"/>
      <c r="B22" s="21" t="s">
        <v>13</v>
      </c>
    </row>
    <row r="23" spans="1:6" x14ac:dyDescent="0.2">
      <c r="A23" s="162" t="s">
        <v>29</v>
      </c>
      <c r="B23" s="21" t="s">
        <v>25</v>
      </c>
    </row>
    <row r="24" spans="1:6" x14ac:dyDescent="0.2">
      <c r="A24" s="162"/>
      <c r="B24" s="21" t="s">
        <v>26</v>
      </c>
    </row>
    <row r="25" spans="1:6" x14ac:dyDescent="0.2">
      <c r="A25" s="162"/>
      <c r="B25" s="21" t="s">
        <v>27</v>
      </c>
    </row>
    <row r="27" spans="1:6" ht="15.75" x14ac:dyDescent="0.25">
      <c r="A27" s="9" t="s">
        <v>21</v>
      </c>
      <c r="F27" s="8" t="s">
        <v>8</v>
      </c>
    </row>
    <row r="28" spans="1:6" ht="13.5" customHeight="1" x14ac:dyDescent="0.25">
      <c r="A28" s="8" t="s">
        <v>22</v>
      </c>
      <c r="B28" s="18"/>
    </row>
    <row r="29" spans="1:6" x14ac:dyDescent="0.2">
      <c r="A29" s="8" t="s">
        <v>23</v>
      </c>
      <c r="B29" s="19"/>
    </row>
    <row r="30" spans="1:6" x14ac:dyDescent="0.2">
      <c r="A30" s="8" t="s">
        <v>24</v>
      </c>
      <c r="B30" s="20"/>
    </row>
    <row r="31" spans="1:6" x14ac:dyDescent="0.2">
      <c r="A31" s="8" t="s">
        <v>44</v>
      </c>
      <c r="B31" s="37"/>
    </row>
  </sheetData>
  <sheetProtection sheet="1" objects="1" scenarios="1" formatColumns="0" formatRows="0"/>
  <mergeCells count="2">
    <mergeCell ref="A18:A22"/>
    <mergeCell ref="A23:A25"/>
  </mergeCells>
  <phoneticPr fontId="4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99"/>
  <sheetViews>
    <sheetView showGridLines="0" tabSelected="1" topLeftCell="C15" zoomScale="55" zoomScaleNormal="55" workbookViewId="0">
      <selection activeCell="D62" sqref="D62"/>
    </sheetView>
  </sheetViews>
  <sheetFormatPr baseColWidth="10" defaultColWidth="9.140625" defaultRowHeight="12.75" outlineLevelRow="1" x14ac:dyDescent="0.2"/>
  <cols>
    <col min="1" max="1" width="19.42578125" hidden="1" customWidth="1"/>
    <col min="2" max="2" width="24.7109375" hidden="1" customWidth="1"/>
    <col min="3" max="3" width="4.140625" customWidth="1"/>
    <col min="4" max="4" width="45.7109375" customWidth="1"/>
    <col min="5" max="5" width="32.42578125" customWidth="1"/>
    <col min="6" max="8" width="3.5703125" customWidth="1"/>
    <col min="9" max="9" width="5.42578125" customWidth="1"/>
    <col min="10" max="13" width="23.7109375" hidden="1" customWidth="1"/>
    <col min="14" max="14" width="2.7109375" style="48" hidden="1" customWidth="1"/>
    <col min="15" max="15" width="23.7109375" hidden="1" customWidth="1"/>
    <col min="16" max="16" width="2.7109375" style="48" hidden="1" customWidth="1"/>
    <col min="17" max="20" width="18.7109375" customWidth="1"/>
    <col min="21" max="21" width="2.7109375" style="48" customWidth="1"/>
    <col min="22" max="22" width="18.7109375" customWidth="1"/>
    <col min="23" max="23" width="3.28515625" style="48" customWidth="1"/>
    <col min="24" max="24" width="17.7109375" customWidth="1"/>
    <col min="25" max="25" width="12.7109375" hidden="1" customWidth="1"/>
    <col min="26" max="26" width="9.7109375" customWidth="1"/>
    <col min="27" max="27" width="2.7109375" style="48" customWidth="1"/>
    <col min="28" max="28" width="4.5703125" style="48" hidden="1" customWidth="1"/>
    <col min="29" max="29" width="14" hidden="1" customWidth="1"/>
    <col min="30" max="30" width="33.5703125" hidden="1" customWidth="1"/>
    <col min="31" max="31" width="18.42578125" hidden="1" customWidth="1"/>
    <col min="32" max="32" width="25.5703125" hidden="1" customWidth="1"/>
    <col min="33" max="33" width="18.140625" hidden="1" customWidth="1"/>
    <col min="34" max="37" width="17.85546875" hidden="1" customWidth="1"/>
    <col min="38" max="42" width="9.140625" hidden="1" customWidth="1"/>
    <col min="43" max="43" width="10.5703125" hidden="1" customWidth="1"/>
    <col min="44" max="74" width="9.140625" hidden="1" customWidth="1"/>
  </cols>
  <sheetData>
    <row r="1" spans="1:35" hidden="1" x14ac:dyDescent="0.2">
      <c r="A1" t="s">
        <v>55</v>
      </c>
    </row>
    <row r="2" spans="1:35" ht="12.75" hidden="1" customHeight="1" x14ac:dyDescent="0.2">
      <c r="A2">
        <f ca="1">0</f>
        <v>0</v>
      </c>
      <c r="D2" s="127"/>
      <c r="E2" s="127"/>
      <c r="F2" s="127"/>
      <c r="G2" s="127"/>
      <c r="H2" s="127"/>
      <c r="I2" s="102"/>
      <c r="J2" s="102"/>
      <c r="K2" s="102"/>
      <c r="L2" s="102"/>
      <c r="M2" s="102"/>
      <c r="N2" s="102"/>
      <c r="O2" s="105"/>
      <c r="P2" s="102"/>
      <c r="Q2" s="130"/>
      <c r="R2" s="130"/>
      <c r="S2" s="130"/>
      <c r="T2" s="130"/>
      <c r="U2" s="123"/>
      <c r="V2" s="121"/>
      <c r="W2" s="123"/>
      <c r="X2" s="146"/>
      <c r="Y2" s="147"/>
      <c r="Z2" s="157"/>
      <c r="AA2" s="85"/>
      <c r="AC2" s="100"/>
      <c r="AD2" s="100"/>
      <c r="AE2" s="100"/>
      <c r="AF2" s="100"/>
    </row>
    <row r="3" spans="1:35" ht="13.5" hidden="1" customHeight="1" x14ac:dyDescent="0.2">
      <c r="A3">
        <f ca="1">1</f>
        <v>1</v>
      </c>
      <c r="D3" s="138"/>
      <c r="E3" s="138"/>
      <c r="F3" s="138"/>
      <c r="G3" s="138"/>
      <c r="H3" s="138"/>
      <c r="I3" s="107"/>
      <c r="J3" s="102"/>
      <c r="K3" s="102"/>
      <c r="L3" s="102"/>
      <c r="M3" s="102"/>
      <c r="N3" s="102"/>
      <c r="O3" s="105"/>
      <c r="P3" s="102"/>
      <c r="Q3" s="139"/>
      <c r="R3" s="139"/>
      <c r="S3" s="139"/>
      <c r="T3" s="139"/>
      <c r="U3" s="123"/>
      <c r="V3" s="121"/>
      <c r="W3" s="123"/>
      <c r="X3" s="148"/>
      <c r="Y3" s="149"/>
      <c r="Z3" s="158"/>
      <c r="AC3" s="101"/>
      <c r="AD3" s="101"/>
      <c r="AE3" s="101"/>
      <c r="AF3" s="101"/>
    </row>
    <row r="4" spans="1:35" ht="23.25" hidden="1" x14ac:dyDescent="0.2">
      <c r="A4">
        <f ca="1">2</f>
        <v>2</v>
      </c>
      <c r="D4" s="140"/>
      <c r="E4" s="140"/>
      <c r="F4" s="140"/>
      <c r="G4" s="140"/>
      <c r="H4" s="140"/>
      <c r="I4" s="107"/>
      <c r="J4" s="102"/>
      <c r="K4" s="102"/>
      <c r="L4" s="102"/>
      <c r="M4" s="102"/>
      <c r="N4" s="102"/>
      <c r="O4" s="105"/>
      <c r="P4" s="102"/>
      <c r="Q4" s="141"/>
      <c r="R4" s="141"/>
      <c r="S4" s="141"/>
      <c r="T4" s="141"/>
      <c r="U4" s="123"/>
      <c r="V4" s="121"/>
      <c r="W4" s="123"/>
      <c r="X4" s="150"/>
      <c r="Y4" s="151"/>
      <c r="Z4" s="152"/>
      <c r="AC4" s="101"/>
      <c r="AD4" s="101"/>
      <c r="AE4" s="101"/>
      <c r="AF4" s="101"/>
    </row>
    <row r="5" spans="1:35" ht="23.25" hidden="1" x14ac:dyDescent="0.2">
      <c r="A5">
        <f ca="1">3</f>
        <v>3</v>
      </c>
      <c r="D5" s="128"/>
      <c r="E5" s="128"/>
      <c r="F5" s="128"/>
      <c r="G5" s="128"/>
      <c r="H5" s="128"/>
      <c r="I5" s="107"/>
      <c r="J5" s="102"/>
      <c r="K5" s="102"/>
      <c r="L5" s="102"/>
      <c r="M5" s="102"/>
      <c r="N5" s="102"/>
      <c r="O5" s="105"/>
      <c r="P5" s="102"/>
      <c r="Q5" s="131"/>
      <c r="R5" s="131"/>
      <c r="S5" s="131"/>
      <c r="T5" s="131"/>
      <c r="U5" s="123"/>
      <c r="V5" s="121"/>
      <c r="W5" s="123"/>
      <c r="X5" s="153"/>
      <c r="Y5" s="154"/>
      <c r="Z5" s="155"/>
      <c r="AC5" s="101"/>
      <c r="AD5" s="101"/>
      <c r="AE5" s="101"/>
      <c r="AF5" s="101"/>
    </row>
    <row r="6" spans="1:35" ht="23.25" hidden="1" x14ac:dyDescent="0.2">
      <c r="A6" t="s">
        <v>53</v>
      </c>
      <c r="D6" s="129"/>
      <c r="E6" s="129"/>
      <c r="F6" s="129"/>
      <c r="G6" s="129"/>
      <c r="H6" s="129"/>
      <c r="I6" s="107"/>
      <c r="J6" s="102"/>
      <c r="K6" s="102"/>
      <c r="L6" s="102"/>
      <c r="M6" s="102"/>
      <c r="N6" s="102"/>
      <c r="O6" s="105"/>
      <c r="P6" s="102"/>
      <c r="Q6" s="132"/>
      <c r="R6" s="132"/>
      <c r="S6" s="132"/>
      <c r="T6" s="132"/>
      <c r="U6" s="123"/>
      <c r="V6" s="121"/>
      <c r="W6" s="123"/>
      <c r="X6" s="132"/>
      <c r="Y6" s="133"/>
      <c r="Z6" s="156"/>
      <c r="AC6" s="101"/>
      <c r="AD6" s="101"/>
      <c r="AE6" s="101"/>
      <c r="AF6" s="101"/>
    </row>
    <row r="7" spans="1:35" ht="23.25" hidden="1" x14ac:dyDescent="0.2">
      <c r="A7" t="s">
        <v>54</v>
      </c>
      <c r="D7" s="129"/>
      <c r="E7" s="129"/>
      <c r="F7" s="129"/>
      <c r="G7" s="129"/>
      <c r="H7" s="129"/>
      <c r="I7" s="107"/>
      <c r="J7" s="102"/>
      <c r="K7" s="102"/>
      <c r="L7" s="102"/>
      <c r="M7" s="102"/>
      <c r="N7" s="102"/>
      <c r="O7" s="105"/>
      <c r="P7" s="102"/>
      <c r="Q7" s="132"/>
      <c r="R7" s="132"/>
      <c r="S7" s="132"/>
      <c r="T7" s="132"/>
      <c r="U7" s="123"/>
      <c r="V7" s="121"/>
      <c r="W7" s="123"/>
      <c r="X7" s="132"/>
      <c r="Y7" s="133"/>
      <c r="Z7" s="156"/>
      <c r="AC7" s="79"/>
      <c r="AD7" s="79"/>
      <c r="AE7" s="79"/>
      <c r="AF7" s="79"/>
    </row>
    <row r="8" spans="1:35" ht="22.5" hidden="1" x14ac:dyDescent="0.2">
      <c r="A8" t="s">
        <v>56</v>
      </c>
      <c r="Z8" s="91"/>
    </row>
    <row r="9" spans="1:35" hidden="1" x14ac:dyDescent="0.2"/>
    <row r="10" spans="1:35" ht="15.75" hidden="1" x14ac:dyDescent="0.25">
      <c r="A10" s="114"/>
      <c r="B10" s="114"/>
      <c r="C10" s="114"/>
      <c r="D10" s="114"/>
      <c r="E10" s="35" t="s">
        <v>0</v>
      </c>
      <c r="F10" s="41" t="s">
        <v>59</v>
      </c>
      <c r="G10" s="42" t="s">
        <v>59</v>
      </c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35" t="s">
        <v>113</v>
      </c>
      <c r="S10" s="42" t="s">
        <v>114</v>
      </c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</row>
    <row r="11" spans="1:35" ht="15.75" hidden="1" x14ac:dyDescent="0.25">
      <c r="A11" s="114"/>
      <c r="B11" s="114"/>
      <c r="C11" s="114"/>
      <c r="D11" s="114"/>
      <c r="E11" s="33" t="s">
        <v>43</v>
      </c>
      <c r="F11" s="34" t="str">
        <f ca="1">_xll.DBRA(Server&amp;$E$11,$E$13,"Prior Year")</f>
        <v>2012.03_YTD</v>
      </c>
      <c r="G11" s="34" t="str">
        <f ca="1">$E$13</f>
        <v>2013.03_YTD</v>
      </c>
      <c r="H11" s="114"/>
      <c r="J11" s="114"/>
      <c r="K11" s="114"/>
      <c r="L11" s="114"/>
      <c r="M11" s="114"/>
      <c r="N11" s="114"/>
      <c r="O11" s="114"/>
      <c r="P11" s="114"/>
      <c r="Q11" s="114"/>
      <c r="R11" s="119" t="s">
        <v>116</v>
      </c>
      <c r="S11" s="118" t="s">
        <v>117</v>
      </c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</row>
    <row r="12" spans="1:35" ht="15.75" hidden="1" x14ac:dyDescent="0.25">
      <c r="A12" s="114"/>
      <c r="B12" s="114"/>
      <c r="C12" s="114"/>
      <c r="D12" s="114"/>
      <c r="E12" s="33"/>
      <c r="F12" s="33" t="s">
        <v>115</v>
      </c>
      <c r="G12" s="3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</row>
    <row r="13" spans="1:35" hidden="1" x14ac:dyDescent="0.2">
      <c r="A13" s="114"/>
      <c r="B13" s="114"/>
      <c r="C13" s="114"/>
      <c r="D13" s="114"/>
      <c r="E13" s="43" t="str">
        <f ca="1">_xll.SUBNM(Server&amp;"Period","",$E$27,"")</f>
        <v>2013.03_YTD</v>
      </c>
      <c r="F13" s="32"/>
      <c r="G13" s="32"/>
      <c r="H13" s="32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</row>
    <row r="14" spans="1:35" ht="13.5" hidden="1" thickBot="1" x14ac:dyDescent="0.25">
      <c r="A14" s="114"/>
      <c r="B14" s="114"/>
      <c r="C14" s="115"/>
      <c r="D14" s="115"/>
      <c r="E14" s="117" t="s">
        <v>112</v>
      </c>
      <c r="F14" s="116"/>
      <c r="G14" s="116"/>
      <c r="H14" s="116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15"/>
    </row>
    <row r="15" spans="1:35" ht="66" customHeight="1" x14ac:dyDescent="0.2">
      <c r="A15" s="112"/>
      <c r="B15" s="113"/>
      <c r="E15" s="82"/>
      <c r="F15" s="46"/>
      <c r="G15" s="46"/>
      <c r="H15" s="46"/>
    </row>
    <row r="16" spans="1:35" ht="41.25" customHeight="1" x14ac:dyDescent="0.2">
      <c r="A16" s="112"/>
      <c r="B16" s="113"/>
      <c r="D16" s="183" t="str">
        <f ca="1">_xll.DBRA(Server&amp;$AD$22,$AD$39,$AF$19)</f>
        <v>Récapitulatif des frais annexes liés au personnel</v>
      </c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74" t="str">
        <f ca="1">_xll.DBRA(Server&amp;$AD$22,$AD$38,$AF$19)</f>
        <v>Restitution</v>
      </c>
      <c r="W16" s="174"/>
      <c r="X16" s="174"/>
      <c r="Y16" s="174"/>
      <c r="Z16" s="1"/>
      <c r="AA16" s="86"/>
      <c r="AB16" s="15"/>
      <c r="AC16" s="15"/>
      <c r="AD16" s="15"/>
      <c r="AE16" s="15" t="str">
        <f ca="1">_xll.DBRA(Server&amp;$BE$22,$BE$43,$BH$19)</f>
        <v/>
      </c>
      <c r="AF16" s="15"/>
    </row>
    <row r="17" spans="1:38" ht="30" customHeight="1" x14ac:dyDescent="0.2">
      <c r="A17" s="112"/>
      <c r="B17" s="11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74"/>
      <c r="W17" s="174"/>
      <c r="X17" s="174"/>
      <c r="Y17" s="174"/>
      <c r="Z17" s="1"/>
      <c r="AA17" s="86"/>
      <c r="AB17" s="15"/>
      <c r="AC17" s="15"/>
      <c r="AD17" s="15"/>
      <c r="AE17" s="15"/>
      <c r="AF17" s="15"/>
    </row>
    <row r="18" spans="1:38" x14ac:dyDescent="0.2">
      <c r="A18" s="112"/>
      <c r="B18" s="113"/>
      <c r="E18" s="82"/>
      <c r="F18" s="46"/>
      <c r="G18" s="46"/>
      <c r="H18" s="46"/>
    </row>
    <row r="19" spans="1:38" ht="15.75" x14ac:dyDescent="0.25">
      <c r="A19" s="112"/>
      <c r="B19" s="113"/>
      <c r="AE19" s="38" t="s">
        <v>57</v>
      </c>
      <c r="AF19" s="22" t="str">
        <f ca="1">IF($E$25="Français","French","English")</f>
        <v>French</v>
      </c>
    </row>
    <row r="20" spans="1:38" ht="13.5" thickBot="1" x14ac:dyDescent="0.25">
      <c r="A20" s="112"/>
      <c r="B20" s="113"/>
    </row>
    <row r="21" spans="1:38" ht="16.5" thickBot="1" x14ac:dyDescent="0.3">
      <c r="A21" s="112"/>
      <c r="B21" s="113"/>
      <c r="AE21" s="31" t="s">
        <v>42</v>
      </c>
    </row>
    <row r="22" spans="1:38" ht="24" thickBot="1" x14ac:dyDescent="0.3">
      <c r="A22" s="112"/>
      <c r="B22" s="113"/>
      <c r="D22" s="16" t="str">
        <f ca="1">_xll.DBRA(Server&amp;$AD$22,$AD$23,$AF$19)</f>
        <v>Sélection du contexte</v>
      </c>
      <c r="E22" s="24"/>
      <c r="AD22" s="28" t="s">
        <v>38</v>
      </c>
      <c r="AE22" s="39" t="s">
        <v>0</v>
      </c>
      <c r="AG22" s="22"/>
      <c r="AH22" s="22"/>
      <c r="AI22" s="2"/>
    </row>
    <row r="23" spans="1:38" ht="19.5" hidden="1" outlineLevel="1" thickBot="1" x14ac:dyDescent="0.3">
      <c r="A23" s="108" t="s">
        <v>60</v>
      </c>
      <c r="B23" s="109"/>
      <c r="D23" s="17" t="str">
        <f ca="1">_xll.DBRA(Server&amp;$AD$22,$AD$29,$AF$19)</f>
        <v>Gaap</v>
      </c>
      <c r="E23" s="26" t="str">
        <f ca="1">_xll.SUBNM(Server&amp;"GAAP","Corp_FR","Local_Gaap",$AF$19)</f>
        <v>Gaap local</v>
      </c>
      <c r="AD23" s="29" t="s">
        <v>35</v>
      </c>
      <c r="AE23" s="80" t="s">
        <v>82</v>
      </c>
      <c r="AG23" s="163" t="s">
        <v>71</v>
      </c>
      <c r="AH23" s="164"/>
      <c r="AI23" s="165"/>
    </row>
    <row r="24" spans="1:38" ht="23.25" hidden="1" outlineLevel="1" thickBot="1" x14ac:dyDescent="0.35">
      <c r="A24" s="110" t="s">
        <v>52</v>
      </c>
      <c r="B24" s="111" t="s">
        <v>69</v>
      </c>
      <c r="D24" s="17" t="str">
        <f ca="1">_xll.DBRA(Server&amp;$AD$22,$AD$30,$AF$19)</f>
        <v>Taux d'intégration</v>
      </c>
      <c r="E24" s="26" t="str">
        <f ca="1">_xll.SUBNM(Server&amp;"Integration_Rate","Corp_FR","NO_APP",$AF$19)</f>
        <v>Données de liasse (Tx d'intégration No-APP)</v>
      </c>
      <c r="AD24" s="27" t="s">
        <v>43</v>
      </c>
      <c r="AE24" s="81" t="s">
        <v>66</v>
      </c>
      <c r="AG24" s="64" t="s">
        <v>72</v>
      </c>
      <c r="AH24" s="64" t="s">
        <v>73</v>
      </c>
      <c r="AI24" s="64" t="s">
        <v>74</v>
      </c>
      <c r="AL24" s="92"/>
    </row>
    <row r="25" spans="1:38" ht="18.75" hidden="1" outlineLevel="1" x14ac:dyDescent="0.25">
      <c r="A25" s="110" t="s">
        <v>49</v>
      </c>
      <c r="B25" s="111" t="s">
        <v>70</v>
      </c>
      <c r="D25" s="17" t="str">
        <f ca="1">_xll.DBRA(Server&amp;$AD$22,$AD$31,$AF$19)</f>
        <v>Langue</v>
      </c>
      <c r="E25" s="26" t="s">
        <v>46</v>
      </c>
      <c r="AD25" s="30" t="s">
        <v>36</v>
      </c>
    </row>
    <row r="26" spans="1:38" ht="18.75" hidden="1" outlineLevel="1" x14ac:dyDescent="0.2">
      <c r="A26" s="112"/>
      <c r="B26" s="113"/>
      <c r="D26" s="17" t="str">
        <f ca="1">_xll.DBRA(Server&amp;$AD$22,$AD$26,$AF$19)</f>
        <v>Organisation légale</v>
      </c>
      <c r="E26" s="25" t="str">
        <f ca="1">_xll.SUBNM(Server&amp;"Legal_Organization_Corp","Corp_FR",_xll.DBR(Server&amp;"z_Client_Properties","Default_Legal_Organization_Corp",_xll.TM1USER(xServer)),$E$25)</f>
        <v>VTD</v>
      </c>
      <c r="AD26" s="30" t="s">
        <v>37</v>
      </c>
    </row>
    <row r="27" spans="1:38" ht="18.75" collapsed="1" x14ac:dyDescent="0.25">
      <c r="A27" s="110" t="s">
        <v>51</v>
      </c>
      <c r="B27" s="111" t="s">
        <v>85</v>
      </c>
      <c r="D27" s="17" t="str">
        <f ca="1">_xll.DBRA(Server&amp;$AD$22,$AD$24,$AF$19)</f>
        <v>Période</v>
      </c>
      <c r="E27" s="25" t="str">
        <f ca="1">_xll.SUBNM(Server&amp;"Period","Corp_FR",ActualMonth&amp;"_YTD",$AF$19)</f>
        <v>Cumul Mars 2013</v>
      </c>
      <c r="AD27" s="58" t="s">
        <v>48</v>
      </c>
    </row>
    <row r="28" spans="1:38" ht="18.75" x14ac:dyDescent="0.2">
      <c r="A28" s="36"/>
      <c r="B28" s="111" t="s">
        <v>86</v>
      </c>
      <c r="D28" s="17" t="str">
        <f ca="1">_xll.DBRA(Server&amp;$AD$22,$AD$25,$AF$19)</f>
        <v>Organisation managériale</v>
      </c>
      <c r="E28" s="25" t="str">
        <f ca="1">_xll.SUBNM(Server&amp;"Management_Organization_Corp","Corp_FR",_xll.DBR(Server&amp;"z_Client_Properties","Default_Management_Organization_Corp",_xll.TM1USER(xServer)),$E$25)</f>
        <v>VTD</v>
      </c>
      <c r="AD28" s="30" t="s">
        <v>16</v>
      </c>
    </row>
    <row r="29" spans="1:38" ht="18.75" x14ac:dyDescent="0.2">
      <c r="A29" s="36"/>
      <c r="B29" s="111" t="s">
        <v>88</v>
      </c>
      <c r="D29" s="17" t="str">
        <f ca="1">_xll.DBRA(Server&amp;$AD$22,$AD$27,$AF$19)</f>
        <v>Projets</v>
      </c>
      <c r="E29" s="26" t="str">
        <f ca="1">_xll.SUBNM(Server&amp;"Projets","Corp_FR","Tot_proj",$E$25)</f>
        <v>Total Projets</v>
      </c>
      <c r="AD29" s="30" t="s">
        <v>17</v>
      </c>
    </row>
    <row r="30" spans="1:38" ht="19.5" thickBot="1" x14ac:dyDescent="0.25">
      <c r="A30" s="36"/>
      <c r="B30" s="111" t="s">
        <v>87</v>
      </c>
      <c r="D30" s="17" t="str">
        <f ca="1">_xll.DBRA(Server&amp;$AD$22,$AD$28,$AF$19)</f>
        <v>Devise</v>
      </c>
      <c r="E30" s="26" t="str">
        <f ca="1">_xll.SUBNM(Server&amp;"Currency","Corp_FR","KEUR",$AF$19)</f>
        <v>K€</v>
      </c>
      <c r="AD30" s="30" t="s">
        <v>62</v>
      </c>
      <c r="AG30" s="56"/>
    </row>
    <row r="31" spans="1:38" ht="13.5" thickBot="1" x14ac:dyDescent="0.25">
      <c r="A31" s="112"/>
      <c r="B31" s="113"/>
      <c r="AD31" s="40" t="s">
        <v>39</v>
      </c>
    </row>
    <row r="32" spans="1:38" ht="15" hidden="1" x14ac:dyDescent="0.2">
      <c r="A32" s="112"/>
      <c r="B32" s="113"/>
      <c r="D32" s="44"/>
      <c r="E32" s="44"/>
      <c r="AD32" s="96" t="s">
        <v>67</v>
      </c>
    </row>
    <row r="33" spans="1:30" hidden="1" x14ac:dyDescent="0.2">
      <c r="A33" s="112"/>
      <c r="B33" s="113"/>
      <c r="AD33" s="97" t="s">
        <v>68</v>
      </c>
    </row>
    <row r="34" spans="1:30" ht="15" hidden="1" x14ac:dyDescent="0.2">
      <c r="A34" s="112"/>
      <c r="B34" s="113"/>
      <c r="D34" s="44" t="str">
        <f ca="1">"{EXCEPT({[Matricules].["&amp;$B$59&amp;"].Children},{[Matricules].["&amp;$B$64&amp;"]})}"</f>
        <v>{EXCEPT({[Matricules].[VTD].Children},{[Matricules].[NA]})}</v>
      </c>
      <c r="AD34" s="97" t="s">
        <v>85</v>
      </c>
    </row>
    <row r="35" spans="1:30" hidden="1" x14ac:dyDescent="0.2">
      <c r="A35" s="112"/>
      <c r="B35" s="113"/>
      <c r="AD35" s="97" t="s">
        <v>86</v>
      </c>
    </row>
    <row r="36" spans="1:30" ht="15" hidden="1" x14ac:dyDescent="0.25">
      <c r="A36" s="112"/>
      <c r="B36" s="113"/>
      <c r="D36" s="49" t="str">
        <f ca="1">_xll.TM1RPTVIEW(Server&amp;Cube1&amp;":ARPT1",1, _xll.TM1RPTTITLE(Server&amp;"Currency",$E$38), _xll.TM1RPTTITLE(Server&amp;"Gaap",$E$39), _xll.TM1RPTTITLE(Server&amp;"Integration_Rate",$E$40), _xll.TM1RPTTITLE(Server&amp;"Projets",$E$41), _xll.TM1RPTTITLE(Server&amp;"Legal_Organization_Corp",$E$42), _xll.TM1RPTTITLE(Server&amp;"Management_Organization_Corp",$E$43), _xll.TM1RPTTITLE(Server&amp;"Tiers",$E$44), _xll.TM1RPTTITLE(Server&amp;"Period",$E$45),TM1RPTFMTRNG,TM1RPTFMTIDCOL)</f>
        <v>tango_core_model:RP_PL_Corp:ARPT1</v>
      </c>
      <c r="E36" s="49"/>
      <c r="F36" s="49"/>
      <c r="G36" s="49"/>
      <c r="H36" s="49"/>
      <c r="I36" s="49"/>
      <c r="J36" s="49"/>
      <c r="K36" s="49"/>
      <c r="L36" s="49"/>
      <c r="M36" s="49"/>
      <c r="N36" s="83"/>
      <c r="O36" s="49"/>
      <c r="P36" s="83"/>
      <c r="Q36" s="49"/>
      <c r="R36" s="49"/>
      <c r="S36" s="49"/>
      <c r="T36" s="49"/>
      <c r="U36" s="83"/>
      <c r="V36" s="49"/>
      <c r="W36" s="83"/>
      <c r="X36" s="49"/>
      <c r="Y36" s="49"/>
      <c r="Z36" s="49"/>
      <c r="AA36" s="83"/>
      <c r="AB36" s="83"/>
      <c r="AD36" s="97" t="s">
        <v>88</v>
      </c>
    </row>
    <row r="37" spans="1:30" hidden="1" x14ac:dyDescent="0.2">
      <c r="A37" s="112"/>
      <c r="B37" s="113"/>
      <c r="AD37" s="97" t="s">
        <v>87</v>
      </c>
    </row>
    <row r="38" spans="1:30" ht="15.75" hidden="1" x14ac:dyDescent="0.25">
      <c r="A38" s="112"/>
      <c r="B38" s="113"/>
      <c r="D38" s="45" t="s">
        <v>16</v>
      </c>
      <c r="E38" t="str">
        <f ca="1">_xll.SUBNM(Server&amp;"Currency","",$E$30)</f>
        <v>KEUR</v>
      </c>
      <c r="F38" s="45"/>
      <c r="G38" s="45"/>
      <c r="H38" s="45"/>
      <c r="I38" s="45"/>
      <c r="J38" s="45"/>
      <c r="K38" s="45"/>
      <c r="L38" s="45"/>
      <c r="M38" s="45"/>
      <c r="N38" s="84"/>
      <c r="O38" s="45"/>
      <c r="P38" s="84"/>
      <c r="Q38" s="45"/>
      <c r="R38" s="45"/>
      <c r="S38" s="45"/>
      <c r="T38" s="45"/>
      <c r="U38" s="84"/>
      <c r="V38" s="45"/>
      <c r="W38" s="84"/>
      <c r="X38" s="45"/>
      <c r="Y38" s="45"/>
      <c r="Z38" s="45"/>
      <c r="AA38" s="84"/>
      <c r="AB38" s="84"/>
      <c r="AD38" s="98" t="s">
        <v>83</v>
      </c>
    </row>
    <row r="39" spans="1:30" ht="16.5" hidden="1" thickBot="1" x14ac:dyDescent="0.3">
      <c r="A39" s="112"/>
      <c r="B39" s="113"/>
      <c r="D39" s="45" t="s">
        <v>17</v>
      </c>
      <c r="E39" t="str">
        <f ca="1">_xll.SUBNM(Server&amp;"Gaap","",$E$23)</f>
        <v>Local_Gaap</v>
      </c>
      <c r="F39" s="45"/>
      <c r="G39" s="45"/>
      <c r="H39" s="45"/>
      <c r="I39" s="45"/>
      <c r="J39" s="45"/>
      <c r="K39" s="45"/>
      <c r="L39" s="45"/>
      <c r="M39" s="45"/>
      <c r="N39" s="84"/>
      <c r="O39" s="45"/>
      <c r="P39" s="84"/>
      <c r="Q39" s="45"/>
      <c r="R39" s="45"/>
      <c r="S39" s="45"/>
      <c r="T39" s="45"/>
      <c r="U39" s="84"/>
      <c r="V39" s="45"/>
      <c r="W39" s="84"/>
      <c r="X39" s="45"/>
      <c r="Y39" s="45"/>
      <c r="Z39" s="45"/>
      <c r="AA39" s="84"/>
      <c r="AB39" s="84"/>
      <c r="AD39" s="81" t="s">
        <v>84</v>
      </c>
    </row>
    <row r="40" spans="1:30" ht="15.75" hidden="1" x14ac:dyDescent="0.25">
      <c r="A40" s="112"/>
      <c r="B40" s="113"/>
      <c r="D40" s="45" t="s">
        <v>47</v>
      </c>
      <c r="E40" t="str">
        <f ca="1">_xll.SUBNM(Server&amp;"Integration_Rate","",$E$24)</f>
        <v>NO_APP</v>
      </c>
      <c r="F40" s="45"/>
      <c r="G40" s="45"/>
      <c r="H40" s="45"/>
      <c r="I40" s="45"/>
      <c r="J40" s="45"/>
      <c r="K40" s="45"/>
      <c r="L40" s="45"/>
      <c r="M40" s="45"/>
      <c r="N40" s="84"/>
      <c r="O40" s="45"/>
      <c r="P40" s="84"/>
      <c r="Q40" s="45"/>
      <c r="R40" s="45"/>
      <c r="S40" s="45"/>
      <c r="T40" s="45"/>
      <c r="U40" s="84"/>
      <c r="V40" s="45"/>
      <c r="W40" s="84"/>
      <c r="X40" s="45"/>
      <c r="Y40" s="45"/>
      <c r="Z40" s="45"/>
      <c r="AA40" s="84"/>
      <c r="AB40" s="84"/>
      <c r="AD40" s="93" t="s">
        <v>76</v>
      </c>
    </row>
    <row r="41" spans="1:30" ht="15.75" hidden="1" x14ac:dyDescent="0.25">
      <c r="A41" s="112"/>
      <c r="B41" s="113"/>
      <c r="D41" s="45" t="s">
        <v>48</v>
      </c>
      <c r="E41" t="str">
        <f ca="1">_xll.SUBNM(Server&amp;"Projets","",$E$29)</f>
        <v>Tot_proj</v>
      </c>
      <c r="F41" s="45"/>
      <c r="G41" s="45"/>
      <c r="H41" s="45"/>
      <c r="I41" s="45"/>
      <c r="J41" s="45"/>
      <c r="K41" s="45"/>
      <c r="L41" s="45"/>
      <c r="M41" s="45"/>
      <c r="N41" s="84"/>
      <c r="O41" s="45"/>
      <c r="P41" s="84"/>
      <c r="Q41" s="45"/>
      <c r="R41" s="45"/>
      <c r="S41" s="45"/>
      <c r="T41" s="45"/>
      <c r="U41" s="84"/>
      <c r="V41" s="45"/>
      <c r="W41" s="84"/>
      <c r="X41" s="45"/>
      <c r="Y41" s="45"/>
      <c r="Z41" s="45"/>
      <c r="AA41" s="84"/>
      <c r="AB41" s="84"/>
      <c r="AD41" s="94" t="s">
        <v>98</v>
      </c>
    </row>
    <row r="42" spans="1:30" ht="15.75" hidden="1" x14ac:dyDescent="0.25">
      <c r="A42" s="112"/>
      <c r="B42" s="113"/>
      <c r="D42" s="45" t="s">
        <v>50</v>
      </c>
      <c r="E42" t="str">
        <f ca="1">_xll.SUBNM(Server&amp;"Legal_Organization_Corp","",$E$26)</f>
        <v>VTD</v>
      </c>
      <c r="F42" s="45"/>
      <c r="G42" s="45"/>
      <c r="H42" s="45"/>
      <c r="I42" s="45"/>
      <c r="J42" s="45"/>
      <c r="K42" s="45"/>
      <c r="L42" s="45"/>
      <c r="M42" s="45"/>
      <c r="N42" s="84"/>
      <c r="O42" s="45"/>
      <c r="P42" s="84"/>
      <c r="Q42" s="45"/>
      <c r="R42" s="45"/>
      <c r="S42" s="45"/>
      <c r="T42" s="45"/>
      <c r="U42" s="84"/>
      <c r="V42" s="45"/>
      <c r="W42" s="84"/>
      <c r="X42" s="45"/>
      <c r="Y42" s="45"/>
      <c r="Z42" s="45"/>
      <c r="AA42" s="84"/>
      <c r="AB42" s="84"/>
      <c r="AD42" s="94" t="s">
        <v>99</v>
      </c>
    </row>
    <row r="43" spans="1:30" ht="15.75" hidden="1" x14ac:dyDescent="0.25">
      <c r="A43" s="112"/>
      <c r="B43" s="113"/>
      <c r="D43" s="45" t="s">
        <v>77</v>
      </c>
      <c r="E43" t="str">
        <f ca="1">_xll.SUBNM(Server&amp;"Management_Organization_Corp","",$E$28)</f>
        <v>VTD</v>
      </c>
      <c r="F43" s="45"/>
      <c r="G43" s="45"/>
      <c r="H43" s="45"/>
      <c r="I43" s="45"/>
      <c r="J43" s="45"/>
      <c r="K43" s="45"/>
      <c r="L43" s="45"/>
      <c r="M43" s="45"/>
      <c r="N43" s="84"/>
      <c r="O43" s="45"/>
      <c r="P43" s="84"/>
      <c r="Q43" s="45"/>
      <c r="R43" s="45"/>
      <c r="S43" s="45"/>
      <c r="T43" s="45"/>
      <c r="U43" s="84"/>
      <c r="V43" s="45"/>
      <c r="W43" s="84"/>
      <c r="X43" s="45"/>
      <c r="Y43" s="45"/>
      <c r="Z43" s="45"/>
      <c r="AA43" s="84"/>
      <c r="AB43" s="84"/>
      <c r="AD43" s="94" t="s">
        <v>100</v>
      </c>
    </row>
    <row r="44" spans="1:30" ht="15.75" hidden="1" x14ac:dyDescent="0.25">
      <c r="A44" s="112"/>
      <c r="B44" s="113"/>
      <c r="D44" s="45" t="s">
        <v>52</v>
      </c>
      <c r="E44" t="str">
        <f ca="1">_xll.SUBNM(Server&amp;"Tiers","",$B$24)</f>
        <v>Tot_tiers</v>
      </c>
      <c r="F44" s="45"/>
      <c r="G44" s="45"/>
      <c r="H44" s="45"/>
      <c r="I44" s="45"/>
      <c r="J44" s="45"/>
      <c r="K44" s="45"/>
      <c r="L44" s="45"/>
      <c r="M44" s="45"/>
      <c r="N44" s="84"/>
      <c r="O44" s="45"/>
      <c r="P44" s="84"/>
      <c r="Q44" s="45"/>
      <c r="R44" s="45"/>
      <c r="S44" s="45"/>
      <c r="T44" s="45"/>
      <c r="U44" s="84"/>
      <c r="V44" s="45"/>
      <c r="W44" s="84"/>
      <c r="X44" s="45"/>
      <c r="Y44" s="45"/>
      <c r="Z44" s="45"/>
      <c r="AA44" s="84"/>
      <c r="AB44" s="84"/>
      <c r="AD44" s="94" t="s">
        <v>101</v>
      </c>
    </row>
    <row r="45" spans="1:30" ht="15.75" hidden="1" x14ac:dyDescent="0.25">
      <c r="A45" s="112"/>
      <c r="B45" s="113"/>
      <c r="D45" s="45" t="s">
        <v>43</v>
      </c>
      <c r="E45" t="str">
        <f ca="1">_xll.SUBNM(Server&amp;"Period","Default",$E$27)</f>
        <v>2013.03_YTD</v>
      </c>
      <c r="F45" s="45"/>
      <c r="G45" s="45"/>
      <c r="H45" s="45"/>
      <c r="I45" s="45"/>
      <c r="J45" s="45"/>
      <c r="K45" s="45"/>
      <c r="L45" s="45"/>
      <c r="M45" s="45"/>
      <c r="N45" s="84"/>
      <c r="O45" s="45"/>
      <c r="P45" s="84"/>
      <c r="Q45" s="45"/>
      <c r="R45" s="45"/>
      <c r="S45" s="45"/>
      <c r="T45" s="45"/>
      <c r="U45" s="84"/>
      <c r="V45" s="45"/>
      <c r="W45" s="84"/>
      <c r="X45" s="45"/>
      <c r="Y45" s="45"/>
      <c r="Z45" s="45"/>
      <c r="AA45" s="84"/>
      <c r="AB45" s="84"/>
      <c r="AD45" s="94" t="s">
        <v>102</v>
      </c>
    </row>
    <row r="46" spans="1:30" ht="15.75" hidden="1" x14ac:dyDescent="0.25">
      <c r="A46" s="112"/>
      <c r="B46" s="113"/>
      <c r="D46" t="str">
        <f ca="1">_xll.DBRA(Server&amp;$AD$22,$AE$23,$AF$19)</f>
        <v>Réalisé</v>
      </c>
      <c r="E46" t="str">
        <f ca="1">_xll.DBRA(Server&amp;$AD$22,$AE$24,$AF$19)</f>
        <v>Réalisé N-1</v>
      </c>
      <c r="F46" s="45"/>
      <c r="G46" s="45"/>
      <c r="H46" s="45"/>
      <c r="I46" s="45"/>
      <c r="J46" s="45"/>
      <c r="K46" s="45"/>
      <c r="L46" s="45"/>
      <c r="M46" s="45"/>
      <c r="N46" s="84"/>
      <c r="O46" s="45"/>
      <c r="P46" s="84"/>
      <c r="Q46" s="45"/>
      <c r="R46" s="45"/>
      <c r="S46" s="45"/>
      <c r="T46" s="45"/>
      <c r="U46" s="84"/>
      <c r="V46" s="45"/>
      <c r="W46" s="84"/>
      <c r="X46" s="45"/>
      <c r="Y46" s="45"/>
      <c r="Z46" s="45"/>
      <c r="AA46" s="84"/>
      <c r="AB46" s="84"/>
      <c r="AD46" s="94" t="s">
        <v>103</v>
      </c>
    </row>
    <row r="47" spans="1:30" ht="15.75" hidden="1" x14ac:dyDescent="0.25">
      <c r="A47" s="112"/>
      <c r="B47" s="113"/>
      <c r="F47" s="45"/>
      <c r="G47" s="45"/>
      <c r="H47" s="45"/>
      <c r="I47" s="45"/>
      <c r="J47" s="45"/>
      <c r="K47" s="45"/>
      <c r="L47" s="45"/>
      <c r="M47" s="45"/>
      <c r="N47" s="84"/>
      <c r="O47" s="45"/>
      <c r="P47" s="84"/>
      <c r="Q47" s="45"/>
      <c r="R47" s="45"/>
      <c r="S47" s="45"/>
      <c r="T47" s="45"/>
      <c r="U47" s="84"/>
      <c r="V47" s="45"/>
      <c r="W47" s="84"/>
      <c r="X47" s="45"/>
      <c r="Y47" s="45"/>
      <c r="Z47" s="45"/>
      <c r="AA47" s="84"/>
      <c r="AB47" s="84"/>
      <c r="AD47" s="94" t="s">
        <v>104</v>
      </c>
    </row>
    <row r="48" spans="1:30" ht="15.75" hidden="1" x14ac:dyDescent="0.25">
      <c r="A48" s="112"/>
      <c r="B48" s="113"/>
      <c r="F48" s="45"/>
      <c r="G48" s="45"/>
      <c r="H48" s="45"/>
      <c r="I48" s="45"/>
      <c r="J48" s="45"/>
      <c r="K48" s="45"/>
      <c r="L48" s="45"/>
      <c r="M48" s="45"/>
      <c r="N48" s="84"/>
      <c r="O48" s="45"/>
      <c r="P48" s="84"/>
      <c r="Q48" s="45"/>
      <c r="R48" s="45"/>
      <c r="S48" s="45"/>
      <c r="T48" s="45"/>
      <c r="U48" s="84"/>
      <c r="V48" s="45"/>
      <c r="W48" s="84"/>
      <c r="X48" s="45"/>
      <c r="Y48" s="45"/>
      <c r="Z48" s="45"/>
      <c r="AA48" s="84"/>
      <c r="AB48" s="84"/>
      <c r="AD48" s="94" t="s">
        <v>105</v>
      </c>
    </row>
    <row r="49" spans="1:32" ht="15.75" hidden="1" x14ac:dyDescent="0.25">
      <c r="A49" s="112"/>
      <c r="B49" s="113"/>
      <c r="F49" s="45"/>
      <c r="G49" s="45"/>
      <c r="H49" s="45"/>
      <c r="I49" s="45"/>
      <c r="J49" s="45"/>
      <c r="K49" s="45"/>
      <c r="L49" s="45"/>
      <c r="M49" s="45"/>
      <c r="N49" s="84"/>
      <c r="O49" s="45"/>
      <c r="P49" s="84"/>
      <c r="Q49" s="45"/>
      <c r="R49" s="45"/>
      <c r="S49" s="45"/>
      <c r="T49" s="45"/>
      <c r="U49" s="84"/>
      <c r="V49" s="45"/>
      <c r="W49" s="84"/>
      <c r="X49" s="45"/>
      <c r="Y49" s="45"/>
      <c r="Z49" s="45"/>
      <c r="AA49" s="84"/>
      <c r="AB49" s="84"/>
      <c r="AD49" s="94" t="s">
        <v>106</v>
      </c>
    </row>
    <row r="50" spans="1:32" ht="15.75" hidden="1" x14ac:dyDescent="0.25">
      <c r="A50" s="112"/>
      <c r="B50" s="113"/>
      <c r="F50" s="45"/>
      <c r="G50" s="45"/>
      <c r="H50" s="45"/>
      <c r="I50" s="45"/>
      <c r="J50" s="45"/>
      <c r="K50" s="45"/>
      <c r="L50" s="45"/>
      <c r="M50" s="45"/>
      <c r="N50" s="84"/>
      <c r="O50" s="45"/>
      <c r="P50" s="84"/>
      <c r="Q50" s="45"/>
      <c r="R50" s="45"/>
      <c r="S50" s="45"/>
      <c r="T50" s="45"/>
      <c r="U50" s="84"/>
      <c r="V50" s="45"/>
      <c r="W50" s="84"/>
      <c r="X50" s="45"/>
      <c r="Y50" s="45"/>
      <c r="Z50" s="45"/>
      <c r="AA50" s="84"/>
      <c r="AB50" s="84"/>
      <c r="AD50" s="94" t="s">
        <v>107</v>
      </c>
    </row>
    <row r="51" spans="1:32" ht="15.75" hidden="1" x14ac:dyDescent="0.25">
      <c r="A51" s="112"/>
      <c r="B51" s="113"/>
      <c r="F51" s="45"/>
      <c r="G51" s="45"/>
      <c r="H51" s="45"/>
      <c r="I51" s="45"/>
      <c r="J51" s="45"/>
      <c r="K51" s="45"/>
      <c r="L51" s="45"/>
      <c r="M51" s="45"/>
      <c r="N51" s="84"/>
      <c r="O51" s="45"/>
      <c r="P51" s="84"/>
      <c r="Q51" s="45"/>
      <c r="R51" s="45"/>
      <c r="S51" s="45"/>
      <c r="T51" s="45"/>
      <c r="U51" s="84"/>
      <c r="V51" s="45"/>
      <c r="W51" s="84"/>
      <c r="X51" s="45"/>
      <c r="Y51" s="45"/>
      <c r="Z51" s="45"/>
      <c r="AA51" s="84"/>
      <c r="AB51" s="84"/>
      <c r="AD51" s="94" t="s">
        <v>108</v>
      </c>
    </row>
    <row r="52" spans="1:32" ht="16.5" hidden="1" thickBot="1" x14ac:dyDescent="0.3">
      <c r="A52" s="112"/>
      <c r="B52" s="113"/>
      <c r="F52" s="45"/>
      <c r="G52" s="45"/>
      <c r="H52" s="45"/>
      <c r="I52" s="45"/>
      <c r="J52" s="45"/>
      <c r="K52" s="45"/>
      <c r="L52" s="45"/>
      <c r="M52" s="45"/>
      <c r="N52" s="84"/>
      <c r="O52" s="45"/>
      <c r="P52" s="84"/>
      <c r="Q52" s="45"/>
      <c r="R52" s="45"/>
      <c r="S52" s="45"/>
      <c r="T52" s="45"/>
      <c r="U52" s="84"/>
      <c r="V52" s="45"/>
      <c r="W52" s="84"/>
      <c r="X52" s="45"/>
      <c r="Y52" s="45"/>
      <c r="Z52" s="45"/>
      <c r="AA52" s="84"/>
      <c r="AB52" s="84"/>
      <c r="AD52" s="95" t="s">
        <v>109</v>
      </c>
    </row>
    <row r="53" spans="1:32" ht="15.75" x14ac:dyDescent="0.25">
      <c r="A53" s="112"/>
      <c r="B53" s="113"/>
      <c r="D53" s="45"/>
      <c r="F53" s="45"/>
      <c r="G53" s="45"/>
      <c r="H53" s="45"/>
      <c r="I53" s="45"/>
      <c r="J53" s="45"/>
      <c r="K53" s="45"/>
      <c r="L53" s="45"/>
      <c r="M53" s="45"/>
      <c r="N53" s="84"/>
      <c r="O53" s="45"/>
      <c r="P53" s="84"/>
      <c r="Q53" s="45"/>
      <c r="R53" s="45"/>
      <c r="S53" s="45"/>
      <c r="T53" s="45"/>
      <c r="U53" s="84"/>
      <c r="V53" s="45"/>
      <c r="W53" s="84"/>
      <c r="X53" s="45"/>
      <c r="Y53" s="45"/>
      <c r="Z53" s="45"/>
      <c r="AA53" s="84"/>
      <c r="AB53" s="84"/>
    </row>
    <row r="54" spans="1:32" ht="18.75" customHeight="1" x14ac:dyDescent="0.2">
      <c r="A54" s="112"/>
      <c r="B54" s="113"/>
      <c r="J54" s="180" t="str">
        <f ca="1">_xll.DBRA(Server&amp;$E$11,$F$11,$AF$19)</f>
        <v>Cumul Mars 2012</v>
      </c>
      <c r="K54" s="180"/>
      <c r="L54" s="180"/>
      <c r="M54" s="180"/>
      <c r="Q54" s="166" t="str">
        <f ca="1">_xll.DBRA(Server&amp;$E$11,$G$11,$AF$19)</f>
        <v>Cumul Mars 2013</v>
      </c>
      <c r="R54" s="166"/>
      <c r="S54" s="166"/>
      <c r="T54" s="166"/>
      <c r="X54" s="166" t="str">
        <f ca="1">_xll.DBRA(Server&amp;$AD$22,$AD$32,$AF$19)</f>
        <v>Variances</v>
      </c>
      <c r="Y54" s="166"/>
      <c r="Z54" s="166"/>
    </row>
    <row r="55" spans="1:32" ht="18" customHeight="1" thickBot="1" x14ac:dyDescent="0.25">
      <c r="A55" s="112"/>
      <c r="B55" s="113"/>
      <c r="D55" s="56"/>
      <c r="J55" s="181"/>
      <c r="K55" s="181"/>
      <c r="L55" s="181"/>
      <c r="M55" s="181"/>
      <c r="Q55" s="167"/>
      <c r="R55" s="167"/>
      <c r="S55" s="167"/>
      <c r="T55" s="167"/>
      <c r="X55" s="167"/>
      <c r="Y55" s="167"/>
      <c r="Z55" s="167"/>
    </row>
    <row r="56" spans="1:32" ht="39.75" customHeight="1" thickTop="1" x14ac:dyDescent="0.2">
      <c r="A56" s="112"/>
      <c r="B56" s="113"/>
      <c r="J56" s="57" t="str">
        <f ca="1">_xll.DBRA(Server&amp;$AD$22,$AD$34,$AF$19)</f>
        <v>Notes de frais</v>
      </c>
      <c r="K56" s="62" t="str">
        <f ca="1">_xll.DBRA(Server&amp;$AD$22,$AD$35,$AF$19)</f>
        <v>Billets de transport</v>
      </c>
      <c r="L56" s="63" t="str">
        <f ca="1">_xll.DBRA(Server&amp;$AD$22,$AD$36,$AF$19)</f>
        <v>Téléphones mobiles</v>
      </c>
      <c r="M56" s="63" t="str">
        <f ca="1">_xll.DBRA(Server&amp;$AD$22,$AD$37,$AF$19)</f>
        <v>Coûts de véhicules</v>
      </c>
      <c r="O56" s="62" t="s">
        <v>58</v>
      </c>
      <c r="Q56" s="57" t="str">
        <f ca="1">_xll.DBRA(Server&amp;$AD$22,$AD$34,$AF$19)</f>
        <v>Notes de frais</v>
      </c>
      <c r="R56" s="62" t="str">
        <f ca="1">_xll.DBRA(Server&amp;$AD$22,$AD$35,$AF$19)</f>
        <v>Billets de transport</v>
      </c>
      <c r="S56" s="63" t="str">
        <f ca="1">_xll.DBRA(Server&amp;$AD$22,$AD$36,$AF$19)</f>
        <v>Téléphones mobiles</v>
      </c>
      <c r="T56" s="63" t="str">
        <f ca="1">_xll.DBRA(Server&amp;$AD$22,$AD$37,$AF$19)</f>
        <v>Coûts de véhicules</v>
      </c>
      <c r="V56" s="143" t="s">
        <v>58</v>
      </c>
      <c r="X56" s="178" t="str">
        <f ca="1">$D$46&amp;" / "&amp;$E$46</f>
        <v>Réalisé / Réalisé N-1</v>
      </c>
      <c r="Y56" s="179"/>
      <c r="Z56" s="62" t="str">
        <f ca="1">_xll.DBRA(Server&amp;$AD$22,$AD$33,$AF$19)</f>
        <v>Variance</v>
      </c>
      <c r="AC56" s="78" t="s">
        <v>59</v>
      </c>
      <c r="AD56" s="78" t="s">
        <v>59</v>
      </c>
      <c r="AE56" s="78" t="s">
        <v>59</v>
      </c>
      <c r="AF56" s="78" t="s">
        <v>59</v>
      </c>
    </row>
    <row r="57" spans="1:32" x14ac:dyDescent="0.2">
      <c r="A57" s="112"/>
      <c r="B57" s="113"/>
      <c r="AC57" s="78" t="s">
        <v>78</v>
      </c>
      <c r="AD57" s="78" t="s">
        <v>79</v>
      </c>
      <c r="AE57" s="78" t="s">
        <v>80</v>
      </c>
      <c r="AF57" s="78" t="s">
        <v>81</v>
      </c>
    </row>
    <row r="58" spans="1:32" x14ac:dyDescent="0.2">
      <c r="A58" s="112"/>
      <c r="B58" s="113"/>
      <c r="AC58" s="78"/>
      <c r="AD58" s="78"/>
      <c r="AE58" s="78"/>
      <c r="AF58" s="78"/>
    </row>
    <row r="59" spans="1:32" ht="27" customHeight="1" x14ac:dyDescent="0.35">
      <c r="A59" s="120" t="s">
        <v>49</v>
      </c>
      <c r="B59" s="113" t="s">
        <v>70</v>
      </c>
      <c r="D59" s="144" t="str">
        <f ca="1">_xll.DBRA(Server&amp;$A$59,$B$59,$E$25)</f>
        <v>VTD</v>
      </c>
      <c r="E59" s="103"/>
      <c r="F59" s="103"/>
      <c r="G59" s="103"/>
      <c r="H59" s="103"/>
      <c r="I59" s="104"/>
      <c r="J59" s="105">
        <f ca="1">_xll.DBRW(Server&amp;Cube1,$E$30,$E$23,$E$24,$E$29,$B$25,$E$26,$E$28,$B$24,$F$11,$F$10,$B$27)</f>
        <v>-92.021499999999989</v>
      </c>
      <c r="K59" s="105">
        <f ca="1">_xll.DBRW(Server&amp;Cube1,$E$30,$E$23,$E$24,$E$29,$B$25,$E$26,$E$28,$B$24,$F$11,$F$10,$B$28)</f>
        <v>-191.41698999999997</v>
      </c>
      <c r="L59" s="105">
        <f ca="1">_xll.DBRW(Server&amp;Cube1,$E$30,$E$23,$E$24,$E$29,$B$25,$E$26,$E$28,$B$24,$F$11,$F$10,$B$29)</f>
        <v>-0.53798999999999997</v>
      </c>
      <c r="M59" s="105">
        <f ca="1">_xll.DBRW(Server&amp;Cube1,$E$30,$E$23,$E$24,$E$29,$B$25,$E$26,$E$28,$B$24,$F$11,$F$10,$B$30)</f>
        <v>-111.47484999999999</v>
      </c>
      <c r="N59" s="106"/>
      <c r="O59" s="105">
        <f ca="1">$J$59+$K$59+$L$59+$M$59</f>
        <v>-395.45132999999993</v>
      </c>
      <c r="P59" s="106"/>
      <c r="Q59" s="121">
        <f ca="1">_xll.DBRW(Server&amp;Cube1,$E$30,$E$23,$E$24,$E$29,$B$25,$E$26,$E$28,$B$24,$G$11,$G$10,$B$27)</f>
        <v>-72.313639999999978</v>
      </c>
      <c r="R59" s="121">
        <f ca="1">_xll.DBRW(Server&amp;Cube1,$E$30,$E$23,$E$24,$E$29,$B$25,$E$26,$E$28,$B$24,$G$11,$G$10,$B$28)</f>
        <v>-183.31113000000005</v>
      </c>
      <c r="S59" s="121">
        <f ca="1">_xll.DBRW(Server&amp;Cube1,$E$30,$E$23,$E$24,$E$29,$B$25,$E$26,$E$28,$B$24,$G$11,$G$10,$B$29)</f>
        <v>-6.0680400000000017</v>
      </c>
      <c r="T59" s="121">
        <f ca="1">_xll.DBRW(Server&amp;Cube1,$E$30,$E$23,$E$24,$E$29,$B$25,$E$26,$E$28,$B$24,$G$11,$G$10,$B$30)</f>
        <v>-92.068250000000006</v>
      </c>
      <c r="U59" s="122"/>
      <c r="V59" s="121">
        <f ca="1">$Q$59+$R$59+$S$59+$T$59</f>
        <v>-353.76106000000004</v>
      </c>
      <c r="W59" s="145"/>
      <c r="X59" s="160">
        <f ca="1">$V$59-$O$59</f>
        <v>41.690269999999884</v>
      </c>
      <c r="Y59" s="161">
        <f ca="1">IF($O$59=0,0,IF($O$59&lt;0,$X$59/-$O$59,$X$59/$O$59))</f>
        <v>0.1054245284748439</v>
      </c>
      <c r="Z59" s="159" t="str">
        <f ca="1">IF($Y$59&gt;0.01,$AG$24,IF($Y$59&lt;-0.01,$AH$24,$AI$24))</f>
        <v>ì</v>
      </c>
      <c r="AC59" s="78"/>
      <c r="AD59" s="78"/>
      <c r="AE59" s="78"/>
      <c r="AF59" s="78"/>
    </row>
    <row r="60" spans="1:32" ht="23.25" x14ac:dyDescent="0.2">
      <c r="A60">
        <f ca="1">IF(_xll.TM1RPTELISCONSOLIDATED($D$60,$D60),IF(_xll.TM1RPTELLEV($D$60,$D60)&lt;=3,_xll.TM1RPTELLEV($D$60,$D60),"D"),"N")</f>
        <v>0</v>
      </c>
      <c r="D60" s="182" t="str">
        <f ca="1">_xll.TM1RPTROW($D$36,Server&amp;"Matricules","","",$E$25,0,$D$34,,1)</f>
        <v>Fonctions centrales</v>
      </c>
      <c r="E60" s="127"/>
      <c r="F60" s="127"/>
      <c r="G60" s="127"/>
      <c r="H60" s="127"/>
      <c r="I60" s="102"/>
      <c r="J60" s="102">
        <f ca="1">_xll.DBRW(Server&amp;Cube1,$E$30,$E$23,$E$24,$E$29,$D60,$E$26,$E$28,$B$24,$F$11,$F$10,$B$27)</f>
        <v>-15.707960000000002</v>
      </c>
      <c r="K60" s="102">
        <f ca="1">_xll.DBRW(Server&amp;Cube1,$E$30,$E$23,$E$24,$E$29,$D60,$E$26,$E$28,$B$24,$F$11,$F$10,$B$28)</f>
        <v>-43.775910000000003</v>
      </c>
      <c r="L60" s="102">
        <f ca="1">_xll.DBRW(Server&amp;Cube1,$E$30,$E$23,$E$24,$E$29,$D60,$E$26,$E$28,$B$24,$F$11,$F$10,$B$29)</f>
        <v>-0.27500000000000002</v>
      </c>
      <c r="M60" s="102">
        <f ca="1">_xll.DBRW(Server&amp;Cube1,$E$30,$E$23,$E$24,$E$29,$D60,$E$26,$E$28,$B$24,$F$11,$F$10,$B$30)</f>
        <v>-57.049319999999994</v>
      </c>
      <c r="N60" s="102"/>
      <c r="O60" s="105">
        <f ca="1">$J60+$K60+$L60+$M60</f>
        <v>-116.80819</v>
      </c>
      <c r="P60" s="102"/>
      <c r="Q60" s="130">
        <f ca="1">_xll.DBRW(Server&amp;Cube1,$E$30,$E$23,$E$24,$E$29,$D60,$E$26,$E$28,$B$24,$G$11,$G$10,$B$27)</f>
        <v>-33.334069999999997</v>
      </c>
      <c r="R60" s="130">
        <f ca="1">_xll.DBRW(Server&amp;Cube1,$E$30,$E$23,$E$24,$E$29,$D60,$E$26,$E$28,$B$24,$G$11,$G$10,$B$28)</f>
        <v>-73.982160000000007</v>
      </c>
      <c r="S60" s="130">
        <f ca="1">_xll.DBRW(Server&amp;Cube1,$E$30,$E$23,$E$24,$E$29,$D60,$E$26,$E$28,$B$24,$G$11,$G$10,$B$29)</f>
        <v>-5.5197299999999991</v>
      </c>
      <c r="T60" s="130">
        <f ca="1">_xll.DBRW(Server&amp;Cube1,$E$30,$E$23,$E$24,$E$29,$D60,$E$26,$E$28,$B$24,$G$11,$G$10,$B$30)</f>
        <v>-40.51147000000001</v>
      </c>
      <c r="U60" s="123"/>
      <c r="V60" s="121">
        <f ca="1">$Q60+$R60+$S60+$T60</f>
        <v>-153.34743</v>
      </c>
      <c r="W60" s="123"/>
      <c r="X60" s="146">
        <f ca="1">$V60-$O60</f>
        <v>-36.539240000000007</v>
      </c>
      <c r="Y60" s="147">
        <f ca="1">IF($O60=0,0,IF($O60&lt;0,$X60/-$O60,$X60/$O60))</f>
        <v>-0.312814024427568</v>
      </c>
      <c r="Z60" s="157" t="str">
        <f ca="1">IF($Y60&gt;0.01,$AG$24,IF($Y60&lt;-0.01,$AH$24,$AI$24))</f>
        <v>î</v>
      </c>
      <c r="AA60" s="85"/>
      <c r="AC60" s="100">
        <f ca="1">_xll.DBRW($D$36,$E$38,$E$39,$E$40,$E$41,$D60,$E$42,$E$43,$E$44,$E$45,AC$56,AC$57)</f>
        <v>-33.334069999999997</v>
      </c>
      <c r="AD60" s="100">
        <f ca="1">_xll.DBRW($D$36,$E$38,$E$39,$E$40,$E$41,$D60,$E$42,$E$43,$E$44,$E$45,AD$56,AD$57)</f>
        <v>-73.982160000000007</v>
      </c>
      <c r="AE60" s="100">
        <f ca="1">_xll.DBRW($D$36,$E$38,$E$39,$E$40,$E$41,$D60,$E$42,$E$43,$E$44,$E$45,AE$56,AE$57)</f>
        <v>-5.5197299999999991</v>
      </c>
      <c r="AF60" s="100">
        <f ca="1">_xll.DBRW($D$36,$E$38,$E$39,$E$40,$E$41,$D60,$E$42,$E$43,$E$44,$E$45,AF$56,AF$57)</f>
        <v>-40.51147000000001</v>
      </c>
    </row>
    <row r="61" spans="1:32" ht="23.25" x14ac:dyDescent="0.2">
      <c r="A61">
        <f ca="1">IF(_xll.TM1RPTELISCONSOLIDATED($D$60,$D61),IF(_xll.TM1RPTELLEV($D$60,$D61)&lt;=3,_xll.TM1RPTELLEV($D$60,$D61),"D"),"N")</f>
        <v>0</v>
      </c>
      <c r="D61" s="182" t="s">
        <v>121</v>
      </c>
      <c r="E61" s="127"/>
      <c r="F61" s="127"/>
      <c r="G61" s="127"/>
      <c r="H61" s="127"/>
      <c r="I61" s="102"/>
      <c r="J61" s="102">
        <f ca="1">_xll.DBRW(Server&amp;Cube1,$E$30,$E$23,$E$24,$E$29,$D61,$E$26,$E$28,$B$24,$F$11,$F$10,$B$27)</f>
        <v>-19.922619999999998</v>
      </c>
      <c r="K61" s="102">
        <f ca="1">_xll.DBRW(Server&amp;Cube1,$E$30,$E$23,$E$24,$E$29,$D61,$E$26,$E$28,$B$24,$F$11,$F$10,$B$28)</f>
        <v>-117.50571000000001</v>
      </c>
      <c r="L61" s="102">
        <f ca="1">_xll.DBRW(Server&amp;Cube1,$E$30,$E$23,$E$24,$E$29,$D61,$E$26,$E$28,$B$24,$F$11,$F$10,$B$29)</f>
        <v>-0.22422999999999998</v>
      </c>
      <c r="M61" s="102">
        <f ca="1">_xll.DBRW(Server&amp;Cube1,$E$30,$E$23,$E$24,$E$29,$D61,$E$26,$E$28,$B$24,$F$11,$F$10,$B$30)</f>
        <v>-31.889749999999999</v>
      </c>
      <c r="N61" s="102"/>
      <c r="O61" s="105">
        <f t="shared" ref="O61:O62" ca="1" si="0">$J61+$K61+$L61+$M61</f>
        <v>-169.54231000000001</v>
      </c>
      <c r="P61" s="102"/>
      <c r="Q61" s="130">
        <f ca="1">_xll.DBRW(Server&amp;Cube1,$E$30,$E$23,$E$24,$E$29,$D61,$E$26,$E$28,$B$24,$G$11,$G$10,$B$27)</f>
        <v>-54.055119999999995</v>
      </c>
      <c r="R61" s="130">
        <f ca="1">_xll.DBRW(Server&amp;Cube1,$E$30,$E$23,$E$24,$E$29,$D61,$E$26,$E$28,$B$24,$G$11,$G$10,$B$28)</f>
        <v>-54.890930000000012</v>
      </c>
      <c r="S61" s="130">
        <f ca="1">_xll.DBRW(Server&amp;Cube1,$E$30,$E$23,$E$24,$E$29,$D61,$E$26,$E$28,$B$24,$G$11,$G$10,$B$29)</f>
        <v>-5.7589099999999993</v>
      </c>
      <c r="T61" s="130">
        <f ca="1">_xll.DBRW(Server&amp;Cube1,$E$30,$E$23,$E$24,$E$29,$D61,$E$26,$E$28,$B$24,$G$11,$G$10,$B$30)</f>
        <v>-25.731079999999999</v>
      </c>
      <c r="U61" s="123"/>
      <c r="V61" s="121">
        <f t="shared" ref="V61:V62" ca="1" si="1">$Q61+$R61+$S61+$T61</f>
        <v>-140.43604000000002</v>
      </c>
      <c r="W61" s="123"/>
      <c r="X61" s="146">
        <f t="shared" ref="X61:X62" ca="1" si="2">$V61-$O61</f>
        <v>29.106269999999995</v>
      </c>
      <c r="Y61" s="147">
        <f t="shared" ref="Y61:Y62" ca="1" si="3">IF($O61=0,0,IF($O61&lt;0,$X61/-$O61,$X61/$O61))</f>
        <v>0.17167555402542287</v>
      </c>
      <c r="Z61" s="157" t="str">
        <f t="shared" ref="Z61:Z62" ca="1" si="4">IF($Y61&gt;0.01,$AG$24,IF($Y61&lt;-0.01,$AH$24,$AI$24))</f>
        <v>ì</v>
      </c>
      <c r="AA61" s="85"/>
      <c r="AC61" s="100">
        <f ca="1">_xll.DBRW($D$36,$E$38,$E$39,$E$40,$E$41,$D61,$E$42,$E$43,$E$44,$E$45,AC$56,AC$57)</f>
        <v>-54.055119999999995</v>
      </c>
      <c r="AD61" s="100">
        <f ca="1">_xll.DBRW($D$36,$E$38,$E$39,$E$40,$E$41,$D61,$E$42,$E$43,$E$44,$E$45,AD$56,AD$57)</f>
        <v>-54.890930000000012</v>
      </c>
      <c r="AE61" s="100">
        <f ca="1">_xll.DBRW($D$36,$E$38,$E$39,$E$40,$E$41,$D61,$E$42,$E$43,$E$44,$E$45,AE$56,AE$57)</f>
        <v>-5.7589099999999993</v>
      </c>
      <c r="AF61" s="100">
        <f ca="1">_xll.DBRW($D$36,$E$38,$E$39,$E$40,$E$41,$D61,$E$42,$E$43,$E$44,$E$45,AF$56,AF$57)</f>
        <v>-25.731079999999999</v>
      </c>
    </row>
    <row r="62" spans="1:32" ht="23.25" x14ac:dyDescent="0.2">
      <c r="A62">
        <f ca="1">IF(_xll.TM1RPTELISCONSOLIDATED($D$60,$D62),IF(_xll.TM1RPTELLEV($D$60,$D62)&lt;=3,_xll.TM1RPTELLEV($D$60,$D62),"D"),"N")</f>
        <v>0</v>
      </c>
      <c r="D62" s="182" t="s">
        <v>122</v>
      </c>
      <c r="E62" s="127"/>
      <c r="F62" s="127"/>
      <c r="G62" s="127"/>
      <c r="H62" s="127"/>
      <c r="I62" s="102"/>
      <c r="J62" s="102">
        <f ca="1">_xll.DBRW(Server&amp;Cube1,$E$30,$E$23,$E$24,$E$29,$D62,$E$26,$E$28,$B$24,$F$11,$F$10,$B$27)</f>
        <v>-11.548110000000001</v>
      </c>
      <c r="K62" s="102">
        <f ca="1">_xll.DBRW(Server&amp;Cube1,$E$30,$E$23,$E$24,$E$29,$D62,$E$26,$E$28,$B$24,$F$11,$F$10,$B$28)</f>
        <v>-6.0538500000000006</v>
      </c>
      <c r="L62" s="102">
        <f ca="1">_xll.DBRW(Server&amp;Cube1,$E$30,$E$23,$E$24,$E$29,$D62,$E$26,$E$28,$B$24,$F$11,$F$10,$B$29)</f>
        <v>-3.8759999999999996E-2</v>
      </c>
      <c r="M62" s="102">
        <f ca="1">_xll.DBRW(Server&amp;Cube1,$E$30,$E$23,$E$24,$E$29,$D62,$E$26,$E$28,$B$24,$F$11,$F$10,$B$30)</f>
        <v>-21.345190000000006</v>
      </c>
      <c r="N62" s="102"/>
      <c r="O62" s="105">
        <f t="shared" ca="1" si="0"/>
        <v>-38.985910000000004</v>
      </c>
      <c r="P62" s="102"/>
      <c r="Q62" s="130">
        <f ca="1">_xll.DBRW(Server&amp;Cube1,$E$30,$E$23,$E$24,$E$29,$D62,$E$26,$E$28,$B$24,$G$11,$G$10,$B$27)</f>
        <v>-15.324449999999999</v>
      </c>
      <c r="R62" s="130">
        <f ca="1">_xll.DBRW(Server&amp;Cube1,$E$30,$E$23,$E$24,$E$29,$D62,$E$26,$E$28,$B$24,$G$11,$G$10,$B$28)</f>
        <v>-2.2596500000000002</v>
      </c>
      <c r="S62" s="130">
        <f ca="1">_xll.DBRW(Server&amp;Cube1,$E$30,$E$23,$E$24,$E$29,$D62,$E$26,$E$28,$B$24,$G$11,$G$10,$B$29)</f>
        <v>-1.0113000000000001</v>
      </c>
      <c r="T62" s="130">
        <f ca="1">_xll.DBRW(Server&amp;Cube1,$E$30,$E$23,$E$24,$E$29,$D62,$E$26,$E$28,$B$24,$G$11,$G$10,$B$30)</f>
        <v>-12.662600000000003</v>
      </c>
      <c r="U62" s="123"/>
      <c r="V62" s="121">
        <f t="shared" ca="1" si="1"/>
        <v>-31.258000000000003</v>
      </c>
      <c r="W62" s="123"/>
      <c r="X62" s="146">
        <f t="shared" ca="1" si="2"/>
        <v>7.7279100000000014</v>
      </c>
      <c r="Y62" s="147">
        <f t="shared" ca="1" si="3"/>
        <v>0.19822315292884021</v>
      </c>
      <c r="Z62" s="157" t="str">
        <f t="shared" ca="1" si="4"/>
        <v>ì</v>
      </c>
      <c r="AA62" s="85"/>
      <c r="AC62" s="100">
        <f ca="1">_xll.DBRW($D$36,$E$38,$E$39,$E$40,$E$41,$D62,$E$42,$E$43,$E$44,$E$45,AC$56,AC$57)</f>
        <v>-15.324449999999999</v>
      </c>
      <c r="AD62" s="100">
        <f ca="1">_xll.DBRW($D$36,$E$38,$E$39,$E$40,$E$41,$D62,$E$42,$E$43,$E$44,$E$45,AD$56,AD$57)</f>
        <v>-2.2596500000000002</v>
      </c>
      <c r="AE62" s="100">
        <f ca="1">_xll.DBRW($D$36,$E$38,$E$39,$E$40,$E$41,$D62,$E$42,$E$43,$E$44,$E$45,AE$56,AE$57)</f>
        <v>-1.0113000000000001</v>
      </c>
      <c r="AF62" s="100">
        <f ca="1">_xll.DBRW($D$36,$E$38,$E$39,$E$40,$E$41,$D62,$E$42,$E$43,$E$44,$E$45,AF$56,AF$57)</f>
        <v>-12.662600000000003</v>
      </c>
    </row>
    <row r="63" spans="1:32" hidden="1" x14ac:dyDescent="0.2">
      <c r="A63" s="112"/>
      <c r="B63" s="113"/>
      <c r="Q63" s="124"/>
      <c r="R63" s="124"/>
      <c r="S63" s="124"/>
      <c r="T63" s="124"/>
      <c r="U63" s="125"/>
      <c r="V63" s="124"/>
      <c r="X63" s="124"/>
      <c r="Y63" s="126"/>
    </row>
    <row r="64" spans="1:32" ht="23.25" x14ac:dyDescent="0.2">
      <c r="A64" s="120" t="s">
        <v>49</v>
      </c>
      <c r="B64" s="113" t="s">
        <v>119</v>
      </c>
      <c r="D64" s="136" t="str">
        <f ca="1">_xll.DBRA(Server&amp;$A$64,$B$64,$E$25)</f>
        <v>Non affecté</v>
      </c>
      <c r="E64" s="137"/>
      <c r="F64" s="137"/>
      <c r="G64" s="137"/>
      <c r="H64" s="137"/>
      <c r="Q64" s="134">
        <f ca="1">_xll.DBRW(Server&amp;Cube1,$E$30,$E$23,$E$24,$E$29,$B$64,$E$26,$E$28,$B$24,$G$11,$G$10,$B$27)</f>
        <v>30.400000000000002</v>
      </c>
      <c r="R64" s="134">
        <f ca="1">_xll.DBRW(Server&amp;Cube1,$E$30,$E$23,$E$24,$E$29,$B$64,$E$26,$E$28,$B$24,$G$11,$G$10,$B$28)</f>
        <v>-52.17839</v>
      </c>
      <c r="S64" s="134">
        <f ca="1">_xll.DBRW(Server&amp;Cube1,$E$30,$E$23,$E$24,$E$29,$B$64,$E$26,$E$28,$B$24,$G$11,$G$10,$B$29)</f>
        <v>6.2219000000000007</v>
      </c>
      <c r="T64" s="134">
        <f ca="1">_xll.DBRW(Server&amp;Cube1,$E$30,$E$23,$E$24,$E$29,$B$64,$E$26,$E$28,$B$24,$G$11,$G$10,$B$30)</f>
        <v>-13.163099999999998</v>
      </c>
      <c r="U64" s="123"/>
      <c r="V64" s="121">
        <f ca="1">$Q$59+$R$59+$S$59+$T$59</f>
        <v>-353.76106000000004</v>
      </c>
      <c r="W64" s="102"/>
      <c r="X64" s="134">
        <f ca="1">$V$59-$O$59</f>
        <v>41.690269999999884</v>
      </c>
      <c r="Y64" s="135">
        <f ca="1">IF($O$59=0,0,IF($O$59&lt;0,$X$59/-$O$59,$X$59/$O$59))</f>
        <v>0.1054245284748439</v>
      </c>
      <c r="Z64" s="142" t="str">
        <f ca="1">IF($Y$59&gt;0.01,$AG$24,IF($Y$59&lt;-0.01,$AH$24,$AI$24))</f>
        <v>ì</v>
      </c>
    </row>
    <row r="65" spans="1:48" x14ac:dyDescent="0.2">
      <c r="A65" s="32"/>
      <c r="B65" s="109" t="s">
        <v>84</v>
      </c>
    </row>
    <row r="66" spans="1:48" s="4" customFormat="1" ht="17.25" customHeight="1" thickBot="1" x14ac:dyDescent="0.35">
      <c r="A66" s="32"/>
      <c r="B66" s="109" t="s">
        <v>10</v>
      </c>
      <c r="D66" s="5" t="str">
        <f ca="1">_xll.DBRA(Server&amp;$AD$22,$B$66,$AF$19)</f>
        <v>Commentaires</v>
      </c>
      <c r="E66" s="50"/>
      <c r="F66" s="50"/>
      <c r="G66" s="50"/>
      <c r="H66" s="50"/>
      <c r="I66" s="51"/>
      <c r="J66" s="52"/>
      <c r="K66" s="52"/>
      <c r="L66" s="53"/>
      <c r="M66" s="54"/>
      <c r="N66" s="54"/>
      <c r="O66" s="54"/>
      <c r="P66" s="55"/>
      <c r="Q66" s="55"/>
      <c r="R66" s="51"/>
      <c r="S66" s="51"/>
      <c r="T66" s="51"/>
      <c r="U66" s="51"/>
      <c r="V66" s="51"/>
      <c r="W66" s="51"/>
      <c r="X66" s="51"/>
      <c r="Y66" s="51"/>
      <c r="Z66" s="51"/>
      <c r="AA66" s="51"/>
      <c r="AD66" s="2"/>
      <c r="AI66" s="22"/>
      <c r="AJ66" s="22"/>
      <c r="AK66" s="22"/>
      <c r="AL66" s="22"/>
      <c r="AM66" s="22"/>
      <c r="AN66" s="22"/>
      <c r="AO66" s="22"/>
      <c r="AP66" s="14"/>
      <c r="AQ66" s="22"/>
      <c r="AR66" s="22"/>
      <c r="AS66" s="22"/>
      <c r="AT66" s="22"/>
      <c r="AU66" s="22"/>
      <c r="AV66" s="22"/>
    </row>
    <row r="67" spans="1:48" s="4" customFormat="1" ht="17.25" customHeight="1" x14ac:dyDescent="0.2">
      <c r="A67" s="32"/>
      <c r="B67" s="109" t="s">
        <v>30</v>
      </c>
      <c r="D67" s="168" t="str">
        <f ca="1">_xll.DBRW(Server&amp;Cube2,$E$23,$E$24,$E$29,$E$26,$E$28,$B$24,$G$11,$S$10,$S$11,$B$65,$B$67)</f>
        <v/>
      </c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70"/>
      <c r="AD67" s="2"/>
      <c r="AI67" s="22"/>
      <c r="AJ67" s="22"/>
      <c r="AK67" s="22"/>
      <c r="AL67" s="22"/>
      <c r="AM67" s="22"/>
      <c r="AN67" s="22"/>
      <c r="AO67" s="22"/>
      <c r="AP67" s="14"/>
      <c r="AQ67" s="22"/>
      <c r="AR67" s="22"/>
      <c r="AS67" s="22"/>
      <c r="AT67" s="22"/>
      <c r="AU67" s="22"/>
      <c r="AV67" s="22"/>
    </row>
    <row r="68" spans="1:48" s="4" customFormat="1" ht="17.25" customHeight="1" x14ac:dyDescent="0.2">
      <c r="A68" s="32"/>
      <c r="B68" s="109" t="s">
        <v>31</v>
      </c>
      <c r="D68" s="171" t="str">
        <f ca="1">_xll.DBRW(Server&amp;Cube2,$E$23,$E$24,$E$29,$E$26,$E$28,$B$24,$G$11,$S$10,$S$11,$B$65,$B$68)</f>
        <v/>
      </c>
      <c r="E68" s="172"/>
      <c r="F68" s="172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172"/>
      <c r="V68" s="172"/>
      <c r="W68" s="172"/>
      <c r="X68" s="172"/>
      <c r="Y68" s="172"/>
      <c r="Z68" s="173"/>
      <c r="AD68" s="2"/>
      <c r="AI68" s="22"/>
      <c r="AJ68" s="22"/>
      <c r="AK68" s="22"/>
      <c r="AL68" s="22"/>
      <c r="AM68" s="22"/>
      <c r="AN68" s="22"/>
      <c r="AO68" s="22"/>
      <c r="AP68" s="14"/>
      <c r="AQ68" s="22"/>
      <c r="AR68" s="22"/>
      <c r="AS68" s="22"/>
      <c r="AT68" s="22"/>
      <c r="AU68" s="22"/>
      <c r="AV68" s="22"/>
    </row>
    <row r="69" spans="1:48" s="4" customFormat="1" ht="17.25" customHeight="1" x14ac:dyDescent="0.2">
      <c r="A69" s="32"/>
      <c r="B69" s="109" t="s">
        <v>32</v>
      </c>
      <c r="D69" s="171" t="str">
        <f ca="1">_xll.DBRW(Server&amp;Cube2,$E$23,$E$24,$E$29,$E$26,$E$28,$B$24,$G$11,$S$10,$S$11,$B$65,$B$69)</f>
        <v/>
      </c>
      <c r="E69" s="172"/>
      <c r="F69" s="172"/>
      <c r="G69" s="172"/>
      <c r="H69" s="172"/>
      <c r="I69" s="172"/>
      <c r="J69" s="172"/>
      <c r="K69" s="172"/>
      <c r="L69" s="172"/>
      <c r="M69" s="172"/>
      <c r="N69" s="172"/>
      <c r="O69" s="172"/>
      <c r="P69" s="172"/>
      <c r="Q69" s="172"/>
      <c r="R69" s="172"/>
      <c r="S69" s="172"/>
      <c r="T69" s="172"/>
      <c r="U69" s="172"/>
      <c r="V69" s="172"/>
      <c r="W69" s="172"/>
      <c r="X69" s="172"/>
      <c r="Y69" s="172"/>
      <c r="Z69" s="173"/>
      <c r="AD69" s="2"/>
      <c r="AI69" s="22"/>
      <c r="AJ69" s="22"/>
      <c r="AK69" s="22"/>
      <c r="AL69" s="22"/>
      <c r="AM69" s="22"/>
      <c r="AN69" s="22"/>
      <c r="AO69" s="22"/>
      <c r="AP69" s="14"/>
      <c r="AQ69" s="22"/>
      <c r="AR69" s="22"/>
      <c r="AS69" s="22"/>
      <c r="AT69" s="22"/>
      <c r="AU69" s="22"/>
      <c r="AV69" s="22"/>
    </row>
    <row r="70" spans="1:48" s="4" customFormat="1" ht="17.25" customHeight="1" thickBot="1" x14ac:dyDescent="0.25">
      <c r="A70" s="32"/>
      <c r="B70" s="109" t="s">
        <v>33</v>
      </c>
      <c r="D70" s="175" t="str">
        <f ca="1">_xll.DBRW(Server&amp;Cube2,$E$23,$E$24,$E$29,$E$26,$E$28,$B$24,$G$11,$S$10,$S$11,$B$65,$B$70)</f>
        <v/>
      </c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7"/>
      <c r="AD70" s="2"/>
      <c r="AI70" s="22"/>
      <c r="AJ70" s="22"/>
      <c r="AK70" s="22"/>
      <c r="AL70" s="22"/>
      <c r="AM70" s="22"/>
      <c r="AN70" s="22"/>
      <c r="AO70" s="22"/>
      <c r="AP70" s="14"/>
      <c r="AQ70" s="22"/>
      <c r="AR70" s="22"/>
      <c r="AS70" s="22"/>
      <c r="AT70" s="22"/>
      <c r="AU70" s="22"/>
      <c r="AV70" s="22"/>
    </row>
    <row r="71" spans="1:48" s="4" customFormat="1" ht="17.25" customHeight="1" x14ac:dyDescent="0.25">
      <c r="A71" s="32"/>
      <c r="B71" s="109"/>
      <c r="C71" s="47"/>
      <c r="E71" s="47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I71" s="22"/>
      <c r="AJ71" s="22"/>
      <c r="AK71" s="22"/>
      <c r="AL71" s="22"/>
      <c r="AM71" s="22"/>
      <c r="AN71" s="22"/>
      <c r="AO71" s="22"/>
      <c r="AP71" s="14"/>
      <c r="AQ71" s="22"/>
      <c r="AR71" s="73"/>
      <c r="AS71" s="51"/>
      <c r="AT71" s="74"/>
      <c r="AU71" s="22"/>
      <c r="AV71" s="22"/>
    </row>
    <row r="72" spans="1:48" s="4" customFormat="1" ht="17.25" customHeight="1" x14ac:dyDescent="0.25">
      <c r="A72" s="32"/>
      <c r="B72" s="109"/>
      <c r="C72" s="47"/>
      <c r="E72" s="47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I72" s="22"/>
      <c r="AJ72" s="22"/>
      <c r="AK72" s="22"/>
      <c r="AL72" s="22"/>
      <c r="AM72" s="22"/>
      <c r="AN72" s="22"/>
      <c r="AO72" s="22"/>
      <c r="AP72" s="14"/>
      <c r="AQ72" s="22"/>
      <c r="AR72" s="73"/>
      <c r="AS72" s="51"/>
      <c r="AT72" s="74"/>
      <c r="AU72" s="22"/>
      <c r="AV72" s="22"/>
    </row>
    <row r="73" spans="1:48" s="4" customFormat="1" ht="17.25" customHeight="1" x14ac:dyDescent="0.25">
      <c r="A73" s="32"/>
      <c r="B73" s="109"/>
      <c r="C73" s="47"/>
      <c r="E73" s="47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87" t="s">
        <v>89</v>
      </c>
      <c r="AE73" s="22" t="str">
        <f ca="1">LEFT(G11,7)</f>
        <v>2013.03</v>
      </c>
      <c r="AF73" s="87" t="s">
        <v>90</v>
      </c>
      <c r="AG73" s="88" t="str">
        <f ca="1">IF(LEN($AE$73)=4,"NO",RIGHT($AE$73,2))</f>
        <v>03</v>
      </c>
      <c r="AI73" s="22"/>
      <c r="AJ73" s="22"/>
      <c r="AK73" s="22"/>
      <c r="AL73" s="22"/>
      <c r="AM73" s="22"/>
      <c r="AN73" s="22"/>
      <c r="AO73" s="22"/>
      <c r="AP73" s="14"/>
      <c r="AQ73" s="22"/>
      <c r="AR73" s="73"/>
      <c r="AS73" s="51"/>
      <c r="AT73" s="74"/>
      <c r="AU73" s="22"/>
      <c r="AV73" s="22"/>
    </row>
    <row r="74" spans="1:48" ht="15" x14ac:dyDescent="0.25">
      <c r="A74" s="112"/>
      <c r="B74" s="113"/>
      <c r="D74" s="65"/>
      <c r="E74" s="65"/>
      <c r="F74" s="66"/>
      <c r="G74" s="66"/>
      <c r="H74" s="65"/>
      <c r="I74" s="65"/>
      <c r="J74" s="66"/>
      <c r="K74" s="66"/>
      <c r="L74" s="65"/>
      <c r="M74" s="65"/>
      <c r="N74" s="66"/>
      <c r="O74" s="66"/>
      <c r="P74" s="65"/>
      <c r="Q74" s="65"/>
      <c r="R74" s="66"/>
      <c r="S74" s="66"/>
      <c r="T74" s="66"/>
      <c r="U74" s="65"/>
      <c r="V74" s="65"/>
      <c r="W74" s="66"/>
      <c r="X74" s="66"/>
      <c r="Y74" s="65"/>
      <c r="Z74" s="65"/>
      <c r="AA74" s="2"/>
      <c r="AB74" s="2"/>
      <c r="AC74" s="48"/>
      <c r="AD74" s="87" t="s">
        <v>91</v>
      </c>
      <c r="AE74" s="22"/>
      <c r="AF74" s="23" t="str">
        <f ca="1">IF(OR($AG$73="S1",$AG$73="Q1",$AG$73="Q2"),"YES",IF(ISERROR(VALUE($AG$73))=TRUE,"NO",IF(VALUE($AG$73)&lt;7,"YES","NO")))</f>
        <v>YES</v>
      </c>
      <c r="AG74" s="22"/>
      <c r="AH74" s="22"/>
    </row>
    <row r="75" spans="1:48" ht="15" x14ac:dyDescent="0.25">
      <c r="A75" s="112"/>
      <c r="B75" s="113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2"/>
      <c r="AB75" s="2"/>
      <c r="AC75" s="48"/>
      <c r="AD75" s="87" t="s">
        <v>92</v>
      </c>
      <c r="AE75" s="22"/>
      <c r="AF75" s="22" t="str">
        <f ca="1">IF(OR($AG$73="S2",$AG$73="Q4",$AG$73="NO",$AG$73="12"),"YES","NO")</f>
        <v>NO</v>
      </c>
      <c r="AG75" s="22"/>
      <c r="AH75" s="22"/>
    </row>
    <row r="76" spans="1:48" ht="15" x14ac:dyDescent="0.25">
      <c r="A76" s="112"/>
      <c r="B76" s="113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2"/>
      <c r="AB76" s="2"/>
      <c r="AC76" s="48"/>
      <c r="AD76" s="87" t="s">
        <v>93</v>
      </c>
      <c r="AE76" s="22"/>
      <c r="AF76" s="22" t="str">
        <f ca="1">IF(OR($AG$73="Q3",$AG$73="09"),"YES","NO")</f>
        <v>NO</v>
      </c>
      <c r="AG76" s="22"/>
      <c r="AH76" s="22"/>
    </row>
    <row r="77" spans="1:48" x14ac:dyDescent="0.2">
      <c r="A77" s="112"/>
      <c r="B77" s="113"/>
      <c r="D77" s="68"/>
      <c r="E77" s="68"/>
      <c r="F77" s="67"/>
      <c r="G77" s="67"/>
      <c r="H77" s="68"/>
      <c r="I77" s="68"/>
      <c r="J77" s="67"/>
      <c r="K77" s="67"/>
      <c r="L77" s="68"/>
      <c r="M77" s="68"/>
      <c r="N77" s="67"/>
      <c r="O77" s="67"/>
      <c r="P77" s="68"/>
      <c r="Q77" s="68"/>
      <c r="R77" s="67"/>
      <c r="S77" s="67"/>
      <c r="T77" s="67"/>
      <c r="U77" s="68"/>
      <c r="V77" s="68"/>
      <c r="W77" s="67"/>
      <c r="X77" s="67"/>
      <c r="Y77" s="68"/>
      <c r="Z77" s="68"/>
      <c r="AA77" s="2"/>
      <c r="AB77" s="2"/>
      <c r="AC77" s="48"/>
    </row>
    <row r="78" spans="1:48" ht="15.75" x14ac:dyDescent="0.2">
      <c r="A78" s="112"/>
      <c r="B78" s="113"/>
      <c r="D78" s="65"/>
      <c r="E78" s="65"/>
      <c r="F78" s="66"/>
      <c r="G78" s="66"/>
      <c r="H78" s="65"/>
      <c r="I78" s="65"/>
      <c r="J78" s="66"/>
      <c r="K78" s="66"/>
      <c r="L78" s="65"/>
      <c r="M78" s="65"/>
      <c r="N78" s="66"/>
      <c r="O78" s="66"/>
      <c r="P78" s="65"/>
      <c r="Q78" s="65"/>
      <c r="R78" s="66"/>
      <c r="S78" s="66"/>
      <c r="T78" s="66"/>
      <c r="U78" s="65"/>
      <c r="V78" s="65"/>
      <c r="W78" s="66"/>
      <c r="X78" s="66"/>
      <c r="Y78" s="65"/>
      <c r="Z78" s="65"/>
      <c r="AA78" s="2"/>
      <c r="AB78" s="2"/>
      <c r="AC78" s="48"/>
      <c r="AD78" s="51"/>
      <c r="AE78" s="72"/>
      <c r="AF78" s="74"/>
      <c r="AG78" s="73" t="s">
        <v>75</v>
      </c>
      <c r="AH78" s="51"/>
      <c r="AI78" s="74" t="str">
        <f ca="1">IF(RIGHT(_xll.SUBNM(Server&amp;"Period","",$E$27,""),3)="YTD","Yes","No")</f>
        <v>Yes</v>
      </c>
      <c r="AJ78" s="51"/>
      <c r="AK78" s="51"/>
    </row>
    <row r="79" spans="1:48" ht="15.75" x14ac:dyDescent="0.2">
      <c r="A79" s="112"/>
      <c r="B79" s="113"/>
      <c r="D79" s="65"/>
      <c r="E79" s="65"/>
      <c r="F79" s="66"/>
      <c r="G79" s="66"/>
      <c r="H79" s="65"/>
      <c r="I79" s="65"/>
      <c r="J79" s="66"/>
      <c r="K79" s="66"/>
      <c r="L79" s="65"/>
      <c r="M79" s="65"/>
      <c r="N79" s="66"/>
      <c r="O79" s="66"/>
      <c r="P79" s="65"/>
      <c r="Q79" s="65"/>
      <c r="R79" s="66"/>
      <c r="S79" s="66"/>
      <c r="T79" s="66"/>
      <c r="U79" s="65"/>
      <c r="V79" s="65"/>
      <c r="W79" s="66"/>
      <c r="X79" s="66"/>
      <c r="Y79" s="65"/>
      <c r="Z79" s="65"/>
      <c r="AA79" s="2"/>
      <c r="AB79" s="2"/>
      <c r="AC79" s="48"/>
      <c r="AD79" s="72" t="s">
        <v>94</v>
      </c>
      <c r="AE79" s="22" t="str">
        <f ca="1">LEFT(G11,4)</f>
        <v>2013</v>
      </c>
      <c r="AF79" s="22" t="str">
        <f ca="1">IF($AF$74="YES",$AE$79&amp;".01",IF($AF$75="YES",$AE$79&amp;".07",IF($AF$76="YES",$AE$79&amp;".04",IF($AG$73="07",$AE$79&amp;".02",IF($AG$73="08",$AE$79&amp;".03",IF($AG$73="10",$AE$79&amp;".05",$AE$79&amp;".06"))))))</f>
        <v>2013.01</v>
      </c>
      <c r="AG79" s="22" t="str">
        <f ca="1">IF($AF$74="YES",$AE$79&amp;".02",IF($AF$75="YES",$AE$79&amp;".08",IF($AF$76="YES",$AE$79&amp;".05",IF($AG$73="07",$AE$79&amp;".03",IF($AG$73="08",$AE$79&amp;".04",IF($AG$73="10",$AE$79&amp;".06",$AE$79&amp;".07"))))))</f>
        <v>2013.02</v>
      </c>
      <c r="AH79" s="22" t="str">
        <f ca="1">IF($AF$74="YES",$AE$79&amp;".03",IF($AF$75="YES",$AE$79&amp;".09",IF($AF$76="YES",$AE$79&amp;".06",IF($AG$73="07",$AE$79&amp;".04",IF($AG$73="08",$AE$79&amp;".05",IF($AG$73="10",$AE$79&amp;".07",$AE$79&amp;".08"))))))</f>
        <v>2013.03</v>
      </c>
      <c r="AI79" s="22" t="str">
        <f ca="1">IF($AF$74="YES",$AE$79&amp;".04",IF($AF$75="YES",$AE$79&amp;".10",IF($AF$76="YES",$AE$79&amp;".07",IF($AG$73="07",$AE$79&amp;".05",IF($AG$73="08",$AE$79&amp;".06",IF($AG$73="10",$AE$79&amp;".08",$AE$79&amp;".09"))))))</f>
        <v>2013.04</v>
      </c>
      <c r="AJ79" s="22" t="str">
        <f ca="1">IF($AF$74="YES",$AE$79&amp;".05",IF($AF$75="YES",$AE$79&amp;".11",IF($AF$76="YES",$AE$79&amp;".08",IF($AG$73="07",$AE$79&amp;".06",IF($AG$73="08",$AE$79&amp;".07",IF($AG$73="10",$AE$79&amp;".09",$AE$79&amp;".10"))))))</f>
        <v>2013.05</v>
      </c>
      <c r="AK79" s="22" t="str">
        <f ca="1">IF($AF$74="YES",$AE$79&amp;".06",IF($AF$75="YES",$AE$79&amp;".12",IF($AF$76="YES",$AE$79&amp;".09",IF($AG$73="07",$AE$79&amp;".07",IF($AG$73="08",$AE$79&amp;".08",IF($AG$73="10",$AE$79&amp;".10",$AE$79&amp;".11"))))))</f>
        <v>2013.06</v>
      </c>
    </row>
    <row r="80" spans="1:48" ht="15.75" x14ac:dyDescent="0.2">
      <c r="A80" s="112"/>
      <c r="B80" s="113"/>
      <c r="D80" s="65"/>
      <c r="E80" s="65"/>
      <c r="F80" s="66"/>
      <c r="G80" s="66"/>
      <c r="H80" s="65"/>
      <c r="I80" s="65"/>
      <c r="J80" s="66"/>
      <c r="K80" s="66"/>
      <c r="L80" s="65"/>
      <c r="M80" s="65"/>
      <c r="N80" s="66"/>
      <c r="O80" s="66"/>
      <c r="P80" s="65"/>
      <c r="Q80" s="65"/>
      <c r="R80" s="66"/>
      <c r="S80" s="66"/>
      <c r="T80" s="66"/>
      <c r="U80" s="65"/>
      <c r="V80" s="65"/>
      <c r="W80" s="66"/>
      <c r="X80" s="66"/>
      <c r="Y80" s="65"/>
      <c r="Z80" s="65"/>
      <c r="AA80" s="2"/>
      <c r="AB80" s="2"/>
      <c r="AC80" s="48"/>
      <c r="AD80" s="72"/>
      <c r="AE80" s="22"/>
      <c r="AF80" s="22" t="str">
        <f ca="1">MID(AF$79,6,2)</f>
        <v>01</v>
      </c>
      <c r="AG80" s="22" t="str">
        <f t="shared" ref="AG80:AK80" ca="1" si="5">MID(AG$79,6,2)</f>
        <v>02</v>
      </c>
      <c r="AH80" s="22" t="str">
        <f t="shared" ca="1" si="5"/>
        <v>03</v>
      </c>
      <c r="AI80" s="22" t="str">
        <f t="shared" ca="1" si="5"/>
        <v>04</v>
      </c>
      <c r="AJ80" s="22" t="str">
        <f t="shared" ca="1" si="5"/>
        <v>05</v>
      </c>
      <c r="AK80" s="22" t="str">
        <f t="shared" ca="1" si="5"/>
        <v>06</v>
      </c>
    </row>
    <row r="81" spans="1:37" ht="15.75" x14ac:dyDescent="0.2">
      <c r="A81" s="112"/>
      <c r="B81" s="113"/>
      <c r="D81" s="65"/>
      <c r="E81" s="65"/>
      <c r="F81" s="66"/>
      <c r="G81" s="66"/>
      <c r="H81" s="65"/>
      <c r="I81" s="65"/>
      <c r="J81" s="66"/>
      <c r="K81" s="66"/>
      <c r="L81" s="65"/>
      <c r="M81" s="65"/>
      <c r="N81" s="66"/>
      <c r="O81" s="66"/>
      <c r="P81" s="65"/>
      <c r="Q81" s="65"/>
      <c r="R81" s="66"/>
      <c r="S81" s="66"/>
      <c r="T81" s="66"/>
      <c r="U81" s="65"/>
      <c r="V81" s="65"/>
      <c r="W81" s="66"/>
      <c r="X81" s="66"/>
      <c r="Y81" s="65"/>
      <c r="Z81" s="65"/>
      <c r="AA81" s="2"/>
      <c r="AB81" s="2"/>
      <c r="AC81" s="48"/>
      <c r="AD81" s="72"/>
      <c r="AE81" s="22"/>
      <c r="AF81" s="22" t="str">
        <f ca="1">IF(AF80&gt;$AG$73,"yes","no")</f>
        <v>no</v>
      </c>
      <c r="AG81" s="22" t="str">
        <f t="shared" ref="AG81:AK81" ca="1" si="6">IF(AG80&gt;$AG$73,"yes","no")</f>
        <v>no</v>
      </c>
      <c r="AH81" s="22" t="str">
        <f t="shared" ca="1" si="6"/>
        <v>no</v>
      </c>
      <c r="AI81" s="22" t="str">
        <f t="shared" ca="1" si="6"/>
        <v>yes</v>
      </c>
      <c r="AJ81" s="22" t="str">
        <f t="shared" ca="1" si="6"/>
        <v>yes</v>
      </c>
      <c r="AK81" s="22" t="str">
        <f t="shared" ca="1" si="6"/>
        <v>yes</v>
      </c>
    </row>
    <row r="82" spans="1:37" x14ac:dyDescent="0.2">
      <c r="A82" s="112"/>
      <c r="B82" s="113"/>
      <c r="D82" s="65"/>
      <c r="E82" s="65"/>
      <c r="F82" s="66"/>
      <c r="G82" s="66"/>
      <c r="H82" s="65"/>
      <c r="I82" s="65"/>
      <c r="J82" s="66"/>
      <c r="K82" s="66"/>
      <c r="L82" s="65"/>
      <c r="M82" s="65"/>
      <c r="N82" s="66"/>
      <c r="O82" s="66"/>
      <c r="P82" s="65"/>
      <c r="Q82" s="65"/>
      <c r="R82" s="66"/>
      <c r="S82" s="66"/>
      <c r="T82" s="66"/>
      <c r="U82" s="65"/>
      <c r="V82" s="65"/>
      <c r="W82" s="66"/>
      <c r="X82" s="66"/>
      <c r="Y82" s="65"/>
      <c r="Z82" s="65"/>
      <c r="AA82" s="2"/>
      <c r="AB82" s="2"/>
      <c r="AC82" s="48"/>
      <c r="AD82" s="22"/>
      <c r="AE82" s="99" t="s">
        <v>110</v>
      </c>
      <c r="AF82" s="89" t="str">
        <f t="shared" ref="AF82:AK82" ca="1" si="7">IF($AI$78="No",AF$79,AF$79&amp;"_YTD")</f>
        <v>2013.01_YTD</v>
      </c>
      <c r="AG82" s="89" t="str">
        <f t="shared" ca="1" si="7"/>
        <v>2013.02_YTD</v>
      </c>
      <c r="AH82" s="89" t="str">
        <f t="shared" ca="1" si="7"/>
        <v>2013.03_YTD</v>
      </c>
      <c r="AI82" s="89" t="str">
        <f t="shared" ca="1" si="7"/>
        <v>2013.04_YTD</v>
      </c>
      <c r="AJ82" s="89" t="str">
        <f t="shared" ca="1" si="7"/>
        <v>2013.05_YTD</v>
      </c>
      <c r="AK82" s="89" t="str">
        <f t="shared" ca="1" si="7"/>
        <v>2013.06_YTD</v>
      </c>
    </row>
    <row r="83" spans="1:37" x14ac:dyDescent="0.2">
      <c r="A83" s="112"/>
      <c r="B83" s="113"/>
      <c r="D83" s="65"/>
      <c r="E83" s="65"/>
      <c r="F83" s="66"/>
      <c r="G83" s="66"/>
      <c r="H83" s="65"/>
      <c r="I83" s="65"/>
      <c r="J83" s="66"/>
      <c r="K83" s="66"/>
      <c r="L83" s="65"/>
      <c r="M83" s="65"/>
      <c r="N83" s="66"/>
      <c r="O83" s="66"/>
      <c r="P83" s="65"/>
      <c r="Q83" s="65"/>
      <c r="R83" s="66"/>
      <c r="S83" s="66"/>
      <c r="T83" s="66"/>
      <c r="U83" s="65"/>
      <c r="V83" s="65"/>
      <c r="W83" s="66"/>
      <c r="X83" s="66"/>
      <c r="Y83" s="65"/>
      <c r="Z83" s="65"/>
      <c r="AA83" s="2"/>
      <c r="AB83" s="2"/>
      <c r="AC83" s="48"/>
      <c r="AD83" s="22"/>
      <c r="AE83" s="99" t="s">
        <v>111</v>
      </c>
      <c r="AF83" s="89" t="str">
        <f ca="1">_xll.DBRA(Server&amp;$E$11,AF$82,"Prior Year")</f>
        <v>2012.01_YTD</v>
      </c>
      <c r="AG83" s="89" t="str">
        <f ca="1">_xll.DBRA(Server&amp;$E$11,AG$82,"Prior Year")</f>
        <v>2012.02_YTD</v>
      </c>
      <c r="AH83" s="89" t="str">
        <f ca="1">_xll.DBRA(Server&amp;$E$11,AH$82,"Prior Year")</f>
        <v>2012.03_YTD</v>
      </c>
      <c r="AI83" s="89" t="str">
        <f ca="1">_xll.DBRA(Server&amp;$E$11,AI$82,"Prior Year")</f>
        <v>2012.04_YTD</v>
      </c>
      <c r="AJ83" s="89" t="str">
        <f ca="1">_xll.DBRA(Server&amp;$E$11,AJ$82,"Prior Year")</f>
        <v>2012.05_YTD</v>
      </c>
      <c r="AK83" s="89" t="str">
        <f ca="1">_xll.DBRA(Server&amp;$E$11,AK$82,"Prior Year")</f>
        <v>2012.06_YTD</v>
      </c>
    </row>
    <row r="84" spans="1:37" ht="15.75" x14ac:dyDescent="0.25">
      <c r="A84" s="112"/>
      <c r="B84" s="113"/>
      <c r="D84" s="65"/>
      <c r="E84" s="65"/>
      <c r="F84" s="66"/>
      <c r="G84" s="66"/>
      <c r="H84" s="65"/>
      <c r="I84" s="65"/>
      <c r="J84" s="66"/>
      <c r="K84" s="66"/>
      <c r="L84" s="65"/>
      <c r="M84" s="65"/>
      <c r="N84" s="66"/>
      <c r="O84" s="66"/>
      <c r="P84" s="65"/>
      <c r="Q84" s="65"/>
      <c r="R84" s="66"/>
      <c r="S84" s="66"/>
      <c r="T84" s="66"/>
      <c r="U84" s="65"/>
      <c r="V84" s="65"/>
      <c r="W84" s="66"/>
      <c r="X84" s="66"/>
      <c r="Y84" s="65"/>
      <c r="Z84" s="65"/>
      <c r="AA84" s="2"/>
      <c r="AB84" s="2"/>
      <c r="AC84" s="48"/>
      <c r="AD84" s="70" t="str">
        <f ca="1">IF($AI$78="No",_xll.DBRA(Server&amp;$AD$22,$AE$84,$AF$19),_xll.DBRA(Server&amp;$AD$22,$AE$84,$AF$19)&amp; " ("&amp;_xll.DBRA(Server&amp;$AD$22,$AD$40,$AF$19)&amp;")")</f>
        <v>Notes de frais Direction (Cumulé)</v>
      </c>
      <c r="AE84" s="71" t="s">
        <v>95</v>
      </c>
      <c r="AF84" s="90" t="str">
        <f ca="1">IF($AF$74="YES",_xll.DBRA(Server&amp;$AD$22,$AD$41,$AF$19),IF($AF$75="YES",_xll.DBRA(Server&amp;$AD$22,$AD$47,$AF$19),IF($AF$76="YES",_xll.DBRA(Server&amp;$AD$22,$AD$44,$AF$19),IF($AG$73="07",_xll.DBRA(Server&amp;$AD$22,$AD$42,$AF$19),IF($AG$73="08",_xll.DBRA(Server&amp;$AD$22,$AD$43,$AF$19),IF($AG$73="10",_xll.DBRA(Server&amp;$AD$22,$AD$45,$AF$19),_xll.DBRA(Server&amp;$AD$22,$AD$46,$AF$19)))))))</f>
        <v>Jan</v>
      </c>
      <c r="AG84" s="90" t="str">
        <f ca="1">IF($AF$74="YES",_xll.DBRA(Server&amp;$AD$22,$AD$42,$AF$19),IF($AF$75="YES",_xll.DBRA(Server&amp;$AD$22,$AD$48,$AF$19),IF($AF$76="YES",_xll.DBRA(Server&amp;$AD$22,$AD$45,$AF$19),IF($AG$73="07",_xll.DBRA(Server&amp;$AD$22,$AD$43,$AF$19),IF($AG$73="08",_xll.DBRA(Server&amp;$AD$22,$AD$44,$AF$19),IF($AG$73="10",_xll.DBRA(Server&amp;$AD$22,$AD$46,$AF$19),_xll.DBRA(Server&amp;$AD$22,$AD$47,$AF$19)))))))</f>
        <v>Fév</v>
      </c>
      <c r="AH84" s="90" t="str">
        <f ca="1">IF($AF$74="YES",_xll.DBRA(Server&amp;$AD$22,$AD$43,$AF$19),IF($AF$75="YES",_xll.DBRA(Server&amp;$AD$22,$AD$49,$AF$19),IF($AF$76="YES",_xll.DBRA(Server&amp;$AD$22,$AD$46,$AF$19),IF($AG$73="07",_xll.DBRA(Server&amp;$AD$22,$AD$44,$AF$19),IF($AG$73="08",_xll.DBRA(Server&amp;$AD$22,$AD$45,$AF$19),IF($AG$73="10",_xll.DBRA(Server&amp;$AD$22,$AD$47,$AF$19),_xll.DBRA(Server&amp;$AD$22,$AD$48,$AF$19)))))))</f>
        <v>Mars</v>
      </c>
      <c r="AI84" s="90" t="str">
        <f ca="1">IF($AF$74="YES",_xll.DBRA(Server&amp;$AD$22,$AD$44,$AF$19),IF($AF$75="YES",_xll.DBRA(Server&amp;$AD$22,$AD$50,$AF$19),IF($AF$76="YES",_xll.DBRA(Server&amp;$AD$22,$AD$47,$AF$19),IF($AG$73="07",_xll.DBRA(Server&amp;$AD$22,$AD$45,$AF$19),IF($AG$73="08",_xll.DBRA(Server&amp;$AD$22,$AD$46,$AF$19),IF($AG$73="10",_xll.DBRA(Server&amp;$AD$22,$AD$48,$AF$19),_xll.DBRA(Server&amp;$AD$22,$AD$49,$AF$19)))))))</f>
        <v>Avril</v>
      </c>
      <c r="AJ84" s="90" t="str">
        <f ca="1">IF($AF$74="YES",_xll.DBRA(Server&amp;$AD$22,$AD$45,$AF$19),IF($AF$75="YES",_xll.DBRA(Server&amp;$AD$22,$AD$51,$AF$19),IF($AF$76="YES",_xll.DBRA(Server&amp;$AD$22,$AD$48,$AF$19),IF($AG$73="07",_xll.DBRA(Server&amp;$AD$22,$AD$46,$AF$19),IF($AG$73="08",_xll.DBRA(Server&amp;$AD$22,$AD$47,$AF$19),IF($AG$73="10",_xll.DBRA(Server&amp;$AD$22,$AD$49,$AF$19),_xll.DBRA(Server&amp;$AD$22,$AD$50,$AF$19)))))))</f>
        <v>Mai</v>
      </c>
      <c r="AK84" s="90" t="str">
        <f ca="1">IF($AF$74="YES",_xll.DBRA(Server&amp;$AD$22,$AD$46,$AF$19),IF($AF$75="YES",$AD$52,IF($AF$76="YES",_xll.DBRA(Server&amp;$AD$22,$AD$49,$AF$19),IF($AG$73="07",_xll.DBRA(Server&amp;$AD$22,$AD$47,$AF$19),IF($AG$73="08",_xll.DBRA(Server&amp;$AD$22,$AD$48,$AF$19),IF($AG$73="10",_xll.DBRA(Server&amp;$AD$22,$AD$50,$AF$19),_xll.DBRA(Server&amp;$AD$22,$AD$51,$AF$19)))))))</f>
        <v>Juin</v>
      </c>
    </row>
    <row r="85" spans="1:37" ht="15.75" x14ac:dyDescent="0.2">
      <c r="A85" s="112"/>
      <c r="B85" s="113"/>
      <c r="D85" s="65"/>
      <c r="E85" s="65"/>
      <c r="F85" s="66"/>
      <c r="G85" s="66"/>
      <c r="H85" s="65"/>
      <c r="I85" s="65"/>
      <c r="J85" s="66"/>
      <c r="K85" s="66"/>
      <c r="L85" s="65"/>
      <c r="M85" s="65"/>
      <c r="N85" s="66"/>
      <c r="O85" s="66"/>
      <c r="P85" s="65"/>
      <c r="Q85" s="65"/>
      <c r="R85" s="66"/>
      <c r="S85" s="66"/>
      <c r="T85" s="66"/>
      <c r="U85" s="65"/>
      <c r="V85" s="65"/>
      <c r="W85" s="66"/>
      <c r="X85" s="66"/>
      <c r="Y85" s="65"/>
      <c r="Z85" s="65"/>
      <c r="AA85" s="2"/>
      <c r="AB85" s="2"/>
      <c r="AC85" s="48"/>
      <c r="AD85" s="72" t="str">
        <f ca="1">_xll.DBRA(Server&amp;$E$10,$AE$85,$AF$19)</f>
        <v>Réalisé</v>
      </c>
      <c r="AE85" s="3" t="str">
        <f ca="1">$G$10</f>
        <v>ACT_TOT</v>
      </c>
      <c r="AF85" s="75">
        <f ca="1">IF(AF$81="yes",#N/A,_xll.DBRW(Server&amp;Cube1,$E$30,$E$23,$E$24,$E$29,$B$25,$E$26,$E$28,$B$24,AF$82,$AE$85,$B27))</f>
        <v>41.028109999999998</v>
      </c>
      <c r="AG85" s="75">
        <f ca="1">IF(AG$81="yes",#N/A,_xll.DBRW(Server&amp;Cube1,$E$30,$E$23,$E$24,$E$29,$B$25,$E$26,$E$28,$B$24,AG$82,$AE$85,$B27))</f>
        <v>-72.313639999999978</v>
      </c>
      <c r="AH85" s="75">
        <f ca="1">IF(AH$81="yes",#N/A,_xll.DBRW(Server&amp;Cube1,$E$30,$E$23,$E$24,$E$29,$B$25,$E$26,$E$28,$B$24,AH$82,$AE$85,$B27))</f>
        <v>-72.313639999999978</v>
      </c>
      <c r="AI85" s="75" t="e">
        <f ca="1">IF(AI$81="yes",#N/A,_xll.DBRW(Server&amp;Cube1,$E$30,$E$23,$E$24,$E$29,$B$25,$E$26,$E$28,$B$24,AI$82,$AE$85,$B27))</f>
        <v>#N/A</v>
      </c>
      <c r="AJ85" s="75" t="e">
        <f ca="1">IF(AJ$81="yes",#N/A,_xll.DBRW(Server&amp;Cube1,$E$30,$E$23,$E$24,$E$29,$B$25,$E$26,$E$28,$B$24,AJ$82,$AE$85,$B27))</f>
        <v>#N/A</v>
      </c>
      <c r="AK85" s="75" t="e">
        <f ca="1">IF(AK$81="yes",#N/A,_xll.DBRW(Server&amp;Cube1,$E$30,$E$23,$E$24,$E$29,$B$25,$E$26,$E$28,$B$24,AK$82,$AE$85,$B27))</f>
        <v>#N/A</v>
      </c>
    </row>
    <row r="86" spans="1:37" ht="15.75" x14ac:dyDescent="0.2">
      <c r="A86" s="112"/>
      <c r="B86" s="113"/>
      <c r="D86" s="65"/>
      <c r="E86" s="65"/>
      <c r="F86" s="66"/>
      <c r="G86" s="66"/>
      <c r="H86" s="65"/>
      <c r="I86" s="65"/>
      <c r="J86" s="66"/>
      <c r="K86" s="66"/>
      <c r="L86" s="65"/>
      <c r="M86" s="65"/>
      <c r="N86" s="66"/>
      <c r="O86" s="66"/>
      <c r="P86" s="65"/>
      <c r="Q86" s="65"/>
      <c r="R86" s="66"/>
      <c r="S86" s="66"/>
      <c r="T86" s="66"/>
      <c r="U86" s="65"/>
      <c r="V86" s="65"/>
      <c r="W86" s="66"/>
      <c r="X86" s="66"/>
      <c r="Y86" s="65"/>
      <c r="Z86" s="65"/>
      <c r="AA86" s="2"/>
      <c r="AB86" s="2"/>
      <c r="AC86" s="48"/>
      <c r="AD86" s="72" t="str">
        <f ca="1">_xll.DBRA(Server&amp;$AD$22,$AE$24,$AF$19)</f>
        <v>Réalisé N-1</v>
      </c>
      <c r="AE86" s="3" t="str">
        <f ca="1">$F$10</f>
        <v>ACT_TOT</v>
      </c>
      <c r="AF86" s="75">
        <f ca="1">_xll.DBRW(Server&amp;Cube1,$E$30,$E$23,$E$24,$E$29,$B$25,$E$26,$E$28,$B$24,AF$83,$AE$85,$B27)</f>
        <v>-14.71626</v>
      </c>
      <c r="AG86" s="75">
        <f ca="1">_xll.DBRW(Server&amp;Cube1,$E$30,$E$23,$E$24,$E$29,$B$25,$E$26,$E$28,$B$24,AG$83,$AE$85,$B27)</f>
        <v>-49.019750000000002</v>
      </c>
      <c r="AH86" s="75">
        <f ca="1">_xll.DBRW(Server&amp;Cube1,$E$30,$E$23,$E$24,$E$29,$B$25,$E$26,$E$28,$B$24,AH$83,$AE$85,$B27)</f>
        <v>-92.021499999999989</v>
      </c>
      <c r="AI86" s="75">
        <f ca="1">_xll.DBRW(Server&amp;Cube1,$E$30,$E$23,$E$24,$E$29,$B$25,$E$26,$E$28,$B$24,AI$83,$AE$85,$B27)</f>
        <v>-173.98571000000001</v>
      </c>
      <c r="AJ86" s="75">
        <f ca="1">_xll.DBRW(Server&amp;Cube1,$E$30,$E$23,$E$24,$E$29,$B$25,$E$26,$E$28,$B$24,AJ$83,$AE$85,$B27)</f>
        <v>-282.21400999999997</v>
      </c>
      <c r="AK86" s="75">
        <f ca="1">_xll.DBRW(Server&amp;Cube1,$E$30,$E$23,$E$24,$E$29,$B$25,$E$26,$E$28,$B$24,AK$83,$AE$85,$B27)</f>
        <v>-358.95964999999995</v>
      </c>
    </row>
    <row r="87" spans="1:37" ht="15.75" x14ac:dyDescent="0.2">
      <c r="A87" s="112"/>
      <c r="B87" s="113"/>
      <c r="D87" s="65"/>
      <c r="E87" s="65"/>
      <c r="F87" s="66"/>
      <c r="G87" s="66"/>
      <c r="H87" s="65"/>
      <c r="I87" s="65"/>
      <c r="J87" s="66"/>
      <c r="K87" s="66"/>
      <c r="L87" s="65"/>
      <c r="M87" s="65"/>
      <c r="N87" s="66"/>
      <c r="O87" s="66"/>
      <c r="P87" s="65"/>
      <c r="Q87" s="65"/>
      <c r="R87" s="66"/>
      <c r="S87" s="66"/>
      <c r="T87" s="66"/>
      <c r="U87" s="65"/>
      <c r="V87" s="65"/>
      <c r="W87" s="66"/>
      <c r="X87" s="66"/>
      <c r="Y87" s="65"/>
      <c r="Z87" s="65"/>
      <c r="AA87" s="2"/>
      <c r="AB87" s="2"/>
      <c r="AC87" s="48"/>
      <c r="AD87" s="70" t="str">
        <f ca="1">IF($AI$78="No",_xll.DBRA(Server&amp;$AD$22,$AE$87,$AF$19),_xll.DBRA(Server&amp;$AD$22,$AE$87,$AF$19)&amp; " ("&amp;_xll.DBRA(Server&amp;$AD$22,$AD$40,$AF$19)&amp;")")</f>
        <v>Billets de transport Direction (Cumulé)</v>
      </c>
      <c r="AE87" s="71" t="s">
        <v>96</v>
      </c>
      <c r="AF87" s="76"/>
      <c r="AG87" s="76"/>
      <c r="AH87" s="76"/>
      <c r="AI87" s="76"/>
      <c r="AJ87" s="76"/>
      <c r="AK87" s="76"/>
    </row>
    <row r="88" spans="1:37" ht="15.75" x14ac:dyDescent="0.2">
      <c r="A88" s="112"/>
      <c r="B88" s="113"/>
      <c r="D88" s="65"/>
      <c r="E88" s="65"/>
      <c r="F88" s="66"/>
      <c r="G88" s="66"/>
      <c r="H88" s="65"/>
      <c r="I88" s="65"/>
      <c r="J88" s="66"/>
      <c r="K88" s="66"/>
      <c r="L88" s="65"/>
      <c r="M88" s="65"/>
      <c r="N88" s="66"/>
      <c r="O88" s="66"/>
      <c r="P88" s="65"/>
      <c r="Q88" s="65"/>
      <c r="R88" s="66"/>
      <c r="S88" s="66"/>
      <c r="T88" s="66"/>
      <c r="U88" s="65"/>
      <c r="V88" s="65"/>
      <c r="W88" s="66"/>
      <c r="X88" s="66"/>
      <c r="Y88" s="65"/>
      <c r="Z88" s="65"/>
      <c r="AA88" s="2"/>
      <c r="AB88" s="2"/>
      <c r="AC88" s="48"/>
      <c r="AD88" s="72" t="str">
        <f ca="1">_xll.DBRA(Server&amp;$E$10,$AE$85,$AF$19)</f>
        <v>Réalisé</v>
      </c>
      <c r="AE88" s="3" t="str">
        <f ca="1">$G$10</f>
        <v>ACT_TOT</v>
      </c>
      <c r="AF88" s="75">
        <f ca="1">IF(AF$81="yes",#N/A,_xll.DBRW(Server&amp;Cube1,$E$30,$E$23,$E$24,$E$29,$B$25,$E$26,$E$28,$B$24,AF$82,$AE$88,$B28))</f>
        <v>-55.698580000000007</v>
      </c>
      <c r="AG88" s="75">
        <f ca="1">IF(AG$81="yes",#N/A,_xll.DBRW(Server&amp;Cube1,$E$30,$E$23,$E$24,$E$29,$B$25,$E$26,$E$28,$B$24,AG$82,$AE$88,$B28))</f>
        <v>-183.31113000000005</v>
      </c>
      <c r="AH88" s="75">
        <f ca="1">IF(AH$81="yes",#N/A,_xll.DBRW(Server&amp;Cube1,$E$30,$E$23,$E$24,$E$29,$B$25,$E$26,$E$28,$B$24,AH$82,$AE$88,$B28))</f>
        <v>-183.31113000000005</v>
      </c>
      <c r="AI88" s="75" t="e">
        <f ca="1">IF(AI$81="yes",#N/A,_xll.DBRW(Server&amp;Cube1,$E$30,$E$23,$E$24,$E$29,$B$25,$E$26,$E$28,$B$24,AI$82,$AE$88,$B28))</f>
        <v>#N/A</v>
      </c>
      <c r="AJ88" s="75" t="e">
        <f ca="1">IF(AJ$81="yes",#N/A,_xll.DBRW(Server&amp;Cube1,$E$30,$E$23,$E$24,$E$29,$B$25,$E$26,$E$28,$B$24,AJ$82,$AE$88,$B28))</f>
        <v>#N/A</v>
      </c>
      <c r="AK88" s="75" t="e">
        <f ca="1">IF(AK$81="yes",#N/A,_xll.DBRW(Server&amp;Cube1,$E$30,$E$23,$E$24,$E$29,$B$25,$E$26,$E$28,$B$24,AK$82,$AE$88,$B28))</f>
        <v>#N/A</v>
      </c>
    </row>
    <row r="89" spans="1:37" ht="15.75" x14ac:dyDescent="0.2">
      <c r="A89" s="112"/>
      <c r="B89" s="113"/>
      <c r="D89" s="65"/>
      <c r="E89" s="65"/>
      <c r="F89" s="66"/>
      <c r="G89" s="66"/>
      <c r="H89" s="65"/>
      <c r="I89" s="65"/>
      <c r="J89" s="66"/>
      <c r="K89" s="66"/>
      <c r="L89" s="65"/>
      <c r="M89" s="65"/>
      <c r="N89" s="66"/>
      <c r="O89" s="66"/>
      <c r="P89" s="65"/>
      <c r="Q89" s="65"/>
      <c r="R89" s="66"/>
      <c r="S89" s="66"/>
      <c r="T89" s="66"/>
      <c r="U89" s="65"/>
      <c r="V89" s="65"/>
      <c r="W89" s="66"/>
      <c r="X89" s="66"/>
      <c r="Y89" s="65"/>
      <c r="Z89" s="65"/>
      <c r="AA89" s="2"/>
      <c r="AB89" s="2"/>
      <c r="AC89" s="48"/>
      <c r="AD89" s="72" t="str">
        <f ca="1">_xll.DBRA(Server&amp;$AD$22,$AE$24,$AF$19)</f>
        <v>Réalisé N-1</v>
      </c>
      <c r="AE89" s="3" t="str">
        <f ca="1">$F$10</f>
        <v>ACT_TOT</v>
      </c>
      <c r="AF89" s="75">
        <f ca="1">_xll.DBRW(Server&amp;Cube1,$E$30,$E$23,$E$24,$E$29,$B$25,$E$26,$E$28,$B$24,AF$83,$AE$88,$B28)</f>
        <v>0</v>
      </c>
      <c r="AG89" s="75">
        <f ca="1">_xll.DBRW(Server&amp;Cube1,$E$30,$E$23,$E$24,$E$29,$B$25,$E$26,$E$28,$B$24,AG$83,$AE$88,$B28)</f>
        <v>-70.919909999999987</v>
      </c>
      <c r="AH89" s="75">
        <f ca="1">_xll.DBRW(Server&amp;Cube1,$E$30,$E$23,$E$24,$E$29,$B$25,$E$26,$E$28,$B$24,AH$83,$AE$88,$B28)</f>
        <v>-191.41698999999997</v>
      </c>
      <c r="AI89" s="75">
        <f ca="1">_xll.DBRW(Server&amp;Cube1,$E$30,$E$23,$E$24,$E$29,$B$25,$E$26,$E$28,$B$24,AI$83,$AE$88,$B28)</f>
        <v>-418.82579999999996</v>
      </c>
      <c r="AJ89" s="75">
        <f ca="1">_xll.DBRW(Server&amp;Cube1,$E$30,$E$23,$E$24,$E$29,$B$25,$E$26,$E$28,$B$24,AJ$83,$AE$88,$B28)</f>
        <v>-438.90234000000009</v>
      </c>
      <c r="AK89" s="75">
        <f ca="1">_xll.DBRW(Server&amp;Cube1,$E$30,$E$23,$E$24,$E$29,$B$25,$E$26,$E$28,$B$24,AK$83,$AE$88,$B28)</f>
        <v>-540.25649999999996</v>
      </c>
    </row>
    <row r="90" spans="1:37" ht="15.75" x14ac:dyDescent="0.2">
      <c r="A90" s="112"/>
      <c r="B90" s="113"/>
      <c r="D90" s="65"/>
      <c r="E90" s="65"/>
      <c r="F90" s="66"/>
      <c r="G90" s="66"/>
      <c r="H90" s="65"/>
      <c r="I90" s="65"/>
      <c r="J90" s="66"/>
      <c r="K90" s="66"/>
      <c r="L90" s="65"/>
      <c r="M90" s="65"/>
      <c r="N90" s="66"/>
      <c r="O90" s="66"/>
      <c r="P90" s="65"/>
      <c r="Q90" s="65"/>
      <c r="R90" s="66"/>
      <c r="S90" s="66"/>
      <c r="T90" s="66"/>
      <c r="U90" s="65"/>
      <c r="V90" s="65"/>
      <c r="W90" s="66"/>
      <c r="X90" s="66"/>
      <c r="Y90" s="65"/>
      <c r="Z90" s="65"/>
      <c r="AA90" s="2"/>
      <c r="AB90" s="2"/>
      <c r="AC90" s="48"/>
      <c r="AD90" s="70" t="str">
        <f ca="1">IF($AI$78="No",_xll.DBRA(Server&amp;$AD$22,$AE$90,$AF$19),_xll.DBRA(Server&amp;$AD$22,$AE$90,$AF$19)&amp; " ("&amp;_xll.DBRA(Server&amp;$AD$22,$AD$40,$AF$19)&amp;")")</f>
        <v>Téléphonie Direction (Cumulé)</v>
      </c>
      <c r="AE90" s="71" t="s">
        <v>97</v>
      </c>
      <c r="AF90" s="77"/>
      <c r="AG90" s="77"/>
      <c r="AH90" s="77"/>
      <c r="AI90" s="77"/>
      <c r="AJ90" s="77"/>
      <c r="AK90" s="77"/>
    </row>
    <row r="91" spans="1:37" ht="15.75" x14ac:dyDescent="0.2">
      <c r="A91" s="112"/>
      <c r="B91" s="113"/>
      <c r="D91" s="65"/>
      <c r="E91" s="65"/>
      <c r="F91" s="66"/>
      <c r="G91" s="66"/>
      <c r="H91" s="65"/>
      <c r="I91" s="65"/>
      <c r="J91" s="66"/>
      <c r="K91" s="66"/>
      <c r="L91" s="65"/>
      <c r="M91" s="65"/>
      <c r="N91" s="66"/>
      <c r="O91" s="66"/>
      <c r="P91" s="65"/>
      <c r="Q91" s="65"/>
      <c r="R91" s="66"/>
      <c r="S91" s="66"/>
      <c r="T91" s="66"/>
      <c r="U91" s="65"/>
      <c r="V91" s="65"/>
      <c r="W91" s="66"/>
      <c r="X91" s="66"/>
      <c r="Y91" s="65"/>
      <c r="Z91" s="65"/>
      <c r="AA91" s="2"/>
      <c r="AB91" s="2"/>
      <c r="AC91" s="48"/>
      <c r="AD91" s="72" t="str">
        <f ca="1">_xll.DBRA(Server&amp;$E$10,$AE$85,$AF$19)</f>
        <v>Réalisé</v>
      </c>
      <c r="AE91" s="3" t="str">
        <f ca="1">$G$10</f>
        <v>ACT_TOT</v>
      </c>
      <c r="AF91" s="75">
        <f ca="1">IF(AF$81="yes",#N/A,_xll.DBRW(Server&amp;Cube1,$E$30,$E$23,$E$24,$E$29,$B$25,$E$26,$E$28,$B$24,AF$82,$AE$91,$B29))</f>
        <v>-4.3613500000000016</v>
      </c>
      <c r="AG91" s="75" t="str">
        <f ca="1">IF(AG$81="yes",#N/A,_xll.DBRW(Server&amp;Cube1,$E$30,$E$23,$E$24,$E$29,$B$25,$E$26,$E$28,$B$24,AG$82,$AE$88,$B31))</f>
        <v>*KEY_ERR</v>
      </c>
      <c r="AH91" s="75" t="str">
        <f ca="1">IF(AH$81="yes",#N/A,_xll.DBRW(Server&amp;Cube1,$E$30,$E$23,$E$24,$E$29,$B$25,$E$26,$E$28,$B$24,AH$82,$AE$88,$B31))</f>
        <v>*KEY_ERR</v>
      </c>
      <c r="AI91" s="75" t="e">
        <f ca="1">IF(AI$81="yes",#N/A,_xll.DBRW(Server&amp;Cube1,$E$30,$E$23,$E$24,$E$29,$B$25,$E$26,$E$28,$B$24,AI$82,$AE$88,$B31))</f>
        <v>#N/A</v>
      </c>
      <c r="AJ91" s="75" t="e">
        <f ca="1">IF(AJ$81="yes",#N/A,_xll.DBRW(Server&amp;Cube1,$E$30,$E$23,$E$24,$E$29,$B$25,$E$26,$E$28,$B$24,AJ$82,$AE$88,$B31))</f>
        <v>#N/A</v>
      </c>
      <c r="AK91" s="75" t="e">
        <f ca="1">IF(AK$81="yes",#N/A,_xll.DBRW(Server&amp;Cube1,$E$30,$E$23,$E$24,$E$29,$B$25,$E$26,$E$28,$B$24,AK$82,$AE$88,$B31))</f>
        <v>#N/A</v>
      </c>
    </row>
    <row r="92" spans="1:37" ht="15.75" x14ac:dyDescent="0.2">
      <c r="A92" s="112"/>
      <c r="B92" s="113"/>
      <c r="D92" s="65"/>
      <c r="E92" s="65"/>
      <c r="F92" s="66"/>
      <c r="G92" s="66"/>
      <c r="H92" s="65"/>
      <c r="I92" s="65"/>
      <c r="J92" s="66"/>
      <c r="K92" s="66"/>
      <c r="L92" s="65"/>
      <c r="M92" s="65"/>
      <c r="N92" s="66"/>
      <c r="O92" s="66"/>
      <c r="P92" s="65"/>
      <c r="Q92" s="65"/>
      <c r="R92" s="66"/>
      <c r="S92" s="66"/>
      <c r="T92" s="66"/>
      <c r="U92" s="65"/>
      <c r="V92" s="65"/>
      <c r="W92" s="66"/>
      <c r="X92" s="66"/>
      <c r="Y92" s="65"/>
      <c r="Z92" s="65"/>
      <c r="AA92" s="2"/>
      <c r="AB92" s="2"/>
      <c r="AC92" s="48"/>
      <c r="AD92" s="72" t="str">
        <f ca="1">_xll.DBRA(Server&amp;$AD$22,$AE$24,$AF$19)</f>
        <v>Réalisé N-1</v>
      </c>
      <c r="AE92" s="3" t="str">
        <f ca="1">$F$10</f>
        <v>ACT_TOT</v>
      </c>
      <c r="AF92" s="75">
        <f ca="1">_xll.DBRW(Server&amp;Cube1,$E$30,$E$23,$E$24,$E$29,$B$25,$E$26,$E$28,$B$24,AF$83,$AE$91,$B29)</f>
        <v>0</v>
      </c>
      <c r="AG92" s="75">
        <f ca="1">_xll.DBRW(Server&amp;Cube1,$E$30,$E$23,$E$24,$E$29,$B$25,$E$26,$E$28,$B$24,AG$83,$AE$91,$B29)</f>
        <v>-7.4990000000000001E-2</v>
      </c>
      <c r="AH92" s="75">
        <f ca="1">_xll.DBRW(Server&amp;Cube1,$E$30,$E$23,$E$24,$E$29,$B$25,$E$26,$E$28,$B$24,AH$83,$AE$91,$B29)</f>
        <v>-0.53798999999999997</v>
      </c>
      <c r="AI92" s="75">
        <f ca="1">_xll.DBRW(Server&amp;Cube1,$E$30,$E$23,$E$24,$E$29,$B$25,$E$26,$E$28,$B$24,AI$83,$AE$91,$B29)</f>
        <v>-34.421450000000036</v>
      </c>
      <c r="AJ92" s="75">
        <f ca="1">_xll.DBRW(Server&amp;Cube1,$E$30,$E$23,$E$24,$E$29,$B$25,$E$26,$E$28,$B$24,AJ$83,$AE$91,$B29)</f>
        <v>-37.041370000000022</v>
      </c>
      <c r="AK92" s="75">
        <f ca="1">_xll.DBRW(Server&amp;Cube1,$E$30,$E$23,$E$24,$E$29,$B$25,$E$26,$E$28,$B$24,AK$83,$AE$91,$B29)</f>
        <v>-42.925010000000007</v>
      </c>
    </row>
    <row r="93" spans="1:37" x14ac:dyDescent="0.2">
      <c r="A93" s="112"/>
      <c r="B93" s="113"/>
      <c r="D93" s="65"/>
      <c r="E93" s="65"/>
      <c r="F93" s="66"/>
      <c r="G93" s="66"/>
      <c r="H93" s="65"/>
      <c r="I93" s="65"/>
      <c r="J93" s="66"/>
      <c r="K93" s="66"/>
      <c r="L93" s="65"/>
      <c r="M93" s="65"/>
      <c r="N93" s="66"/>
      <c r="O93" s="66"/>
      <c r="P93" s="65"/>
      <c r="Q93" s="65"/>
      <c r="R93" s="66"/>
      <c r="S93" s="66"/>
      <c r="T93" s="66"/>
      <c r="U93" s="65"/>
      <c r="V93" s="65"/>
      <c r="W93" s="66"/>
      <c r="X93" s="66"/>
      <c r="Y93" s="65"/>
      <c r="Z93" s="65"/>
      <c r="AA93" s="2"/>
      <c r="AB93" s="2"/>
      <c r="AC93" s="48"/>
    </row>
    <row r="94" spans="1:37" x14ac:dyDescent="0.2">
      <c r="A94" s="112"/>
      <c r="B94" s="113"/>
      <c r="D94" s="65"/>
      <c r="E94" s="65"/>
      <c r="F94" s="66"/>
      <c r="G94" s="66"/>
      <c r="H94" s="65"/>
      <c r="I94" s="65"/>
      <c r="J94" s="66"/>
      <c r="K94" s="66"/>
      <c r="L94" s="65"/>
      <c r="M94" s="65"/>
      <c r="N94" s="66"/>
      <c r="O94" s="66"/>
      <c r="P94" s="65"/>
      <c r="Q94" s="65"/>
      <c r="R94" s="66"/>
      <c r="S94" s="66"/>
      <c r="T94" s="66"/>
      <c r="U94" s="65"/>
      <c r="V94" s="65"/>
      <c r="W94" s="66"/>
      <c r="X94" s="66"/>
      <c r="Y94" s="65"/>
      <c r="Z94" s="65"/>
      <c r="AA94" s="2"/>
      <c r="AB94" s="2"/>
      <c r="AC94" s="48"/>
    </row>
    <row r="95" spans="1:37" x14ac:dyDescent="0.2">
      <c r="A95" s="112"/>
      <c r="B95" s="113"/>
      <c r="D95" s="69"/>
      <c r="E95" s="65"/>
      <c r="F95" s="65"/>
      <c r="G95" s="66"/>
      <c r="H95" s="69"/>
      <c r="I95" s="65"/>
      <c r="J95" s="65"/>
      <c r="K95" s="66"/>
      <c r="L95" s="69"/>
      <c r="M95" s="65"/>
      <c r="N95" s="65"/>
      <c r="O95" s="66"/>
      <c r="P95" s="69"/>
      <c r="Q95" s="65"/>
      <c r="R95" s="65"/>
      <c r="S95" s="66"/>
      <c r="T95" s="66"/>
      <c r="U95" s="69"/>
      <c r="V95" s="65"/>
      <c r="W95" s="65"/>
      <c r="X95" s="66"/>
      <c r="Y95" s="69"/>
      <c r="Z95" s="65"/>
      <c r="AA95" s="3"/>
      <c r="AB95" s="2"/>
      <c r="AC95" s="48"/>
    </row>
    <row r="96" spans="1:37" x14ac:dyDescent="0.2">
      <c r="A96" s="112"/>
      <c r="B96" s="113"/>
      <c r="D96" s="69"/>
      <c r="E96" s="65"/>
      <c r="F96" s="65"/>
      <c r="G96" s="66"/>
      <c r="H96" s="69"/>
      <c r="I96" s="65"/>
      <c r="J96" s="65"/>
      <c r="K96" s="66"/>
      <c r="L96" s="69"/>
      <c r="M96" s="65"/>
      <c r="N96" s="65"/>
      <c r="O96" s="66"/>
      <c r="P96" s="69"/>
      <c r="Q96" s="65"/>
      <c r="R96" s="65"/>
      <c r="S96" s="66"/>
      <c r="T96" s="66"/>
      <c r="U96" s="69"/>
      <c r="V96" s="65"/>
      <c r="W96" s="65"/>
      <c r="X96" s="66"/>
      <c r="Y96" s="69"/>
      <c r="Z96" s="65"/>
      <c r="AA96" s="3"/>
      <c r="AB96" s="2"/>
      <c r="AC96" s="48"/>
    </row>
    <row r="97" spans="1:29" x14ac:dyDescent="0.2">
      <c r="A97" s="112"/>
      <c r="B97" s="113"/>
      <c r="D97" s="69"/>
      <c r="E97" s="65"/>
      <c r="F97" s="65"/>
      <c r="G97" s="66"/>
      <c r="H97" s="69"/>
      <c r="I97" s="65"/>
      <c r="J97" s="65"/>
      <c r="K97" s="66"/>
      <c r="L97" s="69"/>
      <c r="M97" s="65"/>
      <c r="N97" s="65"/>
      <c r="O97" s="66"/>
      <c r="P97" s="69"/>
      <c r="Q97" s="65"/>
      <c r="R97" s="65"/>
      <c r="S97" s="66"/>
      <c r="T97" s="66"/>
      <c r="U97" s="69"/>
      <c r="V97" s="65"/>
      <c r="W97" s="65"/>
      <c r="X97" s="66"/>
      <c r="Y97" s="69"/>
      <c r="Z97" s="65"/>
      <c r="AA97" s="3"/>
      <c r="AB97" s="2"/>
      <c r="AC97" s="48"/>
    </row>
    <row r="98" spans="1:29" x14ac:dyDescent="0.2">
      <c r="A98" s="112"/>
      <c r="B98" s="113"/>
      <c r="D98" s="69"/>
      <c r="E98" s="65"/>
      <c r="F98" s="65"/>
      <c r="G98" s="66"/>
      <c r="H98" s="69"/>
      <c r="I98" s="65"/>
      <c r="J98" s="65"/>
      <c r="K98" s="66"/>
      <c r="L98" s="69"/>
      <c r="M98" s="65"/>
      <c r="N98" s="65"/>
      <c r="O98" s="66"/>
      <c r="P98" s="69"/>
      <c r="Q98" s="65"/>
      <c r="R98" s="65"/>
      <c r="S98" s="66"/>
      <c r="T98" s="66"/>
      <c r="U98" s="69"/>
      <c r="V98" s="65"/>
      <c r="W98" s="65"/>
      <c r="X98" s="66"/>
      <c r="Y98" s="69"/>
      <c r="Z98" s="65"/>
      <c r="AA98" s="3"/>
      <c r="AB98" s="2"/>
      <c r="AC98" s="48"/>
    </row>
    <row r="99" spans="1:29" x14ac:dyDescent="0.2">
      <c r="AC99" s="48"/>
    </row>
  </sheetData>
  <sheetProtection sheet="1" objects="1" scenarios="1" formatColumns="0" formatRows="0"/>
  <protectedRanges>
    <protectedRange sqref="E67:U69" name="Commentaires"/>
  </protectedRanges>
  <mergeCells count="11">
    <mergeCell ref="D69:Z69"/>
    <mergeCell ref="D70:Z70"/>
    <mergeCell ref="X56:Y56"/>
    <mergeCell ref="J54:M55"/>
    <mergeCell ref="Q54:T55"/>
    <mergeCell ref="AG23:AI23"/>
    <mergeCell ref="X54:Z55"/>
    <mergeCell ref="D67:Z67"/>
    <mergeCell ref="D68:Z68"/>
    <mergeCell ref="V16:Y17"/>
    <mergeCell ref="D16:U17"/>
  </mergeCells>
  <conditionalFormatting sqref="Z8">
    <cfRule type="cellIs" dxfId="26" priority="2100" operator="equal">
      <formula>$AS$32</formula>
    </cfRule>
  </conditionalFormatting>
  <conditionalFormatting sqref="Z8">
    <cfRule type="cellIs" dxfId="25" priority="2099" operator="equal">
      <formula>$AT$32</formula>
    </cfRule>
  </conditionalFormatting>
  <conditionalFormatting sqref="Z8">
    <cfRule type="cellIs" dxfId="24" priority="2098" operator="equal">
      <formula>$AU$32</formula>
    </cfRule>
  </conditionalFormatting>
  <conditionalFormatting sqref="Z59">
    <cfRule type="cellIs" dxfId="23" priority="2022" operator="equal">
      <formula>$AG$24</formula>
    </cfRule>
  </conditionalFormatting>
  <conditionalFormatting sqref="Z59">
    <cfRule type="cellIs" dxfId="22" priority="2021" operator="equal">
      <formula>$AH$24</formula>
    </cfRule>
  </conditionalFormatting>
  <conditionalFormatting sqref="Z59">
    <cfRule type="cellIs" dxfId="21" priority="2020" operator="equal">
      <formula>$AI$24</formula>
    </cfRule>
  </conditionalFormatting>
  <conditionalFormatting sqref="Z2:Z7">
    <cfRule type="cellIs" dxfId="20" priority="1803" operator="equal">
      <formula>$AG$24</formula>
    </cfRule>
  </conditionalFormatting>
  <conditionalFormatting sqref="Z2:Z7">
    <cfRule type="cellIs" dxfId="19" priority="1802" operator="equal">
      <formula>$AH$24</formula>
    </cfRule>
  </conditionalFormatting>
  <conditionalFormatting sqref="Z2:Z7">
    <cfRule type="cellIs" dxfId="18" priority="1801" operator="equal">
      <formula>$AI$24</formula>
    </cfRule>
  </conditionalFormatting>
  <conditionalFormatting sqref="Z64">
    <cfRule type="cellIs" dxfId="17" priority="1533" operator="equal">
      <formula>$AG$24</formula>
    </cfRule>
  </conditionalFormatting>
  <conditionalFormatting sqref="Z64">
    <cfRule type="cellIs" dxfId="16" priority="1532" operator="equal">
      <formula>$AH$24</formula>
    </cfRule>
  </conditionalFormatting>
  <conditionalFormatting sqref="Z64">
    <cfRule type="cellIs" dxfId="15" priority="1531" operator="equal">
      <formula>$AI$24</formula>
    </cfRule>
  </conditionalFormatting>
  <conditionalFormatting sqref="Z60:Z62">
    <cfRule type="cellIs" dxfId="2" priority="3" operator="equal">
      <formula>$AG$24</formula>
    </cfRule>
  </conditionalFormatting>
  <conditionalFormatting sqref="Z60:Z62">
    <cfRule type="cellIs" dxfId="1" priority="2" operator="equal">
      <formula>$AH$24</formula>
    </cfRule>
  </conditionalFormatting>
  <conditionalFormatting sqref="Z60:Z62">
    <cfRule type="cellIs" dxfId="0" priority="1" operator="equal">
      <formula>$AI$24</formula>
    </cfRule>
  </conditionalFormatting>
  <dataValidations count="1">
    <dataValidation type="list" allowBlank="1" showInputMessage="1" showErrorMessage="1" sqref="E25">
      <formula1>Language</formula1>
    </dataValidation>
  </dataValidations>
  <printOptions horizontalCentered="1"/>
  <pageMargins left="0" right="0" top="7.874015748031496E-2" bottom="7.874015748031496E-2" header="0.35433070866141736" footer="0.15748031496062992"/>
  <pageSetup paperSize="9" scale="43" orientation="portrait" horizontalDpi="200" verticalDpi="200" r:id="rId1"/>
  <headerFooter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61794" r:id="rId4" name="Refresh_Report">
          <controlPr defaultSize="0" print="0" autoLine="0" r:id="rId5">
            <anchor moveWithCells="1">
              <from>
                <xdr:col>3</xdr:col>
                <xdr:colOff>190500</xdr:colOff>
                <xdr:row>14</xdr:row>
                <xdr:rowOff>180975</xdr:rowOff>
              </from>
              <to>
                <xdr:col>3</xdr:col>
                <xdr:colOff>2438400</xdr:colOff>
                <xdr:row>14</xdr:row>
                <xdr:rowOff>619125</xdr:rowOff>
              </to>
            </anchor>
          </controlPr>
        </control>
      </mc:Choice>
      <mc:Fallback>
        <control shapeId="161794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23</vt:i4>
      </vt:variant>
    </vt:vector>
  </HeadingPairs>
  <TitlesOfParts>
    <vt:vector size="25" baseType="lpstr">
      <vt:lpstr>Context</vt:lpstr>
      <vt:lpstr>Recapitulatif_frais_annexes</vt:lpstr>
      <vt:lpstr>ActualBudgetAdmin</vt:lpstr>
      <vt:lpstr>ActualForecast1Admin</vt:lpstr>
      <vt:lpstr>ActualForecast2Admin</vt:lpstr>
      <vt:lpstr>ActualMonth</vt:lpstr>
      <vt:lpstr>ActualMonthYTD</vt:lpstr>
      <vt:lpstr>AutoFit</vt:lpstr>
      <vt:lpstr>AutoRefresh_Recapitulatif_frais_annexes</vt:lpstr>
      <vt:lpstr>Cube1</vt:lpstr>
      <vt:lpstr>Cube2</vt:lpstr>
      <vt:lpstr>Flag_Send_Comment</vt:lpstr>
      <vt:lpstr>Flag_Send_Data</vt:lpstr>
      <vt:lpstr>Recapitulatif_frais_annexes!Impression_des_titres</vt:lpstr>
      <vt:lpstr>Language</vt:lpstr>
      <vt:lpstr>LocalLanguage</vt:lpstr>
      <vt:lpstr>LocalLanguage2</vt:lpstr>
      <vt:lpstr>Note</vt:lpstr>
      <vt:lpstr>Server</vt:lpstr>
      <vt:lpstr>Recapitulatif_frais_annexes!TM1RPTDATARNGARPT1</vt:lpstr>
      <vt:lpstr>Recapitulatif_frais_annexes!TM1RPTFMTIDCOL</vt:lpstr>
      <vt:lpstr>Recapitulatif_frais_annexes!TM1RPTFMTRNG</vt:lpstr>
      <vt:lpstr>xHost</vt:lpstr>
      <vt:lpstr>xServer</vt:lpstr>
      <vt:lpstr>Recapitulatif_frais_annexes!Zone_d_impression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2012-06-25T09:48:46Z</cp:lastPrinted>
  <dcterms:created xsi:type="dcterms:W3CDTF">2011-06-21T16:52:24Z</dcterms:created>
  <dcterms:modified xsi:type="dcterms:W3CDTF">2013-04-18T13:59:12Z</dcterms:modified>
</cp:coreProperties>
</file>