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8685" windowHeight="8040" tabRatio="852" firstSheet="1" activeTab="1"/>
  </bookViews>
  <sheets>
    <sheet name="Context" sheetId="66" state="hidden" r:id="rId1"/>
    <sheet name="Recapitulatif_frais_fournisseur" sheetId="67" r:id="rId2"/>
  </sheets>
  <functionGroups builtInGroupCount="17"/>
  <definedNames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MonthYTD">Context!$F$13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Recapitulatif_frais_fournisseur!$I$57:$N$67</definedName>
    <definedName name="AutoRefresh_Frais_Direction_Nature_Charges">#REF!</definedName>
    <definedName name="AutoRefresh_Recapitulatif_frais_fournisseur">Recapitulatif_frais_fournisseur!$F$17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Recapitulatif_frais_fournisseur!$D:$N,Recapitulatif_frais_fournisseur!$18:$58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1" localSheetId="1">Recapitulatif_frais_fournisseur!$64:$66</definedName>
    <definedName name="TM1RPTFMTIDCOL" localSheetId="1">Recapitulatif_frais_fournisseur!$A$1:$A$8</definedName>
    <definedName name="TM1RPTFMTRNG" localSheetId="1">Recapitulatif_frais_fournisseur!$G$1:$N$8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66" i="67" l="1"/>
  <c r="A65" i="67"/>
  <c r="G42" i="67"/>
  <c r="AM28" i="67"/>
  <c r="F35" i="67"/>
  <c r="H44" i="67"/>
  <c r="F28" i="67"/>
  <c r="H45" i="67"/>
  <c r="F29" i="67"/>
  <c r="H46" i="67"/>
  <c r="H47" i="67"/>
  <c r="H48" i="67"/>
  <c r="F31" i="67"/>
  <c r="H49" i="67"/>
  <c r="F33" i="67"/>
  <c r="H50" i="67"/>
  <c r="F32" i="67"/>
  <c r="H11" i="67"/>
  <c r="J10" i="67"/>
  <c r="Q66" i="67"/>
  <c r="J11" i="67"/>
  <c r="I10" i="67"/>
  <c r="P66" i="67"/>
  <c r="I66" i="67"/>
  <c r="J66" i="67"/>
  <c r="L66" i="67"/>
  <c r="M66" i="67"/>
  <c r="N66" i="67"/>
  <c r="Q65" i="67"/>
  <c r="P65" i="67"/>
  <c r="I65" i="67"/>
  <c r="J65" i="67"/>
  <c r="L65" i="67"/>
  <c r="M65" i="67"/>
  <c r="N65" i="67"/>
  <c r="B5" i="66"/>
  <c r="B13" i="66"/>
  <c r="F34" i="67"/>
  <c r="C13" i="66"/>
  <c r="D13" i="66"/>
  <c r="E13" i="66"/>
  <c r="F13" i="66"/>
  <c r="R84" i="67"/>
  <c r="T84" i="67"/>
  <c r="S85" i="67"/>
  <c r="R90" i="67"/>
  <c r="X90" i="67"/>
  <c r="X91" i="67"/>
  <c r="X92" i="67"/>
  <c r="X96" i="67"/>
  <c r="W90" i="67"/>
  <c r="W91" i="67"/>
  <c r="W92" i="67"/>
  <c r="W96" i="67"/>
  <c r="V90" i="67"/>
  <c r="V91" i="67"/>
  <c r="V92" i="67"/>
  <c r="V89" i="67"/>
  <c r="V93" i="67"/>
  <c r="V96" i="67"/>
  <c r="U90" i="67"/>
  <c r="U91" i="67"/>
  <c r="U92" i="67"/>
  <c r="U93" i="67"/>
  <c r="U96" i="67"/>
  <c r="T90" i="67"/>
  <c r="T91" i="67"/>
  <c r="T92" i="67"/>
  <c r="T93" i="67"/>
  <c r="T96" i="67"/>
  <c r="S90" i="67"/>
  <c r="S91" i="67"/>
  <c r="S92" i="67"/>
  <c r="S93" i="67"/>
  <c r="S96" i="67"/>
  <c r="E61" i="67"/>
  <c r="J60" i="67"/>
  <c r="I60" i="67"/>
  <c r="L60" i="67"/>
  <c r="M60" i="67"/>
  <c r="E64" i="67"/>
  <c r="J64" i="67"/>
  <c r="I64" i="67"/>
  <c r="J57" i="67"/>
  <c r="I57" i="67"/>
  <c r="L57" i="67"/>
  <c r="B17" i="66"/>
  <c r="C17" i="66"/>
  <c r="E72" i="67"/>
  <c r="E71" i="67"/>
  <c r="E70" i="67"/>
  <c r="E69" i="67"/>
  <c r="H51" i="67"/>
  <c r="L52" i="67"/>
  <c r="Q97" i="67"/>
  <c r="Q96" i="67"/>
  <c r="Q95" i="67"/>
  <c r="S86" i="67"/>
  <c r="S87" i="67"/>
  <c r="T94" i="67"/>
  <c r="T97" i="67"/>
  <c r="U94" i="67"/>
  <c r="U97" i="67"/>
  <c r="V94" i="67"/>
  <c r="V97" i="67"/>
  <c r="W94" i="67"/>
  <c r="W97" i="67"/>
  <c r="X94" i="67"/>
  <c r="X97" i="67"/>
  <c r="S94" i="67"/>
  <c r="S97" i="67"/>
  <c r="W93" i="67"/>
  <c r="X93" i="67"/>
  <c r="E27" i="67"/>
  <c r="E32" i="67"/>
  <c r="E40" i="67"/>
  <c r="X95" i="67"/>
  <c r="W95" i="67"/>
  <c r="V95" i="67"/>
  <c r="U95" i="67"/>
  <c r="T95" i="67"/>
  <c r="S95" i="67"/>
  <c r="L64" i="67"/>
  <c r="M64" i="67"/>
  <c r="I52" i="67"/>
  <c r="L22" i="67"/>
  <c r="E22" i="67"/>
  <c r="E68" i="67"/>
  <c r="N60" i="67"/>
  <c r="N64" i="67"/>
  <c r="Q64" i="67"/>
  <c r="P64" i="67"/>
  <c r="E60" i="67"/>
  <c r="N57" i="67"/>
  <c r="E34" i="67"/>
  <c r="E30" i="67"/>
  <c r="E29" i="67"/>
  <c r="E28" i="67"/>
  <c r="E35" i="67"/>
  <c r="E31" i="67"/>
  <c r="E33" i="67"/>
  <c r="AQ73" i="67"/>
  <c r="A64" i="67"/>
  <c r="A5" i="67"/>
  <c r="A4" i="67"/>
  <c r="A3" i="67"/>
  <c r="A2" i="67"/>
  <c r="B14" i="66"/>
  <c r="B16" i="66"/>
  <c r="B15" i="66"/>
</calcChain>
</file>

<file path=xl/sharedStrings.xml><?xml version="1.0" encoding="utf-8"?>
<sst xmlns="http://schemas.openxmlformats.org/spreadsheetml/2006/main" count="125" uniqueCount="111">
  <si>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</si>
  <si>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</si>
  <si>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</si>
  <si>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</si>
  <si>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</si>
  <si>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</si>
  <si>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</si>
  <si>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</si>
  <si>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</si>
  <si>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</si>
  <si>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</si>
  <si>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</si>
  <si>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</si>
  <si>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</si>
  <si>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</si>
  <si>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</si>
  <si>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</si>
  <si>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</si>
  <si>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</si>
  <si>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</si>
  <si>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</si>
  <si>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</si>
  <si>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</si>
  <si>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</si>
  <si>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</si>
  <si>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</si>
  <si>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</si>
  <si>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</si>
  <si>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</si>
  <si>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</si>
  <si>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</si>
  <si>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</si>
  <si>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</si>
  <si>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</si>
  <si>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</si>
  <si>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</si>
  <si>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</si>
  <si>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</si>
  <si>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</si>
  <si>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Forecast Version 2</t>
  </si>
  <si>
    <t>Period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</si>
  <si>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</si>
  <si>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</si>
  <si>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</si>
  <si>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</si>
  <si>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</si>
  <si>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</si>
  <si>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Legal_Organization_Corp</t>
  </si>
  <si>
    <t>Indicator_Corp</t>
  </si>
  <si>
    <t>Tiers</t>
  </si>
  <si>
    <t>D</t>
  </si>
  <si>
    <t>N</t>
  </si>
  <si>
    <t>[Begin Format Range]</t>
  </si>
  <si>
    <t>[End Format Range]</t>
  </si>
  <si>
    <t>Eléments fixes</t>
  </si>
  <si>
    <t>RP_Comments_PL_Corp</t>
  </si>
  <si>
    <t>Integration_rate</t>
  </si>
  <si>
    <t>Actual_N_1</t>
  </si>
  <si>
    <t>Output</t>
  </si>
  <si>
    <t>VTD</t>
  </si>
  <si>
    <t>Trend arrows</t>
  </si>
  <si>
    <t>ì</t>
  </si>
  <si>
    <t>î</t>
  </si>
  <si>
    <t>è</t>
  </si>
  <si>
    <t>Phase for comments</t>
  </si>
  <si>
    <t>YearToDate</t>
  </si>
  <si>
    <t>Ytd</t>
  </si>
  <si>
    <t>Coûts Bruts - Coûts Nets Réalisé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</si>
  <si>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</si>
  <si>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</si>
  <si>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</si>
  <si>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</si>
  <si>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</si>
  <si>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</si>
  <si>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</si>
  <si>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</si>
  <si>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</si>
  <si>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</si>
  <si>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</si>
  <si>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</si>
  <si>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Management_Organization_Corp</t>
  </si>
  <si>
    <t>LANGUES</t>
  </si>
  <si>
    <t>Variances</t>
  </si>
  <si>
    <t>Portuguese</t>
  </si>
  <si>
    <t>Recapitulatif_Frais_Fournisseurs</t>
  </si>
  <si>
    <t xml:space="preserve">Variance </t>
  </si>
  <si>
    <t>Chges_ope</t>
  </si>
  <si>
    <t>ACT_TOT</t>
  </si>
  <si>
    <t>Prior year</t>
  </si>
  <si>
    <t>Projet</t>
  </si>
  <si>
    <t>Tot_proj</t>
  </si>
  <si>
    <t>Recapitulatif_frais_fournisseurs</t>
  </si>
  <si>
    <t>Previous Month</t>
  </si>
  <si>
    <t>Month</t>
  </si>
  <si>
    <t>YTD</t>
  </si>
  <si>
    <t>Periode</t>
  </si>
  <si>
    <t>2nd particule</t>
  </si>
  <si>
    <t>Mois 1 à 6</t>
  </si>
  <si>
    <t>Mois 7 à 12</t>
  </si>
  <si>
    <t>Mois 4 à 9</t>
  </si>
  <si>
    <t>Year</t>
  </si>
  <si>
    <t>ACTUAL</t>
  </si>
  <si>
    <t>ACTUAL N-1</t>
  </si>
  <si>
    <t>Fournisseurs_Direction</t>
  </si>
  <si>
    <t>Réalisé N-1</t>
  </si>
  <si>
    <t>ACT</t>
  </si>
  <si>
    <t>AutoRefresh_Recapitulatif_frais_fournisseur</t>
  </si>
  <si>
    <t>Tiers consolidés</t>
  </si>
  <si>
    <t>tango_core_model:</t>
  </si>
  <si>
    <t>TFR-AP019298</t>
  </si>
  <si>
    <t>Non affecté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</si>
</sst>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00"/>
    <numFmt numFmtId="173" formatCode="#,##0;&quot;(&quot;#,##0&quot;)&quot;"/>
  </numFmts>
  <fonts count="7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sz val="10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14"/>
      <name val="Calibri"/>
      <family val="2"/>
    </font>
    <font>
      <b/>
      <sz val="18"/>
      <name val="Wingdings"/>
      <charset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1"/>
      <color rgb="FF0070C0"/>
      <name val="Arial"/>
      <family val="2"/>
    </font>
    <font>
      <b/>
      <sz val="32"/>
      <color indexed="9"/>
      <name val="Calibri"/>
      <family val="2"/>
    </font>
    <font>
      <b/>
      <sz val="10"/>
      <color rgb="FFFF0000"/>
      <name val="Arial"/>
      <family val="2"/>
    </font>
    <font>
      <b/>
      <sz val="14"/>
      <color theme="0"/>
      <name val="Arial"/>
      <family val="2"/>
    </font>
    <font>
      <b/>
      <sz val="20"/>
      <color theme="0"/>
      <name val="Arial"/>
      <family val="2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5"/>
      <name val="Calibri"/>
      <family val="2"/>
      <scheme val="minor"/>
    </font>
    <font>
      <b/>
      <i/>
      <sz val="22"/>
      <color indexed="9"/>
      <name val="Calibri"/>
      <family val="2"/>
    </font>
    <font>
      <sz val="18"/>
      <name val="Calibri"/>
      <family val="2"/>
      <scheme val="minor"/>
    </font>
    <font>
      <b/>
      <sz val="18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b/>
      <sz val="16"/>
      <color indexed="57"/>
      <name val="Wingdings"/>
      <charset val="2"/>
    </font>
    <font>
      <b/>
      <sz val="18"/>
      <color theme="0"/>
      <name val="Calibri"/>
      <family val="2"/>
      <scheme val="minor"/>
    </font>
    <font>
      <b/>
      <sz val="18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5"/>
      <color indexed="57"/>
      <name val="Wingdings"/>
      <charset val="2"/>
    </font>
    <font>
      <b/>
      <sz val="15"/>
      <name val="Calibri"/>
      <family val="2"/>
      <scheme val="minor"/>
    </font>
    <font>
      <b/>
      <sz val="28"/>
      <color indexed="9"/>
      <name val="Calibri"/>
      <family val="2"/>
    </font>
    <font>
      <b/>
      <sz val="20"/>
      <color indexed="9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F707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FF0000"/>
        <bgColor auto="1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/>
      <top/>
      <bottom/>
      <diagonal/>
    </border>
    <border>
      <left style="medium">
        <color indexed="23"/>
      </left>
      <right/>
      <top/>
      <bottom style="medium">
        <color indexed="23"/>
      </bottom>
      <diagonal/>
    </border>
    <border>
      <left/>
      <right/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thick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ck">
        <color indexed="9"/>
      </bottom>
      <diagonal/>
    </border>
  </borders>
  <cellStyleXfs count="287">
    <xf numFmtId="0" fontId="0" fillId="0" borderId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10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3" fillId="3" borderId="0" applyNumberFormat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166" fontId="24" fillId="22" borderId="0" applyNumberFormat="0" applyBorder="0">
      <alignment horizontal="right"/>
      <protection locked="0"/>
    </xf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167" fontId="25" fillId="23" borderId="0" applyNumberFormat="0" applyBorder="0">
      <alignment horizontal="right" vertical="center"/>
      <protection locked="0"/>
    </xf>
    <xf numFmtId="168" fontId="2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6" fillId="25" borderId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6" fillId="25" borderId="0"/>
    <xf numFmtId="0" fontId="26" fillId="25" borderId="0"/>
    <xf numFmtId="169" fontId="28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26" fillId="25" borderId="0"/>
    <xf numFmtId="0" fontId="29" fillId="7" borderId="10" applyNumberFormat="0" applyAlignment="0" applyProtection="0"/>
    <xf numFmtId="0" fontId="29" fillId="7" borderId="10" applyNumberFormat="0" applyAlignment="0" applyProtection="0"/>
    <xf numFmtId="0" fontId="29" fillId="7" borderId="10" applyNumberFormat="0" applyAlignment="0" applyProtection="0"/>
    <xf numFmtId="0" fontId="2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8" fillId="12" borderId="0" applyNumberFormat="0" applyBorder="0" applyAlignment="0" applyProtection="0"/>
    <xf numFmtId="0" fontId="29" fillId="27" borderId="10" applyNumberFormat="0" applyAlignment="0" applyProtection="0"/>
    <xf numFmtId="0" fontId="1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2" fillId="28" borderId="0" applyNumberFormat="0" applyBorder="0">
      <alignment horizontal="left" vertical="center"/>
      <protection locked="0"/>
    </xf>
    <xf numFmtId="170" fontId="33" fillId="22" borderId="0" applyNumberFormat="0" applyBorder="0">
      <alignment horizontal="left"/>
      <protection locked="0"/>
    </xf>
    <xf numFmtId="0" fontId="34" fillId="0" borderId="6" applyNumberFormat="0" applyFill="0" applyAlignment="0" applyProtection="0"/>
    <xf numFmtId="0" fontId="35" fillId="0" borderId="11" applyNumberFormat="0" applyFill="0" applyAlignment="0" applyProtection="0"/>
    <xf numFmtId="0" fontId="36" fillId="0" borderId="12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8" fillId="20" borderId="3" applyNumberFormat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59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7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41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2" fillId="30" borderId="14" xfId="0" applyFont="1" applyFill="1" applyBorder="1" applyAlignment="1" applyProtection="1">
      <alignment horizontal="left"/>
      <protection locked="0"/>
    </xf>
    <xf numFmtId="0" fontId="40" fillId="30" borderId="15" xfId="0" applyFont="1" applyFill="1" applyBorder="1" applyProtection="1">
      <protection locked="0"/>
    </xf>
    <xf numFmtId="0" fontId="39" fillId="31" borderId="16" xfId="0" applyFont="1" applyFill="1" applyBorder="1" applyProtection="1">
      <protection locked="0"/>
    </xf>
    <xf numFmtId="0" fontId="39" fillId="0" borderId="16" xfId="0" applyFont="1" applyBorder="1" applyProtection="1">
      <protection locked="0"/>
    </xf>
    <xf numFmtId="0" fontId="39" fillId="0" borderId="16" xfId="0" applyNumberFormat="1" applyFont="1" applyBorder="1" applyProtection="1">
      <protection locked="0"/>
    </xf>
    <xf numFmtId="0" fontId="0" fillId="0" borderId="0" xfId="0" applyBorder="1" applyProtection="1"/>
    <xf numFmtId="0" fontId="43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39" fillId="0" borderId="19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2" fillId="0" borderId="21" xfId="0" applyFont="1" applyBorder="1" applyProtection="1"/>
    <xf numFmtId="0" fontId="3" fillId="36" borderId="21" xfId="205" applyFont="1" applyFill="1" applyBorder="1" applyAlignment="1" applyProtection="1">
      <alignment horizontal="center" vertical="center"/>
    </xf>
    <xf numFmtId="0" fontId="0" fillId="0" borderId="24" xfId="0" applyBorder="1" applyProtection="1"/>
    <xf numFmtId="0" fontId="0" fillId="0" borderId="23" xfId="0" applyBorder="1" applyProtection="1"/>
    <xf numFmtId="0" fontId="0" fillId="35" borderId="17" xfId="0" applyFill="1" applyBorder="1" applyProtection="1"/>
    <xf numFmtId="0" fontId="0" fillId="35" borderId="25" xfId="0" applyFill="1" applyBorder="1" applyProtection="1"/>
    <xf numFmtId="0" fontId="0" fillId="35" borderId="0" xfId="0" applyFill="1" applyBorder="1" applyProtection="1"/>
    <xf numFmtId="0" fontId="0" fillId="36" borderId="4" xfId="0" applyFill="1" applyBorder="1" applyProtection="1">
      <protection locked="0"/>
    </xf>
    <xf numFmtId="0" fontId="10" fillId="0" borderId="0" xfId="0" applyFont="1"/>
    <xf numFmtId="0" fontId="2" fillId="0" borderId="24" xfId="0" applyFont="1" applyBorder="1" applyProtection="1"/>
    <xf numFmtId="0" fontId="2" fillId="0" borderId="23" xfId="0" applyFont="1" applyFill="1" applyBorder="1" applyProtection="1"/>
    <xf numFmtId="0" fontId="2" fillId="0" borderId="22" xfId="0" applyFont="1" applyFill="1" applyBorder="1" applyProtection="1"/>
    <xf numFmtId="0" fontId="45" fillId="35" borderId="0" xfId="0" applyFont="1" applyFill="1" applyProtection="1"/>
    <xf numFmtId="0" fontId="43" fillId="35" borderId="0" xfId="0" applyFont="1" applyFill="1" applyProtection="1"/>
    <xf numFmtId="0" fontId="10" fillId="35" borderId="25" xfId="0" applyFont="1" applyFill="1" applyBorder="1" applyProtection="1"/>
    <xf numFmtId="0" fontId="49" fillId="0" borderId="0" xfId="205" applyFont="1" applyFill="1" applyBorder="1" applyAlignment="1" applyProtection="1">
      <alignment vertical="center"/>
    </xf>
    <xf numFmtId="0" fontId="2" fillId="0" borderId="0" xfId="0" applyFont="1"/>
    <xf numFmtId="0" fontId="0" fillId="0" borderId="23" xfId="0" applyFill="1" applyBorder="1" applyProtection="1"/>
    <xf numFmtId="0" fontId="1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2" fillId="0" borderId="0" xfId="0" applyFont="1" applyFill="1" applyBorder="1"/>
    <xf numFmtId="0" fontId="51" fillId="0" borderId="24" xfId="0" applyFont="1" applyBorder="1" applyAlignment="1" applyProtection="1">
      <alignment horizontal="center"/>
    </xf>
    <xf numFmtId="0" fontId="4" fillId="29" borderId="0" xfId="205" applyFont="1" applyFill="1" applyBorder="1" applyAlignment="1" applyProtection="1">
      <alignment vertical="center"/>
    </xf>
    <xf numFmtId="0" fontId="45" fillId="0" borderId="0" xfId="0" applyFont="1" applyAlignment="1" applyProtection="1">
      <alignment horizontal="left" vertical="center"/>
    </xf>
    <xf numFmtId="0" fontId="52" fillId="0" borderId="0" xfId="205" applyFont="1" applyFill="1" applyBorder="1" applyAlignment="1" applyProtection="1">
      <alignment horizontal="center" vertical="center"/>
    </xf>
    <xf numFmtId="0" fontId="53" fillId="0" borderId="0" xfId="205" applyFont="1" applyFill="1" applyBorder="1" applyAlignment="1" applyProtection="1">
      <alignment horizontal="right" vertical="center"/>
    </xf>
    <xf numFmtId="0" fontId="53" fillId="0" borderId="0" xfId="205" applyFont="1" applyFill="1" applyBorder="1" applyAlignment="1" applyProtection="1">
      <alignment vertical="center"/>
    </xf>
    <xf numFmtId="0" fontId="54" fillId="0" borderId="0" xfId="205" applyFont="1" applyFill="1" applyBorder="1" applyAlignment="1" applyProtection="1">
      <alignment vertical="center"/>
    </xf>
    <xf numFmtId="3" fontId="55" fillId="0" borderId="4" xfId="205" applyNumberFormat="1" applyFont="1" applyFill="1" applyBorder="1" applyAlignment="1" applyProtection="1">
      <alignment horizontal="center" vertical="center"/>
    </xf>
    <xf numFmtId="0" fontId="48" fillId="0" borderId="0" xfId="0" applyFont="1" applyProtection="1"/>
    <xf numFmtId="1" fontId="0" fillId="0" borderId="0" xfId="0" applyNumberFormat="1" applyProtection="1"/>
    <xf numFmtId="0" fontId="56" fillId="0" borderId="23" xfId="205" applyFont="1" applyFill="1" applyBorder="1" applyAlignment="1" applyProtection="1">
      <alignment vertical="center"/>
    </xf>
    <xf numFmtId="0" fontId="56" fillId="0" borderId="22" xfId="205" applyFont="1" applyFill="1" applyBorder="1" applyAlignment="1" applyProtection="1">
      <alignment vertical="center"/>
    </xf>
    <xf numFmtId="0" fontId="57" fillId="0" borderId="0" xfId="0" applyFont="1" applyProtection="1"/>
    <xf numFmtId="0" fontId="6" fillId="32" borderId="0" xfId="0" applyFont="1" applyFill="1" applyBorder="1" applyAlignment="1">
      <alignment horizontal="left" vertical="center"/>
    </xf>
    <xf numFmtId="0" fontId="46" fillId="0" borderId="0" xfId="0" applyNumberFormat="1" applyFont="1"/>
    <xf numFmtId="0" fontId="5" fillId="29" borderId="18" xfId="0" applyFont="1" applyFill="1" applyBorder="1" applyAlignment="1">
      <alignment horizontal="left" vertical="center"/>
    </xf>
    <xf numFmtId="0" fontId="44" fillId="37" borderId="0" xfId="0" applyFont="1" applyFill="1"/>
    <xf numFmtId="0" fontId="0" fillId="0" borderId="0" xfId="0" applyAlignment="1">
      <alignment horizontal="center" vertical="center"/>
    </xf>
    <xf numFmtId="0" fontId="40" fillId="38" borderId="0" xfId="0" applyFont="1" applyFill="1" applyAlignment="1">
      <alignment horizontal="center"/>
    </xf>
    <xf numFmtId="0" fontId="10" fillId="38" borderId="0" xfId="0" applyFont="1" applyFill="1" applyAlignment="1">
      <alignment vertical="center"/>
    </xf>
    <xf numFmtId="0" fontId="0" fillId="38" borderId="0" xfId="0" applyFill="1" applyAlignment="1">
      <alignment vertical="center"/>
    </xf>
    <xf numFmtId="0" fontId="44" fillId="38" borderId="0" xfId="0" applyFont="1" applyFill="1" applyBorder="1"/>
    <xf numFmtId="0" fontId="59" fillId="0" borderId="0" xfId="0" applyFont="1"/>
    <xf numFmtId="0" fontId="59" fillId="37" borderId="4" xfId="0" applyFont="1" applyFill="1" applyBorder="1"/>
    <xf numFmtId="0" fontId="2" fillId="38" borderId="0" xfId="0" applyFont="1" applyFill="1" applyAlignment="1">
      <alignment vertical="center"/>
    </xf>
    <xf numFmtId="0" fontId="47" fillId="38" borderId="0" xfId="0" applyFont="1" applyFill="1"/>
    <xf numFmtId="0" fontId="61" fillId="38" borderId="0" xfId="0" applyFont="1" applyFill="1" applyAlignment="1">
      <alignment vertical="center"/>
    </xf>
    <xf numFmtId="0" fontId="0" fillId="38" borderId="0" xfId="0" applyFill="1"/>
    <xf numFmtId="0" fontId="61" fillId="38" borderId="0" xfId="0" applyFont="1" applyFill="1" applyBorder="1" applyAlignment="1">
      <alignment vertical="center"/>
    </xf>
    <xf numFmtId="0" fontId="60" fillId="38" borderId="0" xfId="0" applyFont="1" applyFill="1"/>
    <xf numFmtId="0" fontId="10" fillId="35" borderId="0" xfId="0" applyFont="1" applyFill="1" applyBorder="1" applyProtection="1"/>
    <xf numFmtId="0" fontId="0" fillId="38" borderId="0" xfId="0" applyFill="1" applyBorder="1" applyProtection="1"/>
    <xf numFmtId="0" fontId="10" fillId="38" borderId="0" xfId="0" applyFont="1" applyFill="1" applyBorder="1" applyProtection="1"/>
    <xf numFmtId="0" fontId="46" fillId="38" borderId="0" xfId="0" applyNumberFormat="1" applyFont="1" applyFill="1"/>
    <xf numFmtId="0" fontId="61" fillId="38" borderId="0" xfId="0" applyFont="1" applyFill="1" applyAlignment="1">
      <alignment horizontal="center" vertical="center"/>
    </xf>
    <xf numFmtId="0" fontId="60" fillId="38" borderId="0" xfId="0" applyFont="1" applyFill="1" applyBorder="1" applyAlignment="1">
      <alignment horizontal="center" vertical="center"/>
    </xf>
    <xf numFmtId="0" fontId="58" fillId="38" borderId="0" xfId="0" applyFont="1" applyFill="1" applyBorder="1" applyAlignment="1">
      <alignment vertical="center"/>
    </xf>
    <xf numFmtId="0" fontId="62" fillId="0" borderId="0" xfId="0" applyFont="1"/>
    <xf numFmtId="0" fontId="2" fillId="37" borderId="0" xfId="0" applyFont="1" applyFill="1" applyProtection="1"/>
    <xf numFmtId="0" fontId="3" fillId="0" borderId="0" xfId="205" applyFont="1" applyFill="1" applyBorder="1" applyAlignment="1" applyProtection="1">
      <alignment horizontal="center" vertical="center"/>
    </xf>
    <xf numFmtId="0" fontId="4" fillId="40" borderId="0" xfId="205" applyFont="1" applyFill="1" applyBorder="1" applyAlignment="1" applyProtection="1">
      <alignment vertical="center"/>
    </xf>
    <xf numFmtId="0" fontId="4" fillId="38" borderId="0" xfId="205" applyFont="1" applyFill="1" applyBorder="1" applyAlignment="1" applyProtection="1">
      <alignment vertical="center"/>
    </xf>
    <xf numFmtId="0" fontId="62" fillId="0" borderId="0" xfId="0" applyFont="1" applyProtection="1">
      <protection locked="0"/>
    </xf>
    <xf numFmtId="0" fontId="0" fillId="0" borderId="39" xfId="0" applyBorder="1"/>
    <xf numFmtId="0" fontId="10" fillId="0" borderId="0" xfId="0" applyFont="1" applyBorder="1"/>
    <xf numFmtId="173" fontId="0" fillId="38" borderId="0" xfId="0" applyNumberFormat="1" applyFill="1"/>
    <xf numFmtId="173" fontId="64" fillId="38" borderId="0" xfId="0" applyNumberFormat="1" applyFont="1" applyFill="1" applyAlignment="1">
      <alignment horizontal="right" indent="1"/>
    </xf>
    <xf numFmtId="9" fontId="2" fillId="38" borderId="0" xfId="0" applyNumberFormat="1" applyFont="1" applyFill="1"/>
    <xf numFmtId="9" fontId="0" fillId="38" borderId="0" xfId="0" applyNumberFormat="1" applyFill="1"/>
    <xf numFmtId="173" fontId="64" fillId="0" borderId="0" xfId="0" applyNumberFormat="1" applyFont="1" applyAlignment="1">
      <alignment horizontal="right" indent="1"/>
    </xf>
    <xf numFmtId="0" fontId="67" fillId="41" borderId="0" xfId="0" applyFont="1" applyFill="1"/>
    <xf numFmtId="0" fontId="67" fillId="41" borderId="0" xfId="0" applyFont="1" applyFill="1" applyBorder="1"/>
    <xf numFmtId="173" fontId="67" fillId="41" borderId="0" xfId="0" applyNumberFormat="1" applyFont="1" applyFill="1" applyAlignment="1">
      <alignment horizontal="right" indent="1"/>
    </xf>
    <xf numFmtId="0" fontId="66" fillId="42" borderId="0" xfId="0" applyFont="1" applyFill="1"/>
    <xf numFmtId="0" fontId="66" fillId="42" borderId="0" xfId="0" applyFont="1" applyFill="1" applyBorder="1"/>
    <xf numFmtId="173" fontId="66" fillId="42" borderId="0" xfId="0" applyNumberFormat="1" applyFont="1" applyFill="1" applyAlignment="1">
      <alignment horizontal="right" indent="1"/>
    </xf>
    <xf numFmtId="0" fontId="69" fillId="40" borderId="0" xfId="0" applyFont="1" applyFill="1"/>
    <xf numFmtId="0" fontId="69" fillId="40" borderId="0" xfId="0" applyFont="1" applyFill="1" applyBorder="1"/>
    <xf numFmtId="173" fontId="69" fillId="40" borderId="0" xfId="0" applyNumberFormat="1" applyFont="1" applyFill="1" applyAlignment="1">
      <alignment horizontal="right" indent="1"/>
    </xf>
    <xf numFmtId="0" fontId="68" fillId="43" borderId="0" xfId="0" applyFont="1" applyFill="1"/>
    <xf numFmtId="0" fontId="68" fillId="43" borderId="0" xfId="0" applyFont="1" applyFill="1" applyBorder="1"/>
    <xf numFmtId="173" fontId="68" fillId="43" borderId="0" xfId="0" applyNumberFormat="1" applyFont="1" applyFill="1" applyAlignment="1">
      <alignment horizontal="right" indent="1"/>
    </xf>
    <xf numFmtId="0" fontId="64" fillId="38" borderId="0" xfId="0" applyFont="1" applyFill="1"/>
    <xf numFmtId="0" fontId="64" fillId="38" borderId="0" xfId="0" applyFont="1" applyFill="1" applyBorder="1"/>
    <xf numFmtId="0" fontId="64" fillId="38" borderId="38" xfId="0" applyFont="1" applyFill="1" applyBorder="1"/>
    <xf numFmtId="173" fontId="66" fillId="35" borderId="0" xfId="196" applyNumberFormat="1" applyFont="1" applyFill="1" applyBorder="1" applyAlignment="1" applyProtection="1">
      <alignment horizontal="right"/>
    </xf>
    <xf numFmtId="173" fontId="70" fillId="38" borderId="0" xfId="0" applyNumberFormat="1" applyFont="1" applyFill="1" applyAlignment="1">
      <alignment horizontal="right" indent="1"/>
    </xf>
    <xf numFmtId="173" fontId="70" fillId="0" borderId="0" xfId="0" applyNumberFormat="1" applyFont="1" applyAlignment="1">
      <alignment horizontal="right" indent="1"/>
    </xf>
    <xf numFmtId="49" fontId="64" fillId="38" borderId="0" xfId="0" applyNumberFormat="1" applyFont="1" applyFill="1" applyAlignment="1"/>
    <xf numFmtId="0" fontId="73" fillId="38" borderId="0" xfId="0" applyFont="1" applyFill="1"/>
    <xf numFmtId="173" fontId="72" fillId="39" borderId="0" xfId="0" applyNumberFormat="1" applyFont="1" applyFill="1" applyAlignment="1">
      <alignment horizontal="right" indent="1"/>
    </xf>
    <xf numFmtId="173" fontId="72" fillId="39" borderId="41" xfId="0" applyNumberFormat="1" applyFont="1" applyFill="1" applyBorder="1" applyAlignment="1">
      <alignment horizontal="right" indent="1"/>
    </xf>
    <xf numFmtId="173" fontId="73" fillId="38" borderId="0" xfId="0" applyNumberFormat="1" applyFont="1" applyFill="1"/>
    <xf numFmtId="173" fontId="74" fillId="39" borderId="0" xfId="0" applyNumberFormat="1" applyFont="1" applyFill="1" applyAlignment="1">
      <alignment horizontal="right" indent="1"/>
    </xf>
    <xf numFmtId="9" fontId="74" fillId="39" borderId="0" xfId="0" applyNumberFormat="1" applyFont="1" applyFill="1" applyAlignment="1">
      <alignment horizontal="right" indent="1"/>
    </xf>
    <xf numFmtId="0" fontId="71" fillId="39" borderId="40" xfId="196" applyFont="1" applyFill="1" applyBorder="1" applyAlignment="1" applyProtection="1">
      <alignment horizontal="center" vertical="center"/>
    </xf>
    <xf numFmtId="173" fontId="64" fillId="35" borderId="38" xfId="196" applyNumberFormat="1" applyFont="1" applyFill="1" applyBorder="1" applyAlignment="1" applyProtection="1">
      <alignment horizontal="right"/>
    </xf>
    <xf numFmtId="9" fontId="64" fillId="0" borderId="0" xfId="0" applyNumberFormat="1" applyFont="1" applyAlignment="1">
      <alignment horizontal="right" indent="1"/>
    </xf>
    <xf numFmtId="0" fontId="75" fillId="35" borderId="0" xfId="196" applyFont="1" applyFill="1" applyBorder="1" applyAlignment="1" applyProtection="1">
      <alignment horizontal="center" vertical="center"/>
    </xf>
    <xf numFmtId="173" fontId="69" fillId="41" borderId="0" xfId="0" applyNumberFormat="1" applyFont="1" applyFill="1" applyAlignment="1">
      <alignment horizontal="right" indent="1"/>
    </xf>
    <xf numFmtId="9" fontId="69" fillId="41" borderId="0" xfId="0" applyNumberFormat="1" applyFont="1" applyFill="1" applyAlignment="1">
      <alignment horizontal="right" indent="1"/>
    </xf>
    <xf numFmtId="173" fontId="68" fillId="42" borderId="0" xfId="0" applyNumberFormat="1" applyFont="1" applyFill="1" applyAlignment="1">
      <alignment horizontal="right" indent="1"/>
    </xf>
    <xf numFmtId="9" fontId="68" fillId="42" borderId="0" xfId="0" applyNumberFormat="1" applyFont="1" applyFill="1" applyAlignment="1">
      <alignment horizontal="right" indent="1"/>
    </xf>
    <xf numFmtId="173" fontId="76" fillId="40" borderId="0" xfId="0" applyNumberFormat="1" applyFont="1" applyFill="1" applyAlignment="1">
      <alignment horizontal="right" indent="1"/>
    </xf>
    <xf numFmtId="9" fontId="76" fillId="40" borderId="0" xfId="0" applyNumberFormat="1" applyFont="1" applyFill="1" applyAlignment="1">
      <alignment horizontal="right" indent="1"/>
    </xf>
    <xf numFmtId="0" fontId="75" fillId="40" borderId="0" xfId="196" applyFont="1" applyFill="1" applyBorder="1" applyAlignment="1" applyProtection="1">
      <alignment horizontal="center" vertical="center"/>
    </xf>
    <xf numFmtId="173" fontId="64" fillId="43" borderId="0" xfId="0" applyNumberFormat="1" applyFont="1" applyFill="1" applyAlignment="1">
      <alignment horizontal="right" indent="1"/>
    </xf>
    <xf numFmtId="9" fontId="64" fillId="43" borderId="0" xfId="0" applyNumberFormat="1" applyFont="1" applyFill="1" applyAlignment="1">
      <alignment horizontal="right" indent="1"/>
    </xf>
    <xf numFmtId="0" fontId="75" fillId="43" borderId="0" xfId="196" applyFont="1" applyFill="1" applyBorder="1" applyAlignment="1" applyProtection="1">
      <alignment horizontal="center" vertical="center"/>
    </xf>
    <xf numFmtId="9" fontId="64" fillId="38" borderId="0" xfId="0" applyNumberFormat="1" applyFont="1" applyFill="1" applyAlignment="1">
      <alignment horizontal="right" indent="1"/>
    </xf>
    <xf numFmtId="0" fontId="75" fillId="41" borderId="0" xfId="196" applyFont="1" applyFill="1" applyBorder="1" applyAlignment="1" applyProtection="1">
      <alignment horizontal="center" vertical="center"/>
    </xf>
    <xf numFmtId="0" fontId="75" fillId="42" borderId="0" xfId="196" applyFont="1" applyFill="1" applyBorder="1" applyAlignment="1" applyProtection="1">
      <alignment horizontal="center" vertical="center"/>
    </xf>
    <xf numFmtId="0" fontId="58" fillId="44" borderId="0" xfId="0" applyFont="1" applyFill="1" applyBorder="1" applyAlignment="1">
      <alignment vertical="center"/>
    </xf>
    <xf numFmtId="0" fontId="40" fillId="30" borderId="14" xfId="0" applyFont="1" applyFill="1" applyBorder="1" applyAlignment="1" applyProtection="1">
      <alignment horizontal="left" vertical="center"/>
      <protection locked="0"/>
    </xf>
    <xf numFmtId="0" fontId="50" fillId="31" borderId="20" xfId="205" applyFont="1" applyFill="1" applyBorder="1" applyAlignment="1" applyProtection="1">
      <alignment horizontal="left" vertical="center"/>
      <protection locked="0"/>
    </xf>
    <xf numFmtId="0" fontId="50" fillId="31" borderId="0" xfId="205" applyFont="1" applyFill="1" applyBorder="1" applyAlignment="1" applyProtection="1">
      <alignment horizontal="left" vertical="center"/>
      <protection locked="0"/>
    </xf>
    <xf numFmtId="0" fontId="50" fillId="31" borderId="29" xfId="205" applyFont="1" applyFill="1" applyBorder="1" applyAlignment="1" applyProtection="1">
      <alignment horizontal="left" vertical="center"/>
      <protection locked="0"/>
    </xf>
    <xf numFmtId="0" fontId="50" fillId="31" borderId="26" xfId="205" applyFont="1" applyFill="1" applyBorder="1" applyAlignment="1" applyProtection="1">
      <alignment horizontal="left" vertical="center"/>
      <protection locked="0"/>
    </xf>
    <xf numFmtId="0" fontId="50" fillId="31" borderId="27" xfId="205" applyFont="1" applyFill="1" applyBorder="1" applyAlignment="1" applyProtection="1">
      <alignment horizontal="left" vertical="center"/>
      <protection locked="0"/>
    </xf>
    <xf numFmtId="0" fontId="50" fillId="31" borderId="28" xfId="205" applyFont="1" applyFill="1" applyBorder="1" applyAlignment="1" applyProtection="1">
      <alignment horizontal="left" vertical="center"/>
      <protection locked="0"/>
    </xf>
    <xf numFmtId="0" fontId="50" fillId="31" borderId="34" xfId="205" applyFont="1" applyFill="1" applyBorder="1" applyAlignment="1" applyProtection="1">
      <alignment horizontal="left" vertical="center"/>
      <protection locked="0"/>
    </xf>
    <xf numFmtId="0" fontId="50" fillId="31" borderId="35" xfId="205" applyFont="1" applyFill="1" applyBorder="1" applyAlignment="1" applyProtection="1">
      <alignment horizontal="left" vertical="center"/>
      <protection locked="0"/>
    </xf>
    <xf numFmtId="0" fontId="50" fillId="31" borderId="36" xfId="205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63" fillId="39" borderId="33" xfId="0" applyFont="1" applyFill="1" applyBorder="1" applyAlignment="1">
      <alignment horizontal="center" vertical="center"/>
    </xf>
    <xf numFmtId="0" fontId="72" fillId="39" borderId="0" xfId="0" applyFont="1" applyFill="1" applyAlignment="1">
      <alignment horizontal="left" indent="1"/>
    </xf>
    <xf numFmtId="0" fontId="65" fillId="44" borderId="0" xfId="0" applyFont="1" applyFill="1" applyBorder="1" applyAlignment="1">
      <alignment horizontal="center" vertical="center"/>
    </xf>
    <xf numFmtId="0" fontId="48" fillId="0" borderId="30" xfId="0" applyFont="1" applyBorder="1" applyAlignment="1" applyProtection="1">
      <alignment horizontal="center"/>
    </xf>
    <xf numFmtId="0" fontId="48" fillId="0" borderId="31" xfId="0" applyFont="1" applyBorder="1" applyAlignment="1" applyProtection="1">
      <alignment horizontal="center"/>
    </xf>
    <xf numFmtId="0" fontId="48" fillId="0" borderId="32" xfId="0" applyFont="1" applyBorder="1" applyAlignment="1" applyProtection="1">
      <alignment horizontal="center"/>
    </xf>
    <xf numFmtId="0" fontId="63" fillId="39" borderId="0" xfId="0" applyFont="1" applyFill="1" applyAlignment="1">
      <alignment horizontal="center" vertical="center"/>
    </xf>
    <xf numFmtId="0" fontId="78" fillId="45" borderId="0" xfId="0" applyFont="1" applyFill="1" applyBorder="1" applyAlignment="1" applyProtection="1">
      <alignment horizontal="center" vertical="center" wrapText="1"/>
    </xf>
    <xf numFmtId="0" fontId="78" fillId="45" borderId="42" xfId="0" applyFont="1" applyFill="1" applyBorder="1" applyAlignment="1" applyProtection="1">
      <alignment horizontal="center" vertical="center" wrapText="1"/>
    </xf>
    <xf numFmtId="0" fontId="63" fillId="39" borderId="0" xfId="0" applyFont="1" applyFill="1" applyBorder="1" applyAlignment="1">
      <alignment horizontal="center" vertical="center" wrapText="1"/>
    </xf>
    <xf numFmtId="0" fontId="63" fillId="39" borderId="37" xfId="0" applyFont="1" applyFill="1" applyBorder="1" applyAlignment="1">
      <alignment horizontal="center" vertical="center" wrapText="1"/>
    </xf>
    <xf numFmtId="0" fontId="77" fillId="46" borderId="0" xfId="0" applyFont="1" applyFill="1" applyBorder="1" applyAlignment="1">
      <alignment horizontal="right" vertical="center"/>
    </xf>
    <xf numFmtId="171" fontId="67" fillId="41" borderId="0" xfId="0" applyNumberFormat="1" applyFont="1" applyFill="1" applyAlignment="1"/>
  </cellXfs>
  <cellStyles count="287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8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2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3"/>
    <cellStyle name="Normal 13" xfId="274"/>
    <cellStyle name="Normal 14" xfId="275"/>
    <cellStyle name="Normal 15" xfId="276"/>
    <cellStyle name="Normal 16" xfId="277"/>
    <cellStyle name="Normal 17" xfId="278"/>
    <cellStyle name="Normal 18" xfId="279"/>
    <cellStyle name="Normal 19" xfId="280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1"/>
    <cellStyle name="Normal 21" xfId="282"/>
    <cellStyle name="Normal 22" xfId="283"/>
    <cellStyle name="Normal 23" xfId="284"/>
    <cellStyle name="Normal 24" xfId="285"/>
    <cellStyle name="Normal 25" xfId="286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te 2" xfId="223"/>
    <cellStyle name="Note 3" xfId="224"/>
    <cellStyle name="Note 4" xfId="225"/>
    <cellStyle name="Note 5" xfId="226"/>
    <cellStyle name="N䃯rmal_la䇲oux_larou᷸" xfId="227"/>
    <cellStyle name="Output 2" xfId="228"/>
    <cellStyle name="Output 3" xfId="229"/>
    <cellStyle name="Output 4" xfId="230"/>
    <cellStyle name="Output 5" xfId="231"/>
    <cellStyle name="Percent 10" xfId="232"/>
    <cellStyle name="Percent 2" xfId="233"/>
    <cellStyle name="Percent 2 2" xfId="234"/>
    <cellStyle name="Percent 3" xfId="235"/>
    <cellStyle name="Percent 4" xfId="236"/>
    <cellStyle name="Percent 5" xfId="237"/>
    <cellStyle name="Percent 5 2" xfId="238"/>
    <cellStyle name="Percent 5 3" xfId="239"/>
    <cellStyle name="Percent 5 4" xfId="240"/>
    <cellStyle name="Percent 5 5" xfId="241"/>
    <cellStyle name="Percent 6" xfId="242"/>
    <cellStyle name="Percent 7" xfId="243"/>
    <cellStyle name="Percent 8" xfId="244"/>
    <cellStyle name="Percent 9" xfId="245"/>
    <cellStyle name="Pourcentage 2" xfId="246"/>
    <cellStyle name="Pourcentage 3" xfId="247"/>
    <cellStyle name="Satisfaisant" xfId="248" builtinId="26" customBuiltin="1"/>
    <cellStyle name="Sortie" xfId="249" builtinId="21" customBuiltin="1"/>
    <cellStyle name="Texte explicatif" xfId="250" builtinId="53" customBuiltin="1"/>
    <cellStyle name="Title 2" xfId="251"/>
    <cellStyle name="Title 3" xfId="252"/>
    <cellStyle name="Title 4" xfId="253"/>
    <cellStyle name="Title 5" xfId="254"/>
    <cellStyle name="Titre" xfId="255" builtinId="15" customBuiltin="1"/>
    <cellStyle name="Titre colonnes" xfId="256"/>
    <cellStyle name="Titre lignes" xfId="257"/>
    <cellStyle name="Titre 1" xfId="258" builtinId="16" customBuiltin="1"/>
    <cellStyle name="Titre 2" xfId="259" builtinId="17" customBuiltin="1"/>
    <cellStyle name="Titre 3" xfId="260" builtinId="18" customBuiltin="1"/>
    <cellStyle name="Titre 4" xfId="261" builtinId="19" customBuiltin="1"/>
    <cellStyle name="Total" xfId="262" builtinId="25" customBuiltin="1"/>
    <cellStyle name="Total 2" xfId="263"/>
    <cellStyle name="Total 3" xfId="264"/>
    <cellStyle name="Total 4" xfId="265"/>
    <cellStyle name="Total 5" xfId="266"/>
    <cellStyle name="Vérification" xfId="267" builtinId="23" customBuiltin="1"/>
    <cellStyle name="Warning Text 2" xfId="269"/>
    <cellStyle name="Warning Text 3" xfId="270"/>
    <cellStyle name="Warning Text 4" xfId="271"/>
    <cellStyle name="Warning Text 5" xfId="272"/>
  </cellStyles>
  <dxfs count="30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BDD6E7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DDDDDD"/>
      <color rgb="FF6F7072"/>
      <color rgb="FFD0C2A4"/>
      <color rgb="FF7E408F"/>
      <color rgb="FFFF5353"/>
      <color rgb="FF3F1260"/>
      <color rgb="FFFFFF99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Recapitulatif_frais_fournisseur!$Q$95</c:f>
          <c:strCache>
            <c:ptCount val="1"/>
            <c:pt idx="0">
              <c:v>Fournisseurs par direction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991033453034451E-2"/>
          <c:y val="0.13644524236983843"/>
          <c:w val="0.88426841188369887"/>
          <c:h val="0.6373429084380610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Recapitulatif_frais_fournisseur!$Q$97</c:f>
              <c:strCache>
                <c:ptCount val="1"/>
                <c:pt idx="0">
                  <c:v>Réalisé N-1</c:v>
                </c:pt>
              </c:strCache>
            </c:strRef>
          </c:tx>
          <c:spPr>
            <a:solidFill>
              <a:srgbClr val="D0C2A4"/>
            </a:solidFill>
            <a:ln w="25400">
              <a:noFill/>
            </a:ln>
          </c:spPr>
          <c:invertIfNegative val="0"/>
          <c:cat>
            <c:strRef>
              <c:f>Recapitulatif_frais_fournisseur!$S$95:$X$95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Recapitulatif_frais_fournisseur!$S$97:$X$97</c:f>
              <c:numCache>
                <c:formatCode>#,##0</c:formatCode>
                <c:ptCount val="6"/>
                <c:pt idx="0">
                  <c:v>-5286.7796700000026</c:v>
                </c:pt>
                <c:pt idx="1">
                  <c:v>-2053.8699299999998</c:v>
                </c:pt>
                <c:pt idx="2">
                  <c:v>-15942.22395</c:v>
                </c:pt>
                <c:pt idx="3">
                  <c:v>-8144.8871300000001</c:v>
                </c:pt>
                <c:pt idx="4">
                  <c:v>-8189.110569999998</c:v>
                </c:pt>
                <c:pt idx="5">
                  <c:v>-30588.39183</c:v>
                </c:pt>
              </c:numCache>
            </c:numRef>
          </c:val>
        </c:ser>
        <c:ser>
          <c:idx val="0"/>
          <c:order val="1"/>
          <c:tx>
            <c:strRef>
              <c:f>Recapitulatif_frais_fournisseur!$Q$96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Recapitulatif_frais_fournisseur!$S$95:$X$95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Recapitulatif_frais_fournisseur!$S$96:$X$96</c:f>
              <c:numCache>
                <c:formatCode>#,##0</c:formatCode>
                <c:ptCount val="6"/>
                <c:pt idx="0">
                  <c:v>-6883.8558499999963</c:v>
                </c:pt>
                <c:pt idx="1">
                  <c:v>-12028.108880000002</c:v>
                </c:pt>
                <c:pt idx="2">
                  <c:v>-12028.108880000002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50636544"/>
        <c:axId val="250860672"/>
      </c:barChart>
      <c:catAx>
        <c:axId val="250636544"/>
        <c:scaling>
          <c:orientation val="minMax"/>
        </c:scaling>
        <c:delete val="0"/>
        <c:axPos val="t"/>
        <c:numFmt formatCode="#,##0" sourceLinked="1"/>
        <c:majorTickMark val="out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50860672"/>
        <c:crosses val="autoZero"/>
        <c:auto val="1"/>
        <c:lblAlgn val="ctr"/>
        <c:lblOffset val="100"/>
        <c:noMultiLvlLbl val="0"/>
      </c:catAx>
      <c:valAx>
        <c:axId val="250860672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506365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9204441076636354E-2"/>
          <c:y val="0.87485944691696149"/>
          <c:w val="0.90182212649930282"/>
          <c:h val="9.3215793677964162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103910</xdr:colOff>
      <xdr:row>21</xdr:row>
      <xdr:rowOff>50061</xdr:rowOff>
    </xdr:from>
    <xdr:to>
      <xdr:col>13</xdr:col>
      <xdr:colOff>638975</xdr:colOff>
      <xdr:row>24</xdr:row>
      <xdr:rowOff>113636</xdr:rowOff>
    </xdr:to>
    <xdr:pic>
      <xdr:nvPicPr>
        <xdr:cNvPr id="4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66228" y="4154470"/>
          <a:ext cx="535065" cy="531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2008910</xdr:colOff>
      <xdr:row>80</xdr:row>
      <xdr:rowOff>51956</xdr:rowOff>
    </xdr:from>
    <xdr:to>
      <xdr:col>11</xdr:col>
      <xdr:colOff>952500</xdr:colOff>
      <xdr:row>110</xdr:row>
      <xdr:rowOff>131620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</xdr:row>
          <xdr:rowOff>123825</xdr:rowOff>
        </xdr:from>
        <xdr:to>
          <xdr:col>4</xdr:col>
          <xdr:colOff>2162175</xdr:colOff>
          <xdr:row>20</xdr:row>
          <xdr:rowOff>9525</xdr:rowOff>
        </xdr:to>
        <xdr:sp macro="" textlink="">
          <xdr:nvSpPr>
            <xdr:cNvPr id="1025" name="Refresh_Repo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4</xdr:col>
      <xdr:colOff>69273</xdr:colOff>
      <xdr:row>20</xdr:row>
      <xdr:rowOff>138544</xdr:rowOff>
    </xdr:from>
    <xdr:to>
      <xdr:col>4</xdr:col>
      <xdr:colOff>2301135</xdr:colOff>
      <xdr:row>24</xdr:row>
      <xdr:rowOff>155863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91" y="606135"/>
          <a:ext cx="2231862" cy="6407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G31"/>
  <sheetViews>
    <sheetView workbookViewId="0"/>
  </sheetViews>
  <sheetFormatPr baseColWidth="10" defaultColWidth="9.140625" defaultRowHeight="12.75" x14ac:dyDescent="0.2"/>
  <cols>
    <col min="1" max="1" width="38.28515625" style="7" bestFit="1" customWidth="1"/>
    <col min="2" max="2" width="23.42578125" style="7" customWidth="1"/>
    <col min="3" max="3" width="9.140625" style="7"/>
    <col min="4" max="4" width="27.7109375" style="7" customWidth="1"/>
    <col min="5" max="5" width="14.140625" style="7" customWidth="1"/>
    <col min="6" max="6" width="15.42578125" style="7" customWidth="1"/>
    <col min="7" max="16384" width="9.140625" style="7"/>
  </cols>
  <sheetData>
    <row r="1" spans="1:7" ht="18" x14ac:dyDescent="0.25">
      <c r="A1" s="5" t="s">
        <v>67</v>
      </c>
      <c r="B1" s="6"/>
    </row>
    <row r="2" spans="1:7" x14ac:dyDescent="0.2">
      <c r="A2" s="6"/>
      <c r="B2" s="6"/>
    </row>
    <row r="3" spans="1:7" ht="15.75" x14ac:dyDescent="0.25">
      <c r="A3" s="8" t="s">
        <v>5</v>
      </c>
      <c r="B3" s="6"/>
    </row>
    <row r="4" spans="1:7" x14ac:dyDescent="0.2">
      <c r="A4" s="9" t="s">
        <v>4</v>
      </c>
      <c r="B4" s="10" t="s">
        <v>108</v>
      </c>
    </row>
    <row r="5" spans="1:7" x14ac:dyDescent="0.2">
      <c r="A5" s="9" t="s">
        <v>7</v>
      </c>
      <c r="B5" s="11" t="str">
        <f>LEFT(Server,LEN(Server)-1)</f>
        <v>tango_core_model</v>
      </c>
    </row>
    <row r="6" spans="1:7" x14ac:dyDescent="0.2">
      <c r="A6" s="9" t="s">
        <v>3</v>
      </c>
      <c r="B6" s="11" t="s">
        <v>109</v>
      </c>
    </row>
    <row r="7" spans="1:7" x14ac:dyDescent="0.2">
      <c r="A7" s="9" t="s">
        <v>17</v>
      </c>
      <c r="B7" s="11">
        <v>0</v>
      </c>
    </row>
    <row r="8" spans="1:7" x14ac:dyDescent="0.2">
      <c r="A8" s="9" t="s">
        <v>33</v>
      </c>
      <c r="B8" s="11">
        <v>0</v>
      </c>
    </row>
    <row r="10" spans="1:7" ht="15.75" x14ac:dyDescent="0.25">
      <c r="A10" s="8" t="s">
        <v>6</v>
      </c>
    </row>
    <row r="11" spans="1:7" ht="13.5" customHeight="1" x14ac:dyDescent="0.2">
      <c r="A11" s="9" t="s">
        <v>13</v>
      </c>
      <c r="B11" s="11" t="s">
        <v>42</v>
      </c>
    </row>
    <row r="12" spans="1:7" ht="13.5" customHeight="1" x14ac:dyDescent="0.2">
      <c r="A12" s="9" t="s">
        <v>14</v>
      </c>
      <c r="B12" s="11" t="s">
        <v>55</v>
      </c>
      <c r="C12" s="38" t="s">
        <v>93</v>
      </c>
      <c r="D12" s="38" t="s">
        <v>92</v>
      </c>
      <c r="E12" s="38" t="s">
        <v>92</v>
      </c>
      <c r="F12" s="38" t="s">
        <v>94</v>
      </c>
      <c r="G12" s="38"/>
    </row>
    <row r="13" spans="1:7" x14ac:dyDescent="0.2">
      <c r="A13" s="9" t="s">
        <v>9</v>
      </c>
      <c r="B13" s="11" t="str">
        <f ca="1">_xll.DBR(Server&amp;"z_Admin_Param","MONTH_CORPORATE","STR_VAR1")</f>
        <v>2013.03</v>
      </c>
      <c r="C13" s="39" t="str">
        <f ca="1">RIGHT($B$13,2)</f>
        <v>03</v>
      </c>
      <c r="D13" s="40">
        <f ca="1">IF($C$13="01","1",$C$13-1)</f>
        <v>2</v>
      </c>
      <c r="E13" s="7" t="str">
        <f ca="1">IF(OR($D$13= 10,$D$13= 11,$D$13= 12),$D$13,"0"&amp;D13)</f>
        <v>02</v>
      </c>
      <c r="F13" s="7" t="str">
        <f ca="1">LEFT($B$13,5)&amp;$E$13&amp;"_YTD"</f>
        <v>2013.02_YTD</v>
      </c>
    </row>
    <row r="14" spans="1:7" x14ac:dyDescent="0.2">
      <c r="A14" s="9" t="s">
        <v>18</v>
      </c>
      <c r="B14" s="11" t="str">
        <f ca="1">_xll.DBR(Server&amp;"z_Admin_Param","BUDGET_VERSION_BUDGET_FORECAST","STR_VAR1")</f>
        <v>VC</v>
      </c>
    </row>
    <row r="15" spans="1:7" x14ac:dyDescent="0.2">
      <c r="A15" s="9" t="s">
        <v>19</v>
      </c>
      <c r="B15" s="11" t="str">
        <f ca="1">_xll.DBR(Server&amp;"z_Admin_Param","FORECAST_1_VERSION_BUDGET_FORECAST","STR_VAR1")</f>
        <v>VC</v>
      </c>
    </row>
    <row r="16" spans="1:7" x14ac:dyDescent="0.2">
      <c r="A16" s="9" t="s">
        <v>39</v>
      </c>
      <c r="B16" s="11" t="str">
        <f ca="1">_xll.DBR(Server&amp;"z_Admin_Param","FORECAST_2_VERSION_BUDGET_FORECAST","STR_VAR1")</f>
        <v>VC</v>
      </c>
    </row>
    <row r="17" spans="1:6" x14ac:dyDescent="0.2">
      <c r="A17" s="9" t="s">
        <v>2</v>
      </c>
      <c r="B17" s="12" t="str">
        <f ca="1">_xll.DBR(Server&amp;"z_Client_Properties","Language",_xll.TM1USER(xServer))</f>
        <v>English</v>
      </c>
      <c r="C17" s="7" t="str">
        <f ca="1">IF(LocalLanguage="French","Français",LocalLanguage)</f>
        <v>English</v>
      </c>
    </row>
    <row r="18" spans="1:6" x14ac:dyDescent="0.2">
      <c r="A18" s="135" t="s">
        <v>27</v>
      </c>
      <c r="B18" s="17" t="s">
        <v>1</v>
      </c>
    </row>
    <row r="19" spans="1:6" x14ac:dyDescent="0.2">
      <c r="A19" s="135"/>
      <c r="B19" s="17" t="s">
        <v>43</v>
      </c>
    </row>
    <row r="20" spans="1:6" x14ac:dyDescent="0.2">
      <c r="A20" s="135"/>
      <c r="B20" s="17" t="s">
        <v>11</v>
      </c>
    </row>
    <row r="21" spans="1:6" x14ac:dyDescent="0.2">
      <c r="A21" s="135"/>
      <c r="B21" s="17" t="s">
        <v>12</v>
      </c>
    </row>
    <row r="22" spans="1:6" x14ac:dyDescent="0.2">
      <c r="A22" s="135"/>
      <c r="B22" s="17" t="s">
        <v>83</v>
      </c>
    </row>
    <row r="23" spans="1:6" x14ac:dyDescent="0.2">
      <c r="A23" s="135" t="s">
        <v>28</v>
      </c>
      <c r="B23" s="17" t="s">
        <v>24</v>
      </c>
    </row>
    <row r="24" spans="1:6" x14ac:dyDescent="0.2">
      <c r="A24" s="135"/>
      <c r="B24" s="17" t="s">
        <v>25</v>
      </c>
    </row>
    <row r="25" spans="1:6" x14ac:dyDescent="0.2">
      <c r="A25" s="135"/>
      <c r="B25" s="17" t="s">
        <v>26</v>
      </c>
    </row>
    <row r="27" spans="1:6" ht="15.75" x14ac:dyDescent="0.25">
      <c r="A27" s="8" t="s">
        <v>20</v>
      </c>
      <c r="F27" s="7" t="s">
        <v>8</v>
      </c>
    </row>
    <row r="28" spans="1:6" ht="13.5" customHeight="1" x14ac:dyDescent="0.25">
      <c r="A28" s="7" t="s">
        <v>21</v>
      </c>
      <c r="B28" s="14"/>
    </row>
    <row r="29" spans="1:6" x14ac:dyDescent="0.2">
      <c r="A29" s="7" t="s">
        <v>22</v>
      </c>
      <c r="B29" s="15"/>
    </row>
    <row r="30" spans="1:6" x14ac:dyDescent="0.2">
      <c r="A30" s="7" t="s">
        <v>23</v>
      </c>
      <c r="B30" s="16"/>
    </row>
    <row r="31" spans="1:6" x14ac:dyDescent="0.2">
      <c r="A31" s="7" t="s">
        <v>41</v>
      </c>
      <c r="B31" s="27"/>
    </row>
  </sheetData>
  <sheetProtection sheet="1" objects="1" scenarios="1" formatColumns="0" formatRows="0"/>
  <mergeCells count="2">
    <mergeCell ref="A18:A22"/>
    <mergeCell ref="A23:A25"/>
  </mergeCells>
  <phoneticPr fontId="38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AZ124"/>
  <sheetViews>
    <sheetView showGridLines="0" tabSelected="1" topLeftCell="D18" zoomScale="55" zoomScaleNormal="55" workbookViewId="0">
      <selection activeCell="J32" sqref="J32"/>
    </sheetView>
  </sheetViews>
  <sheetFormatPr baseColWidth="10" defaultColWidth="9.140625" defaultRowHeight="12.75" outlineLevelRow="1" x14ac:dyDescent="0.2"/>
  <cols>
    <col min="1" max="1" width="19.42578125" hidden="1" customWidth="1"/>
    <col min="2" max="3" width="9.140625" hidden="1" customWidth="1"/>
    <col min="4" max="4" width="3.140625" customWidth="1"/>
    <col min="5" max="5" width="45.7109375" customWidth="1"/>
    <col min="6" max="6" width="25.28515625" customWidth="1"/>
    <col min="7" max="7" width="12" customWidth="1"/>
    <col min="8" max="8" width="5" customWidth="1"/>
    <col min="9" max="10" width="18.7109375" customWidth="1"/>
    <col min="11" max="11" width="2.7109375" customWidth="1"/>
    <col min="12" max="13" width="18.7109375" customWidth="1"/>
    <col min="14" max="14" width="10.7109375" customWidth="1"/>
    <col min="15" max="15" width="6.140625" customWidth="1"/>
    <col min="16" max="16" width="17.140625" hidden="1" customWidth="1"/>
    <col min="17" max="17" width="42.42578125" hidden="1" customWidth="1"/>
    <col min="18" max="18" width="28.42578125" hidden="1" customWidth="1"/>
    <col min="19" max="19" width="19.85546875" hidden="1" customWidth="1"/>
    <col min="20" max="24" width="18" hidden="1" customWidth="1"/>
    <col min="25" max="31" width="9.140625" hidden="1" customWidth="1"/>
    <col min="32" max="32" width="6" customWidth="1"/>
    <col min="33" max="35" width="9.140625" hidden="1" customWidth="1"/>
    <col min="36" max="36" width="4" hidden="1" customWidth="1"/>
    <col min="37" max="37" width="10.5703125" hidden="1" customWidth="1"/>
    <col min="38" max="38" width="21.5703125" hidden="1" customWidth="1"/>
    <col min="39" max="39" width="40.85546875" hidden="1" customWidth="1"/>
    <col min="40" max="50" width="9.140625" hidden="1" customWidth="1"/>
    <col min="51" max="51" width="32" hidden="1" customWidth="1"/>
    <col min="52" max="52" width="25.7109375" hidden="1" customWidth="1"/>
    <col min="53" max="53" width="4.42578125" customWidth="1"/>
    <col min="54" max="54" width="6.28515625" customWidth="1"/>
  </cols>
  <sheetData>
    <row r="1" spans="1:17" hidden="1" x14ac:dyDescent="0.2">
      <c r="A1" t="s">
        <v>52</v>
      </c>
    </row>
    <row r="2" spans="1:17" ht="23.25" hidden="1" x14ac:dyDescent="0.35">
      <c r="A2">
        <f ca="1">0</f>
        <v>0</v>
      </c>
      <c r="E2" s="92"/>
      <c r="F2" s="92"/>
      <c r="G2" s="93"/>
      <c r="H2" s="69"/>
      <c r="I2" s="94"/>
      <c r="J2" s="94"/>
      <c r="K2" s="108"/>
      <c r="L2" s="121"/>
      <c r="M2" s="122"/>
      <c r="N2" s="132"/>
      <c r="O2" s="69"/>
      <c r="P2" s="75"/>
      <c r="Q2" s="75"/>
    </row>
    <row r="3" spans="1:17" ht="23.25" hidden="1" x14ac:dyDescent="0.35">
      <c r="A3">
        <f ca="1">1</f>
        <v>1</v>
      </c>
      <c r="E3" s="95"/>
      <c r="F3" s="95"/>
      <c r="G3" s="96"/>
      <c r="H3" s="69"/>
      <c r="I3" s="97"/>
      <c r="J3" s="97"/>
      <c r="K3" s="108"/>
      <c r="L3" s="123"/>
      <c r="M3" s="124"/>
      <c r="N3" s="133"/>
      <c r="O3" s="69"/>
      <c r="P3" s="75"/>
      <c r="Q3" s="75"/>
    </row>
    <row r="4" spans="1:17" ht="21" hidden="1" x14ac:dyDescent="0.35">
      <c r="A4">
        <f ca="1">2</f>
        <v>2</v>
      </c>
      <c r="E4" s="98"/>
      <c r="F4" s="98"/>
      <c r="G4" s="99"/>
      <c r="H4" s="69"/>
      <c r="I4" s="100"/>
      <c r="J4" s="100"/>
      <c r="K4" s="108"/>
      <c r="L4" s="125"/>
      <c r="M4" s="126"/>
      <c r="N4" s="127"/>
      <c r="O4" s="69"/>
      <c r="P4" s="75"/>
      <c r="Q4" s="75"/>
    </row>
    <row r="5" spans="1:17" ht="21" hidden="1" x14ac:dyDescent="0.35">
      <c r="A5">
        <f ca="1">3</f>
        <v>3</v>
      </c>
      <c r="E5" s="101"/>
      <c r="F5" s="101"/>
      <c r="G5" s="102"/>
      <c r="H5" s="69"/>
      <c r="I5" s="103"/>
      <c r="J5" s="103"/>
      <c r="K5" s="108"/>
      <c r="L5" s="128"/>
      <c r="M5" s="129"/>
      <c r="N5" s="130"/>
      <c r="O5" s="69"/>
      <c r="P5" s="75"/>
      <c r="Q5" s="75"/>
    </row>
    <row r="6" spans="1:17" ht="23.25" hidden="1" x14ac:dyDescent="0.35">
      <c r="A6" t="s">
        <v>50</v>
      </c>
      <c r="E6" s="104"/>
      <c r="F6" s="104"/>
      <c r="G6" s="105"/>
      <c r="H6" s="69"/>
      <c r="I6" s="88"/>
      <c r="J6" s="107"/>
      <c r="K6" s="108"/>
      <c r="L6" s="88"/>
      <c r="M6" s="131"/>
      <c r="N6" s="120"/>
      <c r="O6" s="69"/>
      <c r="P6" s="75"/>
      <c r="Q6" s="75"/>
    </row>
    <row r="7" spans="1:17" ht="19.5" hidden="1" x14ac:dyDescent="0.3">
      <c r="A7" t="s">
        <v>51</v>
      </c>
      <c r="E7" s="104"/>
      <c r="F7" s="104"/>
      <c r="G7" s="106"/>
      <c r="I7" s="91"/>
      <c r="J7" s="118"/>
      <c r="K7" s="109"/>
      <c r="L7" s="91"/>
      <c r="M7" s="119"/>
      <c r="N7" s="120"/>
      <c r="O7" s="69"/>
      <c r="P7" s="56"/>
      <c r="Q7" s="56"/>
    </row>
    <row r="8" spans="1:17" hidden="1" x14ac:dyDescent="0.2">
      <c r="A8" t="s">
        <v>53</v>
      </c>
      <c r="P8" s="63"/>
    </row>
    <row r="9" spans="1:17" hidden="1" x14ac:dyDescent="0.2">
      <c r="H9" s="65" t="s">
        <v>0</v>
      </c>
      <c r="I9" s="36" t="s">
        <v>87</v>
      </c>
      <c r="J9" s="36" t="s">
        <v>87</v>
      </c>
      <c r="P9" s="63"/>
    </row>
    <row r="10" spans="1:17" hidden="1" x14ac:dyDescent="0.2">
      <c r="H10" s="65" t="s">
        <v>40</v>
      </c>
      <c r="I10" t="str">
        <f ca="1">J11</f>
        <v>2012.03_YTD</v>
      </c>
      <c r="J10" t="str">
        <f ca="1">H11</f>
        <v>2013.03_YTD</v>
      </c>
      <c r="P10" s="63"/>
    </row>
    <row r="11" spans="1:17" hidden="1" x14ac:dyDescent="0.2">
      <c r="H11" t="str">
        <f ca="1">_xll.SUBNM(Server&amp;"Period","",$F$32,"")</f>
        <v>2013.03_YTD</v>
      </c>
      <c r="I11" s="64" t="s">
        <v>88</v>
      </c>
      <c r="J11" t="str">
        <f ca="1">_xll.DBRA(Server&amp;$H$10,$H$11,"Prior Year")</f>
        <v>2012.03_YTD</v>
      </c>
      <c r="P11" s="63"/>
    </row>
    <row r="12" spans="1:17" hidden="1" x14ac:dyDescent="0.2">
      <c r="P12" s="63"/>
    </row>
    <row r="13" spans="1:17" hidden="1" x14ac:dyDescent="0.2">
      <c r="H13" s="65" t="s">
        <v>48</v>
      </c>
      <c r="I13" s="36" t="s">
        <v>86</v>
      </c>
      <c r="J13" s="65" t="s">
        <v>64</v>
      </c>
      <c r="K13" s="41" t="s">
        <v>105</v>
      </c>
      <c r="P13" s="63"/>
    </row>
    <row r="14" spans="1:17" hidden="1" x14ac:dyDescent="0.2"/>
    <row r="15" spans="1:17" hidden="1" x14ac:dyDescent="0.2"/>
    <row r="16" spans="1:17" hidden="1" x14ac:dyDescent="0.2"/>
    <row r="17" spans="5:46" ht="15.75" hidden="1" x14ac:dyDescent="0.25">
      <c r="F17" s="14" t="s">
        <v>106</v>
      </c>
    </row>
    <row r="18" spans="5:46" ht="12" customHeight="1" x14ac:dyDescent="0.2"/>
    <row r="21" spans="5:46" x14ac:dyDescent="0.2">
      <c r="O21" s="69"/>
      <c r="P21" s="69"/>
    </row>
    <row r="22" spans="5:46" ht="12.75" customHeight="1" x14ac:dyDescent="0.2">
      <c r="E22" s="157" t="str">
        <f ca="1">_xll.DBRA(Server&amp;$AM$33,$AM$45,$AM$28)</f>
        <v>Récapitulatif des frais fournisseurs</v>
      </c>
      <c r="F22" s="157"/>
      <c r="G22" s="157"/>
      <c r="H22" s="157"/>
      <c r="I22" s="157"/>
      <c r="J22" s="157"/>
      <c r="K22" s="157"/>
      <c r="L22" s="148" t="str">
        <f ca="1">_xll.DBRA(Server&amp;$AM$33,$AM$49,$AM$28)</f>
        <v>Restitution</v>
      </c>
      <c r="M22" s="148"/>
      <c r="N22" s="134"/>
      <c r="O22" s="78"/>
      <c r="P22" s="78"/>
      <c r="Q22" s="145"/>
    </row>
    <row r="23" spans="5:46" ht="12.75" customHeight="1" x14ac:dyDescent="0.2">
      <c r="E23" s="157"/>
      <c r="F23" s="157"/>
      <c r="G23" s="157"/>
      <c r="H23" s="157"/>
      <c r="I23" s="157"/>
      <c r="J23" s="157"/>
      <c r="K23" s="157"/>
      <c r="L23" s="148"/>
      <c r="M23" s="148"/>
      <c r="N23" s="134"/>
      <c r="O23" s="78"/>
      <c r="P23" s="78"/>
      <c r="Q23" s="145"/>
    </row>
    <row r="24" spans="5:46" ht="12.75" customHeight="1" x14ac:dyDescent="0.2">
      <c r="E24" s="157"/>
      <c r="F24" s="157"/>
      <c r="G24" s="157"/>
      <c r="H24" s="157"/>
      <c r="I24" s="157"/>
      <c r="J24" s="157"/>
      <c r="K24" s="157"/>
      <c r="L24" s="148"/>
      <c r="M24" s="148"/>
      <c r="N24" s="134"/>
      <c r="O24" s="78"/>
      <c r="P24" s="78"/>
      <c r="Q24" s="145"/>
    </row>
    <row r="25" spans="5:46" ht="12.75" customHeight="1" x14ac:dyDescent="0.2">
      <c r="E25" s="157"/>
      <c r="F25" s="157"/>
      <c r="G25" s="157"/>
      <c r="H25" s="157"/>
      <c r="I25" s="157"/>
      <c r="J25" s="157"/>
      <c r="K25" s="157"/>
      <c r="L25" s="148"/>
      <c r="M25" s="148"/>
      <c r="N25" s="134"/>
      <c r="O25" s="78"/>
      <c r="P25" s="78"/>
      <c r="Q25" s="145"/>
    </row>
    <row r="26" spans="5:46" x14ac:dyDescent="0.2">
      <c r="O26" s="69"/>
      <c r="P26" s="69"/>
    </row>
    <row r="27" spans="5:46" ht="23.25" x14ac:dyDescent="0.2">
      <c r="E27" s="55" t="str">
        <f ca="1">_xll.DBRA(Server&amp;$AM$33,$AM$34,$AM$28)</f>
        <v>Sélection du contexte</v>
      </c>
      <c r="O27" s="69"/>
    </row>
    <row r="28" spans="5:46" ht="18.75" hidden="1" outlineLevel="1" x14ac:dyDescent="0.3">
      <c r="E28" s="57" t="str">
        <f ca="1">_xll.DBRA(Server&amp;$AM$33,$AM$40,$AM$28)</f>
        <v>Gaap</v>
      </c>
      <c r="F28" s="84" t="str">
        <f ca="1">_xll.SUBNM(Server&amp;"GAAP","Corp_FR","Local_Gaap",$AM$28)</f>
        <v>Gaap local</v>
      </c>
      <c r="AL28" s="58" t="s">
        <v>81</v>
      </c>
      <c r="AM28" t="str">
        <f ca="1">IF($F$30="Français","French","English")</f>
        <v>French</v>
      </c>
    </row>
    <row r="29" spans="5:46" ht="18.75" hidden="1" outlineLevel="1" x14ac:dyDescent="0.3">
      <c r="E29" s="57" t="str">
        <f ca="1">_xll.DBRA(Server&amp;$AM$33,$AM$41,$AM$28)</f>
        <v>Taux d'intégration</v>
      </c>
      <c r="F29" s="84" t="str">
        <f ca="1">_xll.SUBNM(Server&amp;"Integration_Rate","Corp_FR","NO_APP",$AM$28)</f>
        <v>Données de liasse (Tx d'intégration No-APP)</v>
      </c>
    </row>
    <row r="30" spans="5:46" ht="18.75" hidden="1" outlineLevel="1" x14ac:dyDescent="0.3">
      <c r="E30" s="57" t="str">
        <f ca="1">_xll.DBRA(Server&amp;$AM$33,$AM$43,$AM$28)</f>
        <v>Langue</v>
      </c>
      <c r="F30" s="84" t="s">
        <v>43</v>
      </c>
    </row>
    <row r="31" spans="5:46" ht="18.75" hidden="1" outlineLevel="1" x14ac:dyDescent="0.3">
      <c r="E31" s="57" t="str">
        <f ca="1">_xll.DBRA(Server&amp;$AM$33,$AM$37,$AM$28)</f>
        <v>Organisation légale</v>
      </c>
      <c r="F31" s="84" t="str">
        <f ca="1">_xll.SUBNM(Server&amp;"Legal_Organization_Corp","Corp_FR",_xll.DBR(Server&amp;"z_Client_Properties","Default_Legal_Organization_Corp",_xll.TM1USER(xServer)),$F$30)</f>
        <v>VTD</v>
      </c>
      <c r="AL31" s="18"/>
      <c r="AM31" s="18"/>
      <c r="AN31" s="18"/>
      <c r="AO31" s="18"/>
      <c r="AP31" s="18"/>
      <c r="AQ31" s="18"/>
      <c r="AR31" s="18"/>
      <c r="AS31" s="18"/>
      <c r="AT31" s="1"/>
    </row>
    <row r="32" spans="5:46" ht="19.5" collapsed="1" thickBot="1" x14ac:dyDescent="0.35">
      <c r="E32" s="57" t="str">
        <f ca="1">_xll.DBRA(Server&amp;$AM$33,$AM$35,$AM$28)</f>
        <v>Période</v>
      </c>
      <c r="F32" s="84" t="str">
        <f ca="1">_xll.SUBNM(Server&amp;"Period","Corp_FR",ActualMonth&amp;"_YTD",$AM$28)</f>
        <v>Cumul Mars 2013</v>
      </c>
      <c r="AL32" s="18"/>
      <c r="AM32" s="18"/>
      <c r="AN32" s="18"/>
      <c r="AO32" s="18"/>
      <c r="AP32" s="18"/>
      <c r="AQ32" s="18"/>
      <c r="AR32" s="18"/>
      <c r="AS32" s="18"/>
      <c r="AT32" s="1"/>
    </row>
    <row r="33" spans="1:46" ht="19.5" thickBot="1" x14ac:dyDescent="0.35">
      <c r="E33" s="57" t="str">
        <f ca="1">_xll.DBRA(Server&amp;$AM$33,$AM$36,$AM$28)</f>
        <v>Organisation managériale</v>
      </c>
      <c r="F33" s="84" t="str">
        <f ca="1">_xll.SUBNM(Server&amp;"Management_Organization_Corp","Corp_FR","VTD")</f>
        <v>VTD</v>
      </c>
      <c r="AL33" s="21" t="s">
        <v>37</v>
      </c>
      <c r="AM33" s="21" t="s">
        <v>37</v>
      </c>
      <c r="AN33" s="18"/>
      <c r="AO33" s="18"/>
      <c r="AP33" s="18"/>
      <c r="AQ33" s="18"/>
      <c r="AR33" s="18"/>
      <c r="AS33" s="18"/>
      <c r="AT33" s="1"/>
    </row>
    <row r="34" spans="1:46" ht="19.5" thickBot="1" x14ac:dyDescent="0.35">
      <c r="E34" s="57" t="str">
        <f ca="1">_xll.DBRA(Server&amp;$AM$33,$AM$38,$AM$28)</f>
        <v>Fournisseurs</v>
      </c>
      <c r="F34" s="84" t="str">
        <f ca="1">_xll.SUBNM(Server&amp;"Tiers","Corp_FR","Tot_tiers",$F$30)</f>
        <v>Total Tiers</v>
      </c>
      <c r="AL34" s="52" t="s">
        <v>68</v>
      </c>
      <c r="AM34" s="22" t="s">
        <v>34</v>
      </c>
      <c r="AN34" s="18"/>
      <c r="AO34" s="18"/>
      <c r="AP34" s="18"/>
      <c r="AQ34" s="18"/>
      <c r="AR34" s="18"/>
      <c r="AS34" s="18"/>
      <c r="AT34" s="1"/>
    </row>
    <row r="35" spans="1:46" ht="18.75" x14ac:dyDescent="0.3">
      <c r="E35" s="57" t="str">
        <f ca="1">_xll.DBRA(Server&amp;$AM$33,$AM$39,$AM$28)</f>
        <v>Devise</v>
      </c>
      <c r="F35" s="84" t="str">
        <f ca="1">_xll.SUBNM(Server&amp;"Currency","Corp_FR","KEUR",$AM$28)</f>
        <v>K€</v>
      </c>
      <c r="AL35" s="52" t="s">
        <v>69</v>
      </c>
      <c r="AM35" s="20" t="s">
        <v>40</v>
      </c>
      <c r="AN35" s="18"/>
      <c r="AO35" s="18"/>
      <c r="AP35" s="18"/>
      <c r="AQ35" s="18"/>
      <c r="AR35" s="18"/>
      <c r="AS35" s="18"/>
      <c r="AT35" s="1"/>
    </row>
    <row r="36" spans="1:46" hidden="1" x14ac:dyDescent="0.2">
      <c r="AL36" s="52" t="s">
        <v>70</v>
      </c>
      <c r="AM36" s="23" t="s">
        <v>35</v>
      </c>
      <c r="AN36" s="18"/>
      <c r="AO36" s="18"/>
      <c r="AP36" s="18"/>
      <c r="AQ36" s="18"/>
      <c r="AR36" s="18"/>
      <c r="AS36" s="18"/>
      <c r="AT36" s="1"/>
    </row>
    <row r="37" spans="1:46" ht="15.75" hidden="1" x14ac:dyDescent="0.25">
      <c r="A37" s="33" t="s">
        <v>54</v>
      </c>
      <c r="B37" s="25"/>
      <c r="C37" s="26"/>
      <c r="D37" s="73"/>
      <c r="AL37" s="52" t="s">
        <v>71</v>
      </c>
      <c r="AM37" s="23" t="s">
        <v>36</v>
      </c>
      <c r="AN37" s="18"/>
      <c r="AO37" s="18"/>
      <c r="AP37" s="18"/>
      <c r="AQ37" s="18"/>
      <c r="AR37" s="18"/>
      <c r="AS37" s="18"/>
      <c r="AT37" s="1"/>
    </row>
    <row r="38" spans="1:46" ht="15.75" hidden="1" x14ac:dyDescent="0.25">
      <c r="A38" s="32" t="s">
        <v>89</v>
      </c>
      <c r="B38" s="34" t="s">
        <v>90</v>
      </c>
      <c r="C38" s="72"/>
      <c r="D38" s="74"/>
      <c r="AL38" s="52" t="s">
        <v>72</v>
      </c>
      <c r="AM38" s="37" t="s">
        <v>49</v>
      </c>
      <c r="AN38" s="18"/>
      <c r="AO38" s="18"/>
      <c r="AP38" s="18"/>
      <c r="AQ38" s="18"/>
      <c r="AR38" s="18"/>
      <c r="AS38" s="18"/>
      <c r="AT38" s="1"/>
    </row>
    <row r="39" spans="1:46" ht="15.75" hidden="1" x14ac:dyDescent="0.25">
      <c r="A39" s="32" t="s">
        <v>46</v>
      </c>
      <c r="B39" s="34" t="s">
        <v>59</v>
      </c>
      <c r="C39" s="72"/>
      <c r="D39" s="74"/>
      <c r="AL39" s="52" t="s">
        <v>73</v>
      </c>
      <c r="AM39" s="23" t="s">
        <v>15</v>
      </c>
      <c r="AN39" s="18"/>
      <c r="AO39" s="18"/>
      <c r="AP39" s="18"/>
      <c r="AQ39" s="18"/>
      <c r="AR39" s="18"/>
      <c r="AS39" s="18"/>
      <c r="AT39" s="1"/>
    </row>
    <row r="40" spans="1:46" hidden="1" x14ac:dyDescent="0.2">
      <c r="D40" s="69"/>
      <c r="E40" t="str">
        <f ca="1">_xll.SUBNM(Server&amp;"Period","",ActualMonthYTD,$AM$28)</f>
        <v>Cumul Février 2013</v>
      </c>
      <c r="AL40" s="52" t="s">
        <v>74</v>
      </c>
      <c r="AM40" s="23" t="s">
        <v>16</v>
      </c>
      <c r="AN40" s="18"/>
      <c r="AO40" s="18"/>
      <c r="AP40" s="18"/>
      <c r="AQ40" s="18"/>
      <c r="AR40" s="18"/>
      <c r="AS40" s="18"/>
      <c r="AT40" s="1"/>
    </row>
    <row r="41" spans="1:46" ht="13.5" hidden="1" thickBot="1" x14ac:dyDescent="0.25">
      <c r="AL41" s="52" t="s">
        <v>75</v>
      </c>
      <c r="AM41" s="23" t="s">
        <v>56</v>
      </c>
      <c r="AN41" s="18"/>
      <c r="AO41" s="18"/>
      <c r="AP41" s="18"/>
      <c r="AQ41" s="18"/>
      <c r="AR41" s="18"/>
      <c r="AS41" s="18"/>
      <c r="AT41" s="1"/>
    </row>
    <row r="42" spans="1:46" ht="15.75" hidden="1" thickBot="1" x14ac:dyDescent="0.3">
      <c r="G42" t="str">
        <f ca="1">_xll.TM1RPTVIEW(Server&amp;"RP_PL_Corp:ARPT1", 1, _xll.TM1RPTTITLE(Server&amp;"Currency",$H$44), _xll.TM1RPTTITLE(Server&amp;"Gaap",$H$45), _xll.TM1RPTTITLE(Server&amp;"Integration_Rate",$H$46), _xll.TM1RPTTITLE(Server&amp;"Projets",$H$47), _xll.TM1RPTTITLE(Server&amp;"Matricules",$H$48), _xll.TM1RPTTITLE(Server&amp;"Legal_Organization_Corp",$H$49), _xll.TM1RPTTITLE(Server&amp;"Management_Organization_Corp",$H$50), _xll.TM1RPTTITLE(Server&amp;"Phase",$H$51),TM1RPTFMTRNG,TM1RPTFMTIDCOL)</f>
        <v>tango_core_model:RP_PL_Corp:ARPT1</v>
      </c>
      <c r="AL42" s="52" t="s">
        <v>76</v>
      </c>
      <c r="AM42" s="29" t="s">
        <v>38</v>
      </c>
      <c r="AN42" s="18"/>
      <c r="AO42" s="18"/>
      <c r="AP42" s="18"/>
      <c r="AQ42" s="18"/>
      <c r="AR42" s="149" t="s">
        <v>60</v>
      </c>
      <c r="AS42" s="150"/>
      <c r="AT42" s="151"/>
    </row>
    <row r="43" spans="1:46" ht="23.25" hidden="1" thickBot="1" x14ac:dyDescent="0.35">
      <c r="AL43" s="52" t="s">
        <v>77</v>
      </c>
      <c r="AM43" s="20" t="s">
        <v>38</v>
      </c>
      <c r="AN43" s="18"/>
      <c r="AO43" s="18"/>
      <c r="AP43" s="18"/>
      <c r="AQ43" s="18"/>
      <c r="AR43" s="42" t="s">
        <v>61</v>
      </c>
      <c r="AS43" s="42" t="s">
        <v>62</v>
      </c>
      <c r="AT43" s="42" t="s">
        <v>63</v>
      </c>
    </row>
    <row r="44" spans="1:46" hidden="1" x14ac:dyDescent="0.2">
      <c r="G44" s="28" t="s">
        <v>15</v>
      </c>
      <c r="H44" t="str">
        <f ca="1">_xll.SUBNM(Server&amp;"Currency","",$F$35)</f>
        <v>KEUR</v>
      </c>
      <c r="J44" s="28"/>
      <c r="K44" s="28"/>
      <c r="L44" s="28"/>
      <c r="M44" s="28"/>
      <c r="N44" s="28"/>
      <c r="O44" s="28"/>
      <c r="AL44" s="52" t="s">
        <v>78</v>
      </c>
      <c r="AM44" s="30" t="s">
        <v>82</v>
      </c>
      <c r="AN44" s="18"/>
      <c r="AO44" s="18"/>
      <c r="AP44" s="18"/>
      <c r="AQ44" s="18"/>
      <c r="AR44" s="18"/>
      <c r="AS44" s="18"/>
      <c r="AT44" s="3"/>
    </row>
    <row r="45" spans="1:46" ht="13.5" hidden="1" thickBot="1" x14ac:dyDescent="0.25">
      <c r="G45" s="28" t="s">
        <v>16</v>
      </c>
      <c r="H45" t="str">
        <f ca="1">_xll.SUBNM(Server&amp;"Gaap","",$F$28)</f>
        <v>Local_Gaap</v>
      </c>
      <c r="J45" s="28"/>
      <c r="K45" s="28"/>
      <c r="L45" s="28"/>
      <c r="M45" s="28"/>
      <c r="N45" s="28"/>
      <c r="O45" s="28"/>
      <c r="AL45" s="53" t="s">
        <v>79</v>
      </c>
      <c r="AM45" s="30" t="s">
        <v>84</v>
      </c>
      <c r="AN45" s="18"/>
      <c r="AO45" s="18"/>
      <c r="AP45" s="18"/>
      <c r="AQ45" s="18"/>
      <c r="AR45" s="18"/>
      <c r="AS45" s="18"/>
      <c r="AT45" s="4"/>
    </row>
    <row r="46" spans="1:46" ht="13.5" hidden="1" thickBot="1" x14ac:dyDescent="0.25">
      <c r="G46" s="28" t="s">
        <v>44</v>
      </c>
      <c r="H46" t="str">
        <f ca="1">_xll.SUBNM(Server&amp;"Integration_Rate","",$F$29)</f>
        <v>NO_APP</v>
      </c>
      <c r="J46" s="28"/>
      <c r="K46" s="28"/>
      <c r="L46" s="28"/>
      <c r="M46" s="28"/>
      <c r="N46" s="28"/>
      <c r="O46" s="28"/>
      <c r="AL46" s="18"/>
      <c r="AM46" s="31" t="s">
        <v>85</v>
      </c>
      <c r="AN46" s="18"/>
      <c r="AO46" s="18"/>
      <c r="AP46" s="18"/>
      <c r="AQ46" s="18"/>
      <c r="AR46" s="18"/>
      <c r="AS46" s="18"/>
      <c r="AT46" s="4"/>
    </row>
    <row r="47" spans="1:46" hidden="1" x14ac:dyDescent="0.2">
      <c r="G47" s="28" t="s">
        <v>45</v>
      </c>
      <c r="H47" t="str">
        <f ca="1">_xll.SUBNM(Server&amp;"Projets","",$B$38)</f>
        <v>Tot_proj</v>
      </c>
      <c r="J47" s="28"/>
      <c r="K47" s="28"/>
      <c r="L47" s="28"/>
      <c r="M47" s="28"/>
      <c r="N47" s="28"/>
      <c r="O47" s="28"/>
      <c r="AL47" s="18"/>
      <c r="AM47" s="30" t="s">
        <v>86</v>
      </c>
      <c r="AN47" s="18"/>
      <c r="AO47" s="18"/>
      <c r="AP47" s="18"/>
      <c r="AQ47" s="18"/>
      <c r="AR47" s="18"/>
      <c r="AS47" s="18"/>
      <c r="AT47" s="4"/>
    </row>
    <row r="48" spans="1:46" hidden="1" x14ac:dyDescent="0.2">
      <c r="G48" s="28" t="s">
        <v>46</v>
      </c>
      <c r="H48" t="str">
        <f ca="1">_xll.SUBNM(Server&amp;"Matricules","",$B$39)</f>
        <v>VTD</v>
      </c>
      <c r="J48" s="28"/>
      <c r="K48" s="28"/>
      <c r="L48" s="28"/>
      <c r="M48" s="28"/>
      <c r="N48" s="28"/>
      <c r="O48" s="28"/>
      <c r="AL48" s="18"/>
      <c r="AM48" s="30" t="s">
        <v>57</v>
      </c>
      <c r="AN48" s="18"/>
      <c r="AO48" s="18"/>
      <c r="AP48" s="18"/>
      <c r="AQ48" s="18"/>
      <c r="AR48" s="18"/>
      <c r="AS48" s="18"/>
      <c r="AT48" s="4"/>
    </row>
    <row r="49" spans="1:40" hidden="1" x14ac:dyDescent="0.2">
      <c r="G49" s="28" t="s">
        <v>47</v>
      </c>
      <c r="H49" t="str">
        <f ca="1">_xll.SUBNM(Server&amp;"Legal_Organization_Corp","",$F$31)</f>
        <v>VTD</v>
      </c>
      <c r="J49" s="28"/>
      <c r="K49" s="28"/>
      <c r="L49" s="28"/>
      <c r="M49" s="28"/>
      <c r="N49" s="28"/>
      <c r="O49" s="28"/>
      <c r="AM49" s="30" t="s">
        <v>58</v>
      </c>
      <c r="AN49" s="18"/>
    </row>
    <row r="50" spans="1:40" ht="15" hidden="1" customHeight="1" x14ac:dyDescent="0.2">
      <c r="G50" s="28" t="s">
        <v>80</v>
      </c>
      <c r="H50" t="str">
        <f ca="1">_xll.SUBNM(Server&amp;"Management_Organization_Corp","",$F$33)</f>
        <v>VTD</v>
      </c>
      <c r="I50" s="62"/>
      <c r="J50" s="62"/>
      <c r="K50" s="28"/>
      <c r="L50" s="61"/>
      <c r="M50" s="61"/>
      <c r="N50" s="61"/>
      <c r="O50" s="61"/>
      <c r="AM50" s="30" t="s">
        <v>66</v>
      </c>
      <c r="AN50" s="18"/>
    </row>
    <row r="51" spans="1:40" ht="16.5" hidden="1" customHeight="1" x14ac:dyDescent="0.2">
      <c r="G51" s="28" t="s">
        <v>0</v>
      </c>
      <c r="H51" t="str">
        <f ca="1">_xll.SUBNM(Server&amp;"Phase","","ACT_TOT")</f>
        <v>ACT_TOT</v>
      </c>
      <c r="I51" s="66"/>
      <c r="J51" s="62"/>
      <c r="K51" s="28"/>
      <c r="L51" s="61"/>
      <c r="M51" s="61"/>
      <c r="N51" s="61"/>
      <c r="O51" s="61"/>
      <c r="AM51" s="30" t="s">
        <v>104</v>
      </c>
    </row>
    <row r="52" spans="1:40" ht="16.5" hidden="1" customHeight="1" x14ac:dyDescent="0.2">
      <c r="G52" s="28"/>
      <c r="I52" s="153" t="str">
        <f ca="1">_xll.DBRA(Server&amp;$AM$33,$AM$47,$AM$28)</f>
        <v>Charges opérationnelles</v>
      </c>
      <c r="J52" s="153"/>
      <c r="K52" s="86"/>
      <c r="L52" s="153" t="str">
        <f ca="1">_xll.DBRA(Server&amp;$AM$33,$AM$44,$AM$28)</f>
        <v>Variances</v>
      </c>
      <c r="M52" s="153"/>
      <c r="N52" s="153"/>
      <c r="O52" s="76"/>
      <c r="AM52" s="41"/>
    </row>
    <row r="53" spans="1:40" ht="16.5" customHeight="1" x14ac:dyDescent="0.2">
      <c r="E53" s="36"/>
      <c r="G53" s="28"/>
      <c r="I53" s="153"/>
      <c r="J53" s="153"/>
      <c r="K53" s="86"/>
      <c r="L53" s="153"/>
      <c r="M53" s="153"/>
      <c r="N53" s="153"/>
      <c r="O53" s="76"/>
      <c r="AM53" s="41"/>
    </row>
    <row r="54" spans="1:40" ht="16.5" customHeight="1" x14ac:dyDescent="0.2">
      <c r="G54" s="28"/>
      <c r="I54" s="153"/>
      <c r="J54" s="153"/>
      <c r="K54" s="86"/>
      <c r="L54" s="153"/>
      <c r="M54" s="153"/>
      <c r="N54" s="153"/>
      <c r="O54" s="76"/>
      <c r="AM54" s="41"/>
    </row>
    <row r="55" spans="1:40" ht="27" thickBot="1" x14ac:dyDescent="0.25">
      <c r="I55" s="154"/>
      <c r="J55" s="154"/>
      <c r="K55" s="85"/>
      <c r="L55" s="154"/>
      <c r="M55" s="154"/>
      <c r="N55" s="154"/>
      <c r="O55" s="76"/>
      <c r="AM55" s="41"/>
    </row>
    <row r="56" spans="1:40" ht="14.25" customHeight="1" thickTop="1" x14ac:dyDescent="0.2">
      <c r="H56" s="67"/>
      <c r="I56" s="68"/>
      <c r="J56" s="68"/>
      <c r="K56" s="67"/>
      <c r="L56" s="70"/>
      <c r="M56" s="70"/>
      <c r="N56" s="70"/>
      <c r="O56" s="70"/>
      <c r="AM56" s="36"/>
    </row>
    <row r="57" spans="1:40" ht="18.75" customHeight="1" x14ac:dyDescent="0.2">
      <c r="I57" s="152" t="str">
        <f ca="1">_xll.DBRA(Server&amp;$AM$33,$AM$48,$AM$28)</f>
        <v>Réalisé N-1</v>
      </c>
      <c r="J57" s="146" t="str">
        <f ca="1">_xll.DBRA(Server&amp;$H$9,$J$9,$AM$28)</f>
        <v>Réalisé</v>
      </c>
      <c r="L57" s="155" t="str">
        <f ca="1">$J$57&amp;" / "&amp;$I$57</f>
        <v>Réalisé / Réalisé N-1</v>
      </c>
      <c r="M57" s="156"/>
      <c r="N57" s="146" t="str">
        <f ca="1">_xll.DBRA(Server&amp;$AM$33,$AM$46,$AM$28)</f>
        <v>Variance</v>
      </c>
      <c r="O57" s="77"/>
    </row>
    <row r="58" spans="1:40" ht="20.25" customHeight="1" x14ac:dyDescent="0.2">
      <c r="I58" s="152"/>
      <c r="J58" s="146"/>
      <c r="L58" s="155"/>
      <c r="M58" s="156"/>
      <c r="N58" s="146"/>
      <c r="O58" s="77"/>
    </row>
    <row r="59" spans="1:40" x14ac:dyDescent="0.2">
      <c r="O59" s="69"/>
    </row>
    <row r="60" spans="1:40" ht="21.75" customHeight="1" x14ac:dyDescent="0.35">
      <c r="E60" s="147" t="str">
        <f ca="1">F34</f>
        <v>Total Tiers</v>
      </c>
      <c r="F60" s="147"/>
      <c r="G60" s="147"/>
      <c r="H60" s="111"/>
      <c r="I60" s="112">
        <f ca="1">_xll.DBRW(Server&amp;Cube1,$F$35,$F$28,$F$29,$B$38,$B$39,$F$31,$F$33,$F$34,$I$10,$I$9,$I$13)</f>
        <v>-23282.873549999993</v>
      </c>
      <c r="J60" s="113">
        <f ca="1">_xll.DBRW(Server&amp;Cube1,$F$35,$F$28,$F$29,$B$38,$B$39,$F$31,$F$33,$F$34,$J$10,$J$9,$I$13)</f>
        <v>-12028.108880000002</v>
      </c>
      <c r="K60" s="114"/>
      <c r="L60" s="115">
        <f ca="1">$J$60-$I$60</f>
        <v>11254.764669999991</v>
      </c>
      <c r="M60" s="116">
        <f ca="1">IF($I60=0,0,IF($I60&lt;0,$L60/-$I60,$L60/$I60))</f>
        <v>0.48339242344079109</v>
      </c>
      <c r="N60" s="117" t="str">
        <f ca="1">IF(M60&gt;0.01,$AR$43,IF(M60&lt;-0.01,$AS$43,$AT$43))</f>
        <v>ì</v>
      </c>
      <c r="O60" s="71"/>
      <c r="P60" s="60"/>
      <c r="Q60" s="60"/>
      <c r="S60" s="59"/>
      <c r="T60" s="59"/>
    </row>
    <row r="61" spans="1:40" hidden="1" x14ac:dyDescent="0.2">
      <c r="E61" s="69" t="str">
        <f ca="1">"{ORDER({[Tiers].["&amp;$F$34&amp;"].Children},[RP_PL_Corp].([Currency].["&amp;F35&amp;"],[Gaap].["&amp;F28&amp;"],[Integration_Rate].["&amp;F29&amp;"],[Projets].["&amp;B38&amp;"],[Matricules].["&amp;B39&amp;"],[Legal_Organization_Corp].["&amp;F31&amp;"],[Management_Organization_Corp].["&amp;F33&amp;"],[Period].["&amp;F32&amp;"],[Phase].["&amp;J9&amp;"],[Indicator_Corp].["&amp;I13&amp;"]),ASC)}"</f>
        <v>{ORDER({[Tiers].[Total Tiers].Children},[RP_PL_Corp].([Currency].[K€],[Gaap].[Gaap local],[Integration_Rate].[Données de liasse (Tx d'intégration No-APP)],[Projets].[Tot_proj],[Matricules].[VTD],[Legal_Organization_Corp].[VTD],[Management_Organization_Corp].[VTD],[Period].[Cumul Mars 2013],[Phase].[ACT_TOT],[Indicator_Corp].[Chges_ope]),ASC)}</v>
      </c>
      <c r="F61" s="69"/>
      <c r="H61" s="69"/>
      <c r="I61" s="87"/>
      <c r="J61" s="87"/>
      <c r="K61" s="87"/>
      <c r="L61" s="87"/>
      <c r="M61" s="89"/>
      <c r="N61" s="69"/>
      <c r="O61" s="69"/>
      <c r="P61" s="60"/>
      <c r="Q61" s="60"/>
      <c r="S61" s="59"/>
      <c r="T61" s="59"/>
    </row>
    <row r="62" spans="1:40" hidden="1" x14ac:dyDescent="0.2">
      <c r="F62" s="69"/>
      <c r="G62" s="69"/>
      <c r="H62" s="69"/>
      <c r="I62" s="87"/>
      <c r="J62" s="87"/>
      <c r="K62" s="87"/>
      <c r="L62" s="87"/>
      <c r="M62" s="90"/>
      <c r="N62" s="69"/>
      <c r="O62" s="69"/>
      <c r="P62" s="60"/>
      <c r="Q62" s="60"/>
      <c r="S62" s="59"/>
      <c r="T62" s="59"/>
    </row>
    <row r="63" spans="1:40" hidden="1" x14ac:dyDescent="0.2">
      <c r="F63" s="69"/>
      <c r="G63" s="69"/>
      <c r="H63" s="69"/>
      <c r="I63" s="87"/>
      <c r="J63" s="87"/>
      <c r="K63" s="87"/>
      <c r="L63" s="87"/>
      <c r="M63" s="90"/>
      <c r="N63" s="69"/>
      <c r="O63" s="69"/>
      <c r="P63" s="60"/>
      <c r="Q63" s="60"/>
      <c r="S63" s="59"/>
      <c r="T63" s="59"/>
    </row>
    <row r="64" spans="1:40" ht="23.25" x14ac:dyDescent="0.35">
      <c r="A64">
        <f ca="1">IF(_xll.TM1RPTELISCONSOLIDATED($E$64,$E64),IF(_xll.TM1RPTELLEV($E$64,$E64)&lt;=3,_xll.TM1RPTELLEV($E$64,$E64),"D"),"N")</f>
        <v>0</v>
      </c>
      <c r="E64" s="158" t="str">
        <f ca="1">_xll.TM1RPTROW($G$42,Server&amp;"Tiers","","",$F$30,0,$E$61,,1)</f>
        <v>Tiers non consolidés</v>
      </c>
      <c r="F64" s="92"/>
      <c r="G64" s="93"/>
      <c r="H64" s="69"/>
      <c r="I64" s="94">
        <f ca="1">_xll.DBRW($G$42,$H$44,$H$45,$H$46,$H$47,$H$48,$H$49,$H$50,$E64,$I$10,$I$9,$I$13)</f>
        <v>-21739.229330000002</v>
      </c>
      <c r="J64" s="94">
        <f ca="1">_xll.DBRW($G$42,$H$44,$H$45,$H$46,$H$47,$H$48,$H$49,$H$50,$E64,$J$10,$J$9,$I$13)</f>
        <v>-10186.791499999999</v>
      </c>
      <c r="K64" s="108"/>
      <c r="L64" s="121">
        <f ca="1">$J64-$I64</f>
        <v>11552.437830000003</v>
      </c>
      <c r="M64" s="122">
        <f ca="1">IF($I64=0,0,IF($I64&lt;0,$L64/-$I64,$L64/$I64))</f>
        <v>0.53140972270151776</v>
      </c>
      <c r="N64" s="132" t="str">
        <f ca="1">IF(M64&gt;0.01,$AR$43,IF(M64&lt;-0.01,$AS$43,$AT$43))</f>
        <v>ì</v>
      </c>
      <c r="O64" s="69"/>
      <c r="P64" s="75">
        <f ca="1">_xll.DBRW($G$42,$H$44,$H$45,$H$46,$H$47,$H$48,$H$49,$H$50,$E64,$I$10,$I$9,$I$13)</f>
        <v>-21739.229330000002</v>
      </c>
      <c r="Q64" s="75">
        <f ca="1">_xll.DBRW($G$42,$H$44,$H$45,$H$46,$H$47,$H$48,$H$49,$H$50,$E64,$J$10,$J$9,$I$13)</f>
        <v>-10186.791499999999</v>
      </c>
    </row>
    <row r="65" spans="1:46" ht="23.25" x14ac:dyDescent="0.35">
      <c r="A65">
        <f ca="1">IF(_xll.TM1RPTELISCONSOLIDATED($E$64,$E65),IF(_xll.TM1RPTELLEV($E$64,$E65)&lt;=3,_xll.TM1RPTELLEV($E$64,$E65),"D"),"N")</f>
        <v>0</v>
      </c>
      <c r="E65" s="158" t="s">
        <v>107</v>
      </c>
      <c r="F65" s="92"/>
      <c r="G65" s="93"/>
      <c r="H65" s="69"/>
      <c r="I65" s="94">
        <f ca="1">_xll.DBRW($G$42,$H$44,$H$45,$H$46,$H$47,$H$48,$H$49,$H$50,$E65,$I$10,$I$9,$I$13)</f>
        <v>-1543.6442199999999</v>
      </c>
      <c r="J65" s="94">
        <f ca="1">_xll.DBRW($G$42,$H$44,$H$45,$H$46,$H$47,$H$48,$H$49,$H$50,$E65,$J$10,$J$9,$I$13)</f>
        <v>-1841.3173800000004</v>
      </c>
      <c r="K65" s="108"/>
      <c r="L65" s="121">
        <f t="shared" ref="L65:L66" ca="1" si="0">$J65-$I65</f>
        <v>-297.67316000000051</v>
      </c>
      <c r="M65" s="122">
        <f t="shared" ref="M65:M66" ca="1" si="1">IF($I65=0,0,IF($I65&lt;0,$L65/-$I65,$L65/$I65))</f>
        <v>-0.19283793256453907</v>
      </c>
      <c r="N65" s="132" t="str">
        <f t="shared" ref="N65:N66" ca="1" si="2">IF(M65&gt;0.01,$AR$43,IF(M65&lt;-0.01,$AS$43,$AT$43))</f>
        <v>î</v>
      </c>
      <c r="O65" s="69"/>
      <c r="P65" s="75">
        <f ca="1">_xll.DBRW($G$42,$H$44,$H$45,$H$46,$H$47,$H$48,$H$49,$H$50,$E65,$I$10,$I$9,$I$13)</f>
        <v>-1543.6442199999999</v>
      </c>
      <c r="Q65" s="75">
        <f ca="1">_xll.DBRW($G$42,$H$44,$H$45,$H$46,$H$47,$H$48,$H$49,$H$50,$E65,$J$10,$J$9,$I$13)</f>
        <v>-1841.3173800000004</v>
      </c>
    </row>
    <row r="66" spans="1:46" ht="19.5" x14ac:dyDescent="0.3">
      <c r="A66" t="str">
        <f ca="1">IF(_xll.TM1RPTELISCONSOLIDATED($E$64,$E66),IF(_xll.TM1RPTELLEV($E$64,$E66)&lt;=3,_xll.TM1RPTELLEV($E$64,$E66),"D"),"N")</f>
        <v>N</v>
      </c>
      <c r="E66" s="110" t="s">
        <v>110</v>
      </c>
      <c r="F66" s="104"/>
      <c r="G66" s="106"/>
      <c r="I66" s="91">
        <f ca="1">_xll.DBRW($G$42,$H$44,$H$45,$H$46,$H$47,$H$48,$H$49,$H$50,$E66,$I$10,$I$9,$I$13)</f>
        <v>0</v>
      </c>
      <c r="J66" s="118">
        <f ca="1">_xll.DBRW($G$42,$H$44,$H$45,$H$46,$H$47,$H$48,$H$49,$H$50,$E66,$J$10,$J$9,$I$13)</f>
        <v>-2.3283064365386963E-13</v>
      </c>
      <c r="K66" s="109"/>
      <c r="L66" s="91">
        <f t="shared" ca="1" si="0"/>
        <v>-2.3283064365386963E-13</v>
      </c>
      <c r="M66" s="119">
        <f t="shared" ca="1" si="1"/>
        <v>0</v>
      </c>
      <c r="N66" s="120" t="str">
        <f t="shared" ca="1" si="2"/>
        <v>è</v>
      </c>
      <c r="O66" s="69"/>
      <c r="P66" s="75">
        <f ca="1">_xll.DBRW($G$42,$H$44,$H$45,$H$46,$H$47,$H$48,$H$49,$H$50,$E66,$I$10,$I$9,$I$13)</f>
        <v>0</v>
      </c>
      <c r="Q66" s="75">
        <f ca="1">_xll.DBRW($G$42,$H$44,$H$45,$H$46,$H$47,$H$48,$H$49,$H$50,$E66,$J$10,$J$9,$I$13)</f>
        <v>-2.3283064365386963E-13</v>
      </c>
    </row>
    <row r="67" spans="1:46" x14ac:dyDescent="0.2">
      <c r="A67" t="s">
        <v>91</v>
      </c>
      <c r="AM67" s="36"/>
    </row>
    <row r="68" spans="1:46" ht="19.5" thickBot="1" x14ac:dyDescent="0.35">
      <c r="A68" s="24" t="s">
        <v>10</v>
      </c>
      <c r="E68" s="79" t="str">
        <f ca="1">_xll.DBRA(Server&amp;$AM$33,$A$68,$AM$28)</f>
        <v>Commentaires</v>
      </c>
      <c r="AM68" s="36"/>
    </row>
    <row r="69" spans="1:46" ht="18.75" x14ac:dyDescent="0.2">
      <c r="A69" s="24" t="s">
        <v>29</v>
      </c>
      <c r="E69" s="139" t="str">
        <f ca="1">_xll.DBRW(Server&amp;Cube2,$F$28,$F$29,$B$38,$F$31,$F$33,$F$34,$F$32,$K$13,$I$13,$A$67,$A$69)</f>
        <v/>
      </c>
      <c r="F69" s="140"/>
      <c r="G69" s="140"/>
      <c r="H69" s="140"/>
      <c r="I69" s="140"/>
      <c r="J69" s="140"/>
      <c r="K69" s="140"/>
      <c r="L69" s="140"/>
      <c r="M69" s="140"/>
      <c r="N69" s="141"/>
      <c r="AL69" s="18"/>
      <c r="AM69" s="13"/>
      <c r="AN69" s="18"/>
      <c r="AO69" s="18"/>
      <c r="AP69" s="18"/>
      <c r="AQ69" s="18"/>
      <c r="AR69" s="18"/>
      <c r="AS69" s="18"/>
      <c r="AT69" s="4"/>
    </row>
    <row r="70" spans="1:46" ht="36.75" customHeight="1" x14ac:dyDescent="0.2">
      <c r="A70" s="24" t="s">
        <v>30</v>
      </c>
      <c r="E70" s="136" t="str">
        <f ca="1">_xll.DBRW(Server&amp;Cube2,$F$28,$F$29,$B$38,$F$31,$F$33,$F$34,$F$32,$K$13,$I$13,$A$67,$A$70)</f>
        <v/>
      </c>
      <c r="F70" s="137"/>
      <c r="G70" s="137"/>
      <c r="H70" s="137"/>
      <c r="I70" s="137"/>
      <c r="J70" s="137"/>
      <c r="K70" s="137"/>
      <c r="L70" s="137"/>
      <c r="M70" s="137"/>
      <c r="N70" s="138"/>
      <c r="AL70" s="18"/>
      <c r="AM70" s="13"/>
      <c r="AN70" s="18"/>
      <c r="AO70" s="18"/>
      <c r="AP70" s="18"/>
      <c r="AQ70" s="18"/>
      <c r="AR70" s="18"/>
      <c r="AS70" s="18"/>
      <c r="AT70" s="4"/>
    </row>
    <row r="71" spans="1:46" ht="38.25" customHeight="1" x14ac:dyDescent="0.2">
      <c r="A71" s="24" t="s">
        <v>31</v>
      </c>
      <c r="E71" s="136" t="str">
        <f ca="1">_xll.DBRW(Server&amp;Cube2,$F$28,$F$29,$B$38,$F$31,$F$33,$F$34,$F$32,$K$13,$I$13,$A$67,$A$71)</f>
        <v/>
      </c>
      <c r="F71" s="137"/>
      <c r="G71" s="137"/>
      <c r="H71" s="137"/>
      <c r="I71" s="137"/>
      <c r="J71" s="137"/>
      <c r="K71" s="137"/>
      <c r="L71" s="137"/>
      <c r="M71" s="137"/>
      <c r="N71" s="138"/>
      <c r="AL71" s="18"/>
      <c r="AM71" s="13"/>
      <c r="AN71" s="18"/>
      <c r="AO71" s="18"/>
      <c r="AP71" s="18"/>
      <c r="AQ71" s="18"/>
      <c r="AR71" s="18"/>
      <c r="AS71" s="18"/>
      <c r="AT71" s="4"/>
    </row>
    <row r="72" spans="1:46" ht="36.75" customHeight="1" thickBot="1" x14ac:dyDescent="0.25">
      <c r="A72" s="24" t="s">
        <v>32</v>
      </c>
      <c r="E72" s="142" t="str">
        <f ca="1">_xll.DBRW(Server&amp;Cube2,$F$28,$F$29,$B$38,$F$31,$F$33,$F$34,$F$32,$K$13,$I$13,$A$67,$A$72)</f>
        <v/>
      </c>
      <c r="F72" s="143"/>
      <c r="G72" s="143"/>
      <c r="H72" s="143"/>
      <c r="I72" s="143"/>
      <c r="J72" s="143"/>
      <c r="K72" s="143"/>
      <c r="L72" s="143"/>
      <c r="M72" s="143"/>
      <c r="N72" s="144"/>
      <c r="AL72" s="18"/>
      <c r="AM72" s="13"/>
      <c r="AN72" s="18"/>
      <c r="AO72" s="18"/>
      <c r="AP72" s="18"/>
      <c r="AQ72" s="18"/>
      <c r="AR72" s="18"/>
      <c r="AS72" s="18"/>
      <c r="AT72" s="4"/>
    </row>
    <row r="73" spans="1:46" ht="15.75" x14ac:dyDescent="0.2">
      <c r="AL73" s="18"/>
      <c r="AM73" s="13"/>
      <c r="AN73" s="18"/>
      <c r="AO73" s="47" t="s">
        <v>65</v>
      </c>
      <c r="AP73" s="35"/>
      <c r="AQ73" s="48" t="str">
        <f ca="1">IF(RIGHT(_xll.SUBNM(Server&amp;"Period","",$Q$23,""),3)="YTD","Yes","No")</f>
        <v>No</v>
      </c>
      <c r="AR73" s="18"/>
      <c r="AS73" s="18"/>
      <c r="AT73" s="4"/>
    </row>
    <row r="74" spans="1:46" ht="15" x14ac:dyDescent="0.25">
      <c r="AL74" s="18"/>
      <c r="AM74" s="13"/>
      <c r="AN74" s="50"/>
      <c r="AO74" s="18"/>
      <c r="AP74" s="50"/>
      <c r="AQ74" s="18"/>
      <c r="AR74" s="51"/>
      <c r="AS74" s="18"/>
      <c r="AT74" s="4"/>
    </row>
    <row r="77" spans="1:46" x14ac:dyDescent="0.2">
      <c r="E77" s="43"/>
      <c r="F77" s="43"/>
      <c r="G77" s="43"/>
      <c r="H77" s="43"/>
      <c r="I77" s="43"/>
      <c r="J77" s="43"/>
      <c r="K77" s="43"/>
      <c r="L77" s="43"/>
      <c r="M77" s="43"/>
      <c r="N77" s="43"/>
    </row>
    <row r="78" spans="1:46" x14ac:dyDescent="0.2">
      <c r="E78" s="43"/>
      <c r="F78" s="43"/>
      <c r="G78" s="43"/>
      <c r="H78" s="43"/>
      <c r="I78" s="43"/>
      <c r="J78" s="43"/>
      <c r="K78" s="43"/>
      <c r="L78" s="43"/>
      <c r="M78" s="43"/>
      <c r="N78" s="43"/>
    </row>
    <row r="79" spans="1:46" x14ac:dyDescent="0.2">
      <c r="E79" s="43"/>
      <c r="F79" s="43"/>
      <c r="G79" s="43"/>
      <c r="H79" s="43"/>
      <c r="I79" s="43"/>
      <c r="J79" s="43"/>
      <c r="K79" s="43"/>
      <c r="L79" s="43"/>
      <c r="M79" s="43"/>
      <c r="N79" s="43"/>
    </row>
    <row r="80" spans="1:46" x14ac:dyDescent="0.2">
      <c r="E80" s="43"/>
      <c r="F80" s="43"/>
      <c r="G80" s="43"/>
      <c r="H80" s="43"/>
      <c r="I80" s="43"/>
      <c r="J80" s="43"/>
      <c r="K80" s="43"/>
      <c r="L80" s="43"/>
      <c r="M80" s="43"/>
      <c r="N80" s="43"/>
    </row>
    <row r="81" spans="5:25" x14ac:dyDescent="0.2">
      <c r="E81" s="43"/>
      <c r="F81" s="43"/>
      <c r="G81" s="43"/>
      <c r="H81" s="43"/>
      <c r="I81" s="43"/>
      <c r="J81" s="43"/>
      <c r="K81" s="43"/>
      <c r="L81" s="43"/>
      <c r="M81" s="43"/>
      <c r="N81" s="43"/>
    </row>
    <row r="82" spans="5:25" x14ac:dyDescent="0.2">
      <c r="E82" s="82"/>
      <c r="F82" s="82"/>
      <c r="G82" s="82"/>
      <c r="H82" s="82"/>
      <c r="I82" s="82"/>
      <c r="J82" s="82"/>
      <c r="K82" s="82"/>
      <c r="L82" s="82"/>
      <c r="M82" s="82"/>
      <c r="N82" s="82"/>
      <c r="Q82" s="1"/>
      <c r="R82" s="4"/>
      <c r="S82" s="4"/>
      <c r="T82" s="4"/>
      <c r="U82" s="4"/>
      <c r="V82" s="18"/>
      <c r="W82" s="18"/>
      <c r="X82" s="18"/>
      <c r="Y82" s="18"/>
    </row>
    <row r="83" spans="5:25" x14ac:dyDescent="0.2">
      <c r="E83" s="82"/>
      <c r="F83" s="82"/>
      <c r="G83" s="82"/>
      <c r="H83" s="82"/>
      <c r="I83" s="82"/>
      <c r="J83" s="82"/>
      <c r="K83" s="82"/>
      <c r="L83" s="82"/>
      <c r="M83" s="82"/>
      <c r="N83" s="82"/>
      <c r="Q83" s="1"/>
      <c r="R83" s="4"/>
      <c r="S83" s="4"/>
      <c r="T83" s="4"/>
      <c r="U83" s="4"/>
      <c r="V83" s="18"/>
      <c r="W83" s="18"/>
      <c r="X83" s="18"/>
      <c r="Y83" s="18"/>
    </row>
    <row r="84" spans="5:25" ht="15" x14ac:dyDescent="0.25">
      <c r="E84" s="82"/>
      <c r="F84" s="82"/>
      <c r="G84" s="82"/>
      <c r="H84" s="82"/>
      <c r="I84" s="82"/>
      <c r="J84" s="82"/>
      <c r="K84" s="82"/>
      <c r="L84" s="82"/>
      <c r="M84" s="82"/>
      <c r="N84" s="82"/>
      <c r="Q84" s="50" t="s">
        <v>95</v>
      </c>
      <c r="R84" s="18" t="str">
        <f ca="1">LEFT($J$10,7)</f>
        <v>2013.03</v>
      </c>
      <c r="S84" s="50" t="s">
        <v>96</v>
      </c>
      <c r="T84" s="51" t="str">
        <f ca="1">IF(LEN($R$84)=4,"NO",RIGHT($R$84,2))</f>
        <v>03</v>
      </c>
      <c r="U84" s="4"/>
      <c r="V84" s="18"/>
      <c r="W84" s="18"/>
      <c r="X84" s="18"/>
      <c r="Y84" s="18"/>
    </row>
    <row r="85" spans="5:25" ht="15" x14ac:dyDescent="0.25">
      <c r="E85" s="43"/>
      <c r="F85" s="43"/>
      <c r="G85" s="43"/>
      <c r="H85" s="43"/>
      <c r="I85" s="43"/>
      <c r="J85" s="43"/>
      <c r="K85" s="43"/>
      <c r="L85" s="43"/>
      <c r="M85" s="43"/>
      <c r="N85" s="43"/>
      <c r="Q85" s="50" t="s">
        <v>97</v>
      </c>
      <c r="R85" s="18"/>
      <c r="S85" s="19" t="str">
        <f ca="1">IF(OR($T$84="S1",$AF$100="Q1",$T$84="Q2"),"YES",IF(ISERROR(VALUE($T$84))=TRUE,"NO",IF(VALUE($T$84)&lt;7,"YES","NO")))</f>
        <v>YES</v>
      </c>
      <c r="T85" s="18"/>
      <c r="U85" s="18"/>
    </row>
    <row r="86" spans="5:25" ht="15" x14ac:dyDescent="0.25">
      <c r="E86" s="43"/>
      <c r="F86" s="43"/>
      <c r="G86" s="43"/>
      <c r="H86" s="43"/>
      <c r="I86" s="43"/>
      <c r="J86" s="43"/>
      <c r="K86" s="43"/>
      <c r="L86" s="43"/>
      <c r="M86" s="43"/>
      <c r="N86" s="43"/>
      <c r="Q86" s="50" t="s">
        <v>98</v>
      </c>
      <c r="R86" s="18"/>
      <c r="S86" s="18" t="str">
        <f ca="1">IF(OR($T$84="S2",$T$84="Q4",$T$84="NO",$T$84="12"),"YES","NO")</f>
        <v>NO</v>
      </c>
      <c r="T86" s="18"/>
      <c r="U86" s="18"/>
    </row>
    <row r="87" spans="5:25" ht="15" x14ac:dyDescent="0.25">
      <c r="E87" s="43"/>
      <c r="F87" s="43"/>
      <c r="G87" s="43"/>
      <c r="H87" s="43"/>
      <c r="I87" s="43"/>
      <c r="J87" s="43"/>
      <c r="K87" s="43"/>
      <c r="L87" s="43"/>
      <c r="M87" s="43"/>
      <c r="N87" s="43"/>
      <c r="Q87" s="50" t="s">
        <v>99</v>
      </c>
      <c r="R87" s="18"/>
      <c r="S87" s="18" t="str">
        <f ca="1">IF(OR($T$84="Q3",$T$84="09"),"YES","NO")</f>
        <v>NO</v>
      </c>
      <c r="T87" s="18"/>
      <c r="U87" s="18"/>
    </row>
    <row r="88" spans="5:25" x14ac:dyDescent="0.2">
      <c r="E88" s="43"/>
      <c r="F88" s="43"/>
      <c r="G88" s="43"/>
      <c r="H88" s="43"/>
      <c r="I88" s="43"/>
      <c r="J88" s="43"/>
      <c r="K88" s="43"/>
      <c r="L88" s="43"/>
      <c r="M88" s="43"/>
      <c r="N88" s="43"/>
    </row>
    <row r="89" spans="5:25" ht="15.75" x14ac:dyDescent="0.2">
      <c r="E89" s="43"/>
      <c r="F89" s="43"/>
      <c r="G89" s="43"/>
      <c r="H89" s="43"/>
      <c r="I89" s="43"/>
      <c r="J89" s="43"/>
      <c r="K89" s="43"/>
      <c r="L89" s="43"/>
      <c r="M89" s="43"/>
      <c r="N89" s="43"/>
      <c r="Q89" s="35"/>
      <c r="R89" s="46"/>
      <c r="S89" s="48"/>
      <c r="T89" s="47" t="s">
        <v>65</v>
      </c>
      <c r="U89" s="35"/>
      <c r="V89" s="48" t="str">
        <f ca="1">IF(RIGHT(_xll.SUBNM(Server&amp;"Period","",$F$32,""),3)="YTD","Yes","No")</f>
        <v>Yes</v>
      </c>
      <c r="W89" s="35"/>
      <c r="X89" s="35"/>
    </row>
    <row r="90" spans="5:25" ht="15.75" x14ac:dyDescent="0.2">
      <c r="E90" s="43"/>
      <c r="F90" s="43"/>
      <c r="G90" s="43"/>
      <c r="H90" s="43"/>
      <c r="I90" s="43"/>
      <c r="J90" s="43"/>
      <c r="K90" s="43"/>
      <c r="L90" s="43"/>
      <c r="M90" s="43"/>
      <c r="N90" s="43"/>
      <c r="Q90" s="46" t="s">
        <v>100</v>
      </c>
      <c r="R90" s="18" t="str">
        <f ca="1">LEFT($J$10,4)</f>
        <v>2013</v>
      </c>
      <c r="S90" s="18" t="str">
        <f ca="1">IF($S$85="YES",$R$90&amp;".01",IF($S$86="YES",$R$90&amp;".07",IF($S$87="YES",$R$90&amp;".04",IF($T$84="07",$R$90&amp;".02",IF($T$84="08",$R$90&amp;".03",IF($T$84="10",$R$90&amp;".05",$R$90&amp;".06"))))))</f>
        <v>2013.01</v>
      </c>
      <c r="T90" s="18" t="str">
        <f ca="1">IF($S$85="YES",$R$90&amp;".02",IF($S$86="YES",$R$90&amp;".08",IF($S$87="YES",$R$90&amp;".05",IF($T$84="07",$R$90&amp;".03",IF($T$84="08",$R$90&amp;".04",IF($T$84="10",$R$90&amp;".06",$R$90&amp;".07"))))))</f>
        <v>2013.02</v>
      </c>
      <c r="U90" s="18" t="str">
        <f ca="1">IF($S$85="YES",$R$90&amp;".03",IF($S$86="YES",$R$90&amp;".09",IF($S$87="YES",$R$90&amp;".06",IF($T$84="07",$R$90&amp;".04",IF($T$84="08",$R$90&amp;".05",IF($T$84="10",$R$90&amp;".07",$R$90&amp;".08"))))))</f>
        <v>2013.03</v>
      </c>
      <c r="V90" s="18" t="str">
        <f ca="1">IF($S$85="YES",$R$90&amp;".04",IF($S$86="YES",$R$90&amp;".10",IF($S$87="YES",$R$90&amp;".07",IF($T$84="07",$R$90&amp;".05",IF($T$84="08",$R$90&amp;".06",IF($T$84="10",$R$90&amp;".08",$R$90&amp;".09"))))))</f>
        <v>2013.04</v>
      </c>
      <c r="W90" s="18" t="str">
        <f ca="1">IF($S$85="YES",$R$90&amp;".05",IF($S$86="YES",$R$90&amp;".11",IF($S$87="YES",$R$90&amp;".08",IF($T$84="07",$R$90&amp;".06",IF($T$84="08",$R$90&amp;".07",IF($T$84="10",$R$90&amp;".09",$R$90&amp;".10"))))))</f>
        <v>2013.05</v>
      </c>
      <c r="X90" s="18" t="str">
        <f ca="1">IF($S$85="YES",$R$90&amp;".06",IF($S$86="YES",$R$90&amp;".12",IF($S$87="YES",$R$90&amp;".09",IF($T$84="07",$R$90&amp;".07",IF($T$84="08",$R$90&amp;".08",IF($T$84="10",$R$90&amp;".10",$R$90&amp;".11"))))))</f>
        <v>2013.06</v>
      </c>
    </row>
    <row r="91" spans="5:25" ht="15.75" x14ac:dyDescent="0.2">
      <c r="E91" s="43"/>
      <c r="F91" s="43"/>
      <c r="G91" s="43"/>
      <c r="H91" s="43"/>
      <c r="I91" s="43"/>
      <c r="J91" s="43"/>
      <c r="K91" s="43"/>
      <c r="L91" s="43"/>
      <c r="M91" s="43"/>
      <c r="N91" s="43"/>
      <c r="Q91" s="46"/>
      <c r="R91" s="18"/>
      <c r="S91" s="18" t="str">
        <f ca="1">MID(S$90,6,2)</f>
        <v>01</v>
      </c>
      <c r="T91" s="18" t="str">
        <f t="shared" ref="T91:X91" ca="1" si="3">MID(T$90,6,2)</f>
        <v>02</v>
      </c>
      <c r="U91" s="18" t="str">
        <f t="shared" ca="1" si="3"/>
        <v>03</v>
      </c>
      <c r="V91" s="18" t="str">
        <f t="shared" ca="1" si="3"/>
        <v>04</v>
      </c>
      <c r="W91" s="18" t="str">
        <f t="shared" ca="1" si="3"/>
        <v>05</v>
      </c>
      <c r="X91" s="18" t="str">
        <f t="shared" ca="1" si="3"/>
        <v>06</v>
      </c>
    </row>
    <row r="92" spans="5:25" ht="15.75" x14ac:dyDescent="0.2">
      <c r="E92" s="43"/>
      <c r="F92" s="43"/>
      <c r="G92" s="43"/>
      <c r="H92" s="43"/>
      <c r="I92" s="43"/>
      <c r="J92" s="43"/>
      <c r="K92" s="43"/>
      <c r="L92" s="43"/>
      <c r="M92" s="43"/>
      <c r="N92" s="43"/>
      <c r="Q92" s="46"/>
      <c r="R92" s="18"/>
      <c r="S92" s="18" t="str">
        <f ca="1">IF(S$91&gt;$T$84,"yes","no")</f>
        <v>no</v>
      </c>
      <c r="T92" s="18" t="str">
        <f t="shared" ref="T92:X92" ca="1" si="4">IF(T$91&gt;$T$84,"yes","no")</f>
        <v>no</v>
      </c>
      <c r="U92" s="18" t="str">
        <f t="shared" ca="1" si="4"/>
        <v>no</v>
      </c>
      <c r="V92" s="18" t="str">
        <f t="shared" ca="1" si="4"/>
        <v>yes</v>
      </c>
      <c r="W92" s="18" t="str">
        <f t="shared" ca="1" si="4"/>
        <v>yes</v>
      </c>
      <c r="X92" s="18" t="str">
        <f t="shared" ca="1" si="4"/>
        <v>yes</v>
      </c>
    </row>
    <row r="93" spans="5:25" x14ac:dyDescent="0.2">
      <c r="E93" s="43"/>
      <c r="F93" s="43"/>
      <c r="G93" s="43"/>
      <c r="H93" s="43"/>
      <c r="I93" s="43"/>
      <c r="J93" s="43"/>
      <c r="K93" s="43"/>
      <c r="L93" s="43"/>
      <c r="M93" s="43"/>
      <c r="N93" s="43"/>
      <c r="Q93" s="18"/>
      <c r="R93" s="80" t="s">
        <v>101</v>
      </c>
      <c r="S93" s="81" t="str">
        <f ca="1">IF($V$89="No",S$90,S$90&amp;"_YTD")</f>
        <v>2013.01_YTD</v>
      </c>
      <c r="T93" s="81" t="str">
        <f t="shared" ref="T93:X93" ca="1" si="5">IF($V$89="No",T$90,T$90&amp;"_YTD")</f>
        <v>2013.02_YTD</v>
      </c>
      <c r="U93" s="81" t="str">
        <f t="shared" ca="1" si="5"/>
        <v>2013.03_YTD</v>
      </c>
      <c r="V93" s="81" t="str">
        <f t="shared" ca="1" si="5"/>
        <v>2013.04_YTD</v>
      </c>
      <c r="W93" s="81" t="str">
        <f t="shared" ca="1" si="5"/>
        <v>2013.05_YTD</v>
      </c>
      <c r="X93" s="81" t="str">
        <f t="shared" ca="1" si="5"/>
        <v>2013.06_YTD</v>
      </c>
    </row>
    <row r="94" spans="5:25" x14ac:dyDescent="0.2">
      <c r="E94" s="43"/>
      <c r="F94" s="43"/>
      <c r="G94" s="43"/>
      <c r="H94" s="43"/>
      <c r="I94" s="43"/>
      <c r="J94" s="43"/>
      <c r="K94" s="43"/>
      <c r="L94" s="43"/>
      <c r="M94" s="43"/>
      <c r="N94" s="43"/>
      <c r="Q94" s="18"/>
      <c r="R94" s="80" t="s">
        <v>102</v>
      </c>
      <c r="S94" s="81" t="str">
        <f ca="1">_xll.DBRA(Server&amp;$H$10,S$90,"Prior Year")</f>
        <v>2012.01</v>
      </c>
      <c r="T94" s="81" t="str">
        <f ca="1">_xll.DBRA(Server&amp;$H$10,T$90,"Prior Year")</f>
        <v>2012.02</v>
      </c>
      <c r="U94" s="81" t="str">
        <f ca="1">_xll.DBRA(Server&amp;$H$10,U$90,"Prior Year")</f>
        <v>2012.03</v>
      </c>
      <c r="V94" s="81" t="str">
        <f ca="1">_xll.DBRA(Server&amp;$H$10,V$90,"Prior Year")</f>
        <v>2012.04</v>
      </c>
      <c r="W94" s="81" t="str">
        <f ca="1">_xll.DBRA(Server&amp;$H$10,W$90,"Prior Year")</f>
        <v>2012.05</v>
      </c>
      <c r="X94" s="81" t="str">
        <f ca="1">_xll.DBRA(Server&amp;$H$10,X$90,"Prior Year")</f>
        <v>2012.06</v>
      </c>
    </row>
    <row r="95" spans="5:25" ht="15.75" x14ac:dyDescent="0.25">
      <c r="E95" s="43"/>
      <c r="F95" s="43"/>
      <c r="G95" s="43"/>
      <c r="H95" s="43"/>
      <c r="I95" s="43"/>
      <c r="J95" s="43"/>
      <c r="K95" s="43"/>
      <c r="L95" s="43"/>
      <c r="M95" s="43"/>
      <c r="N95" s="43"/>
      <c r="Q95" s="44" t="str">
        <f ca="1">IF($V$89="No",_xll.DBRA(Server&amp;$AL$33,$R$95,$AM$28),_xll.DBRA(Server&amp;$AL$33,$R$95,$AM$28)&amp; " ("&amp;_xll.DBRA(Server&amp;$AL$33,$AM$50,$AM$28)&amp;")")</f>
        <v>Fournisseurs par direction (Cumulé)</v>
      </c>
      <c r="R95" s="45" t="s">
        <v>103</v>
      </c>
      <c r="S95" s="54" t="str">
        <f ca="1">IF($S$85="YES",_xll.DBRA(Server&amp;$AL$33,$AL$34,$AM$28),IF($S$86="YES",_xll.DBRA(Server&amp;$AL$33,$AL$40,$AM$28),IF($S$87="YES",_xll.DBRA(Server&amp;$AL$33,$AL$37,$AM$28),IF($T$84="07",_xll.DBRA(Server&amp;$AL$33,$AL$35,$AM$28),IF($T$84="08",_xll.DBRA(Server&amp;$AL$33,$AL$36,$AM$28),IF($T$84="10",_xll.DBRA(Server&amp;$AL$33,$AL$38,$AM$28),_xll.DBRA(Server&amp;$AL$33,$AL$39,$AM$28)))))))</f>
        <v>Jan</v>
      </c>
      <c r="T95" s="54" t="str">
        <f ca="1">IF($S$85="YES",_xll.DBRA(Server&amp;$AL$33,$AL$35,$AM$28),IF($S$86="YES",_xll.DBRA(Server&amp;$AL$33,$AL$41,$AM$28),IF($S$87="YES",_xll.DBRA(Server&amp;$AL$33,$AL$38,$AM$28),IF($T$84="07",_xll.DBRA(Server&amp;$AL$33,$AL$36,$AM$28),IF($T$84="08",_xll.DBRA(Server&amp;$AL$33,$AL$37,$AM$28),IF($T$84="10",_xll.DBRA(Server&amp;$AL$33,$AL$39,$AM$28),_xll.DBRA(Server&amp;$AL$33,$AL$40,$AM$28)))))))</f>
        <v>Fév</v>
      </c>
      <c r="U95" s="54" t="str">
        <f ca="1">IF($S$85="YES",_xll.DBRA(Server&amp;$AL$33,$AL$36,$AM$28),IF($S$86="YES",_xll.DBRA(Server&amp;$AL$33,$AL$42,$AM$28),IF($S$87="YES",_xll.DBRA(Server&amp;$AL$33,$AL$39,$AM$28),IF($T$84="07",_xll.DBRA(Server&amp;$AL$33,$AL$37,$AM$28),IF($T$84="08",_xll.DBRA(Server&amp;$AL$33,$AL$38,$AM$28),IF($T$84="10",_xll.DBRA(Server&amp;$AL$33,$AL$40,$AM$28),_xll.DBRA(Server&amp;$AL$33,$AL$41,$AM$28)))))))</f>
        <v>Mars</v>
      </c>
      <c r="V95" s="54" t="str">
        <f ca="1">IF($S$85="YES",_xll.DBRA(Server&amp;$AL$33,$AL$37,$AM$28),IF($S$86="YES",_xll.DBRA(Server&amp;$AL$33,$AL$43,$AM$28),IF($S$87="YES",_xll.DBRA(Server&amp;$AL$33,$AL$40,$AM$28),IF($T$84="07",_xll.DBRA(Server&amp;$AL$33,$AL$38,$AM$28),IF($T$84="08",_xll.DBRA(Server&amp;$AL$33,$AL$39,$AM$28),IF($T$84="10",_xll.DBRA(Server&amp;$AL$33,$AL$41,$AM$28),_xll.DBRA(Server&amp;$AL$33,$AL$42,$AM$28)))))))</f>
        <v>Avril</v>
      </c>
      <c r="W95" s="54" t="str">
        <f ca="1">IF($S$85="YES",_xll.DBRA(Server&amp;$AL$33,$AL$38,$AM$28),IF($S$86="YES",_xll.DBRA(Server&amp;$AL$33,$AL$44,$AM$28),IF($S$87="YES",_xll.DBRA(Server&amp;$AL$33,$AL$41,$AM$28),IF($T$84="07",_xll.DBRA(Server&amp;$AL$33,$AL$39,$AM$28),IF($T$84="08",_xll.DBRA(Server&amp;$AL$33,$AL$40,$AM$28),IF($T$84="10",_xll.DBRA(Server&amp;$AL$33,$AL$42,$AM$28),_xll.DBRA(Server&amp;$AL$33,$AL$43,$AM$28)))))))</f>
        <v>Mai</v>
      </c>
      <c r="X95" s="54" t="str">
        <f ca="1">IF($S$85="YES",_xll.DBRA(Server&amp;$AL$33,$AL$39,$AM$28),IF($S$86="YES",$AL$45,IF($S$87="YES",_xll.DBRA(Server&amp;$AL$33,$AL$42,$AM$28),IF($T$84="07",_xll.DBRA(Server&amp;$AL$33,$AL$40,$AM$28),IF($T$84="08",_xll.DBRA(Server&amp;$AL$33,$AL$41,$AM$28),IF($T$84="10",_xll.DBRA(Server&amp;$AL$33,$AL$43,$AM$28),_xll.DBRA(Server&amp;$AL$33,$AL$44,$AM$28)))))))</f>
        <v>Juin</v>
      </c>
    </row>
    <row r="96" spans="5:25" ht="15.75" x14ac:dyDescent="0.2">
      <c r="E96" s="43"/>
      <c r="F96" s="43"/>
      <c r="G96" s="43"/>
      <c r="H96" s="43"/>
      <c r="I96" s="43"/>
      <c r="J96" s="43"/>
      <c r="K96" s="43"/>
      <c r="L96" s="43"/>
      <c r="M96" s="43"/>
      <c r="N96" s="43"/>
      <c r="Q96" s="46" t="str">
        <f ca="1">_xll.DBRA(Server&amp;$H$9,$R$96,$AM$28)</f>
        <v>Réalisé</v>
      </c>
      <c r="R96" s="2" t="s">
        <v>87</v>
      </c>
      <c r="S96" s="49">
        <f ca="1">IF(S$92="yes",#N/A,_xll.DBRW(Server&amp;Cube1,$F$35,$F$28,$F$29,$B$38,$B$39,$F$31,$F$33,$F$34,S$93,$R$96,$I13))</f>
        <v>-6883.8558499999963</v>
      </c>
      <c r="T96" s="49">
        <f ca="1">IF(T$92="yes",#N/A,_xll.DBRW(Server&amp;Cube1,$F$35,$F$28,$F$29,$B$38,$B$39,$F$31,$F$33,$F$34,T$93,$R$96,$I13))</f>
        <v>-12028.108880000002</v>
      </c>
      <c r="U96" s="49">
        <f ca="1">IF(U$92="yes",#N/A,_xll.DBRW(Server&amp;Cube1,$F$35,$F$28,$F$29,$B$38,$B$39,$F$31,$F$33,$F$34,U$93,$R$96,$I13))</f>
        <v>-12028.108880000002</v>
      </c>
      <c r="V96" s="49" t="e">
        <f ca="1">IF(V$92="yes",#N/A,_xll.DBRW(Server&amp;Cube1,$F$35,$F$28,$F$29,$B$38,$B$39,$F$31,$F$33,$F$34,V$93,$R$96,$I13))</f>
        <v>#N/A</v>
      </c>
      <c r="W96" s="49" t="e">
        <f ca="1">IF(W$92="yes",#N/A,_xll.DBRW(Server&amp;Cube1,$F$35,$F$28,$F$29,$B$38,$B$39,$F$31,$F$33,$F$34,W$93,$R$96,$I13))</f>
        <v>#N/A</v>
      </c>
      <c r="X96" s="49" t="e">
        <f ca="1">IF(X$92="yes",#N/A,_xll.DBRW(Server&amp;Cube1,$F$35,$F$28,$F$29,$B$38,$B$39,$F$31,$F$33,$F$34,X$93,$R$96,$I13))</f>
        <v>#N/A</v>
      </c>
    </row>
    <row r="97" spans="5:24" ht="15.75" x14ac:dyDescent="0.2">
      <c r="E97" s="43"/>
      <c r="F97" s="43"/>
      <c r="G97" s="43"/>
      <c r="H97" s="43"/>
      <c r="I97" s="43"/>
      <c r="J97" s="43"/>
      <c r="K97" s="43"/>
      <c r="L97" s="43"/>
      <c r="M97" s="43"/>
      <c r="N97" s="43"/>
      <c r="Q97" s="46" t="str">
        <f ca="1">_xll.DBRA(Server&amp;$AM$33,$AM$51,$AM$28)</f>
        <v>Réalisé N-1</v>
      </c>
      <c r="R97" s="2" t="s">
        <v>87</v>
      </c>
      <c r="S97" s="49">
        <f ca="1">_xll.DBRW(Server&amp;Cube1,$F$35,$F$28,$F$29,$B$38,$B$39,$F$31,$F$33,$F$34,S$94,$R$97,$I13)</f>
        <v>-5286.7796700000026</v>
      </c>
      <c r="T97" s="49">
        <f ca="1">_xll.DBRW(Server&amp;Cube1,$F$35,$F$28,$F$29,$B$38,$B$39,$F$31,$F$33,$F$34,T$94,$R$97,$I13)</f>
        <v>-2053.8699299999998</v>
      </c>
      <c r="U97" s="49">
        <f ca="1">_xll.DBRW(Server&amp;Cube1,$F$35,$F$28,$F$29,$B$38,$B$39,$F$31,$F$33,$F$34,U$94,$R$97,$I13)</f>
        <v>-15942.22395</v>
      </c>
      <c r="V97" s="49">
        <f ca="1">_xll.DBRW(Server&amp;Cube1,$F$35,$F$28,$F$29,$B$38,$B$39,$F$31,$F$33,$F$34,V$94,$R$97,$I13)</f>
        <v>-8144.8871300000001</v>
      </c>
      <c r="W97" s="49">
        <f ca="1">_xll.DBRW(Server&amp;Cube1,$F$35,$F$28,$F$29,$B$38,$B$39,$F$31,$F$33,$F$34,W$94,$R$97,$I13)</f>
        <v>-8189.110569999998</v>
      </c>
      <c r="X97" s="49">
        <f ca="1">_xll.DBRW(Server&amp;Cube1,$F$35,$F$28,$F$29,$B$38,$B$39,$F$31,$F$33,$F$34,X$94,$R$97,$I13)</f>
        <v>-30588.39183</v>
      </c>
    </row>
    <row r="98" spans="5:24" x14ac:dyDescent="0.2">
      <c r="E98" s="43"/>
      <c r="F98" s="43"/>
      <c r="G98" s="43"/>
      <c r="H98" s="43"/>
      <c r="I98" s="43"/>
      <c r="J98" s="43"/>
      <c r="K98" s="43"/>
      <c r="L98" s="43"/>
      <c r="M98" s="43"/>
      <c r="N98" s="43"/>
    </row>
    <row r="99" spans="5:24" x14ac:dyDescent="0.2">
      <c r="E99" s="43"/>
      <c r="F99" s="43"/>
      <c r="G99" s="43"/>
      <c r="H99" s="43"/>
      <c r="I99" s="43"/>
      <c r="J99" s="43"/>
      <c r="K99" s="43"/>
      <c r="L99" s="43"/>
      <c r="M99" s="43"/>
      <c r="N99" s="43"/>
    </row>
    <row r="100" spans="5:24" x14ac:dyDescent="0.2">
      <c r="E100" s="43"/>
      <c r="F100" s="43"/>
      <c r="G100" s="43"/>
      <c r="H100" s="43"/>
      <c r="I100" s="43"/>
      <c r="J100" s="43"/>
      <c r="K100" s="43"/>
      <c r="L100" s="43"/>
      <c r="M100" s="43"/>
      <c r="N100" s="43"/>
    </row>
    <row r="101" spans="5:24" x14ac:dyDescent="0.2">
      <c r="E101" s="43"/>
      <c r="F101" s="43"/>
      <c r="G101" s="43"/>
      <c r="H101" s="43"/>
      <c r="I101" s="43"/>
      <c r="J101" s="43"/>
      <c r="K101" s="43"/>
      <c r="L101" s="43"/>
      <c r="M101" s="43"/>
      <c r="N101" s="43"/>
    </row>
    <row r="102" spans="5:24" x14ac:dyDescent="0.2">
      <c r="E102" s="43"/>
      <c r="F102" s="43"/>
      <c r="G102" s="43"/>
      <c r="H102" s="43"/>
      <c r="I102" s="43"/>
      <c r="J102" s="43"/>
      <c r="K102" s="43"/>
      <c r="L102" s="43"/>
      <c r="M102" s="43"/>
      <c r="N102" s="43"/>
    </row>
    <row r="103" spans="5:24" x14ac:dyDescent="0.2">
      <c r="E103" s="43"/>
      <c r="F103" s="43"/>
      <c r="G103" s="43"/>
      <c r="H103" s="43"/>
      <c r="I103" s="43"/>
      <c r="J103" s="43"/>
      <c r="K103" s="43"/>
      <c r="L103" s="43"/>
      <c r="M103" s="43"/>
      <c r="N103" s="43"/>
    </row>
    <row r="104" spans="5:24" x14ac:dyDescent="0.2">
      <c r="E104" s="43"/>
      <c r="F104" s="43"/>
      <c r="G104" s="43"/>
      <c r="H104" s="43"/>
      <c r="I104" s="43"/>
      <c r="J104" s="43"/>
      <c r="K104" s="43"/>
      <c r="L104" s="43"/>
      <c r="M104" s="43"/>
      <c r="N104" s="43"/>
    </row>
    <row r="105" spans="5:24" x14ac:dyDescent="0.2">
      <c r="E105" s="43"/>
      <c r="F105" s="43"/>
      <c r="G105" s="43"/>
      <c r="H105" s="43"/>
      <c r="I105" s="43"/>
      <c r="J105" s="43"/>
      <c r="K105" s="43"/>
      <c r="L105" s="43"/>
      <c r="M105" s="43"/>
      <c r="N105" s="43"/>
    </row>
    <row r="106" spans="5:24" x14ac:dyDescent="0.2">
      <c r="E106" s="43"/>
      <c r="F106" s="43"/>
      <c r="G106" s="43"/>
      <c r="H106" s="43"/>
      <c r="I106" s="43"/>
      <c r="J106" s="43"/>
      <c r="K106" s="43"/>
      <c r="L106" s="43"/>
      <c r="M106" s="43"/>
      <c r="N106" s="43"/>
    </row>
    <row r="107" spans="5:24" x14ac:dyDescent="0.2">
      <c r="E107" s="43"/>
      <c r="F107" s="43"/>
      <c r="G107" s="43"/>
      <c r="H107" s="43"/>
      <c r="I107" s="43"/>
      <c r="J107" s="43"/>
      <c r="K107" s="43"/>
      <c r="L107" s="43"/>
      <c r="M107" s="43"/>
      <c r="N107" s="43"/>
    </row>
    <row r="108" spans="5:24" x14ac:dyDescent="0.2">
      <c r="E108" s="43"/>
      <c r="F108" s="43"/>
      <c r="G108" s="43"/>
      <c r="H108" s="43"/>
      <c r="I108" s="43"/>
      <c r="J108" s="43"/>
      <c r="K108" s="43"/>
      <c r="L108" s="43"/>
      <c r="M108" s="43"/>
      <c r="N108" s="43"/>
    </row>
    <row r="109" spans="5:24" x14ac:dyDescent="0.2">
      <c r="E109" s="43"/>
      <c r="F109" s="43"/>
      <c r="G109" s="43"/>
      <c r="H109" s="43"/>
      <c r="I109" s="43"/>
      <c r="J109" s="43"/>
      <c r="K109" s="43"/>
      <c r="L109" s="43"/>
      <c r="M109" s="43"/>
      <c r="N109" s="43"/>
    </row>
    <row r="110" spans="5:24" x14ac:dyDescent="0.2">
      <c r="E110" s="43"/>
      <c r="F110" s="43"/>
      <c r="G110" s="43"/>
      <c r="H110" s="43"/>
      <c r="I110" s="43"/>
      <c r="J110" s="43"/>
      <c r="K110" s="43"/>
      <c r="L110" s="43"/>
      <c r="M110" s="43"/>
      <c r="N110" s="43"/>
    </row>
    <row r="111" spans="5:24" x14ac:dyDescent="0.2">
      <c r="E111" s="43"/>
      <c r="F111" s="43"/>
      <c r="G111" s="43"/>
      <c r="H111" s="43"/>
      <c r="I111" s="43"/>
      <c r="J111" s="43"/>
      <c r="K111" s="43"/>
      <c r="L111" s="43"/>
      <c r="M111" s="43"/>
      <c r="N111" s="43"/>
    </row>
    <row r="112" spans="5:24" x14ac:dyDescent="0.2">
      <c r="E112" s="43"/>
      <c r="F112" s="43"/>
      <c r="G112" s="43"/>
      <c r="H112" s="43"/>
      <c r="I112" s="43"/>
      <c r="J112" s="43"/>
      <c r="K112" s="43"/>
      <c r="L112" s="43"/>
      <c r="M112" s="43"/>
      <c r="N112" s="43"/>
    </row>
    <row r="113" spans="5:15" x14ac:dyDescent="0.2">
      <c r="E113" s="43"/>
      <c r="F113" s="43"/>
      <c r="G113" s="43"/>
      <c r="H113" s="43"/>
      <c r="I113" s="43"/>
      <c r="J113" s="43"/>
      <c r="K113" s="43"/>
      <c r="L113" s="43"/>
      <c r="M113" s="43"/>
      <c r="N113" s="43"/>
    </row>
    <row r="114" spans="5:15" x14ac:dyDescent="0.2">
      <c r="E114" s="43"/>
      <c r="F114" s="43"/>
      <c r="G114" s="43"/>
      <c r="H114" s="43"/>
      <c r="I114" s="43"/>
      <c r="J114" s="43"/>
      <c r="K114" s="43"/>
      <c r="L114" s="43"/>
      <c r="M114" s="43"/>
      <c r="N114" s="43"/>
    </row>
    <row r="115" spans="5:15" x14ac:dyDescent="0.2">
      <c r="E115" s="43"/>
      <c r="F115" s="43"/>
      <c r="G115" s="43"/>
      <c r="H115" s="43"/>
      <c r="I115" s="43"/>
      <c r="J115" s="43"/>
      <c r="K115" s="43"/>
      <c r="L115" s="43"/>
      <c r="M115" s="43"/>
      <c r="N115" s="43"/>
    </row>
    <row r="116" spans="5:15" x14ac:dyDescent="0.2"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69"/>
    </row>
    <row r="117" spans="5:15" x14ac:dyDescent="0.2"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69"/>
    </row>
    <row r="118" spans="5:15" x14ac:dyDescent="0.2"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69"/>
    </row>
    <row r="119" spans="5:15" x14ac:dyDescent="0.2"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69"/>
    </row>
    <row r="120" spans="5:15" x14ac:dyDescent="0.2"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69"/>
    </row>
    <row r="121" spans="5:15" x14ac:dyDescent="0.2"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69"/>
    </row>
    <row r="122" spans="5:15" x14ac:dyDescent="0.2"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69"/>
    </row>
    <row r="123" spans="5:15" x14ac:dyDescent="0.2"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69"/>
    </row>
    <row r="124" spans="5:15" x14ac:dyDescent="0.2"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</row>
  </sheetData>
  <sheetProtection sheet="1" objects="1" scenarios="1" formatColumns="0" formatRows="0"/>
  <mergeCells count="15">
    <mergeCell ref="AR42:AT42"/>
    <mergeCell ref="I57:I58"/>
    <mergeCell ref="J57:J58"/>
    <mergeCell ref="I52:J55"/>
    <mergeCell ref="L52:N55"/>
    <mergeCell ref="L57:M58"/>
    <mergeCell ref="E70:N70"/>
    <mergeCell ref="E69:N69"/>
    <mergeCell ref="E71:N71"/>
    <mergeCell ref="E72:N72"/>
    <mergeCell ref="Q22:Q25"/>
    <mergeCell ref="N57:N58"/>
    <mergeCell ref="E60:G60"/>
    <mergeCell ref="L22:M25"/>
    <mergeCell ref="E22:K25"/>
  </mergeCells>
  <conditionalFormatting sqref="N2:N7">
    <cfRule type="cellIs" dxfId="29" priority="2466" operator="equal">
      <formula>$AR$43</formula>
    </cfRule>
  </conditionalFormatting>
  <conditionalFormatting sqref="N2:N7">
    <cfRule type="cellIs" dxfId="28" priority="2465" operator="equal">
      <formula>$AS$43</formula>
    </cfRule>
  </conditionalFormatting>
  <conditionalFormatting sqref="N2:N7">
    <cfRule type="cellIs" dxfId="27" priority="2464" operator="equal">
      <formula>$AT$43</formula>
    </cfRule>
  </conditionalFormatting>
  <conditionalFormatting sqref="N60">
    <cfRule type="cellIs" dxfId="26" priority="2376" operator="equal">
      <formula>$AR$43</formula>
    </cfRule>
  </conditionalFormatting>
  <conditionalFormatting sqref="N60">
    <cfRule type="cellIs" dxfId="25" priority="2375" operator="equal">
      <formula>$AS$43</formula>
    </cfRule>
  </conditionalFormatting>
  <conditionalFormatting sqref="N60">
    <cfRule type="cellIs" dxfId="24" priority="2374" operator="equal">
      <formula>$AT$43</formula>
    </cfRule>
  </conditionalFormatting>
  <conditionalFormatting sqref="J6:J7">
    <cfRule type="cellIs" dxfId="23" priority="693" operator="equal">
      <formula>$AR$43</formula>
    </cfRule>
  </conditionalFormatting>
  <conditionalFormatting sqref="J6:J7">
    <cfRule type="cellIs" dxfId="22" priority="692" operator="equal">
      <formula>$AS$43</formula>
    </cfRule>
  </conditionalFormatting>
  <conditionalFormatting sqref="J6:J7">
    <cfRule type="cellIs" dxfId="21" priority="691" operator="equal">
      <formula>$AT$43</formula>
    </cfRule>
  </conditionalFormatting>
  <conditionalFormatting sqref="N64:N65">
    <cfRule type="cellIs" dxfId="8" priority="9" operator="equal">
      <formula>$AR$43</formula>
    </cfRule>
  </conditionalFormatting>
  <conditionalFormatting sqref="N64:N65">
    <cfRule type="cellIs" dxfId="7" priority="8" operator="equal">
      <formula>$AS$43</formula>
    </cfRule>
  </conditionalFormatting>
  <conditionalFormatting sqref="N64:N65">
    <cfRule type="cellIs" dxfId="6" priority="7" operator="equal">
      <formula>$AT$43</formula>
    </cfRule>
  </conditionalFormatting>
  <conditionalFormatting sqref="N66">
    <cfRule type="cellIs" dxfId="5" priority="6" operator="equal">
      <formula>$AR$43</formula>
    </cfRule>
  </conditionalFormatting>
  <conditionalFormatting sqref="N66">
    <cfRule type="cellIs" dxfId="4" priority="5" operator="equal">
      <formula>$AS$43</formula>
    </cfRule>
  </conditionalFormatting>
  <conditionalFormatting sqref="N66">
    <cfRule type="cellIs" dxfId="3" priority="4" operator="equal">
      <formula>$AT$43</formula>
    </cfRule>
  </conditionalFormatting>
  <conditionalFormatting sqref="J66">
    <cfRule type="cellIs" dxfId="2" priority="3" operator="equal">
      <formula>$AR$43</formula>
    </cfRule>
  </conditionalFormatting>
  <conditionalFormatting sqref="J66">
    <cfRule type="cellIs" dxfId="1" priority="2" operator="equal">
      <formula>$AS$43</formula>
    </cfRule>
  </conditionalFormatting>
  <conditionalFormatting sqref="J66">
    <cfRule type="cellIs" dxfId="0" priority="1" operator="equal">
      <formula>$AT$43</formula>
    </cfRule>
  </conditionalFormatting>
  <dataValidations count="1">
    <dataValidation type="list" allowBlank="1" showInputMessage="1" showErrorMessage="1" sqref="F30">
      <formula1>Language</formula1>
    </dataValidation>
  </dataValidations>
  <printOptions horizontalCentered="1"/>
  <pageMargins left="0" right="0" top="7.874015748031496E-2" bottom="7.874015748031496E-2" header="0.51181102362204722" footer="0.51181102362204722"/>
  <pageSetup scale="49" orientation="portrait" r:id="rId1"/>
  <headerFooter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Refresh_Report">
          <controlPr defaultSize="0" print="0" autoLine="0" r:id="rId5">
            <anchor moveWithCells="1">
              <from>
                <xdr:col>4</xdr:col>
                <xdr:colOff>228600</xdr:colOff>
                <xdr:row>17</xdr:row>
                <xdr:rowOff>123825</xdr:rowOff>
              </from>
              <to>
                <xdr:col>4</xdr:col>
                <xdr:colOff>2162175</xdr:colOff>
                <xdr:row>20</xdr:row>
                <xdr:rowOff>9525</xdr:rowOff>
              </to>
            </anchor>
          </controlPr>
        </control>
      </mc:Choice>
      <mc:Fallback>
        <control shapeId="1025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22</vt:i4>
      </vt:variant>
    </vt:vector>
  </HeadingPairs>
  <TitlesOfParts>
    <vt:vector size="24" baseType="lpstr">
      <vt:lpstr>Context</vt:lpstr>
      <vt:lpstr>Recapitulatif_frais_fournisseur</vt:lpstr>
      <vt:lpstr>ActualBudgetAdmin</vt:lpstr>
      <vt:lpstr>ActualForecast1Admin</vt:lpstr>
      <vt:lpstr>ActualForecast2Admin</vt:lpstr>
      <vt:lpstr>ActualMonth</vt:lpstr>
      <vt:lpstr>ActualMonthYTD</vt:lpstr>
      <vt:lpstr>AutoFit</vt:lpstr>
      <vt:lpstr>AutoRefresh_Recapitulatif_frais_fournisseur</vt:lpstr>
      <vt:lpstr>Cube1</vt:lpstr>
      <vt:lpstr>Cube2</vt:lpstr>
      <vt:lpstr>Flag_Send_Comment</vt:lpstr>
      <vt:lpstr>Flag_Send_Data</vt:lpstr>
      <vt:lpstr>Recapitulatif_frais_fournisseur!Impression_des_titres</vt:lpstr>
      <vt:lpstr>Language</vt:lpstr>
      <vt:lpstr>LocalLanguage</vt:lpstr>
      <vt:lpstr>LocalLanguage2</vt:lpstr>
      <vt:lpstr>Note</vt:lpstr>
      <vt:lpstr>Server</vt:lpstr>
      <vt:lpstr>Recapitulatif_frais_fournisseur!TM1RPTDATARNGARPT1</vt:lpstr>
      <vt:lpstr>Recapitulatif_frais_fournisseur!TM1RPTFMTIDCOL</vt:lpstr>
      <vt:lpstr>Recapitulatif_frais_fournisseur!TM1RPTFMTRNG</vt:lpstr>
      <vt:lpstr>xHost</vt:lpstr>
      <vt:lpstr>xServer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2012-06-25T09:52:16Z</cp:lastPrinted>
  <dcterms:created xsi:type="dcterms:W3CDTF">2011-06-21T16:52:24Z</dcterms:created>
  <dcterms:modified xsi:type="dcterms:W3CDTF">2013-04-18T12:09:37Z</dcterms:modified>
</cp:coreProperties>
</file>