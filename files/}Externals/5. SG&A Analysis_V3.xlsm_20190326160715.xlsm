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40" yWindow="195" windowWidth="18105" windowHeight="9540" tabRatio="745"/>
  </bookViews>
  <sheets>
    <sheet name="Context" sheetId="61" r:id="rId1"/>
    <sheet name="Country" sheetId="65" r:id="rId2"/>
    <sheet name="Total" sheetId="66" state="hidden" r:id="rId3"/>
  </sheets>
  <definedNames>
    <definedName name="_Order1" hidden="1">255</definedName>
    <definedName name="_Order2" hidden="1">255</definedName>
    <definedName name="Activity_1">Context!$E$20</definedName>
    <definedName name="Activity_2">Context!$F$20</definedName>
    <definedName name="Activity_3">Context!$G$20</definedName>
    <definedName name="Actual_Month">Context!$E$64</definedName>
    <definedName name="Country">Context!$E$7</definedName>
    <definedName name="Cube">Context!$E$5</definedName>
    <definedName name="Devise">Context!$E$9</definedName>
    <definedName name="Gaap">Context!$E$13</definedName>
    <definedName name="Integration_Rate">Context!$E$22</definedName>
    <definedName name="Language">Context!$E$11</definedName>
    <definedName name="Local_Gaap_Mgmt_tool">Context!$E$21:$E$24</definedName>
    <definedName name="Management_Organization">Context!$E$24</definedName>
    <definedName name="PriorYear">Context!$E$65</definedName>
    <definedName name="TM1REBUILDOPTION">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E64" i="61" l="1"/>
  <c r="E16" i="61"/>
  <c r="E65" i="61"/>
  <c r="G17" i="61"/>
  <c r="G16" i="61"/>
  <c r="F16" i="61"/>
  <c r="G20" i="61"/>
  <c r="F20" i="61"/>
  <c r="E20" i="61"/>
  <c r="G24" i="65"/>
  <c r="B3" i="65"/>
  <c r="I6" i="65"/>
  <c r="B5" i="65"/>
  <c r="B4" i="65"/>
  <c r="B6" i="65"/>
  <c r="I7" i="65"/>
  <c r="B9" i="65"/>
  <c r="I4" i="65"/>
  <c r="I5" i="65"/>
  <c r="I8" i="65"/>
  <c r="I40" i="65"/>
  <c r="I21" i="65"/>
  <c r="O40" i="65"/>
  <c r="H6" i="65"/>
  <c r="H7" i="65"/>
  <c r="H4" i="65"/>
  <c r="H5" i="65"/>
  <c r="H8" i="65"/>
  <c r="H40" i="65"/>
  <c r="H21" i="65"/>
  <c r="N40" i="65"/>
  <c r="G7" i="65"/>
  <c r="G4" i="65"/>
  <c r="G5" i="65"/>
  <c r="G8" i="65"/>
  <c r="G40" i="65"/>
  <c r="G21" i="65"/>
  <c r="M40" i="65"/>
  <c r="I39" i="65"/>
  <c r="O39" i="65"/>
  <c r="H39" i="65"/>
  <c r="N39" i="65"/>
  <c r="G39" i="65"/>
  <c r="M39" i="65"/>
  <c r="I38" i="65"/>
  <c r="O38" i="65"/>
  <c r="H38" i="65"/>
  <c r="N38" i="65"/>
  <c r="G38" i="65"/>
  <c r="M38" i="65"/>
  <c r="I37" i="65"/>
  <c r="O37" i="65"/>
  <c r="H37" i="65"/>
  <c r="N37" i="65"/>
  <c r="G37" i="65"/>
  <c r="M37" i="65"/>
  <c r="I36" i="65"/>
  <c r="O36" i="65"/>
  <c r="H36" i="65"/>
  <c r="N36" i="65"/>
  <c r="G36" i="65"/>
  <c r="M36" i="65"/>
  <c r="I35" i="65"/>
  <c r="O35" i="65"/>
  <c r="H35" i="65"/>
  <c r="N35" i="65"/>
  <c r="G35" i="65"/>
  <c r="M35" i="65"/>
  <c r="I34" i="65"/>
  <c r="O34" i="65"/>
  <c r="H34" i="65"/>
  <c r="N34" i="65"/>
  <c r="G34" i="65"/>
  <c r="M34" i="65"/>
  <c r="I33" i="65"/>
  <c r="O33" i="65"/>
  <c r="H33" i="65"/>
  <c r="N33" i="65"/>
  <c r="G33" i="65"/>
  <c r="M33" i="65"/>
  <c r="I32" i="65"/>
  <c r="O32" i="65"/>
  <c r="H32" i="65"/>
  <c r="N32" i="65"/>
  <c r="G32" i="65"/>
  <c r="M32" i="65"/>
  <c r="I31" i="65"/>
  <c r="O31" i="65"/>
  <c r="H31" i="65"/>
  <c r="N31" i="65"/>
  <c r="G31" i="65"/>
  <c r="M31" i="65"/>
  <c r="I30" i="65"/>
  <c r="O30" i="65"/>
  <c r="H30" i="65"/>
  <c r="N30" i="65"/>
  <c r="G30" i="65"/>
  <c r="M30" i="65"/>
  <c r="I29" i="65"/>
  <c r="O29" i="65"/>
  <c r="H29" i="65"/>
  <c r="N29" i="65"/>
  <c r="G29" i="65"/>
  <c r="M29" i="65"/>
  <c r="I28" i="65"/>
  <c r="O28" i="65"/>
  <c r="H28" i="65"/>
  <c r="N28" i="65"/>
  <c r="G28" i="65"/>
  <c r="M28" i="65"/>
  <c r="I27" i="65"/>
  <c r="O27" i="65"/>
  <c r="H27" i="65"/>
  <c r="N27" i="65"/>
  <c r="G27" i="65"/>
  <c r="M27" i="65"/>
  <c r="I26" i="65"/>
  <c r="O26" i="65"/>
  <c r="H26" i="65"/>
  <c r="N26" i="65"/>
  <c r="G26" i="65"/>
  <c r="M26" i="65"/>
  <c r="I25" i="65"/>
  <c r="O25" i="65"/>
  <c r="H25" i="65"/>
  <c r="N25" i="65"/>
  <c r="G25" i="65"/>
  <c r="M25" i="65"/>
  <c r="M24" i="65"/>
  <c r="M42" i="65"/>
  <c r="G42" i="65"/>
  <c r="E13" i="61"/>
  <c r="D1" i="65"/>
  <c r="A45" i="65"/>
  <c r="H45" i="65"/>
  <c r="A46" i="65"/>
  <c r="H46" i="65"/>
  <c r="A47" i="65"/>
  <c r="H47" i="65"/>
  <c r="A48" i="65"/>
  <c r="H48" i="65"/>
  <c r="A49" i="65"/>
  <c r="H49" i="65"/>
  <c r="A50" i="65"/>
  <c r="H50" i="65"/>
  <c r="A51" i="65"/>
  <c r="H51" i="65"/>
  <c r="A52" i="65"/>
  <c r="H52" i="65"/>
  <c r="A53" i="65"/>
  <c r="H53" i="65"/>
  <c r="A54" i="65"/>
  <c r="H54" i="65"/>
  <c r="A55" i="65"/>
  <c r="H55" i="65"/>
  <c r="A56" i="65"/>
  <c r="H56" i="65"/>
  <c r="A57" i="65"/>
  <c r="H57" i="65"/>
  <c r="A58" i="65"/>
  <c r="H58" i="65"/>
  <c r="H59" i="65"/>
  <c r="H43" i="65"/>
  <c r="N43" i="65"/>
  <c r="I45" i="65"/>
  <c r="I46" i="65"/>
  <c r="I47" i="65"/>
  <c r="I48" i="65"/>
  <c r="I49" i="65"/>
  <c r="I50" i="65"/>
  <c r="I51" i="65"/>
  <c r="I52" i="65"/>
  <c r="I53" i="65"/>
  <c r="I54" i="65"/>
  <c r="I55" i="65"/>
  <c r="I56" i="65"/>
  <c r="I57" i="65"/>
  <c r="I58" i="65"/>
  <c r="I59" i="65"/>
  <c r="I43" i="65"/>
  <c r="O43" i="65"/>
  <c r="G45" i="65"/>
  <c r="G46" i="65"/>
  <c r="G47" i="65"/>
  <c r="G48" i="65"/>
  <c r="G49" i="65"/>
  <c r="G50" i="65"/>
  <c r="G51" i="65"/>
  <c r="G52" i="65"/>
  <c r="G53" i="65"/>
  <c r="G54" i="65"/>
  <c r="G55" i="65"/>
  <c r="G56" i="65"/>
  <c r="G57" i="65"/>
  <c r="G58" i="65"/>
  <c r="G59" i="65"/>
  <c r="G43" i="65"/>
  <c r="M43" i="65"/>
  <c r="B5" i="66"/>
  <c r="B4" i="66"/>
  <c r="B6" i="66"/>
  <c r="B8" i="66"/>
  <c r="G4" i="66"/>
  <c r="F6" i="66"/>
  <c r="G6" i="66"/>
  <c r="G7" i="66"/>
  <c r="G27" i="66"/>
  <c r="I16" i="65"/>
  <c r="I22" i="65"/>
  <c r="H16" i="65"/>
  <c r="H22" i="65"/>
  <c r="G16" i="65"/>
  <c r="G22" i="65"/>
  <c r="J45" i="65"/>
  <c r="J46" i="65"/>
  <c r="J47" i="65"/>
  <c r="J48" i="65"/>
  <c r="J49" i="65"/>
  <c r="J50" i="65"/>
  <c r="J51" i="65"/>
  <c r="J52" i="65"/>
  <c r="J53" i="65"/>
  <c r="J54" i="65"/>
  <c r="J55" i="65"/>
  <c r="J56" i="65"/>
  <c r="J57" i="65"/>
  <c r="J58" i="65"/>
  <c r="J59" i="65"/>
  <c r="J43" i="65"/>
  <c r="K45" i="65"/>
  <c r="K46" i="65"/>
  <c r="K47" i="65"/>
  <c r="K48" i="65"/>
  <c r="K49" i="65"/>
  <c r="K50" i="65"/>
  <c r="K51" i="65"/>
  <c r="K52" i="65"/>
  <c r="K53" i="65"/>
  <c r="K54" i="65"/>
  <c r="K55" i="65"/>
  <c r="K56" i="65"/>
  <c r="K57" i="65"/>
  <c r="K58" i="65"/>
  <c r="K59" i="65"/>
  <c r="K43" i="65"/>
  <c r="E22" i="61"/>
  <c r="E24" i="61"/>
  <c r="O58" i="65"/>
  <c r="N58" i="65"/>
  <c r="M58" i="65"/>
  <c r="O57" i="65"/>
  <c r="N57" i="65"/>
  <c r="M57" i="65"/>
  <c r="O56" i="65"/>
  <c r="N56" i="65"/>
  <c r="M56" i="65"/>
  <c r="O55" i="65"/>
  <c r="N55" i="65"/>
  <c r="M55" i="65"/>
  <c r="O54" i="65"/>
  <c r="N54" i="65"/>
  <c r="M54" i="65"/>
  <c r="O53" i="65"/>
  <c r="N53" i="65"/>
  <c r="M53" i="65"/>
  <c r="O52" i="65"/>
  <c r="N52" i="65"/>
  <c r="M52" i="65"/>
  <c r="O51" i="65"/>
  <c r="N51" i="65"/>
  <c r="M51" i="65"/>
  <c r="O50" i="65"/>
  <c r="N50" i="65"/>
  <c r="M50" i="65"/>
  <c r="O49" i="65"/>
  <c r="N49" i="65"/>
  <c r="M49" i="65"/>
  <c r="O48" i="65"/>
  <c r="N48" i="65"/>
  <c r="M48" i="65"/>
  <c r="O47" i="65"/>
  <c r="N47" i="65"/>
  <c r="M47" i="65"/>
  <c r="O46" i="65"/>
  <c r="N46" i="65"/>
  <c r="M46" i="65"/>
  <c r="O45" i="65"/>
  <c r="N45" i="65"/>
  <c r="M45" i="65"/>
  <c r="A1" i="66"/>
  <c r="B3" i="66"/>
  <c r="R4" i="66"/>
  <c r="R5" i="66"/>
  <c r="R6" i="66"/>
  <c r="R7" i="66"/>
  <c r="R59" i="66"/>
  <c r="L4" i="66"/>
  <c r="L5" i="66"/>
  <c r="L6" i="66"/>
  <c r="L7" i="66"/>
  <c r="L59" i="66"/>
  <c r="X59" i="66"/>
  <c r="F4" i="66"/>
  <c r="F5" i="66"/>
  <c r="F7" i="66"/>
  <c r="F59" i="66"/>
  <c r="AD59" i="66"/>
  <c r="T4" i="66"/>
  <c r="T5" i="66"/>
  <c r="S6" i="66"/>
  <c r="T6" i="66"/>
  <c r="T7" i="66"/>
  <c r="T59" i="66"/>
  <c r="N4" i="66"/>
  <c r="N5" i="66"/>
  <c r="M6" i="66"/>
  <c r="N6" i="66"/>
  <c r="N7" i="66"/>
  <c r="N59" i="66"/>
  <c r="Z59" i="66"/>
  <c r="H4" i="66"/>
  <c r="H5" i="66"/>
  <c r="H6" i="66"/>
  <c r="H7" i="66"/>
  <c r="H59" i="66"/>
  <c r="AF59" i="66"/>
  <c r="AH59" i="66"/>
  <c r="S4" i="66"/>
  <c r="S5" i="66"/>
  <c r="S7" i="66"/>
  <c r="S59" i="66"/>
  <c r="M4" i="66"/>
  <c r="M5" i="66"/>
  <c r="M7" i="66"/>
  <c r="M59" i="66"/>
  <c r="Y59" i="66"/>
  <c r="G5" i="66"/>
  <c r="G59" i="66"/>
  <c r="AE59" i="66"/>
  <c r="AG59" i="66"/>
  <c r="R58" i="66"/>
  <c r="L58" i="66"/>
  <c r="X58" i="66"/>
  <c r="F58" i="66"/>
  <c r="AD58" i="66"/>
  <c r="T58" i="66"/>
  <c r="N58" i="66"/>
  <c r="Z58" i="66"/>
  <c r="H58" i="66"/>
  <c r="AF58" i="66"/>
  <c r="AH58" i="66"/>
  <c r="S58" i="66"/>
  <c r="M58" i="66"/>
  <c r="Y58" i="66"/>
  <c r="G58" i="66"/>
  <c r="AE58" i="66"/>
  <c r="AG58" i="66"/>
  <c r="R57" i="66"/>
  <c r="L57" i="66"/>
  <c r="X57" i="66"/>
  <c r="F57" i="66"/>
  <c r="AD57" i="66"/>
  <c r="T57" i="66"/>
  <c r="N57" i="66"/>
  <c r="Z57" i="66"/>
  <c r="H57" i="66"/>
  <c r="AF57" i="66"/>
  <c r="AH57" i="66"/>
  <c r="S57" i="66"/>
  <c r="M57" i="66"/>
  <c r="Y57" i="66"/>
  <c r="G57" i="66"/>
  <c r="AE57" i="66"/>
  <c r="AG57" i="66"/>
  <c r="R56" i="66"/>
  <c r="L56" i="66"/>
  <c r="X56" i="66"/>
  <c r="F56" i="66"/>
  <c r="AD56" i="66"/>
  <c r="T56" i="66"/>
  <c r="N56" i="66"/>
  <c r="Z56" i="66"/>
  <c r="H56" i="66"/>
  <c r="AF56" i="66"/>
  <c r="AH56" i="66"/>
  <c r="S56" i="66"/>
  <c r="M56" i="66"/>
  <c r="Y56" i="66"/>
  <c r="G56" i="66"/>
  <c r="AE56" i="66"/>
  <c r="AG56" i="66"/>
  <c r="R55" i="66"/>
  <c r="L55" i="66"/>
  <c r="X55" i="66"/>
  <c r="F55" i="66"/>
  <c r="AD55" i="66"/>
  <c r="T55" i="66"/>
  <c r="N55" i="66"/>
  <c r="Z55" i="66"/>
  <c r="H55" i="66"/>
  <c r="AF55" i="66"/>
  <c r="AH55" i="66"/>
  <c r="S55" i="66"/>
  <c r="M55" i="66"/>
  <c r="Y55" i="66"/>
  <c r="G55" i="66"/>
  <c r="AE55" i="66"/>
  <c r="AG55" i="66"/>
  <c r="R54" i="66"/>
  <c r="L54" i="66"/>
  <c r="X54" i="66"/>
  <c r="F54" i="66"/>
  <c r="AD54" i="66"/>
  <c r="T54" i="66"/>
  <c r="N54" i="66"/>
  <c r="Z54" i="66"/>
  <c r="H54" i="66"/>
  <c r="AF54" i="66"/>
  <c r="AH54" i="66"/>
  <c r="S54" i="66"/>
  <c r="M54" i="66"/>
  <c r="Y54" i="66"/>
  <c r="G54" i="66"/>
  <c r="AE54" i="66"/>
  <c r="AG54" i="66"/>
  <c r="R53" i="66"/>
  <c r="L53" i="66"/>
  <c r="X53" i="66"/>
  <c r="F53" i="66"/>
  <c r="AD53" i="66"/>
  <c r="T53" i="66"/>
  <c r="N53" i="66"/>
  <c r="Z53" i="66"/>
  <c r="H53" i="66"/>
  <c r="AF53" i="66"/>
  <c r="AH53" i="66"/>
  <c r="S53" i="66"/>
  <c r="M53" i="66"/>
  <c r="Y53" i="66"/>
  <c r="G53" i="66"/>
  <c r="AE53" i="66"/>
  <c r="AG53" i="66"/>
  <c r="R52" i="66"/>
  <c r="L52" i="66"/>
  <c r="X52" i="66"/>
  <c r="F52" i="66"/>
  <c r="AD52" i="66"/>
  <c r="T52" i="66"/>
  <c r="N52" i="66"/>
  <c r="Z52" i="66"/>
  <c r="H52" i="66"/>
  <c r="AF52" i="66"/>
  <c r="AH52" i="66"/>
  <c r="S52" i="66"/>
  <c r="M52" i="66"/>
  <c r="Y52" i="66"/>
  <c r="G52" i="66"/>
  <c r="AE52" i="66"/>
  <c r="AG52" i="66"/>
  <c r="R51" i="66"/>
  <c r="L51" i="66"/>
  <c r="X51" i="66"/>
  <c r="F51" i="66"/>
  <c r="AD51" i="66"/>
  <c r="T51" i="66"/>
  <c r="N51" i="66"/>
  <c r="Z51" i="66"/>
  <c r="H51" i="66"/>
  <c r="AF51" i="66"/>
  <c r="AH51" i="66"/>
  <c r="S51" i="66"/>
  <c r="M51" i="66"/>
  <c r="Y51" i="66"/>
  <c r="G51" i="66"/>
  <c r="AE51" i="66"/>
  <c r="AG51" i="66"/>
  <c r="R50" i="66"/>
  <c r="L50" i="66"/>
  <c r="X50" i="66"/>
  <c r="F50" i="66"/>
  <c r="AD50" i="66"/>
  <c r="T50" i="66"/>
  <c r="N50" i="66"/>
  <c r="Z50" i="66"/>
  <c r="H50" i="66"/>
  <c r="AF50" i="66"/>
  <c r="AH50" i="66"/>
  <c r="S50" i="66"/>
  <c r="M50" i="66"/>
  <c r="Y50" i="66"/>
  <c r="G50" i="66"/>
  <c r="AE50" i="66"/>
  <c r="AG50" i="66"/>
  <c r="R49" i="66"/>
  <c r="L49" i="66"/>
  <c r="X49" i="66"/>
  <c r="F49" i="66"/>
  <c r="AD49" i="66"/>
  <c r="T49" i="66"/>
  <c r="N49" i="66"/>
  <c r="Z49" i="66"/>
  <c r="H49" i="66"/>
  <c r="AF49" i="66"/>
  <c r="AH49" i="66"/>
  <c r="S49" i="66"/>
  <c r="M49" i="66"/>
  <c r="Y49" i="66"/>
  <c r="G49" i="66"/>
  <c r="AE49" i="66"/>
  <c r="AG49" i="66"/>
  <c r="R48" i="66"/>
  <c r="L48" i="66"/>
  <c r="X48" i="66"/>
  <c r="F48" i="66"/>
  <c r="AD48" i="66"/>
  <c r="T48" i="66"/>
  <c r="N48" i="66"/>
  <c r="Z48" i="66"/>
  <c r="H48" i="66"/>
  <c r="AF48" i="66"/>
  <c r="AH48" i="66"/>
  <c r="S48" i="66"/>
  <c r="M48" i="66"/>
  <c r="Y48" i="66"/>
  <c r="G48" i="66"/>
  <c r="AE48" i="66"/>
  <c r="AG48" i="66"/>
  <c r="R47" i="66"/>
  <c r="L47" i="66"/>
  <c r="X47" i="66"/>
  <c r="F47" i="66"/>
  <c r="AD47" i="66"/>
  <c r="T47" i="66"/>
  <c r="N47" i="66"/>
  <c r="Z47" i="66"/>
  <c r="H47" i="66"/>
  <c r="AF47" i="66"/>
  <c r="AH47" i="66"/>
  <c r="S47" i="66"/>
  <c r="M47" i="66"/>
  <c r="Y47" i="66"/>
  <c r="G47" i="66"/>
  <c r="AE47" i="66"/>
  <c r="AG47" i="66"/>
  <c r="R46" i="66"/>
  <c r="L46" i="66"/>
  <c r="X46" i="66"/>
  <c r="F46" i="66"/>
  <c r="AD46" i="66"/>
  <c r="T46" i="66"/>
  <c r="N46" i="66"/>
  <c r="Z46" i="66"/>
  <c r="H46" i="66"/>
  <c r="AF46" i="66"/>
  <c r="AH46" i="66"/>
  <c r="S46" i="66"/>
  <c r="M46" i="66"/>
  <c r="Y46" i="66"/>
  <c r="G46" i="66"/>
  <c r="AE46" i="66"/>
  <c r="AG46" i="66"/>
  <c r="R45" i="66"/>
  <c r="L45" i="66"/>
  <c r="X45" i="66"/>
  <c r="F45" i="66"/>
  <c r="AD45" i="66"/>
  <c r="T45" i="66"/>
  <c r="N45" i="66"/>
  <c r="Z45" i="66"/>
  <c r="H45" i="66"/>
  <c r="AF45" i="66"/>
  <c r="AH45" i="66"/>
  <c r="S45" i="66"/>
  <c r="M45" i="66"/>
  <c r="Y45" i="66"/>
  <c r="G45" i="66"/>
  <c r="AE45" i="66"/>
  <c r="AG45" i="66"/>
  <c r="R44" i="66"/>
  <c r="L44" i="66"/>
  <c r="X44" i="66"/>
  <c r="F44" i="66"/>
  <c r="AD44" i="66"/>
  <c r="T44" i="66"/>
  <c r="N44" i="66"/>
  <c r="Z44" i="66"/>
  <c r="H44" i="66"/>
  <c r="AF44" i="66"/>
  <c r="AH44" i="66"/>
  <c r="S44" i="66"/>
  <c r="M44" i="66"/>
  <c r="Y44" i="66"/>
  <c r="G44" i="66"/>
  <c r="AE44" i="66"/>
  <c r="AG44" i="66"/>
  <c r="R43" i="66"/>
  <c r="L43" i="66"/>
  <c r="X43" i="66"/>
  <c r="F43" i="66"/>
  <c r="AD43" i="66"/>
  <c r="T43" i="66"/>
  <c r="N43" i="66"/>
  <c r="Z43" i="66"/>
  <c r="H43" i="66"/>
  <c r="AF43" i="66"/>
  <c r="AH43" i="66"/>
  <c r="S43" i="66"/>
  <c r="M43" i="66"/>
  <c r="Y43" i="66"/>
  <c r="G43" i="66"/>
  <c r="AE43" i="66"/>
  <c r="AG43" i="66"/>
  <c r="R42" i="66"/>
  <c r="L42" i="66"/>
  <c r="X42" i="66"/>
  <c r="F42" i="66"/>
  <c r="AD42" i="66"/>
  <c r="T42" i="66"/>
  <c r="N42" i="66"/>
  <c r="Z42" i="66"/>
  <c r="H42" i="66"/>
  <c r="AF42" i="66"/>
  <c r="AH42" i="66"/>
  <c r="S42" i="66"/>
  <c r="M42" i="66"/>
  <c r="Y42" i="66"/>
  <c r="G42" i="66"/>
  <c r="AE42" i="66"/>
  <c r="AG42" i="66"/>
  <c r="R41" i="66"/>
  <c r="L41" i="66"/>
  <c r="X41" i="66"/>
  <c r="F41" i="66"/>
  <c r="AD41" i="66"/>
  <c r="T41" i="66"/>
  <c r="N41" i="66"/>
  <c r="Z41" i="66"/>
  <c r="H41" i="66"/>
  <c r="AF41" i="66"/>
  <c r="AH41" i="66"/>
  <c r="S41" i="66"/>
  <c r="M41" i="66"/>
  <c r="Y41" i="66"/>
  <c r="G41" i="66"/>
  <c r="AE41" i="66"/>
  <c r="AG41" i="66"/>
  <c r="R40" i="66"/>
  <c r="L40" i="66"/>
  <c r="X40" i="66"/>
  <c r="F40" i="66"/>
  <c r="AD40" i="66"/>
  <c r="T40" i="66"/>
  <c r="N40" i="66"/>
  <c r="Z40" i="66"/>
  <c r="H40" i="66"/>
  <c r="AF40" i="66"/>
  <c r="AH40" i="66"/>
  <c r="S40" i="66"/>
  <c r="M40" i="66"/>
  <c r="Y40" i="66"/>
  <c r="G40" i="66"/>
  <c r="AE40" i="66"/>
  <c r="AG40" i="66"/>
  <c r="R39" i="66"/>
  <c r="L39" i="66"/>
  <c r="X39" i="66"/>
  <c r="F39" i="66"/>
  <c r="AD39" i="66"/>
  <c r="T39" i="66"/>
  <c r="N39" i="66"/>
  <c r="Z39" i="66"/>
  <c r="H39" i="66"/>
  <c r="AF39" i="66"/>
  <c r="AH39" i="66"/>
  <c r="S39" i="66"/>
  <c r="M39" i="66"/>
  <c r="Y39" i="66"/>
  <c r="G39" i="66"/>
  <c r="AE39" i="66"/>
  <c r="AG39" i="66"/>
  <c r="R38" i="66"/>
  <c r="L38" i="66"/>
  <c r="X38" i="66"/>
  <c r="F38" i="66"/>
  <c r="AD38" i="66"/>
  <c r="T38" i="66"/>
  <c r="N38" i="66"/>
  <c r="Z38" i="66"/>
  <c r="H38" i="66"/>
  <c r="AF38" i="66"/>
  <c r="AH38" i="66"/>
  <c r="S38" i="66"/>
  <c r="M38" i="66"/>
  <c r="Y38" i="66"/>
  <c r="G38" i="66"/>
  <c r="AE38" i="66"/>
  <c r="AG38" i="66"/>
  <c r="R37" i="66"/>
  <c r="L37" i="66"/>
  <c r="X37" i="66"/>
  <c r="F37" i="66"/>
  <c r="AD37" i="66"/>
  <c r="T37" i="66"/>
  <c r="N37" i="66"/>
  <c r="Z37" i="66"/>
  <c r="H37" i="66"/>
  <c r="AF37" i="66"/>
  <c r="AH37" i="66"/>
  <c r="S37" i="66"/>
  <c r="M37" i="66"/>
  <c r="Y37" i="66"/>
  <c r="G37" i="66"/>
  <c r="AE37" i="66"/>
  <c r="AG37" i="66"/>
  <c r="R36" i="66"/>
  <c r="L36" i="66"/>
  <c r="X36" i="66"/>
  <c r="F36" i="66"/>
  <c r="AD36" i="66"/>
  <c r="T36" i="66"/>
  <c r="N36" i="66"/>
  <c r="Z36" i="66"/>
  <c r="H36" i="66"/>
  <c r="AF36" i="66"/>
  <c r="AH36" i="66"/>
  <c r="S36" i="66"/>
  <c r="M36" i="66"/>
  <c r="Y36" i="66"/>
  <c r="G36" i="66"/>
  <c r="AE36" i="66"/>
  <c r="AG36" i="66"/>
  <c r="R35" i="66"/>
  <c r="L35" i="66"/>
  <c r="X35" i="66"/>
  <c r="F35" i="66"/>
  <c r="AD35" i="66"/>
  <c r="T35" i="66"/>
  <c r="N35" i="66"/>
  <c r="Z35" i="66"/>
  <c r="H35" i="66"/>
  <c r="AF35" i="66"/>
  <c r="AH35" i="66"/>
  <c r="S35" i="66"/>
  <c r="M35" i="66"/>
  <c r="Y35" i="66"/>
  <c r="G35" i="66"/>
  <c r="AE35" i="66"/>
  <c r="AG35" i="66"/>
  <c r="R34" i="66"/>
  <c r="L34" i="66"/>
  <c r="X34" i="66"/>
  <c r="F34" i="66"/>
  <c r="AD34" i="66"/>
  <c r="T34" i="66"/>
  <c r="N34" i="66"/>
  <c r="Z34" i="66"/>
  <c r="H34" i="66"/>
  <c r="AF34" i="66"/>
  <c r="AH34" i="66"/>
  <c r="S34" i="66"/>
  <c r="M34" i="66"/>
  <c r="Y34" i="66"/>
  <c r="G34" i="66"/>
  <c r="AE34" i="66"/>
  <c r="AG34" i="66"/>
  <c r="R33" i="66"/>
  <c r="L33" i="66"/>
  <c r="X33" i="66"/>
  <c r="F33" i="66"/>
  <c r="AD33" i="66"/>
  <c r="T33" i="66"/>
  <c r="N33" i="66"/>
  <c r="Z33" i="66"/>
  <c r="H33" i="66"/>
  <c r="AF33" i="66"/>
  <c r="AH33" i="66"/>
  <c r="S33" i="66"/>
  <c r="M33" i="66"/>
  <c r="Y33" i="66"/>
  <c r="G33" i="66"/>
  <c r="AE33" i="66"/>
  <c r="AG33" i="66"/>
  <c r="R32" i="66"/>
  <c r="L32" i="66"/>
  <c r="X32" i="66"/>
  <c r="F32" i="66"/>
  <c r="AD32" i="66"/>
  <c r="T32" i="66"/>
  <c r="N32" i="66"/>
  <c r="Z32" i="66"/>
  <c r="H32" i="66"/>
  <c r="AF32" i="66"/>
  <c r="AH32" i="66"/>
  <c r="S32" i="66"/>
  <c r="M32" i="66"/>
  <c r="Y32" i="66"/>
  <c r="G32" i="66"/>
  <c r="AE32" i="66"/>
  <c r="AG32" i="66"/>
  <c r="R31" i="66"/>
  <c r="L31" i="66"/>
  <c r="X31" i="66"/>
  <c r="F31" i="66"/>
  <c r="AD31" i="66"/>
  <c r="T31" i="66"/>
  <c r="N31" i="66"/>
  <c r="Z31" i="66"/>
  <c r="H31" i="66"/>
  <c r="AF31" i="66"/>
  <c r="AH31" i="66"/>
  <c r="S31" i="66"/>
  <c r="M31" i="66"/>
  <c r="Y31" i="66"/>
  <c r="G31" i="66"/>
  <c r="AE31" i="66"/>
  <c r="AG31" i="66"/>
  <c r="R30" i="66"/>
  <c r="L30" i="66"/>
  <c r="X30" i="66"/>
  <c r="F30" i="66"/>
  <c r="AD30" i="66"/>
  <c r="T30" i="66"/>
  <c r="N30" i="66"/>
  <c r="Z30" i="66"/>
  <c r="H30" i="66"/>
  <c r="AF30" i="66"/>
  <c r="AH30" i="66"/>
  <c r="S30" i="66"/>
  <c r="M30" i="66"/>
  <c r="Y30" i="66"/>
  <c r="G30" i="66"/>
  <c r="AE30" i="66"/>
  <c r="AG30" i="66"/>
  <c r="R29" i="66"/>
  <c r="L29" i="66"/>
  <c r="X29" i="66"/>
  <c r="F29" i="66"/>
  <c r="AD29" i="66"/>
  <c r="T29" i="66"/>
  <c r="N29" i="66"/>
  <c r="Z29" i="66"/>
  <c r="H29" i="66"/>
  <c r="AF29" i="66"/>
  <c r="AH29" i="66"/>
  <c r="S29" i="66"/>
  <c r="M29" i="66"/>
  <c r="Y29" i="66"/>
  <c r="G29" i="66"/>
  <c r="AE29" i="66"/>
  <c r="AG29" i="66"/>
  <c r="R28" i="66"/>
  <c r="L28" i="66"/>
  <c r="X28" i="66"/>
  <c r="F28" i="66"/>
  <c r="AD28" i="66"/>
  <c r="T28" i="66"/>
  <c r="N28" i="66"/>
  <c r="Z28" i="66"/>
  <c r="H28" i="66"/>
  <c r="AF28" i="66"/>
  <c r="AH28" i="66"/>
  <c r="S28" i="66"/>
  <c r="M28" i="66"/>
  <c r="Y28" i="66"/>
  <c r="G28" i="66"/>
  <c r="AE28" i="66"/>
  <c r="AG28" i="66"/>
  <c r="R27" i="66"/>
  <c r="L27" i="66"/>
  <c r="X27" i="66"/>
  <c r="F27" i="66"/>
  <c r="AD27" i="66"/>
  <c r="T27" i="66"/>
  <c r="N27" i="66"/>
  <c r="Z27" i="66"/>
  <c r="H27" i="66"/>
  <c r="AF27" i="66"/>
  <c r="AH27" i="66"/>
  <c r="S27" i="66"/>
  <c r="M27" i="66"/>
  <c r="Y27" i="66"/>
  <c r="AE27" i="66"/>
  <c r="AG27" i="66"/>
  <c r="R26" i="66"/>
  <c r="L26" i="66"/>
  <c r="X26" i="66"/>
  <c r="F26" i="66"/>
  <c r="AD26" i="66"/>
  <c r="T26" i="66"/>
  <c r="N26" i="66"/>
  <c r="Z26" i="66"/>
  <c r="H26" i="66"/>
  <c r="AF26" i="66"/>
  <c r="AH26" i="66"/>
  <c r="S26" i="66"/>
  <c r="M26" i="66"/>
  <c r="Y26" i="66"/>
  <c r="G26" i="66"/>
  <c r="AE26" i="66"/>
  <c r="AG26" i="66"/>
  <c r="R25" i="66"/>
  <c r="L25" i="66"/>
  <c r="X25" i="66"/>
  <c r="F25" i="66"/>
  <c r="AD25" i="66"/>
  <c r="T25" i="66"/>
  <c r="N25" i="66"/>
  <c r="Z25" i="66"/>
  <c r="H25" i="66"/>
  <c r="AF25" i="66"/>
  <c r="AH25" i="66"/>
  <c r="S25" i="66"/>
  <c r="M25" i="66"/>
  <c r="Y25" i="66"/>
  <c r="G25" i="66"/>
  <c r="AE25" i="66"/>
  <c r="AG25" i="66"/>
  <c r="R17" i="66"/>
  <c r="R18" i="66"/>
  <c r="R19" i="66"/>
  <c r="R21" i="66"/>
  <c r="R23" i="66"/>
  <c r="R24" i="66"/>
  <c r="L17" i="66"/>
  <c r="L18" i="66"/>
  <c r="L19" i="66"/>
  <c r="L21" i="66"/>
  <c r="L23" i="66"/>
  <c r="L24" i="66"/>
  <c r="X24" i="66"/>
  <c r="F17" i="66"/>
  <c r="F18" i="66"/>
  <c r="F19" i="66"/>
  <c r="F21" i="66"/>
  <c r="F23" i="66"/>
  <c r="F24" i="66"/>
  <c r="AD24" i="66"/>
  <c r="T17" i="66"/>
  <c r="T18" i="66"/>
  <c r="T19" i="66"/>
  <c r="T21" i="66"/>
  <c r="T23" i="66"/>
  <c r="T24" i="66"/>
  <c r="N17" i="66"/>
  <c r="N18" i="66"/>
  <c r="N19" i="66"/>
  <c r="N21" i="66"/>
  <c r="N23" i="66"/>
  <c r="N24" i="66"/>
  <c r="Z24" i="66"/>
  <c r="H17" i="66"/>
  <c r="H18" i="66"/>
  <c r="H19" i="66"/>
  <c r="H21" i="66"/>
  <c r="H23" i="66"/>
  <c r="H24" i="66"/>
  <c r="AF24" i="66"/>
  <c r="AH24" i="66"/>
  <c r="S17" i="66"/>
  <c r="S18" i="66"/>
  <c r="S19" i="66"/>
  <c r="S21" i="66"/>
  <c r="S23" i="66"/>
  <c r="S24" i="66"/>
  <c r="M17" i="66"/>
  <c r="M18" i="66"/>
  <c r="M19" i="66"/>
  <c r="M21" i="66"/>
  <c r="M23" i="66"/>
  <c r="M24" i="66"/>
  <c r="Y24" i="66"/>
  <c r="G17" i="66"/>
  <c r="G18" i="66"/>
  <c r="G19" i="66"/>
  <c r="G21" i="66"/>
  <c r="G23" i="66"/>
  <c r="G24" i="66"/>
  <c r="AE24" i="66"/>
  <c r="AG24" i="66"/>
  <c r="X23" i="66"/>
  <c r="AD23" i="66"/>
  <c r="Z23" i="66"/>
  <c r="AF23" i="66"/>
  <c r="AH23" i="66"/>
  <c r="Y23" i="66"/>
  <c r="AE23" i="66"/>
  <c r="AG23" i="66"/>
  <c r="R22" i="66"/>
  <c r="L22" i="66"/>
  <c r="X22" i="66"/>
  <c r="F22" i="66"/>
  <c r="AD22" i="66"/>
  <c r="T22" i="66"/>
  <c r="N22" i="66"/>
  <c r="Z22" i="66"/>
  <c r="H22" i="66"/>
  <c r="AF22" i="66"/>
  <c r="AH22" i="66"/>
  <c r="S22" i="66"/>
  <c r="M22" i="66"/>
  <c r="Y22" i="66"/>
  <c r="G22" i="66"/>
  <c r="AE22" i="66"/>
  <c r="AG22" i="66"/>
  <c r="X21" i="66"/>
  <c r="AD21" i="66"/>
  <c r="Z21" i="66"/>
  <c r="AF21" i="66"/>
  <c r="AH21" i="66"/>
  <c r="Y21" i="66"/>
  <c r="AE21" i="66"/>
  <c r="AG21" i="66"/>
  <c r="R20" i="66"/>
  <c r="L20" i="66"/>
  <c r="X20" i="66"/>
  <c r="F20" i="66"/>
  <c r="AD20" i="66"/>
  <c r="T20" i="66"/>
  <c r="N20" i="66"/>
  <c r="Z20" i="66"/>
  <c r="H20" i="66"/>
  <c r="AF20" i="66"/>
  <c r="AH20" i="66"/>
  <c r="S20" i="66"/>
  <c r="M20" i="66"/>
  <c r="Y20" i="66"/>
  <c r="G20" i="66"/>
  <c r="AE20" i="66"/>
  <c r="AG20" i="66"/>
  <c r="X19" i="66"/>
  <c r="AD19" i="66"/>
  <c r="Z19" i="66"/>
  <c r="AF19" i="66"/>
  <c r="AH19" i="66"/>
  <c r="Y19" i="66"/>
  <c r="AE19" i="66"/>
  <c r="AG19" i="66"/>
  <c r="X18" i="66"/>
  <c r="AD18" i="66"/>
  <c r="Z18" i="66"/>
  <c r="AF18" i="66"/>
  <c r="AH18" i="66"/>
  <c r="Y18" i="66"/>
  <c r="AE18" i="66"/>
  <c r="AG18" i="66"/>
  <c r="X17" i="66"/>
  <c r="AD17" i="66"/>
  <c r="Z17" i="66"/>
  <c r="AF17" i="66"/>
  <c r="AH17" i="66"/>
  <c r="Y17" i="66"/>
  <c r="AE17" i="66"/>
  <c r="AG17" i="66"/>
  <c r="R16" i="66"/>
  <c r="L16" i="66"/>
  <c r="X16" i="66"/>
  <c r="F16" i="66"/>
  <c r="AD16" i="66"/>
  <c r="T16" i="66"/>
  <c r="N16" i="66"/>
  <c r="Z16" i="66"/>
  <c r="H16" i="66"/>
  <c r="AF16" i="66"/>
  <c r="AH16" i="66"/>
  <c r="S16" i="66"/>
  <c r="M16" i="66"/>
  <c r="Y16" i="66"/>
  <c r="G16" i="66"/>
  <c r="AE16" i="66"/>
  <c r="AG16" i="66"/>
  <c r="AD11" i="66"/>
  <c r="AH14" i="66"/>
  <c r="N14" i="66"/>
  <c r="AF14" i="66"/>
  <c r="M14" i="66"/>
  <c r="AE14" i="66"/>
  <c r="L14" i="66"/>
  <c r="AD14" i="66"/>
  <c r="N13" i="66"/>
  <c r="P13" i="66"/>
  <c r="AH13" i="66"/>
  <c r="M13" i="66"/>
  <c r="O13" i="66"/>
  <c r="AG13" i="66"/>
  <c r="AF13" i="66"/>
  <c r="AE13" i="66"/>
  <c r="L13" i="66"/>
  <c r="AD13" i="66"/>
  <c r="X11" i="66"/>
  <c r="O16" i="65"/>
  <c r="N16" i="65"/>
  <c r="M16" i="65"/>
  <c r="I44" i="65"/>
  <c r="H44" i="65"/>
  <c r="G44" i="65"/>
  <c r="O21" i="65"/>
  <c r="O22" i="65"/>
  <c r="N21" i="65"/>
  <c r="N22" i="65"/>
  <c r="M21" i="65"/>
  <c r="M22" i="65"/>
  <c r="I18" i="65"/>
  <c r="O18" i="65"/>
  <c r="O19" i="65"/>
  <c r="H18" i="65"/>
  <c r="N18" i="65"/>
  <c r="N19" i="65"/>
  <c r="G18" i="65"/>
  <c r="M18" i="65"/>
  <c r="M19" i="65"/>
  <c r="I19" i="65"/>
  <c r="H19" i="65"/>
  <c r="G19" i="65"/>
  <c r="AB59" i="66"/>
  <c r="AA59" i="66"/>
  <c r="V59" i="66"/>
  <c r="U59" i="66"/>
  <c r="P59" i="66"/>
  <c r="O59" i="66"/>
  <c r="J59" i="66"/>
  <c r="I59" i="66"/>
  <c r="AB58" i="66"/>
  <c r="AA58" i="66"/>
  <c r="V58" i="66"/>
  <c r="U58" i="66"/>
  <c r="P58" i="66"/>
  <c r="O58" i="66"/>
  <c r="J58" i="66"/>
  <c r="I58" i="66"/>
  <c r="AB57" i="66"/>
  <c r="AA57" i="66"/>
  <c r="V57" i="66"/>
  <c r="U57" i="66"/>
  <c r="P57" i="66"/>
  <c r="O57" i="66"/>
  <c r="J57" i="66"/>
  <c r="I57" i="66"/>
  <c r="AB56" i="66"/>
  <c r="AA56" i="66"/>
  <c r="V56" i="66"/>
  <c r="U56" i="66"/>
  <c r="P56" i="66"/>
  <c r="O56" i="66"/>
  <c r="J56" i="66"/>
  <c r="I56" i="66"/>
  <c r="AB55" i="66"/>
  <c r="AA55" i="66"/>
  <c r="V55" i="66"/>
  <c r="U55" i="66"/>
  <c r="P55" i="66"/>
  <c r="O55" i="66"/>
  <c r="J55" i="66"/>
  <c r="I55" i="66"/>
  <c r="AB54" i="66"/>
  <c r="AA54" i="66"/>
  <c r="V54" i="66"/>
  <c r="U54" i="66"/>
  <c r="P54" i="66"/>
  <c r="O54" i="66"/>
  <c r="J54" i="66"/>
  <c r="I54" i="66"/>
  <c r="AB53" i="66"/>
  <c r="AA53" i="66"/>
  <c r="V53" i="66"/>
  <c r="U53" i="66"/>
  <c r="P53" i="66"/>
  <c r="O53" i="66"/>
  <c r="J53" i="66"/>
  <c r="I53" i="66"/>
  <c r="AB52" i="66"/>
  <c r="AA52" i="66"/>
  <c r="V52" i="66"/>
  <c r="U52" i="66"/>
  <c r="P52" i="66"/>
  <c r="O52" i="66"/>
  <c r="J52" i="66"/>
  <c r="I52" i="66"/>
  <c r="AB51" i="66"/>
  <c r="AA51" i="66"/>
  <c r="V51" i="66"/>
  <c r="U51" i="66"/>
  <c r="P51" i="66"/>
  <c r="O51" i="66"/>
  <c r="J51" i="66"/>
  <c r="I51" i="66"/>
  <c r="AB50" i="66"/>
  <c r="AA50" i="66"/>
  <c r="V50" i="66"/>
  <c r="U50" i="66"/>
  <c r="P50" i="66"/>
  <c r="O50" i="66"/>
  <c r="J50" i="66"/>
  <c r="I50" i="66"/>
  <c r="AB49" i="66"/>
  <c r="AA49" i="66"/>
  <c r="V49" i="66"/>
  <c r="U49" i="66"/>
  <c r="P49" i="66"/>
  <c r="O49" i="66"/>
  <c r="J49" i="66"/>
  <c r="I49" i="66"/>
  <c r="AB48" i="66"/>
  <c r="AA48" i="66"/>
  <c r="V48" i="66"/>
  <c r="U48" i="66"/>
  <c r="P48" i="66"/>
  <c r="O48" i="66"/>
  <c r="J48" i="66"/>
  <c r="I48" i="66"/>
  <c r="AB47" i="66"/>
  <c r="AA47" i="66"/>
  <c r="V47" i="66"/>
  <c r="U47" i="66"/>
  <c r="P47" i="66"/>
  <c r="O47" i="66"/>
  <c r="J47" i="66"/>
  <c r="I47" i="66"/>
  <c r="AB46" i="66"/>
  <c r="AA46" i="66"/>
  <c r="V46" i="66"/>
  <c r="U46" i="66"/>
  <c r="P46" i="66"/>
  <c r="O46" i="66"/>
  <c r="J46" i="66"/>
  <c r="I46" i="66"/>
  <c r="AB45" i="66"/>
  <c r="AA45" i="66"/>
  <c r="V45" i="66"/>
  <c r="U45" i="66"/>
  <c r="P45" i="66"/>
  <c r="O45" i="66"/>
  <c r="J45" i="66"/>
  <c r="I45" i="66"/>
  <c r="AB44" i="66"/>
  <c r="AA44" i="66"/>
  <c r="V44" i="66"/>
  <c r="U44" i="66"/>
  <c r="P44" i="66"/>
  <c r="O44" i="66"/>
  <c r="J44" i="66"/>
  <c r="I44" i="66"/>
  <c r="AB43" i="66"/>
  <c r="AA43" i="66"/>
  <c r="V43" i="66"/>
  <c r="U43" i="66"/>
  <c r="P43" i="66"/>
  <c r="O43" i="66"/>
  <c r="J43" i="66"/>
  <c r="I43" i="66"/>
  <c r="AB42" i="66"/>
  <c r="AA42" i="66"/>
  <c r="V42" i="66"/>
  <c r="U42" i="66"/>
  <c r="P42" i="66"/>
  <c r="O42" i="66"/>
  <c r="J42" i="66"/>
  <c r="I42" i="66"/>
  <c r="AB41" i="66"/>
  <c r="AA41" i="66"/>
  <c r="V41" i="66"/>
  <c r="U41" i="66"/>
  <c r="P41" i="66"/>
  <c r="O41" i="66"/>
  <c r="J41" i="66"/>
  <c r="I41" i="66"/>
  <c r="AB40" i="66"/>
  <c r="AA40" i="66"/>
  <c r="V40" i="66"/>
  <c r="U40" i="66"/>
  <c r="P40" i="66"/>
  <c r="O40" i="66"/>
  <c r="J40" i="66"/>
  <c r="I40" i="66"/>
  <c r="AB39" i="66"/>
  <c r="AA39" i="66"/>
  <c r="V39" i="66"/>
  <c r="U39" i="66"/>
  <c r="P39" i="66"/>
  <c r="O39" i="66"/>
  <c r="J39" i="66"/>
  <c r="I39" i="66"/>
  <c r="AB38" i="66"/>
  <c r="AA38" i="66"/>
  <c r="V38" i="66"/>
  <c r="U38" i="66"/>
  <c r="P38" i="66"/>
  <c r="O38" i="66"/>
  <c r="J38" i="66"/>
  <c r="I38" i="66"/>
  <c r="AB37" i="66"/>
  <c r="AA37" i="66"/>
  <c r="V37" i="66"/>
  <c r="U37" i="66"/>
  <c r="P37" i="66"/>
  <c r="O37" i="66"/>
  <c r="J37" i="66"/>
  <c r="I37" i="66"/>
  <c r="AB36" i="66"/>
  <c r="AA36" i="66"/>
  <c r="V36" i="66"/>
  <c r="U36" i="66"/>
  <c r="P36" i="66"/>
  <c r="O36" i="66"/>
  <c r="J36" i="66"/>
  <c r="I36" i="66"/>
  <c r="AB35" i="66"/>
  <c r="AA35" i="66"/>
  <c r="V35" i="66"/>
  <c r="U35" i="66"/>
  <c r="P35" i="66"/>
  <c r="O35" i="66"/>
  <c r="J35" i="66"/>
  <c r="I35" i="66"/>
  <c r="AB34" i="66"/>
  <c r="AA34" i="66"/>
  <c r="V34" i="66"/>
  <c r="U34" i="66"/>
  <c r="P34" i="66"/>
  <c r="O34" i="66"/>
  <c r="J34" i="66"/>
  <c r="I34" i="66"/>
  <c r="AB33" i="66"/>
  <c r="AA33" i="66"/>
  <c r="V33" i="66"/>
  <c r="U33" i="66"/>
  <c r="P33" i="66"/>
  <c r="O33" i="66"/>
  <c r="J33" i="66"/>
  <c r="I33" i="66"/>
  <c r="AB32" i="66"/>
  <c r="AA32" i="66"/>
  <c r="V32" i="66"/>
  <c r="U32" i="66"/>
  <c r="P32" i="66"/>
  <c r="O32" i="66"/>
  <c r="J32" i="66"/>
  <c r="I32" i="66"/>
  <c r="AB31" i="66"/>
  <c r="AA31" i="66"/>
  <c r="V31" i="66"/>
  <c r="U31" i="66"/>
  <c r="P31" i="66"/>
  <c r="O31" i="66"/>
  <c r="J31" i="66"/>
  <c r="I31" i="66"/>
  <c r="AB30" i="66"/>
  <c r="AA30" i="66"/>
  <c r="V30" i="66"/>
  <c r="U30" i="66"/>
  <c r="P30" i="66"/>
  <c r="O30" i="66"/>
  <c r="J30" i="66"/>
  <c r="I30" i="66"/>
  <c r="AB29" i="66"/>
  <c r="AA29" i="66"/>
  <c r="V29" i="66"/>
  <c r="U29" i="66"/>
  <c r="P29" i="66"/>
  <c r="O29" i="66"/>
  <c r="J29" i="66"/>
  <c r="I29" i="66"/>
  <c r="AB28" i="66"/>
  <c r="AA28" i="66"/>
  <c r="V28" i="66"/>
  <c r="U28" i="66"/>
  <c r="P28" i="66"/>
  <c r="O28" i="66"/>
  <c r="J28" i="66"/>
  <c r="I28" i="66"/>
  <c r="AB27" i="66"/>
  <c r="AA27" i="66"/>
  <c r="V27" i="66"/>
  <c r="U27" i="66"/>
  <c r="P27" i="66"/>
  <c r="O27" i="66"/>
  <c r="J27" i="66"/>
  <c r="I27" i="66"/>
  <c r="AB26" i="66"/>
  <c r="AA26" i="66"/>
  <c r="V26" i="66"/>
  <c r="U26" i="66"/>
  <c r="P26" i="66"/>
  <c r="O26" i="66"/>
  <c r="J26" i="66"/>
  <c r="I26" i="66"/>
  <c r="AB25" i="66"/>
  <c r="AA25" i="66"/>
  <c r="V25" i="66"/>
  <c r="U25" i="66"/>
  <c r="P25" i="66"/>
  <c r="O25" i="66"/>
  <c r="J25" i="66"/>
  <c r="I25" i="66"/>
  <c r="V24" i="66"/>
  <c r="U24" i="66"/>
  <c r="AB23" i="66"/>
  <c r="AA23" i="66"/>
  <c r="V23" i="66"/>
  <c r="U23" i="66"/>
  <c r="P23" i="66"/>
  <c r="O23" i="66"/>
  <c r="J23" i="66"/>
  <c r="I23" i="66"/>
  <c r="AB22" i="66"/>
  <c r="AA22" i="66"/>
  <c r="V22" i="66"/>
  <c r="U22" i="66"/>
  <c r="P22" i="66"/>
  <c r="O22" i="66"/>
  <c r="J22" i="66"/>
  <c r="I22" i="66"/>
  <c r="AB21" i="66"/>
  <c r="AA21" i="66"/>
  <c r="V21" i="66"/>
  <c r="U21" i="66"/>
  <c r="P21" i="66"/>
  <c r="O21" i="66"/>
  <c r="J21" i="66"/>
  <c r="I21" i="66"/>
  <c r="AB20" i="66"/>
  <c r="AA20" i="66"/>
  <c r="V20" i="66"/>
  <c r="U20" i="66"/>
  <c r="P20" i="66"/>
  <c r="O20" i="66"/>
  <c r="J20" i="66"/>
  <c r="I20" i="66"/>
  <c r="AB19" i="66"/>
  <c r="AA19" i="66"/>
  <c r="V19" i="66"/>
  <c r="U19" i="66"/>
  <c r="P19" i="66"/>
  <c r="O19" i="66"/>
  <c r="J19" i="66"/>
  <c r="I19" i="66"/>
  <c r="AB18" i="66"/>
  <c r="AA18" i="66"/>
  <c r="V18" i="66"/>
  <c r="U18" i="66"/>
  <c r="P18" i="66"/>
  <c r="O18" i="66"/>
  <c r="J18" i="66"/>
  <c r="I18" i="66"/>
  <c r="AB17" i="66"/>
  <c r="AA17" i="66"/>
  <c r="V17" i="66"/>
  <c r="U17" i="66"/>
  <c r="P17" i="66"/>
  <c r="O17" i="66"/>
  <c r="J17" i="66"/>
  <c r="I17" i="66"/>
  <c r="AB16" i="66"/>
  <c r="AA16" i="66"/>
  <c r="V16" i="66"/>
  <c r="U16" i="66"/>
  <c r="P16" i="66"/>
  <c r="O16" i="66"/>
  <c r="J16" i="66"/>
  <c r="I16" i="66"/>
  <c r="K40" i="65"/>
  <c r="J40" i="65"/>
  <c r="K39" i="65"/>
  <c r="J39" i="65"/>
  <c r="K38" i="65"/>
  <c r="J38" i="65"/>
  <c r="K37" i="65"/>
  <c r="J37" i="65"/>
  <c r="K36" i="65"/>
  <c r="J36" i="65"/>
  <c r="K35" i="65"/>
  <c r="J35" i="65"/>
  <c r="K34" i="65"/>
  <c r="J34" i="65"/>
  <c r="K33" i="65"/>
  <c r="J33" i="65"/>
  <c r="K32" i="65"/>
  <c r="J32" i="65"/>
  <c r="K31" i="65"/>
  <c r="J31" i="65"/>
  <c r="K30" i="65"/>
  <c r="J30" i="65"/>
  <c r="K29" i="65"/>
  <c r="J29" i="65"/>
  <c r="K28" i="65"/>
  <c r="J28" i="65"/>
  <c r="K27" i="65"/>
  <c r="J27" i="65"/>
  <c r="K26" i="65"/>
  <c r="J26" i="65"/>
  <c r="K25" i="65"/>
  <c r="J25" i="65"/>
  <c r="K21" i="65"/>
  <c r="J21" i="65"/>
  <c r="K18" i="65"/>
  <c r="J18" i="65"/>
  <c r="K16" i="65"/>
  <c r="J16" i="65"/>
  <c r="D14" i="65"/>
  <c r="G12" i="65"/>
  <c r="M12" i="65"/>
  <c r="D38" i="65"/>
  <c r="D58" i="65"/>
  <c r="D37" i="65"/>
  <c r="D57" i="65"/>
  <c r="D36" i="65"/>
  <c r="D56" i="65"/>
  <c r="D35" i="65"/>
  <c r="D55" i="65"/>
  <c r="D34" i="65"/>
  <c r="D54" i="65"/>
  <c r="D33" i="65"/>
  <c r="D53" i="65"/>
  <c r="D32" i="65"/>
  <c r="D52" i="65"/>
  <c r="D31" i="65"/>
  <c r="D51" i="65"/>
  <c r="D30" i="65"/>
  <c r="D50" i="65"/>
  <c r="D29" i="65"/>
  <c r="D49" i="65"/>
  <c r="D28" i="65"/>
  <c r="D48" i="65"/>
  <c r="D27" i="65"/>
  <c r="D47" i="65"/>
  <c r="D26" i="65"/>
  <c r="D46" i="65"/>
  <c r="D25" i="65"/>
  <c r="D45" i="65"/>
  <c r="D43" i="65"/>
  <c r="D59" i="65"/>
  <c r="D44" i="65"/>
  <c r="I14" i="65"/>
  <c r="O14" i="65"/>
  <c r="H14" i="65"/>
  <c r="N14" i="65"/>
  <c r="G14" i="65"/>
  <c r="M14" i="65"/>
  <c r="I13" i="65"/>
  <c r="O13" i="65"/>
  <c r="H13" i="65"/>
  <c r="N13" i="65"/>
  <c r="G13" i="65"/>
  <c r="M13" i="65"/>
  <c r="D39" i="65"/>
  <c r="D22" i="65"/>
  <c r="D21" i="65"/>
  <c r="K13" i="65"/>
  <c r="J13" i="65"/>
  <c r="E9" i="61"/>
  <c r="E42" i="61"/>
  <c r="E52" i="61"/>
  <c r="F42" i="61"/>
  <c r="F52" i="61"/>
  <c r="G42" i="61"/>
  <c r="G52" i="61"/>
  <c r="D16" i="65"/>
  <c r="D13" i="65"/>
  <c r="D14" i="66"/>
  <c r="H13" i="66"/>
  <c r="H14" i="66"/>
  <c r="J13" i="66"/>
  <c r="AB13" i="66"/>
  <c r="G13" i="66"/>
  <c r="G14" i="66"/>
  <c r="I13" i="66"/>
  <c r="AA13" i="66"/>
  <c r="T13" i="66"/>
  <c r="T14" i="66"/>
  <c r="V13" i="66"/>
  <c r="S13" i="66"/>
  <c r="S14" i="66"/>
  <c r="U13" i="66"/>
  <c r="AB14" i="66"/>
  <c r="Z14" i="66"/>
  <c r="Y14" i="66"/>
  <c r="F14" i="66"/>
  <c r="X14" i="66"/>
  <c r="Z13" i="66"/>
  <c r="Y13" i="66"/>
  <c r="F13" i="66"/>
  <c r="X13" i="66"/>
  <c r="R14" i="66"/>
  <c r="R13" i="66"/>
  <c r="R11" i="66"/>
  <c r="T8" i="66"/>
  <c r="S8" i="66"/>
  <c r="R8" i="66"/>
  <c r="J24" i="66"/>
  <c r="I24" i="66"/>
  <c r="P24" i="66"/>
  <c r="O24" i="66"/>
  <c r="L11" i="66"/>
  <c r="N8" i="66"/>
  <c r="M8" i="66"/>
  <c r="L8" i="66"/>
  <c r="F11" i="66"/>
  <c r="H8" i="66"/>
  <c r="G8" i="66"/>
  <c r="F8" i="66"/>
  <c r="D24" i="66"/>
  <c r="D17" i="66"/>
  <c r="D18" i="66"/>
  <c r="D19" i="66"/>
  <c r="D20" i="66"/>
  <c r="D21" i="66"/>
  <c r="D22" i="66"/>
  <c r="D23" i="66"/>
  <c r="D25" i="66"/>
  <c r="D26" i="66"/>
  <c r="D27" i="66"/>
  <c r="D29" i="66"/>
  <c r="D28" i="66"/>
  <c r="D30" i="66"/>
  <c r="D31" i="66"/>
  <c r="D32" i="66"/>
  <c r="D33" i="66"/>
  <c r="D34" i="66"/>
  <c r="D35" i="66"/>
  <c r="D36" i="66"/>
  <c r="D37" i="66"/>
  <c r="D38" i="66"/>
  <c r="D39" i="66"/>
  <c r="D40" i="66"/>
  <c r="D41" i="66"/>
  <c r="D42" i="66"/>
  <c r="D43" i="66"/>
  <c r="D44" i="66"/>
  <c r="D45" i="66"/>
  <c r="D46" i="66"/>
  <c r="D47" i="66"/>
  <c r="D48" i="66"/>
  <c r="D49" i="66"/>
  <c r="D50" i="66"/>
  <c r="D51" i="66"/>
  <c r="D52" i="66"/>
  <c r="D53" i="66"/>
  <c r="D54" i="66"/>
  <c r="D55" i="66"/>
  <c r="D56" i="66"/>
  <c r="D57" i="66"/>
  <c r="D58" i="66"/>
  <c r="D59" i="66"/>
  <c r="D16" i="66"/>
  <c r="E43" i="61"/>
  <c r="E50" i="61"/>
  <c r="E54" i="61"/>
  <c r="E44" i="61"/>
  <c r="F44" i="61"/>
  <c r="F43" i="61"/>
  <c r="F50" i="61"/>
  <c r="F54" i="61"/>
  <c r="G44" i="61"/>
  <c r="G43" i="61"/>
  <c r="G50" i="61"/>
  <c r="G54" i="61"/>
  <c r="D19" i="65"/>
  <c r="F59" i="61"/>
  <c r="E59" i="61"/>
  <c r="G59" i="61"/>
  <c r="G58" i="61"/>
  <c r="E58" i="61"/>
  <c r="F58" i="61"/>
  <c r="G57" i="61"/>
  <c r="F57" i="61"/>
  <c r="E57" i="61"/>
  <c r="G56" i="61"/>
  <c r="F56" i="61"/>
  <c r="E56" i="61"/>
  <c r="E55" i="61"/>
  <c r="G55" i="61"/>
  <c r="F55" i="61"/>
  <c r="G51" i="61"/>
  <c r="F51" i="61"/>
  <c r="G49" i="61"/>
  <c r="F49" i="61"/>
  <c r="E49" i="61"/>
  <c r="G48" i="61"/>
  <c r="F48" i="61"/>
  <c r="E48" i="61"/>
  <c r="G47" i="61"/>
  <c r="F47" i="61"/>
  <c r="E47" i="61"/>
  <c r="G45" i="61"/>
  <c r="F45" i="61"/>
  <c r="E45" i="61"/>
  <c r="D13" i="66"/>
  <c r="G53" i="61"/>
  <c r="F53" i="61"/>
  <c r="E53" i="61"/>
  <c r="E51" i="61"/>
  <c r="D40" i="65"/>
  <c r="D18" i="65"/>
  <c r="I9" i="65"/>
  <c r="H9" i="65"/>
  <c r="G9" i="65"/>
</calcChain>
</file>

<file path=xl/sharedStrings.xml><?xml version="1.0" encoding="utf-8"?>
<sst xmlns="http://schemas.openxmlformats.org/spreadsheetml/2006/main" count="173" uniqueCount="119">
  <si>
    <t>AUD</t>
  </si>
  <si>
    <t>EUR</t>
  </si>
  <si>
    <t>Devise</t>
  </si>
  <si>
    <t>France</t>
  </si>
  <si>
    <t>USD</t>
  </si>
  <si>
    <t>Canada</t>
  </si>
  <si>
    <t>CAD</t>
  </si>
  <si>
    <t>GBP</t>
  </si>
  <si>
    <t>TOD France</t>
  </si>
  <si>
    <t>Portugal</t>
  </si>
  <si>
    <t>MAD</t>
  </si>
  <si>
    <t>CLP</t>
  </si>
  <si>
    <t>Eurolines</t>
  </si>
  <si>
    <t>SEK</t>
  </si>
  <si>
    <t>Connexxion NL</t>
  </si>
  <si>
    <t>VTNL</t>
  </si>
  <si>
    <t>Internorte</t>
  </si>
  <si>
    <t>Gaap</t>
  </si>
  <si>
    <t>Integration_Rate</t>
  </si>
  <si>
    <t>Activity</t>
  </si>
  <si>
    <t>Currency</t>
  </si>
  <si>
    <t>Legal_Organization</t>
  </si>
  <si>
    <t>CUBE:</t>
  </si>
  <si>
    <t>Management_Organization</t>
  </si>
  <si>
    <t>TX_CLOTURE</t>
  </si>
  <si>
    <t>TX_MOYEN</t>
  </si>
  <si>
    <t>Periode</t>
  </si>
  <si>
    <t>Phase</t>
  </si>
  <si>
    <t>Cube</t>
  </si>
  <si>
    <t>Sélection du contexte / Context selection</t>
  </si>
  <si>
    <t>Considered</t>
  </si>
  <si>
    <t>Reference 1</t>
  </si>
  <si>
    <t>N-1</t>
  </si>
  <si>
    <t>Period</t>
  </si>
  <si>
    <t>Activity 1</t>
  </si>
  <si>
    <t>Activity 2</t>
  </si>
  <si>
    <t>Activity 3</t>
  </si>
  <si>
    <t>United States</t>
  </si>
  <si>
    <t>Ireland</t>
  </si>
  <si>
    <t>United Kingdom</t>
  </si>
  <si>
    <t>Germany</t>
  </si>
  <si>
    <t>Finland</t>
  </si>
  <si>
    <t>Sweden</t>
  </si>
  <si>
    <t>Australia and New Zealand</t>
  </si>
  <si>
    <t>Spain</t>
  </si>
  <si>
    <t>Chile</t>
  </si>
  <si>
    <t>Morocco</t>
  </si>
  <si>
    <t>TPL10_dest</t>
  </si>
  <si>
    <t>All activity</t>
  </si>
  <si>
    <t>calc</t>
  </si>
  <si>
    <t>Country / Pays</t>
  </si>
  <si>
    <t>Currency / Devise</t>
  </si>
  <si>
    <t>Periods / Périodes</t>
  </si>
  <si>
    <t>Language / Langue</t>
  </si>
  <si>
    <t>Indicator</t>
  </si>
  <si>
    <t>On demand</t>
  </si>
  <si>
    <t>RAIL</t>
  </si>
  <si>
    <t>Transit</t>
  </si>
  <si>
    <t>tango_core_model:Report_PL</t>
  </si>
  <si>
    <t>Tot_Act</t>
  </si>
  <si>
    <t>TRANSDEV All</t>
  </si>
  <si>
    <t>North America</t>
  </si>
  <si>
    <t>Other Zone France entities</t>
  </si>
  <si>
    <t>Zone France</t>
  </si>
  <si>
    <t>Zone Ile de France</t>
  </si>
  <si>
    <t>Zone Nord</t>
  </si>
  <si>
    <t>Urbains Nord</t>
  </si>
  <si>
    <t>Zone Sud</t>
  </si>
  <si>
    <t>Urbains Sud</t>
  </si>
  <si>
    <t>Pôle Ferroviaire</t>
  </si>
  <si>
    <t>The Netherlands</t>
  </si>
  <si>
    <t>Other Netherlands entities</t>
  </si>
  <si>
    <t>United Kingdom and Ireland</t>
  </si>
  <si>
    <t>North Europe</t>
  </si>
  <si>
    <t>Asia</t>
  </si>
  <si>
    <t>Corporate Asia</t>
  </si>
  <si>
    <t>China</t>
  </si>
  <si>
    <t>Hong Kong</t>
  </si>
  <si>
    <t>India</t>
  </si>
  <si>
    <t>South Korea</t>
  </si>
  <si>
    <t>Australia</t>
  </si>
  <si>
    <t>New Zealand</t>
  </si>
  <si>
    <t>South Europe</t>
  </si>
  <si>
    <t>Colombia</t>
  </si>
  <si>
    <t>International Coaches</t>
  </si>
  <si>
    <t>TDV Corporate</t>
  </si>
  <si>
    <t>Israel</t>
  </si>
  <si>
    <t>TPL12_dest</t>
  </si>
  <si>
    <t>TPL13_dest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</si>
  <si>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</si>
  <si>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</si>
  <si>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</si>
  <si>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</si>
  <si>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</si>
  <si>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</si>
  <si>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</si>
  <si>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</si>
  <si>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PL0000_PU</t>
  </si>
  <si>
    <t>PL0000_RD</t>
  </si>
  <si>
    <t>PL0000_RM</t>
  </si>
  <si>
    <t>PL0000_SE</t>
  </si>
  <si>
    <t>PL0000_TD</t>
  </si>
  <si>
    <t>PL0000_TM</t>
  </si>
  <si>
    <t>PL0000_MGF</t>
  </si>
  <si>
    <t>PL0000_TPL13</t>
  </si>
  <si>
    <t>PL1310_XX</t>
  </si>
  <si>
    <t>English</t>
  </si>
  <si>
    <t>BUDG_VC_TOT</t>
  </si>
  <si>
    <t xml:space="preserve">SG&amp;A </t>
  </si>
  <si>
    <t xml:space="preserve">        NB : data are extracted in EUR and converted in local currency</t>
  </si>
  <si>
    <t>Détail par pays / detail per country</t>
  </si>
  <si>
    <t>Mise à jour des données / Refresh Data</t>
  </si>
  <si>
    <t>NA</t>
  </si>
  <si>
    <t>Urban</t>
  </si>
  <si>
    <t>Regional Coach</t>
  </si>
  <si>
    <t>Suburban</t>
  </si>
  <si>
    <t>Actual Month</t>
  </si>
  <si>
    <t>Prior Year</t>
  </si>
  <si>
    <t>ACT_TOT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</si>
</sst>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_);\(#,##0\)"/>
    <numFmt numFmtId="167" formatCode="#,##0.0"/>
    <numFmt numFmtId="168" formatCode="0.0%"/>
    <numFmt numFmtId="169" formatCode="_(* #,##0.0_%_);_(* \(#,##0.0_%\);_(* &quot; - &quot;_%_);_(@_)"/>
    <numFmt numFmtId="170" formatCode="_(* #,##0.0%_);_(* \(#,##0.0%\);_(* &quot; - &quot;\%_);_(@_)"/>
    <numFmt numFmtId="171" formatCode="_(* #,##0_);_(* \(#,##0\);_(* &quot; - &quot;_);_(@_)"/>
    <numFmt numFmtId="172" formatCode="_(* #,##0.0_);_(* \(#,##0.0\);_(* &quot; - &quot;_);_(@_)"/>
    <numFmt numFmtId="173" formatCode="_(* #,##0.00_);_(* \(#,##0.00\);_(* &quot; - &quot;_);_(@_)"/>
    <numFmt numFmtId="174" formatCode="_(* #,##0.000_);_(* \(#,##0.000\);_(* &quot; - &quot;_);_(@_)"/>
    <numFmt numFmtId="175" formatCode="#,##0;\(#,##0\);&quot;-&quot;"/>
    <numFmt numFmtId="176" formatCode="_-* #,##0_-;\-* #,##0_-;_-* &quot;-&quot;_-;_-@_-"/>
    <numFmt numFmtId="177" formatCode="#,##0.00;\(#,##0.00\)"/>
    <numFmt numFmtId="178" formatCode="###0.0%;\(###0.0%\)"/>
    <numFmt numFmtId="179" formatCode="[$-409]d/m/yy\ h:mm\ AM/PM;@"/>
    <numFmt numFmtId="180" formatCode="&quot;$&quot;\ \ \ #,##0;\(&quot;$&quot;\ \ \ #,##0\)"/>
    <numFmt numFmtId="181" formatCode="#,##0;\(#,##0\)"/>
    <numFmt numFmtId="182" formatCode="#,##0.0;\(#,##0.0\);\-"/>
    <numFmt numFmtId="183" formatCode="_-* #,##0.00\ _D_i_n_._-;\-* #,##0.00\ _D_i_n_._-;_-* &quot;-&quot;??\ _D_i_n_._-;_-@_-"/>
    <numFmt numFmtId="184" formatCode="_-* #,##0.00\ _F_-;\-* #,##0.00\ _F_-;_-* &quot;-&quot;??\ _F_-;_-@_-"/>
    <numFmt numFmtId="185" formatCode="_(&quot;$&quot;* #,##0.00_);_(&quot;$&quot;* \(#,##0.00\);_(&quot;$&quot;* &quot;-&quot;??_);_(@_)"/>
    <numFmt numFmtId="186" formatCode="_(* #,##0_);_(* \(#,##0\);_(* &quot;&quot;\ \-\ &quot;&quot;_);_(@_)"/>
    <numFmt numFmtId="187" formatCode="_(\ #,##0.0_%_);_(\ \(#,##0.0_%\);_(\ &quot; - &quot;_%_);_(@_)"/>
    <numFmt numFmtId="188" formatCode="_(\ #,##0.0%_);_(\ \(#,##0.0%\);_(\ &quot; - &quot;\%_);_(@_)"/>
    <numFmt numFmtId="189" formatCode="#,##0_);\(#,##0\);&quot; - &quot;_);@_)"/>
    <numFmt numFmtId="190" formatCode="\ #,##0.0_);\(#,##0.0\);&quot; - &quot;_);@_)"/>
    <numFmt numFmtId="191" formatCode="\ #,##0.00_);\(#,##0.00\);&quot; - &quot;_);@_)"/>
    <numFmt numFmtId="192" formatCode="\ #,##0.000_);\(#,##0.000\);&quot; - &quot;_);@_)"/>
    <numFmt numFmtId="193" formatCode="d\ mmmm\ yyyy"/>
    <numFmt numFmtId="194" formatCode="#,##0;[Red]\(#,##0\);0"/>
    <numFmt numFmtId="195" formatCode="#,##0.0_)\x;\(#,##0.0\)\x;#,##0.0_)\x;@_)_x"/>
    <numFmt numFmtId="196" formatCode="0.00;[Red]0.00"/>
    <numFmt numFmtId="197" formatCode="#,##0.0&quot; &quot;;\(#,##0.0\)&quot;&quot;;&quot;- &quot;"/>
    <numFmt numFmtId="198" formatCode="0.000"/>
    <numFmt numFmtId="199" formatCode="0.00000"/>
    <numFmt numFmtId="200" formatCode="0.0000"/>
  </numFmts>
  <fonts count="14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SWISS"/>
    </font>
    <font>
      <b/>
      <sz val="16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sz val="11"/>
      <color indexed="20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i/>
      <sz val="11"/>
      <color indexed="23"/>
      <name val="Calibri"/>
      <family val="2"/>
      <charset val="238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11"/>
      <color indexed="62"/>
      <name val="Calibri"/>
      <family val="2"/>
      <charset val="238"/>
    </font>
    <font>
      <sz val="11"/>
      <color indexed="52"/>
      <name val="Calibri"/>
      <family val="2"/>
      <charset val="238"/>
    </font>
    <font>
      <sz val="11"/>
      <color indexed="60"/>
      <name val="Calibri"/>
      <family val="2"/>
      <charset val="238"/>
    </font>
    <font>
      <b/>
      <sz val="11"/>
      <color indexed="63"/>
      <name val="Calibri"/>
      <family val="2"/>
      <charset val="238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56"/>
      <name val="Cambria"/>
      <family val="2"/>
      <charset val="238"/>
    </font>
    <font>
      <sz val="11"/>
      <color indexed="10"/>
      <name val="Calibri"/>
      <family val="2"/>
      <charset val="238"/>
    </font>
    <font>
      <b/>
      <sz val="14"/>
      <color indexed="32"/>
      <name val="Arial"/>
      <family val="2"/>
    </font>
    <font>
      <sz val="9"/>
      <name val="Calibri"/>
      <family val="2"/>
      <scheme val="minor"/>
    </font>
    <font>
      <b/>
      <sz val="14"/>
      <name val="Arial"/>
      <family val="2"/>
    </font>
    <font>
      <sz val="12"/>
      <name val="Times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sz val="10"/>
      <color indexed="32"/>
      <name val="Arial Narrow"/>
      <family val="2"/>
    </font>
    <font>
      <sz val="1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0"/>
      <color indexed="12"/>
      <name val="Times New Roman"/>
      <family val="1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b/>
      <sz val="11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EA0000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8"/>
      <name val="Calibri"/>
      <family val="2"/>
      <scheme val="minor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sz val="24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4D2D4"/>
        <bgColor indexed="64"/>
      </patternFill>
    </fill>
    <fill>
      <patternFill patternType="solid">
        <fgColor theme="6" tint="0.59999389629810485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D8D6D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AEAEA"/>
        <bgColor indexed="64"/>
      </patternFill>
    </fill>
    <fill>
      <gradientFill degree="90">
        <stop position="0">
          <color theme="0"/>
        </stop>
        <stop position="0.5">
          <color rgb="FFFF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0" tint="-0.24994659260841701"/>
      </left>
      <right style="medium">
        <color theme="1" tint="0.34998626667073579"/>
      </right>
      <top style="medium">
        <color theme="0" tint="-0.24994659260841701"/>
      </top>
      <bottom style="medium">
        <color theme="1" tint="0.34998626667073579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rgb="FFB5B8BF"/>
      </top>
      <bottom/>
      <diagonal/>
    </border>
    <border>
      <left/>
      <right/>
      <top style="thin">
        <color rgb="FFD00000"/>
      </top>
      <bottom style="thin">
        <color rgb="FFD00000"/>
      </bottom>
      <diagonal/>
    </border>
    <border>
      <left style="medium">
        <color rgb="FFB5B8BF"/>
      </left>
      <right/>
      <top style="medium">
        <color rgb="FFB5B8BF"/>
      </top>
      <bottom/>
      <diagonal/>
    </border>
    <border>
      <left/>
      <right style="medium">
        <color rgb="FFB5B8BF"/>
      </right>
      <top style="medium">
        <color rgb="FFB5B8BF"/>
      </top>
      <bottom/>
      <diagonal/>
    </border>
    <border>
      <left style="medium">
        <color rgb="FFB5B8BF"/>
      </left>
      <right/>
      <top/>
      <bottom style="medium">
        <color rgb="FFB5B8BF"/>
      </bottom>
      <diagonal/>
    </border>
    <border>
      <left/>
      <right/>
      <top/>
      <bottom style="medium">
        <color rgb="FFB5B8BF"/>
      </bottom>
      <diagonal/>
    </border>
    <border>
      <left/>
      <right style="medium">
        <color rgb="FFB5B8BF"/>
      </right>
      <top/>
      <bottom style="medium">
        <color rgb="FFB5B8BF"/>
      </bottom>
      <diagonal/>
    </border>
    <border>
      <left/>
      <right/>
      <top style="thin">
        <color rgb="FFD00000"/>
      </top>
      <bottom/>
      <diagonal/>
    </border>
  </borders>
  <cellStyleXfs count="490">
    <xf numFmtId="179" fontId="0" fillId="0" borderId="0"/>
    <xf numFmtId="179" fontId="9" fillId="0" borderId="0" applyFont="0" applyFill="0" applyBorder="0" applyAlignment="0" applyProtection="0"/>
    <xf numFmtId="179" fontId="13" fillId="0" borderId="0"/>
    <xf numFmtId="166" fontId="14" fillId="0" borderId="0"/>
    <xf numFmtId="179" fontId="12" fillId="0" borderId="0"/>
    <xf numFmtId="9" fontId="17" fillId="0" borderId="0" applyFont="0" applyFill="0" applyBorder="0" applyAlignment="0" applyProtection="0"/>
    <xf numFmtId="179" fontId="9" fillId="0" borderId="0"/>
    <xf numFmtId="179" fontId="19" fillId="8" borderId="0" applyNumberFormat="0" applyBorder="0" applyAlignment="0" applyProtection="0"/>
    <xf numFmtId="179" fontId="19" fillId="9" borderId="0" applyNumberFormat="0" applyBorder="0" applyAlignment="0" applyProtection="0"/>
    <xf numFmtId="179" fontId="19" fillId="10" borderId="0" applyNumberFormat="0" applyBorder="0" applyAlignment="0" applyProtection="0"/>
    <xf numFmtId="179" fontId="19" fillId="11" borderId="0" applyNumberFormat="0" applyBorder="0" applyAlignment="0" applyProtection="0"/>
    <xf numFmtId="179" fontId="19" fillId="12" borderId="0" applyNumberFormat="0" applyBorder="0" applyAlignment="0" applyProtection="0"/>
    <xf numFmtId="179" fontId="19" fillId="13" borderId="0" applyNumberFormat="0" applyBorder="0" applyAlignment="0" applyProtection="0"/>
    <xf numFmtId="179" fontId="19" fillId="14" borderId="0" applyNumberFormat="0" applyBorder="0" applyAlignment="0" applyProtection="0"/>
    <xf numFmtId="179" fontId="19" fillId="15" borderId="0" applyNumberFormat="0" applyBorder="0" applyAlignment="0" applyProtection="0"/>
    <xf numFmtId="179" fontId="19" fillId="16" borderId="0" applyNumberFormat="0" applyBorder="0" applyAlignment="0" applyProtection="0"/>
    <xf numFmtId="179" fontId="19" fillId="11" borderId="0" applyNumberFormat="0" applyBorder="0" applyAlignment="0" applyProtection="0"/>
    <xf numFmtId="179" fontId="19" fillId="14" borderId="0" applyNumberFormat="0" applyBorder="0" applyAlignment="0" applyProtection="0"/>
    <xf numFmtId="179" fontId="19" fillId="17" borderId="0" applyNumberFormat="0" applyBorder="0" applyAlignment="0" applyProtection="0"/>
    <xf numFmtId="179" fontId="20" fillId="18" borderId="0" applyNumberFormat="0" applyBorder="0" applyAlignment="0" applyProtection="0"/>
    <xf numFmtId="179" fontId="20" fillId="15" borderId="0" applyNumberFormat="0" applyBorder="0" applyAlignment="0" applyProtection="0"/>
    <xf numFmtId="179" fontId="20" fillId="16" borderId="0" applyNumberFormat="0" applyBorder="0" applyAlignment="0" applyProtection="0"/>
    <xf numFmtId="179" fontId="20" fillId="19" borderId="0" applyNumberFormat="0" applyBorder="0" applyAlignment="0" applyProtection="0"/>
    <xf numFmtId="179" fontId="20" fillId="20" borderId="0" applyNumberFormat="0" applyBorder="0" applyAlignment="0" applyProtection="0"/>
    <xf numFmtId="179" fontId="20" fillId="21" borderId="0" applyNumberFormat="0" applyBorder="0" applyAlignment="0" applyProtection="0"/>
    <xf numFmtId="179" fontId="21" fillId="9" borderId="0" applyNumberFormat="0" applyBorder="0" applyAlignment="0" applyProtection="0"/>
    <xf numFmtId="179" fontId="22" fillId="22" borderId="3" applyNumberFormat="0" applyAlignment="0" applyProtection="0"/>
    <xf numFmtId="179" fontId="23" fillId="23" borderId="4" applyNumberFormat="0" applyAlignment="0" applyProtection="0"/>
    <xf numFmtId="179" fontId="24" fillId="0" borderId="0" applyNumberFormat="0" applyFill="0" applyBorder="0" applyAlignment="0" applyProtection="0"/>
    <xf numFmtId="169" fontId="25" fillId="0" borderId="0">
      <alignment horizontal="right" vertical="top"/>
    </xf>
    <xf numFmtId="170" fontId="26" fillId="0" borderId="0">
      <alignment horizontal="right" vertical="top"/>
    </xf>
    <xf numFmtId="170" fontId="25" fillId="0" borderId="0">
      <alignment horizontal="right" vertical="top"/>
    </xf>
    <xf numFmtId="171" fontId="26" fillId="0" borderId="0" applyFill="0" applyBorder="0">
      <alignment horizontal="right" vertical="top"/>
    </xf>
    <xf numFmtId="172" fontId="26" fillId="0" borderId="0" applyFill="0" applyBorder="0">
      <alignment horizontal="right" vertical="top"/>
    </xf>
    <xf numFmtId="173" fontId="26" fillId="0" borderId="0" applyFill="0" applyBorder="0">
      <alignment horizontal="right" vertical="top"/>
    </xf>
    <xf numFmtId="174" fontId="26" fillId="0" borderId="0" applyFill="0" applyBorder="0">
      <alignment horizontal="right" vertical="top"/>
    </xf>
    <xf numFmtId="179" fontId="27" fillId="0" borderId="0">
      <alignment horizontal="center" wrapText="1"/>
    </xf>
    <xf numFmtId="175" fontId="28" fillId="0" borderId="0" applyFill="0" applyBorder="0">
      <alignment vertical="top"/>
    </xf>
    <xf numFmtId="175" fontId="29" fillId="0" borderId="0" applyFill="0" applyBorder="0" applyProtection="0">
      <alignment vertical="top"/>
    </xf>
    <xf numFmtId="175" fontId="30" fillId="0" borderId="0">
      <alignment vertical="top"/>
    </xf>
    <xf numFmtId="176" fontId="26" fillId="0" borderId="0" applyFill="0" applyBorder="0" applyAlignment="0" applyProtection="0">
      <alignment horizontal="right" vertical="top"/>
    </xf>
    <xf numFmtId="175" fontId="15" fillId="0" borderId="0"/>
    <xf numFmtId="179" fontId="26" fillId="0" borderId="0" applyFill="0" applyBorder="0">
      <alignment horizontal="left" vertical="top"/>
    </xf>
    <xf numFmtId="177" fontId="31" fillId="0" borderId="0"/>
    <xf numFmtId="178" fontId="31" fillId="0" borderId="0"/>
    <xf numFmtId="179" fontId="32" fillId="10" borderId="0" applyNumberFormat="0" applyBorder="0" applyAlignment="0" applyProtection="0"/>
    <xf numFmtId="179" fontId="33" fillId="0" borderId="5" applyNumberFormat="0" applyFill="0" applyAlignment="0" applyProtection="0"/>
    <xf numFmtId="179" fontId="34" fillId="0" borderId="6" applyNumberFormat="0" applyFill="0" applyAlignment="0" applyProtection="0"/>
    <xf numFmtId="179" fontId="35" fillId="0" borderId="7" applyNumberFormat="0" applyFill="0" applyAlignment="0" applyProtection="0"/>
    <xf numFmtId="179" fontId="35" fillId="0" borderId="0" applyNumberFormat="0" applyFill="0" applyBorder="0" applyAlignment="0" applyProtection="0"/>
    <xf numFmtId="179" fontId="36" fillId="13" borderId="3" applyNumberFormat="0" applyAlignment="0" applyProtection="0"/>
    <xf numFmtId="179" fontId="37" fillId="0" borderId="8" applyNumberFormat="0" applyFill="0" applyAlignment="0" applyProtection="0"/>
    <xf numFmtId="179" fontId="38" fillId="24" borderId="0" applyNumberFormat="0" applyBorder="0" applyAlignment="0" applyProtection="0"/>
    <xf numFmtId="179" fontId="13" fillId="0" borderId="0"/>
    <xf numFmtId="179" fontId="18" fillId="25" borderId="2" applyNumberFormat="0" applyFont="0" applyAlignment="0" applyProtection="0"/>
    <xf numFmtId="179" fontId="39" fillId="22" borderId="9" applyNumberFormat="0" applyAlignment="0" applyProtection="0"/>
    <xf numFmtId="179" fontId="40" fillId="0" borderId="0" applyNumberFormat="0" applyBorder="0" applyAlignment="0"/>
    <xf numFmtId="179" fontId="41" fillId="0" borderId="0" applyNumberFormat="0" applyBorder="0" applyAlignment="0"/>
    <xf numFmtId="179" fontId="42" fillId="0" borderId="0" applyNumberFormat="0" applyBorder="0" applyAlignment="0"/>
    <xf numFmtId="179" fontId="42" fillId="0" borderId="0" applyNumberFormat="0" applyBorder="0" applyAlignment="0"/>
    <xf numFmtId="179" fontId="43" fillId="0" borderId="0" applyNumberFormat="0" applyBorder="0" applyAlignment="0"/>
    <xf numFmtId="179" fontId="44" fillId="10" borderId="0" applyNumberFormat="0" applyBorder="0" applyAlignment="0"/>
    <xf numFmtId="179" fontId="45" fillId="10" borderId="0" applyNumberFormat="0" applyBorder="0" applyAlignment="0"/>
    <xf numFmtId="179" fontId="46" fillId="0" borderId="0" applyNumberFormat="0" applyBorder="0" applyAlignment="0"/>
    <xf numFmtId="179" fontId="46" fillId="0" borderId="0" applyNumberFormat="0" applyBorder="0" applyAlignment="0"/>
    <xf numFmtId="179" fontId="47" fillId="0" borderId="0" applyNumberFormat="0" applyFill="0" applyBorder="0" applyAlignment="0" applyProtection="0"/>
    <xf numFmtId="179" fontId="48" fillId="0" borderId="0" applyNumberFormat="0" applyFill="0" applyBorder="0" applyAlignment="0" applyProtection="0"/>
    <xf numFmtId="179" fontId="8" fillId="0" borderId="0"/>
    <xf numFmtId="0" fontId="9" fillId="0" borderId="0"/>
    <xf numFmtId="179" fontId="9" fillId="0" borderId="0"/>
    <xf numFmtId="0" fontId="9" fillId="0" borderId="0"/>
    <xf numFmtId="180" fontId="52" fillId="0" borderId="0" applyAlignment="0"/>
    <xf numFmtId="10" fontId="53" fillId="0" borderId="0"/>
    <xf numFmtId="9" fontId="54" fillId="0" borderId="0"/>
    <xf numFmtId="0" fontId="54" fillId="0" borderId="0"/>
    <xf numFmtId="10" fontId="54" fillId="0" borderId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181" fontId="54" fillId="0" borderId="0"/>
    <xf numFmtId="3" fontId="52" fillId="0" borderId="0"/>
    <xf numFmtId="2" fontId="52" fillId="0" borderId="0"/>
    <xf numFmtId="10" fontId="52" fillId="0" borderId="0" applyFont="0" applyBorder="0" applyAlignment="0">
      <alignment horizontal="centerContinuous"/>
    </xf>
    <xf numFmtId="0" fontId="55" fillId="0" borderId="13" applyFont="0" applyFill="0" applyBorder="0" applyAlignment="0" applyProtection="0"/>
    <xf numFmtId="181" fontId="54" fillId="0" borderId="0"/>
    <xf numFmtId="181" fontId="54" fillId="0" borderId="0"/>
    <xf numFmtId="181" fontId="54" fillId="0" borderId="0"/>
    <xf numFmtId="1" fontId="52" fillId="0" borderId="0" applyFont="0" applyAlignment="0">
      <alignment horizontal="centerContinuous"/>
    </xf>
    <xf numFmtId="0" fontId="56" fillId="0" borderId="11" applyFont="0">
      <alignment horizontal="centerContinuous"/>
    </xf>
    <xf numFmtId="0" fontId="57" fillId="0" borderId="0"/>
    <xf numFmtId="9" fontId="53" fillId="0" borderId="0"/>
    <xf numFmtId="0" fontId="53" fillId="0" borderId="0"/>
    <xf numFmtId="0" fontId="53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3" fillId="0" borderId="0"/>
    <xf numFmtId="0" fontId="53" fillId="0" borderId="0"/>
    <xf numFmtId="0" fontId="9" fillId="0" borderId="0"/>
    <xf numFmtId="0" fontId="54" fillId="0" borderId="0"/>
    <xf numFmtId="38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4" fillId="0" borderId="0"/>
    <xf numFmtId="0" fontId="56" fillId="0" borderId="11" applyNumberFormat="0" applyFill="0" applyAlignment="0" applyProtection="0"/>
    <xf numFmtId="0" fontId="58" fillId="0" borderId="11" applyNumberFormat="0" applyFont="0" applyFill="0" applyAlignment="0" applyProtection="0"/>
    <xf numFmtId="0" fontId="57" fillId="0" borderId="14"/>
    <xf numFmtId="0" fontId="54" fillId="0" borderId="11">
      <alignment horizontal="centerContinuous"/>
    </xf>
    <xf numFmtId="0" fontId="9" fillId="0" borderId="15" applyBorder="0">
      <alignment horizontal="centerContinuous"/>
    </xf>
    <xf numFmtId="0" fontId="54" fillId="0" borderId="0" applyFont="0" applyFill="0" applyBorder="0" applyAlignment="0" applyProtection="0"/>
    <xf numFmtId="0" fontId="60" fillId="0" borderId="0"/>
    <xf numFmtId="0" fontId="60" fillId="0" borderId="0"/>
    <xf numFmtId="0" fontId="60" fillId="0" borderId="0"/>
    <xf numFmtId="0" fontId="53" fillId="0" borderId="0"/>
    <xf numFmtId="0" fontId="60" fillId="0" borderId="0"/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60" fillId="0" borderId="0"/>
    <xf numFmtId="37" fontId="54" fillId="0" borderId="0">
      <alignment horizontal="center"/>
    </xf>
    <xf numFmtId="0" fontId="56" fillId="0" borderId="0"/>
    <xf numFmtId="182" fontId="9" fillId="0" borderId="0">
      <alignment horizontal="right" wrapText="1"/>
    </xf>
    <xf numFmtId="0" fontId="54" fillId="0" borderId="0"/>
    <xf numFmtId="0" fontId="61" fillId="0" borderId="0" applyFont="0" applyFill="0" applyBorder="0" applyAlignment="0" applyProtection="0"/>
    <xf numFmtId="40" fontId="61" fillId="0" borderId="0" applyFont="0" applyFill="0" applyBorder="0" applyAlignment="0" applyProtection="0"/>
    <xf numFmtId="183" fontId="9" fillId="0" borderId="0" applyFont="0" applyFill="0" applyBorder="0" applyAlignment="0" applyProtection="0"/>
    <xf numFmtId="184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62" fillId="0" borderId="0" applyFont="0" applyFill="0" applyBorder="0" applyAlignment="0" applyProtection="0"/>
    <xf numFmtId="185" fontId="9" fillId="0" borderId="0" applyFont="0" applyFill="0" applyBorder="0" applyAlignment="0" applyProtection="0"/>
    <xf numFmtId="49" fontId="63" fillId="27" borderId="0">
      <alignment vertical="center"/>
    </xf>
    <xf numFmtId="0" fontId="54" fillId="0" borderId="0" applyFont="0" applyFill="0" applyBorder="0" applyAlignment="0" applyProtection="0"/>
    <xf numFmtId="186" fontId="10" fillId="26" borderId="0">
      <alignment horizontal="right"/>
    </xf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9" fontId="64" fillId="0" borderId="0" applyNumberFormat="0" applyFill="0" applyBorder="0" applyProtection="0">
      <alignment horizontal="center" vertical="top"/>
    </xf>
    <xf numFmtId="187" fontId="65" fillId="0" borderId="0" applyBorder="0">
      <alignment horizontal="right" vertical="top"/>
    </xf>
    <xf numFmtId="188" fontId="64" fillId="0" borderId="0" applyBorder="0">
      <alignment horizontal="right" vertical="top"/>
    </xf>
    <xf numFmtId="188" fontId="65" fillId="0" borderId="0" applyBorder="0">
      <alignment horizontal="right" vertical="top"/>
    </xf>
    <xf numFmtId="189" fontId="64" fillId="0" borderId="0" applyFill="0" applyBorder="0">
      <alignment horizontal="right" vertical="top"/>
    </xf>
    <xf numFmtId="190" fontId="64" fillId="0" borderId="0" applyFill="0" applyBorder="0">
      <alignment horizontal="right" vertical="top"/>
    </xf>
    <xf numFmtId="191" fontId="64" fillId="0" borderId="0" applyFill="0" applyBorder="0">
      <alignment horizontal="right" vertical="top"/>
    </xf>
    <xf numFmtId="192" fontId="64" fillId="0" borderId="0" applyFill="0" applyBorder="0">
      <alignment horizontal="right" vertical="top"/>
    </xf>
    <xf numFmtId="0" fontId="66" fillId="0" borderId="16">
      <alignment horizontal="right"/>
    </xf>
    <xf numFmtId="0" fontId="27" fillId="0" borderId="0">
      <alignment horizontal="center" wrapText="1"/>
    </xf>
    <xf numFmtId="175" fontId="67" fillId="0" borderId="16">
      <alignment horizontal="left"/>
    </xf>
    <xf numFmtId="0" fontId="68" fillId="0" borderId="0">
      <alignment vertical="center"/>
    </xf>
    <xf numFmtId="193" fontId="68" fillId="0" borderId="0">
      <alignment horizontal="left" vertical="center"/>
    </xf>
    <xf numFmtId="194" fontId="69" fillId="0" borderId="0">
      <alignment vertical="center"/>
    </xf>
    <xf numFmtId="0" fontId="51" fillId="0" borderId="0">
      <alignment vertical="center"/>
    </xf>
    <xf numFmtId="175" fontId="67" fillId="0" borderId="16">
      <alignment horizontal="left"/>
    </xf>
    <xf numFmtId="175" fontId="64" fillId="0" borderId="0">
      <alignment horizontal="center"/>
    </xf>
    <xf numFmtId="175" fontId="70" fillId="0" borderId="16">
      <alignment horizontal="center"/>
    </xf>
    <xf numFmtId="176" fontId="64" fillId="0" borderId="16" applyFill="0" applyBorder="0" applyProtection="0">
      <alignment horizontal="right" vertical="top"/>
    </xf>
    <xf numFmtId="175" fontId="71" fillId="0" borderId="0"/>
    <xf numFmtId="175" fontId="49" fillId="0" borderId="0"/>
    <xf numFmtId="175" fontId="9" fillId="0" borderId="0"/>
    <xf numFmtId="175" fontId="72" fillId="0" borderId="0">
      <alignment horizontal="left" vertical="top"/>
    </xf>
    <xf numFmtId="0" fontId="64" fillId="0" borderId="0" applyFill="0" applyBorder="0">
      <alignment horizontal="left" vertical="top" wrapText="1"/>
    </xf>
    <xf numFmtId="0" fontId="26" fillId="0" borderId="0" applyFill="0" applyBorder="0">
      <alignment horizontal="left" vertical="top"/>
    </xf>
    <xf numFmtId="0" fontId="73" fillId="0" borderId="0">
      <alignment horizontal="left" vertical="top" wrapText="1"/>
    </xf>
    <xf numFmtId="0" fontId="74" fillId="0" borderId="0">
      <alignment horizontal="left" vertical="top" wrapText="1"/>
    </xf>
    <xf numFmtId="0" fontId="65" fillId="0" borderId="0">
      <alignment horizontal="left" vertical="top" wrapText="1"/>
    </xf>
    <xf numFmtId="0" fontId="75" fillId="0" borderId="0" applyNumberFormat="0" applyFill="0" applyBorder="0" applyAlignment="0" applyProtection="0"/>
    <xf numFmtId="0" fontId="63" fillId="28" borderId="0">
      <alignment horizontal="right" vertical="center"/>
    </xf>
    <xf numFmtId="0" fontId="9" fillId="29" borderId="0"/>
    <xf numFmtId="0" fontId="76" fillId="0" borderId="0" applyNumberFormat="0" applyFill="0" applyProtection="0">
      <alignment horizontal="left"/>
    </xf>
    <xf numFmtId="0" fontId="77" fillId="0" borderId="0" applyNumberFormat="0" applyFill="0" applyBorder="0" applyAlignment="0" applyProtection="0"/>
    <xf numFmtId="0" fontId="54" fillId="14" borderId="0" applyNumberFormat="0" applyFont="0" applyBorder="0" applyAlignment="0">
      <protection locked="0"/>
    </xf>
    <xf numFmtId="0" fontId="53" fillId="0" borderId="0" applyNumberFormat="0" applyFill="0" applyBorder="0" applyAlignment="0">
      <protection locked="0"/>
    </xf>
    <xf numFmtId="0" fontId="78" fillId="0" borderId="0" applyNumberFormat="0" applyFill="0" applyBorder="0" applyAlignment="0"/>
    <xf numFmtId="38" fontId="79" fillId="0" borderId="0"/>
    <xf numFmtId="38" fontId="80" fillId="0" borderId="0"/>
    <xf numFmtId="38" fontId="81" fillId="0" borderId="0"/>
    <xf numFmtId="38" fontId="82" fillId="0" borderId="0"/>
    <xf numFmtId="0" fontId="83" fillId="0" borderId="0"/>
    <xf numFmtId="0" fontId="83" fillId="0" borderId="0"/>
    <xf numFmtId="0" fontId="63" fillId="4" borderId="0">
      <alignment horizontal="right" vertical="center"/>
    </xf>
    <xf numFmtId="165" fontId="7" fillId="0" borderId="0" applyFont="0" applyFill="0" applyBorder="0" applyAlignment="0" applyProtection="0"/>
    <xf numFmtId="195" fontId="9" fillId="0" borderId="0" applyFont="0" applyFill="0" applyBorder="0" applyAlignment="0" applyProtection="0"/>
    <xf numFmtId="49" fontId="84" fillId="27" borderId="0">
      <alignment horizontal="centerContinuous" vertical="center"/>
    </xf>
    <xf numFmtId="0" fontId="85" fillId="0" borderId="0"/>
    <xf numFmtId="0" fontId="57" fillId="0" borderId="0">
      <alignment horizontal="left"/>
    </xf>
    <xf numFmtId="0" fontId="13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9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8" fillId="26" borderId="0">
      <alignment horizontal="left" vertical="top" wrapText="1"/>
    </xf>
    <xf numFmtId="10" fontId="54" fillId="0" borderId="10"/>
    <xf numFmtId="10" fontId="54" fillId="0" borderId="10"/>
    <xf numFmtId="10" fontId="54" fillId="0" borderId="10"/>
    <xf numFmtId="10" fontId="54" fillId="0" borderId="10"/>
    <xf numFmtId="49" fontId="89" fillId="0" borderId="11" applyFill="0" applyProtection="0">
      <alignment vertical="center"/>
    </xf>
    <xf numFmtId="0" fontId="57" fillId="0" borderId="0"/>
    <xf numFmtId="0" fontId="90" fillId="0" borderId="0"/>
    <xf numFmtId="9" fontId="58" fillId="0" borderId="0" applyFont="0" applyFill="0" applyBorder="0" applyAlignment="0" applyProtection="0"/>
    <xf numFmtId="0" fontId="91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2" fillId="0" borderId="0" applyFont="0" applyFill="0" applyBorder="0" applyAlignment="0" applyProtection="0"/>
    <xf numFmtId="0" fontId="93" fillId="0" borderId="0" applyFont="0" applyFill="0" applyBorder="0" applyAlignment="0" applyProtection="0">
      <alignment horizontal="center"/>
    </xf>
    <xf numFmtId="0" fontId="93" fillId="0" borderId="0" applyFont="0" applyFill="0" applyBorder="0" applyAlignment="0" applyProtection="0">
      <alignment horizontal="center"/>
    </xf>
    <xf numFmtId="0" fontId="93" fillId="0" borderId="0" applyFont="0" applyFill="0" applyBorder="0" applyAlignment="0" applyProtection="0">
      <alignment horizont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4" fillId="0" borderId="11"/>
    <xf numFmtId="10" fontId="57" fillId="0" borderId="1"/>
    <xf numFmtId="10" fontId="9" fillId="0" borderId="0"/>
    <xf numFmtId="2" fontId="54" fillId="0" borderId="0">
      <alignment horizontal="right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0"/>
    <xf numFmtId="0" fontId="95" fillId="0" borderId="13">
      <protection locked="0"/>
    </xf>
    <xf numFmtId="0" fontId="95" fillId="0" borderId="13">
      <protection locked="0"/>
    </xf>
    <xf numFmtId="0" fontId="95" fillId="0" borderId="13">
      <protection locked="0"/>
    </xf>
    <xf numFmtId="0" fontId="95" fillId="0" borderId="13">
      <protection locked="0"/>
    </xf>
    <xf numFmtId="0" fontId="95" fillId="0" borderId="13">
      <protection locked="0"/>
    </xf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6" fillId="0" borderId="0">
      <alignment horizontal="center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11" fillId="28" borderId="17" applyNumberFormat="0" applyProtection="0">
      <alignment horizontal="left" vertical="center" indent="1"/>
    </xf>
    <xf numFmtId="196" fontId="40" fillId="30" borderId="17" applyProtection="0">
      <alignment horizontal="right" vertical="center"/>
    </xf>
    <xf numFmtId="0" fontId="97" fillId="29" borderId="0" applyNumberFormat="0" applyFont="0" applyBorder="0" applyAlignment="0" applyProtection="0"/>
    <xf numFmtId="0" fontId="63" fillId="27" borderId="0">
      <alignment horizontal="right" vertical="center"/>
    </xf>
    <xf numFmtId="0" fontId="9" fillId="0" borderId="0"/>
    <xf numFmtId="0" fontId="9" fillId="0" borderId="0"/>
    <xf numFmtId="0" fontId="40" fillId="0" borderId="0" applyNumberFormat="0" applyBorder="0" applyAlignment="0"/>
    <xf numFmtId="0" fontId="41" fillId="0" borderId="0" applyNumberFormat="0" applyBorder="0" applyAlignment="0"/>
    <xf numFmtId="0" fontId="42" fillId="0" borderId="0" applyNumberFormat="0" applyBorder="0" applyAlignment="0"/>
    <xf numFmtId="0" fontId="42" fillId="0" borderId="0" applyNumberFormat="0" applyBorder="0" applyAlignment="0"/>
    <xf numFmtId="0" fontId="43" fillId="0" borderId="0" applyNumberFormat="0" applyBorder="0" applyAlignment="0"/>
    <xf numFmtId="0" fontId="44" fillId="10" borderId="0" applyNumberFormat="0" applyBorder="0" applyAlignment="0"/>
    <xf numFmtId="0" fontId="45" fillId="10" borderId="0" applyNumberFormat="0" applyBorder="0" applyAlignment="0"/>
    <xf numFmtId="0" fontId="46" fillId="0" borderId="0" applyNumberFormat="0" applyBorder="0" applyAlignment="0"/>
    <xf numFmtId="0" fontId="46" fillId="0" borderId="0" applyNumberFormat="0" applyBorder="0" applyAlignment="0"/>
    <xf numFmtId="0" fontId="56" fillId="0" borderId="11">
      <alignment horizontal="center"/>
    </xf>
    <xf numFmtId="0" fontId="56" fillId="0" borderId="11">
      <alignment horizontal="center"/>
    </xf>
    <xf numFmtId="0" fontId="56" fillId="0" borderId="11">
      <alignment horizontal="center"/>
    </xf>
    <xf numFmtId="0" fontId="56" fillId="0" borderId="11">
      <alignment horizontal="center"/>
    </xf>
    <xf numFmtId="0" fontId="56" fillId="0" borderId="11">
      <alignment horizontal="centerContinuous"/>
    </xf>
    <xf numFmtId="0" fontId="56" fillId="0" borderId="11">
      <alignment horizontal="centerContinuous"/>
    </xf>
    <xf numFmtId="0" fontId="56" fillId="0" borderId="11">
      <alignment horizontal="centerContinuous"/>
    </xf>
    <xf numFmtId="0" fontId="56" fillId="0" borderId="11">
      <alignment horizontal="centerContinuous"/>
    </xf>
    <xf numFmtId="0" fontId="56" fillId="0" borderId="11">
      <alignment horizontal="centerContinuous"/>
    </xf>
    <xf numFmtId="0" fontId="56" fillId="0" borderId="11">
      <alignment horizontal="center"/>
    </xf>
    <xf numFmtId="0" fontId="16" fillId="26" borderId="0"/>
    <xf numFmtId="0" fontId="10" fillId="26" borderId="0">
      <alignment horizontal="left"/>
    </xf>
    <xf numFmtId="0" fontId="10" fillId="26" borderId="0">
      <alignment horizontal="left" indent="1"/>
    </xf>
    <xf numFmtId="0" fontId="10" fillId="26" borderId="0">
      <alignment horizontal="left" vertical="center" indent="2"/>
    </xf>
    <xf numFmtId="0" fontId="98" fillId="0" borderId="18" applyNumberFormat="0" applyFill="0" applyBorder="0" applyAlignment="0" applyProtection="0">
      <alignment horizontal="left"/>
    </xf>
    <xf numFmtId="0" fontId="58" fillId="0" borderId="19" applyNumberFormat="0" applyFont="0" applyFill="0" applyAlignment="0" applyProtection="0"/>
    <xf numFmtId="0" fontId="99" fillId="0" borderId="0"/>
    <xf numFmtId="1" fontId="100" fillId="0" borderId="11">
      <alignment horizontal="center"/>
    </xf>
    <xf numFmtId="197" fontId="54" fillId="0" borderId="0" applyFont="0" applyFill="0" applyBorder="0" applyAlignment="0" applyProtection="0">
      <alignment horizontal="right" vertical="center"/>
    </xf>
    <xf numFmtId="0" fontId="9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87" fillId="8" borderId="0" applyNumberFormat="0" applyBorder="0" applyAlignment="0" applyProtection="0"/>
    <xf numFmtId="0" fontId="87" fillId="9" borderId="0" applyNumberFormat="0" applyBorder="0" applyAlignment="0" applyProtection="0"/>
    <xf numFmtId="0" fontId="87" fillId="10" borderId="0" applyNumberFormat="0" applyBorder="0" applyAlignment="0" applyProtection="0"/>
    <xf numFmtId="0" fontId="87" fillId="11" borderId="0" applyNumberFormat="0" applyBorder="0" applyAlignment="0" applyProtection="0"/>
    <xf numFmtId="0" fontId="87" fillId="12" borderId="0" applyNumberFormat="0" applyBorder="0" applyAlignment="0" applyProtection="0"/>
    <xf numFmtId="0" fontId="87" fillId="13" borderId="0" applyNumberFormat="0" applyBorder="0" applyAlignment="0" applyProtection="0"/>
    <xf numFmtId="0" fontId="87" fillId="14" borderId="0" applyNumberFormat="0" applyBorder="0" applyAlignment="0" applyProtection="0"/>
    <xf numFmtId="0" fontId="87" fillId="15" borderId="0" applyNumberFormat="0" applyBorder="0" applyAlignment="0" applyProtection="0"/>
    <xf numFmtId="0" fontId="87" fillId="16" borderId="0" applyNumberFormat="0" applyBorder="0" applyAlignment="0" applyProtection="0"/>
    <xf numFmtId="0" fontId="87" fillId="11" borderId="0" applyNumberFormat="0" applyBorder="0" applyAlignment="0" applyProtection="0"/>
    <xf numFmtId="0" fontId="87" fillId="14" borderId="0" applyNumberFormat="0" applyBorder="0" applyAlignment="0" applyProtection="0"/>
    <xf numFmtId="0" fontId="87" fillId="17" borderId="0" applyNumberFormat="0" applyBorder="0" applyAlignment="0" applyProtection="0"/>
    <xf numFmtId="183" fontId="9" fillId="0" borderId="0" applyFont="0" applyFill="0" applyBorder="0" applyAlignment="0" applyProtection="0"/>
    <xf numFmtId="184" fontId="9" fillId="0" borderId="0" applyFont="0" applyFill="0" applyBorder="0" applyAlignment="0" applyProtection="0"/>
    <xf numFmtId="0" fontId="9" fillId="25" borderId="2" applyNumberFormat="0" applyFont="0" applyAlignment="0" applyProtection="0"/>
    <xf numFmtId="164" fontId="9" fillId="0" borderId="0" applyFont="0" applyFill="0" applyBorder="0" applyAlignment="0" applyProtection="0"/>
    <xf numFmtId="187" fontId="65" fillId="0" borderId="0" applyBorder="0">
      <alignment horizontal="right" vertical="top"/>
    </xf>
    <xf numFmtId="188" fontId="64" fillId="0" borderId="0" applyBorder="0">
      <alignment horizontal="right" vertical="top"/>
    </xf>
    <xf numFmtId="188" fontId="65" fillId="0" borderId="0" applyBorder="0">
      <alignment horizontal="right" vertical="top"/>
    </xf>
    <xf numFmtId="189" fontId="64" fillId="0" borderId="0" applyFill="0" applyBorder="0">
      <alignment horizontal="right" vertical="top"/>
    </xf>
    <xf numFmtId="190" fontId="64" fillId="0" borderId="0" applyFill="0" applyBorder="0">
      <alignment horizontal="right" vertical="top"/>
    </xf>
    <xf numFmtId="191" fontId="64" fillId="0" borderId="0" applyFill="0" applyBorder="0">
      <alignment horizontal="right" vertical="top"/>
    </xf>
    <xf numFmtId="192" fontId="64" fillId="0" borderId="0" applyFill="0" applyBorder="0">
      <alignment horizontal="right" vertical="top"/>
    </xf>
    <xf numFmtId="0" fontId="66" fillId="0" borderId="16">
      <alignment horizontal="right"/>
    </xf>
    <xf numFmtId="176" fontId="64" fillId="0" borderId="16" applyFill="0" applyBorder="0" applyProtection="0">
      <alignment horizontal="right" vertical="top"/>
    </xf>
    <xf numFmtId="175" fontId="9" fillId="0" borderId="0"/>
    <xf numFmtId="0" fontId="64" fillId="0" borderId="0" applyFill="0" applyBorder="0">
      <alignment horizontal="left" vertical="top" wrapText="1"/>
    </xf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26" fillId="0" borderId="0"/>
    <xf numFmtId="0" fontId="9" fillId="0" borderId="0"/>
    <xf numFmtId="0" fontId="9" fillId="0" borderId="0"/>
    <xf numFmtId="0" fontId="9" fillId="0" borderId="0"/>
  </cellStyleXfs>
  <cellXfs count="209">
    <xf numFmtId="179" fontId="0" fillId="0" borderId="0" xfId="0"/>
    <xf numFmtId="179" fontId="50" fillId="0" borderId="0" xfId="0" applyFont="1" applyFill="1" applyBorder="1" applyAlignment="1">
      <alignment vertical="center"/>
    </xf>
    <xf numFmtId="179" fontId="103" fillId="32" borderId="0" xfId="0" applyFont="1" applyFill="1" applyBorder="1" applyAlignment="1">
      <alignment vertical="center"/>
    </xf>
    <xf numFmtId="179" fontId="103" fillId="0" borderId="0" xfId="0" applyFont="1" applyAlignment="1">
      <alignment vertical="center"/>
    </xf>
    <xf numFmtId="0" fontId="103" fillId="0" borderId="0" xfId="0" applyNumberFormat="1" applyFont="1" applyAlignment="1">
      <alignment vertical="center"/>
    </xf>
    <xf numFmtId="179" fontId="103" fillId="0" borderId="0" xfId="0" applyFont="1" applyAlignment="1">
      <alignment horizontal="right" vertical="center"/>
    </xf>
    <xf numFmtId="179" fontId="103" fillId="0" borderId="0" xfId="0" applyFont="1" applyFill="1" applyAlignment="1">
      <alignment horizontal="left"/>
    </xf>
    <xf numFmtId="179" fontId="103" fillId="32" borderId="0" xfId="0" applyFont="1" applyFill="1" applyBorder="1"/>
    <xf numFmtId="179" fontId="103" fillId="0" borderId="0" xfId="0" applyFont="1" applyFill="1"/>
    <xf numFmtId="179" fontId="104" fillId="32" borderId="0" xfId="0" applyFont="1" applyFill="1" applyBorder="1" applyAlignment="1">
      <alignment vertical="center"/>
    </xf>
    <xf numFmtId="179" fontId="104" fillId="0" borderId="0" xfId="0" applyFont="1" applyFill="1" applyAlignment="1">
      <alignment vertical="center"/>
    </xf>
    <xf numFmtId="179" fontId="101" fillId="0" borderId="0" xfId="0" applyFont="1" applyAlignment="1">
      <alignment horizontal="right"/>
    </xf>
    <xf numFmtId="179" fontId="103" fillId="0" borderId="0" xfId="0" applyFont="1"/>
    <xf numFmtId="0" fontId="105" fillId="0" borderId="0" xfId="0" applyNumberFormat="1" applyFont="1" applyAlignment="1">
      <alignment horizontal="center" vertical="center"/>
    </xf>
    <xf numFmtId="179" fontId="105" fillId="0" borderId="0" xfId="0" applyFont="1" applyAlignment="1">
      <alignment horizontal="center" vertical="center"/>
    </xf>
    <xf numFmtId="179" fontId="107" fillId="0" borderId="0" xfId="0" applyFont="1" applyAlignment="1">
      <alignment horizontal="right" vertical="center"/>
    </xf>
    <xf numFmtId="179" fontId="50" fillId="0" borderId="0" xfId="0" applyFont="1" applyFill="1" applyAlignment="1">
      <alignment vertical="center" wrapText="1"/>
    </xf>
    <xf numFmtId="0" fontId="50" fillId="0" borderId="0" xfId="0" applyNumberFormat="1" applyFont="1" applyFill="1" applyBorder="1" applyAlignment="1">
      <alignment horizontal="left" vertical="center" wrapText="1"/>
    </xf>
    <xf numFmtId="198" fontId="50" fillId="0" borderId="0" xfId="0" applyNumberFormat="1" applyFont="1" applyFill="1" applyBorder="1" applyAlignment="1">
      <alignment vertical="center"/>
    </xf>
    <xf numFmtId="179" fontId="50" fillId="0" borderId="0" xfId="0" applyFont="1" applyAlignment="1">
      <alignment vertical="center"/>
    </xf>
    <xf numFmtId="179" fontId="50" fillId="0" borderId="0" xfId="0" applyFont="1" applyFill="1" applyAlignment="1">
      <alignment vertical="center"/>
    </xf>
    <xf numFmtId="179" fontId="50" fillId="2" borderId="0" xfId="0" applyFont="1" applyFill="1" applyBorder="1" applyAlignment="1">
      <alignment horizontal="center" vertical="center" wrapText="1"/>
    </xf>
    <xf numFmtId="0" fontId="50" fillId="0" borderId="0" xfId="0" applyNumberFormat="1" applyFont="1" applyFill="1" applyBorder="1" applyAlignment="1">
      <alignment vertical="center" wrapText="1"/>
    </xf>
    <xf numFmtId="179" fontId="50" fillId="0" borderId="0" xfId="0" applyFont="1" applyBorder="1" applyAlignment="1">
      <alignment vertical="center"/>
    </xf>
    <xf numFmtId="198" fontId="50" fillId="6" borderId="0" xfId="0" applyNumberFormat="1" applyFont="1" applyFill="1" applyBorder="1" applyAlignment="1">
      <alignment vertical="center"/>
    </xf>
    <xf numFmtId="179" fontId="50" fillId="6" borderId="0" xfId="0" applyFont="1" applyFill="1" applyBorder="1" applyAlignment="1">
      <alignment vertical="center"/>
    </xf>
    <xf numFmtId="179" fontId="50" fillId="6" borderId="0" xfId="0" applyFont="1" applyFill="1" applyBorder="1" applyAlignment="1">
      <alignment vertical="center" wrapText="1"/>
    </xf>
    <xf numFmtId="0" fontId="50" fillId="6" borderId="0" xfId="0" applyNumberFormat="1" applyFont="1" applyFill="1" applyBorder="1" applyAlignment="1">
      <alignment horizontal="left" vertical="center" wrapText="1"/>
    </xf>
    <xf numFmtId="179" fontId="109" fillId="0" borderId="0" xfId="0" applyFont="1" applyBorder="1" applyAlignment="1">
      <alignment vertical="center"/>
    </xf>
    <xf numFmtId="199" fontId="50" fillId="6" borderId="0" xfId="0" applyNumberFormat="1" applyFont="1" applyFill="1" applyBorder="1" applyAlignment="1">
      <alignment vertical="center"/>
    </xf>
    <xf numFmtId="199" fontId="50" fillId="0" borderId="0" xfId="0" applyNumberFormat="1" applyFont="1" applyFill="1" applyBorder="1" applyAlignment="1">
      <alignment vertical="center"/>
    </xf>
    <xf numFmtId="199" fontId="50" fillId="6" borderId="0" xfId="0" applyNumberFormat="1" applyFont="1" applyFill="1" applyBorder="1" applyAlignment="1">
      <alignment horizontal="left" vertical="center" wrapText="1"/>
    </xf>
    <xf numFmtId="0" fontId="50" fillId="0" borderId="0" xfId="0" applyNumberFormat="1" applyFont="1" applyFill="1" applyBorder="1" applyAlignment="1">
      <alignment vertical="center"/>
    </xf>
    <xf numFmtId="179" fontId="50" fillId="0" borderId="0" xfId="0" applyFont="1" applyBorder="1" applyAlignment="1">
      <alignment vertical="center" wrapText="1"/>
    </xf>
    <xf numFmtId="199" fontId="50" fillId="0" borderId="0" xfId="0" applyNumberFormat="1" applyFont="1" applyBorder="1" applyAlignment="1">
      <alignment vertical="center"/>
    </xf>
    <xf numFmtId="179" fontId="112" fillId="0" borderId="0" xfId="0" applyFont="1" applyAlignment="1">
      <alignment vertical="center"/>
    </xf>
    <xf numFmtId="179" fontId="117" fillId="34" borderId="0" xfId="0" applyFont="1" applyFill="1" applyBorder="1" applyAlignment="1">
      <alignment vertical="center"/>
    </xf>
    <xf numFmtId="179" fontId="116" fillId="36" borderId="21" xfId="0" applyFont="1" applyFill="1" applyBorder="1" applyAlignment="1">
      <alignment horizontal="left" vertical="center" wrapText="1"/>
    </xf>
    <xf numFmtId="0" fontId="3" fillId="0" borderId="0" xfId="445" applyFill="1"/>
    <xf numFmtId="199" fontId="50" fillId="0" borderId="0" xfId="0" applyNumberFormat="1" applyFont="1" applyFill="1" applyAlignment="1">
      <alignment vertical="center"/>
    </xf>
    <xf numFmtId="0" fontId="119" fillId="0" borderId="0" xfId="0" applyNumberFormat="1" applyFont="1" applyFill="1" applyBorder="1" applyAlignment="1">
      <alignment vertical="center" wrapText="1"/>
    </xf>
    <xf numFmtId="0" fontId="119" fillId="0" borderId="0" xfId="0" applyNumberFormat="1" applyFont="1" applyFill="1" applyAlignment="1">
      <alignment vertical="center" wrapText="1"/>
    </xf>
    <xf numFmtId="0" fontId="119" fillId="6" borderId="0" xfId="0" applyNumberFormat="1" applyFont="1" applyFill="1" applyBorder="1" applyAlignment="1">
      <alignment horizontal="left" vertical="center" wrapText="1"/>
    </xf>
    <xf numFmtId="0" fontId="119" fillId="6" borderId="0" xfId="0" applyNumberFormat="1" applyFont="1" applyFill="1" applyAlignment="1">
      <alignment vertical="center" wrapText="1"/>
    </xf>
    <xf numFmtId="198" fontId="119" fillId="3" borderId="0" xfId="0" applyNumberFormat="1" applyFont="1" applyFill="1" applyBorder="1" applyAlignment="1">
      <alignment horizontal="center" vertical="center"/>
    </xf>
    <xf numFmtId="179" fontId="119" fillId="0" borderId="0" xfId="0" applyFont="1" applyFill="1" applyBorder="1" applyAlignment="1">
      <alignment vertical="center"/>
    </xf>
    <xf numFmtId="179" fontId="119" fillId="2" borderId="0" xfId="0" applyFont="1" applyFill="1" applyBorder="1" applyAlignment="1">
      <alignment horizontal="center" vertical="center" wrapText="1"/>
    </xf>
    <xf numFmtId="2" fontId="123" fillId="2" borderId="0" xfId="0" applyNumberFormat="1" applyFont="1" applyFill="1" applyBorder="1" applyAlignment="1">
      <alignment horizontal="center" vertical="center"/>
    </xf>
    <xf numFmtId="2" fontId="121" fillId="2" borderId="0" xfId="0" applyNumberFormat="1" applyFont="1" applyFill="1" applyBorder="1" applyAlignment="1">
      <alignment horizontal="center" vertical="center"/>
    </xf>
    <xf numFmtId="179" fontId="119" fillId="0" borderId="0" xfId="0" applyFont="1" applyBorder="1" applyAlignment="1">
      <alignment vertical="center"/>
    </xf>
    <xf numFmtId="199" fontId="119" fillId="0" borderId="0" xfId="0" applyNumberFormat="1" applyFont="1" applyFill="1" applyBorder="1" applyAlignment="1">
      <alignment vertical="center"/>
    </xf>
    <xf numFmtId="179" fontId="108" fillId="0" borderId="0" xfId="0" applyFont="1" applyBorder="1" applyAlignment="1">
      <alignment vertical="center"/>
    </xf>
    <xf numFmtId="167" fontId="109" fillId="37" borderId="21" xfId="0" applyNumberFormat="1" applyFont="1" applyFill="1" applyBorder="1" applyAlignment="1">
      <alignment vertical="center"/>
    </xf>
    <xf numFmtId="167" fontId="108" fillId="5" borderId="27" xfId="0" applyNumberFormat="1" applyFont="1" applyFill="1" applyBorder="1" applyAlignment="1">
      <alignment vertical="center"/>
    </xf>
    <xf numFmtId="179" fontId="2" fillId="0" borderId="0" xfId="0" applyFont="1" applyBorder="1" applyAlignment="1">
      <alignment horizontal="left" indent="3"/>
    </xf>
    <xf numFmtId="179" fontId="125" fillId="0" borderId="0" xfId="0" applyFont="1" applyBorder="1" applyAlignment="1">
      <alignment horizontal="right" indent="1"/>
    </xf>
    <xf numFmtId="0" fontId="110" fillId="0" borderId="0" xfId="0" applyNumberFormat="1" applyFont="1" applyFill="1" applyAlignment="1">
      <alignment vertical="center" wrapText="1"/>
    </xf>
    <xf numFmtId="200" fontId="114" fillId="0" borderId="0" xfId="0" applyNumberFormat="1" applyFont="1" applyFill="1" applyBorder="1" applyAlignment="1">
      <alignment horizontal="center" vertical="center" wrapText="1"/>
    </xf>
    <xf numFmtId="200" fontId="102" fillId="0" borderId="0" xfId="0" applyNumberFormat="1" applyFont="1" applyFill="1" applyBorder="1" applyAlignment="1">
      <alignment horizontal="center" vertical="center" wrapText="1"/>
    </xf>
    <xf numFmtId="200" fontId="118" fillId="0" borderId="0" xfId="0" applyNumberFormat="1" applyFont="1" applyFill="1" applyBorder="1" applyAlignment="1">
      <alignment horizontal="center" vertical="center" wrapText="1"/>
    </xf>
    <xf numFmtId="200" fontId="115" fillId="0" borderId="0" xfId="0" applyNumberFormat="1" applyFont="1" applyFill="1" applyBorder="1" applyAlignment="1">
      <alignment horizontal="center" vertical="center" wrapText="1"/>
    </xf>
    <xf numFmtId="200" fontId="106" fillId="2" borderId="0" xfId="0" applyNumberFormat="1" applyFont="1" applyFill="1" applyBorder="1" applyAlignment="1">
      <alignment horizontal="center" vertical="center"/>
    </xf>
    <xf numFmtId="200" fontId="111" fillId="2" borderId="0" xfId="0" applyNumberFormat="1" applyFont="1" applyFill="1" applyBorder="1" applyAlignment="1">
      <alignment horizontal="center" vertical="center"/>
    </xf>
    <xf numFmtId="200" fontId="109" fillId="36" borderId="0" xfId="0" applyNumberFormat="1" applyFont="1" applyFill="1" applyBorder="1" applyAlignment="1">
      <alignment horizontal="center" vertical="center" wrapText="1"/>
    </xf>
    <xf numFmtId="200" fontId="119" fillId="3" borderId="0" xfId="0" applyNumberFormat="1" applyFont="1" applyFill="1" applyBorder="1" applyAlignment="1">
      <alignment horizontal="center" vertical="center"/>
    </xf>
    <xf numFmtId="200" fontId="122" fillId="2" borderId="0" xfId="0" applyNumberFormat="1" applyFont="1" applyFill="1" applyBorder="1" applyAlignment="1">
      <alignment horizontal="center" vertical="center"/>
    </xf>
    <xf numFmtId="200" fontId="123" fillId="2" borderId="0" xfId="0" applyNumberFormat="1" applyFont="1" applyFill="1" applyBorder="1" applyAlignment="1">
      <alignment horizontal="center" vertical="center"/>
    </xf>
    <xf numFmtId="200" fontId="121" fillId="2" borderId="0" xfId="0" applyNumberFormat="1" applyFont="1" applyFill="1" applyBorder="1" applyAlignment="1">
      <alignment horizontal="center" vertical="center"/>
    </xf>
    <xf numFmtId="200" fontId="50" fillId="0" borderId="0" xfId="0" applyNumberFormat="1" applyFont="1" applyAlignment="1">
      <alignment vertical="center"/>
    </xf>
    <xf numFmtId="200" fontId="111" fillId="0" borderId="0" xfId="0" applyNumberFormat="1" applyFont="1" applyAlignment="1">
      <alignment vertical="center"/>
    </xf>
    <xf numFmtId="200" fontId="50" fillId="34" borderId="0" xfId="0" applyNumberFormat="1" applyFont="1" applyFill="1" applyBorder="1" applyAlignment="1">
      <alignment vertical="center"/>
    </xf>
    <xf numFmtId="200" fontId="106" fillId="34" borderId="0" xfId="0" applyNumberFormat="1" applyFont="1" applyFill="1" applyBorder="1" applyAlignment="1">
      <alignment vertical="center"/>
    </xf>
    <xf numFmtId="200" fontId="106" fillId="34" borderId="0" xfId="0" applyNumberFormat="1" applyFont="1" applyFill="1" applyBorder="1" applyAlignment="1">
      <alignment horizontal="left" vertical="center" wrapText="1"/>
    </xf>
    <xf numFmtId="200" fontId="50" fillId="34" borderId="0" xfId="0" applyNumberFormat="1" applyFont="1" applyFill="1" applyBorder="1" applyAlignment="1">
      <alignment horizontal="left" vertical="center"/>
    </xf>
    <xf numFmtId="179" fontId="50" fillId="38" borderId="0" xfId="0" applyFont="1" applyFill="1" applyBorder="1" applyAlignment="1">
      <alignment vertical="center"/>
    </xf>
    <xf numFmtId="0" fontId="119" fillId="38" borderId="0" xfId="0" applyNumberFormat="1" applyFont="1" applyFill="1" applyBorder="1" applyAlignment="1">
      <alignment vertical="center" wrapText="1"/>
    </xf>
    <xf numFmtId="199" fontId="119" fillId="38" borderId="0" xfId="0" applyNumberFormat="1" applyFont="1" applyFill="1" applyBorder="1" applyAlignment="1">
      <alignment vertical="center"/>
    </xf>
    <xf numFmtId="0" fontId="110" fillId="0" borderId="0" xfId="0" applyNumberFormat="1" applyFont="1" applyFill="1" applyAlignment="1">
      <alignment horizontal="left" vertical="center" wrapText="1"/>
    </xf>
    <xf numFmtId="179" fontId="110" fillId="0" borderId="0" xfId="0" applyNumberFormat="1" applyFont="1" applyFill="1" applyAlignment="1">
      <alignment horizontal="left" vertical="center" wrapText="1"/>
    </xf>
    <xf numFmtId="3" fontId="50" fillId="6" borderId="0" xfId="0" applyNumberFormat="1" applyFont="1" applyFill="1" applyBorder="1" applyAlignment="1">
      <alignment horizontal="left" vertical="center"/>
    </xf>
    <xf numFmtId="3" fontId="50" fillId="0" borderId="0" xfId="0" applyNumberFormat="1" applyFont="1" applyFill="1" applyBorder="1" applyAlignment="1">
      <alignment vertical="center" wrapText="1"/>
    </xf>
    <xf numFmtId="3" fontId="50" fillId="0" borderId="0" xfId="0" applyNumberFormat="1" applyFont="1" applyFill="1" applyBorder="1" applyAlignment="1">
      <alignment vertical="center"/>
    </xf>
    <xf numFmtId="3" fontId="50" fillId="0" borderId="0" xfId="0" applyNumberFormat="1" applyFont="1" applyBorder="1" applyAlignment="1">
      <alignment vertical="center"/>
    </xf>
    <xf numFmtId="3" fontId="50" fillId="0" borderId="0" xfId="0" applyNumberFormat="1" applyFont="1" applyAlignment="1">
      <alignment vertical="center"/>
    </xf>
    <xf numFmtId="3" fontId="111" fillId="0" borderId="0" xfId="0" applyNumberFormat="1" applyFont="1" applyAlignment="1">
      <alignment vertical="center"/>
    </xf>
    <xf numFmtId="179" fontId="127" fillId="0" borderId="0" xfId="0" applyFont="1" applyFill="1" applyBorder="1" applyAlignment="1">
      <alignment horizontal="center" vertical="center" wrapText="1"/>
    </xf>
    <xf numFmtId="0" fontId="119" fillId="0" borderId="0" xfId="0" applyNumberFormat="1" applyFont="1" applyFill="1" applyBorder="1" applyAlignment="1">
      <alignment horizontal="left" vertical="center" wrapText="1"/>
    </xf>
    <xf numFmtId="198" fontId="119" fillId="6" borderId="0" xfId="0" applyNumberFormat="1" applyFont="1" applyFill="1" applyBorder="1" applyAlignment="1">
      <alignment vertical="center"/>
    </xf>
    <xf numFmtId="199" fontId="119" fillId="6" borderId="0" xfId="0" applyNumberFormat="1" applyFont="1" applyFill="1" applyBorder="1" applyAlignment="1">
      <alignment vertical="center"/>
    </xf>
    <xf numFmtId="199" fontId="119" fillId="6" borderId="0" xfId="0" applyNumberFormat="1" applyFont="1" applyFill="1" applyBorder="1" applyAlignment="1">
      <alignment horizontal="left" vertical="center" wrapText="1"/>
    </xf>
    <xf numFmtId="0" fontId="110" fillId="0" borderId="0" xfId="0" applyNumberFormat="1" applyFont="1" applyFill="1" applyAlignment="1">
      <alignment horizontal="right" vertical="center" wrapText="1"/>
    </xf>
    <xf numFmtId="3" fontId="109" fillId="36" borderId="21" xfId="0" applyNumberFormat="1" applyFont="1" applyFill="1" applyBorder="1" applyAlignment="1">
      <alignment horizontal="left" vertical="center" wrapText="1"/>
    </xf>
    <xf numFmtId="179" fontId="119" fillId="0" borderId="0" xfId="0" applyFont="1" applyAlignment="1">
      <alignment vertical="center"/>
    </xf>
    <xf numFmtId="179" fontId="128" fillId="0" borderId="0" xfId="0" applyFont="1" applyFill="1" applyBorder="1" applyAlignment="1">
      <alignment horizontal="left" vertical="center" wrapText="1"/>
    </xf>
    <xf numFmtId="179" fontId="119" fillId="0" borderId="0" xfId="0" applyFont="1" applyAlignment="1">
      <alignment vertical="center" wrapText="1"/>
    </xf>
    <xf numFmtId="179" fontId="119" fillId="0" borderId="0" xfId="0" applyFont="1" applyFill="1" applyAlignment="1">
      <alignment vertical="center" wrapText="1"/>
    </xf>
    <xf numFmtId="2" fontId="119" fillId="0" borderId="0" xfId="0" applyNumberFormat="1" applyFont="1" applyFill="1" applyBorder="1" applyAlignment="1">
      <alignment horizontal="center" vertical="center" wrapText="1"/>
    </xf>
    <xf numFmtId="2" fontId="129" fillId="0" borderId="0" xfId="0" applyNumberFormat="1" applyFont="1" applyFill="1" applyBorder="1" applyAlignment="1">
      <alignment horizontal="center" vertical="center" wrapText="1"/>
    </xf>
    <xf numFmtId="2" fontId="130" fillId="0" borderId="0" xfId="0" applyNumberFormat="1" applyFont="1" applyFill="1" applyBorder="1" applyAlignment="1">
      <alignment horizontal="center" vertical="center" wrapText="1"/>
    </xf>
    <xf numFmtId="179" fontId="119" fillId="6" borderId="0" xfId="0" applyFont="1" applyFill="1" applyBorder="1" applyAlignment="1">
      <alignment vertical="center"/>
    </xf>
    <xf numFmtId="0" fontId="119" fillId="0" borderId="0" xfId="0" applyNumberFormat="1" applyFont="1" applyFill="1" applyBorder="1" applyAlignment="1">
      <alignment horizontal="center" vertical="center" wrapText="1"/>
    </xf>
    <xf numFmtId="0" fontId="123" fillId="0" borderId="0" xfId="0" applyNumberFormat="1" applyFont="1" applyFill="1" applyBorder="1" applyAlignment="1">
      <alignment horizontal="center" vertical="center" wrapText="1"/>
    </xf>
    <xf numFmtId="0" fontId="122" fillId="0" borderId="0" xfId="0" applyNumberFormat="1" applyFont="1" applyFill="1" applyBorder="1" applyAlignment="1">
      <alignment horizontal="center" vertical="center" wrapText="1"/>
    </xf>
    <xf numFmtId="179" fontId="9" fillId="0" borderId="0" xfId="0" applyFont="1"/>
    <xf numFmtId="179" fontId="9" fillId="0" borderId="0" xfId="0" applyFont="1" applyBorder="1"/>
    <xf numFmtId="179" fontId="131" fillId="0" borderId="0" xfId="0" applyFont="1" applyBorder="1"/>
    <xf numFmtId="179" fontId="119" fillId="6" borderId="0" xfId="0" applyFont="1" applyFill="1" applyBorder="1" applyAlignment="1">
      <alignment vertical="center" wrapText="1"/>
    </xf>
    <xf numFmtId="179" fontId="119" fillId="0" borderId="0" xfId="0" applyFont="1" applyFill="1" applyBorder="1" applyAlignment="1">
      <alignment vertical="center" wrapText="1"/>
    </xf>
    <xf numFmtId="198" fontId="119" fillId="0" borderId="0" xfId="0" applyNumberFormat="1" applyFont="1" applyFill="1" applyBorder="1" applyAlignment="1">
      <alignment vertical="center"/>
    </xf>
    <xf numFmtId="198" fontId="123" fillId="6" borderId="0" xfId="0" applyNumberFormat="1" applyFont="1" applyFill="1" applyBorder="1" applyAlignment="1">
      <alignment vertical="center"/>
    </xf>
    <xf numFmtId="198" fontId="119" fillId="0" borderId="0" xfId="0" applyNumberFormat="1" applyFont="1" applyFill="1" applyAlignment="1">
      <alignment vertical="center"/>
    </xf>
    <xf numFmtId="198" fontId="123" fillId="6" borderId="0" xfId="0" applyNumberFormat="1" applyFont="1" applyFill="1" applyBorder="1" applyAlignment="1">
      <alignment horizontal="left" vertical="center" wrapText="1"/>
    </xf>
    <xf numFmtId="0" fontId="119" fillId="0" borderId="0" xfId="0" applyNumberFormat="1" applyFont="1" applyFill="1" applyAlignment="1">
      <alignment vertical="center"/>
    </xf>
    <xf numFmtId="0" fontId="119" fillId="0" borderId="0" xfId="0" applyNumberFormat="1" applyFont="1" applyFill="1" applyBorder="1" applyAlignment="1">
      <alignment vertical="center"/>
    </xf>
    <xf numFmtId="199" fontId="119" fillId="0" borderId="0" xfId="0" applyNumberFormat="1" applyFont="1" applyAlignment="1">
      <alignment vertical="center"/>
    </xf>
    <xf numFmtId="199" fontId="123" fillId="6" borderId="0" xfId="0" applyNumberFormat="1" applyFont="1" applyFill="1" applyBorder="1" applyAlignment="1">
      <alignment vertical="center"/>
    </xf>
    <xf numFmtId="199" fontId="119" fillId="0" borderId="0" xfId="0" applyNumberFormat="1" applyFont="1" applyFill="1" applyBorder="1" applyAlignment="1">
      <alignment horizontal="left" vertical="center" wrapText="1"/>
    </xf>
    <xf numFmtId="179" fontId="119" fillId="0" borderId="0" xfId="0" applyFont="1" applyFill="1" applyAlignment="1">
      <alignment vertical="center"/>
    </xf>
    <xf numFmtId="179" fontId="119" fillId="0" borderId="0" xfId="0" applyFont="1" applyFill="1" applyBorder="1" applyAlignment="1">
      <alignment horizontal="center" vertical="center" wrapText="1"/>
    </xf>
    <xf numFmtId="3" fontId="108" fillId="6" borderId="0" xfId="0" applyNumberFormat="1" applyFont="1" applyFill="1" applyBorder="1" applyAlignment="1">
      <alignment vertical="center"/>
    </xf>
    <xf numFmtId="3" fontId="109" fillId="0" borderId="0" xfId="0" applyNumberFormat="1" applyFont="1" applyFill="1" applyBorder="1" applyAlignment="1">
      <alignment vertical="center" wrapText="1"/>
    </xf>
    <xf numFmtId="3" fontId="109" fillId="0" borderId="0" xfId="0" applyNumberFormat="1" applyFont="1" applyFill="1" applyBorder="1" applyAlignment="1">
      <alignment horizontal="left" vertical="center" wrapText="1"/>
    </xf>
    <xf numFmtId="3" fontId="109" fillId="36" borderId="21" xfId="0" applyNumberFormat="1" applyFont="1" applyFill="1" applyBorder="1" applyAlignment="1">
      <alignment vertical="center"/>
    </xf>
    <xf numFmtId="3" fontId="109" fillId="0" borderId="0" xfId="0" applyNumberFormat="1" applyFont="1" applyBorder="1" applyAlignment="1">
      <alignment vertical="center"/>
    </xf>
    <xf numFmtId="3" fontId="119" fillId="6" borderId="0" xfId="0" applyNumberFormat="1" applyFont="1" applyFill="1" applyBorder="1" applyAlignment="1">
      <alignment horizontal="left" vertical="center"/>
    </xf>
    <xf numFmtId="3" fontId="119" fillId="0" borderId="0" xfId="0" applyNumberFormat="1" applyFont="1" applyFill="1" applyBorder="1" applyAlignment="1">
      <alignment vertical="center" wrapText="1"/>
    </xf>
    <xf numFmtId="3" fontId="119" fillId="0" borderId="0" xfId="0" applyNumberFormat="1" applyFont="1" applyFill="1" applyBorder="1" applyAlignment="1">
      <alignment vertical="center"/>
    </xf>
    <xf numFmtId="3" fontId="119" fillId="0" borderId="0" xfId="0" applyNumberFormat="1" applyFont="1" applyBorder="1" applyAlignment="1">
      <alignment vertical="center"/>
    </xf>
    <xf numFmtId="179" fontId="121" fillId="0" borderId="0" xfId="0" applyFont="1" applyAlignment="1">
      <alignment vertical="center"/>
    </xf>
    <xf numFmtId="179" fontId="121" fillId="0" borderId="0" xfId="0" applyFont="1" applyBorder="1" applyAlignment="1">
      <alignment vertical="center"/>
    </xf>
    <xf numFmtId="179" fontId="133" fillId="34" borderId="0" xfId="0" applyFont="1" applyFill="1" applyBorder="1" applyAlignment="1">
      <alignment vertical="center"/>
    </xf>
    <xf numFmtId="0" fontId="128" fillId="0" borderId="0" xfId="0" applyNumberFormat="1" applyFont="1" applyFill="1" applyBorder="1" applyAlignment="1">
      <alignment vertical="center" wrapText="1"/>
    </xf>
    <xf numFmtId="168" fontId="128" fillId="0" borderId="0" xfId="5" applyNumberFormat="1" applyFont="1" applyFill="1" applyBorder="1" applyAlignment="1">
      <alignment vertical="center"/>
    </xf>
    <xf numFmtId="167" fontId="128" fillId="0" borderId="0" xfId="0" applyNumberFormat="1" applyFont="1" applyFill="1" applyBorder="1" applyAlignment="1">
      <alignment vertical="center"/>
    </xf>
    <xf numFmtId="179" fontId="128" fillId="0" borderId="0" xfId="0" applyFont="1" applyFill="1" applyBorder="1" applyAlignment="1">
      <alignment vertical="center"/>
    </xf>
    <xf numFmtId="0" fontId="134" fillId="0" borderId="0" xfId="0" applyNumberFormat="1" applyFont="1" applyFill="1" applyBorder="1" applyAlignment="1">
      <alignment vertical="center" wrapText="1"/>
    </xf>
    <xf numFmtId="0" fontId="134" fillId="0" borderId="0" xfId="0" applyNumberFormat="1" applyFont="1" applyFill="1" applyAlignment="1">
      <alignment vertical="center" wrapText="1"/>
    </xf>
    <xf numFmtId="3" fontId="114" fillId="0" borderId="0" xfId="0" applyNumberFormat="1" applyFont="1" applyFill="1" applyBorder="1" applyAlignment="1">
      <alignment horizontal="center" vertical="center" wrapText="1"/>
    </xf>
    <xf numFmtId="3" fontId="102" fillId="0" borderId="0" xfId="0" applyNumberFormat="1" applyFont="1" applyFill="1" applyBorder="1" applyAlignment="1">
      <alignment horizontal="center" vertical="center" wrapText="1"/>
    </xf>
    <xf numFmtId="3" fontId="118" fillId="0" borderId="0" xfId="0" applyNumberFormat="1" applyFont="1" applyFill="1" applyBorder="1" applyAlignment="1">
      <alignment horizontal="center" vertical="center" wrapText="1"/>
    </xf>
    <xf numFmtId="3" fontId="50" fillId="0" borderId="0" xfId="0" applyNumberFormat="1" applyFont="1" applyBorder="1" applyAlignment="1">
      <alignment vertical="center" wrapText="1"/>
    </xf>
    <xf numFmtId="3" fontId="115" fillId="0" borderId="0" xfId="0" applyNumberFormat="1" applyFont="1" applyFill="1" applyBorder="1" applyAlignment="1">
      <alignment horizontal="center" vertical="center" wrapText="1"/>
    </xf>
    <xf numFmtId="3" fontId="50" fillId="6" borderId="0" xfId="0" applyNumberFormat="1" applyFont="1" applyFill="1" applyBorder="1" applyAlignment="1">
      <alignment vertical="center"/>
    </xf>
    <xf numFmtId="3" fontId="106" fillId="6" borderId="0" xfId="0" applyNumberFormat="1" applyFont="1" applyFill="1" applyBorder="1" applyAlignment="1">
      <alignment vertical="center"/>
    </xf>
    <xf numFmtId="3" fontId="106" fillId="6" borderId="0" xfId="0" applyNumberFormat="1" applyFont="1" applyFill="1" applyBorder="1" applyAlignment="1">
      <alignment horizontal="left" vertical="center" wrapText="1"/>
    </xf>
    <xf numFmtId="3" fontId="106" fillId="2" borderId="0" xfId="0" applyNumberFormat="1" applyFont="1" applyFill="1" applyBorder="1" applyAlignment="1">
      <alignment horizontal="center" vertical="center"/>
    </xf>
    <xf numFmtId="3" fontId="111" fillId="2" borderId="0" xfId="0" applyNumberFormat="1" applyFont="1" applyFill="1" applyBorder="1" applyAlignment="1">
      <alignment horizontal="center" vertical="center"/>
    </xf>
    <xf numFmtId="3" fontId="109" fillId="36" borderId="0" xfId="0" applyNumberFormat="1" applyFont="1" applyFill="1" applyBorder="1" applyAlignment="1">
      <alignment horizontal="center" vertical="center" wrapText="1"/>
    </xf>
    <xf numFmtId="3" fontId="119" fillId="3" borderId="0" xfId="0" applyNumberFormat="1" applyFont="1" applyFill="1" applyBorder="1" applyAlignment="1">
      <alignment horizontal="center" vertical="center"/>
    </xf>
    <xf numFmtId="3" fontId="122" fillId="2" borderId="0" xfId="0" applyNumberFormat="1" applyFont="1" applyFill="1" applyBorder="1" applyAlignment="1">
      <alignment horizontal="center" vertical="center"/>
    </xf>
    <xf numFmtId="3" fontId="123" fillId="2" borderId="0" xfId="0" applyNumberFormat="1" applyFont="1" applyFill="1" applyBorder="1" applyAlignment="1">
      <alignment horizontal="center" vertical="center"/>
    </xf>
    <xf numFmtId="3" fontId="121" fillId="2" borderId="0" xfId="0" applyNumberFormat="1" applyFont="1" applyFill="1" applyBorder="1" applyAlignment="1">
      <alignment horizontal="center" vertical="center"/>
    </xf>
    <xf numFmtId="3" fontId="109" fillId="37" borderId="21" xfId="0" applyNumberFormat="1" applyFont="1" applyFill="1" applyBorder="1" applyAlignment="1">
      <alignment vertical="center"/>
    </xf>
    <xf numFmtId="3" fontId="110" fillId="37" borderId="21" xfId="0" applyNumberFormat="1" applyFont="1" applyFill="1" applyBorder="1" applyAlignment="1">
      <alignment vertical="center"/>
    </xf>
    <xf numFmtId="3" fontId="108" fillId="5" borderId="27" xfId="0" applyNumberFormat="1" applyFont="1" applyFill="1" applyBorder="1" applyAlignment="1">
      <alignment vertical="center"/>
    </xf>
    <xf numFmtId="3" fontId="124" fillId="5" borderId="27" xfId="0" applyNumberFormat="1" applyFont="1" applyFill="1" applyBorder="1" applyAlignment="1">
      <alignment vertical="center"/>
    </xf>
    <xf numFmtId="3" fontId="108" fillId="0" borderId="0" xfId="0" applyNumberFormat="1" applyFont="1" applyBorder="1" applyAlignment="1">
      <alignment vertical="center"/>
    </xf>
    <xf numFmtId="3" fontId="110" fillId="7" borderId="21" xfId="0" applyNumberFormat="1" applyFont="1" applyFill="1" applyBorder="1" applyAlignment="1">
      <alignment vertical="center"/>
    </xf>
    <xf numFmtId="3" fontId="119" fillId="39" borderId="0" xfId="0" applyNumberFormat="1" applyFont="1" applyFill="1" applyBorder="1" applyAlignment="1">
      <alignment horizontal="right" vertical="center" wrapText="1"/>
    </xf>
    <xf numFmtId="3" fontId="119" fillId="39" borderId="0" xfId="0" applyNumberFormat="1" applyFont="1" applyFill="1" applyBorder="1" applyAlignment="1">
      <alignment horizontal="right" vertical="center"/>
    </xf>
    <xf numFmtId="168" fontId="119" fillId="39" borderId="0" xfId="5" applyNumberFormat="1" applyFont="1" applyFill="1" applyBorder="1" applyAlignment="1">
      <alignment horizontal="right" vertical="center"/>
    </xf>
    <xf numFmtId="168" fontId="119" fillId="0" borderId="0" xfId="5" applyNumberFormat="1" applyFont="1" applyFill="1" applyBorder="1" applyAlignment="1">
      <alignment vertical="center"/>
    </xf>
    <xf numFmtId="3" fontId="119" fillId="0" borderId="0" xfId="0" applyNumberFormat="1" applyFont="1" applyFill="1" applyBorder="1" applyAlignment="1">
      <alignment horizontal="right" vertical="center" wrapText="1"/>
    </xf>
    <xf numFmtId="3" fontId="109" fillId="36" borderId="21" xfId="0" applyNumberFormat="1" applyFont="1" applyFill="1" applyBorder="1" applyAlignment="1">
      <alignment horizontal="right" vertical="center" wrapText="1"/>
    </xf>
    <xf numFmtId="3" fontId="136" fillId="6" borderId="0" xfId="0" applyNumberFormat="1" applyFont="1" applyFill="1" applyBorder="1" applyAlignment="1">
      <alignment horizontal="left" vertical="center"/>
    </xf>
    <xf numFmtId="3" fontId="136" fillId="0" borderId="0" xfId="0" applyNumberFormat="1" applyFont="1" applyFill="1" applyBorder="1" applyAlignment="1">
      <alignment vertical="center" wrapText="1"/>
    </xf>
    <xf numFmtId="3" fontId="136" fillId="0" borderId="0" xfId="0" applyNumberFormat="1" applyFont="1" applyFill="1" applyBorder="1" applyAlignment="1">
      <alignment horizontal="right" vertical="center" wrapText="1"/>
    </xf>
    <xf numFmtId="3" fontId="136" fillId="0" borderId="0" xfId="0" applyNumberFormat="1" applyFont="1" applyFill="1" applyBorder="1" applyAlignment="1">
      <alignment vertical="center"/>
    </xf>
    <xf numFmtId="3" fontId="136" fillId="0" borderId="0" xfId="0" applyNumberFormat="1" applyFont="1" applyBorder="1" applyAlignment="1">
      <alignment vertical="center"/>
    </xf>
    <xf numFmtId="168" fontId="136" fillId="0" borderId="0" xfId="5" applyNumberFormat="1" applyFont="1" applyFill="1" applyBorder="1" applyAlignment="1">
      <alignment vertical="center"/>
    </xf>
    <xf numFmtId="10" fontId="109" fillId="37" borderId="21" xfId="5" applyNumberFormat="1" applyFont="1" applyFill="1" applyBorder="1" applyAlignment="1">
      <alignment horizontal="right" vertical="center"/>
    </xf>
    <xf numFmtId="10" fontId="109" fillId="37" borderId="21" xfId="0" applyNumberFormat="1" applyFont="1" applyFill="1" applyBorder="1" applyAlignment="1">
      <alignment horizontal="right" vertical="center"/>
    </xf>
    <xf numFmtId="10" fontId="108" fillId="5" borderId="27" xfId="0" applyNumberFormat="1" applyFont="1" applyFill="1" applyBorder="1" applyAlignment="1">
      <alignment horizontal="right" vertical="center"/>
    </xf>
    <xf numFmtId="10" fontId="50" fillId="0" borderId="0" xfId="0" applyNumberFormat="1" applyFont="1" applyFill="1" applyBorder="1" applyAlignment="1">
      <alignment horizontal="right" vertical="center"/>
    </xf>
    <xf numFmtId="10" fontId="109" fillId="36" borderId="21" xfId="0" applyNumberFormat="1" applyFont="1" applyFill="1" applyBorder="1" applyAlignment="1">
      <alignment horizontal="right" vertical="center"/>
    </xf>
    <xf numFmtId="4" fontId="109" fillId="37" borderId="21" xfId="0" applyNumberFormat="1" applyFont="1" applyFill="1" applyBorder="1" applyAlignment="1">
      <alignment horizontal="right" vertical="center"/>
    </xf>
    <xf numFmtId="4" fontId="108" fillId="5" borderId="27" xfId="0" applyNumberFormat="1" applyFont="1" applyFill="1" applyBorder="1" applyAlignment="1">
      <alignment horizontal="right" vertical="center"/>
    </xf>
    <xf numFmtId="4" fontId="50" fillId="0" borderId="0" xfId="0" applyNumberFormat="1" applyFont="1" applyFill="1" applyBorder="1" applyAlignment="1">
      <alignment horizontal="right" vertical="center"/>
    </xf>
    <xf numFmtId="4" fontId="109" fillId="36" borderId="21" xfId="0" applyNumberFormat="1" applyFont="1" applyFill="1" applyBorder="1" applyAlignment="1">
      <alignment horizontal="right" vertical="center"/>
    </xf>
    <xf numFmtId="9" fontId="109" fillId="36" borderId="21" xfId="5" applyFont="1" applyFill="1" applyBorder="1" applyAlignment="1">
      <alignment horizontal="right" vertical="center" wrapText="1"/>
    </xf>
    <xf numFmtId="179" fontId="137" fillId="32" borderId="0" xfId="0" applyFont="1" applyFill="1" applyBorder="1" applyAlignment="1">
      <alignment vertical="center"/>
    </xf>
    <xf numFmtId="179" fontId="137" fillId="0" borderId="0" xfId="0" applyFont="1" applyAlignment="1">
      <alignment vertical="center"/>
    </xf>
    <xf numFmtId="179" fontId="139" fillId="0" borderId="0" xfId="0" applyFont="1" applyAlignment="1">
      <alignment vertical="center"/>
    </xf>
    <xf numFmtId="0" fontId="113" fillId="41" borderId="12" xfId="3" applyNumberFormat="1" applyFont="1" applyFill="1" applyBorder="1" applyAlignment="1" applyProtection="1">
      <alignment horizontal="center" vertical="center"/>
    </xf>
    <xf numFmtId="0" fontId="113" fillId="41" borderId="0" xfId="3" applyNumberFormat="1" applyFont="1" applyFill="1" applyBorder="1" applyAlignment="1" applyProtection="1">
      <alignment horizontal="center" vertical="center"/>
    </xf>
    <xf numFmtId="179" fontId="140" fillId="0" borderId="0" xfId="0" applyFont="1" applyFill="1" applyAlignment="1">
      <alignment horizontal="left"/>
    </xf>
    <xf numFmtId="179" fontId="103" fillId="0" borderId="0" xfId="0" applyFont="1" applyFill="1" applyAlignment="1">
      <alignment horizontal="right"/>
    </xf>
    <xf numFmtId="179" fontId="134" fillId="0" borderId="0" xfId="0" applyFont="1" applyFill="1"/>
    <xf numFmtId="179" fontId="138" fillId="40" borderId="0" xfId="0" applyFont="1" applyFill="1" applyBorder="1" applyAlignment="1">
      <alignment horizontal="center" vertical="center"/>
    </xf>
    <xf numFmtId="179" fontId="104" fillId="35" borderId="0" xfId="0" applyFont="1" applyFill="1" applyAlignment="1">
      <alignment horizontal="center" vertical="center" wrapText="1"/>
    </xf>
    <xf numFmtId="179" fontId="132" fillId="32" borderId="0" xfId="0" applyFont="1" applyFill="1" applyBorder="1" applyAlignment="1">
      <alignment horizontal="left" vertical="center"/>
    </xf>
    <xf numFmtId="0" fontId="135" fillId="31" borderId="0" xfId="246" applyFont="1" applyFill="1" applyBorder="1" applyAlignment="1">
      <alignment horizontal="center" vertical="center" wrapText="1"/>
    </xf>
    <xf numFmtId="198" fontId="121" fillId="3" borderId="0" xfId="0" applyNumberFormat="1" applyFont="1" applyFill="1" applyBorder="1" applyAlignment="1">
      <alignment horizontal="center" vertical="center" wrapText="1"/>
    </xf>
    <xf numFmtId="179" fontId="104" fillId="35" borderId="0" xfId="0" applyFont="1" applyFill="1" applyAlignment="1">
      <alignment horizontal="center" vertical="center"/>
    </xf>
    <xf numFmtId="3" fontId="121" fillId="3" borderId="20" xfId="0" applyNumberFormat="1" applyFont="1" applyFill="1" applyBorder="1" applyAlignment="1">
      <alignment horizontal="center" vertical="center" wrapText="1"/>
    </xf>
    <xf numFmtId="3" fontId="121" fillId="3" borderId="0" xfId="0" applyNumberFormat="1" applyFont="1" applyFill="1" applyBorder="1" applyAlignment="1">
      <alignment horizontal="center" vertical="center" wrapText="1"/>
    </xf>
    <xf numFmtId="200" fontId="120" fillId="33" borderId="22" xfId="246" applyNumberFormat="1" applyFont="1" applyFill="1" applyBorder="1" applyAlignment="1">
      <alignment horizontal="center" vertical="center" wrapText="1"/>
    </xf>
    <xf numFmtId="200" fontId="120" fillId="33" borderId="20" xfId="246" applyNumberFormat="1" applyFont="1" applyFill="1" applyBorder="1" applyAlignment="1">
      <alignment horizontal="center" vertical="center" wrapText="1"/>
    </xf>
    <xf numFmtId="200" fontId="120" fillId="33" borderId="23" xfId="246" applyNumberFormat="1" applyFont="1" applyFill="1" applyBorder="1" applyAlignment="1">
      <alignment horizontal="center" vertical="center" wrapText="1"/>
    </xf>
    <xf numFmtId="200" fontId="120" fillId="33" borderId="24" xfId="246" applyNumberFormat="1" applyFont="1" applyFill="1" applyBorder="1" applyAlignment="1">
      <alignment horizontal="center" vertical="center" wrapText="1"/>
    </xf>
    <xf numFmtId="200" fontId="120" fillId="33" borderId="25" xfId="246" applyNumberFormat="1" applyFont="1" applyFill="1" applyBorder="1" applyAlignment="1">
      <alignment horizontal="center" vertical="center" wrapText="1"/>
    </xf>
    <xf numFmtId="200" fontId="120" fillId="33" borderId="26" xfId="246" applyNumberFormat="1" applyFont="1" applyFill="1" applyBorder="1" applyAlignment="1">
      <alignment horizontal="center" vertical="center" wrapText="1"/>
    </xf>
    <xf numFmtId="198" fontId="121" fillId="3" borderId="20" xfId="0" applyNumberFormat="1" applyFont="1" applyFill="1" applyBorder="1" applyAlignment="1">
      <alignment horizontal="center" vertical="center" wrapText="1"/>
    </xf>
    <xf numFmtId="3" fontId="120" fillId="33" borderId="22" xfId="246" applyNumberFormat="1" applyFont="1" applyFill="1" applyBorder="1" applyAlignment="1">
      <alignment horizontal="center" vertical="center" wrapText="1"/>
    </xf>
    <xf numFmtId="3" fontId="120" fillId="33" borderId="20" xfId="246" applyNumberFormat="1" applyFont="1" applyFill="1" applyBorder="1" applyAlignment="1">
      <alignment horizontal="center" vertical="center" wrapText="1"/>
    </xf>
    <xf numFmtId="3" fontId="120" fillId="33" borderId="23" xfId="246" applyNumberFormat="1" applyFont="1" applyFill="1" applyBorder="1" applyAlignment="1">
      <alignment horizontal="center" vertical="center" wrapText="1"/>
    </xf>
    <xf numFmtId="3" fontId="120" fillId="33" borderId="24" xfId="246" applyNumberFormat="1" applyFont="1" applyFill="1" applyBorder="1" applyAlignment="1">
      <alignment horizontal="center" vertical="center" wrapText="1"/>
    </xf>
    <xf numFmtId="3" fontId="120" fillId="33" borderId="25" xfId="246" applyNumberFormat="1" applyFont="1" applyFill="1" applyBorder="1" applyAlignment="1">
      <alignment horizontal="center" vertical="center" wrapText="1"/>
    </xf>
    <xf numFmtId="3" fontId="120" fillId="33" borderId="26" xfId="246" applyNumberFormat="1" applyFont="1" applyFill="1" applyBorder="1" applyAlignment="1">
      <alignment horizontal="center" vertical="center" wrapText="1"/>
    </xf>
  </cellXfs>
  <cellStyles count="490">
    <cellStyle name="$   0,000" xfId="71"/>
    <cellStyle name="%" xfId="72"/>
    <cellStyle name="%0" xfId="73"/>
    <cellStyle name="%1" xfId="74"/>
    <cellStyle name="%2" xfId="75"/>
    <cellStyle name="_calcul E1 - 2012" xfId="446"/>
    <cellStyle name="_Resultat couvertures carburant E2-2012" xfId="447"/>
    <cellStyle name="£ BP" xfId="76"/>
    <cellStyle name="¥ JY" xfId="77"/>
    <cellStyle name="0" xfId="78"/>
    <cellStyle name="0,000" xfId="79"/>
    <cellStyle name="0.00" xfId="80"/>
    <cellStyle name="0.00%" xfId="81"/>
    <cellStyle name="0.0x" xfId="82"/>
    <cellStyle name="0_Actualisation provision contrat déficitaire SNCM 2010 V Def" xfId="83"/>
    <cellStyle name="0_Actualisation provision contrat déficitaire SNCM 2011 V3 30 05 2011" xfId="84"/>
    <cellStyle name="0_PPA SNCM - présentation CAC 28 06 2011" xfId="85"/>
    <cellStyle name="0_Simul location facturée par Trenitalia" xfId="86"/>
    <cellStyle name="20 % - Accent1 2" xfId="448"/>
    <cellStyle name="20 % - Accent2 2" xfId="449"/>
    <cellStyle name="20 % - Accent3 2" xfId="450"/>
    <cellStyle name="20 % - Accent4 2" xfId="451"/>
    <cellStyle name="20 % - Accent5 2" xfId="452"/>
    <cellStyle name="20 % - Accent6 2" xfId="453"/>
    <cellStyle name="20% - Accent1" xfId="7"/>
    <cellStyle name="20% - Accent2" xfId="8"/>
    <cellStyle name="20% - Accent3" xfId="9"/>
    <cellStyle name="20% - Accent4" xfId="10"/>
    <cellStyle name="20% - Accent5" xfId="11"/>
    <cellStyle name="20% - Accent6" xfId="12"/>
    <cellStyle name="40 % - Accent1 2" xfId="454"/>
    <cellStyle name="40 % - Accent2 2" xfId="455"/>
    <cellStyle name="40 % - Accent3 2" xfId="456"/>
    <cellStyle name="40 % - Accent4 2" xfId="457"/>
    <cellStyle name="40 % - Accent5 2" xfId="458"/>
    <cellStyle name="40 % - Accent6 2" xfId="459"/>
    <cellStyle name="40% - Accent1" xfId="13"/>
    <cellStyle name="40% - Accent2" xfId="14"/>
    <cellStyle name="40% - Accent3" xfId="15"/>
    <cellStyle name="40% - Accent4" xfId="16"/>
    <cellStyle name="40% - Accent5" xfId="17"/>
    <cellStyle name="40% - Accent6" xfId="18"/>
    <cellStyle name="60% - Accent1" xfId="19"/>
    <cellStyle name="60% - Accent2" xfId="20"/>
    <cellStyle name="60% - Accent3" xfId="21"/>
    <cellStyle name="60% - Accent4" xfId="22"/>
    <cellStyle name="60% - Accent5" xfId="23"/>
    <cellStyle name="60% - Accent6" xfId="24"/>
    <cellStyle name="at" xfId="87"/>
    <cellStyle name="b" xfId="88"/>
    <cellStyle name="b%0" xfId="89"/>
    <cellStyle name="b%1" xfId="90"/>
    <cellStyle name="b%2" xfId="91"/>
    <cellStyle name="b_Actualisation provision contrat déficitaire SNCM 2010 V Def" xfId="92"/>
    <cellStyle name="b_Actualisation provision contrat déficitaire SNCM 2011 V3 30 05 2011" xfId="93"/>
    <cellStyle name="b_LI819L_B13" xfId="94"/>
    <cellStyle name="b_PAO-CAF-RESOP_14_01_13 à 20h" xfId="95"/>
    <cellStyle name="b0" xfId="96"/>
    <cellStyle name="b09" xfId="97"/>
    <cellStyle name="b1" xfId="98"/>
    <cellStyle name="b2" xfId="99"/>
    <cellStyle name="Bad" xfId="25"/>
    <cellStyle name="Black" xfId="100"/>
    <cellStyle name="blue" xfId="101"/>
    <cellStyle name="bo" xfId="102"/>
    <cellStyle name="Bold/Border" xfId="103"/>
    <cellStyle name="Bottom" xfId="104"/>
    <cellStyle name="bout" xfId="105"/>
    <cellStyle name="bt" xfId="106"/>
    <cellStyle name="btit" xfId="107"/>
    <cellStyle name="Bullet" xfId="108"/>
    <cellStyle name="c" xfId="109"/>
    <cellStyle name="c_Actualisation provision contrat déficitaire SNCM 2010 V Def" xfId="110"/>
    <cellStyle name="c_Actualisation provision contrat déficitaire SNCM 2011 V3 30 05 2011" xfId="111"/>
    <cellStyle name="c_Grouse+Pelican" xfId="112"/>
    <cellStyle name="c_LI819L_B13" xfId="113"/>
    <cellStyle name="c_Macros" xfId="114"/>
    <cellStyle name="c_Macros (2)" xfId="115"/>
    <cellStyle name="c_Macros (2)_Actualisation provision contrat déficitaire SNCM 2010 V Def" xfId="116"/>
    <cellStyle name="c_Macros (2)_Actualisation provision contrat déficitaire SNCM 2011 V3 30 05 2011" xfId="117"/>
    <cellStyle name="c_Macros (2)_LI819L_B13" xfId="118"/>
    <cellStyle name="c_Macros (2)_PAO-CAF-RESOP_14_01_13 à 20h" xfId="119"/>
    <cellStyle name="c_Macros_Actualisation provision contrat déficitaire SNCM 2010 V Def" xfId="120"/>
    <cellStyle name="c_Macros_Actualisation provision contrat déficitaire SNCM 2011 V3 30 05 2011" xfId="121"/>
    <cellStyle name="c_Macros_LI819L_B13" xfId="122"/>
    <cellStyle name="c_Macros_PAO-CAF-RESOP_14_01_13 à 20h" xfId="123"/>
    <cellStyle name="c_Manager (2)" xfId="124"/>
    <cellStyle name="c_Manager (2)_Actualisation provision contrat déficitaire SNCM 2010 V Def" xfId="125"/>
    <cellStyle name="c_Manager (2)_Actualisation provision contrat déficitaire SNCM 2011 V3 30 05 2011" xfId="126"/>
    <cellStyle name="c_Manager (2)_LI819L_B13" xfId="127"/>
    <cellStyle name="c_Manager (2)_PAO-CAF-RESOP_14_01_13 à 20h" xfId="128"/>
    <cellStyle name="c_PAO-CAF-RESOP_14_01_13 à 20h" xfId="129"/>
    <cellStyle name="c0" xfId="130"/>
    <cellStyle name="cach" xfId="131"/>
    <cellStyle name="Calculation" xfId="26"/>
    <cellStyle name="Check Cell" xfId="27"/>
    <cellStyle name="chiffre" xfId="132"/>
    <cellStyle name="co" xfId="133"/>
    <cellStyle name="Comma [1]" xfId="134"/>
    <cellStyle name="Comma [2]" xfId="135"/>
    <cellStyle name="Comma 4" xfId="136"/>
    <cellStyle name="Comma 4 2" xfId="460"/>
    <cellStyle name="Comma 5" xfId="137"/>
    <cellStyle name="Comma 5 2" xfId="461"/>
    <cellStyle name="Comma_Axmann Utopia toolbox all_in_one" xfId="138"/>
    <cellStyle name="Commentaire 2" xfId="462"/>
    <cellStyle name="Currency [1]" xfId="139"/>
    <cellStyle name="Currency [2]" xfId="140"/>
    <cellStyle name="Currency_Axmann Utopia toolbox all_in_one" xfId="141"/>
    <cellStyle name="Currency-Denomination" xfId="142"/>
    <cellStyle name="Dash" xfId="143"/>
    <cellStyle name="Decimal_0dp" xfId="144"/>
    <cellStyle name="Dezimal__Utopia Index Index und Guidance (Deutsch)" xfId="145"/>
    <cellStyle name="Euro" xfId="1"/>
    <cellStyle name="Euro 2" xfId="146"/>
    <cellStyle name="Euro_Feuil1" xfId="463"/>
    <cellStyle name="Explanatory Text" xfId="28"/>
    <cellStyle name="EY Narrative text" xfId="147"/>
    <cellStyle name="EY%colcalc" xfId="29"/>
    <cellStyle name="EY%colcalc 2" xfId="148"/>
    <cellStyle name="EY%colcalc_Feuil1" xfId="464"/>
    <cellStyle name="EY%input" xfId="30"/>
    <cellStyle name="EY%input 2" xfId="149"/>
    <cellStyle name="EY%input_Feuil1" xfId="465"/>
    <cellStyle name="EY%rowcalc" xfId="31"/>
    <cellStyle name="EY%rowcalc 2" xfId="150"/>
    <cellStyle name="EY%rowcalc_Feuil1" xfId="466"/>
    <cellStyle name="EY0dp" xfId="32"/>
    <cellStyle name="EY0dp 2" xfId="151"/>
    <cellStyle name="EY0dp_Feuil1" xfId="467"/>
    <cellStyle name="EY1dp" xfId="33"/>
    <cellStyle name="EY1dp 2" xfId="152"/>
    <cellStyle name="EY1dp_Feuil1" xfId="468"/>
    <cellStyle name="EY2dp" xfId="34"/>
    <cellStyle name="EY2dp 2" xfId="153"/>
    <cellStyle name="EY2dp_Feuil1" xfId="469"/>
    <cellStyle name="EY3dp" xfId="35"/>
    <cellStyle name="EY3dp 2" xfId="154"/>
    <cellStyle name="EY3dp_Feuil1" xfId="470"/>
    <cellStyle name="EYColumnHeading" xfId="36"/>
    <cellStyle name="EYColumnHeading 2" xfId="155"/>
    <cellStyle name="EYColumnHeading 3" xfId="156"/>
    <cellStyle name="EYColumnHeading_Feuil1" xfId="471"/>
    <cellStyle name="EYColumnHeadingItalic" xfId="157"/>
    <cellStyle name="EYCoverDatabookName" xfId="158"/>
    <cellStyle name="EYCoverDate" xfId="159"/>
    <cellStyle name="EYCoverDraft" xfId="160"/>
    <cellStyle name="EYCoverProjectName" xfId="161"/>
    <cellStyle name="EYCurrency" xfId="162"/>
    <cellStyle name="EYHeading1" xfId="37"/>
    <cellStyle name="EYheading2" xfId="38"/>
    <cellStyle name="EYheading3" xfId="39"/>
    <cellStyle name="EYNotes" xfId="163"/>
    <cellStyle name="EYNotesHeading" xfId="164"/>
    <cellStyle name="EYnumber" xfId="40"/>
    <cellStyle name="EYnumber 2" xfId="165"/>
    <cellStyle name="EYnumber_Feuil1" xfId="472"/>
    <cellStyle name="EYSectionHeading" xfId="166"/>
    <cellStyle name="EYSheetHeader1" xfId="41"/>
    <cellStyle name="EYSheetHeading" xfId="167"/>
    <cellStyle name="EYsmallheading" xfId="168"/>
    <cellStyle name="EYsmallheading 2" xfId="473"/>
    <cellStyle name="EYSource" xfId="169"/>
    <cellStyle name="EYtext" xfId="42"/>
    <cellStyle name="EYtext 2" xfId="170"/>
    <cellStyle name="EYtext 3" xfId="171"/>
    <cellStyle name="EYtext_Feuil1" xfId="474"/>
    <cellStyle name="EYtextbold" xfId="172"/>
    <cellStyle name="EYtextbolditalic" xfId="173"/>
    <cellStyle name="EYtextitalic" xfId="174"/>
    <cellStyle name="Followed Hyperlink" xfId="175"/>
    <cellStyle name="Forecast Cell Column Heading" xfId="176"/>
    <cellStyle name="FormattingSheetDelimitor" xfId="177"/>
    <cellStyle name="FRxAmtStyle" xfId="43"/>
    <cellStyle name="FRxPcntStyle" xfId="44"/>
    <cellStyle name="Good" xfId="45"/>
    <cellStyle name="h" xfId="178"/>
    <cellStyle name="Heading 1" xfId="46"/>
    <cellStyle name="Heading 2" xfId="47"/>
    <cellStyle name="Heading 3" xfId="48"/>
    <cellStyle name="Heading 4" xfId="49"/>
    <cellStyle name="Hyperlink" xfId="179"/>
    <cellStyle name="Input" xfId="50"/>
    <cellStyle name="Input 2" xfId="180"/>
    <cellStyle name="InputBlueFont" xfId="181"/>
    <cellStyle name="InputBlueFontLocked" xfId="182"/>
    <cellStyle name="KPMG Heading 1" xfId="183"/>
    <cellStyle name="KPMG Heading 2" xfId="184"/>
    <cellStyle name="KPMG Heading 3" xfId="185"/>
    <cellStyle name="KPMG Heading 4" xfId="186"/>
    <cellStyle name="KPMG Normal" xfId="187"/>
    <cellStyle name="KPMG Normal Text" xfId="188"/>
    <cellStyle name="Linked Cell" xfId="51"/>
    <cellStyle name="LTM Cell Column Heading" xfId="189"/>
    <cellStyle name="Milliers 2" xfId="190"/>
    <cellStyle name="Milliers 2 2" xfId="476"/>
    <cellStyle name="Milliers 2_Feuil1" xfId="475"/>
    <cellStyle name="Milliers 3" xfId="477"/>
    <cellStyle name="Multiple" xfId="191"/>
    <cellStyle name="Multiple Cell Column Heading" xfId="192"/>
    <cellStyle name="Navadno 2" xfId="193"/>
    <cellStyle name="Neutral" xfId="52"/>
    <cellStyle name="no" xfId="194"/>
    <cellStyle name="No-definido" xfId="53"/>
    <cellStyle name="Non d‚fini" xfId="2"/>
    <cellStyle name="Non d‚fini 2" xfId="195"/>
    <cellStyle name="Non d‚fini_Feuil1" xfId="478"/>
    <cellStyle name="Normal" xfId="0" builtinId="0"/>
    <cellStyle name="Normal - Style1" xfId="196"/>
    <cellStyle name="Normal - Style2" xfId="197"/>
    <cellStyle name="Normal - Style3" xfId="198"/>
    <cellStyle name="Normal - Style4" xfId="199"/>
    <cellStyle name="Normal - Style5" xfId="200"/>
    <cellStyle name="Normal - Style6" xfId="201"/>
    <cellStyle name="Normal - Style7" xfId="202"/>
    <cellStyle name="Normal - Style8" xfId="203"/>
    <cellStyle name="Normal 10" xfId="204"/>
    <cellStyle name="Normal 10 2" xfId="205"/>
    <cellStyle name="Normal 10 2 2" xfId="206"/>
    <cellStyle name="Normal 10 2 3" xfId="207"/>
    <cellStyle name="Normal 10 2_Feuil1" xfId="480"/>
    <cellStyle name="Normal 10 3" xfId="208"/>
    <cellStyle name="Normal 10 4" xfId="209"/>
    <cellStyle name="Normal 10_Feuil1" xfId="479"/>
    <cellStyle name="Normal 11" xfId="210"/>
    <cellStyle name="Normal 12" xfId="211"/>
    <cellStyle name="Normal 13" xfId="212"/>
    <cellStyle name="Normal 14" xfId="213"/>
    <cellStyle name="Normal 15" xfId="214"/>
    <cellStyle name="Normal 16" xfId="215"/>
    <cellStyle name="Normal 17" xfId="216"/>
    <cellStyle name="Normal 18" xfId="217"/>
    <cellStyle name="Normal 19" xfId="218"/>
    <cellStyle name="Normal 2" xfId="4"/>
    <cellStyle name="Normal 2 10" xfId="219"/>
    <cellStyle name="Normal 2 11" xfId="220"/>
    <cellStyle name="Normal 2 12" xfId="221"/>
    <cellStyle name="Normal 2 13" xfId="222"/>
    <cellStyle name="Normal 2 14" xfId="223"/>
    <cellStyle name="Normal 2 15" xfId="224"/>
    <cellStyle name="Normal 2 16" xfId="225"/>
    <cellStyle name="Normal 2 17" xfId="226"/>
    <cellStyle name="Normal 2 2" xfId="68"/>
    <cellStyle name="Normal 2 3" xfId="69"/>
    <cellStyle name="Normal 2 4" xfId="227"/>
    <cellStyle name="Normal 2 5" xfId="228"/>
    <cellStyle name="Normal 2 6" xfId="229"/>
    <cellStyle name="Normal 2 7" xfId="230"/>
    <cellStyle name="Normal 2 8" xfId="231"/>
    <cellStyle name="Normal 2 9" xfId="232"/>
    <cellStyle name="Normal 2_Feuil1" xfId="481"/>
    <cellStyle name="Normal 20" xfId="233"/>
    <cellStyle name="Normal 21" xfId="234"/>
    <cellStyle name="Normal 22" xfId="235"/>
    <cellStyle name="Normal 23" xfId="236"/>
    <cellStyle name="Normal 24" xfId="237"/>
    <cellStyle name="Normal 25" xfId="238"/>
    <cellStyle name="Normal 26" xfId="239"/>
    <cellStyle name="Normal 27" xfId="240"/>
    <cellStyle name="Normal 28" xfId="241"/>
    <cellStyle name="Normal 29" xfId="242"/>
    <cellStyle name="Normal 3" xfId="6"/>
    <cellStyle name="Normal 3 10" xfId="243"/>
    <cellStyle name="Normal 3 11" xfId="244"/>
    <cellStyle name="Normal 3 12" xfId="245"/>
    <cellStyle name="Normal 3 2" xfId="246"/>
    <cellStyle name="Normal 3 3" xfId="247"/>
    <cellStyle name="Normal 3 4" xfId="248"/>
    <cellStyle name="Normal 3 5" xfId="249"/>
    <cellStyle name="Normal 3 6" xfId="250"/>
    <cellStyle name="Normal 3 7" xfId="251"/>
    <cellStyle name="Normal 3 8" xfId="252"/>
    <cellStyle name="Normal 3 9" xfId="253"/>
    <cellStyle name="Normal 3_Feuil1" xfId="482"/>
    <cellStyle name="Normal 30" xfId="70"/>
    <cellStyle name="Normal 31" xfId="441"/>
    <cellStyle name="Normal 32" xfId="442"/>
    <cellStyle name="Normal 32 2" xfId="444"/>
    <cellStyle name="Normal 33" xfId="443"/>
    <cellStyle name="Normal 34" xfId="445"/>
    <cellStyle name="Normal 4" xfId="67"/>
    <cellStyle name="Normal 4 2" xfId="254"/>
    <cellStyle name="Normal 4 3" xfId="255"/>
    <cellStyle name="Normal 4_Feuil1" xfId="483"/>
    <cellStyle name="Normal 5" xfId="256"/>
    <cellStyle name="Normal 5 2" xfId="257"/>
    <cellStyle name="Normal 5_Feuil1" xfId="484"/>
    <cellStyle name="Normal 6" xfId="258"/>
    <cellStyle name="Normal 6 2" xfId="259"/>
    <cellStyle name="Normal 6 2 2" xfId="260"/>
    <cellStyle name="Normal 6 2 3" xfId="261"/>
    <cellStyle name="Normal 6 2_Feuil1" xfId="485"/>
    <cellStyle name="Normal 6 3" xfId="262"/>
    <cellStyle name="Normal 6 4" xfId="263"/>
    <cellStyle name="Normal 6 5" xfId="264"/>
    <cellStyle name="Normal 7" xfId="265"/>
    <cellStyle name="Normal 7 2" xfId="266"/>
    <cellStyle name="Normal 7 2 2" xfId="267"/>
    <cellStyle name="Normal 7 2 3" xfId="268"/>
    <cellStyle name="Normal 7 3" xfId="269"/>
    <cellStyle name="Normal 7 4" xfId="270"/>
    <cellStyle name="Normal 7 5" xfId="271"/>
    <cellStyle name="Normal 7_Feuil1" xfId="486"/>
    <cellStyle name="Normal 8" xfId="272"/>
    <cellStyle name="Normal 8 2" xfId="273"/>
    <cellStyle name="Normal 8 2 2" xfId="274"/>
    <cellStyle name="Normal 8 2 3" xfId="275"/>
    <cellStyle name="Normal 8 3" xfId="276"/>
    <cellStyle name="Normal 8 4" xfId="277"/>
    <cellStyle name="Normal 9" xfId="278"/>
    <cellStyle name="Normal 9 2" xfId="279"/>
    <cellStyle name="Normal 9 2 2" xfId="280"/>
    <cellStyle name="Normal 9 2 3" xfId="281"/>
    <cellStyle name="Normal 9 3" xfId="282"/>
    <cellStyle name="Normal 9 4" xfId="283"/>
    <cellStyle name="Normal_EBIT_EBITDA  groupe Actual 2003.12" xfId="3"/>
    <cellStyle name="Note" xfId="54"/>
    <cellStyle name="Notes_multi" xfId="284"/>
    <cellStyle name="Output" xfId="55"/>
    <cellStyle name="p" xfId="285"/>
    <cellStyle name="p_Actualisation provision contrat déficitaire SNCM 2010 V Def" xfId="286"/>
    <cellStyle name="p_Actualisation provision contrat déficitaire SNCM 2011 V3 30 05 2011" xfId="287"/>
    <cellStyle name="p_PPA SNCM - présentation CAC 28 06 2011" xfId="288"/>
    <cellStyle name="pb_page_heading_LS" xfId="289"/>
    <cellStyle name="pe" xfId="290"/>
    <cellStyle name="per" xfId="291"/>
    <cellStyle name="Percent [0]" xfId="292"/>
    <cellStyle name="Percent [1]" xfId="293"/>
    <cellStyle name="Percent [2]" xfId="294"/>
    <cellStyle name="Percent 2" xfId="295"/>
    <cellStyle name="Percent 2 2" xfId="296"/>
    <cellStyle name="Pound" xfId="297"/>
    <cellStyle name="Pound [1]" xfId="298"/>
    <cellStyle name="Pound [2]" xfId="299"/>
    <cellStyle name="Pourcentage" xfId="5" builtinId="5"/>
    <cellStyle name="Pourcentage 2" xfId="300"/>
    <cellStyle name="Pourcentage 2 2" xfId="301"/>
    <cellStyle name="Pourcentage 2 3" xfId="302"/>
    <cellStyle name="Pourcentage 2 4" xfId="303"/>
    <cellStyle name="Pourcentage 2 5" xfId="304"/>
    <cellStyle name="Pourcentage 2 6" xfId="305"/>
    <cellStyle name="Pourcentage 2 7" xfId="306"/>
    <cellStyle name="Pourcentage 2 8" xfId="307"/>
    <cellStyle name="Pourcentage 3" xfId="308"/>
    <cellStyle name="Pourcentage 4" xfId="309"/>
    <cellStyle name="Pourcentage 5" xfId="310"/>
    <cellStyle name="ptit" xfId="311"/>
    <cellStyle name="rat" xfId="312"/>
    <cellStyle name="rate" xfId="313"/>
    <cellStyle name="ratio" xfId="314"/>
    <cellStyle name="s" xfId="315"/>
    <cellStyle name="s_Actualisation provision contrat déficitaire SNCM 2010 V Def" xfId="316"/>
    <cellStyle name="s_Actualisation provision contrat déficitaire SNCM 2011 V3 30 05 2011" xfId="317"/>
    <cellStyle name="s_Assumptions" xfId="318"/>
    <cellStyle name="s_Assumptions_Actualisation provision contrat déficitaire SNCM 2010 V Def" xfId="319"/>
    <cellStyle name="s_Assumptions_Actualisation provision contrat déficitaire SNCM 2011 V3 30 05 2011" xfId="320"/>
    <cellStyle name="s_Assumptions_LI819L_B13" xfId="321"/>
    <cellStyle name="s_Assumptions_PAO-CAF-RESOP_14_01_13 à 20h" xfId="322"/>
    <cellStyle name="s_B_S_Ratios _B" xfId="323"/>
    <cellStyle name="s_B_S_Ratios _B_Actualisation provision contrat déficitaire SNCM 2010 V Def" xfId="324"/>
    <cellStyle name="s_B_S_Ratios _B_Actualisation provision contrat déficitaire SNCM 2011 V3 30 05 2011" xfId="325"/>
    <cellStyle name="s_B_S_Ratios _B_LI819L_B13" xfId="326"/>
    <cellStyle name="s_B_S_Ratios _B_PAO-CAF-RESOP_14_01_13 à 20h" xfId="327"/>
    <cellStyle name="s_B_S_Ratios_T" xfId="328"/>
    <cellStyle name="s_B_S_Ratios_T_Actualisation provision contrat déficitaire SNCM 2010 V Def" xfId="329"/>
    <cellStyle name="s_B_S_Ratios_T_Actualisation provision contrat déficitaire SNCM 2011 V3 30 05 2011" xfId="330"/>
    <cellStyle name="s_B_S_Ratios_T_LI819L_B13" xfId="331"/>
    <cellStyle name="s_B_S_Ratios_T_PAO-CAF-RESOP_14_01_13 à 20h" xfId="332"/>
    <cellStyle name="s_DCFLBO Code" xfId="333"/>
    <cellStyle name="s_DCFLBO Code_1" xfId="334"/>
    <cellStyle name="s_DCFLBO Code_1_Actualisation provision contrat déficitaire SNCM 2010 V Def" xfId="335"/>
    <cellStyle name="s_DCFLBO Code_1_Actualisation provision contrat déficitaire SNCM 2011 V3 30 05 2011" xfId="336"/>
    <cellStyle name="s_DCFLBO Code_1_LI819L_B13" xfId="337"/>
    <cellStyle name="s_DCFLBO Code_1_PAO-CAF-RESOP_14_01_13 à 20h" xfId="338"/>
    <cellStyle name="s_DCFLBO Code_Actualisation provision contrat déficitaire SNCM 2010 V Def" xfId="339"/>
    <cellStyle name="s_DCFLBO Code_Actualisation provision contrat déficitaire SNCM 2011 V3 30 05 2011" xfId="340"/>
    <cellStyle name="s_DCFLBO Code_LI819L_B13" xfId="341"/>
    <cellStyle name="s_DCFLBO Code_PAO-CAF-RESOP_14_01_13 à 20h" xfId="342"/>
    <cellStyle name="s_Dilution" xfId="343"/>
    <cellStyle name="s_Dilution_Actualisation provision contrat déficitaire SNCM 2010 V Def" xfId="344"/>
    <cellStyle name="s_Dilution_Actualisation provision contrat déficitaire SNCM 2011 V3 30 05 2011" xfId="345"/>
    <cellStyle name="s_Dilution_LI819L_B13" xfId="346"/>
    <cellStyle name="s_Dilution_PAO-CAF-RESOP_14_01_13 à 20h" xfId="347"/>
    <cellStyle name="s_Financials_B" xfId="348"/>
    <cellStyle name="s_Financials_B_Actualisation provision contrat déficitaire SNCM 2010 V Def" xfId="349"/>
    <cellStyle name="s_Financials_B_Actualisation provision contrat déficitaire SNCM 2011 V3 30 05 2011" xfId="350"/>
    <cellStyle name="s_Financials_B_LI819L_B13" xfId="351"/>
    <cellStyle name="s_Financials_B_PAO-CAF-RESOP_14_01_13 à 20h" xfId="352"/>
    <cellStyle name="s_Financials_T" xfId="353"/>
    <cellStyle name="s_Financials_T_Actualisation provision contrat déficitaire SNCM 2010 V Def" xfId="354"/>
    <cellStyle name="s_Financials_T_Actualisation provision contrat déficitaire SNCM 2011 V3 30 05 2011" xfId="355"/>
    <cellStyle name="s_Financials_T_LI819L_B13" xfId="356"/>
    <cellStyle name="s_Financials_T_PAO-CAF-RESOP_14_01_13 à 20h" xfId="357"/>
    <cellStyle name="s_Grouse+Pelican" xfId="358"/>
    <cellStyle name="s_LI819L_B13" xfId="359"/>
    <cellStyle name="s_Matrix_B" xfId="360"/>
    <cellStyle name="s_Matrix_B_Actualisation provision contrat déficitaire SNCM 2010 V Def" xfId="361"/>
    <cellStyle name="s_Matrix_B_Actualisation provision contrat déficitaire SNCM 2011 V3 30 05 2011" xfId="362"/>
    <cellStyle name="s_Matrix_B_LI819L_B13" xfId="363"/>
    <cellStyle name="s_Matrix_B_PAO-CAF-RESOP_14_01_13 à 20h" xfId="364"/>
    <cellStyle name="s_Matrix_T" xfId="365"/>
    <cellStyle name="s_Matrix_T_Actualisation provision contrat déficitaire SNCM 2010 V Def" xfId="366"/>
    <cellStyle name="s_Matrix_T_Actualisation provision contrat déficitaire SNCM 2011 V3 30 05 2011" xfId="367"/>
    <cellStyle name="s_Matrix_T_LI819L_B13" xfId="368"/>
    <cellStyle name="s_Matrix_T_PAO-CAF-RESOP_14_01_13 à 20h" xfId="369"/>
    <cellStyle name="s_Merger" xfId="370"/>
    <cellStyle name="s_Merger_Actualisation provision contrat déficitaire SNCM 2010 V Def" xfId="371"/>
    <cellStyle name="s_Merger_Actualisation provision contrat déficitaire SNCM 2011 V3 30 05 2011" xfId="372"/>
    <cellStyle name="s_Merger_LI819L_B13" xfId="373"/>
    <cellStyle name="s_Merger_PAO-CAF-RESOP_14_01_13 à 20h" xfId="374"/>
    <cellStyle name="s_model2" xfId="375"/>
    <cellStyle name="s_model2_Actualisation provision contrat déficitaire SNCM 2010 V Def" xfId="376"/>
    <cellStyle name="s_model2_Actualisation provision contrat déficitaire SNCM 2011 V3 30 05 2011" xfId="377"/>
    <cellStyle name="s_model2_LI819L_B13" xfId="378"/>
    <cellStyle name="s_model2_PAO-CAF-RESOP_14_01_13 à 20h" xfId="379"/>
    <cellStyle name="s_P_L_Ratios" xfId="380"/>
    <cellStyle name="s_P_L_Ratios_Actualisation provision contrat déficitaire SNCM 2010 V Def" xfId="381"/>
    <cellStyle name="s_P_L_Ratios_Actualisation provision contrat déficitaire SNCM 2011 V3 30 05 2011" xfId="382"/>
    <cellStyle name="s_P_L_Ratios_B" xfId="383"/>
    <cellStyle name="s_P_L_Ratios_B_Actualisation provision contrat déficitaire SNCM 2010 V Def" xfId="384"/>
    <cellStyle name="s_P_L_Ratios_B_Actualisation provision contrat déficitaire SNCM 2011 V3 30 05 2011" xfId="385"/>
    <cellStyle name="s_P_L_Ratios_B_LI819L_B13" xfId="386"/>
    <cellStyle name="s_P_L_Ratios_B_PAO-CAF-RESOP_14_01_13 à 20h" xfId="387"/>
    <cellStyle name="s_P_L_Ratios_LI819L_B13" xfId="388"/>
    <cellStyle name="s_P_L_Ratios_PAO-CAF-RESOP_14_01_13 à 20h" xfId="389"/>
    <cellStyle name="s_PAO-CAF-RESOP_14_01_13 à 20h" xfId="390"/>
    <cellStyle name="s_S_By_S" xfId="391"/>
    <cellStyle name="s_S_By_S_Actualisation provision contrat déficitaire SNCM 2010 V Def" xfId="392"/>
    <cellStyle name="s_S_By_S_Actualisation provision contrat déficitaire SNCM 2011 V3 30 05 2011" xfId="393"/>
    <cellStyle name="s_S_By_S_LI819L_B13" xfId="394"/>
    <cellStyle name="s_S_By_S_PAO-CAF-RESOP_14_01_13 à 20h" xfId="395"/>
    <cellStyle name="s_Sheet5" xfId="396"/>
    <cellStyle name="s_Sheet5_Actualisation provision contrat déficitaire SNCM 2010 V Def" xfId="397"/>
    <cellStyle name="s_Sheet5_Actualisation provision contrat déficitaire SNCM 2011 V3 30 05 2011" xfId="398"/>
    <cellStyle name="s_Sheet5_LI819L_B13" xfId="399"/>
    <cellStyle name="s_Sheet5_PAO-CAF-RESOP_14_01_13 à 20h" xfId="400"/>
    <cellStyle name="s_Valuation " xfId="401"/>
    <cellStyle name="s_Valuation _Actualisation provision contrat déficitaire SNCM 2010 V Def" xfId="402"/>
    <cellStyle name="s_Valuation _Actualisation provision contrat déficitaire SNCM 2011 V3 30 05 2011" xfId="403"/>
    <cellStyle name="s_Valuation _LI819L_B13" xfId="404"/>
    <cellStyle name="s_Valuation _PAO-CAF-RESOP_14_01_13 à 20h" xfId="405"/>
    <cellStyle name="SAPBEXHLevel1" xfId="406"/>
    <cellStyle name="SAPBEXstdData" xfId="407"/>
    <cellStyle name="Shading" xfId="408"/>
    <cellStyle name="Single Cell Column Heading" xfId="409"/>
    <cellStyle name="Standaard 2" xfId="487"/>
    <cellStyle name="Standaard 2 2" xfId="488"/>
    <cellStyle name="Standaard_Blad1" xfId="489"/>
    <cellStyle name="Standard__Utopia Index Index und Guidance (Deutsch)" xfId="410"/>
    <cellStyle name="Style 1" xfId="411"/>
    <cellStyle name="STYLE1" xfId="56"/>
    <cellStyle name="STYLE1 2" xfId="412"/>
    <cellStyle name="STYLE2" xfId="57"/>
    <cellStyle name="STYLE2 2" xfId="413"/>
    <cellStyle name="STYLE3" xfId="58"/>
    <cellStyle name="STYLE3 2" xfId="414"/>
    <cellStyle name="STYLE4" xfId="59"/>
    <cellStyle name="STYLE4 2" xfId="415"/>
    <cellStyle name="STYLE5" xfId="60"/>
    <cellStyle name="STYLE5 2" xfId="416"/>
    <cellStyle name="STYLE6" xfId="61"/>
    <cellStyle name="STYLE6 2" xfId="417"/>
    <cellStyle name="STYLE7" xfId="62"/>
    <cellStyle name="STYLE7 2" xfId="418"/>
    <cellStyle name="STYLE8" xfId="63"/>
    <cellStyle name="STYLE8 2" xfId="419"/>
    <cellStyle name="STYLE9" xfId="64"/>
    <cellStyle name="STYLE9 2" xfId="420"/>
    <cellStyle name="t" xfId="421"/>
    <cellStyle name="t_Actualisation provision contrat déficitaire SNCM 2010 V Def" xfId="422"/>
    <cellStyle name="t_Actualisation provision contrat déficitaire SNCM 2011 V3 30 05 2011" xfId="423"/>
    <cellStyle name="t_LI819L_B13" xfId="424"/>
    <cellStyle name="t_Manager" xfId="425"/>
    <cellStyle name="t_Manager_Actualisation provision contrat déficitaire SNCM 2010 V Def" xfId="426"/>
    <cellStyle name="t_Manager_Actualisation provision contrat déficitaire SNCM 2011 V3 30 05 2011" xfId="427"/>
    <cellStyle name="t_Manager_LI819L_B13" xfId="428"/>
    <cellStyle name="t_Manager_PAO-CAF-RESOP_14_01_13 à 20h" xfId="429"/>
    <cellStyle name="t_PAO-CAF-RESOP_14_01_13 à 20h" xfId="430"/>
    <cellStyle name="Text Level 1" xfId="431"/>
    <cellStyle name="Text Level 2" xfId="432"/>
    <cellStyle name="Text Level 3" xfId="433"/>
    <cellStyle name="Text Level 4" xfId="434"/>
    <cellStyle name="Title" xfId="65"/>
    <cellStyle name="Titles" xfId="435"/>
    <cellStyle name="Top_Double_Bottom" xfId="436"/>
    <cellStyle name="UNDERRUBRIK" xfId="437"/>
    <cellStyle name="Warning Text" xfId="66"/>
    <cellStyle name="Year" xfId="438"/>
    <cellStyle name="zoe" xfId="439"/>
    <cellStyle name="常规_Sheet1_Sub-consolidation Scope 2008 12 SX432 Lanzhou" xfId="44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1A5AD"/>
      <rgbColor rgb="0000FF00"/>
      <rgbColor rgb="000000FF"/>
      <rgbColor rgb="00FFFF00"/>
      <rgbColor rgb="00C7D3EB"/>
      <rgbColor rgb="0000FFFF"/>
      <rgbColor rgb="00C00000"/>
      <rgbColor rgb="007373A0"/>
      <rgbColor rgb="00000080"/>
      <rgbColor rgb="00F08214"/>
      <rgbColor rgb="00800080"/>
      <rgbColor rgb="0064B4E1"/>
      <rgbColor rgb="00C0C0C0"/>
      <rgbColor rgb="00646973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E4E5E8"/>
      <rgbColor rgb="00E3E9F5"/>
      <rgbColor rgb="00CED0D4"/>
      <rgbColor rgb="00A86E73"/>
      <rgbColor rgb="00666699"/>
      <rgbColor rgb="00829BB4"/>
      <rgbColor rgb="00A0B4DC"/>
      <rgbColor rgb="00339966"/>
      <rgbColor rgb="00829BB4"/>
      <rgbColor rgb="00646973"/>
      <rgbColor rgb="00FF0000"/>
      <rgbColor rgb="00993366"/>
      <rgbColor rgb="00333399"/>
      <rgbColor rgb="00333333"/>
    </indexedColors>
    <mruColors>
      <color rgb="FFEAEAEA"/>
      <color rgb="FFD00000"/>
      <color rgb="FFD8D6D8"/>
      <color rgb="FFECECEC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1</xdr:row>
      <xdr:rowOff>11906</xdr:rowOff>
    </xdr:from>
    <xdr:to>
      <xdr:col>1</xdr:col>
      <xdr:colOff>1615849</xdr:colOff>
      <xdr:row>60</xdr:row>
      <xdr:rowOff>11906</xdr:rowOff>
    </xdr:to>
    <xdr:sp macro="" textlink="">
      <xdr:nvSpPr>
        <xdr:cNvPr id="4" name="Flèche vers le bas 3"/>
        <xdr:cNvSpPr/>
      </xdr:nvSpPr>
      <xdr:spPr>
        <a:xfrm>
          <a:off x="363992" y="760299"/>
          <a:ext cx="1401536" cy="12641036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1</xdr:row>
      <xdr:rowOff>122469</xdr:rowOff>
    </xdr:from>
    <xdr:to>
      <xdr:col>1</xdr:col>
      <xdr:colOff>1235960</xdr:colOff>
      <xdr:row>3</xdr:row>
      <xdr:rowOff>127642</xdr:rowOff>
    </xdr:to>
    <xdr:sp macro="" textlink="">
      <xdr:nvSpPr>
        <xdr:cNvPr id="5" name="Oval 12"/>
        <xdr:cNvSpPr>
          <a:spLocks noChangeArrowheads="1"/>
        </xdr:cNvSpPr>
      </xdr:nvSpPr>
      <xdr:spPr bwMode="gray">
        <a:xfrm>
          <a:off x="743882" y="870862"/>
          <a:ext cx="641757" cy="61749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594203</xdr:colOff>
      <xdr:row>28</xdr:row>
      <xdr:rowOff>94571</xdr:rowOff>
    </xdr:from>
    <xdr:to>
      <xdr:col>1</xdr:col>
      <xdr:colOff>1235960</xdr:colOff>
      <xdr:row>30</xdr:row>
      <xdr:rowOff>99745</xdr:rowOff>
    </xdr:to>
    <xdr:sp macro="" textlink="">
      <xdr:nvSpPr>
        <xdr:cNvPr id="6" name="Oval 12"/>
        <xdr:cNvSpPr>
          <a:spLocks noChangeArrowheads="1"/>
        </xdr:cNvSpPr>
      </xdr:nvSpPr>
      <xdr:spPr bwMode="gray">
        <a:xfrm>
          <a:off x="743882" y="6013678"/>
          <a:ext cx="641757" cy="617496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30</xdr:row>
          <xdr:rowOff>190500</xdr:rowOff>
        </xdr:from>
        <xdr:to>
          <xdr:col>5</xdr:col>
          <xdr:colOff>1047750</xdr:colOff>
          <xdr:row>33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594203</xdr:colOff>
      <xdr:row>35</xdr:row>
      <xdr:rowOff>94571</xdr:rowOff>
    </xdr:from>
    <xdr:to>
      <xdr:col>1</xdr:col>
      <xdr:colOff>1235960</xdr:colOff>
      <xdr:row>37</xdr:row>
      <xdr:rowOff>99745</xdr:rowOff>
    </xdr:to>
    <xdr:sp macro="" textlink="">
      <xdr:nvSpPr>
        <xdr:cNvPr id="11" name="Oval 12"/>
        <xdr:cNvSpPr>
          <a:spLocks noChangeArrowheads="1"/>
        </xdr:cNvSpPr>
      </xdr:nvSpPr>
      <xdr:spPr bwMode="gray">
        <a:xfrm>
          <a:off x="743882" y="7782607"/>
          <a:ext cx="641757" cy="617495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10584</xdr:colOff>
      <xdr:row>0</xdr:row>
      <xdr:rowOff>0</xdr:rowOff>
    </xdr:from>
    <xdr:to>
      <xdr:col>3</xdr:col>
      <xdr:colOff>1619251</xdr:colOff>
      <xdr:row>0</xdr:row>
      <xdr:rowOff>577699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84"/>
        <a:stretch/>
      </xdr:blipFill>
      <xdr:spPr>
        <a:xfrm>
          <a:off x="10584" y="0"/>
          <a:ext cx="1608667" cy="5745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1427692</xdr:colOff>
      <xdr:row>0</xdr:row>
      <xdr:rowOff>574524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84"/>
        <a:stretch/>
      </xdr:blipFill>
      <xdr:spPr>
        <a:xfrm>
          <a:off x="0" y="0"/>
          <a:ext cx="1608667" cy="574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pageSetUpPr fitToPage="1"/>
  </sheetPr>
  <dimension ref="A1:R85"/>
  <sheetViews>
    <sheetView showGridLines="0" tabSelected="1" zoomScale="70" zoomScaleNormal="70" workbookViewId="0">
      <selection activeCell="L17" sqref="L17"/>
    </sheetView>
  </sheetViews>
  <sheetFormatPr baseColWidth="10" defaultRowHeight="18" customHeight="1"/>
  <cols>
    <col min="1" max="1" width="2.28515625" style="2" customWidth="1"/>
    <col min="2" max="2" width="24.28515625" style="2" customWidth="1"/>
    <col min="3" max="3" width="31.7109375" style="3" customWidth="1"/>
    <col min="4" max="4" width="10" style="3" customWidth="1"/>
    <col min="5" max="5" width="30.5703125" style="3" bestFit="1" customWidth="1"/>
    <col min="6" max="8" width="24.42578125" style="3" customWidth="1"/>
    <col min="9" max="9" width="5.28515625" style="3" customWidth="1"/>
    <col min="10" max="10" width="15.42578125" style="3" customWidth="1"/>
    <col min="11" max="13" width="11.42578125" style="3"/>
    <col min="14" max="14" width="12.5703125" style="3" bestFit="1" customWidth="1"/>
    <col min="15" max="19" width="11.5703125" style="3" bestFit="1" customWidth="1"/>
    <col min="20" max="16384" width="11.42578125" style="3"/>
  </cols>
  <sheetData>
    <row r="1" spans="1:10" s="181" customFormat="1" ht="59.25" customHeight="1">
      <c r="A1" s="180"/>
      <c r="B1" s="188" t="s">
        <v>108</v>
      </c>
      <c r="C1" s="188"/>
      <c r="D1" s="188"/>
      <c r="E1" s="188"/>
      <c r="F1" s="188"/>
      <c r="G1" s="188"/>
      <c r="H1" s="188"/>
      <c r="I1" s="188"/>
    </row>
    <row r="3" spans="1:10" s="10" customFormat="1" ht="30" customHeight="1">
      <c r="A3" s="9"/>
      <c r="B3" s="9"/>
      <c r="C3" s="182" t="s">
        <v>29</v>
      </c>
      <c r="D3" s="182"/>
      <c r="E3" s="182"/>
      <c r="F3" s="182"/>
      <c r="G3" s="182"/>
      <c r="H3" s="182"/>
      <c r="I3" s="182"/>
      <c r="J3" s="182"/>
    </row>
    <row r="4" spans="1:10" s="12" customFormat="1" ht="18" customHeight="1" thickBot="1"/>
    <row r="5" spans="1:10" ht="18" customHeight="1" thickBot="1">
      <c r="C5" s="5" t="s">
        <v>28</v>
      </c>
      <c r="E5" s="183" t="s">
        <v>58</v>
      </c>
    </row>
    <row r="6" spans="1:10" ht="8.1" customHeight="1" thickBot="1">
      <c r="C6" s="5"/>
      <c r="E6" s="4"/>
    </row>
    <row r="7" spans="1:10" ht="18" customHeight="1" thickBot="1">
      <c r="C7" s="5" t="s">
        <v>50</v>
      </c>
      <c r="E7" s="183" t="s">
        <v>112</v>
      </c>
    </row>
    <row r="8" spans="1:10" ht="8.1" customHeight="1" thickBot="1"/>
    <row r="9" spans="1:10" ht="18" customHeight="1" thickBot="1">
      <c r="C9" s="5" t="s">
        <v>51</v>
      </c>
      <c r="E9" s="183" t="str">
        <f ca="1">+VLOOKUP(Country,$D$40:$H$59,5,FALSE)</f>
        <v>EUR</v>
      </c>
    </row>
    <row r="10" spans="1:10" ht="8.1" customHeight="1" thickBot="1"/>
    <row r="11" spans="1:10" ht="18" customHeight="1" thickBot="1">
      <c r="C11" s="5" t="s">
        <v>53</v>
      </c>
      <c r="E11" s="183" t="s">
        <v>106</v>
      </c>
    </row>
    <row r="12" spans="1:10" ht="8.1" customHeight="1" thickBot="1">
      <c r="E12" s="35"/>
    </row>
    <row r="13" spans="1:10" ht="18" customHeight="1" thickBot="1">
      <c r="C13" s="5" t="s">
        <v>17</v>
      </c>
      <c r="D13" s="15"/>
      <c r="E13" s="183" t="str">
        <f ca="1">_xll.SUBNM("tango_core_model:Gaap","","Local_Gaap_Mgmt_tool","English")</f>
        <v>Local Gaap Management tool</v>
      </c>
    </row>
    <row r="14" spans="1:10" ht="8.1" customHeight="1"/>
    <row r="15" spans="1:10" ht="18" customHeight="1">
      <c r="C15" s="5" t="s">
        <v>52</v>
      </c>
      <c r="E15" s="13" t="s">
        <v>30</v>
      </c>
      <c r="F15" s="14" t="s">
        <v>31</v>
      </c>
      <c r="G15" s="14" t="s">
        <v>32</v>
      </c>
    </row>
    <row r="16" spans="1:10" ht="18" customHeight="1">
      <c r="C16" s="5"/>
      <c r="D16" s="11" t="s">
        <v>33</v>
      </c>
      <c r="E16" s="184" t="str">
        <f ca="1">_xll.SUBNM("tango_core_model:period","default",Actual_Month)</f>
        <v>2019.02_YTD</v>
      </c>
      <c r="F16" s="184" t="str">
        <f ca="1">_xll.SUBNM("tango_core_model:period","default",E16)</f>
        <v>2019.02_YTD</v>
      </c>
      <c r="G16" s="184" t="str">
        <f ca="1">_xll.SUBNM("tango_core_model:period","default",PriorYear)</f>
        <v>2018.02_YTD</v>
      </c>
    </row>
    <row r="17" spans="1:18" ht="18" customHeight="1">
      <c r="C17" s="5"/>
      <c r="D17" s="11" t="s">
        <v>27</v>
      </c>
      <c r="E17" s="184" t="s">
        <v>118</v>
      </c>
      <c r="F17" s="184" t="s">
        <v>107</v>
      </c>
      <c r="G17" s="184" t="str">
        <f ca="1">_xll.SUBNM("tango_core_model:Phase","","ACT_TOT")</f>
        <v>ACT_TOT</v>
      </c>
    </row>
    <row r="18" spans="1:18" ht="8.1" customHeight="1">
      <c r="C18" s="5"/>
      <c r="E18" s="4"/>
    </row>
    <row r="19" spans="1:18" ht="18" customHeight="1">
      <c r="C19" s="5" t="s">
        <v>19</v>
      </c>
      <c r="E19" s="13" t="s">
        <v>34</v>
      </c>
      <c r="F19" s="13" t="s">
        <v>35</v>
      </c>
      <c r="G19" s="13" t="s">
        <v>36</v>
      </c>
      <c r="H19" s="14"/>
    </row>
    <row r="20" spans="1:18" ht="18" customHeight="1">
      <c r="C20" s="5"/>
      <c r="D20" s="11" t="s">
        <v>19</v>
      </c>
      <c r="E20" s="184" t="str">
        <f ca="1">VLOOKUP(Country,$D$41:$G$59,2,FALSE)</f>
        <v>Urban</v>
      </c>
      <c r="F20" s="184" t="str">
        <f ca="1">VLOOKUP(Country,$D$41:$G$59,3,FALSE)</f>
        <v>Regional Coach</v>
      </c>
      <c r="G20" s="184" t="str">
        <f ca="1">VLOOKUP(Country,$D$41:$G$59,4,FALSE)</f>
        <v>Suburban</v>
      </c>
      <c r="H20" s="14"/>
    </row>
    <row r="21" spans="1:18" ht="8.1" customHeight="1">
      <c r="C21" s="5"/>
      <c r="D21" s="5"/>
      <c r="E21" s="35"/>
    </row>
    <row r="22" spans="1:18" ht="18" hidden="1" customHeight="1" thickBot="1">
      <c r="C22" s="15" t="s">
        <v>18</v>
      </c>
      <c r="D22" s="15"/>
      <c r="E22" s="183" t="str">
        <f ca="1">_xll.SUBNM("tango_core_model:Integration_Rate","","APP")</f>
        <v>APP</v>
      </c>
    </row>
    <row r="23" spans="1:18" ht="8.1" hidden="1" customHeight="1" thickBot="1">
      <c r="C23" s="5"/>
      <c r="D23" s="5"/>
      <c r="E23" s="35"/>
    </row>
    <row r="24" spans="1:18" ht="18" hidden="1" customHeight="1" thickBot="1">
      <c r="C24" s="15" t="s">
        <v>23</v>
      </c>
      <c r="D24" s="15"/>
      <c r="E24" s="183" t="str">
        <f ca="1">_xll.SUBNM("tango_core_model:Management_Organization","","VTD_corp",Language)</f>
        <v>TRANSDEV All</v>
      </c>
      <c r="N24" s="8"/>
      <c r="O24" s="8"/>
      <c r="P24" s="8"/>
    </row>
    <row r="25" spans="1:18" ht="8.1" customHeight="1">
      <c r="C25" s="5"/>
      <c r="D25" s="5"/>
      <c r="E25" s="35"/>
    </row>
    <row r="26" spans="1:18" ht="18" customHeight="1">
      <c r="C26" s="5"/>
      <c r="E26" s="6"/>
      <c r="N26" s="8"/>
      <c r="O26" s="8"/>
      <c r="P26" s="8"/>
    </row>
    <row r="27" spans="1:18" ht="18" customHeight="1">
      <c r="D27" s="185" t="s">
        <v>109</v>
      </c>
      <c r="N27" s="8"/>
      <c r="O27" s="8"/>
      <c r="P27" s="8"/>
    </row>
    <row r="28" spans="1:18" s="12" customFormat="1" ht="18" customHeight="1">
      <c r="N28" s="8"/>
      <c r="O28" s="8"/>
      <c r="P28" s="8"/>
      <c r="Q28" s="3"/>
      <c r="R28" s="3"/>
    </row>
    <row r="29" spans="1:18" s="12" customFormat="1" ht="18" customHeight="1">
      <c r="N29" s="8"/>
      <c r="O29" s="8"/>
      <c r="P29" s="8"/>
      <c r="Q29" s="3"/>
      <c r="R29" s="3"/>
    </row>
    <row r="30" spans="1:18" s="10" customFormat="1" ht="30" customHeight="1">
      <c r="A30" s="9"/>
      <c r="B30" s="9"/>
      <c r="C30" s="182" t="s">
        <v>111</v>
      </c>
      <c r="D30" s="187"/>
      <c r="E30" s="187"/>
      <c r="F30" s="182"/>
      <c r="G30" s="182"/>
      <c r="H30" s="182"/>
      <c r="I30" s="182"/>
      <c r="J30" s="182"/>
    </row>
    <row r="31" spans="1:18" s="12" customFormat="1" ht="18" customHeight="1">
      <c r="N31" s="8"/>
      <c r="O31" s="8"/>
      <c r="P31" s="8"/>
      <c r="Q31" s="3"/>
      <c r="R31" s="3"/>
    </row>
    <row r="32" spans="1:18" s="12" customFormat="1" ht="18" customHeight="1">
      <c r="N32" s="8"/>
      <c r="O32" s="8"/>
      <c r="P32" s="8"/>
      <c r="Q32" s="3"/>
      <c r="R32" s="3"/>
    </row>
    <row r="33" spans="1:18" ht="18" customHeight="1">
      <c r="N33" s="8"/>
      <c r="O33" s="8"/>
      <c r="P33" s="8"/>
    </row>
    <row r="34" spans="1:18" ht="18" customHeight="1">
      <c r="N34" s="8"/>
      <c r="O34" s="8"/>
      <c r="P34" s="8"/>
    </row>
    <row r="35" spans="1:18" ht="18" customHeight="1">
      <c r="N35" s="8"/>
      <c r="O35" s="8"/>
      <c r="P35" s="8"/>
    </row>
    <row r="36" spans="1:18" s="12" customFormat="1" ht="18" customHeight="1">
      <c r="N36" s="8"/>
      <c r="O36" s="8"/>
      <c r="P36" s="8"/>
      <c r="Q36" s="3"/>
      <c r="R36" s="3"/>
    </row>
    <row r="37" spans="1:18" s="10" customFormat="1" ht="30" customHeight="1">
      <c r="A37" s="9"/>
      <c r="B37" s="9"/>
      <c r="C37" s="182" t="s">
        <v>110</v>
      </c>
      <c r="D37" s="187"/>
      <c r="E37" s="187"/>
      <c r="F37" s="182"/>
      <c r="G37" s="182"/>
      <c r="H37" s="182"/>
      <c r="I37" s="182"/>
      <c r="J37" s="182"/>
    </row>
    <row r="38" spans="1:18" s="12" customFormat="1" ht="18" customHeight="1">
      <c r="N38" s="8"/>
      <c r="O38" s="8"/>
      <c r="P38" s="8"/>
      <c r="Q38" s="3"/>
      <c r="R38" s="3"/>
    </row>
    <row r="39" spans="1:18" s="12" customFormat="1" ht="18" customHeight="1">
      <c r="P39" s="3"/>
      <c r="Q39" s="3"/>
      <c r="R39" s="3"/>
    </row>
    <row r="40" spans="1:18" s="8" customFormat="1" ht="18" customHeight="1">
      <c r="A40" s="7"/>
      <c r="B40" s="7"/>
      <c r="E40" s="13" t="s">
        <v>34</v>
      </c>
      <c r="F40" s="13" t="s">
        <v>35</v>
      </c>
      <c r="G40" s="13" t="s">
        <v>36</v>
      </c>
      <c r="H40" s="13" t="s">
        <v>2</v>
      </c>
      <c r="P40" s="3"/>
      <c r="Q40" s="3"/>
      <c r="R40" s="3"/>
    </row>
    <row r="41" spans="1:18" s="8" customFormat="1" ht="18" hidden="1" customHeight="1">
      <c r="A41" s="7"/>
      <c r="B41" s="7"/>
      <c r="D41" s="8" t="s">
        <v>112</v>
      </c>
      <c r="E41" s="13" t="s">
        <v>113</v>
      </c>
      <c r="F41" s="13" t="s">
        <v>114</v>
      </c>
      <c r="G41" s="13" t="s">
        <v>115</v>
      </c>
      <c r="H41" s="13" t="s">
        <v>1</v>
      </c>
      <c r="P41" s="3"/>
      <c r="Q41" s="3"/>
      <c r="R41" s="3"/>
    </row>
    <row r="42" spans="1:18" s="8" customFormat="1" ht="18" customHeight="1">
      <c r="A42" s="7"/>
      <c r="B42" s="7"/>
      <c r="D42" s="186" t="s">
        <v>3</v>
      </c>
      <c r="E42" s="184" t="str">
        <f ca="1">_xll.SUBNM("tango_core_model:Activity","","UR","English")</f>
        <v>Urban</v>
      </c>
      <c r="F42" s="184" t="str">
        <f ca="1">_xll.SUBNM("tango_core_model:Activity","","RC","English")</f>
        <v>Regional Coach</v>
      </c>
      <c r="G42" s="184" t="str">
        <f ca="1">_xll.SUBNM("tango_core_model:Activity","","SU","English")</f>
        <v>Suburban</v>
      </c>
      <c r="H42" s="184" t="s">
        <v>1</v>
      </c>
      <c r="P42" s="3"/>
      <c r="Q42" s="3"/>
      <c r="R42" s="3"/>
    </row>
    <row r="43" spans="1:18" s="8" customFormat="1" ht="18" customHeight="1">
      <c r="A43" s="7"/>
      <c r="B43" s="7"/>
      <c r="D43" s="186" t="s">
        <v>14</v>
      </c>
      <c r="E43" s="184" t="str">
        <f ca="1">_xll.SUBNM("tango_core_model:Activity","","SU","English")</f>
        <v>Suburban</v>
      </c>
      <c r="F43" s="184" t="str">
        <f ca="1">_xll.SUBNM("tango_core_model:Activity","","CO","English")</f>
        <v>Commercial on demand</v>
      </c>
      <c r="G43" s="184" t="str">
        <f ca="1">_xll.SUBNM("tango_core_model:Activity","","SO","English")</f>
        <v>Subsidized on demand</v>
      </c>
      <c r="H43" s="184" t="s">
        <v>1</v>
      </c>
    </row>
    <row r="44" spans="1:18" s="8" customFormat="1" ht="18" customHeight="1">
      <c r="A44" s="7"/>
      <c r="B44" s="7"/>
      <c r="D44" s="186" t="s">
        <v>15</v>
      </c>
      <c r="E44" s="184" t="str">
        <f ca="1">_xll.SUBNM("tango_core_model:Activity","","HO","English")</f>
        <v>Holding</v>
      </c>
      <c r="F44" s="184" t="str">
        <f ca="1">_xll.SUBNM("tango_core_model:Activity","","SU","English")</f>
        <v>Suburban</v>
      </c>
      <c r="G44" s="184" t="str">
        <f ca="1">_xll.SUBNM("tango_core_model:Activity","","OS","English")</f>
        <v>Other Services</v>
      </c>
      <c r="H44" s="184" t="s">
        <v>1</v>
      </c>
    </row>
    <row r="45" spans="1:18" s="8" customFormat="1" ht="18" customHeight="1">
      <c r="A45" s="7"/>
      <c r="B45" s="7"/>
      <c r="D45" s="186" t="s">
        <v>5</v>
      </c>
      <c r="E45" s="184" t="str">
        <f ca="1">_xll.SUBNM("tango_core_model:Activity","","UR","English")</f>
        <v>Urban</v>
      </c>
      <c r="F45" s="184" t="str">
        <f ca="1">_xll.SUBNM("tango_core_model:Activity","","SU","English")</f>
        <v>Suburban</v>
      </c>
      <c r="G45" s="184" t="str">
        <f ca="1">_xll.SUBNM("tango_core_model:Activity","","RC","English")</f>
        <v>Regional Coach</v>
      </c>
      <c r="H45" s="184" t="s">
        <v>6</v>
      </c>
    </row>
    <row r="46" spans="1:18" s="8" customFormat="1" ht="18" customHeight="1">
      <c r="A46" s="7"/>
      <c r="B46" s="7"/>
      <c r="D46" s="186" t="s">
        <v>37</v>
      </c>
      <c r="E46" s="184" t="s">
        <v>57</v>
      </c>
      <c r="F46" s="184" t="s">
        <v>56</v>
      </c>
      <c r="G46" s="184" t="s">
        <v>55</v>
      </c>
      <c r="H46" s="184" t="s">
        <v>4</v>
      </c>
    </row>
    <row r="47" spans="1:18" s="8" customFormat="1" ht="18" customHeight="1">
      <c r="A47" s="7"/>
      <c r="B47" s="7"/>
      <c r="D47" s="186" t="s">
        <v>38</v>
      </c>
      <c r="E47" s="184" t="str">
        <f ca="1">_xll.SUBNM("tango_core_model:Activity","","UR","English")</f>
        <v>Urban</v>
      </c>
      <c r="F47" s="184" t="str">
        <f ca="1">_xll.SUBNM("tango_core_model:Activity","","HO","English")</f>
        <v>Holding</v>
      </c>
      <c r="G47" s="184" t="str">
        <f ca="1">_xll.SUBNM("tango_core_model:Activity","","OS","English")</f>
        <v>Other Services</v>
      </c>
      <c r="H47" s="184" t="s">
        <v>1</v>
      </c>
    </row>
    <row r="48" spans="1:18" s="8" customFormat="1" ht="18" customHeight="1">
      <c r="A48" s="7"/>
      <c r="B48" s="7"/>
      <c r="D48" s="186" t="s">
        <v>39</v>
      </c>
      <c r="E48" s="184" t="str">
        <f ca="1">_xll.SUBNM("tango_core_model:Activity","","UR","English")</f>
        <v>Urban</v>
      </c>
      <c r="F48" s="184" t="str">
        <f ca="1">_xll.SUBNM("tango_core_model:Activity","","CO","English")</f>
        <v>Commercial on demand</v>
      </c>
      <c r="G48" s="184" t="str">
        <f ca="1">_xll.SUBNM("tango_core_model:Activity","","OS","English")</f>
        <v>Other Services</v>
      </c>
      <c r="H48" s="184" t="s">
        <v>7</v>
      </c>
    </row>
    <row r="49" spans="1:8" s="8" customFormat="1" ht="18" customHeight="1">
      <c r="A49" s="7"/>
      <c r="B49" s="7"/>
      <c r="D49" s="186" t="s">
        <v>8</v>
      </c>
      <c r="E49" s="184" t="str">
        <f ca="1">_xll.SUBNM("tango_core_model:Activity","","RC","English")</f>
        <v>Regional Coach</v>
      </c>
      <c r="F49" s="184" t="str">
        <f ca="1">_xll.SUBNM("tango_core_model:Activity","","CO","English")</f>
        <v>Commercial on demand</v>
      </c>
      <c r="G49" s="184" t="str">
        <f ca="1">_xll.SUBNM("tango_core_model:Activity","","HO","English")</f>
        <v>Holding</v>
      </c>
      <c r="H49" s="184" t="s">
        <v>1</v>
      </c>
    </row>
    <row r="50" spans="1:8" s="8" customFormat="1" ht="18" customHeight="1">
      <c r="A50" s="7"/>
      <c r="B50" s="7"/>
      <c r="D50" s="186" t="s">
        <v>40</v>
      </c>
      <c r="E50" s="184" t="str">
        <f ca="1">_xll.SUBNM("tango_core_model:Activity","","HRAIL","English")</f>
        <v>Heavy rail activities</v>
      </c>
      <c r="F50" s="184" t="str">
        <f ca="1">_xll.SUBNM("tango_core_model:Activity","","UR","English")</f>
        <v>Urban</v>
      </c>
      <c r="G50" s="184" t="str">
        <f ca="1">_xll.SUBNM("tango_core_model:Activity","","RC","English")</f>
        <v>Regional Coach</v>
      </c>
      <c r="H50" s="184" t="s">
        <v>1</v>
      </c>
    </row>
    <row r="51" spans="1:8" s="8" customFormat="1" ht="18" customHeight="1">
      <c r="A51" s="7"/>
      <c r="B51" s="7"/>
      <c r="D51" s="186" t="s">
        <v>41</v>
      </c>
      <c r="E51" s="184" t="str">
        <f ca="1">_xll.SUBNM("tango_core_model:Activity","","UR","English")</f>
        <v>Urban</v>
      </c>
      <c r="F51" s="184" t="str">
        <f ca="1">_xll.SUBNM("tango_core_model:Activity","","SU","English")</f>
        <v>Suburban</v>
      </c>
      <c r="G51" s="184" t="str">
        <f ca="1">_xll.SUBNM("tango_core_model:Activity","","HO","English")</f>
        <v>Holding</v>
      </c>
      <c r="H51" s="184" t="s">
        <v>1</v>
      </c>
    </row>
    <row r="52" spans="1:8" s="8" customFormat="1" ht="18" customHeight="1">
      <c r="A52" s="7"/>
      <c r="B52" s="7"/>
      <c r="D52" s="186" t="s">
        <v>42</v>
      </c>
      <c r="E52" s="184" t="str">
        <f ca="1">_xll.SUBNM("tango_core_model:Activity","","UR","English")</f>
        <v>Urban</v>
      </c>
      <c r="F52" s="184" t="str">
        <f ca="1">_xll.SUBNM("tango_core_model:Activity","","HRAIL","English")</f>
        <v>Heavy rail activities</v>
      </c>
      <c r="G52" s="184" t="str">
        <f ca="1">_xll.SUBNM("tango_core_model:Activity","","SU","English")</f>
        <v>Suburban</v>
      </c>
      <c r="H52" s="184" t="s">
        <v>13</v>
      </c>
    </row>
    <row r="53" spans="1:8" s="8" customFormat="1" ht="18" customHeight="1">
      <c r="A53" s="7"/>
      <c r="B53" s="7"/>
      <c r="D53" s="186" t="s">
        <v>43</v>
      </c>
      <c r="E53" s="184" t="str">
        <f ca="1">_xll.SUBNM("tango_core_model:Activity","","UR","English")</f>
        <v>Urban</v>
      </c>
      <c r="F53" s="184" t="str">
        <f ca="1">_xll.SUBNM("tango_core_model:Activity","","SU","English")</f>
        <v>Suburban</v>
      </c>
      <c r="G53" s="184" t="str">
        <f ca="1">_xll.SUBNM("tango_core_model:Activity","","FE","English")</f>
        <v>Ferries</v>
      </c>
      <c r="H53" s="184" t="s">
        <v>0</v>
      </c>
    </row>
    <row r="54" spans="1:8" s="8" customFormat="1" ht="18" customHeight="1">
      <c r="A54" s="7"/>
      <c r="B54" s="7"/>
      <c r="D54" s="186" t="s">
        <v>9</v>
      </c>
      <c r="E54" s="184" t="str">
        <f ca="1">_xll.SUBNM("tango_core_model:Activity","","SU","English")</f>
        <v>Suburban</v>
      </c>
      <c r="F54" s="184" t="str">
        <f ca="1">_xll.SUBNM("tango_core_model:Activity","","HO","English")</f>
        <v>Holding</v>
      </c>
      <c r="G54" s="184" t="str">
        <f ca="1">_xll.SUBNM("tango_core_model:Activity","","OS","English")</f>
        <v>Other Services</v>
      </c>
      <c r="H54" s="184" t="s">
        <v>1</v>
      </c>
    </row>
    <row r="55" spans="1:8" s="8" customFormat="1" ht="18" customHeight="1">
      <c r="A55" s="7"/>
      <c r="B55" s="7"/>
      <c r="D55" s="186" t="s">
        <v>44</v>
      </c>
      <c r="E55" s="184" t="str">
        <f ca="1">_xll.SUBNM("tango_core_model:Activity","","UR","English")</f>
        <v>Urban</v>
      </c>
      <c r="F55" s="184" t="str">
        <f ca="1">_xll.SUBNM("tango_core_model:Activity","","HO","English")</f>
        <v>Holding</v>
      </c>
      <c r="G55" s="184" t="str">
        <f ca="1">_xll.SUBNM("tango_core_model:Activity","","OS","English")</f>
        <v>Other Services</v>
      </c>
      <c r="H55" s="184" t="s">
        <v>1</v>
      </c>
    </row>
    <row r="56" spans="1:8" s="8" customFormat="1" ht="18" customHeight="1">
      <c r="A56" s="7"/>
      <c r="B56" s="7"/>
      <c r="D56" s="186" t="s">
        <v>45</v>
      </c>
      <c r="E56" s="184" t="str">
        <f ca="1">_xll.SUBNM("tango_core_model:Activity","","UR","English")</f>
        <v>Urban</v>
      </c>
      <c r="F56" s="184" t="str">
        <f ca="1">_xll.SUBNM("tango_core_model:Activity","","HO","English")</f>
        <v>Holding</v>
      </c>
      <c r="G56" s="184" t="str">
        <f ca="1">_xll.SUBNM("tango_core_model:Activity","","OS","English")</f>
        <v>Other Services</v>
      </c>
      <c r="H56" s="184" t="s">
        <v>11</v>
      </c>
    </row>
    <row r="57" spans="1:8" s="8" customFormat="1" ht="18" customHeight="1">
      <c r="A57" s="7"/>
      <c r="B57" s="7"/>
      <c r="D57" s="186" t="s">
        <v>46</v>
      </c>
      <c r="E57" s="184" t="str">
        <f ca="1">_xll.SUBNM("tango_core_model:Activity","","UR","English")</f>
        <v>Urban</v>
      </c>
      <c r="F57" s="184" t="str">
        <f ca="1">_xll.SUBNM("tango_core_model:Activity","","HO","English")</f>
        <v>Holding</v>
      </c>
      <c r="G57" s="184" t="str">
        <f ca="1">_xll.SUBNM("tango_core_model:Activity","","OS","English")</f>
        <v>Other Services</v>
      </c>
      <c r="H57" s="184" t="s">
        <v>10</v>
      </c>
    </row>
    <row r="58" spans="1:8" s="8" customFormat="1" ht="18" customHeight="1">
      <c r="A58" s="7"/>
      <c r="B58" s="7"/>
      <c r="D58" s="186" t="s">
        <v>12</v>
      </c>
      <c r="E58" s="184" t="str">
        <f ca="1">_xll.SUBNM("tango_core_model:Activity","","HO","English")</f>
        <v>Holding</v>
      </c>
      <c r="F58" s="184" t="str">
        <f ca="1">_xll.SUBNM("tango_core_model:Activity","","NIC","English")</f>
        <v>National / International coaches</v>
      </c>
      <c r="G58" s="184" t="str">
        <f ca="1">_xll.SUBNM("tango_core_model:Activity","","OS","English")</f>
        <v>Other Services</v>
      </c>
      <c r="H58" s="184" t="s">
        <v>1</v>
      </c>
    </row>
    <row r="59" spans="1:8" s="8" customFormat="1" ht="18" customHeight="1">
      <c r="A59" s="7"/>
      <c r="B59" s="7"/>
      <c r="D59" s="186" t="s">
        <v>16</v>
      </c>
      <c r="E59" s="184" t="str">
        <f ca="1">_xll.SUBNM("tango_core_model:Activity","","NIC","English")</f>
        <v>National / International coaches</v>
      </c>
      <c r="F59" s="184" t="str">
        <f ca="1">_xll.SUBNM("tango_core_model:Activity","","HO","English")</f>
        <v>Holding</v>
      </c>
      <c r="G59" s="184" t="str">
        <f ca="1">_xll.SUBNM("tango_core_model:Activity","","OS","English")</f>
        <v>Other Services</v>
      </c>
      <c r="H59" s="184" t="s">
        <v>1</v>
      </c>
    </row>
    <row r="60" spans="1:8" s="8" customFormat="1" ht="18" customHeight="1">
      <c r="A60" s="7"/>
      <c r="B60" s="7"/>
    </row>
    <row r="61" spans="1:8" s="8" customFormat="1" ht="18" customHeight="1">
      <c r="A61" s="7"/>
      <c r="B61" s="7"/>
    </row>
    <row r="62" spans="1:8" s="8" customFormat="1" ht="18" customHeight="1">
      <c r="A62" s="7"/>
      <c r="B62" s="7"/>
    </row>
    <row r="63" spans="1:8" s="8" customFormat="1" ht="18" customHeight="1">
      <c r="A63" s="7"/>
      <c r="B63" s="7"/>
    </row>
    <row r="64" spans="1:8" s="8" customFormat="1" ht="18" hidden="1" customHeight="1" thickBot="1">
      <c r="A64" s="7"/>
      <c r="B64" s="7"/>
      <c r="C64" s="5" t="s">
        <v>116</v>
      </c>
      <c r="D64" s="12"/>
      <c r="E64" s="183" t="str">
        <f ca="1">_xll.DBRW("tango_core_model:z_Admin_Param","MONTH_ACTUAL","STR_VAR1")&amp;"_YTD"</f>
        <v>2019.02_YTD</v>
      </c>
    </row>
    <row r="65" spans="1:5" s="8" customFormat="1" ht="18" hidden="1" customHeight="1" thickBot="1">
      <c r="A65" s="7"/>
      <c r="B65" s="7"/>
      <c r="C65" s="5" t="s">
        <v>117</v>
      </c>
      <c r="E65" s="183" t="str">
        <f ca="1">_xll.DBRA("tango_core_model:Period",$E$16,"Prior Year")</f>
        <v>2018.02_YTD</v>
      </c>
    </row>
    <row r="66" spans="1:5" s="8" customFormat="1" ht="18" hidden="1" customHeight="1">
      <c r="A66" s="7"/>
      <c r="B66" s="7"/>
    </row>
    <row r="67" spans="1:5" s="8" customFormat="1" ht="18" customHeight="1">
      <c r="A67" s="7"/>
      <c r="B67" s="7"/>
    </row>
    <row r="68" spans="1:5" s="8" customFormat="1" ht="18" customHeight="1">
      <c r="A68" s="7"/>
      <c r="B68" s="7"/>
    </row>
    <row r="69" spans="1:5" s="8" customFormat="1" ht="18" customHeight="1">
      <c r="A69" s="7"/>
      <c r="B69" s="7"/>
    </row>
    <row r="70" spans="1:5" s="8" customFormat="1" ht="18" customHeight="1">
      <c r="A70" s="7"/>
      <c r="B70" s="7"/>
    </row>
    <row r="71" spans="1:5" s="8" customFormat="1" ht="18" customHeight="1">
      <c r="A71" s="7"/>
      <c r="B71" s="7"/>
    </row>
    <row r="72" spans="1:5" s="8" customFormat="1" ht="18" customHeight="1">
      <c r="A72" s="7"/>
      <c r="B72" s="7"/>
    </row>
    <row r="73" spans="1:5" s="8" customFormat="1" ht="18" customHeight="1">
      <c r="A73" s="7"/>
      <c r="B73" s="7"/>
    </row>
    <row r="74" spans="1:5" s="8" customFormat="1" ht="18" customHeight="1">
      <c r="A74" s="7"/>
      <c r="B74" s="7"/>
    </row>
    <row r="75" spans="1:5" s="8" customFormat="1" ht="18" customHeight="1">
      <c r="A75" s="7"/>
      <c r="B75" s="7"/>
    </row>
    <row r="76" spans="1:5" s="8" customFormat="1" ht="18" customHeight="1">
      <c r="A76" s="7"/>
      <c r="B76" s="7"/>
    </row>
    <row r="77" spans="1:5" s="8" customFormat="1" ht="18" customHeight="1">
      <c r="A77" s="7"/>
      <c r="B77" s="7"/>
    </row>
    <row r="78" spans="1:5" s="8" customFormat="1" ht="18" customHeight="1">
      <c r="A78" s="7"/>
      <c r="B78" s="7"/>
    </row>
    <row r="79" spans="1:5" s="8" customFormat="1" ht="18" customHeight="1">
      <c r="A79" s="7"/>
      <c r="B79" s="7"/>
    </row>
    <row r="80" spans="1:5" s="8" customFormat="1" ht="18" customHeight="1">
      <c r="A80" s="7"/>
      <c r="B80" s="7"/>
    </row>
    <row r="81" spans="1:2" s="8" customFormat="1" ht="18" customHeight="1">
      <c r="A81" s="7"/>
      <c r="B81" s="7"/>
    </row>
    <row r="82" spans="1:2" s="8" customFormat="1" ht="18" customHeight="1">
      <c r="A82" s="7"/>
      <c r="B82" s="7"/>
    </row>
    <row r="83" spans="1:2" s="8" customFormat="1" ht="18" customHeight="1">
      <c r="A83" s="7"/>
      <c r="B83" s="7"/>
    </row>
    <row r="84" spans="1:2" s="8" customFormat="1" ht="18" customHeight="1">
      <c r="A84" s="7"/>
      <c r="B84" s="7"/>
    </row>
    <row r="85" spans="1:2" s="8" customFormat="1" ht="18" customHeight="1">
      <c r="A85" s="7"/>
      <c r="B85" s="7"/>
    </row>
  </sheetData>
  <mergeCells count="1">
    <mergeCell ref="B1:I1"/>
  </mergeCells>
  <dataValidations count="4">
    <dataValidation type="list" allowBlank="1" showInputMessage="1" showErrorMessage="1" sqref="E5:E6">
      <formula1>"tango_core_model:Report_PL,tango_core_model:RP_PL"</formula1>
    </dataValidation>
    <dataValidation type="list" allowBlank="1" showInputMessage="1" showErrorMessage="1" sqref="E11">
      <formula1>"French,English"</formula1>
    </dataValidation>
    <dataValidation type="list" allowBlank="1" showInputMessage="1" showErrorMessage="1" sqref="E17:G17">
      <formula1>"ACT_TOT,BUDG_VC_TOT,FC_1_VC_TOT,FC_2_VC_TOT"</formula1>
    </dataValidation>
    <dataValidation type="list" allowBlank="1" showInputMessage="1" showErrorMessage="1" sqref="E7">
      <formula1>$D$41:$D$59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J">
                <anchor moveWithCells="1" sizeWithCells="1">
                  <from>
                    <xdr:col>4</xdr:col>
                    <xdr:colOff>47625</xdr:colOff>
                    <xdr:row>30</xdr:row>
                    <xdr:rowOff>190500</xdr:rowOff>
                  </from>
                  <to>
                    <xdr:col>5</xdr:col>
                    <xdr:colOff>1047750</xdr:colOff>
                    <xdr:row>33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FF0000"/>
    <pageSetUpPr fitToPage="1"/>
  </sheetPr>
  <dimension ref="A1:AC59"/>
  <sheetViews>
    <sheetView showGridLines="0" zoomScale="90" zoomScaleNormal="90" workbookViewId="0">
      <pane xSplit="6" ySplit="14" topLeftCell="G15" activePane="bottomRight" state="frozen"/>
      <selection activeCell="D1" sqref="D1"/>
      <selection pane="topRight" activeCell="G1" sqref="G1"/>
      <selection pane="bottomLeft" activeCell="D15" sqref="D15"/>
      <selection pane="bottomRight" activeCell="G13" sqref="G13"/>
    </sheetView>
  </sheetViews>
  <sheetFormatPr baseColWidth="10" defaultRowHeight="12.75" outlineLevelRow="1" outlineLevelCol="1"/>
  <cols>
    <col min="1" max="1" width="20.28515625" style="92" hidden="1" customWidth="1" outlineLevel="1"/>
    <col min="2" max="2" width="24.5703125" style="92" hidden="1" customWidth="1" outlineLevel="1"/>
    <col min="3" max="3" width="6.42578125" style="117" hidden="1" customWidth="1" outlineLevel="1"/>
    <col min="4" max="4" width="37.28515625" style="92" customWidth="1" collapsed="1"/>
    <col min="5" max="6" width="1.140625" style="117" customWidth="1"/>
    <col min="7" max="9" width="12.7109375" style="92" customWidth="1"/>
    <col min="10" max="11" width="12.7109375" style="128" customWidth="1"/>
    <col min="12" max="12" width="2.28515625" style="92" customWidth="1"/>
    <col min="13" max="13" width="14.85546875" style="92" bestFit="1" customWidth="1"/>
    <col min="14" max="190" width="11.42578125" style="92"/>
    <col min="191" max="191" width="19.140625" style="92" customWidth="1"/>
    <col min="192" max="202" width="9.28515625" style="92" customWidth="1"/>
    <col min="203" max="446" width="11.42578125" style="92"/>
    <col min="447" max="447" width="19.140625" style="92" customWidth="1"/>
    <col min="448" max="458" width="9.28515625" style="92" customWidth="1"/>
    <col min="459" max="702" width="11.42578125" style="92"/>
    <col min="703" max="703" width="19.140625" style="92" customWidth="1"/>
    <col min="704" max="714" width="9.28515625" style="92" customWidth="1"/>
    <col min="715" max="958" width="11.42578125" style="92"/>
    <col min="959" max="959" width="19.140625" style="92" customWidth="1"/>
    <col min="960" max="970" width="9.28515625" style="92" customWidth="1"/>
    <col min="971" max="1214" width="11.42578125" style="92"/>
    <col min="1215" max="1215" width="19.140625" style="92" customWidth="1"/>
    <col min="1216" max="1226" width="9.28515625" style="92" customWidth="1"/>
    <col min="1227" max="1470" width="11.42578125" style="92"/>
    <col min="1471" max="1471" width="19.140625" style="92" customWidth="1"/>
    <col min="1472" max="1482" width="9.28515625" style="92" customWidth="1"/>
    <col min="1483" max="1726" width="11.42578125" style="92"/>
    <col min="1727" max="1727" width="19.140625" style="92" customWidth="1"/>
    <col min="1728" max="1738" width="9.28515625" style="92" customWidth="1"/>
    <col min="1739" max="1982" width="11.42578125" style="92"/>
    <col min="1983" max="1983" width="19.140625" style="92" customWidth="1"/>
    <col min="1984" max="1994" width="9.28515625" style="92" customWidth="1"/>
    <col min="1995" max="2238" width="11.42578125" style="92"/>
    <col min="2239" max="2239" width="19.140625" style="92" customWidth="1"/>
    <col min="2240" max="2250" width="9.28515625" style="92" customWidth="1"/>
    <col min="2251" max="2494" width="11.42578125" style="92"/>
    <col min="2495" max="2495" width="19.140625" style="92" customWidth="1"/>
    <col min="2496" max="2506" width="9.28515625" style="92" customWidth="1"/>
    <col min="2507" max="2750" width="11.42578125" style="92"/>
    <col min="2751" max="2751" width="19.140625" style="92" customWidth="1"/>
    <col min="2752" max="2762" width="9.28515625" style="92" customWidth="1"/>
    <col min="2763" max="3006" width="11.42578125" style="92"/>
    <col min="3007" max="3007" width="19.140625" style="92" customWidth="1"/>
    <col min="3008" max="3018" width="9.28515625" style="92" customWidth="1"/>
    <col min="3019" max="3262" width="11.42578125" style="92"/>
    <col min="3263" max="3263" width="19.140625" style="92" customWidth="1"/>
    <col min="3264" max="3274" width="9.28515625" style="92" customWidth="1"/>
    <col min="3275" max="3518" width="11.42578125" style="92"/>
    <col min="3519" max="3519" width="19.140625" style="92" customWidth="1"/>
    <col min="3520" max="3530" width="9.28515625" style="92" customWidth="1"/>
    <col min="3531" max="3774" width="11.42578125" style="92"/>
    <col min="3775" max="3775" width="19.140625" style="92" customWidth="1"/>
    <col min="3776" max="3786" width="9.28515625" style="92" customWidth="1"/>
    <col min="3787" max="4030" width="11.42578125" style="92"/>
    <col min="4031" max="4031" width="19.140625" style="92" customWidth="1"/>
    <col min="4032" max="4042" width="9.28515625" style="92" customWidth="1"/>
    <col min="4043" max="4286" width="11.42578125" style="92"/>
    <col min="4287" max="4287" width="19.140625" style="92" customWidth="1"/>
    <col min="4288" max="4298" width="9.28515625" style="92" customWidth="1"/>
    <col min="4299" max="4542" width="11.42578125" style="92"/>
    <col min="4543" max="4543" width="19.140625" style="92" customWidth="1"/>
    <col min="4544" max="4554" width="9.28515625" style="92" customWidth="1"/>
    <col min="4555" max="4798" width="11.42578125" style="92"/>
    <col min="4799" max="4799" width="19.140625" style="92" customWidth="1"/>
    <col min="4800" max="4810" width="9.28515625" style="92" customWidth="1"/>
    <col min="4811" max="5054" width="11.42578125" style="92"/>
    <col min="5055" max="5055" width="19.140625" style="92" customWidth="1"/>
    <col min="5056" max="5066" width="9.28515625" style="92" customWidth="1"/>
    <col min="5067" max="5310" width="11.42578125" style="92"/>
    <col min="5311" max="5311" width="19.140625" style="92" customWidth="1"/>
    <col min="5312" max="5322" width="9.28515625" style="92" customWidth="1"/>
    <col min="5323" max="5566" width="11.42578125" style="92"/>
    <col min="5567" max="5567" width="19.140625" style="92" customWidth="1"/>
    <col min="5568" max="5578" width="9.28515625" style="92" customWidth="1"/>
    <col min="5579" max="5822" width="11.42578125" style="92"/>
    <col min="5823" max="5823" width="19.140625" style="92" customWidth="1"/>
    <col min="5824" max="5834" width="9.28515625" style="92" customWidth="1"/>
    <col min="5835" max="6078" width="11.42578125" style="92"/>
    <col min="6079" max="6079" width="19.140625" style="92" customWidth="1"/>
    <col min="6080" max="6090" width="9.28515625" style="92" customWidth="1"/>
    <col min="6091" max="6334" width="11.42578125" style="92"/>
    <col min="6335" max="6335" width="19.140625" style="92" customWidth="1"/>
    <col min="6336" max="6346" width="9.28515625" style="92" customWidth="1"/>
    <col min="6347" max="6590" width="11.42578125" style="92"/>
    <col min="6591" max="6591" width="19.140625" style="92" customWidth="1"/>
    <col min="6592" max="6602" width="9.28515625" style="92" customWidth="1"/>
    <col min="6603" max="6846" width="11.42578125" style="92"/>
    <col min="6847" max="6847" width="19.140625" style="92" customWidth="1"/>
    <col min="6848" max="6858" width="9.28515625" style="92" customWidth="1"/>
    <col min="6859" max="7102" width="11.42578125" style="92"/>
    <col min="7103" max="7103" width="19.140625" style="92" customWidth="1"/>
    <col min="7104" max="7114" width="9.28515625" style="92" customWidth="1"/>
    <col min="7115" max="7358" width="11.42578125" style="92"/>
    <col min="7359" max="7359" width="19.140625" style="92" customWidth="1"/>
    <col min="7360" max="7370" width="9.28515625" style="92" customWidth="1"/>
    <col min="7371" max="7614" width="11.42578125" style="92"/>
    <col min="7615" max="7615" width="19.140625" style="92" customWidth="1"/>
    <col min="7616" max="7626" width="9.28515625" style="92" customWidth="1"/>
    <col min="7627" max="7870" width="11.42578125" style="92"/>
    <col min="7871" max="7871" width="19.140625" style="92" customWidth="1"/>
    <col min="7872" max="7882" width="9.28515625" style="92" customWidth="1"/>
    <col min="7883" max="8126" width="11.42578125" style="92"/>
    <col min="8127" max="8127" width="19.140625" style="92" customWidth="1"/>
    <col min="8128" max="8138" width="9.28515625" style="92" customWidth="1"/>
    <col min="8139" max="8382" width="11.42578125" style="92"/>
    <col min="8383" max="8383" width="19.140625" style="92" customWidth="1"/>
    <col min="8384" max="8394" width="9.28515625" style="92" customWidth="1"/>
    <col min="8395" max="8638" width="11.42578125" style="92"/>
    <col min="8639" max="8639" width="19.140625" style="92" customWidth="1"/>
    <col min="8640" max="8650" width="9.28515625" style="92" customWidth="1"/>
    <col min="8651" max="8894" width="11.42578125" style="92"/>
    <col min="8895" max="8895" width="19.140625" style="92" customWidth="1"/>
    <col min="8896" max="8906" width="9.28515625" style="92" customWidth="1"/>
    <col min="8907" max="9150" width="11.42578125" style="92"/>
    <col min="9151" max="9151" width="19.140625" style="92" customWidth="1"/>
    <col min="9152" max="9162" width="9.28515625" style="92" customWidth="1"/>
    <col min="9163" max="9406" width="11.42578125" style="92"/>
    <col min="9407" max="9407" width="19.140625" style="92" customWidth="1"/>
    <col min="9408" max="9418" width="9.28515625" style="92" customWidth="1"/>
    <col min="9419" max="9662" width="11.42578125" style="92"/>
    <col min="9663" max="9663" width="19.140625" style="92" customWidth="1"/>
    <col min="9664" max="9674" width="9.28515625" style="92" customWidth="1"/>
    <col min="9675" max="9918" width="11.42578125" style="92"/>
    <col min="9919" max="9919" width="19.140625" style="92" customWidth="1"/>
    <col min="9920" max="9930" width="9.28515625" style="92" customWidth="1"/>
    <col min="9931" max="10174" width="11.42578125" style="92"/>
    <col min="10175" max="10175" width="19.140625" style="92" customWidth="1"/>
    <col min="10176" max="10186" width="9.28515625" style="92" customWidth="1"/>
    <col min="10187" max="10430" width="11.42578125" style="92"/>
    <col min="10431" max="10431" width="19.140625" style="92" customWidth="1"/>
    <col min="10432" max="10442" width="9.28515625" style="92" customWidth="1"/>
    <col min="10443" max="10686" width="11.42578125" style="92"/>
    <col min="10687" max="10687" width="19.140625" style="92" customWidth="1"/>
    <col min="10688" max="10698" width="9.28515625" style="92" customWidth="1"/>
    <col min="10699" max="10942" width="11.42578125" style="92"/>
    <col min="10943" max="10943" width="19.140625" style="92" customWidth="1"/>
    <col min="10944" max="10954" width="9.28515625" style="92" customWidth="1"/>
    <col min="10955" max="11198" width="11.42578125" style="92"/>
    <col min="11199" max="11199" width="19.140625" style="92" customWidth="1"/>
    <col min="11200" max="11210" width="9.28515625" style="92" customWidth="1"/>
    <col min="11211" max="11454" width="11.42578125" style="92"/>
    <col min="11455" max="11455" width="19.140625" style="92" customWidth="1"/>
    <col min="11456" max="11466" width="9.28515625" style="92" customWidth="1"/>
    <col min="11467" max="11710" width="11.42578125" style="92"/>
    <col min="11711" max="11711" width="19.140625" style="92" customWidth="1"/>
    <col min="11712" max="11722" width="9.28515625" style="92" customWidth="1"/>
    <col min="11723" max="11966" width="11.42578125" style="92"/>
    <col min="11967" max="11967" width="19.140625" style="92" customWidth="1"/>
    <col min="11968" max="11978" width="9.28515625" style="92" customWidth="1"/>
    <col min="11979" max="12222" width="11.42578125" style="92"/>
    <col min="12223" max="12223" width="19.140625" style="92" customWidth="1"/>
    <col min="12224" max="12234" width="9.28515625" style="92" customWidth="1"/>
    <col min="12235" max="12478" width="11.42578125" style="92"/>
    <col min="12479" max="12479" width="19.140625" style="92" customWidth="1"/>
    <col min="12480" max="12490" width="9.28515625" style="92" customWidth="1"/>
    <col min="12491" max="12734" width="11.42578125" style="92"/>
    <col min="12735" max="12735" width="19.140625" style="92" customWidth="1"/>
    <col min="12736" max="12746" width="9.28515625" style="92" customWidth="1"/>
    <col min="12747" max="12990" width="11.42578125" style="92"/>
    <col min="12991" max="12991" width="19.140625" style="92" customWidth="1"/>
    <col min="12992" max="13002" width="9.28515625" style="92" customWidth="1"/>
    <col min="13003" max="13246" width="11.42578125" style="92"/>
    <col min="13247" max="13247" width="19.140625" style="92" customWidth="1"/>
    <col min="13248" max="13258" width="9.28515625" style="92" customWidth="1"/>
    <col min="13259" max="13502" width="11.42578125" style="92"/>
    <col min="13503" max="13503" width="19.140625" style="92" customWidth="1"/>
    <col min="13504" max="13514" width="9.28515625" style="92" customWidth="1"/>
    <col min="13515" max="13758" width="11.42578125" style="92"/>
    <col min="13759" max="13759" width="19.140625" style="92" customWidth="1"/>
    <col min="13760" max="13770" width="9.28515625" style="92" customWidth="1"/>
    <col min="13771" max="14014" width="11.42578125" style="92"/>
    <col min="14015" max="14015" width="19.140625" style="92" customWidth="1"/>
    <col min="14016" max="14026" width="9.28515625" style="92" customWidth="1"/>
    <col min="14027" max="14270" width="11.42578125" style="92"/>
    <col min="14271" max="14271" width="19.140625" style="92" customWidth="1"/>
    <col min="14272" max="14282" width="9.28515625" style="92" customWidth="1"/>
    <col min="14283" max="14526" width="11.42578125" style="92"/>
    <col min="14527" max="14527" width="19.140625" style="92" customWidth="1"/>
    <col min="14528" max="14538" width="9.28515625" style="92" customWidth="1"/>
    <col min="14539" max="14782" width="11.42578125" style="92"/>
    <col min="14783" max="14783" width="19.140625" style="92" customWidth="1"/>
    <col min="14784" max="14794" width="9.28515625" style="92" customWidth="1"/>
    <col min="14795" max="15038" width="11.42578125" style="92"/>
    <col min="15039" max="15039" width="19.140625" style="92" customWidth="1"/>
    <col min="15040" max="15050" width="9.28515625" style="92" customWidth="1"/>
    <col min="15051" max="15294" width="11.42578125" style="92"/>
    <col min="15295" max="15295" width="19.140625" style="92" customWidth="1"/>
    <col min="15296" max="15306" width="9.28515625" style="92" customWidth="1"/>
    <col min="15307" max="15550" width="11.42578125" style="92"/>
    <col min="15551" max="15551" width="19.140625" style="92" customWidth="1"/>
    <col min="15552" max="15562" width="9.28515625" style="92" customWidth="1"/>
    <col min="15563" max="15806" width="11.42578125" style="92"/>
    <col min="15807" max="15807" width="19.140625" style="92" customWidth="1"/>
    <col min="15808" max="15818" width="9.28515625" style="92" customWidth="1"/>
    <col min="15819" max="16062" width="11.42578125" style="92"/>
    <col min="16063" max="16063" width="19.140625" style="92" customWidth="1"/>
    <col min="16064" max="16074" width="9.28515625" style="92" customWidth="1"/>
    <col min="16075" max="16384" width="11.42578125" style="92"/>
  </cols>
  <sheetData>
    <row r="1" spans="1:29" s="94" customFormat="1" ht="61.5" customHeight="1">
      <c r="D1" s="189" t="str">
        <f ca="1">IF(Language="English",UPPER(_xll.DBRA("tango_core_model:legal_organization",Country,Language))&amp;"  - S&amp;GA ANALYSIS  BY FUNCTION ",UPPER(_xll.DBRA("tango_core_model:legal_organization",Country,Language))&amp;"  - ANALYSE SG&amp;A PAR FONCTION ")</f>
        <v xml:space="preserve">NOT AFFECTED  - S&amp;GA ANALYSIS  BY FUNCTION 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</row>
    <row r="2" spans="1:29" s="94" customFormat="1" ht="36" customHeight="1">
      <c r="C2" s="95"/>
      <c r="D2" s="85"/>
      <c r="E2" s="85"/>
      <c r="F2" s="85"/>
      <c r="G2" s="96"/>
      <c r="H2" s="97"/>
      <c r="I2" s="97"/>
      <c r="J2" s="98"/>
      <c r="K2" s="98"/>
    </row>
    <row r="3" spans="1:29" s="41" customFormat="1" hidden="1" outlineLevel="1">
      <c r="A3" s="99" t="s">
        <v>22</v>
      </c>
      <c r="B3" s="99" t="str">
        <f ca="1">Cube</f>
        <v>tango_core_model:Report_PL</v>
      </c>
      <c r="C3" s="45"/>
      <c r="D3" s="86"/>
      <c r="E3" s="86"/>
      <c r="F3" s="86"/>
      <c r="G3" s="100"/>
      <c r="H3" s="100"/>
      <c r="I3" s="100"/>
      <c r="J3" s="101"/>
      <c r="K3" s="102"/>
      <c r="N3" s="103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5"/>
      <c r="AC3" s="40"/>
    </row>
    <row r="4" spans="1:29" s="110" customFormat="1" ht="20.25" hidden="1" customHeight="1" outlineLevel="1">
      <c r="A4" s="106" t="s">
        <v>17</v>
      </c>
      <c r="B4" s="99" t="str">
        <f ca="1">Gaap</f>
        <v>Local Gaap Management tool</v>
      </c>
      <c r="C4" s="107"/>
      <c r="D4" s="87" t="s">
        <v>26</v>
      </c>
      <c r="E4" s="108"/>
      <c r="F4" s="108"/>
      <c r="G4" s="87" t="str">
        <f ca="1">Context!$E$16</f>
        <v>2019.02_YTD</v>
      </c>
      <c r="H4" s="87" t="str">
        <f ca="1">Context!$F$16</f>
        <v>2019.02_YTD</v>
      </c>
      <c r="I4" s="87" t="str">
        <f ca="1">Context!$G$16</f>
        <v>2018.02_YTD</v>
      </c>
      <c r="J4" s="109"/>
      <c r="K4" s="109"/>
      <c r="N4" s="103"/>
      <c r="O4" s="190"/>
      <c r="P4" s="190"/>
      <c r="Q4" s="190"/>
      <c r="R4" s="190"/>
      <c r="S4" s="190"/>
      <c r="T4" s="190"/>
      <c r="U4" s="190"/>
      <c r="V4" s="190"/>
      <c r="W4" s="190"/>
      <c r="X4" s="190"/>
      <c r="Y4" s="190"/>
      <c r="Z4" s="190"/>
      <c r="AA4" s="190"/>
      <c r="AB4" s="190"/>
      <c r="AC4" s="108"/>
    </row>
    <row r="5" spans="1:29" s="112" customFormat="1" hidden="1" outlineLevel="1">
      <c r="A5" s="99" t="s">
        <v>20</v>
      </c>
      <c r="B5" s="99" t="str">
        <f ca="1">_xll.SUBNM("tango_core_model:Currency","","kEUR")</f>
        <v>KEUR</v>
      </c>
      <c r="C5" s="45"/>
      <c r="D5" s="42" t="s">
        <v>27</v>
      </c>
      <c r="E5" s="86"/>
      <c r="F5" s="86"/>
      <c r="G5" s="87" t="str">
        <f ca="1">Context!$E$17</f>
        <v>ACT_TOT</v>
      </c>
      <c r="H5" s="87" t="str">
        <f ca="1">Context!$F$17</f>
        <v>BUDG_VC_TOT</v>
      </c>
      <c r="I5" s="87" t="str">
        <f ca="1">Context!$G$17</f>
        <v>ACT_TOT</v>
      </c>
      <c r="J5" s="109"/>
      <c r="K5" s="111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</row>
    <row r="6" spans="1:29" s="112" customFormat="1" hidden="1" outlineLevel="1">
      <c r="A6" s="99" t="s">
        <v>18</v>
      </c>
      <c r="B6" s="99" t="str">
        <f ca="1">Integration_Rate</f>
        <v>APP</v>
      </c>
      <c r="C6" s="45"/>
      <c r="D6" s="42" t="s">
        <v>19</v>
      </c>
      <c r="E6" s="86"/>
      <c r="F6" s="86"/>
      <c r="G6" s="99" t="s">
        <v>48</v>
      </c>
      <c r="H6" s="87" t="str">
        <f ca="1">G6</f>
        <v>All activity</v>
      </c>
      <c r="I6" s="87" t="str">
        <f ca="1">G6</f>
        <v>All activity</v>
      </c>
      <c r="J6" s="109"/>
      <c r="K6" s="111"/>
    </row>
    <row r="7" spans="1:29" s="112" customFormat="1" hidden="1" outlineLevel="1">
      <c r="A7" s="99"/>
      <c r="B7" s="99"/>
      <c r="C7" s="45"/>
      <c r="D7" s="88" t="s">
        <v>21</v>
      </c>
      <c r="E7" s="86"/>
      <c r="F7" s="86"/>
      <c r="G7" s="99" t="str">
        <f ca="1">Country</f>
        <v>NA</v>
      </c>
      <c r="H7" s="99" t="str">
        <f ca="1">Country</f>
        <v>NA</v>
      </c>
      <c r="I7" s="99" t="str">
        <f ca="1">Country</f>
        <v>NA</v>
      </c>
      <c r="J7" s="109"/>
      <c r="K7" s="111"/>
    </row>
    <row r="8" spans="1:29" s="114" customFormat="1" hidden="1" outlineLevel="1">
      <c r="C8" s="50"/>
      <c r="D8" s="88" t="s">
        <v>25</v>
      </c>
      <c r="E8" s="50"/>
      <c r="F8" s="50"/>
      <c r="G8" s="88">
        <f ca="1">IF(LEFT(G4,1)="F",_xll.DBR("tango_core_model:ST_Currency",G4,MID(G5,1,LEN(G5)-4),Devise,"EUR",$D$8),_xll.DBR("tango_core_model:ST_Currency",LEFT(G4,7),MID(G5,1,LEN(G5)-4),Devise,"EUR",$D$8))</f>
        <v>1</v>
      </c>
      <c r="H8" s="88">
        <f ca="1">IF(LEFT(H4,1)="F",_xll.DBR("tango_core_model:ST_Currency",H4,MID(H5,1,LEN(H5)-4),Devise,"EUR",$D$8),_xll.DBR("tango_core_model:ST_Currency",LEFT(H4,7),MID(H5,1,LEN(H5)-4),Devise,"EUR",$D$8))</f>
        <v>1</v>
      </c>
      <c r="I8" s="88">
        <f ca="1">IF(LEFT(I4,1)="F",_xll.DBR("tango_core_model:ST_Currency",I4,MID(I5,1,LEN(I5)-4),Devise,"EUR",$D$8),_xll.DBR("tango_core_model:ST_Currency",LEFT(I4,7),MID(I5,1,LEN(I5)-4),Devise,"EUR",$D$8))</f>
        <v>1</v>
      </c>
      <c r="J8" s="115"/>
      <c r="K8" s="115"/>
    </row>
    <row r="9" spans="1:29" s="114" customFormat="1" hidden="1" outlineLevel="1">
      <c r="A9" s="88" t="s">
        <v>23</v>
      </c>
      <c r="B9" s="88" t="str">
        <f ca="1">Management_Organization</f>
        <v>TRANSDEV All</v>
      </c>
      <c r="C9" s="50"/>
      <c r="D9" s="89" t="s">
        <v>24</v>
      </c>
      <c r="E9" s="116"/>
      <c r="F9" s="116"/>
      <c r="G9" s="88">
        <f ca="1">IF(LEFT(G4,1)="F",_xll.DBR("tango_core_model:ST_Currency",G4,MID(G5,1,LEN(G5)-4),Devise,"EUR",$D$9),_xll.DBR("tango_core_model:ST_Currency",LEFT(G4,7),MID(G5,1,LEN(G5)-4),Devise,"EUR",$D$9))</f>
        <v>1</v>
      </c>
      <c r="H9" s="88">
        <f ca="1">IF(LEFT(H4,1)="F",_xll.DBR("tango_core_model:ST_Currency",H4,MID(H5,1,LEN(H5)-4),Devise,"EUR",$D$9),_xll.DBR("tango_core_model:ST_Currency",LEFT(H4,7),MID(H5,1,LEN(H5)-4),Devise,"EUR",$D$9))</f>
        <v>1</v>
      </c>
      <c r="I9" s="88">
        <f ca="1">IF(LEFT(I4,1)="F",_xll.DBR("tango_core_model:ST_Currency",I4,MID(I5,1,LEN(I5)-4),Devise,"EUR",$D$9),_xll.DBR("tango_core_model:ST_Currency",LEFT(I4,7),MID(I5,1,LEN(I5)-4),Devise,"EUR",$D$9))</f>
        <v>1</v>
      </c>
      <c r="J9" s="115"/>
      <c r="K9" s="115"/>
    </row>
    <row r="10" spans="1:29" hidden="1" outlineLevel="1">
      <c r="D10" s="46"/>
      <c r="E10" s="118"/>
      <c r="F10" s="118"/>
      <c r="G10" s="47"/>
      <c r="H10" s="47"/>
      <c r="I10" s="47"/>
      <c r="J10" s="48"/>
      <c r="K10" s="48"/>
    </row>
    <row r="11" spans="1:29" collapsed="1">
      <c r="D11" s="46"/>
      <c r="E11" s="118"/>
      <c r="F11" s="118"/>
      <c r="G11" s="47"/>
      <c r="H11" s="47"/>
      <c r="I11" s="47"/>
      <c r="J11" s="48"/>
      <c r="K11" s="48"/>
    </row>
    <row r="12" spans="1:29" s="136" customFormat="1" ht="19.5">
      <c r="A12" s="135"/>
      <c r="G12" s="191" t="str">
        <f ca="1">IF(Language="French","Montant des SG&amp;A","Amount of SG&amp;A")</f>
        <v>Amount of SG&amp;A</v>
      </c>
      <c r="H12" s="191"/>
      <c r="I12" s="191"/>
      <c r="J12" s="191"/>
      <c r="K12" s="191"/>
      <c r="M12" s="191" t="str">
        <f ca="1">IF(Language="French","% PAO","% revenues")</f>
        <v>% revenues</v>
      </c>
      <c r="N12" s="191"/>
      <c r="O12" s="191"/>
    </row>
    <row r="13" spans="1:29" s="41" customFormat="1" ht="21" customHeight="1">
      <c r="A13" s="40"/>
      <c r="D13" s="90" t="str">
        <f ca="1">_xll.DBRA("tango_core_model:gaap",B4,Language)</f>
        <v>Local Gaap Management tool</v>
      </c>
      <c r="G13" s="44" t="str">
        <f ca="1">SUBSTITUTE(G4,"_YTD","")</f>
        <v>2019.02</v>
      </c>
      <c r="H13" s="44" t="str">
        <f ca="1">SUBSTITUTE(H4,"_YTD","")</f>
        <v>2019.02</v>
      </c>
      <c r="I13" s="44" t="str">
        <f ca="1">SUBSTITUTE(I4,"_YTD","")</f>
        <v>2018.02</v>
      </c>
      <c r="J13" s="192" t="str">
        <f ca="1">IF(LEFT(H13,1)="F","Var vs "&amp;H14&amp;" "&amp;RIGHT(H13,4),"Var vs "&amp;H14&amp;" "&amp;LEFT(H13,4))</f>
        <v>Var vs BUDG_VC 2019</v>
      </c>
      <c r="K13" s="192" t="str">
        <f ca="1">IF(LEFT(I13,1)="F","Var vs "&amp;I14&amp;" "&amp;RIGHT(I13,4),"Var vs "&amp;I14&amp;" "&amp;LEFT(I13,4))</f>
        <v>Var vs ACT 2018</v>
      </c>
      <c r="M13" s="44" t="str">
        <f ca="1">+G13</f>
        <v>2019.02</v>
      </c>
      <c r="N13" s="44" t="str">
        <f t="shared" ref="N13:N14" ca="1" si="0">+H13</f>
        <v>2019.02</v>
      </c>
      <c r="O13" s="44" t="str">
        <f t="shared" ref="O13:O14" ca="1" si="1">+I13</f>
        <v>2018.02</v>
      </c>
    </row>
    <row r="14" spans="1:29" s="41" customFormat="1">
      <c r="A14" s="40"/>
      <c r="D14" s="90" t="str">
        <f ca="1">"K"&amp;Devise</f>
        <v>KEUR</v>
      </c>
      <c r="G14" s="44" t="str">
        <f ca="1">SUBSTITUTE(G5,"_TOT","")</f>
        <v>ACT</v>
      </c>
      <c r="H14" s="44" t="str">
        <f ca="1">SUBSTITUTE(H5,"_TOT","")</f>
        <v>BUDG_VC</v>
      </c>
      <c r="I14" s="44" t="str">
        <f ca="1">SUBSTITUTE(I5,"_TOT","")</f>
        <v>ACT</v>
      </c>
      <c r="J14" s="192"/>
      <c r="K14" s="192"/>
      <c r="M14" s="44" t="str">
        <f t="shared" ref="M14" ca="1" si="2">+G14</f>
        <v>ACT</v>
      </c>
      <c r="N14" s="44" t="str">
        <f t="shared" ca="1" si="0"/>
        <v>BUDG_VC</v>
      </c>
      <c r="O14" s="44" t="str">
        <f t="shared" ca="1" si="1"/>
        <v>ACT</v>
      </c>
    </row>
    <row r="15" spans="1:29" s="49" customFormat="1" ht="9.75" customHeight="1">
      <c r="A15" s="99"/>
      <c r="B15" s="40"/>
      <c r="C15" s="40"/>
      <c r="D15" s="46"/>
      <c r="E15" s="118"/>
      <c r="F15" s="118"/>
      <c r="G15" s="47"/>
      <c r="H15" s="47"/>
      <c r="I15" s="47"/>
      <c r="J15" s="48"/>
      <c r="K15" s="48"/>
      <c r="M15" s="47"/>
      <c r="N15" s="47"/>
      <c r="O15" s="47"/>
    </row>
    <row r="16" spans="1:29" s="123" customFormat="1" ht="26.1" customHeight="1">
      <c r="A16" s="119" t="s">
        <v>47</v>
      </c>
      <c r="B16" s="120"/>
      <c r="C16" s="120"/>
      <c r="D16" s="91" t="str">
        <f ca="1">_xll.DBRA("tango_core_model:indicator",A16,Language)</f>
        <v>REVENUE FROM ORDINARY ACTIVITIES (by destination)</v>
      </c>
      <c r="E16" s="121"/>
      <c r="F16" s="121"/>
      <c r="G16" s="163">
        <f ca="1">_xll.DBRW($B$3,G$6,$B$5,$B$4,$B$6,G$7,$B$9,G$4,G$5,$A16)*G$8</f>
        <v>0</v>
      </c>
      <c r="H16" s="163">
        <f ca="1">_xll.DBRW($B$3,H$6,$B$5,$B$4,$B$6,H$7,$B$9,H$4,H$5,$A16)*H$8</f>
        <v>0</v>
      </c>
      <c r="I16" s="163">
        <f ca="1">_xll.DBRW($B$3,I$6,$B$5,$B$4,$B$6,I$7,$B$9,I$4,I$5,$A16)*I$8</f>
        <v>0</v>
      </c>
      <c r="J16" s="163">
        <f ca="1">IF(OR(G16="",H16=""),"-",IFERROR((G16-H16),""))</f>
        <v>0</v>
      </c>
      <c r="K16" s="163">
        <f ca="1">IF(OR(G16="",I16=""),"-",IFERROR((G16-I16),""))</f>
        <v>0</v>
      </c>
      <c r="M16" s="163">
        <f ca="1">+G16</f>
        <v>0</v>
      </c>
      <c r="N16" s="163">
        <f ca="1">+H16</f>
        <v>0</v>
      </c>
      <c r="O16" s="163">
        <f ca="1">+I16</f>
        <v>0</v>
      </c>
    </row>
    <row r="17" spans="1:15" ht="6.75" customHeight="1">
      <c r="G17" s="49"/>
      <c r="H17" s="49"/>
      <c r="I17" s="49"/>
      <c r="J17" s="129"/>
      <c r="K17" s="129"/>
      <c r="M17" s="49"/>
      <c r="N17" s="49"/>
      <c r="O17" s="49"/>
    </row>
    <row r="18" spans="1:15" s="123" customFormat="1" ht="26.1" customHeight="1">
      <c r="A18" s="119" t="s">
        <v>87</v>
      </c>
      <c r="B18" s="120"/>
      <c r="C18" s="120"/>
      <c r="D18" s="91" t="str">
        <f ca="1">_xll.DBRA("tango_core_model:indicator",A18,Language)</f>
        <v>SELLING EXPENSES (by destination)</v>
      </c>
      <c r="E18" s="121"/>
      <c r="F18" s="121"/>
      <c r="G18" s="163">
        <f ca="1">_xll.DBRW($B$3,G$6,$B$5,$B$4,$B$6,G$7,$B$9,G$4,G$5,$A18)*G$8</f>
        <v>0</v>
      </c>
      <c r="H18" s="163">
        <f ca="1">_xll.DBRW($B$3,H$6,$B$5,$B$4,$B$6,H$7,$B$9,H$4,H$5,$A18)*H$8</f>
        <v>0</v>
      </c>
      <c r="I18" s="163">
        <f ca="1">_xll.DBRW($B$3,I$6,$B$5,$B$4,$B$6,I$7,$B$9,I$4,I$5,$A18)*I$8</f>
        <v>0</v>
      </c>
      <c r="J18" s="163">
        <f ca="1">IF(OR(G18="",H18=""),"-",IFERROR((G18-H18),""))</f>
        <v>0</v>
      </c>
      <c r="K18" s="163">
        <f ca="1">IF(OR(G18="",I18=""),"-",IFERROR((G18-I18),""))</f>
        <v>0</v>
      </c>
      <c r="M18" s="163">
        <f ca="1">+G18</f>
        <v>0</v>
      </c>
      <c r="N18" s="163">
        <f ca="1">+H18</f>
        <v>0</v>
      </c>
      <c r="O18" s="163">
        <f ca="1">+I18</f>
        <v>0</v>
      </c>
    </row>
    <row r="19" spans="1:15" s="134" customFormat="1" ht="24.75" customHeight="1">
      <c r="A19" s="130" t="s">
        <v>49</v>
      </c>
      <c r="B19" s="131"/>
      <c r="C19" s="131"/>
      <c r="D19" s="93" t="str">
        <f ca="1">IF(Language="French","% PAO","% revenues")</f>
        <v>% revenues</v>
      </c>
      <c r="E19" s="93"/>
      <c r="F19" s="93"/>
      <c r="G19" s="132" t="str">
        <f ca="1">IF(OR(G18=0,G$16=0),"-",IF(ABS(G18/G$16)&gt;2,"-",-G18/G$16))</f>
        <v>-</v>
      </c>
      <c r="H19" s="132" t="str">
        <f ca="1">IF(OR(H18=0,H$16=0),"-",IF(ABS(H18/H$16)&gt;2,"-",-H18/H$16))</f>
        <v>-</v>
      </c>
      <c r="I19" s="132" t="str">
        <f ca="1">IF(OR(I18=0,I$16=0),"-",IF(ABS(I18/I$16)&gt;2,"-",-I18/I$16))</f>
        <v>-</v>
      </c>
      <c r="J19" s="133"/>
      <c r="K19" s="133"/>
      <c r="M19" s="132" t="str">
        <f ca="1">IF(OR(M18=0,M$16=0),"-",IF(ABS(M18/M$16)&gt;2,"-",-M18/M$16))</f>
        <v>-</v>
      </c>
      <c r="N19" s="132" t="str">
        <f ca="1">IF(OR(N18=0,N$16=0),"-",IF(ABS(N18/N$16)&gt;2,"-",-N18/N$16))</f>
        <v>-</v>
      </c>
      <c r="O19" s="132" t="str">
        <f ca="1">IF(OR(O18=0,O$16=0),"-",IF(ABS(O18/O$16)&gt;2,"-",-O18/O$16))</f>
        <v>-</v>
      </c>
    </row>
    <row r="20" spans="1:15" ht="6.75" customHeight="1">
      <c r="G20" s="49"/>
      <c r="H20" s="49"/>
      <c r="I20" s="49"/>
      <c r="J20" s="129"/>
      <c r="K20" s="129"/>
      <c r="M20" s="49"/>
      <c r="N20" s="49"/>
      <c r="O20" s="49"/>
    </row>
    <row r="21" spans="1:15" s="123" customFormat="1" ht="26.1" customHeight="1">
      <c r="A21" s="119" t="s">
        <v>88</v>
      </c>
      <c r="B21" s="120"/>
      <c r="C21" s="120"/>
      <c r="D21" s="91" t="str">
        <f ca="1">_xll.DBRA("tango_core_model:indicator",A21,Language)</f>
        <v>GENERAL AND ADMINISTRATIVE COSTS (by destination)</v>
      </c>
      <c r="E21" s="121"/>
      <c r="F21" s="121"/>
      <c r="G21" s="163">
        <f ca="1">_xll.DBRW($B$3,G$6,$B$5,$B$4,$B$6,G$7,$B$9,G$4,G$5,$A21)*G$8</f>
        <v>0</v>
      </c>
      <c r="H21" s="163">
        <f ca="1">_xll.DBRW($B$3,H$6,$B$5,$B$4,$B$6,H$7,$B$9,H$4,H$5,$A21)*H$8</f>
        <v>0</v>
      </c>
      <c r="I21" s="163">
        <f ca="1">_xll.DBRW($B$3,I$6,$B$5,$B$4,$B$6,I$7,$B$9,I$4,I$5,$A21)*I$8</f>
        <v>0</v>
      </c>
      <c r="J21" s="163">
        <f ca="1">IF(OR(G21="",H21=""),"-",IFERROR((G21-H21),""))</f>
        <v>0</v>
      </c>
      <c r="K21" s="163">
        <f ca="1">IF(OR(G21="",I21=""),"-",IFERROR((G21-I21),""))</f>
        <v>0</v>
      </c>
      <c r="M21" s="163">
        <f ca="1">+G21</f>
        <v>0</v>
      </c>
      <c r="N21" s="163">
        <f ca="1">+H21</f>
        <v>0</v>
      </c>
      <c r="O21" s="163">
        <f ca="1">+I21</f>
        <v>0</v>
      </c>
    </row>
    <row r="22" spans="1:15" s="134" customFormat="1" ht="24.75" customHeight="1">
      <c r="A22" s="130" t="s">
        <v>49</v>
      </c>
      <c r="B22" s="131"/>
      <c r="C22" s="131"/>
      <c r="D22" s="93" t="str">
        <f ca="1">IF(Language="French","% PAO","% revenues")</f>
        <v>% revenues</v>
      </c>
      <c r="E22" s="93"/>
      <c r="F22" s="93"/>
      <c r="G22" s="132" t="str">
        <f ca="1">IF(OR(G21=0,G$16=0),"-",IF(ABS(G21/G$16)&gt;2,"-",-G21/G$16))</f>
        <v>-</v>
      </c>
      <c r="H22" s="132" t="str">
        <f ca="1">IF(OR(H21=0,H$16=0),"-",IF(ABS(H21/H$16)&gt;2,"-",-H21/H$16))</f>
        <v>-</v>
      </c>
      <c r="I22" s="132" t="str">
        <f ca="1">IF(OR(I21=0,I$16=0),"-",IF(ABS(I21/I$16)&gt;2,"-",-I21/I$16))</f>
        <v>-</v>
      </c>
      <c r="J22" s="133"/>
      <c r="K22" s="133"/>
      <c r="M22" s="132" t="str">
        <f ca="1">IF(OR(M21=0,M$16=0),"-",IF(ABS(M21/M$16)&gt;2,"-",-M21/M$16))</f>
        <v>-</v>
      </c>
      <c r="N22" s="132" t="str">
        <f ca="1">IF(OR(N21=0,N$16=0),"-",IF(ABS(N21/N$16)&gt;2,"-",-N21/N$16))</f>
        <v>-</v>
      </c>
      <c r="O22" s="132" t="str">
        <f ca="1">IF(OR(O21=0,O$16=0),"-",IF(ABS(O21/O$16)&gt;2,"-",-O21/O$16))</f>
        <v>-</v>
      </c>
    </row>
    <row r="23" spans="1:15" s="134" customFormat="1" ht="6.75" customHeight="1">
      <c r="A23" s="130"/>
      <c r="B23" s="131"/>
      <c r="C23" s="131"/>
      <c r="D23" s="93"/>
      <c r="E23" s="93"/>
      <c r="F23" s="93"/>
      <c r="G23" s="132"/>
      <c r="H23" s="132"/>
      <c r="I23" s="132"/>
      <c r="J23" s="133"/>
      <c r="K23" s="133"/>
      <c r="M23" s="132"/>
      <c r="N23" s="132"/>
      <c r="O23" s="132"/>
    </row>
    <row r="24" spans="1:15" s="134" customFormat="1" ht="19.5">
      <c r="A24" s="130"/>
      <c r="B24" s="131"/>
      <c r="C24" s="131"/>
      <c r="D24" s="93"/>
      <c r="E24" s="93"/>
      <c r="F24" s="93"/>
      <c r="G24" s="191" t="str">
        <f ca="1">IF(Language="French","SG&amp;A par fonction","SG&amp;A by function")</f>
        <v>SG&amp;A by function</v>
      </c>
      <c r="H24" s="191"/>
      <c r="I24" s="191"/>
      <c r="J24" s="191"/>
      <c r="K24" s="191"/>
      <c r="M24" s="191" t="str">
        <f ca="1">IF(Language="French","% SG&amp;A","% SG&amp;A")</f>
        <v>% SG&amp;A</v>
      </c>
      <c r="N24" s="191"/>
      <c r="O24" s="191"/>
    </row>
    <row r="25" spans="1:15" s="127" customFormat="1" ht="14.25" customHeight="1">
      <c r="A25" s="124" t="s">
        <v>89</v>
      </c>
      <c r="B25" s="125"/>
      <c r="C25" s="125"/>
      <c r="D25" s="158" t="str">
        <f ca="1">_xll.DBRA("tango_core_model:indicator",A25,Language)</f>
        <v>Communication</v>
      </c>
      <c r="E25" s="158"/>
      <c r="F25" s="158"/>
      <c r="G25" s="159">
        <f ca="1">_xll.DBRW($B$3,G$6,$B$5,$B$4,$B$6,G$7,$B$9,G$4,G$5,$A25)*G$8</f>
        <v>0</v>
      </c>
      <c r="H25" s="159">
        <f ca="1">_xll.DBRW($B$3,H$6,$B$5,$B$4,$B$6,H$7,$B$9,H$4,H$5,$A25)*H$8</f>
        <v>0</v>
      </c>
      <c r="I25" s="159">
        <f ca="1">_xll.DBRW($B$3,I$6,$B$5,$B$4,$B$6,I$7,$B$9,I$4,I$5,$A25)*I$8</f>
        <v>0</v>
      </c>
      <c r="J25" s="159">
        <f t="shared" ref="J25:J40" ca="1" si="3">IF(OR(G25="",H25=""),"-",IFERROR((G25-H25),""))</f>
        <v>0</v>
      </c>
      <c r="K25" s="159">
        <f t="shared" ref="K25:K40" ca="1" si="4">IF(OR(G25="",I25=""),"-",IFERROR((G25-I25),""))</f>
        <v>0</v>
      </c>
      <c r="M25" s="160" t="str">
        <f ca="1">IFERROR(G25/G$21,"-")</f>
        <v>-</v>
      </c>
      <c r="N25" s="160" t="str">
        <f ca="1">IFERROR(H25/H$21,"-")</f>
        <v>-</v>
      </c>
      <c r="O25" s="160" t="str">
        <f ca="1">IFERROR(I25/I$21,"-")</f>
        <v>-</v>
      </c>
    </row>
    <row r="26" spans="1:15" s="127" customFormat="1" ht="14.25" customHeight="1">
      <c r="A26" s="124" t="s">
        <v>90</v>
      </c>
      <c r="B26" s="125"/>
      <c r="C26" s="125"/>
      <c r="D26" s="162" t="str">
        <f ca="1">_xll.DBRA("tango_core_model:indicator",A26,Language)</f>
        <v>Finance</v>
      </c>
      <c r="E26" s="162"/>
      <c r="F26" s="162"/>
      <c r="G26" s="126">
        <f ca="1">_xll.DBRW($B$3,G$6,$B$5,$B$4,$B$6,G$7,$B$9,G$4,G$5,$A26)*G$8</f>
        <v>0</v>
      </c>
      <c r="H26" s="126">
        <f ca="1">_xll.DBRW($B$3,H$6,$B$5,$B$4,$B$6,H$7,$B$9,H$4,H$5,$A26)*H$8</f>
        <v>0</v>
      </c>
      <c r="I26" s="126">
        <f ca="1">_xll.DBRW($B$3,I$6,$B$5,$B$4,$B$6,I$7,$B$9,I$4,I$5,$A26)*I$8</f>
        <v>0</v>
      </c>
      <c r="J26" s="126">
        <f t="shared" ca="1" si="3"/>
        <v>0</v>
      </c>
      <c r="K26" s="126">
        <f t="shared" ca="1" si="4"/>
        <v>0</v>
      </c>
      <c r="M26" s="161" t="str">
        <f t="shared" ref="M26:M40" ca="1" si="5">IFERROR(G26/G$21,"-")</f>
        <v>-</v>
      </c>
      <c r="N26" s="161" t="str">
        <f t="shared" ref="N26:N40" ca="1" si="6">IFERROR(H26/H$21,"-")</f>
        <v>-</v>
      </c>
      <c r="O26" s="161" t="str">
        <f t="shared" ref="O26:O40" ca="1" si="7">IFERROR(I26/I$21,"-")</f>
        <v>-</v>
      </c>
    </row>
    <row r="27" spans="1:15" s="127" customFormat="1" ht="14.25" customHeight="1">
      <c r="A27" s="124" t="s">
        <v>91</v>
      </c>
      <c r="B27" s="125"/>
      <c r="C27" s="125"/>
      <c r="D27" s="158" t="str">
        <f ca="1">_xll.DBRA("tango_core_model:indicator",A27,Language)</f>
        <v>General Management (RESOP)</v>
      </c>
      <c r="E27" s="158"/>
      <c r="F27" s="158"/>
      <c r="G27" s="159">
        <f ca="1">_xll.DBRW($B$3,G$6,$B$5,$B$4,$B$6,G$7,$B$9,G$4,G$5,$A27)*G$8</f>
        <v>0</v>
      </c>
      <c r="H27" s="159">
        <f ca="1">_xll.DBRW($B$3,H$6,$B$5,$B$4,$B$6,H$7,$B$9,H$4,H$5,$A27)*H$8</f>
        <v>0</v>
      </c>
      <c r="I27" s="159">
        <f ca="1">_xll.DBRW($B$3,I$6,$B$5,$B$4,$B$6,I$7,$B$9,I$4,I$5,$A27)*I$8</f>
        <v>0</v>
      </c>
      <c r="J27" s="159">
        <f t="shared" ca="1" si="3"/>
        <v>0</v>
      </c>
      <c r="K27" s="159">
        <f t="shared" ca="1" si="4"/>
        <v>0</v>
      </c>
      <c r="M27" s="160" t="str">
        <f t="shared" ca="1" si="5"/>
        <v>-</v>
      </c>
      <c r="N27" s="160" t="str">
        <f t="shared" ca="1" si="6"/>
        <v>-</v>
      </c>
      <c r="O27" s="160" t="str">
        <f t="shared" ca="1" si="7"/>
        <v>-</v>
      </c>
    </row>
    <row r="28" spans="1:15" s="127" customFormat="1" ht="14.25" customHeight="1">
      <c r="A28" s="124" t="s">
        <v>92</v>
      </c>
      <c r="B28" s="125"/>
      <c r="C28" s="125"/>
      <c r="D28" s="162" t="str">
        <f ca="1">_xll.DBRA("tango_core_model:indicator",A28,Language)</f>
        <v>General Services</v>
      </c>
      <c r="E28" s="162"/>
      <c r="F28" s="162"/>
      <c r="G28" s="126">
        <f ca="1">_xll.DBRW($B$3,G$6,$B$5,$B$4,$B$6,G$7,$B$9,G$4,G$5,$A28)*G$8</f>
        <v>0</v>
      </c>
      <c r="H28" s="126">
        <f ca="1">_xll.DBRW($B$3,H$6,$B$5,$B$4,$B$6,H$7,$B$9,H$4,H$5,$A28)*H$8</f>
        <v>0</v>
      </c>
      <c r="I28" s="126">
        <f ca="1">_xll.DBRW($B$3,I$6,$B$5,$B$4,$B$6,I$7,$B$9,I$4,I$5,$A28)*I$8</f>
        <v>0</v>
      </c>
      <c r="J28" s="126">
        <f t="shared" ca="1" si="3"/>
        <v>0</v>
      </c>
      <c r="K28" s="126">
        <f t="shared" ca="1" si="4"/>
        <v>0</v>
      </c>
      <c r="M28" s="161" t="str">
        <f t="shared" ca="1" si="5"/>
        <v>-</v>
      </c>
      <c r="N28" s="161" t="str">
        <f t="shared" ca="1" si="6"/>
        <v>-</v>
      </c>
      <c r="O28" s="161" t="str">
        <f t="shared" ca="1" si="7"/>
        <v>-</v>
      </c>
    </row>
    <row r="29" spans="1:15" s="127" customFormat="1" ht="14.25" customHeight="1">
      <c r="A29" s="124" t="s">
        <v>93</v>
      </c>
      <c r="B29" s="125"/>
      <c r="C29" s="125"/>
      <c r="D29" s="158" t="str">
        <f ca="1">_xll.DBRA("tango_core_model:indicator",A29,Language)</f>
        <v>HR department</v>
      </c>
      <c r="E29" s="158"/>
      <c r="F29" s="158"/>
      <c r="G29" s="159">
        <f ca="1">_xll.DBRW($B$3,G$6,$B$5,$B$4,$B$6,G$7,$B$9,G$4,G$5,$A29)*G$8</f>
        <v>0</v>
      </c>
      <c r="H29" s="159">
        <f ca="1">_xll.DBRW($B$3,H$6,$B$5,$B$4,$B$6,H$7,$B$9,H$4,H$5,$A29)*H$8</f>
        <v>0</v>
      </c>
      <c r="I29" s="159">
        <f ca="1">_xll.DBRW($B$3,I$6,$B$5,$B$4,$B$6,I$7,$B$9,I$4,I$5,$A29)*I$8</f>
        <v>0</v>
      </c>
      <c r="J29" s="159">
        <f t="shared" ca="1" si="3"/>
        <v>0</v>
      </c>
      <c r="K29" s="159">
        <f t="shared" ca="1" si="4"/>
        <v>0</v>
      </c>
      <c r="M29" s="160" t="str">
        <f t="shared" ca="1" si="5"/>
        <v>-</v>
      </c>
      <c r="N29" s="160" t="str">
        <f t="shared" ca="1" si="6"/>
        <v>-</v>
      </c>
      <c r="O29" s="160" t="str">
        <f t="shared" ca="1" si="7"/>
        <v>-</v>
      </c>
    </row>
    <row r="30" spans="1:15" s="127" customFormat="1" ht="14.25" customHeight="1">
      <c r="A30" s="124" t="s">
        <v>94</v>
      </c>
      <c r="B30" s="125"/>
      <c r="C30" s="125"/>
      <c r="D30" s="162" t="str">
        <f ca="1">_xll.DBRA("tango_core_model:indicator",A30,Language)</f>
        <v>Internal audit</v>
      </c>
      <c r="E30" s="162"/>
      <c r="F30" s="162"/>
      <c r="G30" s="126">
        <f ca="1">_xll.DBRW($B$3,G$6,$B$5,$B$4,$B$6,G$7,$B$9,G$4,G$5,$A30)*G$8</f>
        <v>0</v>
      </c>
      <c r="H30" s="126">
        <f ca="1">_xll.DBRW($B$3,H$6,$B$5,$B$4,$B$6,H$7,$B$9,H$4,H$5,$A30)*H$8</f>
        <v>0</v>
      </c>
      <c r="I30" s="126">
        <f ca="1">_xll.DBRW($B$3,I$6,$B$5,$B$4,$B$6,I$7,$B$9,I$4,I$5,$A30)*I$8</f>
        <v>0</v>
      </c>
      <c r="J30" s="126">
        <f t="shared" ca="1" si="3"/>
        <v>0</v>
      </c>
      <c r="K30" s="126">
        <f t="shared" ca="1" si="4"/>
        <v>0</v>
      </c>
      <c r="M30" s="161" t="str">
        <f t="shared" ca="1" si="5"/>
        <v>-</v>
      </c>
      <c r="N30" s="161" t="str">
        <f t="shared" ca="1" si="6"/>
        <v>-</v>
      </c>
      <c r="O30" s="161" t="str">
        <f t="shared" ca="1" si="7"/>
        <v>-</v>
      </c>
    </row>
    <row r="31" spans="1:15" s="127" customFormat="1" ht="14.25" customHeight="1">
      <c r="A31" s="124" t="s">
        <v>95</v>
      </c>
      <c r="B31" s="125"/>
      <c r="C31" s="125"/>
      <c r="D31" s="158" t="str">
        <f ca="1">_xll.DBRA("tango_core_model:indicator",A31,Language)</f>
        <v>IT</v>
      </c>
      <c r="E31" s="158"/>
      <c r="F31" s="158"/>
      <c r="G31" s="159">
        <f ca="1">_xll.DBRW($B$3,G$6,$B$5,$B$4,$B$6,G$7,$B$9,G$4,G$5,$A31)*G$8</f>
        <v>0</v>
      </c>
      <c r="H31" s="159">
        <f ca="1">_xll.DBRW($B$3,H$6,$B$5,$B$4,$B$6,H$7,$B$9,H$4,H$5,$A31)*H$8</f>
        <v>0</v>
      </c>
      <c r="I31" s="159">
        <f ca="1">_xll.DBRW($B$3,I$6,$B$5,$B$4,$B$6,I$7,$B$9,I$4,I$5,$A31)*I$8</f>
        <v>0</v>
      </c>
      <c r="J31" s="159">
        <f t="shared" ca="1" si="3"/>
        <v>0</v>
      </c>
      <c r="K31" s="159">
        <f t="shared" ca="1" si="4"/>
        <v>0</v>
      </c>
      <c r="M31" s="160" t="str">
        <f t="shared" ca="1" si="5"/>
        <v>-</v>
      </c>
      <c r="N31" s="160" t="str">
        <f t="shared" ca="1" si="6"/>
        <v>-</v>
      </c>
      <c r="O31" s="160" t="str">
        <f t="shared" ca="1" si="7"/>
        <v>-</v>
      </c>
    </row>
    <row r="32" spans="1:15" s="127" customFormat="1" ht="14.25" customHeight="1">
      <c r="A32" s="124" t="s">
        <v>96</v>
      </c>
      <c r="B32" s="125"/>
      <c r="C32" s="125"/>
      <c r="D32" s="162" t="str">
        <f ca="1">_xll.DBRA("tango_core_model:indicator",A32,Language)</f>
        <v>Legal</v>
      </c>
      <c r="E32" s="162"/>
      <c r="F32" s="162"/>
      <c r="G32" s="126">
        <f ca="1">_xll.DBRW($B$3,G$6,$B$5,$B$4,$B$6,G$7,$B$9,G$4,G$5,$A32)*G$8</f>
        <v>0</v>
      </c>
      <c r="H32" s="126">
        <f ca="1">_xll.DBRW($B$3,H$6,$B$5,$B$4,$B$6,H$7,$B$9,H$4,H$5,$A32)*H$8</f>
        <v>0</v>
      </c>
      <c r="I32" s="126">
        <f ca="1">_xll.DBRW($B$3,I$6,$B$5,$B$4,$B$6,I$7,$B$9,I$4,I$5,$A32)*I$8</f>
        <v>0</v>
      </c>
      <c r="J32" s="126">
        <f t="shared" ca="1" si="3"/>
        <v>0</v>
      </c>
      <c r="K32" s="126">
        <f t="shared" ca="1" si="4"/>
        <v>0</v>
      </c>
      <c r="M32" s="161" t="str">
        <f t="shared" ca="1" si="5"/>
        <v>-</v>
      </c>
      <c r="N32" s="161" t="str">
        <f t="shared" ca="1" si="6"/>
        <v>-</v>
      </c>
      <c r="O32" s="161" t="str">
        <f t="shared" ca="1" si="7"/>
        <v>-</v>
      </c>
    </row>
    <row r="33" spans="1:15" s="127" customFormat="1" ht="14.25" customHeight="1">
      <c r="A33" s="124" t="s">
        <v>97</v>
      </c>
      <c r="B33" s="125"/>
      <c r="C33" s="125"/>
      <c r="D33" s="158" t="str">
        <f ca="1">_xll.DBRA("tango_core_model:indicator",A33,Language)</f>
        <v>Purchasing</v>
      </c>
      <c r="E33" s="158"/>
      <c r="F33" s="158"/>
      <c r="G33" s="159">
        <f ca="1">_xll.DBRW($B$3,G$6,$B$5,$B$4,$B$6,G$7,$B$9,G$4,G$5,$A33)*G$8</f>
        <v>0</v>
      </c>
      <c r="H33" s="159">
        <f ca="1">_xll.DBRW($B$3,H$6,$B$5,$B$4,$B$6,H$7,$B$9,H$4,H$5,$A33)*H$8</f>
        <v>0</v>
      </c>
      <c r="I33" s="159">
        <f ca="1">_xll.DBRW($B$3,I$6,$B$5,$B$4,$B$6,I$7,$B$9,I$4,I$5,$A33)*I$8</f>
        <v>0</v>
      </c>
      <c r="J33" s="159">
        <f t="shared" ca="1" si="3"/>
        <v>0</v>
      </c>
      <c r="K33" s="159">
        <f t="shared" ca="1" si="4"/>
        <v>0</v>
      </c>
      <c r="M33" s="160" t="str">
        <f t="shared" ca="1" si="5"/>
        <v>-</v>
      </c>
      <c r="N33" s="160" t="str">
        <f t="shared" ca="1" si="6"/>
        <v>-</v>
      </c>
      <c r="O33" s="160" t="str">
        <f t="shared" ca="1" si="7"/>
        <v>-</v>
      </c>
    </row>
    <row r="34" spans="1:15" s="127" customFormat="1" ht="14.25" customHeight="1">
      <c r="A34" s="124" t="s">
        <v>98</v>
      </c>
      <c r="B34" s="125"/>
      <c r="C34" s="125"/>
      <c r="D34" s="162" t="str">
        <f ca="1">_xll.DBRA("tango_core_model:indicator",A34,Language)</f>
        <v>R &amp; D</v>
      </c>
      <c r="E34" s="162"/>
      <c r="F34" s="162"/>
      <c r="G34" s="126">
        <f ca="1">_xll.DBRW($B$3,G$6,$B$5,$B$4,$B$6,G$7,$B$9,G$4,G$5,$A34)*G$8</f>
        <v>0</v>
      </c>
      <c r="H34" s="126">
        <f ca="1">_xll.DBRW($B$3,H$6,$B$5,$B$4,$B$6,H$7,$B$9,H$4,H$5,$A34)*H$8</f>
        <v>0</v>
      </c>
      <c r="I34" s="126">
        <f ca="1">_xll.DBRW($B$3,I$6,$B$5,$B$4,$B$6,I$7,$B$9,I$4,I$5,$A34)*I$8</f>
        <v>0</v>
      </c>
      <c r="J34" s="126">
        <f t="shared" ca="1" si="3"/>
        <v>0</v>
      </c>
      <c r="K34" s="126">
        <f t="shared" ca="1" si="4"/>
        <v>0</v>
      </c>
      <c r="M34" s="161" t="str">
        <f t="shared" ca="1" si="5"/>
        <v>-</v>
      </c>
      <c r="N34" s="161" t="str">
        <f t="shared" ca="1" si="6"/>
        <v>-</v>
      </c>
      <c r="O34" s="161" t="str">
        <f t="shared" ca="1" si="7"/>
        <v>-</v>
      </c>
    </row>
    <row r="35" spans="1:15" s="127" customFormat="1" ht="14.25" customHeight="1">
      <c r="A35" s="124" t="s">
        <v>99</v>
      </c>
      <c r="B35" s="125"/>
      <c r="C35" s="125"/>
      <c r="D35" s="158" t="str">
        <f ca="1">_xll.DBRA("tango_core_model:indicator",A35,Language)</f>
        <v>Risk management</v>
      </c>
      <c r="E35" s="158"/>
      <c r="F35" s="158"/>
      <c r="G35" s="159">
        <f ca="1">_xll.DBRW($B$3,G$6,$B$5,$B$4,$B$6,G$7,$B$9,G$4,G$5,$A35)*G$8</f>
        <v>0</v>
      </c>
      <c r="H35" s="159">
        <f ca="1">_xll.DBRW($B$3,H$6,$B$5,$B$4,$B$6,H$7,$B$9,H$4,H$5,$A35)*H$8</f>
        <v>0</v>
      </c>
      <c r="I35" s="159">
        <f ca="1">_xll.DBRW($B$3,I$6,$B$5,$B$4,$B$6,I$7,$B$9,I$4,I$5,$A35)*I$8</f>
        <v>0</v>
      </c>
      <c r="J35" s="159">
        <f t="shared" ca="1" si="3"/>
        <v>0</v>
      </c>
      <c r="K35" s="159">
        <f t="shared" ca="1" si="4"/>
        <v>0</v>
      </c>
      <c r="M35" s="160" t="str">
        <f t="shared" ca="1" si="5"/>
        <v>-</v>
      </c>
      <c r="N35" s="160" t="str">
        <f t="shared" ca="1" si="6"/>
        <v>-</v>
      </c>
      <c r="O35" s="160" t="str">
        <f t="shared" ca="1" si="7"/>
        <v>-</v>
      </c>
    </row>
    <row r="36" spans="1:15" s="127" customFormat="1" ht="14.25" customHeight="1">
      <c r="A36" s="124" t="s">
        <v>100</v>
      </c>
      <c r="B36" s="125"/>
      <c r="C36" s="125"/>
      <c r="D36" s="162" t="str">
        <f ca="1">_xll.DBRA("tango_core_model:indicator",A36,Language)</f>
        <v>QHSE</v>
      </c>
      <c r="E36" s="162"/>
      <c r="F36" s="162"/>
      <c r="G36" s="126">
        <f ca="1">_xll.DBRW($B$3,G$6,$B$5,$B$4,$B$6,G$7,$B$9,G$4,G$5,$A36)*G$8</f>
        <v>0</v>
      </c>
      <c r="H36" s="126">
        <f ca="1">_xll.DBRW($B$3,H$6,$B$5,$B$4,$B$6,H$7,$B$9,H$4,H$5,$A36)*H$8</f>
        <v>0</v>
      </c>
      <c r="I36" s="126">
        <f ca="1">_xll.DBRW($B$3,I$6,$B$5,$B$4,$B$6,I$7,$B$9,I$4,I$5,$A36)*I$8</f>
        <v>0</v>
      </c>
      <c r="J36" s="126">
        <f t="shared" ca="1" si="3"/>
        <v>0</v>
      </c>
      <c r="K36" s="126">
        <f t="shared" ca="1" si="4"/>
        <v>0</v>
      </c>
      <c r="M36" s="161" t="str">
        <f t="shared" ca="1" si="5"/>
        <v>-</v>
      </c>
      <c r="N36" s="161" t="str">
        <f t="shared" ca="1" si="6"/>
        <v>-</v>
      </c>
      <c r="O36" s="161" t="str">
        <f t="shared" ca="1" si="7"/>
        <v>-</v>
      </c>
    </row>
    <row r="37" spans="1:15" s="127" customFormat="1" ht="14.25" customHeight="1">
      <c r="A37" s="124" t="s">
        <v>101</v>
      </c>
      <c r="B37" s="125"/>
      <c r="C37" s="125"/>
      <c r="D37" s="158" t="str">
        <f ca="1">_xll.DBRA("tango_core_model:indicator",A37,Language)</f>
        <v>Technical department</v>
      </c>
      <c r="E37" s="158"/>
      <c r="F37" s="158"/>
      <c r="G37" s="159">
        <f ca="1">_xll.DBRW($B$3,G$6,$B$5,$B$4,$B$6,G$7,$B$9,G$4,G$5,$A37)*G$8</f>
        <v>0</v>
      </c>
      <c r="H37" s="159">
        <f ca="1">_xll.DBRW($B$3,H$6,$B$5,$B$4,$B$6,H$7,$B$9,H$4,H$5,$A37)*H$8</f>
        <v>0</v>
      </c>
      <c r="I37" s="159">
        <f ca="1">_xll.DBRW($B$3,I$6,$B$5,$B$4,$B$6,I$7,$B$9,I$4,I$5,$A37)*I$8</f>
        <v>0</v>
      </c>
      <c r="J37" s="159">
        <f t="shared" ca="1" si="3"/>
        <v>0</v>
      </c>
      <c r="K37" s="159">
        <f t="shared" ca="1" si="4"/>
        <v>0</v>
      </c>
      <c r="M37" s="160" t="str">
        <f t="shared" ca="1" si="5"/>
        <v>-</v>
      </c>
      <c r="N37" s="160" t="str">
        <f t="shared" ca="1" si="6"/>
        <v>-</v>
      </c>
      <c r="O37" s="160" t="str">
        <f t="shared" ca="1" si="7"/>
        <v>-</v>
      </c>
    </row>
    <row r="38" spans="1:15" s="127" customFormat="1" ht="14.25" customHeight="1">
      <c r="A38" s="124" t="s">
        <v>102</v>
      </c>
      <c r="B38" s="125"/>
      <c r="C38" s="125"/>
      <c r="D38" s="162" t="str">
        <f ca="1">_xll.DBRA("tango_core_model:indicator",A38,Language)</f>
        <v>Tax Management</v>
      </c>
      <c r="E38" s="162"/>
      <c r="F38" s="162"/>
      <c r="G38" s="126">
        <f ca="1">_xll.DBRW($B$3,G$6,$B$5,$B$4,$B$6,G$7,$B$9,G$4,G$5,$A38)*G$8</f>
        <v>0</v>
      </c>
      <c r="H38" s="126">
        <f ca="1">_xll.DBRW($B$3,H$6,$B$5,$B$4,$B$6,H$7,$B$9,H$4,H$5,$A38)*H$8</f>
        <v>0</v>
      </c>
      <c r="I38" s="126">
        <f ca="1">_xll.DBRW($B$3,I$6,$B$5,$B$4,$B$6,I$7,$B$9,I$4,I$5,$A38)*I$8</f>
        <v>0</v>
      </c>
      <c r="J38" s="126">
        <f t="shared" ca="1" si="3"/>
        <v>0</v>
      </c>
      <c r="K38" s="126">
        <f t="shared" ca="1" si="4"/>
        <v>0</v>
      </c>
      <c r="M38" s="161" t="str">
        <f t="shared" ca="1" si="5"/>
        <v>-</v>
      </c>
      <c r="N38" s="161" t="str">
        <f t="shared" ca="1" si="6"/>
        <v>-</v>
      </c>
      <c r="O38" s="161" t="str">
        <f t="shared" ca="1" si="7"/>
        <v>-</v>
      </c>
    </row>
    <row r="39" spans="1:15" s="127" customFormat="1" ht="14.25" customHeight="1">
      <c r="A39" s="124" t="s">
        <v>103</v>
      </c>
      <c r="B39" s="125"/>
      <c r="C39" s="125"/>
      <c r="D39" s="158" t="str">
        <f ca="1">_xll.DBRA("tango_core_model:indicator",A39,Language)</f>
        <v>Management fees</v>
      </c>
      <c r="E39" s="158"/>
      <c r="F39" s="158"/>
      <c r="G39" s="159">
        <f ca="1">_xll.DBRW($B$3,G$6,$B$5,$B$4,$B$6,G$7,$B$9,G$4,G$5,$A39)*G$8</f>
        <v>0</v>
      </c>
      <c r="H39" s="159">
        <f ca="1">_xll.DBRW($B$3,H$6,$B$5,$B$4,$B$6,H$7,$B$9,H$4,H$5,$A39)*H$8</f>
        <v>0</v>
      </c>
      <c r="I39" s="159">
        <f ca="1">_xll.DBRW($B$3,I$6,$B$5,$B$4,$B$6,I$7,$B$9,I$4,I$5,$A39)*I$8</f>
        <v>0</v>
      </c>
      <c r="J39" s="159">
        <f t="shared" ca="1" si="3"/>
        <v>0</v>
      </c>
      <c r="K39" s="159">
        <f t="shared" ca="1" si="4"/>
        <v>0</v>
      </c>
      <c r="M39" s="160" t="str">
        <f t="shared" ca="1" si="5"/>
        <v>-</v>
      </c>
      <c r="N39" s="160" t="str">
        <f t="shared" ca="1" si="6"/>
        <v>-</v>
      </c>
      <c r="O39" s="160" t="str">
        <f t="shared" ca="1" si="7"/>
        <v>-</v>
      </c>
    </row>
    <row r="40" spans="1:15" s="168" customFormat="1" ht="11.25">
      <c r="A40" s="164" t="s">
        <v>104</v>
      </c>
      <c r="B40" s="165"/>
      <c r="C40" s="165"/>
      <c r="D40" s="166" t="str">
        <f ca="1">_xll.DBRA("tango_core_model:indicator",A40,Language)</f>
        <v>G&amp;A Overhead costs - Vector Reconciliation</v>
      </c>
      <c r="E40" s="166"/>
      <c r="F40" s="166"/>
      <c r="G40" s="167">
        <f ca="1">_xll.DBRW($B$3,G$6,$B$5,$B$4,$B$6,G$7,$B$9,G$4,G$5,$A40)*G$8</f>
        <v>0</v>
      </c>
      <c r="H40" s="167">
        <f ca="1">_xll.DBRW($B$3,H$6,$B$5,$B$4,$B$6,H$7,$B$9,H$4,H$5,$A40)*H$8</f>
        <v>0</v>
      </c>
      <c r="I40" s="167">
        <f ca="1">_xll.DBRW($B$3,I$6,$B$5,$B$4,$B$6,I$7,$B$9,I$4,I$5,$A40)*I$8</f>
        <v>0</v>
      </c>
      <c r="J40" s="167">
        <f t="shared" ca="1" si="3"/>
        <v>0</v>
      </c>
      <c r="K40" s="167">
        <f t="shared" ca="1" si="4"/>
        <v>0</v>
      </c>
      <c r="M40" s="169" t="str">
        <f t="shared" ca="1" si="5"/>
        <v>-</v>
      </c>
      <c r="N40" s="169" t="str">
        <f t="shared" ca="1" si="6"/>
        <v>-</v>
      </c>
      <c r="O40" s="169" t="str">
        <f t="shared" ca="1" si="7"/>
        <v>-</v>
      </c>
    </row>
    <row r="41" spans="1:15">
      <c r="G41" s="49"/>
      <c r="H41" s="49"/>
      <c r="I41" s="49"/>
      <c r="J41" s="129"/>
      <c r="K41" s="129"/>
      <c r="M41" s="49"/>
      <c r="N41" s="49"/>
      <c r="O41" s="49"/>
    </row>
    <row r="42" spans="1:15" s="134" customFormat="1" ht="19.5">
      <c r="A42" s="130"/>
      <c r="B42" s="131"/>
      <c r="C42" s="131"/>
      <c r="D42" s="93"/>
      <c r="E42" s="93"/>
      <c r="F42" s="93"/>
      <c r="G42" s="191" t="str">
        <f ca="1">IF(Language="French","Frais de Personnel","Staff Cost")</f>
        <v>Staff Cost</v>
      </c>
      <c r="H42" s="191"/>
      <c r="I42" s="191"/>
      <c r="J42" s="191"/>
      <c r="K42" s="191"/>
      <c r="M42" s="191" t="str">
        <f ca="1">IF(Language="French","% SG&amp;A","% SG&amp;A")</f>
        <v>% SG&amp;A</v>
      </c>
      <c r="N42" s="191"/>
      <c r="O42" s="191"/>
    </row>
    <row r="43" spans="1:15" s="123" customFormat="1" ht="26.1" customHeight="1">
      <c r="A43" s="119" t="s">
        <v>88</v>
      </c>
      <c r="B43" s="120"/>
      <c r="C43" s="120"/>
      <c r="D43" s="91" t="str">
        <f ca="1">IF(Language="French","Frais de personnel","Staff Cost")</f>
        <v>Staff Cost</v>
      </c>
      <c r="E43" s="121"/>
      <c r="F43" s="121"/>
      <c r="G43" s="163">
        <f ca="1">SUM(G45:G59)</f>
        <v>0</v>
      </c>
      <c r="H43" s="163">
        <f t="shared" ref="H43:K43" ca="1" si="8">SUM(H45:H59)</f>
        <v>0</v>
      </c>
      <c r="I43" s="163">
        <f t="shared" ca="1" si="8"/>
        <v>0</v>
      </c>
      <c r="J43" s="163">
        <f t="shared" ca="1" si="8"/>
        <v>0</v>
      </c>
      <c r="K43" s="163">
        <f t="shared" ca="1" si="8"/>
        <v>0</v>
      </c>
      <c r="M43" s="179" t="str">
        <f ca="1">IFERROR(G43/G21,"-")</f>
        <v>-</v>
      </c>
      <c r="N43" s="179" t="str">
        <f t="shared" ref="N43:O43" ca="1" si="9">IFERROR(H43/H21,"-")</f>
        <v>-</v>
      </c>
      <c r="O43" s="179" t="str">
        <f t="shared" ca="1" si="9"/>
        <v>-</v>
      </c>
    </row>
    <row r="44" spans="1:15" s="134" customFormat="1" ht="24.75" customHeight="1">
      <c r="A44" s="130" t="s">
        <v>49</v>
      </c>
      <c r="B44" s="131"/>
      <c r="C44" s="131"/>
      <c r="D44" s="93" t="str">
        <f ca="1">IF(Language="French","% PAO","% revenues")</f>
        <v>% revenues</v>
      </c>
      <c r="E44" s="93"/>
      <c r="F44" s="93"/>
      <c r="G44" s="132" t="str">
        <f ca="1">IF(OR(G43=0,G$16=0),"-",IF(ABS(G43/G$16)&gt;2,"-",-G43/G$16))</f>
        <v>-</v>
      </c>
      <c r="H44" s="132" t="str">
        <f ca="1">IF(OR(H43=0,H$16=0),"-",IF(ABS(H43/H$16)&gt;2,"-",-H43/H$16))</f>
        <v>-</v>
      </c>
      <c r="I44" s="132" t="str">
        <f ca="1">IF(OR(I43=0,I$16=0),"-",IF(ABS(I43/I$16)&gt;2,"-",-I43/I$16))</f>
        <v>-</v>
      </c>
      <c r="J44" s="133"/>
      <c r="K44" s="133"/>
      <c r="M44" s="132"/>
      <c r="N44" s="132"/>
      <c r="O44" s="132"/>
    </row>
    <row r="45" spans="1:15" s="127" customFormat="1" ht="14.25" customHeight="1">
      <c r="A45" s="130" t="str">
        <f ca="1">"PL1310_"&amp;RIGHT(A25,2)&amp;"_10"</f>
        <v>PL1310_CO_10</v>
      </c>
      <c r="B45" s="125"/>
      <c r="C45" s="125"/>
      <c r="D45" s="158" t="str">
        <f ca="1">D25</f>
        <v>Communication</v>
      </c>
      <c r="E45" s="158"/>
      <c r="F45" s="158"/>
      <c r="G45" s="159">
        <f ca="1">_xll.DBRW($B$3,G$6,$B$5,$B$4,$B$6,G$7,$B$9,G$4,G$5,$A45)*G$8</f>
        <v>0</v>
      </c>
      <c r="H45" s="159">
        <f ca="1">_xll.DBRW($B$3,H$6,$B$5,$B$4,$B$6,H$7,$B$9,H$4,H$5,$A45)*H$8</f>
        <v>0</v>
      </c>
      <c r="I45" s="159">
        <f ca="1">_xll.DBRW($B$3,I$6,$B$5,$B$4,$B$6,I$7,$B$9,I$4,I$5,$A45)*I$8</f>
        <v>0</v>
      </c>
      <c r="J45" s="159">
        <f t="shared" ref="J45:J59" ca="1" si="10">IF(OR(G45="",H45=""),"-",IFERROR((G45-H45),""))</f>
        <v>0</v>
      </c>
      <c r="K45" s="159">
        <f t="shared" ref="K45:K59" ca="1" si="11">IF(OR(G45="",I45=""),"-",IFERROR((G45-I45),""))</f>
        <v>0</v>
      </c>
      <c r="M45" s="160" t="str">
        <f t="shared" ref="M45:M58" ca="1" si="12">IFERROR(G45/G25,"-")</f>
        <v>-</v>
      </c>
      <c r="N45" s="160" t="str">
        <f t="shared" ref="N45:N58" ca="1" si="13">IFERROR(H45/H25,"-")</f>
        <v>-</v>
      </c>
      <c r="O45" s="160" t="str">
        <f t="shared" ref="O45:O58" ca="1" si="14">IFERROR(I45/I25,"-")</f>
        <v>-</v>
      </c>
    </row>
    <row r="46" spans="1:15" s="127" customFormat="1" ht="14.25" customHeight="1">
      <c r="A46" s="130" t="str">
        <f t="shared" ref="A46:A58" ca="1" si="15">"PL1310_"&amp;RIGHT(A26,2)&amp;"_10"</f>
        <v>PL1310_FI_10</v>
      </c>
      <c r="B46" s="125"/>
      <c r="C46" s="125"/>
      <c r="D46" s="162" t="str">
        <f t="shared" ref="D46:D58" ca="1" si="16">D26</f>
        <v>Finance</v>
      </c>
      <c r="E46" s="162"/>
      <c r="F46" s="162"/>
      <c r="G46" s="126">
        <f ca="1">_xll.DBRW($B$3,G$6,$B$5,$B$4,$B$6,G$7,$B$9,G$4,G$5,$A46)*G$8</f>
        <v>0</v>
      </c>
      <c r="H46" s="126">
        <f ca="1">_xll.DBRW($B$3,H$6,$B$5,$B$4,$B$6,H$7,$B$9,H$4,H$5,$A46)*H$8</f>
        <v>0</v>
      </c>
      <c r="I46" s="126">
        <f ca="1">_xll.DBRW($B$3,I$6,$B$5,$B$4,$B$6,I$7,$B$9,I$4,I$5,$A46)*I$8</f>
        <v>0</v>
      </c>
      <c r="J46" s="126">
        <f t="shared" ca="1" si="10"/>
        <v>0</v>
      </c>
      <c r="K46" s="126">
        <f t="shared" ca="1" si="11"/>
        <v>0</v>
      </c>
      <c r="M46" s="161" t="str">
        <f t="shared" ca="1" si="12"/>
        <v>-</v>
      </c>
      <c r="N46" s="161" t="str">
        <f t="shared" ca="1" si="13"/>
        <v>-</v>
      </c>
      <c r="O46" s="161" t="str">
        <f t="shared" ca="1" si="14"/>
        <v>-</v>
      </c>
    </row>
    <row r="47" spans="1:15" s="127" customFormat="1" ht="14.25" customHeight="1">
      <c r="A47" s="130" t="str">
        <f t="shared" ca="1" si="15"/>
        <v>PL1310_GM_10</v>
      </c>
      <c r="B47" s="125"/>
      <c r="C47" s="125"/>
      <c r="D47" s="158" t="str">
        <f t="shared" ca="1" si="16"/>
        <v>General Management (RESOP)</v>
      </c>
      <c r="E47" s="158"/>
      <c r="F47" s="158"/>
      <c r="G47" s="159">
        <f ca="1">_xll.DBRW($B$3,G$6,$B$5,$B$4,$B$6,G$7,$B$9,G$4,G$5,$A47)*G$8</f>
        <v>0</v>
      </c>
      <c r="H47" s="159">
        <f ca="1">_xll.DBRW($B$3,H$6,$B$5,$B$4,$B$6,H$7,$B$9,H$4,H$5,$A47)*H$8</f>
        <v>0</v>
      </c>
      <c r="I47" s="159">
        <f ca="1">_xll.DBRW($B$3,I$6,$B$5,$B$4,$B$6,I$7,$B$9,I$4,I$5,$A47)*I$8</f>
        <v>0</v>
      </c>
      <c r="J47" s="159">
        <f t="shared" ca="1" si="10"/>
        <v>0</v>
      </c>
      <c r="K47" s="159">
        <f t="shared" ca="1" si="11"/>
        <v>0</v>
      </c>
      <c r="M47" s="160" t="str">
        <f t="shared" ca="1" si="12"/>
        <v>-</v>
      </c>
      <c r="N47" s="160" t="str">
        <f t="shared" ca="1" si="13"/>
        <v>-</v>
      </c>
      <c r="O47" s="160" t="str">
        <f t="shared" ca="1" si="14"/>
        <v>-</v>
      </c>
    </row>
    <row r="48" spans="1:15" s="127" customFormat="1" ht="14.25" customHeight="1">
      <c r="A48" s="130" t="str">
        <f t="shared" ca="1" si="15"/>
        <v>PL1310_GS_10</v>
      </c>
      <c r="B48" s="125"/>
      <c r="C48" s="125"/>
      <c r="D48" s="162" t="str">
        <f t="shared" ca="1" si="16"/>
        <v>General Services</v>
      </c>
      <c r="E48" s="162"/>
      <c r="F48" s="162"/>
      <c r="G48" s="126">
        <f ca="1">_xll.DBRW($B$3,G$6,$B$5,$B$4,$B$6,G$7,$B$9,G$4,G$5,$A48)*G$8</f>
        <v>0</v>
      </c>
      <c r="H48" s="126">
        <f ca="1">_xll.DBRW($B$3,H$6,$B$5,$B$4,$B$6,H$7,$B$9,H$4,H$5,$A48)*H$8</f>
        <v>0</v>
      </c>
      <c r="I48" s="126">
        <f ca="1">_xll.DBRW($B$3,I$6,$B$5,$B$4,$B$6,I$7,$B$9,I$4,I$5,$A48)*I$8</f>
        <v>0</v>
      </c>
      <c r="J48" s="126">
        <f t="shared" ca="1" si="10"/>
        <v>0</v>
      </c>
      <c r="K48" s="126">
        <f t="shared" ca="1" si="11"/>
        <v>0</v>
      </c>
      <c r="M48" s="161" t="str">
        <f t="shared" ca="1" si="12"/>
        <v>-</v>
      </c>
      <c r="N48" s="161" t="str">
        <f t="shared" ca="1" si="13"/>
        <v>-</v>
      </c>
      <c r="O48" s="161" t="str">
        <f t="shared" ca="1" si="14"/>
        <v>-</v>
      </c>
    </row>
    <row r="49" spans="1:15" s="127" customFormat="1" ht="14.25" customHeight="1">
      <c r="A49" s="130" t="str">
        <f t="shared" ca="1" si="15"/>
        <v>PL1310_HR_10</v>
      </c>
      <c r="B49" s="125"/>
      <c r="C49" s="125"/>
      <c r="D49" s="158" t="str">
        <f t="shared" ca="1" si="16"/>
        <v>HR department</v>
      </c>
      <c r="E49" s="158"/>
      <c r="F49" s="158"/>
      <c r="G49" s="159">
        <f ca="1">_xll.DBRW($B$3,G$6,$B$5,$B$4,$B$6,G$7,$B$9,G$4,G$5,$A49)*G$8</f>
        <v>0</v>
      </c>
      <c r="H49" s="159">
        <f ca="1">_xll.DBRW($B$3,H$6,$B$5,$B$4,$B$6,H$7,$B$9,H$4,H$5,$A49)*H$8</f>
        <v>0</v>
      </c>
      <c r="I49" s="159">
        <f ca="1">_xll.DBRW($B$3,I$6,$B$5,$B$4,$B$6,I$7,$B$9,I$4,I$5,$A49)*I$8</f>
        <v>0</v>
      </c>
      <c r="J49" s="159">
        <f t="shared" ca="1" si="10"/>
        <v>0</v>
      </c>
      <c r="K49" s="159">
        <f t="shared" ca="1" si="11"/>
        <v>0</v>
      </c>
      <c r="M49" s="160" t="str">
        <f t="shared" ca="1" si="12"/>
        <v>-</v>
      </c>
      <c r="N49" s="160" t="str">
        <f t="shared" ca="1" si="13"/>
        <v>-</v>
      </c>
      <c r="O49" s="160" t="str">
        <f t="shared" ca="1" si="14"/>
        <v>-</v>
      </c>
    </row>
    <row r="50" spans="1:15" s="127" customFormat="1" ht="14.25" customHeight="1">
      <c r="A50" s="130" t="str">
        <f t="shared" ca="1" si="15"/>
        <v>PL1310_IA_10</v>
      </c>
      <c r="B50" s="125"/>
      <c r="C50" s="125"/>
      <c r="D50" s="162" t="str">
        <f t="shared" ca="1" si="16"/>
        <v>Internal audit</v>
      </c>
      <c r="E50" s="162"/>
      <c r="F50" s="162"/>
      <c r="G50" s="126">
        <f ca="1">_xll.DBRW($B$3,G$6,$B$5,$B$4,$B$6,G$7,$B$9,G$4,G$5,$A50)*G$8</f>
        <v>0</v>
      </c>
      <c r="H50" s="126">
        <f ca="1">_xll.DBRW($B$3,H$6,$B$5,$B$4,$B$6,H$7,$B$9,H$4,H$5,$A50)*H$8</f>
        <v>0</v>
      </c>
      <c r="I50" s="126">
        <f ca="1">_xll.DBRW($B$3,I$6,$B$5,$B$4,$B$6,I$7,$B$9,I$4,I$5,$A50)*I$8</f>
        <v>0</v>
      </c>
      <c r="J50" s="126">
        <f t="shared" ca="1" si="10"/>
        <v>0</v>
      </c>
      <c r="K50" s="126">
        <f t="shared" ca="1" si="11"/>
        <v>0</v>
      </c>
      <c r="M50" s="161" t="str">
        <f t="shared" ca="1" si="12"/>
        <v>-</v>
      </c>
      <c r="N50" s="161" t="str">
        <f t="shared" ca="1" si="13"/>
        <v>-</v>
      </c>
      <c r="O50" s="161" t="str">
        <f t="shared" ca="1" si="14"/>
        <v>-</v>
      </c>
    </row>
    <row r="51" spans="1:15" s="127" customFormat="1" ht="14.25" customHeight="1">
      <c r="A51" s="130" t="str">
        <f t="shared" ca="1" si="15"/>
        <v>PL1310_IT_10</v>
      </c>
      <c r="B51" s="125"/>
      <c r="C51" s="125"/>
      <c r="D51" s="158" t="str">
        <f t="shared" ca="1" si="16"/>
        <v>IT</v>
      </c>
      <c r="E51" s="158"/>
      <c r="F51" s="158"/>
      <c r="G51" s="159">
        <f ca="1">_xll.DBRW($B$3,G$6,$B$5,$B$4,$B$6,G$7,$B$9,G$4,G$5,$A51)*G$8</f>
        <v>0</v>
      </c>
      <c r="H51" s="159">
        <f ca="1">_xll.DBRW($B$3,H$6,$B$5,$B$4,$B$6,H$7,$B$9,H$4,H$5,$A51)*H$8</f>
        <v>0</v>
      </c>
      <c r="I51" s="159">
        <f ca="1">_xll.DBRW($B$3,I$6,$B$5,$B$4,$B$6,I$7,$B$9,I$4,I$5,$A51)*I$8</f>
        <v>0</v>
      </c>
      <c r="J51" s="159">
        <f t="shared" ca="1" si="10"/>
        <v>0</v>
      </c>
      <c r="K51" s="159">
        <f t="shared" ca="1" si="11"/>
        <v>0</v>
      </c>
      <c r="M51" s="160" t="str">
        <f t="shared" ca="1" si="12"/>
        <v>-</v>
      </c>
      <c r="N51" s="160" t="str">
        <f t="shared" ca="1" si="13"/>
        <v>-</v>
      </c>
      <c r="O51" s="160" t="str">
        <f t="shared" ca="1" si="14"/>
        <v>-</v>
      </c>
    </row>
    <row r="52" spans="1:15" s="127" customFormat="1" ht="14.25" customHeight="1">
      <c r="A52" s="130" t="str">
        <f t="shared" ca="1" si="15"/>
        <v>PL1310_LE_10</v>
      </c>
      <c r="B52" s="125"/>
      <c r="C52" s="125"/>
      <c r="D52" s="162" t="str">
        <f t="shared" ca="1" si="16"/>
        <v>Legal</v>
      </c>
      <c r="E52" s="162"/>
      <c r="F52" s="162"/>
      <c r="G52" s="126">
        <f ca="1">_xll.DBRW($B$3,G$6,$B$5,$B$4,$B$6,G$7,$B$9,G$4,G$5,$A52)*G$8</f>
        <v>0</v>
      </c>
      <c r="H52" s="126">
        <f ca="1">_xll.DBRW($B$3,H$6,$B$5,$B$4,$B$6,H$7,$B$9,H$4,H$5,$A52)*H$8</f>
        <v>0</v>
      </c>
      <c r="I52" s="126">
        <f ca="1">_xll.DBRW($B$3,I$6,$B$5,$B$4,$B$6,I$7,$B$9,I$4,I$5,$A52)*I$8</f>
        <v>0</v>
      </c>
      <c r="J52" s="126">
        <f t="shared" ca="1" si="10"/>
        <v>0</v>
      </c>
      <c r="K52" s="126">
        <f t="shared" ca="1" si="11"/>
        <v>0</v>
      </c>
      <c r="M52" s="161" t="str">
        <f t="shared" ca="1" si="12"/>
        <v>-</v>
      </c>
      <c r="N52" s="161" t="str">
        <f t="shared" ca="1" si="13"/>
        <v>-</v>
      </c>
      <c r="O52" s="161" t="str">
        <f t="shared" ca="1" si="14"/>
        <v>-</v>
      </c>
    </row>
    <row r="53" spans="1:15" s="127" customFormat="1" ht="14.25" customHeight="1">
      <c r="A53" s="130" t="str">
        <f t="shared" ca="1" si="15"/>
        <v>PL1310_PU_10</v>
      </c>
      <c r="B53" s="125"/>
      <c r="C53" s="125"/>
      <c r="D53" s="158" t="str">
        <f t="shared" ca="1" si="16"/>
        <v>Purchasing</v>
      </c>
      <c r="E53" s="158"/>
      <c r="F53" s="158"/>
      <c r="G53" s="159">
        <f ca="1">_xll.DBRW($B$3,G$6,$B$5,$B$4,$B$6,G$7,$B$9,G$4,G$5,$A53)*G$8</f>
        <v>0</v>
      </c>
      <c r="H53" s="159">
        <f ca="1">_xll.DBRW($B$3,H$6,$B$5,$B$4,$B$6,H$7,$B$9,H$4,H$5,$A53)*H$8</f>
        <v>0</v>
      </c>
      <c r="I53" s="159">
        <f ca="1">_xll.DBRW($B$3,I$6,$B$5,$B$4,$B$6,I$7,$B$9,I$4,I$5,$A53)*I$8</f>
        <v>0</v>
      </c>
      <c r="J53" s="159">
        <f t="shared" ca="1" si="10"/>
        <v>0</v>
      </c>
      <c r="K53" s="159">
        <f t="shared" ca="1" si="11"/>
        <v>0</v>
      </c>
      <c r="M53" s="160" t="str">
        <f t="shared" ca="1" si="12"/>
        <v>-</v>
      </c>
      <c r="N53" s="160" t="str">
        <f t="shared" ca="1" si="13"/>
        <v>-</v>
      </c>
      <c r="O53" s="160" t="str">
        <f t="shared" ca="1" si="14"/>
        <v>-</v>
      </c>
    </row>
    <row r="54" spans="1:15" s="127" customFormat="1" ht="14.25" customHeight="1">
      <c r="A54" s="130" t="str">
        <f t="shared" ca="1" si="15"/>
        <v>PL1310_RD_10</v>
      </c>
      <c r="B54" s="125"/>
      <c r="C54" s="125"/>
      <c r="D54" s="162" t="str">
        <f t="shared" ca="1" si="16"/>
        <v>R &amp; D</v>
      </c>
      <c r="E54" s="162"/>
      <c r="F54" s="162"/>
      <c r="G54" s="126">
        <f ca="1">_xll.DBRW($B$3,G$6,$B$5,$B$4,$B$6,G$7,$B$9,G$4,G$5,$A54)*G$8</f>
        <v>0</v>
      </c>
      <c r="H54" s="126">
        <f ca="1">_xll.DBRW($B$3,H$6,$B$5,$B$4,$B$6,H$7,$B$9,H$4,H$5,$A54)*H$8</f>
        <v>0</v>
      </c>
      <c r="I54" s="126">
        <f ca="1">_xll.DBRW($B$3,I$6,$B$5,$B$4,$B$6,I$7,$B$9,I$4,I$5,$A54)*I$8</f>
        <v>0</v>
      </c>
      <c r="J54" s="126">
        <f t="shared" ca="1" si="10"/>
        <v>0</v>
      </c>
      <c r="K54" s="126">
        <f t="shared" ca="1" si="11"/>
        <v>0</v>
      </c>
      <c r="M54" s="161" t="str">
        <f t="shared" ca="1" si="12"/>
        <v>-</v>
      </c>
      <c r="N54" s="161" t="str">
        <f t="shared" ca="1" si="13"/>
        <v>-</v>
      </c>
      <c r="O54" s="161" t="str">
        <f t="shared" ca="1" si="14"/>
        <v>-</v>
      </c>
    </row>
    <row r="55" spans="1:15" s="127" customFormat="1" ht="14.25" customHeight="1">
      <c r="A55" s="130" t="str">
        <f t="shared" ca="1" si="15"/>
        <v>PL1310_RM_10</v>
      </c>
      <c r="B55" s="125"/>
      <c r="C55" s="125"/>
      <c r="D55" s="158" t="str">
        <f t="shared" ca="1" si="16"/>
        <v>Risk management</v>
      </c>
      <c r="E55" s="158"/>
      <c r="F55" s="158"/>
      <c r="G55" s="159">
        <f ca="1">_xll.DBRW($B$3,G$6,$B$5,$B$4,$B$6,G$7,$B$9,G$4,G$5,$A55)*G$8</f>
        <v>0</v>
      </c>
      <c r="H55" s="159">
        <f ca="1">_xll.DBRW($B$3,H$6,$B$5,$B$4,$B$6,H$7,$B$9,H$4,H$5,$A55)*H$8</f>
        <v>0</v>
      </c>
      <c r="I55" s="159">
        <f ca="1">_xll.DBRW($B$3,I$6,$B$5,$B$4,$B$6,I$7,$B$9,I$4,I$5,$A55)*I$8</f>
        <v>0</v>
      </c>
      <c r="J55" s="159">
        <f t="shared" ca="1" si="10"/>
        <v>0</v>
      </c>
      <c r="K55" s="159">
        <f t="shared" ca="1" si="11"/>
        <v>0</v>
      </c>
      <c r="M55" s="160" t="str">
        <f t="shared" ca="1" si="12"/>
        <v>-</v>
      </c>
      <c r="N55" s="160" t="str">
        <f t="shared" ca="1" si="13"/>
        <v>-</v>
      </c>
      <c r="O55" s="160" t="str">
        <f t="shared" ca="1" si="14"/>
        <v>-</v>
      </c>
    </row>
    <row r="56" spans="1:15" s="127" customFormat="1" ht="14.25" customHeight="1">
      <c r="A56" s="130" t="str">
        <f t="shared" ca="1" si="15"/>
        <v>PL1310_SE_10</v>
      </c>
      <c r="B56" s="125"/>
      <c r="C56" s="125"/>
      <c r="D56" s="162" t="str">
        <f t="shared" ca="1" si="16"/>
        <v>QHSE</v>
      </c>
      <c r="E56" s="162"/>
      <c r="F56" s="162"/>
      <c r="G56" s="126">
        <f ca="1">_xll.DBRW($B$3,G$6,$B$5,$B$4,$B$6,G$7,$B$9,G$4,G$5,$A56)*G$8</f>
        <v>0</v>
      </c>
      <c r="H56" s="126">
        <f ca="1">_xll.DBRW($B$3,H$6,$B$5,$B$4,$B$6,H$7,$B$9,H$4,H$5,$A56)*H$8</f>
        <v>0</v>
      </c>
      <c r="I56" s="126">
        <f ca="1">_xll.DBRW($B$3,I$6,$B$5,$B$4,$B$6,I$7,$B$9,I$4,I$5,$A56)*I$8</f>
        <v>0</v>
      </c>
      <c r="J56" s="126">
        <f t="shared" ca="1" si="10"/>
        <v>0</v>
      </c>
      <c r="K56" s="126">
        <f t="shared" ca="1" si="11"/>
        <v>0</v>
      </c>
      <c r="M56" s="161" t="str">
        <f t="shared" ca="1" si="12"/>
        <v>-</v>
      </c>
      <c r="N56" s="161" t="str">
        <f t="shared" ca="1" si="13"/>
        <v>-</v>
      </c>
      <c r="O56" s="161" t="str">
        <f t="shared" ca="1" si="14"/>
        <v>-</v>
      </c>
    </row>
    <row r="57" spans="1:15" s="127" customFormat="1" ht="14.25" customHeight="1">
      <c r="A57" s="130" t="str">
        <f t="shared" ca="1" si="15"/>
        <v>PL1310_TD_10</v>
      </c>
      <c r="B57" s="125"/>
      <c r="C57" s="125"/>
      <c r="D57" s="158" t="str">
        <f t="shared" ca="1" si="16"/>
        <v>Technical department</v>
      </c>
      <c r="E57" s="158"/>
      <c r="F57" s="158"/>
      <c r="G57" s="159">
        <f ca="1">_xll.DBRW($B$3,G$6,$B$5,$B$4,$B$6,G$7,$B$9,G$4,G$5,$A57)*G$8</f>
        <v>0</v>
      </c>
      <c r="H57" s="159">
        <f ca="1">_xll.DBRW($B$3,H$6,$B$5,$B$4,$B$6,H$7,$B$9,H$4,H$5,$A57)*H$8</f>
        <v>0</v>
      </c>
      <c r="I57" s="159">
        <f ca="1">_xll.DBRW($B$3,I$6,$B$5,$B$4,$B$6,I$7,$B$9,I$4,I$5,$A57)*I$8</f>
        <v>0</v>
      </c>
      <c r="J57" s="159">
        <f t="shared" ca="1" si="10"/>
        <v>0</v>
      </c>
      <c r="K57" s="159">
        <f t="shared" ca="1" si="11"/>
        <v>0</v>
      </c>
      <c r="M57" s="160" t="str">
        <f t="shared" ca="1" si="12"/>
        <v>-</v>
      </c>
      <c r="N57" s="160" t="str">
        <f t="shared" ca="1" si="13"/>
        <v>-</v>
      </c>
      <c r="O57" s="160" t="str">
        <f t="shared" ca="1" si="14"/>
        <v>-</v>
      </c>
    </row>
    <row r="58" spans="1:15" s="127" customFormat="1" ht="14.25" customHeight="1">
      <c r="A58" s="130" t="str">
        <f t="shared" ca="1" si="15"/>
        <v>PL1310_TM_10</v>
      </c>
      <c r="B58" s="125"/>
      <c r="C58" s="125"/>
      <c r="D58" s="162" t="str">
        <f t="shared" ca="1" si="16"/>
        <v>Tax Management</v>
      </c>
      <c r="E58" s="162"/>
      <c r="F58" s="162"/>
      <c r="G58" s="126">
        <f ca="1">_xll.DBRW($B$3,G$6,$B$5,$B$4,$B$6,G$7,$B$9,G$4,G$5,$A58)*G$8</f>
        <v>0</v>
      </c>
      <c r="H58" s="126">
        <f ca="1">_xll.DBRW($B$3,H$6,$B$5,$B$4,$B$6,H$7,$B$9,H$4,H$5,$A58)*H$8</f>
        <v>0</v>
      </c>
      <c r="I58" s="126">
        <f ca="1">_xll.DBRW($B$3,I$6,$B$5,$B$4,$B$6,I$7,$B$9,I$4,I$5,$A58)*I$8</f>
        <v>0</v>
      </c>
      <c r="J58" s="126">
        <f t="shared" ca="1" si="10"/>
        <v>0</v>
      </c>
      <c r="K58" s="126">
        <f t="shared" ca="1" si="11"/>
        <v>0</v>
      </c>
      <c r="M58" s="161" t="str">
        <f t="shared" ca="1" si="12"/>
        <v>-</v>
      </c>
      <c r="N58" s="161" t="str">
        <f t="shared" ca="1" si="13"/>
        <v>-</v>
      </c>
      <c r="O58" s="161" t="str">
        <f t="shared" ca="1" si="14"/>
        <v>-</v>
      </c>
    </row>
    <row r="59" spans="1:15" s="168" customFormat="1" ht="11.25">
      <c r="A59" s="164" t="s">
        <v>105</v>
      </c>
      <c r="B59" s="165"/>
      <c r="C59" s="165"/>
      <c r="D59" s="166" t="str">
        <f ca="1">_xll.DBRA("tango_core_model:indicator",A59,Language)</f>
        <v>Vector Reconciliation (TPL13) - Staff costs - Cash</v>
      </c>
      <c r="E59" s="166"/>
      <c r="F59" s="166"/>
      <c r="G59" s="167">
        <f ca="1">_xll.DBRW($B$3,G$6,$B$5,$B$4,$B$6,G$7,$B$9,G$4,G$5,$A59)*G$8</f>
        <v>0</v>
      </c>
      <c r="H59" s="167">
        <f ca="1">_xll.DBRW($B$3,H$6,$B$5,$B$4,$B$6,H$7,$B$9,H$4,H$5,$A59)*H$8</f>
        <v>0</v>
      </c>
      <c r="I59" s="167">
        <f ca="1">_xll.DBRW($B$3,I$6,$B$5,$B$4,$B$6,I$7,$B$9,I$4,I$5,$A59)*I$8</f>
        <v>0</v>
      </c>
      <c r="J59" s="167">
        <f t="shared" ca="1" si="10"/>
        <v>0</v>
      </c>
      <c r="K59" s="167">
        <f t="shared" ca="1" si="11"/>
        <v>0</v>
      </c>
      <c r="M59" s="169"/>
      <c r="N59" s="169"/>
      <c r="O59" s="169"/>
    </row>
  </sheetData>
  <mergeCells count="10">
    <mergeCell ref="M42:O42"/>
    <mergeCell ref="G42:K42"/>
    <mergeCell ref="G24:K24"/>
    <mergeCell ref="M24:O24"/>
    <mergeCell ref="M12:O12"/>
    <mergeCell ref="D1:O1"/>
    <mergeCell ref="O4:AB4"/>
    <mergeCell ref="G12:K12"/>
    <mergeCell ref="J13:J14"/>
    <mergeCell ref="K13:K14"/>
  </mergeCells>
  <pageMargins left="0.19685039370078741" right="0.19685039370078741" top="0.59055118110236227" bottom="0.59055118110236227" header="0.31496062992125984" footer="0.31496062992125984"/>
  <pageSetup paperSize="9" scale="70" orientation="portrait" r:id="rId1"/>
  <headerFooter alignWithMargins="0">
    <oddFooter>&amp;L&amp;Z
&amp;F&amp;C&amp;A&amp;R&amp;D&amp;T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FF0000"/>
    <pageSetUpPr fitToPage="1"/>
  </sheetPr>
  <dimension ref="A1:AI61"/>
  <sheetViews>
    <sheetView showGridLines="0" topLeftCell="C14" zoomScaleNormal="100" workbookViewId="0">
      <selection activeCell="R23" sqref="R23"/>
    </sheetView>
  </sheetViews>
  <sheetFormatPr baseColWidth="10" defaultColWidth="10.7109375" defaultRowHeight="9.9499999999999993" customHeight="1" outlineLevelRow="1" outlineLevelCol="1"/>
  <cols>
    <col min="1" max="2" width="8.7109375" style="19" hidden="1" customWidth="1" outlineLevel="1"/>
    <col min="3" max="3" width="2.7109375" style="20" customWidth="1" collapsed="1"/>
    <col min="4" max="4" width="24.5703125" style="20" bestFit="1" customWidth="1"/>
    <col min="5" max="5" width="2.7109375" style="20" customWidth="1"/>
    <col min="6" max="8" width="9.7109375" style="83" customWidth="1"/>
    <col min="9" max="10" width="8" style="84" hidden="1" customWidth="1" outlineLevel="1"/>
    <col min="11" max="11" width="2.7109375" style="82" customWidth="1" collapsed="1"/>
    <col min="12" max="14" width="9.7109375" style="83" customWidth="1"/>
    <col min="15" max="16" width="8" style="84" hidden="1" customWidth="1" outlineLevel="1"/>
    <col min="17" max="17" width="2.7109375" style="82" customWidth="1" collapsed="1"/>
    <col min="18" max="20" width="9.7109375" style="83" customWidth="1"/>
    <col min="21" max="22" width="9.140625" style="84" hidden="1" customWidth="1" outlineLevel="1"/>
    <col min="23" max="23" width="2.7109375" style="82" customWidth="1" collapsed="1"/>
    <col min="24" max="26" width="9.7109375" style="68" customWidth="1"/>
    <col min="27" max="28" width="9.140625" style="69" hidden="1" customWidth="1" outlineLevel="1"/>
    <col min="29" max="29" width="2.7109375" style="23" customWidth="1" collapsed="1"/>
    <col min="30" max="32" width="9.7109375" style="68" customWidth="1"/>
    <col min="33" max="34" width="9.140625" style="69" hidden="1" customWidth="1" outlineLevel="1"/>
    <col min="35" max="35" width="2.7109375" style="23" customWidth="1" collapsed="1"/>
    <col min="36" max="16384" width="10.7109375" style="23"/>
  </cols>
  <sheetData>
    <row r="1" spans="1:35" s="33" customFormat="1" ht="55.5" customHeight="1">
      <c r="A1" s="193" t="str">
        <f ca="1">"SG&amp;A - "&amp;_xll.DBRA("tango_core_model:phase",Context!E17,Language)&amp;" -  "&amp;_xll.DBRA("tango_core_model:period",Context!E16,Language)</f>
        <v>SG&amp;A - Réalisé -  Cumul Décembre 2015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</row>
    <row r="2" spans="1:35" s="33" customFormat="1" ht="12">
      <c r="A2" s="16"/>
      <c r="B2" s="16"/>
      <c r="C2" s="16"/>
      <c r="D2" s="16"/>
      <c r="E2" s="16"/>
      <c r="F2" s="137"/>
      <c r="G2" s="138"/>
      <c r="H2" s="138"/>
      <c r="I2" s="139"/>
      <c r="J2" s="139"/>
      <c r="K2" s="140"/>
      <c r="L2" s="137"/>
      <c r="M2" s="138"/>
      <c r="N2" s="138"/>
      <c r="O2" s="139"/>
      <c r="P2" s="139"/>
      <c r="Q2" s="140"/>
      <c r="R2" s="137"/>
      <c r="S2" s="138"/>
      <c r="T2" s="138"/>
      <c r="U2" s="139"/>
      <c r="V2" s="139"/>
      <c r="W2" s="140"/>
      <c r="X2" s="57"/>
      <c r="Y2" s="58"/>
      <c r="Z2" s="58"/>
      <c r="AA2" s="59"/>
      <c r="AB2" s="59"/>
      <c r="AD2" s="57"/>
      <c r="AE2" s="58"/>
      <c r="AF2" s="58"/>
      <c r="AG2" s="59"/>
      <c r="AH2" s="59"/>
    </row>
    <row r="3" spans="1:35" s="22" customFormat="1" ht="12" hidden="1" outlineLevel="1">
      <c r="A3" s="25" t="s">
        <v>22</v>
      </c>
      <c r="B3" s="25" t="str">
        <f ca="1">Cube</f>
        <v>tango_core_model:Report_PL</v>
      </c>
      <c r="C3" s="1"/>
      <c r="D3" s="1"/>
      <c r="E3" s="17"/>
      <c r="F3" s="137"/>
      <c r="G3" s="137"/>
      <c r="H3" s="137"/>
      <c r="I3" s="141"/>
      <c r="J3" s="139"/>
      <c r="K3" s="80"/>
      <c r="L3" s="137"/>
      <c r="M3" s="137"/>
      <c r="N3" s="137"/>
      <c r="O3" s="141"/>
      <c r="P3" s="139"/>
      <c r="Q3" s="80"/>
      <c r="R3" s="137"/>
      <c r="S3" s="137"/>
      <c r="T3" s="137"/>
      <c r="U3" s="141"/>
      <c r="V3" s="139"/>
      <c r="W3" s="80"/>
      <c r="X3" s="57"/>
      <c r="Y3" s="57"/>
      <c r="Z3" s="57"/>
      <c r="AA3" s="60"/>
      <c r="AB3" s="59"/>
      <c r="AD3" s="57"/>
      <c r="AE3" s="57"/>
      <c r="AF3" s="57"/>
      <c r="AG3" s="60"/>
      <c r="AH3" s="59"/>
    </row>
    <row r="4" spans="1:35" s="18" customFormat="1" ht="24" hidden="1" outlineLevel="1">
      <c r="A4" s="26" t="s">
        <v>17</v>
      </c>
      <c r="B4" s="26" t="str">
        <f ca="1">Gaap</f>
        <v>Consolidated total</v>
      </c>
      <c r="C4" s="38"/>
      <c r="D4" s="24" t="s">
        <v>26</v>
      </c>
      <c r="F4" s="142" t="str">
        <f ca="1">Context!$E$16</f>
        <v>2015.12_YTD</v>
      </c>
      <c r="G4" s="142" t="str">
        <f ca="1">Context!$F$16</f>
        <v>2015.12_YTD</v>
      </c>
      <c r="H4" s="142" t="str">
        <f ca="1">Context!$G$16</f>
        <v>2014.12_YTD</v>
      </c>
      <c r="I4" s="143"/>
      <c r="J4" s="143"/>
      <c r="K4" s="81"/>
      <c r="L4" s="142" t="str">
        <f ca="1">Context!$E$16</f>
        <v>2015.12_YTD</v>
      </c>
      <c r="M4" s="142" t="str">
        <f ca="1">Context!$F$16</f>
        <v>2015.12_YTD</v>
      </c>
      <c r="N4" s="142" t="str">
        <f ca="1">Context!$G$16</f>
        <v>2014.12_YTD</v>
      </c>
      <c r="O4" s="143"/>
      <c r="P4" s="143"/>
      <c r="Q4" s="81"/>
      <c r="R4" s="142" t="str">
        <f ca="1">Context!$E$16</f>
        <v>2015.12_YTD</v>
      </c>
      <c r="S4" s="142" t="str">
        <f ca="1">Context!$F$16</f>
        <v>2015.12_YTD</v>
      </c>
      <c r="T4" s="142" t="str">
        <f ca="1">Context!$G$16</f>
        <v>2014.12_YTD</v>
      </c>
      <c r="U4" s="143"/>
      <c r="V4" s="143"/>
      <c r="W4" s="81"/>
      <c r="X4" s="36" t="s">
        <v>49</v>
      </c>
      <c r="Y4" s="70"/>
      <c r="Z4" s="70"/>
      <c r="AA4" s="71"/>
      <c r="AB4" s="71"/>
      <c r="AD4" s="36" t="s">
        <v>49</v>
      </c>
      <c r="AE4" s="70"/>
      <c r="AF4" s="70"/>
      <c r="AG4" s="71"/>
      <c r="AH4" s="71"/>
    </row>
    <row r="5" spans="1:35" s="32" customFormat="1" ht="12" hidden="1" outlineLevel="1">
      <c r="A5" s="25" t="s">
        <v>20</v>
      </c>
      <c r="B5" s="74" t="str">
        <f ca="1">_xll.SUBNM("tango_core_model:Currency","","KEUR")</f>
        <v>KEUR</v>
      </c>
      <c r="C5" s="1"/>
      <c r="D5" s="27" t="s">
        <v>27</v>
      </c>
      <c r="F5" s="142" t="str">
        <f ca="1">Context!$E$17</f>
        <v>ACT_TOT</v>
      </c>
      <c r="G5" s="142" t="str">
        <f ca="1">Context!$F$17</f>
        <v>FC_2_VC_TOT</v>
      </c>
      <c r="H5" s="142" t="str">
        <f ca="1">Context!$G$17</f>
        <v>ACT_TOT</v>
      </c>
      <c r="I5" s="143"/>
      <c r="J5" s="144"/>
      <c r="K5" s="81"/>
      <c r="L5" s="142" t="str">
        <f ca="1">Context!$E$17</f>
        <v>ACT_TOT</v>
      </c>
      <c r="M5" s="142" t="str">
        <f ca="1">Context!$F$17</f>
        <v>FC_2_VC_TOT</v>
      </c>
      <c r="N5" s="142" t="str">
        <f ca="1">Context!$G$17</f>
        <v>ACT_TOT</v>
      </c>
      <c r="O5" s="143"/>
      <c r="P5" s="144"/>
      <c r="Q5" s="81"/>
      <c r="R5" s="142" t="str">
        <f ca="1">Context!$E$17</f>
        <v>ACT_TOT</v>
      </c>
      <c r="S5" s="142" t="str">
        <f ca="1">Context!$F$17</f>
        <v>FC_2_VC_TOT</v>
      </c>
      <c r="T5" s="142" t="str">
        <f ca="1">Context!$G$17</f>
        <v>ACT_TOT</v>
      </c>
      <c r="U5" s="143"/>
      <c r="V5" s="144"/>
      <c r="W5" s="81"/>
      <c r="X5" s="70"/>
      <c r="Y5" s="70"/>
      <c r="Z5" s="70"/>
      <c r="AA5" s="71"/>
      <c r="AB5" s="72"/>
      <c r="AD5" s="70"/>
      <c r="AE5" s="70"/>
      <c r="AF5" s="70"/>
      <c r="AG5" s="71"/>
      <c r="AH5" s="72"/>
    </row>
    <row r="6" spans="1:35" s="32" customFormat="1" ht="12" hidden="1" outlineLevel="1">
      <c r="A6" s="25" t="s">
        <v>18</v>
      </c>
      <c r="B6" s="25" t="str">
        <f ca="1">Integration_Rate</f>
        <v>APP</v>
      </c>
      <c r="C6" s="1"/>
      <c r="D6" s="27" t="s">
        <v>54</v>
      </c>
      <c r="F6" s="79" t="str">
        <f ca="1">_xll.SUBNM("Tango_Core_Model:Indicator","","TPL10_nat")</f>
        <v>TPL10_nat</v>
      </c>
      <c r="G6" s="142" t="str">
        <f ca="1">F6</f>
        <v>TPL10_nat</v>
      </c>
      <c r="H6" s="142" t="str">
        <f ca="1">G6</f>
        <v>TPL10_nat</v>
      </c>
      <c r="I6" s="143"/>
      <c r="J6" s="144"/>
      <c r="K6" s="81"/>
      <c r="L6" s="79" t="str">
        <f ca="1">_xll.SUBNM("Tango_Core_Model:Indicator","","TPL12_nat")</f>
        <v>TPL12_nat</v>
      </c>
      <c r="M6" s="142" t="str">
        <f ca="1">L6</f>
        <v>TPL12_nat</v>
      </c>
      <c r="N6" s="142" t="str">
        <f ca="1">M6</f>
        <v>TPL12_nat</v>
      </c>
      <c r="O6" s="143"/>
      <c r="P6" s="144"/>
      <c r="Q6" s="81"/>
      <c r="R6" s="79" t="str">
        <f ca="1">_xll.SUBNM("Tango_Core_Model:Indicator","","TPL13_nat")</f>
        <v>TPL13_nat</v>
      </c>
      <c r="S6" s="142" t="str">
        <f ca="1">R6</f>
        <v>TPL13_nat</v>
      </c>
      <c r="T6" s="142" t="str">
        <f ca="1">S6</f>
        <v>TPL13_nat</v>
      </c>
      <c r="U6" s="143"/>
      <c r="V6" s="144"/>
      <c r="W6" s="81"/>
      <c r="X6" s="73"/>
      <c r="Y6" s="70"/>
      <c r="Z6" s="70"/>
      <c r="AA6" s="71"/>
      <c r="AB6" s="72"/>
      <c r="AD6" s="73"/>
      <c r="AE6" s="70"/>
      <c r="AF6" s="70"/>
      <c r="AG6" s="71"/>
      <c r="AH6" s="72"/>
    </row>
    <row r="7" spans="1:35" s="34" customFormat="1" ht="12.75" hidden="1" outlineLevel="1">
      <c r="A7" s="42" t="s">
        <v>19</v>
      </c>
      <c r="B7" s="75" t="s">
        <v>59</v>
      </c>
      <c r="C7" s="30"/>
      <c r="D7" s="29" t="s">
        <v>25</v>
      </c>
      <c r="F7" s="142">
        <f ca="1">IF(LEFT(F4,1)="F",_xll.DBR("tango_core_model:ST_Currency",F4,MID(F5,1,LEN(F5)-4),Devise,"EUR",$D$7),_xll.DBR("tango_core_model:ST_Currency",LEFT(F4,7),MID(F5,1,LEN(F5)-4),Devise,"EUR",$D$7))</f>
        <v>1</v>
      </c>
      <c r="G7" s="142">
        <f ca="1">IF(LEFT(G4,1)="F",_xll.DBR("tango_core_model:ST_Currency",G4,MID(G5,1,LEN(G5)-4),Devise,"EUR",$D$7),_xll.DBR("tango_core_model:ST_Currency",LEFT(G4,7),MID(G5,1,LEN(G5)-4),Devise,"EUR",$D$7))</f>
        <v>1</v>
      </c>
      <c r="H7" s="142">
        <f ca="1">IF(LEFT(H4,1)="F",_xll.DBR("tango_core_model:ST_Currency",H4,MID(H5,1,LEN(H5)-4),Devise,"EUR",$D$7),_xll.DBR("tango_core_model:ST_Currency",LEFT(H4,7),MID(H5,1,LEN(H5)-4),Devise,"EUR",$D$7))</f>
        <v>1</v>
      </c>
      <c r="I7" s="143"/>
      <c r="J7" s="143"/>
      <c r="K7" s="82"/>
      <c r="L7" s="142">
        <f ca="1">IF(LEFT(L4,1)="F",_xll.DBR("tango_core_model:ST_Currency",L4,MID(L5,1,LEN(L5)-4),Devise,"EUR",$D$7),_xll.DBR("tango_core_model:ST_Currency",LEFT(L4,7),MID(L5,1,LEN(L5)-4),Devise,"EUR",$D$7))</f>
        <v>1</v>
      </c>
      <c r="M7" s="142">
        <f ca="1">IF(LEFT(M4,1)="F",_xll.DBR("tango_core_model:ST_Currency",M4,MID(M5,1,LEN(M5)-4),Devise,"EUR",$D$7),_xll.DBR("tango_core_model:ST_Currency",LEFT(M4,7),MID(M5,1,LEN(M5)-4),Devise,"EUR",$D$7))</f>
        <v>1</v>
      </c>
      <c r="N7" s="142">
        <f ca="1">IF(LEFT(N4,1)="F",_xll.DBR("tango_core_model:ST_Currency",N4,MID(N5,1,LEN(N5)-4),Devise,"EUR",$D$7),_xll.DBR("tango_core_model:ST_Currency",LEFT(N4,7),MID(N5,1,LEN(N5)-4),Devise,"EUR",$D$7))</f>
        <v>1</v>
      </c>
      <c r="O7" s="143"/>
      <c r="P7" s="143"/>
      <c r="Q7" s="82"/>
      <c r="R7" s="142">
        <f ca="1">IF(LEFT(R4,1)="F",_xll.DBR("tango_core_model:ST_Currency",R4,MID(R5,1,LEN(R5)-4),Devise,"EUR",$D$7),_xll.DBR("tango_core_model:ST_Currency",LEFT(R4,7),MID(R5,1,LEN(R5)-4),Devise,"EUR",$D$7))</f>
        <v>1</v>
      </c>
      <c r="S7" s="142">
        <f ca="1">IF(LEFT(S4,1)="F",_xll.DBR("tango_core_model:ST_Currency",S4,MID(S5,1,LEN(S5)-4),Devise,"EUR",$D$7),_xll.DBR("tango_core_model:ST_Currency",LEFT(S4,7),MID(S5,1,LEN(S5)-4),Devise,"EUR",$D$7))</f>
        <v>1</v>
      </c>
      <c r="T7" s="142">
        <f ca="1">IF(LEFT(T4,1)="F",_xll.DBR("tango_core_model:ST_Currency",T4,MID(T5,1,LEN(T5)-4),Devise,"EUR",$D$7),_xll.DBR("tango_core_model:ST_Currency",LEFT(T4,7),MID(T5,1,LEN(T5)-4),Devise,"EUR",$D$7))</f>
        <v>1</v>
      </c>
      <c r="U7" s="143"/>
      <c r="V7" s="143"/>
      <c r="W7" s="82"/>
      <c r="X7" s="70"/>
      <c r="Y7" s="70"/>
      <c r="Z7" s="70"/>
      <c r="AA7" s="71"/>
      <c r="AB7" s="71"/>
      <c r="AD7" s="70"/>
      <c r="AE7" s="70"/>
      <c r="AF7" s="70"/>
      <c r="AG7" s="71"/>
      <c r="AH7" s="71"/>
    </row>
    <row r="8" spans="1:35" s="34" customFormat="1" ht="38.25" hidden="1" outlineLevel="1">
      <c r="A8" s="43" t="s">
        <v>23</v>
      </c>
      <c r="B8" s="76" t="str">
        <f ca="1">Management_Organization</f>
        <v>VTD_corp</v>
      </c>
      <c r="C8" s="39"/>
      <c r="D8" s="31" t="s">
        <v>24</v>
      </c>
      <c r="F8" s="142">
        <f ca="1">IF(LEFT(F4,1)="F",_xll.DBR("tango_core_model:ST_Currency",F4,MID(F5,1,LEN(F5)-4),Devise,"EUR",$D$8),_xll.DBR("tango_core_model:ST_Currency",LEFT(F4,7),MID(F5,1,LEN(F5)-4),Devise,"EUR",$D$8))</f>
        <v>1</v>
      </c>
      <c r="G8" s="142">
        <f ca="1">IF(LEFT(G4,1)="F",_xll.DBR("tango_core_model:ST_Currency",G4,MID(G5,1,LEN(G5)-4),Devise,"EUR",$D$8),_xll.DBR("tango_core_model:ST_Currency",LEFT(G4,7),MID(G5,1,LEN(G5)-4),Devise,"EUR",$D$8))</f>
        <v>1</v>
      </c>
      <c r="H8" s="142">
        <f ca="1">IF(LEFT(H4,1)="F",_xll.DBR("tango_core_model:ST_Currency",H4,MID(H5,1,LEN(H5)-4),Devise,"EUR",$D$8),_xll.DBR("tango_core_model:ST_Currency",LEFT(H4,7),MID(H5,1,LEN(H5)-4),Devise,"EUR",$D$8))</f>
        <v>1</v>
      </c>
      <c r="I8" s="143"/>
      <c r="J8" s="143"/>
      <c r="K8" s="82"/>
      <c r="L8" s="142">
        <f ca="1">IF(LEFT(L4,1)="F",_xll.DBR("tango_core_model:ST_Currency",L4,MID(L5,1,LEN(L5)-4),Devise,"EUR",$D$8),_xll.DBR("tango_core_model:ST_Currency",LEFT(L4,7),MID(L5,1,LEN(L5)-4),Devise,"EUR",$D$8))</f>
        <v>1</v>
      </c>
      <c r="M8" s="142">
        <f ca="1">IF(LEFT(M4,1)="F",_xll.DBR("tango_core_model:ST_Currency",M4,MID(M5,1,LEN(M5)-4),Devise,"EUR",$D$8),_xll.DBR("tango_core_model:ST_Currency",LEFT(M4,7),MID(M5,1,LEN(M5)-4),Devise,"EUR",$D$8))</f>
        <v>1</v>
      </c>
      <c r="N8" s="142">
        <f ca="1">IF(LEFT(N4,1)="F",_xll.DBR("tango_core_model:ST_Currency",N4,MID(N5,1,LEN(N5)-4),Devise,"EUR",$D$8),_xll.DBR("tango_core_model:ST_Currency",LEFT(N4,7),MID(N5,1,LEN(N5)-4),Devise,"EUR",$D$8))</f>
        <v>1</v>
      </c>
      <c r="O8" s="143"/>
      <c r="P8" s="143"/>
      <c r="Q8" s="82"/>
      <c r="R8" s="142">
        <f ca="1">IF(LEFT(R4,1)="F",_xll.DBR("tango_core_model:ST_Currency",R4,MID(R5,1,LEN(R5)-4),Devise,"EUR",$D$8),_xll.DBR("tango_core_model:ST_Currency",LEFT(R4,7),MID(R5,1,LEN(R5)-4),Devise,"EUR",$D$8))</f>
        <v>1</v>
      </c>
      <c r="S8" s="142">
        <f ca="1">IF(LEFT(S4,1)="F",_xll.DBR("tango_core_model:ST_Currency",S4,MID(S5,1,LEN(S5)-4),Devise,"EUR",$D$8),_xll.DBR("tango_core_model:ST_Currency",LEFT(S4,7),MID(S5,1,LEN(S5)-4),Devise,"EUR",$D$8))</f>
        <v>1</v>
      </c>
      <c r="T8" s="142">
        <f ca="1">IF(LEFT(T4,1)="F",_xll.DBR("tango_core_model:ST_Currency",T4,MID(T5,1,LEN(T5)-4),Devise,"EUR",$D$8),_xll.DBR("tango_core_model:ST_Currency",LEFT(T4,7),MID(T5,1,LEN(T5)-4),Devise,"EUR",$D$8))</f>
        <v>1</v>
      </c>
      <c r="U8" s="143"/>
      <c r="V8" s="143"/>
      <c r="W8" s="82"/>
      <c r="X8" s="70"/>
      <c r="Y8" s="70"/>
      <c r="Z8" s="70"/>
      <c r="AA8" s="71"/>
      <c r="AB8" s="71"/>
      <c r="AD8" s="70"/>
      <c r="AE8" s="70"/>
      <c r="AF8" s="70"/>
      <c r="AG8" s="71"/>
      <c r="AH8" s="71"/>
    </row>
    <row r="9" spans="1:35" ht="12" hidden="1" outlineLevel="1">
      <c r="E9" s="21"/>
      <c r="F9" s="145"/>
      <c r="G9" s="145"/>
      <c r="H9" s="145"/>
      <c r="I9" s="146"/>
      <c r="J9" s="146"/>
      <c r="L9" s="145"/>
      <c r="M9" s="145"/>
      <c r="N9" s="145"/>
      <c r="O9" s="146"/>
      <c r="P9" s="146"/>
      <c r="R9" s="145"/>
      <c r="S9" s="145"/>
      <c r="T9" s="145"/>
      <c r="U9" s="146"/>
      <c r="V9" s="146"/>
      <c r="X9" s="61"/>
      <c r="Y9" s="61"/>
      <c r="Z9" s="61"/>
      <c r="AA9" s="62"/>
      <c r="AB9" s="62"/>
      <c r="AD9" s="61"/>
      <c r="AE9" s="61"/>
      <c r="AF9" s="61"/>
      <c r="AG9" s="62"/>
      <c r="AH9" s="62"/>
    </row>
    <row r="10" spans="1:35" ht="12.75" collapsed="1" thickBot="1">
      <c r="F10" s="145"/>
      <c r="G10" s="145"/>
      <c r="H10" s="145"/>
      <c r="I10" s="146"/>
      <c r="J10" s="146"/>
      <c r="L10" s="145"/>
      <c r="M10" s="145"/>
      <c r="N10" s="145"/>
      <c r="O10" s="146"/>
      <c r="P10" s="146"/>
      <c r="R10" s="145"/>
      <c r="S10" s="145"/>
      <c r="T10" s="145"/>
      <c r="U10" s="146"/>
      <c r="V10" s="146"/>
      <c r="X10" s="61"/>
      <c r="Y10" s="61"/>
      <c r="Z10" s="61"/>
      <c r="AA10" s="62"/>
      <c r="AB10" s="62"/>
      <c r="AD10" s="61"/>
      <c r="AE10" s="61"/>
      <c r="AF10" s="61"/>
      <c r="AG10" s="62"/>
      <c r="AH10" s="62"/>
    </row>
    <row r="11" spans="1:35" s="40" customFormat="1" ht="22.5" customHeight="1">
      <c r="B11" s="41"/>
      <c r="C11" s="41"/>
      <c r="D11" s="41"/>
      <c r="F11" s="203" t="str">
        <f ca="1">_xll.DBRA("tango_core_model:indicator",F6,Language)</f>
        <v>PRODUIT DES ACTIVITES ORDINAIRES (par nature)</v>
      </c>
      <c r="G11" s="204"/>
      <c r="H11" s="204"/>
      <c r="I11" s="204"/>
      <c r="J11" s="205"/>
      <c r="K11" s="125"/>
      <c r="L11" s="203" t="str">
        <f ca="1">_xll.DBRA("tango_core_model:indicator",L6,Language)</f>
        <v>COUTS COMMERCIAUX (par nature)</v>
      </c>
      <c r="M11" s="204"/>
      <c r="N11" s="204"/>
      <c r="O11" s="204"/>
      <c r="P11" s="205"/>
      <c r="Q11" s="125"/>
      <c r="R11" s="203" t="str">
        <f ca="1">_xll.DBRA("tango_core_model:indicator",R6,Language)</f>
        <v>COUTS GENERAUX ET ADMINISTRATIFS (par nature)</v>
      </c>
      <c r="S11" s="204"/>
      <c r="T11" s="204"/>
      <c r="U11" s="204"/>
      <c r="V11" s="205"/>
      <c r="W11" s="125"/>
      <c r="X11" s="196" t="str">
        <f ca="1">IF(Language="French","SG&amp;A","SG&amp;A")</f>
        <v>SG&amp;A</v>
      </c>
      <c r="Y11" s="197"/>
      <c r="Z11" s="197"/>
      <c r="AA11" s="197"/>
      <c r="AB11" s="198"/>
      <c r="AD11" s="196" t="str">
        <f ca="1">IF(Language="French","%SG&amp;A","%SG&amp;A")</f>
        <v>%SG&amp;A</v>
      </c>
      <c r="AE11" s="197"/>
      <c r="AF11" s="197"/>
      <c r="AG11" s="197"/>
      <c r="AH11" s="198"/>
    </row>
    <row r="12" spans="1:35" s="40" customFormat="1" ht="22.5" customHeight="1" thickBot="1">
      <c r="B12" s="41"/>
      <c r="C12" s="41"/>
      <c r="D12" s="41"/>
      <c r="F12" s="206"/>
      <c r="G12" s="207"/>
      <c r="H12" s="207"/>
      <c r="I12" s="207"/>
      <c r="J12" s="208"/>
      <c r="K12" s="125"/>
      <c r="L12" s="206"/>
      <c r="M12" s="207"/>
      <c r="N12" s="207"/>
      <c r="O12" s="207"/>
      <c r="P12" s="208"/>
      <c r="Q12" s="125"/>
      <c r="R12" s="206"/>
      <c r="S12" s="207"/>
      <c r="T12" s="207"/>
      <c r="U12" s="207"/>
      <c r="V12" s="208"/>
      <c r="W12" s="125"/>
      <c r="X12" s="199"/>
      <c r="Y12" s="200"/>
      <c r="Z12" s="200"/>
      <c r="AA12" s="200"/>
      <c r="AB12" s="201"/>
      <c r="AD12" s="199"/>
      <c r="AE12" s="200"/>
      <c r="AF12" s="200"/>
      <c r="AG12" s="200"/>
      <c r="AH12" s="201"/>
    </row>
    <row r="13" spans="1:35" s="40" customFormat="1" ht="15" customHeight="1">
      <c r="C13" s="41"/>
      <c r="D13" s="77" t="str">
        <f ca="1">_xll.DBRA("tango_core_model:gaap",B4,Language)</f>
        <v>Total consolidé</v>
      </c>
      <c r="E13" s="56"/>
      <c r="F13" s="147" t="str">
        <f ca="1">SUBSTITUTE(F4,"_YTD","")</f>
        <v>2015.12</v>
      </c>
      <c r="G13" s="148" t="str">
        <f ca="1">SUBSTITUTE(G4,"_YTD","")</f>
        <v>2015.12</v>
      </c>
      <c r="H13" s="148" t="str">
        <f ca="1">SUBSTITUTE(H4,"_YTD","")</f>
        <v>2014.12</v>
      </c>
      <c r="I13" s="194" t="str">
        <f ca="1">IF(LEFT(G13,1)="F","Var vs "&amp;G14&amp;" "&amp;RIGHT(G13,4),"Var vs "&amp;G14&amp;" "&amp;LEFT(G13,4))</f>
        <v>Var vs FC_2_VC 2015</v>
      </c>
      <c r="J13" s="194" t="str">
        <f ca="1">IF(LEFT(H13,1)="F","Var vs "&amp;H14&amp;" "&amp;RIGHT(H13,4),"Var vs "&amp;H14&amp;" "&amp;LEFT(H13,4))</f>
        <v>Var vs ACT 2014</v>
      </c>
      <c r="K13" s="125"/>
      <c r="L13" s="147" t="str">
        <f ca="1">SUBSTITUTE(L4,"_YTD","")</f>
        <v>2015.12</v>
      </c>
      <c r="M13" s="148" t="str">
        <f ca="1">SUBSTITUTE(M4,"_YTD","")</f>
        <v>2015.12</v>
      </c>
      <c r="N13" s="148" t="str">
        <f ca="1">SUBSTITUTE(N4,"_YTD","")</f>
        <v>2014.12</v>
      </c>
      <c r="O13" s="194" t="str">
        <f ca="1">IF(LEFT(M13,1)="F","Var vs "&amp;M14&amp;" "&amp;RIGHT(M13,4),"Var vs "&amp;M14&amp;" "&amp;LEFT(M13,4))</f>
        <v>Var vs FC_2_VC 2015</v>
      </c>
      <c r="P13" s="194" t="str">
        <f ca="1">IF(LEFT(N13,1)="F","Var vs "&amp;N14&amp;" "&amp;RIGHT(N13,4),"Var vs "&amp;N14&amp;" "&amp;LEFT(N13,4))</f>
        <v>Var vs ACT 2014</v>
      </c>
      <c r="Q13" s="125"/>
      <c r="R13" s="147" t="str">
        <f ca="1">SUBSTITUTE(R4,"_YTD","")</f>
        <v>2015.12</v>
      </c>
      <c r="S13" s="148" t="str">
        <f ca="1">SUBSTITUTE(S4,"_YTD","")</f>
        <v>2015.12</v>
      </c>
      <c r="T13" s="148" t="str">
        <f ca="1">SUBSTITUTE(T4,"_YTD","")</f>
        <v>2014.12</v>
      </c>
      <c r="U13" s="194" t="str">
        <f ca="1">IF(LEFT(S13,1)="F","Var vs "&amp;S14&amp;" "&amp;RIGHT(S13,4),"Var vs "&amp;S14&amp;" "&amp;LEFT(S13,4))</f>
        <v>Var vs FC_2_VC 2015</v>
      </c>
      <c r="V13" s="194" t="str">
        <f ca="1">IF(LEFT(T13,1)="F","Var vs "&amp;T14&amp;" "&amp;RIGHT(T13,4),"Var vs "&amp;T14&amp;" "&amp;LEFT(T13,4))</f>
        <v>Var vs ACT 2014</v>
      </c>
      <c r="W13" s="125"/>
      <c r="X13" s="63" t="str">
        <f ca="1">F13</f>
        <v>2015.12</v>
      </c>
      <c r="Y13" s="64" t="str">
        <f ca="1">G13</f>
        <v>2015.12</v>
      </c>
      <c r="Z13" s="64" t="str">
        <f ca="1">H13</f>
        <v>2014.12</v>
      </c>
      <c r="AA13" s="202" t="str">
        <f ca="1">I13</f>
        <v>Var vs FC_2_VC 2015</v>
      </c>
      <c r="AB13" s="202" t="str">
        <f ca="1">J13</f>
        <v>Var vs ACT 2014</v>
      </c>
      <c r="AD13" s="63" t="str">
        <f ca="1">L13</f>
        <v>2015.12</v>
      </c>
      <c r="AE13" s="64" t="str">
        <f ca="1">M13</f>
        <v>2015.12</v>
      </c>
      <c r="AF13" s="64" t="str">
        <f ca="1">N13</f>
        <v>2014.12</v>
      </c>
      <c r="AG13" s="202" t="str">
        <f ca="1">O13</f>
        <v>Var vs FC_2_VC 2015</v>
      </c>
      <c r="AH13" s="202" t="str">
        <f ca="1">P13</f>
        <v>Var vs ACT 2014</v>
      </c>
    </row>
    <row r="14" spans="1:35" s="40" customFormat="1" ht="19.5" customHeight="1">
      <c r="A14" s="29" t="s">
        <v>21</v>
      </c>
      <c r="C14" s="41"/>
      <c r="D14" s="78" t="str">
        <f ca="1">B5</f>
        <v>KEUR</v>
      </c>
      <c r="F14" s="147" t="str">
        <f ca="1">SUBSTITUTE(F5,"_TOT","")</f>
        <v>ACT</v>
      </c>
      <c r="G14" s="148" t="str">
        <f ca="1">SUBSTITUTE(G5,"_TOT","")</f>
        <v>FC_2_VC</v>
      </c>
      <c r="H14" s="148" t="str">
        <f ca="1">SUBSTITUTE(H5,"_TOT","")</f>
        <v>ACT</v>
      </c>
      <c r="I14" s="195"/>
      <c r="J14" s="195"/>
      <c r="K14" s="125"/>
      <c r="L14" s="147" t="str">
        <f ca="1">SUBSTITUTE(L5,"_TOT","")</f>
        <v>ACT</v>
      </c>
      <c r="M14" s="148" t="str">
        <f ca="1">SUBSTITUTE(M5,"_TOT","")</f>
        <v>FC_2_VC</v>
      </c>
      <c r="N14" s="148" t="str">
        <f ca="1">SUBSTITUTE(N5,"_TOT","")</f>
        <v>ACT</v>
      </c>
      <c r="O14" s="195"/>
      <c r="P14" s="195"/>
      <c r="Q14" s="125"/>
      <c r="R14" s="147" t="str">
        <f ca="1">SUBSTITUTE(R5,"_TOT","")</f>
        <v>ACT</v>
      </c>
      <c r="S14" s="148" t="str">
        <f ca="1">SUBSTITUTE(S5,"_TOT","")</f>
        <v>FC_2_VC</v>
      </c>
      <c r="T14" s="148" t="str">
        <f ca="1">SUBSTITUTE(T5,"_TOT","")</f>
        <v>ACT</v>
      </c>
      <c r="U14" s="195"/>
      <c r="V14" s="195"/>
      <c r="W14" s="125"/>
      <c r="X14" s="63" t="str">
        <f ca="1">F14</f>
        <v>ACT</v>
      </c>
      <c r="Y14" s="64" t="str">
        <f ca="1">G14</f>
        <v>FC_2_VC</v>
      </c>
      <c r="Z14" s="64" t="str">
        <f ca="1">H14</f>
        <v>ACT</v>
      </c>
      <c r="AA14" s="192"/>
      <c r="AB14" s="192">
        <f ca="1">J14</f>
        <v>0</v>
      </c>
      <c r="AD14" s="63" t="str">
        <f ca="1">L14</f>
        <v>ACT</v>
      </c>
      <c r="AE14" s="64" t="str">
        <f ca="1">M14</f>
        <v>FC_2_VC</v>
      </c>
      <c r="AF14" s="64" t="str">
        <f ca="1">N14</f>
        <v>ACT</v>
      </c>
      <c r="AG14" s="192"/>
      <c r="AH14" s="192">
        <f ca="1">P14</f>
        <v>0</v>
      </c>
    </row>
    <row r="15" spans="1:35" s="49" customFormat="1" ht="12.75">
      <c r="A15" s="40"/>
      <c r="C15" s="40"/>
      <c r="D15" s="40"/>
      <c r="E15" s="46"/>
      <c r="F15" s="149"/>
      <c r="G15" s="150"/>
      <c r="H15" s="150"/>
      <c r="I15" s="151"/>
      <c r="J15" s="151"/>
      <c r="K15" s="127"/>
      <c r="L15" s="149"/>
      <c r="M15" s="150"/>
      <c r="N15" s="150"/>
      <c r="O15" s="151"/>
      <c r="P15" s="151"/>
      <c r="Q15" s="127"/>
      <c r="R15" s="149"/>
      <c r="S15" s="150"/>
      <c r="T15" s="150"/>
      <c r="U15" s="151"/>
      <c r="V15" s="151"/>
      <c r="W15" s="127"/>
      <c r="X15" s="65"/>
      <c r="Y15" s="66"/>
      <c r="Z15" s="66"/>
      <c r="AA15" s="67"/>
      <c r="AB15" s="67"/>
      <c r="AD15" s="65"/>
      <c r="AE15" s="66"/>
      <c r="AF15" s="66"/>
      <c r="AG15" s="67"/>
      <c r="AH15" s="67"/>
    </row>
    <row r="16" spans="1:35" s="28" customFormat="1" ht="20.100000000000001" customHeight="1">
      <c r="A16" s="29" t="s">
        <v>63</v>
      </c>
      <c r="C16" s="50"/>
      <c r="D16" s="52" t="str">
        <f ca="1">_xll.DBRA("tango_core_model:legal_organization",A16,Language)</f>
        <v>Zone France</v>
      </c>
      <c r="E16" s="20"/>
      <c r="F16" s="152">
        <f ca="1">_xll.DBRW($B$3,$B$7,$B$5,$B$4,$B$6,$A16,$B$8,F$4,F$5,F$6)*F$7</f>
        <v>2505999.8542140005</v>
      </c>
      <c r="G16" s="152">
        <f ca="1">_xll.DBRW($B$3,$B$7,$B$5,$B$4,$B$6,$A16,$B$8,G$4,G$5,G$6)*G$7</f>
        <v>2508581.029412</v>
      </c>
      <c r="H16" s="152">
        <f ca="1">_xll.DBRW($B$3,$B$7,$B$5,$B$4,$B$6,$A16,$B$8,H$4,H$5,H$6)*H$7</f>
        <v>2553955.8499999996</v>
      </c>
      <c r="I16" s="153">
        <f t="shared" ref="I16:I23" ca="1" si="0">IF(OR(F16="",G16=""),"-",IFERROR((F16-G16),""))</f>
        <v>-2581.1751979994588</v>
      </c>
      <c r="J16" s="153">
        <f t="shared" ref="J16:J23" ca="1" si="1">IF(OR(F16="",H16=""),"-",IFERROR((F16-H16),""))</f>
        <v>-47955.995785999112</v>
      </c>
      <c r="K16" s="123"/>
      <c r="L16" s="152">
        <f ca="1">_xll.DBRW($B$3,$B$7,$B$5,$B$4,$B$6,$A16,$B$8,L$4,L$5,L$6)*L$7</f>
        <v>-8448.9999999999982</v>
      </c>
      <c r="M16" s="152">
        <f ca="1">_xll.DBRW($B$3,$B$7,$B$5,$B$4,$B$6,$A16,$B$8,M$4,M$5,M$6)*M$7</f>
        <v>-8059.0000000000009</v>
      </c>
      <c r="N16" s="152">
        <f ca="1">_xll.DBRW($B$3,$B$7,$B$5,$B$4,$B$6,$A16,$B$8,N$4,N$5,N$6)*N$7</f>
        <v>-8184.9999999999991</v>
      </c>
      <c r="O16" s="153">
        <f t="shared" ref="O16:O23" ca="1" si="2">IF(OR(L16="",M16=""),"-",IFERROR((L16-M16),""))</f>
        <v>-389.99999999999727</v>
      </c>
      <c r="P16" s="153">
        <f t="shared" ref="P16:P23" ca="1" si="3">IF(OR(L16="",N16=""),"-",IFERROR((L16-N16),""))</f>
        <v>-263.99999999999909</v>
      </c>
      <c r="Q16" s="123"/>
      <c r="R16" s="152">
        <f ca="1">_xll.DBRW($B$3,$B$7,$B$5,$B$4,$B$6,$A16,$B$8,R$4,R$5,R$6)*R$7</f>
        <v>-198106</v>
      </c>
      <c r="S16" s="152">
        <f ca="1">_xll.DBRW($B$3,$B$7,$B$5,$B$4,$B$6,$A16,$B$8,S$4,S$5,S$6)*S$7</f>
        <v>-192079</v>
      </c>
      <c r="T16" s="152">
        <f ca="1">_xll.DBRW($B$3,$B$7,$B$5,$B$4,$B$6,$A16,$B$8,T$4,T$5,T$6)*T$7</f>
        <v>-197359</v>
      </c>
      <c r="U16" s="153">
        <f t="shared" ref="U16:U59" ca="1" si="4">IF(OR(R16="",S16=""),"-",IFERROR((R16-S16),""))</f>
        <v>-6027</v>
      </c>
      <c r="V16" s="153">
        <f t="shared" ref="V16:V59" ca="1" si="5">IF(OR(R16="",T16=""),"-",IFERROR((R16-T16),""))</f>
        <v>-747</v>
      </c>
      <c r="W16" s="123"/>
      <c r="X16" s="152">
        <f ca="1">IFERROR((R16+L16),"")</f>
        <v>-206555</v>
      </c>
      <c r="Y16" s="152">
        <f t="shared" ref="Y16:Y59" ca="1" si="6">IFERROR((S16+M16),"")</f>
        <v>-200138</v>
      </c>
      <c r="Z16" s="152">
        <f t="shared" ref="Z16:Z59" ca="1" si="7">IFERROR((T16+N16),"")</f>
        <v>-205544</v>
      </c>
      <c r="AA16" s="153">
        <f t="shared" ref="AA16:AA23" ca="1" si="8">IF(OR(X16="",Y16=""),"-",IFERROR((X16-Y16),""))</f>
        <v>-6417</v>
      </c>
      <c r="AB16" s="153">
        <f t="shared" ref="AB16:AB23" ca="1" si="9">IF(OR(X16="",Z16=""),"-",IFERROR((X16-Z16),""))</f>
        <v>-1011</v>
      </c>
      <c r="AD16" s="170">
        <f ca="1">IF(ISERROR(-X16/F16),"-",IF(ABS(-X16/F16)&gt;2,"-",-X16/F16))</f>
        <v>8.2424186758297061E-2</v>
      </c>
      <c r="AE16" s="171">
        <f t="shared" ref="AE16:AE59" ca="1" si="10">IF(ISERROR(-Y16/G16),"-",IF(ABS(-Y16/G16)&gt;2,"-",-Y16/G16))</f>
        <v>7.978135752980299E-2</v>
      </c>
      <c r="AF16" s="171">
        <f t="shared" ref="AF16:AF59" ca="1" si="11">IF(ISERROR(-Z16/H16),"-",IF(ABS(-Z16/H16)&gt;2,"-",-Z16/H16))</f>
        <v>8.0480639475423985E-2</v>
      </c>
      <c r="AG16" s="175">
        <f ca="1">IF(OR(AD16="",AE16=""),"-",IFERROR((AD16-AE16)*100,""))</f>
        <v>0.26428292284940702</v>
      </c>
      <c r="AH16" s="175">
        <f ca="1">IF(OR(AD16="",AF16=""),"-",IFERROR((AD16-AF16)*100,""))</f>
        <v>0.1943547282873076</v>
      </c>
    </row>
    <row r="17" spans="1:34" s="51" customFormat="1" ht="15" customHeight="1">
      <c r="A17" s="29" t="s">
        <v>3</v>
      </c>
      <c r="C17" s="50"/>
      <c r="D17" s="53" t="str">
        <f ca="1">_xll.DBRA("tango_core_model:legal_organization",A17,Language)</f>
        <v>France</v>
      </c>
      <c r="E17" s="20"/>
      <c r="F17" s="154">
        <f ca="1">_xll.DBRW($B$3,$B$7,$B$5,$B$4,$B$6,$A17,$B$8,F$4,F$5,F$6)*F$7</f>
        <v>2505999.8542140005</v>
      </c>
      <c r="G17" s="154">
        <f ca="1">_xll.DBRW($B$3,$B$7,$B$5,$B$4,$B$6,$A17,$B$8,G$4,G$5,G$6)*G$7</f>
        <v>2508581.029412</v>
      </c>
      <c r="H17" s="154">
        <f ca="1">_xll.DBRW($B$3,$B$7,$B$5,$B$4,$B$6,$A17,$B$8,H$4,H$5,H$6)*H$7</f>
        <v>2553955.8499999996</v>
      </c>
      <c r="I17" s="155">
        <f t="shared" ca="1" si="0"/>
        <v>-2581.1751979994588</v>
      </c>
      <c r="J17" s="155">
        <f t="shared" ca="1" si="1"/>
        <v>-47955.995785999112</v>
      </c>
      <c r="K17" s="156"/>
      <c r="L17" s="154">
        <f ca="1">_xll.DBRW($B$3,$B$7,$B$5,$B$4,$B$6,$A17,$B$8,L$4,L$5,L$6)*L$7</f>
        <v>-8448.9999999999982</v>
      </c>
      <c r="M17" s="154">
        <f ca="1">_xll.DBRW($B$3,$B$7,$B$5,$B$4,$B$6,$A17,$B$8,M$4,M$5,M$6)*M$7</f>
        <v>-8059.0000000000009</v>
      </c>
      <c r="N17" s="154">
        <f ca="1">_xll.DBRW($B$3,$B$7,$B$5,$B$4,$B$6,$A17,$B$8,N$4,N$5,N$6)*N$7</f>
        <v>-8184.9999999999991</v>
      </c>
      <c r="O17" s="155">
        <f t="shared" ca="1" si="2"/>
        <v>-389.99999999999727</v>
      </c>
      <c r="P17" s="155">
        <f t="shared" ca="1" si="3"/>
        <v>-263.99999999999909</v>
      </c>
      <c r="Q17" s="156"/>
      <c r="R17" s="154">
        <f ca="1">_xll.DBRW($B$3,$B$7,$B$5,$B$4,$B$6,$A17,$B$8,R$4,R$5,R$6)*R$7</f>
        <v>-198106</v>
      </c>
      <c r="S17" s="154">
        <f ca="1">_xll.DBRW($B$3,$B$7,$B$5,$B$4,$B$6,$A17,$B$8,S$4,S$5,S$6)*S$7</f>
        <v>-192079</v>
      </c>
      <c r="T17" s="154">
        <f ca="1">_xll.DBRW($B$3,$B$7,$B$5,$B$4,$B$6,$A17,$B$8,T$4,T$5,T$6)*T$7</f>
        <v>-197358</v>
      </c>
      <c r="U17" s="155">
        <f t="shared" ca="1" si="4"/>
        <v>-6027</v>
      </c>
      <c r="V17" s="155">
        <f t="shared" ca="1" si="5"/>
        <v>-748</v>
      </c>
      <c r="W17" s="156"/>
      <c r="X17" s="154">
        <f t="shared" ref="X17:X59" ca="1" si="12">IFERROR((R17+L17),"")</f>
        <v>-206555</v>
      </c>
      <c r="Y17" s="154">
        <f t="shared" ca="1" si="6"/>
        <v>-200138</v>
      </c>
      <c r="Z17" s="154">
        <f t="shared" ca="1" si="7"/>
        <v>-205543</v>
      </c>
      <c r="AA17" s="155">
        <f t="shared" ca="1" si="8"/>
        <v>-6417</v>
      </c>
      <c r="AB17" s="155">
        <f t="shared" ca="1" si="9"/>
        <v>-1012</v>
      </c>
      <c r="AD17" s="172">
        <f t="shared" ref="AD17:AD59" ca="1" si="13">IF(ISERROR(-X17/F17),"-",IF(ABS(-X17/F17)&gt;2,"-",-X17/F17))</f>
        <v>8.2424186758297061E-2</v>
      </c>
      <c r="AE17" s="172">
        <f t="shared" ca="1" si="10"/>
        <v>7.978135752980299E-2</v>
      </c>
      <c r="AF17" s="172">
        <f t="shared" ca="1" si="11"/>
        <v>8.0480247925977272E-2</v>
      </c>
      <c r="AG17" s="176">
        <f t="shared" ref="AG17:AG59" ca="1" si="14">IF(OR(AD17="",AE17=""),"-",IFERROR((AD17-AE17)*100,""))</f>
        <v>0.26428292284940702</v>
      </c>
      <c r="AH17" s="176">
        <f t="shared" ref="AH17:AH59" ca="1" si="15">IF(OR(AD17="",AF17=""),"-",IFERROR((AD17-AF17)*100,""))</f>
        <v>0.19439388323197887</v>
      </c>
    </row>
    <row r="18" spans="1:34" s="51" customFormat="1" ht="15" customHeight="1">
      <c r="A18" s="29" t="s">
        <v>64</v>
      </c>
      <c r="C18" s="50"/>
      <c r="D18" s="54" t="str">
        <f ca="1">_xll.DBRA("tango_core_model:legal_organization",A18,Language)</f>
        <v>Zone Ile de France</v>
      </c>
      <c r="E18" s="1"/>
      <c r="F18" s="81">
        <f ca="1">_xll.DBRW($B$3,$B$7,$B$5,$B$4,$B$6,$A18,$B$8,F$4,F$5,F$6)*F$7</f>
        <v>613182.99999999988</v>
      </c>
      <c r="G18" s="81">
        <f ca="1">_xll.DBRW($B$3,$B$7,$B$5,$B$4,$B$6,$A18,$B$8,G$4,G$5,G$6)*G$7</f>
        <v>613683.00000000012</v>
      </c>
      <c r="H18" s="81">
        <f ca="1">_xll.DBRW($B$3,$B$7,$B$5,$B$4,$B$6,$A18,$B$8,H$4,H$5,H$6)*H$7</f>
        <v>589119</v>
      </c>
      <c r="I18" s="81">
        <f t="shared" ca="1" si="0"/>
        <v>-500.00000000023283</v>
      </c>
      <c r="J18" s="81">
        <f t="shared" ca="1" si="1"/>
        <v>24063.999999999884</v>
      </c>
      <c r="K18" s="156"/>
      <c r="L18" s="81">
        <f ca="1">_xll.DBRW($B$3,$B$7,$B$5,$B$4,$B$6,$A18,$B$8,L$4,L$5,L$6)*L$7</f>
        <v>-7903.9999999999982</v>
      </c>
      <c r="M18" s="81">
        <f ca="1">_xll.DBRW($B$3,$B$7,$B$5,$B$4,$B$6,$A18,$B$8,M$4,M$5,M$6)*M$7</f>
        <v>-7699.0000000000009</v>
      </c>
      <c r="N18" s="81">
        <f ca="1">_xll.DBRW($B$3,$B$7,$B$5,$B$4,$B$6,$A18,$B$8,N$4,N$5,N$6)*N$7</f>
        <v>-7656.9999999999991</v>
      </c>
      <c r="O18" s="81">
        <f t="shared" ca="1" si="2"/>
        <v>-204.99999999999727</v>
      </c>
      <c r="P18" s="81">
        <f t="shared" ca="1" si="3"/>
        <v>-246.99999999999909</v>
      </c>
      <c r="Q18" s="156"/>
      <c r="R18" s="81">
        <f ca="1">_xll.DBRW($B$3,$B$7,$B$5,$B$4,$B$6,$A18,$B$8,R$4,R$5,R$6)*R$7</f>
        <v>-20352</v>
      </c>
      <c r="S18" s="81">
        <f ca="1">_xll.DBRW($B$3,$B$7,$B$5,$B$4,$B$6,$A18,$B$8,S$4,S$5,S$6)*S$7</f>
        <v>-19328.999999999993</v>
      </c>
      <c r="T18" s="81">
        <f ca="1">_xll.DBRW($B$3,$B$7,$B$5,$B$4,$B$6,$A18,$B$8,T$4,T$5,T$6)*T$7</f>
        <v>-22883.000000000007</v>
      </c>
      <c r="U18" s="81">
        <f t="shared" ca="1" si="4"/>
        <v>-1023.0000000000073</v>
      </c>
      <c r="V18" s="81">
        <f t="shared" ca="1" si="5"/>
        <v>2531.0000000000073</v>
      </c>
      <c r="W18" s="156"/>
      <c r="X18" s="81">
        <f t="shared" ca="1" si="12"/>
        <v>-28256</v>
      </c>
      <c r="Y18" s="81">
        <f t="shared" ca="1" si="6"/>
        <v>-27027.999999999993</v>
      </c>
      <c r="Z18" s="81">
        <f t="shared" ca="1" si="7"/>
        <v>-30540.000000000007</v>
      </c>
      <c r="AA18" s="81">
        <f t="shared" ca="1" si="8"/>
        <v>-1228.0000000000073</v>
      </c>
      <c r="AB18" s="81">
        <f t="shared" ca="1" si="9"/>
        <v>2284.0000000000073</v>
      </c>
      <c r="AD18" s="173">
        <f t="shared" ca="1" si="13"/>
        <v>4.6080860036889486E-2</v>
      </c>
      <c r="AE18" s="173">
        <f t="shared" ca="1" si="10"/>
        <v>4.4042282416165979E-2</v>
      </c>
      <c r="AF18" s="173">
        <f t="shared" ca="1" si="11"/>
        <v>5.1840120586842398E-2</v>
      </c>
      <c r="AG18" s="177">
        <f t="shared" ca="1" si="14"/>
        <v>0.20385776207235071</v>
      </c>
      <c r="AH18" s="177">
        <f t="shared" ca="1" si="15"/>
        <v>-0.57592605499529115</v>
      </c>
    </row>
    <row r="19" spans="1:34" s="51" customFormat="1" ht="15" customHeight="1">
      <c r="A19" s="29" t="s">
        <v>65</v>
      </c>
      <c r="C19" s="50"/>
      <c r="D19" s="54" t="str">
        <f ca="1">_xll.DBRA("tango_core_model:legal_organization",A19,Language)</f>
        <v>Zone Nord</v>
      </c>
      <c r="E19" s="1"/>
      <c r="F19" s="81">
        <f ca="1">_xll.DBRW($B$3,$B$7,$B$5,$B$4,$B$6,$A19,$B$8,F$4,F$5,F$6)*F$7</f>
        <v>1060751.0000000002</v>
      </c>
      <c r="G19" s="81">
        <f ca="1">_xll.DBRW($B$3,$B$7,$B$5,$B$4,$B$6,$A19,$B$8,G$4,G$5,G$6)*G$7</f>
        <v>1064275</v>
      </c>
      <c r="H19" s="81">
        <f ca="1">_xll.DBRW($B$3,$B$7,$B$5,$B$4,$B$6,$A19,$B$8,H$4,H$5,H$6)*H$7</f>
        <v>1122645</v>
      </c>
      <c r="I19" s="81">
        <f t="shared" ca="1" si="0"/>
        <v>-3523.9999999997672</v>
      </c>
      <c r="J19" s="81">
        <f t="shared" ca="1" si="1"/>
        <v>-61893.999999999767</v>
      </c>
      <c r="K19" s="156"/>
      <c r="L19" s="81">
        <f ca="1">_xll.DBRW($B$3,$B$7,$B$5,$B$4,$B$6,$A19,$B$8,L$4,L$5,L$6)*L$7</f>
        <v>-17.999999999999993</v>
      </c>
      <c r="M19" s="81">
        <f ca="1">_xll.DBRW($B$3,$B$7,$B$5,$B$4,$B$6,$A19,$B$8,M$4,M$5,M$6)*M$7</f>
        <v>-48</v>
      </c>
      <c r="N19" s="81">
        <f ca="1">_xll.DBRW($B$3,$B$7,$B$5,$B$4,$B$6,$A19,$B$8,N$4,N$5,N$6)*N$7</f>
        <v>-112</v>
      </c>
      <c r="O19" s="81">
        <f t="shared" ca="1" si="2"/>
        <v>30.000000000000007</v>
      </c>
      <c r="P19" s="81">
        <f t="shared" ca="1" si="3"/>
        <v>94</v>
      </c>
      <c r="Q19" s="156"/>
      <c r="R19" s="81">
        <f ca="1">_xll.DBRW($B$3,$B$7,$B$5,$B$4,$B$6,$A19,$B$8,R$4,R$5,R$6)*R$7</f>
        <v>-36029.000000000015</v>
      </c>
      <c r="S19" s="81">
        <f ca="1">_xll.DBRW($B$3,$B$7,$B$5,$B$4,$B$6,$A19,$B$8,S$4,S$5,S$6)*S$7</f>
        <v>-38433</v>
      </c>
      <c r="T19" s="81">
        <f ca="1">_xll.DBRW($B$3,$B$7,$B$5,$B$4,$B$6,$A19,$B$8,T$4,T$5,T$6)*T$7</f>
        <v>-43685.999999999993</v>
      </c>
      <c r="U19" s="81">
        <f t="shared" ca="1" si="4"/>
        <v>2403.9999999999854</v>
      </c>
      <c r="V19" s="81">
        <f t="shared" ca="1" si="5"/>
        <v>7656.9999999999782</v>
      </c>
      <c r="W19" s="156"/>
      <c r="X19" s="81">
        <f t="shared" ca="1" si="12"/>
        <v>-36047.000000000015</v>
      </c>
      <c r="Y19" s="81">
        <f t="shared" ca="1" si="6"/>
        <v>-38481</v>
      </c>
      <c r="Z19" s="81">
        <f t="shared" ca="1" si="7"/>
        <v>-43797.999999999993</v>
      </c>
      <c r="AA19" s="81">
        <f t="shared" ca="1" si="8"/>
        <v>2433.9999999999854</v>
      </c>
      <c r="AB19" s="81">
        <f t="shared" ca="1" si="9"/>
        <v>7750.9999999999782</v>
      </c>
      <c r="AD19" s="173">
        <f t="shared" ca="1" si="13"/>
        <v>3.3982527473459846E-2</v>
      </c>
      <c r="AE19" s="173">
        <f t="shared" ca="1" si="10"/>
        <v>3.6157008292029787E-2</v>
      </c>
      <c r="AF19" s="173">
        <f t="shared" ca="1" si="11"/>
        <v>3.9013223236196652E-2</v>
      </c>
      <c r="AG19" s="177">
        <f t="shared" ca="1" si="14"/>
        <v>-0.21744808185699405</v>
      </c>
      <c r="AH19" s="177">
        <f t="shared" ca="1" si="15"/>
        <v>-0.50306957627368054</v>
      </c>
    </row>
    <row r="20" spans="1:34" s="51" customFormat="1" ht="15" customHeight="1">
      <c r="A20" s="29" t="s">
        <v>66</v>
      </c>
      <c r="C20" s="50"/>
      <c r="D20" s="55" t="str">
        <f ca="1">_xll.DBRA("tango_core_model:legal_organization",A20,Language)</f>
        <v>Urbains Nord</v>
      </c>
      <c r="E20" s="1"/>
      <c r="F20" s="81">
        <f ca="1">_xll.DBRW($B$3,$B$7,$B$5,$B$4,$B$6,$A20,$B$8,F$4,F$5,F$6)*F$7</f>
        <v>294796</v>
      </c>
      <c r="G20" s="81">
        <f ca="1">_xll.DBRW($B$3,$B$7,$B$5,$B$4,$B$6,$A20,$B$8,G$4,G$5,G$6)*G$7</f>
        <v>298155</v>
      </c>
      <c r="H20" s="81">
        <f ca="1">_xll.DBRW($B$3,$B$7,$B$5,$B$4,$B$6,$A20,$B$8,H$4,H$5,H$6)*H$7</f>
        <v>347906.00000000006</v>
      </c>
      <c r="I20" s="81">
        <f t="shared" ca="1" si="0"/>
        <v>-3359</v>
      </c>
      <c r="J20" s="81">
        <f t="shared" ca="1" si="1"/>
        <v>-53110.000000000058</v>
      </c>
      <c r="K20" s="156"/>
      <c r="L20" s="81">
        <f ca="1">_xll.DBRW($B$3,$B$7,$B$5,$B$4,$B$6,$A20,$B$8,L$4,L$5,L$6)*L$7</f>
        <v>-2</v>
      </c>
      <c r="M20" s="81">
        <f ca="1">_xll.DBRW($B$3,$B$7,$B$5,$B$4,$B$6,$A20,$B$8,M$4,M$5,M$6)*M$7</f>
        <v>-9</v>
      </c>
      <c r="N20" s="81">
        <f ca="1">_xll.DBRW($B$3,$B$7,$B$5,$B$4,$B$6,$A20,$B$8,N$4,N$5,N$6)*N$7</f>
        <v>-24</v>
      </c>
      <c r="O20" s="81">
        <f t="shared" ca="1" si="2"/>
        <v>7</v>
      </c>
      <c r="P20" s="81">
        <f t="shared" ca="1" si="3"/>
        <v>22</v>
      </c>
      <c r="Q20" s="156"/>
      <c r="R20" s="81">
        <f ca="1">_xll.DBRW($B$3,$B$7,$B$5,$B$4,$B$6,$A20,$B$8,R$4,R$5,R$6)*R$7</f>
        <v>-10748.999999999996</v>
      </c>
      <c r="S20" s="81">
        <f ca="1">_xll.DBRW($B$3,$B$7,$B$5,$B$4,$B$6,$A20,$B$8,S$4,S$5,S$6)*S$7</f>
        <v>-12079</v>
      </c>
      <c r="T20" s="81">
        <f ca="1">_xll.DBRW($B$3,$B$7,$B$5,$B$4,$B$6,$A20,$B$8,T$4,T$5,T$6)*T$7</f>
        <v>-13220</v>
      </c>
      <c r="U20" s="81">
        <f t="shared" ca="1" si="4"/>
        <v>1330.0000000000036</v>
      </c>
      <c r="V20" s="81">
        <f t="shared" ca="1" si="5"/>
        <v>2471.0000000000036</v>
      </c>
      <c r="W20" s="156"/>
      <c r="X20" s="81">
        <f t="shared" ca="1" si="12"/>
        <v>-10750.999999999996</v>
      </c>
      <c r="Y20" s="81">
        <f t="shared" ca="1" si="6"/>
        <v>-12088</v>
      </c>
      <c r="Z20" s="81">
        <f t="shared" ca="1" si="7"/>
        <v>-13244</v>
      </c>
      <c r="AA20" s="81">
        <f t="shared" ca="1" si="8"/>
        <v>1337.0000000000036</v>
      </c>
      <c r="AB20" s="81">
        <f t="shared" ca="1" si="9"/>
        <v>2493.0000000000036</v>
      </c>
      <c r="AD20" s="173">
        <f t="shared" ca="1" si="13"/>
        <v>3.6469287235919065E-2</v>
      </c>
      <c r="AE20" s="173">
        <f t="shared" ca="1" si="10"/>
        <v>4.0542670758498094E-2</v>
      </c>
      <c r="AF20" s="173">
        <f t="shared" ca="1" si="11"/>
        <v>3.8067753933533767E-2</v>
      </c>
      <c r="AG20" s="177">
        <f t="shared" ca="1" si="14"/>
        <v>-0.40733835225790282</v>
      </c>
      <c r="AH20" s="177">
        <f t="shared" ca="1" si="15"/>
        <v>-0.15984666976147019</v>
      </c>
    </row>
    <row r="21" spans="1:34" s="51" customFormat="1" ht="15" customHeight="1">
      <c r="A21" s="29" t="s">
        <v>67</v>
      </c>
      <c r="C21" s="50"/>
      <c r="D21" s="54" t="str">
        <f ca="1">_xll.DBRA("tango_core_model:legal_organization",A21,Language)</f>
        <v>Zone Sud</v>
      </c>
      <c r="E21" s="1"/>
      <c r="F21" s="81">
        <f ca="1">_xll.DBRW($B$3,$B$7,$B$5,$B$4,$B$6,$A21,$B$8,F$4,F$5,F$6)*F$7</f>
        <v>766787.99999999988</v>
      </c>
      <c r="G21" s="81">
        <f ca="1">_xll.DBRW($B$3,$B$7,$B$5,$B$4,$B$6,$A21,$B$8,G$4,G$5,G$6)*G$7</f>
        <v>769139.99999999988</v>
      </c>
      <c r="H21" s="81">
        <f ca="1">_xll.DBRW($B$3,$B$7,$B$5,$B$4,$B$6,$A21,$B$8,H$4,H$5,H$6)*H$7</f>
        <v>787358.00000000023</v>
      </c>
      <c r="I21" s="81">
        <f t="shared" ca="1" si="0"/>
        <v>-2352</v>
      </c>
      <c r="J21" s="81">
        <f t="shared" ca="1" si="1"/>
        <v>-20570.000000000349</v>
      </c>
      <c r="K21" s="156"/>
      <c r="L21" s="81">
        <f ca="1">_xll.DBRW($B$3,$B$7,$B$5,$B$4,$B$6,$A21,$B$8,L$4,L$5,L$6)*L$7</f>
        <v>46</v>
      </c>
      <c r="M21" s="81">
        <f ca="1">_xll.DBRW($B$3,$B$7,$B$5,$B$4,$B$6,$A21,$B$8,M$4,M$5,M$6)*M$7</f>
        <v>192</v>
      </c>
      <c r="N21" s="81">
        <f ca="1">_xll.DBRW($B$3,$B$7,$B$5,$B$4,$B$6,$A21,$B$8,N$4,N$5,N$6)*N$7</f>
        <v>24</v>
      </c>
      <c r="O21" s="81">
        <f t="shared" ca="1" si="2"/>
        <v>-146</v>
      </c>
      <c r="P21" s="81">
        <f t="shared" ca="1" si="3"/>
        <v>22</v>
      </c>
      <c r="Q21" s="156"/>
      <c r="R21" s="81">
        <f ca="1">_xll.DBRW($B$3,$B$7,$B$5,$B$4,$B$6,$A21,$B$8,R$4,R$5,R$6)*R$7</f>
        <v>-24437.999999999985</v>
      </c>
      <c r="S21" s="81">
        <f ca="1">_xll.DBRW($B$3,$B$7,$B$5,$B$4,$B$6,$A21,$B$8,S$4,S$5,S$6)*S$7</f>
        <v>-22006.999999999993</v>
      </c>
      <c r="T21" s="81">
        <f ca="1">_xll.DBRW($B$3,$B$7,$B$5,$B$4,$B$6,$A21,$B$8,T$4,T$5,T$6)*T$7</f>
        <v>-22584.999999999993</v>
      </c>
      <c r="U21" s="81">
        <f t="shared" ca="1" si="4"/>
        <v>-2430.9999999999927</v>
      </c>
      <c r="V21" s="81">
        <f t="shared" ca="1" si="5"/>
        <v>-1852.9999999999927</v>
      </c>
      <c r="W21" s="156"/>
      <c r="X21" s="81">
        <f t="shared" ca="1" si="12"/>
        <v>-24391.999999999985</v>
      </c>
      <c r="Y21" s="81">
        <f t="shared" ca="1" si="6"/>
        <v>-21814.999999999993</v>
      </c>
      <c r="Z21" s="81">
        <f t="shared" ca="1" si="7"/>
        <v>-22560.999999999993</v>
      </c>
      <c r="AA21" s="81">
        <f t="shared" ca="1" si="8"/>
        <v>-2576.9999999999927</v>
      </c>
      <c r="AB21" s="81">
        <f t="shared" ca="1" si="9"/>
        <v>-1830.9999999999927</v>
      </c>
      <c r="AD21" s="173">
        <f t="shared" ca="1" si="13"/>
        <v>3.1810617797878929E-2</v>
      </c>
      <c r="AE21" s="173">
        <f t="shared" ca="1" si="10"/>
        <v>2.8362846815924273E-2</v>
      </c>
      <c r="AF21" s="173">
        <f t="shared" ca="1" si="11"/>
        <v>2.8654055715443275E-2</v>
      </c>
      <c r="AG21" s="177">
        <f t="shared" ca="1" si="14"/>
        <v>0.34477709819546559</v>
      </c>
      <c r="AH21" s="177">
        <f t="shared" ca="1" si="15"/>
        <v>0.31565620824356538</v>
      </c>
    </row>
    <row r="22" spans="1:34" s="51" customFormat="1" ht="15" customHeight="1">
      <c r="A22" s="29" t="s">
        <v>68</v>
      </c>
      <c r="C22" s="50"/>
      <c r="D22" s="55" t="str">
        <f ca="1">_xll.DBRA("tango_core_model:legal_organization",A22,Language)</f>
        <v>Urbains Sud</v>
      </c>
      <c r="E22" s="1"/>
      <c r="F22" s="81">
        <f ca="1">_xll.DBRW($B$3,$B$7,$B$5,$B$4,$B$6,$A22,$B$8,F$4,F$5,F$6)*F$7</f>
        <v>160095</v>
      </c>
      <c r="G22" s="81">
        <f ca="1">_xll.DBRW($B$3,$B$7,$B$5,$B$4,$B$6,$A22,$B$8,G$4,G$5,G$6)*G$7</f>
        <v>160603</v>
      </c>
      <c r="H22" s="81">
        <f ca="1">_xll.DBRW($B$3,$B$7,$B$5,$B$4,$B$6,$A22,$B$8,H$4,H$5,H$6)*H$7</f>
        <v>159650</v>
      </c>
      <c r="I22" s="81">
        <f t="shared" ca="1" si="0"/>
        <v>-508</v>
      </c>
      <c r="J22" s="81">
        <f t="shared" ca="1" si="1"/>
        <v>445</v>
      </c>
      <c r="K22" s="156"/>
      <c r="L22" s="81">
        <f ca="1">_xll.DBRW($B$3,$B$7,$B$5,$B$4,$B$6,$A22,$B$8,L$4,L$5,L$6)*L$7</f>
        <v>-3</v>
      </c>
      <c r="M22" s="81">
        <f ca="1">_xll.DBRW($B$3,$B$7,$B$5,$B$4,$B$6,$A22,$B$8,M$4,M$5,M$6)*M$7</f>
        <v>0</v>
      </c>
      <c r="N22" s="81">
        <f ca="1">_xll.DBRW($B$3,$B$7,$B$5,$B$4,$B$6,$A22,$B$8,N$4,N$5,N$6)*N$7</f>
        <v>-5</v>
      </c>
      <c r="O22" s="81">
        <f t="shared" ca="1" si="2"/>
        <v>-3</v>
      </c>
      <c r="P22" s="81">
        <f t="shared" ca="1" si="3"/>
        <v>2</v>
      </c>
      <c r="Q22" s="156"/>
      <c r="R22" s="81">
        <f ca="1">_xll.DBRW($B$3,$B$7,$B$5,$B$4,$B$6,$A22,$B$8,R$4,R$5,R$6)*R$7</f>
        <v>-4051.9999999999995</v>
      </c>
      <c r="S22" s="81">
        <f ca="1">_xll.DBRW($B$3,$B$7,$B$5,$B$4,$B$6,$A22,$B$8,S$4,S$5,S$6)*S$7</f>
        <v>-3715</v>
      </c>
      <c r="T22" s="81">
        <f ca="1">_xll.DBRW($B$3,$B$7,$B$5,$B$4,$B$6,$A22,$B$8,T$4,T$5,T$6)*T$7</f>
        <v>-3628</v>
      </c>
      <c r="U22" s="81">
        <f t="shared" ca="1" si="4"/>
        <v>-336.99999999999955</v>
      </c>
      <c r="V22" s="81">
        <f t="shared" ca="1" si="5"/>
        <v>-423.99999999999955</v>
      </c>
      <c r="W22" s="156"/>
      <c r="X22" s="81">
        <f t="shared" ca="1" si="12"/>
        <v>-4054.9999999999995</v>
      </c>
      <c r="Y22" s="81">
        <f t="shared" ca="1" si="6"/>
        <v>-3715</v>
      </c>
      <c r="Z22" s="81">
        <f t="shared" ca="1" si="7"/>
        <v>-3633</v>
      </c>
      <c r="AA22" s="81">
        <f t="shared" ca="1" si="8"/>
        <v>-339.99999999999955</v>
      </c>
      <c r="AB22" s="81">
        <f t="shared" ca="1" si="9"/>
        <v>-421.99999999999955</v>
      </c>
      <c r="AD22" s="173">
        <f t="shared" ca="1" si="13"/>
        <v>2.5328711077797553E-2</v>
      </c>
      <c r="AE22" s="173">
        <f t="shared" ca="1" si="10"/>
        <v>2.313157288469082E-2</v>
      </c>
      <c r="AF22" s="173">
        <f t="shared" ca="1" si="11"/>
        <v>2.27560288130285E-2</v>
      </c>
      <c r="AG22" s="177">
        <f t="shared" ca="1" si="14"/>
        <v>0.21971381931067333</v>
      </c>
      <c r="AH22" s="177">
        <f t="shared" ca="1" si="15"/>
        <v>0.25726822647690539</v>
      </c>
    </row>
    <row r="23" spans="1:34" s="51" customFormat="1" ht="15" customHeight="1">
      <c r="A23" s="29" t="s">
        <v>69</v>
      </c>
      <c r="C23" s="50"/>
      <c r="D23" s="54" t="str">
        <f ca="1">_xll.DBRA("tango_core_model:legal_organization",A23,Language)</f>
        <v>Pôle Ferroviaire</v>
      </c>
      <c r="E23" s="1"/>
      <c r="F23" s="81">
        <f ca="1">_xll.DBRW($B$3,$B$7,$B$5,$B$4,$B$6,$A23,$B$8,F$4,F$5,F$6)*F$7</f>
        <v>26850</v>
      </c>
      <c r="G23" s="81">
        <f ca="1">_xll.DBRW($B$3,$B$7,$B$5,$B$4,$B$6,$A23,$B$8,G$4,G$5,G$6)*G$7</f>
        <v>26534</v>
      </c>
      <c r="H23" s="81">
        <f ca="1">_xll.DBRW($B$3,$B$7,$B$5,$B$4,$B$6,$A23,$B$8,H$4,H$5,H$6)*H$7</f>
        <v>19398.000000000004</v>
      </c>
      <c r="I23" s="81">
        <f t="shared" ca="1" si="0"/>
        <v>316</v>
      </c>
      <c r="J23" s="81">
        <f t="shared" ca="1" si="1"/>
        <v>7451.9999999999964</v>
      </c>
      <c r="K23" s="156"/>
      <c r="L23" s="81">
        <f ca="1">_xll.DBRW($B$3,$B$7,$B$5,$B$4,$B$6,$A23,$B$8,L$4,L$5,L$6)*L$7</f>
        <v>-9</v>
      </c>
      <c r="M23" s="81">
        <f ca="1">_xll.DBRW($B$3,$B$7,$B$5,$B$4,$B$6,$A23,$B$8,M$4,M$5,M$6)*M$7</f>
        <v>0</v>
      </c>
      <c r="N23" s="81">
        <f ca="1">_xll.DBRW($B$3,$B$7,$B$5,$B$4,$B$6,$A23,$B$8,N$4,N$5,N$6)*N$7</f>
        <v>0</v>
      </c>
      <c r="O23" s="81">
        <f t="shared" ca="1" si="2"/>
        <v>-9</v>
      </c>
      <c r="P23" s="81">
        <f t="shared" ca="1" si="3"/>
        <v>-9</v>
      </c>
      <c r="Q23" s="156"/>
      <c r="R23" s="81">
        <f ca="1">_xll.DBRW($B$3,$B$7,$B$5,$B$4,$B$6,$A23,$B$8,R$4,R$5,R$6)*R$7</f>
        <v>-548.00000000000011</v>
      </c>
      <c r="S23" s="81">
        <f ca="1">_xll.DBRW($B$3,$B$7,$B$5,$B$4,$B$6,$A23,$B$8,S$4,S$5,S$6)*S$7</f>
        <v>-590.00000000000011</v>
      </c>
      <c r="T23" s="81">
        <f ca="1">_xll.DBRW($B$3,$B$7,$B$5,$B$4,$B$6,$A23,$B$8,T$4,T$5,T$6)*T$7</f>
        <v>-627.0000000000008</v>
      </c>
      <c r="U23" s="81">
        <f t="shared" ca="1" si="4"/>
        <v>42</v>
      </c>
      <c r="V23" s="81">
        <f t="shared" ca="1" si="5"/>
        <v>79.000000000000682</v>
      </c>
      <c r="W23" s="156"/>
      <c r="X23" s="81">
        <f t="shared" ca="1" si="12"/>
        <v>-557.00000000000011</v>
      </c>
      <c r="Y23" s="81">
        <f t="shared" ca="1" si="6"/>
        <v>-590.00000000000011</v>
      </c>
      <c r="Z23" s="81">
        <f t="shared" ca="1" si="7"/>
        <v>-627.0000000000008</v>
      </c>
      <c r="AA23" s="81">
        <f t="shared" ca="1" si="8"/>
        <v>33</v>
      </c>
      <c r="AB23" s="81">
        <f t="shared" ca="1" si="9"/>
        <v>70.000000000000682</v>
      </c>
      <c r="AD23" s="173">
        <f t="shared" ca="1" si="13"/>
        <v>2.0744878957169463E-2</v>
      </c>
      <c r="AE23" s="173">
        <f t="shared" ca="1" si="10"/>
        <v>2.2235622220547226E-2</v>
      </c>
      <c r="AF23" s="173">
        <f t="shared" ca="1" si="11"/>
        <v>3.2322919888648348E-2</v>
      </c>
      <c r="AG23" s="177">
        <f t="shared" ca="1" si="14"/>
        <v>-0.14907432633777634</v>
      </c>
      <c r="AH23" s="177">
        <f t="shared" ca="1" si="15"/>
        <v>-1.1578040931478886</v>
      </c>
    </row>
    <row r="24" spans="1:34" s="51" customFormat="1" ht="15" customHeight="1">
      <c r="A24" s="36" t="s">
        <v>49</v>
      </c>
      <c r="C24" s="50"/>
      <c r="D24" s="54" t="str">
        <f ca="1">IF(Language="French","Autres","Other")</f>
        <v>Autres</v>
      </c>
      <c r="E24" s="1"/>
      <c r="F24" s="81">
        <f ca="1">F17-F18-F19-F21-F23</f>
        <v>38427.854214000399</v>
      </c>
      <c r="G24" s="81">
        <f t="shared" ref="G24:J24" ca="1" si="16">G17-G18-G19-G21-G23</f>
        <v>34949.029412000091</v>
      </c>
      <c r="H24" s="81">
        <f t="shared" ca="1" si="16"/>
        <v>35435.849999999395</v>
      </c>
      <c r="I24" s="81">
        <f t="shared" ca="1" si="16"/>
        <v>3478.8248020005412</v>
      </c>
      <c r="J24" s="81">
        <f t="shared" ca="1" si="16"/>
        <v>2992.0042140011246</v>
      </c>
      <c r="K24" s="156"/>
      <c r="L24" s="81">
        <f ca="1">L17-L18-L19-L21-L23</f>
        <v>-564</v>
      </c>
      <c r="M24" s="81">
        <f t="shared" ref="M24:P24" ca="1" si="17">M17-M18-M19-M21-M23</f>
        <v>-504</v>
      </c>
      <c r="N24" s="81">
        <f t="shared" ca="1" si="17"/>
        <v>-440</v>
      </c>
      <c r="O24" s="81">
        <f t="shared" ca="1" si="17"/>
        <v>-60</v>
      </c>
      <c r="P24" s="81">
        <f t="shared" ca="1" si="17"/>
        <v>-124</v>
      </c>
      <c r="Q24" s="156"/>
      <c r="R24" s="81">
        <f ca="1">R17-R18-R19-R21-R23</f>
        <v>-116739.00000000001</v>
      </c>
      <c r="S24" s="81">
        <f t="shared" ref="S24:T24" ca="1" si="18">S17-S18-S19-S21-S23</f>
        <v>-111720</v>
      </c>
      <c r="T24" s="81">
        <f t="shared" ca="1" si="18"/>
        <v>-107577</v>
      </c>
      <c r="U24" s="81">
        <f t="shared" ca="1" si="4"/>
        <v>-5019.0000000000146</v>
      </c>
      <c r="V24" s="81">
        <f t="shared" ca="1" si="5"/>
        <v>-9162.0000000000146</v>
      </c>
      <c r="W24" s="156"/>
      <c r="X24" s="81">
        <f t="shared" ca="1" si="12"/>
        <v>-117303.00000000001</v>
      </c>
      <c r="Y24" s="81">
        <f t="shared" ca="1" si="6"/>
        <v>-112224</v>
      </c>
      <c r="Z24" s="81">
        <f t="shared" ca="1" si="7"/>
        <v>-108017</v>
      </c>
      <c r="AA24" s="81"/>
      <c r="AB24" s="81"/>
      <c r="AD24" s="173" t="str">
        <f t="shared" ca="1" si="13"/>
        <v>-</v>
      </c>
      <c r="AE24" s="173" t="str">
        <f t="shared" ca="1" si="10"/>
        <v>-</v>
      </c>
      <c r="AF24" s="173" t="str">
        <f t="shared" ca="1" si="11"/>
        <v>-</v>
      </c>
      <c r="AG24" s="177" t="str">
        <f t="shared" ca="1" si="14"/>
        <v/>
      </c>
      <c r="AH24" s="177" t="str">
        <f t="shared" ca="1" si="15"/>
        <v/>
      </c>
    </row>
    <row r="25" spans="1:34" s="51" customFormat="1" ht="15" customHeight="1">
      <c r="A25" s="29" t="s">
        <v>62</v>
      </c>
      <c r="C25" s="50"/>
      <c r="D25" s="53" t="str">
        <f ca="1">_xll.DBRA("tango_core_model:legal_organization",A25,Language)</f>
        <v>Autres entités Zone France</v>
      </c>
      <c r="E25" s="20"/>
      <c r="F25" s="154">
        <f ca="1">_xll.DBRW($B$3,$B$7,$B$5,$B$4,$B$6,$A25,$B$8,F$4,F$5,F$6)*F$7</f>
        <v>0</v>
      </c>
      <c r="G25" s="154">
        <f ca="1">_xll.DBRW($B$3,$B$7,$B$5,$B$4,$B$6,$A25,$B$8,G$4,G$5,G$6)*G$7</f>
        <v>0</v>
      </c>
      <c r="H25" s="154">
        <f ca="1">_xll.DBRW($B$3,$B$7,$B$5,$B$4,$B$6,$A25,$B$8,H$4,H$5,H$6)*H$7</f>
        <v>0</v>
      </c>
      <c r="I25" s="155">
        <f t="shared" ref="I25:I59" ca="1" si="19">IF(OR(F25="",G25=""),"-",IFERROR((F25-G25),""))</f>
        <v>0</v>
      </c>
      <c r="J25" s="155">
        <f t="shared" ref="J25:J59" ca="1" si="20">IF(OR(F25="",H25=""),"-",IFERROR((F25-H25),""))</f>
        <v>0</v>
      </c>
      <c r="K25" s="156"/>
      <c r="L25" s="154">
        <f ca="1">_xll.DBRW($B$3,$B$7,$B$5,$B$4,$B$6,$A25,$B$8,L$4,L$5,L$6)*L$7</f>
        <v>0</v>
      </c>
      <c r="M25" s="154">
        <f ca="1">_xll.DBRW($B$3,$B$7,$B$5,$B$4,$B$6,$A25,$B$8,M$4,M$5,M$6)*M$7</f>
        <v>0</v>
      </c>
      <c r="N25" s="154">
        <f ca="1">_xll.DBRW($B$3,$B$7,$B$5,$B$4,$B$6,$A25,$B$8,N$4,N$5,N$6)*N$7</f>
        <v>0</v>
      </c>
      <c r="O25" s="155">
        <f t="shared" ref="O25:O59" ca="1" si="21">IF(OR(L25="",M25=""),"-",IFERROR((L25-M25),""))</f>
        <v>0</v>
      </c>
      <c r="P25" s="155">
        <f t="shared" ref="P25:P59" ca="1" si="22">IF(OR(L25="",N25=""),"-",IFERROR((L25-N25),""))</f>
        <v>0</v>
      </c>
      <c r="Q25" s="156"/>
      <c r="R25" s="154">
        <f ca="1">_xll.DBRW($B$3,$B$7,$B$5,$B$4,$B$6,$A25,$B$8,R$4,R$5,R$6)*R$7</f>
        <v>0</v>
      </c>
      <c r="S25" s="154">
        <f ca="1">_xll.DBRW($B$3,$B$7,$B$5,$B$4,$B$6,$A25,$B$8,S$4,S$5,S$6)*S$7</f>
        <v>0</v>
      </c>
      <c r="T25" s="154">
        <f ca="1">_xll.DBRW($B$3,$B$7,$B$5,$B$4,$B$6,$A25,$B$8,T$4,T$5,T$6)*T$7</f>
        <v>0</v>
      </c>
      <c r="U25" s="155">
        <f t="shared" ca="1" si="4"/>
        <v>0</v>
      </c>
      <c r="V25" s="155">
        <f t="shared" ca="1" si="5"/>
        <v>0</v>
      </c>
      <c r="W25" s="156"/>
      <c r="X25" s="154">
        <f t="shared" ca="1" si="12"/>
        <v>0</v>
      </c>
      <c r="Y25" s="154">
        <f t="shared" ca="1" si="6"/>
        <v>0</v>
      </c>
      <c r="Z25" s="154">
        <f t="shared" ca="1" si="7"/>
        <v>0</v>
      </c>
      <c r="AA25" s="155">
        <f t="shared" ref="AA25:AA59" ca="1" si="23">IF(OR(X25="",Y25=""),"-",IFERROR((X25-Y25),""))</f>
        <v>0</v>
      </c>
      <c r="AB25" s="155">
        <f t="shared" ref="AB25:AB59" ca="1" si="24">IF(OR(X25="",Z25=""),"-",IFERROR((X25-Z25),""))</f>
        <v>0</v>
      </c>
      <c r="AD25" s="172" t="str">
        <f t="shared" ca="1" si="13"/>
        <v>-</v>
      </c>
      <c r="AE25" s="172" t="str">
        <f t="shared" ca="1" si="10"/>
        <v>-</v>
      </c>
      <c r="AF25" s="172" t="str">
        <f t="shared" ca="1" si="11"/>
        <v>-</v>
      </c>
      <c r="AG25" s="176" t="str">
        <f t="shared" ca="1" si="14"/>
        <v/>
      </c>
      <c r="AH25" s="176" t="str">
        <f t="shared" ca="1" si="15"/>
        <v/>
      </c>
    </row>
    <row r="26" spans="1:34" s="28" customFormat="1" ht="20.100000000000001" customHeight="1">
      <c r="A26" s="29" t="s">
        <v>70</v>
      </c>
      <c r="C26" s="50"/>
      <c r="D26" s="52" t="str">
        <f ca="1">_xll.DBRA("tango_core_model:legal_organization",A26,Language)</f>
        <v>Pays-Bas</v>
      </c>
      <c r="E26" s="20"/>
      <c r="F26" s="152">
        <f ca="1">_xll.DBRW($B$3,$B$7,$B$5,$B$4,$B$6,$A26,$B$8,F$4,F$5,F$6)*F$7</f>
        <v>994485.99999999988</v>
      </c>
      <c r="G26" s="152">
        <f ca="1">_xll.DBRW($B$3,$B$7,$B$5,$B$4,$B$6,$A26,$B$8,G$4,G$5,G$6)*G$7</f>
        <v>985258</v>
      </c>
      <c r="H26" s="152">
        <f ca="1">_xll.DBRW($B$3,$B$7,$B$5,$B$4,$B$6,$A26,$B$8,H$4,H$5,H$6)*H$7</f>
        <v>1079141</v>
      </c>
      <c r="I26" s="153">
        <f t="shared" ca="1" si="19"/>
        <v>9227.9999999998836</v>
      </c>
      <c r="J26" s="153">
        <f t="shared" ca="1" si="20"/>
        <v>-84655.000000000116</v>
      </c>
      <c r="K26" s="123"/>
      <c r="L26" s="152">
        <f ca="1">_xll.DBRW($B$3,$B$7,$B$5,$B$4,$B$6,$A26,$B$8,L$4,L$5,L$6)*L$7</f>
        <v>-3248</v>
      </c>
      <c r="M26" s="152">
        <f ca="1">_xll.DBRW($B$3,$B$7,$B$5,$B$4,$B$6,$A26,$B$8,M$4,M$5,M$6)*M$7</f>
        <v>-3648.0000000000005</v>
      </c>
      <c r="N26" s="152">
        <f ca="1">_xll.DBRW($B$3,$B$7,$B$5,$B$4,$B$6,$A26,$B$8,N$4,N$5,N$6)*N$7</f>
        <v>-2999.0000000000005</v>
      </c>
      <c r="O26" s="153">
        <f t="shared" ca="1" si="21"/>
        <v>400.00000000000045</v>
      </c>
      <c r="P26" s="153">
        <f t="shared" ca="1" si="22"/>
        <v>-248.99999999999955</v>
      </c>
      <c r="Q26" s="123"/>
      <c r="R26" s="152">
        <f ca="1">_xll.DBRW($B$3,$B$7,$B$5,$B$4,$B$6,$A26,$B$8,R$4,R$5,R$6)*R$7</f>
        <v>-57340.999999999993</v>
      </c>
      <c r="S26" s="152">
        <f ca="1">_xll.DBRW($B$3,$B$7,$B$5,$B$4,$B$6,$A26,$B$8,S$4,S$5,S$6)*S$7</f>
        <v>-55877.000000000015</v>
      </c>
      <c r="T26" s="152">
        <f ca="1">_xll.DBRW($B$3,$B$7,$B$5,$B$4,$B$6,$A26,$B$8,T$4,T$5,T$6)*T$7</f>
        <v>-92600</v>
      </c>
      <c r="U26" s="153">
        <f t="shared" ca="1" si="4"/>
        <v>-1463.9999999999782</v>
      </c>
      <c r="V26" s="153">
        <f t="shared" ca="1" si="5"/>
        <v>35259.000000000007</v>
      </c>
      <c r="W26" s="123"/>
      <c r="X26" s="152">
        <f t="shared" ca="1" si="12"/>
        <v>-60588.999999999993</v>
      </c>
      <c r="Y26" s="152">
        <f t="shared" ca="1" si="6"/>
        <v>-59525.000000000015</v>
      </c>
      <c r="Z26" s="152">
        <f t="shared" ca="1" si="7"/>
        <v>-95599</v>
      </c>
      <c r="AA26" s="153">
        <f t="shared" ca="1" si="23"/>
        <v>-1063.9999999999782</v>
      </c>
      <c r="AB26" s="153">
        <f t="shared" ca="1" si="24"/>
        <v>35010.000000000007</v>
      </c>
      <c r="AD26" s="171">
        <f t="shared" ca="1" si="13"/>
        <v>6.0924940119820692E-2</v>
      </c>
      <c r="AE26" s="171">
        <f t="shared" ca="1" si="10"/>
        <v>6.0415647475077612E-2</v>
      </c>
      <c r="AF26" s="171">
        <f t="shared" ca="1" si="11"/>
        <v>8.858805290504207E-2</v>
      </c>
      <c r="AG26" s="175">
        <f t="shared" ca="1" si="14"/>
        <v>5.0929264474307984E-2</v>
      </c>
      <c r="AH26" s="175">
        <f t="shared" ca="1" si="15"/>
        <v>-2.7663112785221378</v>
      </c>
    </row>
    <row r="27" spans="1:34" s="51" customFormat="1" ht="15" customHeight="1">
      <c r="A27" s="29" t="s">
        <v>14</v>
      </c>
      <c r="C27" s="50"/>
      <c r="D27" s="54" t="str">
        <f ca="1">_xll.DBRA("tango_core_model:legal_organization",A27,Language)</f>
        <v>Connexxion NL</v>
      </c>
      <c r="E27" s="1"/>
      <c r="F27" s="81">
        <f ca="1">_xll.DBRW($B$3,$B$7,$B$5,$B$4,$B$6,$A27,$B$8,F$4,F$5,F$6)*F$7</f>
        <v>779232</v>
      </c>
      <c r="G27" s="81">
        <f ca="1">_xll.DBRW($B$3,$B$7,$B$5,$B$4,$B$6,$A27,$B$8,G$4,G$5,G$6)*G$7</f>
        <v>774522</v>
      </c>
      <c r="H27" s="81">
        <f ca="1">_xll.DBRW($B$3,$B$7,$B$5,$B$4,$B$6,$A27,$B$8,H$4,H$5,H$6)*H$7</f>
        <v>777036</v>
      </c>
      <c r="I27" s="81">
        <f t="shared" ca="1" si="19"/>
        <v>4710</v>
      </c>
      <c r="J27" s="81">
        <f t="shared" ca="1" si="20"/>
        <v>2196</v>
      </c>
      <c r="K27" s="156"/>
      <c r="L27" s="81">
        <f ca="1">_xll.DBRW($B$3,$B$7,$B$5,$B$4,$B$6,$A27,$B$8,L$4,L$5,L$6)*L$7</f>
        <v>-3097</v>
      </c>
      <c r="M27" s="81">
        <f ca="1">_xll.DBRW($B$3,$B$7,$B$5,$B$4,$B$6,$A27,$B$8,M$4,M$5,M$6)*M$7</f>
        <v>-3475.0000000000005</v>
      </c>
      <c r="N27" s="81">
        <f ca="1">_xll.DBRW($B$3,$B$7,$B$5,$B$4,$B$6,$A27,$B$8,N$4,N$5,N$6)*N$7</f>
        <v>-2174.0000000000005</v>
      </c>
      <c r="O27" s="81">
        <f t="shared" ca="1" si="21"/>
        <v>378.00000000000045</v>
      </c>
      <c r="P27" s="81">
        <f t="shared" ca="1" si="22"/>
        <v>-922.99999999999955</v>
      </c>
      <c r="Q27" s="156"/>
      <c r="R27" s="81">
        <f ca="1">_xll.DBRW($B$3,$B$7,$B$5,$B$4,$B$6,$A27,$B$8,R$4,R$5,R$6)*R$7</f>
        <v>-48537.999999999993</v>
      </c>
      <c r="S27" s="81">
        <f ca="1">_xll.DBRW($B$3,$B$7,$B$5,$B$4,$B$6,$A27,$B$8,S$4,S$5,S$6)*S$7</f>
        <v>-47070.000000000015</v>
      </c>
      <c r="T27" s="81">
        <f ca="1">_xll.DBRW($B$3,$B$7,$B$5,$B$4,$B$6,$A27,$B$8,T$4,T$5,T$6)*T$7</f>
        <v>-81074</v>
      </c>
      <c r="U27" s="81">
        <f t="shared" ca="1" si="4"/>
        <v>-1467.9999999999782</v>
      </c>
      <c r="V27" s="81">
        <f t="shared" ca="1" si="5"/>
        <v>32536.000000000007</v>
      </c>
      <c r="W27" s="156"/>
      <c r="X27" s="81">
        <f t="shared" ca="1" si="12"/>
        <v>-51634.999999999993</v>
      </c>
      <c r="Y27" s="81">
        <f t="shared" ca="1" si="6"/>
        <v>-50545.000000000015</v>
      </c>
      <c r="Z27" s="81">
        <f t="shared" ca="1" si="7"/>
        <v>-83248</v>
      </c>
      <c r="AA27" s="81">
        <f t="shared" ca="1" si="23"/>
        <v>-1089.9999999999782</v>
      </c>
      <c r="AB27" s="81">
        <f t="shared" ca="1" si="24"/>
        <v>31613.000000000007</v>
      </c>
      <c r="AD27" s="173">
        <f t="shared" ca="1" si="13"/>
        <v>6.6263962465607146E-2</v>
      </c>
      <c r="AE27" s="173">
        <f t="shared" ca="1" si="10"/>
        <v>6.5259605279127011E-2</v>
      </c>
      <c r="AF27" s="173">
        <f t="shared" ca="1" si="11"/>
        <v>0.1071353193417036</v>
      </c>
      <c r="AG27" s="177">
        <f t="shared" ca="1" si="14"/>
        <v>0.10043571864801343</v>
      </c>
      <c r="AH27" s="177">
        <f t="shared" ca="1" si="15"/>
        <v>-4.0871356876096456</v>
      </c>
    </row>
    <row r="28" spans="1:34" s="51" customFormat="1" ht="15" customHeight="1">
      <c r="A28" s="29" t="s">
        <v>15</v>
      </c>
      <c r="C28" s="50"/>
      <c r="D28" s="54" t="str">
        <f ca="1">_xll.DBRA("tango_core_model:legal_organization",A28,Language)</f>
        <v>VTNL</v>
      </c>
      <c r="E28" s="1"/>
      <c r="F28" s="81">
        <f ca="1">_xll.DBRW($B$3,$B$7,$B$5,$B$4,$B$6,$A28,$B$8,F$4,F$5,F$6)*F$7</f>
        <v>215254</v>
      </c>
      <c r="G28" s="81">
        <f ca="1">_xll.DBRW($B$3,$B$7,$B$5,$B$4,$B$6,$A28,$B$8,G$4,G$5,G$6)*G$7</f>
        <v>210736</v>
      </c>
      <c r="H28" s="81">
        <f ca="1">_xll.DBRW($B$3,$B$7,$B$5,$B$4,$B$6,$A28,$B$8,H$4,H$5,H$6)*H$7</f>
        <v>302105</v>
      </c>
      <c r="I28" s="81">
        <f t="shared" ca="1" si="19"/>
        <v>4518</v>
      </c>
      <c r="J28" s="81">
        <f t="shared" ca="1" si="20"/>
        <v>-86851</v>
      </c>
      <c r="K28" s="156"/>
      <c r="L28" s="81">
        <f ca="1">_xll.DBRW($B$3,$B$7,$B$5,$B$4,$B$6,$A28,$B$8,L$4,L$5,L$6)*L$7</f>
        <v>-151</v>
      </c>
      <c r="M28" s="81">
        <f ca="1">_xll.DBRW($B$3,$B$7,$B$5,$B$4,$B$6,$A28,$B$8,M$4,M$5,M$6)*M$7</f>
        <v>-172.99999999999997</v>
      </c>
      <c r="N28" s="81">
        <f ca="1">_xll.DBRW($B$3,$B$7,$B$5,$B$4,$B$6,$A28,$B$8,N$4,N$5,N$6)*N$7</f>
        <v>-825</v>
      </c>
      <c r="O28" s="81">
        <f t="shared" ca="1" si="21"/>
        <v>21.999999999999972</v>
      </c>
      <c r="P28" s="81">
        <f t="shared" ca="1" si="22"/>
        <v>674</v>
      </c>
      <c r="Q28" s="156"/>
      <c r="R28" s="81">
        <f ca="1">_xll.DBRW($B$3,$B$7,$B$5,$B$4,$B$6,$A28,$B$8,R$4,R$5,R$6)*R$7</f>
        <v>-8802.9999999999982</v>
      </c>
      <c r="S28" s="81">
        <f ca="1">_xll.DBRW($B$3,$B$7,$B$5,$B$4,$B$6,$A28,$B$8,S$4,S$5,S$6)*S$7</f>
        <v>-8776.9999999999982</v>
      </c>
      <c r="T28" s="81">
        <f ca="1">_xll.DBRW($B$3,$B$7,$B$5,$B$4,$B$6,$A28,$B$8,T$4,T$5,T$6)*T$7</f>
        <v>-11776</v>
      </c>
      <c r="U28" s="81">
        <f t="shared" ca="1" si="4"/>
        <v>-26</v>
      </c>
      <c r="V28" s="81">
        <f t="shared" ca="1" si="5"/>
        <v>2973.0000000000018</v>
      </c>
      <c r="W28" s="156"/>
      <c r="X28" s="81">
        <f t="shared" ca="1" si="12"/>
        <v>-8953.9999999999982</v>
      </c>
      <c r="Y28" s="81">
        <f t="shared" ca="1" si="6"/>
        <v>-8949.9999999999982</v>
      </c>
      <c r="Z28" s="81">
        <f t="shared" ca="1" si="7"/>
        <v>-12601</v>
      </c>
      <c r="AA28" s="81">
        <f t="shared" ca="1" si="23"/>
        <v>-4</v>
      </c>
      <c r="AB28" s="81">
        <f t="shared" ca="1" si="24"/>
        <v>3647.0000000000018</v>
      </c>
      <c r="AD28" s="173">
        <f t="shared" ca="1" si="13"/>
        <v>4.1597368690012723E-2</v>
      </c>
      <c r="AE28" s="173">
        <f t="shared" ca="1" si="10"/>
        <v>4.24701996811176E-2</v>
      </c>
      <c r="AF28" s="173">
        <f t="shared" ca="1" si="11"/>
        <v>4.1710663511030935E-2</v>
      </c>
      <c r="AG28" s="177">
        <f t="shared" ca="1" si="14"/>
        <v>-8.7283099110487677E-2</v>
      </c>
      <c r="AH28" s="177">
        <f t="shared" ca="1" si="15"/>
        <v>-1.1329482101821164E-2</v>
      </c>
    </row>
    <row r="29" spans="1:34" s="51" customFormat="1" ht="15" customHeight="1">
      <c r="A29" s="29" t="s">
        <v>71</v>
      </c>
      <c r="C29" s="50"/>
      <c r="D29" s="54" t="str">
        <f ca="1">_xll.DBRA("tango_core_model:legal_organization",A29,Language)</f>
        <v>Autres entités Pays-Bas</v>
      </c>
      <c r="E29" s="1"/>
      <c r="F29" s="81">
        <f ca="1">_xll.DBRW($B$3,$B$7,$B$5,$B$4,$B$6,$A29,$B$8,F$4,F$5,F$6)*F$7</f>
        <v>0</v>
      </c>
      <c r="G29" s="81">
        <f ca="1">_xll.DBRW($B$3,$B$7,$B$5,$B$4,$B$6,$A29,$B$8,G$4,G$5,G$6)*G$7</f>
        <v>0</v>
      </c>
      <c r="H29" s="81">
        <f ca="1">_xll.DBRW($B$3,$B$7,$B$5,$B$4,$B$6,$A29,$B$8,H$4,H$5,H$6)*H$7</f>
        <v>0</v>
      </c>
      <c r="I29" s="81">
        <f t="shared" ca="1" si="19"/>
        <v>0</v>
      </c>
      <c r="J29" s="81">
        <f t="shared" ca="1" si="20"/>
        <v>0</v>
      </c>
      <c r="K29" s="156"/>
      <c r="L29" s="81">
        <f ca="1">_xll.DBRW($B$3,$B$7,$B$5,$B$4,$B$6,$A29,$B$8,L$4,L$5,L$6)*L$7</f>
        <v>0</v>
      </c>
      <c r="M29" s="81">
        <f ca="1">_xll.DBRW($B$3,$B$7,$B$5,$B$4,$B$6,$A29,$B$8,M$4,M$5,M$6)*M$7</f>
        <v>0</v>
      </c>
      <c r="N29" s="81">
        <f ca="1">_xll.DBRW($B$3,$B$7,$B$5,$B$4,$B$6,$A29,$B$8,N$4,N$5,N$6)*N$7</f>
        <v>0</v>
      </c>
      <c r="O29" s="81">
        <f t="shared" ca="1" si="21"/>
        <v>0</v>
      </c>
      <c r="P29" s="81">
        <f t="shared" ca="1" si="22"/>
        <v>0</v>
      </c>
      <c r="Q29" s="156"/>
      <c r="R29" s="81">
        <f ca="1">_xll.DBRW($B$3,$B$7,$B$5,$B$4,$B$6,$A29,$B$8,R$4,R$5,R$6)*R$7</f>
        <v>0</v>
      </c>
      <c r="S29" s="81">
        <f ca="1">_xll.DBRW($B$3,$B$7,$B$5,$B$4,$B$6,$A29,$B$8,S$4,S$5,S$6)*S$7</f>
        <v>-30</v>
      </c>
      <c r="T29" s="81">
        <f ca="1">_xll.DBRW($B$3,$B$7,$B$5,$B$4,$B$6,$A29,$B$8,T$4,T$5,T$6)*T$7</f>
        <v>250</v>
      </c>
      <c r="U29" s="81">
        <f t="shared" ca="1" si="4"/>
        <v>30</v>
      </c>
      <c r="V29" s="81">
        <f t="shared" ca="1" si="5"/>
        <v>-250</v>
      </c>
      <c r="W29" s="156"/>
      <c r="X29" s="81">
        <f t="shared" ca="1" si="12"/>
        <v>0</v>
      </c>
      <c r="Y29" s="81">
        <f t="shared" ca="1" si="6"/>
        <v>-30</v>
      </c>
      <c r="Z29" s="81">
        <f t="shared" ca="1" si="7"/>
        <v>250</v>
      </c>
      <c r="AA29" s="81">
        <f t="shared" ca="1" si="23"/>
        <v>30</v>
      </c>
      <c r="AB29" s="81">
        <f t="shared" ca="1" si="24"/>
        <v>-250</v>
      </c>
      <c r="AD29" s="173" t="str">
        <f t="shared" ca="1" si="13"/>
        <v>-</v>
      </c>
      <c r="AE29" s="173" t="str">
        <f t="shared" ca="1" si="10"/>
        <v>-</v>
      </c>
      <c r="AF29" s="173" t="str">
        <f t="shared" ca="1" si="11"/>
        <v>-</v>
      </c>
      <c r="AG29" s="177" t="str">
        <f t="shared" ca="1" si="14"/>
        <v/>
      </c>
      <c r="AH29" s="177" t="str">
        <f t="shared" ca="1" si="15"/>
        <v/>
      </c>
    </row>
    <row r="30" spans="1:34" s="28" customFormat="1" ht="20.100000000000001" customHeight="1">
      <c r="A30" s="29" t="s">
        <v>61</v>
      </c>
      <c r="C30" s="50"/>
      <c r="D30" s="52" t="str">
        <f ca="1">_xll.DBRA("tango_core_model:legal_organization",A30,Language)</f>
        <v>Amérique du Nord</v>
      </c>
      <c r="E30" s="20"/>
      <c r="F30" s="152">
        <f ca="1">_xll.DBRW($B$3,$B$7,$B$5,$B$4,$B$6,$A30,$B$8,F$4,F$5,F$6)*F$7</f>
        <v>1191405.730577</v>
      </c>
      <c r="G30" s="152">
        <f ca="1">_xll.DBRW($B$3,$B$7,$B$5,$B$4,$B$6,$A30,$B$8,G$4,G$5,G$6)*G$7</f>
        <v>1223160.0308617034</v>
      </c>
      <c r="H30" s="152">
        <f ca="1">_xll.DBRW($B$3,$B$7,$B$5,$B$4,$B$6,$A30,$B$8,H$4,H$5,H$6)*H$7</f>
        <v>1071190.316073</v>
      </c>
      <c r="I30" s="153">
        <f t="shared" ca="1" si="19"/>
        <v>-31754.300284703495</v>
      </c>
      <c r="J30" s="153">
        <f t="shared" ca="1" si="20"/>
        <v>120215.41450399999</v>
      </c>
      <c r="K30" s="123"/>
      <c r="L30" s="152">
        <f ca="1">_xll.DBRW($B$3,$B$7,$B$5,$B$4,$B$6,$A30,$B$8,L$4,L$5,L$6)*L$7</f>
        <v>-4565.6929810000001</v>
      </c>
      <c r="M30" s="152">
        <f ca="1">_xll.DBRW($B$3,$B$7,$B$5,$B$4,$B$6,$A30,$B$8,M$4,M$5,M$6)*M$7</f>
        <v>-6270.3159030000006</v>
      </c>
      <c r="N30" s="152">
        <f ca="1">_xll.DBRW($B$3,$B$7,$B$5,$B$4,$B$6,$A30,$B$8,N$4,N$5,N$6)*N$7</f>
        <v>-4759.524010000001</v>
      </c>
      <c r="O30" s="153">
        <f t="shared" ca="1" si="21"/>
        <v>1704.6229220000005</v>
      </c>
      <c r="P30" s="153">
        <f t="shared" ca="1" si="22"/>
        <v>193.83102900000085</v>
      </c>
      <c r="Q30" s="123"/>
      <c r="R30" s="152">
        <f ca="1">_xll.DBRW($B$3,$B$7,$B$5,$B$4,$B$6,$A30,$B$8,R$4,R$5,R$6)*R$7</f>
        <v>-112666.683697</v>
      </c>
      <c r="S30" s="152">
        <f ca="1">_xll.DBRW($B$3,$B$7,$B$5,$B$4,$B$6,$A30,$B$8,S$4,S$5,S$6)*S$7</f>
        <v>-111734.01292055559</v>
      </c>
      <c r="T30" s="152">
        <f ca="1">_xll.DBRW($B$3,$B$7,$B$5,$B$4,$B$6,$A30,$B$8,T$4,T$5,T$6)*T$7</f>
        <v>-93128.84075399999</v>
      </c>
      <c r="U30" s="153">
        <f t="shared" ca="1" si="4"/>
        <v>-932.67077644441451</v>
      </c>
      <c r="V30" s="153">
        <f t="shared" ca="1" si="5"/>
        <v>-19537.842943000011</v>
      </c>
      <c r="W30" s="123"/>
      <c r="X30" s="152">
        <f t="shared" ca="1" si="12"/>
        <v>-117232.376678</v>
      </c>
      <c r="Y30" s="152">
        <f t="shared" ca="1" si="6"/>
        <v>-118004.32882355558</v>
      </c>
      <c r="Z30" s="152">
        <f t="shared" ca="1" si="7"/>
        <v>-97888.364763999998</v>
      </c>
      <c r="AA30" s="153">
        <f t="shared" ca="1" si="23"/>
        <v>771.9521455555805</v>
      </c>
      <c r="AB30" s="153">
        <f t="shared" ca="1" si="24"/>
        <v>-19344.011914000002</v>
      </c>
      <c r="AD30" s="171">
        <f t="shared" ca="1" si="13"/>
        <v>9.8398365619094472E-2</v>
      </c>
      <c r="AE30" s="171">
        <f t="shared" ca="1" si="10"/>
        <v>9.647497125982997E-2</v>
      </c>
      <c r="AF30" s="171">
        <f t="shared" ca="1" si="11"/>
        <v>9.1382794723966737E-2</v>
      </c>
      <c r="AG30" s="175">
        <f t="shared" ca="1" si="14"/>
        <v>0.1923394359264502</v>
      </c>
      <c r="AH30" s="175">
        <f t="shared" ca="1" si="15"/>
        <v>0.7015570895127734</v>
      </c>
    </row>
    <row r="31" spans="1:34" s="51" customFormat="1" ht="15" customHeight="1">
      <c r="A31" s="29" t="s">
        <v>5</v>
      </c>
      <c r="C31" s="50"/>
      <c r="D31" s="54" t="str">
        <f ca="1">_xll.DBRA("tango_core_model:legal_organization",A31,Language)</f>
        <v>Canada</v>
      </c>
      <c r="E31" s="1"/>
      <c r="F31" s="81">
        <f ca="1">_xll.DBRW($B$3,$B$7,$B$5,$B$4,$B$6,$A31,$B$8,F$4,F$5,F$6)*F$7</f>
        <v>86343.617520999993</v>
      </c>
      <c r="G31" s="81">
        <f ca="1">_xll.DBRW($B$3,$B$7,$B$5,$B$4,$B$6,$A31,$B$8,G$4,G$5,G$6)*G$7</f>
        <v>89771.323535999996</v>
      </c>
      <c r="H31" s="81">
        <f ca="1">_xll.DBRW($B$3,$B$7,$B$5,$B$4,$B$6,$A31,$B$8,H$4,H$5,H$6)*H$7</f>
        <v>91024.901039999779</v>
      </c>
      <c r="I31" s="81">
        <f t="shared" ca="1" si="19"/>
        <v>-3427.7060150000034</v>
      </c>
      <c r="J31" s="81">
        <f t="shared" ca="1" si="20"/>
        <v>-4681.2835189997859</v>
      </c>
      <c r="K31" s="156"/>
      <c r="L31" s="81">
        <f ca="1">_xll.DBRW($B$3,$B$7,$B$5,$B$4,$B$6,$A31,$B$8,L$4,L$5,L$6)*L$7</f>
        <v>-677.90472699999964</v>
      </c>
      <c r="M31" s="81">
        <f ca="1">_xll.DBRW($B$3,$B$7,$B$5,$B$4,$B$6,$A31,$B$8,M$4,M$5,M$6)*M$7</f>
        <v>-2507.3529410000001</v>
      </c>
      <c r="N31" s="81">
        <f ca="1">_xll.DBRW($B$3,$B$7,$B$5,$B$4,$B$6,$A31,$B$8,N$4,N$5,N$6)*N$7</f>
        <v>-2240.820612</v>
      </c>
      <c r="O31" s="81">
        <f t="shared" ca="1" si="21"/>
        <v>1829.4482140000005</v>
      </c>
      <c r="P31" s="81">
        <f t="shared" ca="1" si="22"/>
        <v>1562.9158850000003</v>
      </c>
      <c r="Q31" s="156"/>
      <c r="R31" s="81">
        <f ca="1">_xll.DBRW($B$3,$B$7,$B$5,$B$4,$B$6,$A31,$B$8,R$4,R$5,R$6)*R$7</f>
        <v>-3772.5644940000029</v>
      </c>
      <c r="S31" s="81">
        <f ca="1">_xll.DBRW($B$3,$B$7,$B$5,$B$4,$B$6,$A31,$B$8,S$4,S$5,S$6)*S$7</f>
        <v>-3422.7941160000009</v>
      </c>
      <c r="T31" s="81">
        <f ca="1">_xll.DBRW($B$3,$B$7,$B$5,$B$4,$B$6,$A31,$B$8,T$4,T$5,T$6)*T$7</f>
        <v>-3521.0947529999817</v>
      </c>
      <c r="U31" s="81">
        <f t="shared" ca="1" si="4"/>
        <v>-349.77037800000198</v>
      </c>
      <c r="V31" s="81">
        <f t="shared" ca="1" si="5"/>
        <v>-251.46974100002126</v>
      </c>
      <c r="W31" s="156"/>
      <c r="X31" s="81">
        <f t="shared" ca="1" si="12"/>
        <v>-4450.469221000003</v>
      </c>
      <c r="Y31" s="81">
        <f t="shared" ca="1" si="6"/>
        <v>-5930.147057000001</v>
      </c>
      <c r="Z31" s="81">
        <f t="shared" ca="1" si="7"/>
        <v>-5761.9153649999816</v>
      </c>
      <c r="AA31" s="81">
        <f t="shared" ca="1" si="23"/>
        <v>1479.677835999998</v>
      </c>
      <c r="AB31" s="81">
        <f t="shared" ca="1" si="24"/>
        <v>1311.4461439999786</v>
      </c>
      <c r="AD31" s="173">
        <f t="shared" ca="1" si="13"/>
        <v>5.1543696555423867E-2</v>
      </c>
      <c r="AE31" s="173">
        <f t="shared" ca="1" si="10"/>
        <v>6.6058367231512413E-2</v>
      </c>
      <c r="AF31" s="173">
        <f t="shared" ca="1" si="11"/>
        <v>6.3300429873227523E-2</v>
      </c>
      <c r="AG31" s="177">
        <f t="shared" ca="1" si="14"/>
        <v>-1.4514670676088546</v>
      </c>
      <c r="AH31" s="177">
        <f t="shared" ca="1" si="15"/>
        <v>-1.1756733317803656</v>
      </c>
    </row>
    <row r="32" spans="1:34" s="51" customFormat="1" ht="15" customHeight="1">
      <c r="A32" s="29" t="s">
        <v>37</v>
      </c>
      <c r="C32" s="50"/>
      <c r="D32" s="54" t="str">
        <f ca="1">_xll.DBRA("tango_core_model:legal_organization",A32,Language)</f>
        <v>Etats-Unis</v>
      </c>
      <c r="E32" s="1"/>
      <c r="F32" s="81">
        <f ca="1">_xll.DBRW($B$3,$B$7,$B$5,$B$4,$B$6,$A32,$B$8,F$4,F$5,F$6)*F$7</f>
        <v>1105062.1130559999</v>
      </c>
      <c r="G32" s="81">
        <f ca="1">_xll.DBRW($B$3,$B$7,$B$5,$B$4,$B$6,$A32,$B$8,G$4,G$5,G$6)*G$7</f>
        <v>1133388.7073257037</v>
      </c>
      <c r="H32" s="81">
        <f ca="1">_xll.DBRW($B$3,$B$7,$B$5,$B$4,$B$6,$A32,$B$8,H$4,H$5,H$6)*H$7</f>
        <v>980165.41503300017</v>
      </c>
      <c r="I32" s="81">
        <f t="shared" ca="1" si="19"/>
        <v>-28326.594269703841</v>
      </c>
      <c r="J32" s="81">
        <f t="shared" ca="1" si="20"/>
        <v>124896.69802299968</v>
      </c>
      <c r="K32" s="156"/>
      <c r="L32" s="81">
        <f ca="1">_xll.DBRW($B$3,$B$7,$B$5,$B$4,$B$6,$A32,$B$8,L$4,L$5,L$6)*L$7</f>
        <v>-3887.7882540000001</v>
      </c>
      <c r="M32" s="81">
        <f ca="1">_xll.DBRW($B$3,$B$7,$B$5,$B$4,$B$6,$A32,$B$8,M$4,M$5,M$6)*M$7</f>
        <v>-3762.9629620000001</v>
      </c>
      <c r="N32" s="81">
        <f ca="1">_xll.DBRW($B$3,$B$7,$B$5,$B$4,$B$6,$A32,$B$8,N$4,N$5,N$6)*N$7</f>
        <v>-2518.7033980000001</v>
      </c>
      <c r="O32" s="81">
        <f t="shared" ca="1" si="21"/>
        <v>-124.82529199999999</v>
      </c>
      <c r="P32" s="81">
        <f t="shared" ca="1" si="22"/>
        <v>-1369.0848559999999</v>
      </c>
      <c r="Q32" s="156"/>
      <c r="R32" s="81">
        <f ca="1">_xll.DBRW($B$3,$B$7,$B$5,$B$4,$B$6,$A32,$B$8,R$4,R$5,R$6)*R$7</f>
        <v>-108894.11920299998</v>
      </c>
      <c r="S32" s="81">
        <f ca="1">_xll.DBRW($B$3,$B$7,$B$5,$B$4,$B$6,$A32,$B$8,S$4,S$5,S$6)*S$7</f>
        <v>-108311.21880455558</v>
      </c>
      <c r="T32" s="81">
        <f ca="1">_xll.DBRW($B$3,$B$7,$B$5,$B$4,$B$6,$A32,$B$8,T$4,T$5,T$6)*T$7</f>
        <v>-89607.746001000007</v>
      </c>
      <c r="U32" s="81">
        <f t="shared" ca="1" si="4"/>
        <v>-582.90039844439889</v>
      </c>
      <c r="V32" s="81">
        <f t="shared" ca="1" si="5"/>
        <v>-19286.373201999973</v>
      </c>
      <c r="W32" s="156"/>
      <c r="X32" s="81">
        <f t="shared" ca="1" si="12"/>
        <v>-112781.90745699998</v>
      </c>
      <c r="Y32" s="81">
        <f t="shared" ca="1" si="6"/>
        <v>-112074.18176655559</v>
      </c>
      <c r="Z32" s="81">
        <f t="shared" ca="1" si="7"/>
        <v>-92126.449399000005</v>
      </c>
      <c r="AA32" s="81">
        <f t="shared" ca="1" si="23"/>
        <v>-707.72569044439297</v>
      </c>
      <c r="AB32" s="81">
        <f t="shared" ca="1" si="24"/>
        <v>-20655.458057999975</v>
      </c>
      <c r="AD32" s="173">
        <f t="shared" ca="1" si="13"/>
        <v>0.10205933777342764</v>
      </c>
      <c r="AE32" s="173">
        <f t="shared" ca="1" si="10"/>
        <v>9.8884152490808827E-2</v>
      </c>
      <c r="AF32" s="173">
        <f t="shared" ca="1" si="11"/>
        <v>9.3990716246500391E-2</v>
      </c>
      <c r="AG32" s="177">
        <f t="shared" ca="1" si="14"/>
        <v>0.31751852826188143</v>
      </c>
      <c r="AH32" s="177">
        <f t="shared" ca="1" si="15"/>
        <v>0.80686215269272499</v>
      </c>
    </row>
    <row r="33" spans="1:34" s="28" customFormat="1" ht="20.100000000000001" customHeight="1">
      <c r="A33" s="29" t="s">
        <v>72</v>
      </c>
      <c r="C33" s="50"/>
      <c r="D33" s="52" t="str">
        <f ca="1">_xll.DBRA("tango_core_model:legal_organization",A33,Language)</f>
        <v>Royaume-Uni et Irlande</v>
      </c>
      <c r="E33" s="20"/>
      <c r="F33" s="152">
        <f ca="1">_xll.DBRW($B$3,$B$7,$B$5,$B$4,$B$6,$A33,$B$8,F$4,F$5,F$6)*F$7</f>
        <v>177591.95699799998</v>
      </c>
      <c r="G33" s="152">
        <f ca="1">_xll.DBRW($B$3,$B$7,$B$5,$B$4,$B$6,$A33,$B$8,G$4,G$5,G$6)*G$7</f>
        <v>181046.94365999999</v>
      </c>
      <c r="H33" s="152">
        <f ca="1">_xll.DBRW($B$3,$B$7,$B$5,$B$4,$B$6,$A33,$B$8,H$4,H$5,H$6)*H$7</f>
        <v>180373.78075799998</v>
      </c>
      <c r="I33" s="153">
        <f t="shared" ca="1" si="19"/>
        <v>-3454.9866620000103</v>
      </c>
      <c r="J33" s="153">
        <f t="shared" ca="1" si="20"/>
        <v>-2781.8237599999993</v>
      </c>
      <c r="K33" s="123"/>
      <c r="L33" s="152">
        <f ca="1">_xll.DBRW($B$3,$B$7,$B$5,$B$4,$B$6,$A33,$B$8,L$4,L$5,L$6)*L$7</f>
        <v>-4148.1193840000005</v>
      </c>
      <c r="M33" s="152">
        <f ca="1">_xll.DBRW($B$3,$B$7,$B$5,$B$4,$B$6,$A33,$B$8,M$4,M$5,M$6)*M$7</f>
        <v>-4632.3521129999999</v>
      </c>
      <c r="N33" s="152">
        <f ca="1">_xll.DBRW($B$3,$B$7,$B$5,$B$4,$B$6,$A33,$B$8,N$4,N$5,N$6)*N$7</f>
        <v>-3381.1428250000004</v>
      </c>
      <c r="O33" s="153">
        <f t="shared" ca="1" si="21"/>
        <v>484.23272899999938</v>
      </c>
      <c r="P33" s="153">
        <f t="shared" ca="1" si="22"/>
        <v>-766.97655900000018</v>
      </c>
      <c r="Q33" s="123"/>
      <c r="R33" s="152">
        <f ca="1">_xll.DBRW($B$3,$B$7,$B$5,$B$4,$B$6,$A33,$B$8,R$4,R$5,R$6)*R$7</f>
        <v>-13812.558899</v>
      </c>
      <c r="S33" s="152">
        <f ca="1">_xll.DBRW($B$3,$B$7,$B$5,$B$4,$B$6,$A33,$B$8,S$4,S$5,S$6)*S$7</f>
        <v>-13771.718311999997</v>
      </c>
      <c r="T33" s="152">
        <f ca="1">_xll.DBRW($B$3,$B$7,$B$5,$B$4,$B$6,$A33,$B$8,T$4,T$5,T$6)*T$7</f>
        <v>-13086.902894000004</v>
      </c>
      <c r="U33" s="153">
        <f t="shared" ca="1" si="4"/>
        <v>-40.840587000002415</v>
      </c>
      <c r="V33" s="153">
        <f t="shared" ca="1" si="5"/>
        <v>-725.65600499999528</v>
      </c>
      <c r="W33" s="123"/>
      <c r="X33" s="152">
        <f t="shared" ca="1" si="12"/>
        <v>-17960.678283000001</v>
      </c>
      <c r="Y33" s="152">
        <f t="shared" ca="1" si="6"/>
        <v>-18404.070424999998</v>
      </c>
      <c r="Z33" s="152">
        <f t="shared" ca="1" si="7"/>
        <v>-16468.045719000005</v>
      </c>
      <c r="AA33" s="153">
        <f t="shared" ca="1" si="23"/>
        <v>443.39214199999697</v>
      </c>
      <c r="AB33" s="153">
        <f t="shared" ca="1" si="24"/>
        <v>-1492.6325639999959</v>
      </c>
      <c r="AD33" s="171">
        <f t="shared" ca="1" si="13"/>
        <v>0.10113452538395235</v>
      </c>
      <c r="AE33" s="171">
        <f t="shared" ca="1" si="10"/>
        <v>0.10165358250709947</v>
      </c>
      <c r="AF33" s="171">
        <f t="shared" ca="1" si="11"/>
        <v>9.1299553902983818E-2</v>
      </c>
      <c r="AG33" s="175">
        <f t="shared" ca="1" si="14"/>
        <v>-5.1905712314712082E-2</v>
      </c>
      <c r="AH33" s="175">
        <f t="shared" ca="1" si="15"/>
        <v>0.98349714809685262</v>
      </c>
    </row>
    <row r="34" spans="1:34" s="51" customFormat="1" ht="15" customHeight="1">
      <c r="A34" s="29" t="s">
        <v>38</v>
      </c>
      <c r="C34" s="50"/>
      <c r="D34" s="54" t="str">
        <f ca="1">_xll.DBRA("tango_core_model:legal_organization",A34,Language)</f>
        <v>Irlande</v>
      </c>
      <c r="E34" s="1"/>
      <c r="F34" s="81">
        <f ca="1">_xll.DBRW($B$3,$B$7,$B$5,$B$4,$B$6,$A34,$B$8,F$4,F$5,F$6)*F$7</f>
        <v>30385</v>
      </c>
      <c r="G34" s="81">
        <f ca="1">_xll.DBRW($B$3,$B$7,$B$5,$B$4,$B$6,$A34,$B$8,G$4,G$5,G$6)*G$7</f>
        <v>29706</v>
      </c>
      <c r="H34" s="81">
        <f ca="1">_xll.DBRW($B$3,$B$7,$B$5,$B$4,$B$6,$A34,$B$8,H$4,H$5,H$6)*H$7</f>
        <v>49325</v>
      </c>
      <c r="I34" s="81">
        <f t="shared" ca="1" si="19"/>
        <v>679</v>
      </c>
      <c r="J34" s="81">
        <f t="shared" ca="1" si="20"/>
        <v>-18940</v>
      </c>
      <c r="K34" s="156"/>
      <c r="L34" s="81">
        <f ca="1">_xll.DBRW($B$3,$B$7,$B$5,$B$4,$B$6,$A34,$B$8,L$4,L$5,L$6)*L$7</f>
        <v>-274</v>
      </c>
      <c r="M34" s="81">
        <f ca="1">_xll.DBRW($B$3,$B$7,$B$5,$B$4,$B$6,$A34,$B$8,M$4,M$5,M$6)*M$7</f>
        <v>-221</v>
      </c>
      <c r="N34" s="81">
        <f ca="1">_xll.DBRW($B$3,$B$7,$B$5,$B$4,$B$6,$A34,$B$8,N$4,N$5,N$6)*N$7</f>
        <v>0</v>
      </c>
      <c r="O34" s="81">
        <f t="shared" ca="1" si="21"/>
        <v>-53</v>
      </c>
      <c r="P34" s="81">
        <f t="shared" ca="1" si="22"/>
        <v>-274</v>
      </c>
      <c r="Q34" s="156"/>
      <c r="R34" s="81">
        <f ca="1">_xll.DBRW($B$3,$B$7,$B$5,$B$4,$B$6,$A34,$B$8,R$4,R$5,R$6)*R$7</f>
        <v>-1865</v>
      </c>
      <c r="S34" s="81">
        <f ca="1">_xll.DBRW($B$3,$B$7,$B$5,$B$4,$B$6,$A34,$B$8,S$4,S$5,S$6)*S$7</f>
        <v>-1824</v>
      </c>
      <c r="T34" s="81">
        <f ca="1">_xll.DBRW($B$3,$B$7,$B$5,$B$4,$B$6,$A34,$B$8,T$4,T$5,T$6)*T$7</f>
        <v>-1841</v>
      </c>
      <c r="U34" s="81">
        <f t="shared" ca="1" si="4"/>
        <v>-41</v>
      </c>
      <c r="V34" s="81">
        <f t="shared" ca="1" si="5"/>
        <v>-24</v>
      </c>
      <c r="W34" s="156"/>
      <c r="X34" s="81">
        <f t="shared" ca="1" si="12"/>
        <v>-2139</v>
      </c>
      <c r="Y34" s="81">
        <f t="shared" ca="1" si="6"/>
        <v>-2045</v>
      </c>
      <c r="Z34" s="81">
        <f t="shared" ca="1" si="7"/>
        <v>-1841</v>
      </c>
      <c r="AA34" s="81">
        <f t="shared" ca="1" si="23"/>
        <v>-94</v>
      </c>
      <c r="AB34" s="81">
        <f t="shared" ca="1" si="24"/>
        <v>-298</v>
      </c>
      <c r="AD34" s="173">
        <f t="shared" ca="1" si="13"/>
        <v>7.0396577258515711E-2</v>
      </c>
      <c r="AE34" s="173">
        <f t="shared" ca="1" si="10"/>
        <v>6.8841311519558343E-2</v>
      </c>
      <c r="AF34" s="173">
        <f t="shared" ca="1" si="11"/>
        <v>3.7323872275722252E-2</v>
      </c>
      <c r="AG34" s="177">
        <f t="shared" ca="1" si="14"/>
        <v>0.15552657389573676</v>
      </c>
      <c r="AH34" s="177">
        <f t="shared" ca="1" si="15"/>
        <v>3.3072704982793457</v>
      </c>
    </row>
    <row r="35" spans="1:34" s="51" customFormat="1" ht="15" customHeight="1">
      <c r="A35" s="29" t="s">
        <v>39</v>
      </c>
      <c r="C35" s="50"/>
      <c r="D35" s="54" t="str">
        <f ca="1">_xll.DBRA("tango_core_model:legal_organization",A35,Language)</f>
        <v>Royaume-Uni</v>
      </c>
      <c r="E35" s="1"/>
      <c r="F35" s="81">
        <f ca="1">_xll.DBRW($B$3,$B$7,$B$5,$B$4,$B$6,$A35,$B$8,F$4,F$5,F$6)*F$7</f>
        <v>116489.95699800001</v>
      </c>
      <c r="G35" s="81">
        <f ca="1">_xll.DBRW($B$3,$B$7,$B$5,$B$4,$B$6,$A35,$B$8,G$4,G$5,G$6)*G$7</f>
        <v>120823.94365999999</v>
      </c>
      <c r="H35" s="81">
        <f ca="1">_xll.DBRW($B$3,$B$7,$B$5,$B$4,$B$6,$A35,$B$8,H$4,H$5,H$6)*H$7</f>
        <v>99030.780757999994</v>
      </c>
      <c r="I35" s="81">
        <f t="shared" ca="1" si="19"/>
        <v>-4333.9866619999812</v>
      </c>
      <c r="J35" s="81">
        <f t="shared" ca="1" si="20"/>
        <v>17459.176240000015</v>
      </c>
      <c r="K35" s="156"/>
      <c r="L35" s="81">
        <f ca="1">_xll.DBRW($B$3,$B$7,$B$5,$B$4,$B$6,$A35,$B$8,L$4,L$5,L$6)*L$7</f>
        <v>-2931.1193839999996</v>
      </c>
      <c r="M35" s="81">
        <f ca="1">_xll.DBRW($B$3,$B$7,$B$5,$B$4,$B$6,$A35,$B$8,M$4,M$5,M$6)*M$7</f>
        <v>-3525.3521129999999</v>
      </c>
      <c r="N35" s="81">
        <f ca="1">_xll.DBRW($B$3,$B$7,$B$5,$B$4,$B$6,$A35,$B$8,N$4,N$5,N$6)*N$7</f>
        <v>-2904.1428250000004</v>
      </c>
      <c r="O35" s="81">
        <f t="shared" ca="1" si="21"/>
        <v>594.23272900000029</v>
      </c>
      <c r="P35" s="81">
        <f t="shared" ca="1" si="22"/>
        <v>-26.97655899999927</v>
      </c>
      <c r="Q35" s="156"/>
      <c r="R35" s="81">
        <f ca="1">_xll.DBRW($B$3,$B$7,$B$5,$B$4,$B$6,$A35,$B$8,R$4,R$5,R$6)*R$7</f>
        <v>-9695.5588990000015</v>
      </c>
      <c r="S35" s="81">
        <f ca="1">_xll.DBRW($B$3,$B$7,$B$5,$B$4,$B$6,$A35,$B$8,S$4,S$5,S$6)*S$7</f>
        <v>-10019.718311999997</v>
      </c>
      <c r="T35" s="81">
        <f ca="1">_xll.DBRW($B$3,$B$7,$B$5,$B$4,$B$6,$A35,$B$8,T$4,T$5,T$6)*T$7</f>
        <v>-8779.9028940000007</v>
      </c>
      <c r="U35" s="81">
        <f t="shared" ca="1" si="4"/>
        <v>324.15941299999577</v>
      </c>
      <c r="V35" s="81">
        <f t="shared" ca="1" si="5"/>
        <v>-915.65600500000073</v>
      </c>
      <c r="W35" s="156"/>
      <c r="X35" s="81">
        <f t="shared" ca="1" si="12"/>
        <v>-12626.678283000001</v>
      </c>
      <c r="Y35" s="81">
        <f t="shared" ca="1" si="6"/>
        <v>-13545.070424999998</v>
      </c>
      <c r="Z35" s="81">
        <f t="shared" ca="1" si="7"/>
        <v>-11684.045719000002</v>
      </c>
      <c r="AA35" s="81">
        <f t="shared" ca="1" si="23"/>
        <v>918.39214199999697</v>
      </c>
      <c r="AB35" s="81">
        <f t="shared" ca="1" si="24"/>
        <v>-942.63256399999955</v>
      </c>
      <c r="AD35" s="173">
        <f t="shared" ca="1" si="13"/>
        <v>0.10839284869181286</v>
      </c>
      <c r="AE35" s="173">
        <f t="shared" ca="1" si="10"/>
        <v>0.11210584603260415</v>
      </c>
      <c r="AF35" s="173">
        <f t="shared" ca="1" si="11"/>
        <v>0.11798398063277039</v>
      </c>
      <c r="AG35" s="177">
        <f t="shared" ca="1" si="14"/>
        <v>-0.37129973407912936</v>
      </c>
      <c r="AH35" s="177">
        <f t="shared" ca="1" si="15"/>
        <v>-0.95911319409575368</v>
      </c>
    </row>
    <row r="36" spans="1:34" s="51" customFormat="1" ht="15" customHeight="1">
      <c r="A36" s="29" t="s">
        <v>8</v>
      </c>
      <c r="C36" s="50"/>
      <c r="D36" s="54" t="str">
        <f ca="1">_xll.DBRA("tango_core_model:legal_organization",A36,Language)</f>
        <v>TOD France</v>
      </c>
      <c r="E36" s="1"/>
      <c r="F36" s="81">
        <f ca="1">_xll.DBRW($B$3,$B$7,$B$5,$B$4,$B$6,$A36,$B$8,F$4,F$5,F$6)*F$7</f>
        <v>30717</v>
      </c>
      <c r="G36" s="81">
        <f ca="1">_xll.DBRW($B$3,$B$7,$B$5,$B$4,$B$6,$A36,$B$8,G$4,G$5,G$6)*G$7</f>
        <v>30517</v>
      </c>
      <c r="H36" s="81">
        <f ca="1">_xll.DBRW($B$3,$B$7,$B$5,$B$4,$B$6,$A36,$B$8,H$4,H$5,H$6)*H$7</f>
        <v>32018.000000000007</v>
      </c>
      <c r="I36" s="81">
        <f t="shared" ca="1" si="19"/>
        <v>200</v>
      </c>
      <c r="J36" s="81">
        <f t="shared" ca="1" si="20"/>
        <v>-1301.0000000000073</v>
      </c>
      <c r="K36" s="156"/>
      <c r="L36" s="81">
        <f ca="1">_xll.DBRW($B$3,$B$7,$B$5,$B$4,$B$6,$A36,$B$8,L$4,L$5,L$6)*L$7</f>
        <v>-943</v>
      </c>
      <c r="M36" s="81">
        <f ca="1">_xll.DBRW($B$3,$B$7,$B$5,$B$4,$B$6,$A36,$B$8,M$4,M$5,M$6)*M$7</f>
        <v>-885.99999999999989</v>
      </c>
      <c r="N36" s="81">
        <f ca="1">_xll.DBRW($B$3,$B$7,$B$5,$B$4,$B$6,$A36,$B$8,N$4,N$5,N$6)*N$7</f>
        <v>-477</v>
      </c>
      <c r="O36" s="81">
        <f t="shared" ca="1" si="21"/>
        <v>-57.000000000000114</v>
      </c>
      <c r="P36" s="81">
        <f t="shared" ca="1" si="22"/>
        <v>-466</v>
      </c>
      <c r="Q36" s="156"/>
      <c r="R36" s="81">
        <f ca="1">_xll.DBRW($B$3,$B$7,$B$5,$B$4,$B$6,$A36,$B$8,R$4,R$5,R$6)*R$7</f>
        <v>-2252.0000000000005</v>
      </c>
      <c r="S36" s="81">
        <f ca="1">_xll.DBRW($B$3,$B$7,$B$5,$B$4,$B$6,$A36,$B$8,S$4,S$5,S$6)*S$7</f>
        <v>-1927.9999999999995</v>
      </c>
      <c r="T36" s="81">
        <f ca="1">_xll.DBRW($B$3,$B$7,$B$5,$B$4,$B$6,$A36,$B$8,T$4,T$5,T$6)*T$7</f>
        <v>-2466</v>
      </c>
      <c r="U36" s="81">
        <f t="shared" ca="1" si="4"/>
        <v>-324.00000000000091</v>
      </c>
      <c r="V36" s="81">
        <f t="shared" ca="1" si="5"/>
        <v>213.99999999999955</v>
      </c>
      <c r="W36" s="156"/>
      <c r="X36" s="81">
        <f t="shared" ca="1" si="12"/>
        <v>-3195.0000000000005</v>
      </c>
      <c r="Y36" s="81">
        <f t="shared" ca="1" si="6"/>
        <v>-2813.9999999999995</v>
      </c>
      <c r="Z36" s="81">
        <f t="shared" ca="1" si="7"/>
        <v>-2943</v>
      </c>
      <c r="AA36" s="81">
        <f t="shared" ca="1" si="23"/>
        <v>-381.00000000000091</v>
      </c>
      <c r="AB36" s="81">
        <f t="shared" ca="1" si="24"/>
        <v>-252.00000000000045</v>
      </c>
      <c r="AD36" s="173">
        <f t="shared" ca="1" si="13"/>
        <v>0.10401406387342516</v>
      </c>
      <c r="AE36" s="173">
        <f t="shared" ca="1" si="10"/>
        <v>9.2210898843267677E-2</v>
      </c>
      <c r="AF36" s="173">
        <f t="shared" ca="1" si="11"/>
        <v>9.1917046661253027E-2</v>
      </c>
      <c r="AG36" s="177">
        <f t="shared" ca="1" si="14"/>
        <v>1.1803165030157479</v>
      </c>
      <c r="AH36" s="177">
        <f t="shared" ca="1" si="15"/>
        <v>1.209701721217213</v>
      </c>
    </row>
    <row r="37" spans="1:34" s="28" customFormat="1" ht="20.100000000000001" customHeight="1">
      <c r="A37" s="29" t="s">
        <v>40</v>
      </c>
      <c r="C37" s="50"/>
      <c r="D37" s="52" t="str">
        <f ca="1">_xll.DBRA("tango_core_model:legal_organization",A37,Language)</f>
        <v>Allemagne</v>
      </c>
      <c r="E37" s="20"/>
      <c r="F37" s="152">
        <f ca="1">_xll.DBRW($B$3,$B$7,$B$5,$B$4,$B$6,$A37,$B$8,F$4,F$5,F$6)*F$7</f>
        <v>583721.00000000012</v>
      </c>
      <c r="G37" s="152">
        <f ca="1">_xll.DBRW($B$3,$B$7,$B$5,$B$4,$B$6,$A37,$B$8,G$4,G$5,G$6)*G$7</f>
        <v>586233.99999999988</v>
      </c>
      <c r="H37" s="152">
        <f ca="1">_xll.DBRW($B$3,$B$7,$B$5,$B$4,$B$6,$A37,$B$8,H$4,H$5,H$6)*H$7</f>
        <v>581021</v>
      </c>
      <c r="I37" s="153">
        <f t="shared" ca="1" si="19"/>
        <v>-2512.9999999997672</v>
      </c>
      <c r="J37" s="153">
        <f t="shared" ca="1" si="20"/>
        <v>2700.0000000001164</v>
      </c>
      <c r="K37" s="123"/>
      <c r="L37" s="152">
        <f ca="1">_xll.DBRW($B$3,$B$7,$B$5,$B$4,$B$6,$A37,$B$8,L$4,L$5,L$6)*L$7</f>
        <v>0</v>
      </c>
      <c r="M37" s="152">
        <f ca="1">_xll.DBRW($B$3,$B$7,$B$5,$B$4,$B$6,$A37,$B$8,M$4,M$5,M$6)*M$7</f>
        <v>-69</v>
      </c>
      <c r="N37" s="152">
        <f ca="1">_xll.DBRW($B$3,$B$7,$B$5,$B$4,$B$6,$A37,$B$8,N$4,N$5,N$6)*N$7</f>
        <v>0</v>
      </c>
      <c r="O37" s="153">
        <f t="shared" ca="1" si="21"/>
        <v>69</v>
      </c>
      <c r="P37" s="153">
        <f t="shared" ca="1" si="22"/>
        <v>0</v>
      </c>
      <c r="Q37" s="123"/>
      <c r="R37" s="152">
        <f ca="1">_xll.DBRW($B$3,$B$7,$B$5,$B$4,$B$6,$A37,$B$8,R$4,R$5,R$6)*R$7</f>
        <v>-45966.000000000007</v>
      </c>
      <c r="S37" s="152">
        <f ca="1">_xll.DBRW($B$3,$B$7,$B$5,$B$4,$B$6,$A37,$B$8,S$4,S$5,S$6)*S$7</f>
        <v>-45885.000000000007</v>
      </c>
      <c r="T37" s="152">
        <f ca="1">_xll.DBRW($B$3,$B$7,$B$5,$B$4,$B$6,$A37,$B$8,T$4,T$5,T$6)*T$7</f>
        <v>-48561.000000000015</v>
      </c>
      <c r="U37" s="153">
        <f t="shared" ca="1" si="4"/>
        <v>-81</v>
      </c>
      <c r="V37" s="153">
        <f t="shared" ca="1" si="5"/>
        <v>2595.0000000000073</v>
      </c>
      <c r="W37" s="123"/>
      <c r="X37" s="152">
        <f t="shared" ca="1" si="12"/>
        <v>-45966.000000000007</v>
      </c>
      <c r="Y37" s="152">
        <f t="shared" ca="1" si="6"/>
        <v>-45954.000000000007</v>
      </c>
      <c r="Z37" s="152">
        <f t="shared" ca="1" si="7"/>
        <v>-48561.000000000015</v>
      </c>
      <c r="AA37" s="153">
        <f t="shared" ca="1" si="23"/>
        <v>-12</v>
      </c>
      <c r="AB37" s="153">
        <f t="shared" ca="1" si="24"/>
        <v>2595.0000000000073</v>
      </c>
      <c r="AD37" s="171">
        <f t="shared" ca="1" si="13"/>
        <v>7.8746524452606631E-2</v>
      </c>
      <c r="AE37" s="171">
        <f t="shared" ca="1" si="10"/>
        <v>7.8388493332014211E-2</v>
      </c>
      <c r="AF37" s="171">
        <f t="shared" ca="1" si="11"/>
        <v>8.3578734675682997E-2</v>
      </c>
      <c r="AG37" s="175">
        <f t="shared" ca="1" si="14"/>
        <v>3.580311205924197E-2</v>
      </c>
      <c r="AH37" s="175">
        <f t="shared" ca="1" si="15"/>
        <v>-0.48322102230763664</v>
      </c>
    </row>
    <row r="38" spans="1:34" s="28" customFormat="1" ht="20.100000000000001" customHeight="1">
      <c r="A38" s="29" t="s">
        <v>73</v>
      </c>
      <c r="C38" s="50"/>
      <c r="D38" s="52" t="str">
        <f ca="1">_xll.DBRA("tango_core_model:legal_organization",A38,Language)</f>
        <v>Europe du Nord</v>
      </c>
      <c r="E38" s="20"/>
      <c r="F38" s="152">
        <f ca="1">_xll.DBRW($B$3,$B$7,$B$5,$B$4,$B$6,$A38,$B$8,F$4,F$5,F$6)*F$7</f>
        <v>400686.97276700009</v>
      </c>
      <c r="G38" s="152">
        <f ca="1">_xll.DBRW($B$3,$B$7,$B$5,$B$4,$B$6,$A38,$B$8,G$4,G$5,G$6)*G$7</f>
        <v>400141.30105999997</v>
      </c>
      <c r="H38" s="152">
        <f ca="1">_xll.DBRW($B$3,$B$7,$B$5,$B$4,$B$6,$A38,$B$8,H$4,H$5,H$6)*H$7</f>
        <v>410022.66886599996</v>
      </c>
      <c r="I38" s="153">
        <f t="shared" ca="1" si="19"/>
        <v>545.67170700011775</v>
      </c>
      <c r="J38" s="153">
        <f t="shared" ca="1" si="20"/>
        <v>-9335.696098999877</v>
      </c>
      <c r="K38" s="123"/>
      <c r="L38" s="152">
        <f ca="1">_xll.DBRW($B$3,$B$7,$B$5,$B$4,$B$6,$A38,$B$8,L$4,L$5,L$6)*L$7</f>
        <v>-254.3165570000001</v>
      </c>
      <c r="M38" s="152">
        <f ca="1">_xll.DBRW($B$3,$B$7,$B$5,$B$4,$B$6,$A38,$B$8,M$4,M$5,M$6)*M$7</f>
        <v>-243.65591399999994</v>
      </c>
      <c r="N38" s="152">
        <f ca="1">_xll.DBRW($B$3,$B$7,$B$5,$B$4,$B$6,$A38,$B$8,N$4,N$5,N$6)*N$7</f>
        <v>-176.65714599999998</v>
      </c>
      <c r="O38" s="153">
        <f t="shared" ca="1" si="21"/>
        <v>-10.660643000000164</v>
      </c>
      <c r="P38" s="153">
        <f t="shared" ca="1" si="22"/>
        <v>-77.659411000000119</v>
      </c>
      <c r="Q38" s="123"/>
      <c r="R38" s="152">
        <f ca="1">_xll.DBRW($B$3,$B$7,$B$5,$B$4,$B$6,$A38,$B$8,R$4,R$5,R$6)*R$7</f>
        <v>-20832.122794999999</v>
      </c>
      <c r="S38" s="152">
        <f ca="1">_xll.DBRW($B$3,$B$7,$B$5,$B$4,$B$6,$A38,$B$8,S$4,S$5,S$6)*S$7</f>
        <v>-23153.365593999995</v>
      </c>
      <c r="T38" s="152">
        <f ca="1">_xll.DBRW($B$3,$B$7,$B$5,$B$4,$B$6,$A38,$B$8,T$4,T$5,T$6)*T$7</f>
        <v>-23309.180264999995</v>
      </c>
      <c r="U38" s="153">
        <f t="shared" ca="1" si="4"/>
        <v>2321.242798999996</v>
      </c>
      <c r="V38" s="153">
        <f t="shared" ca="1" si="5"/>
        <v>2477.0574699999961</v>
      </c>
      <c r="W38" s="123"/>
      <c r="X38" s="152">
        <f t="shared" ca="1" si="12"/>
        <v>-21086.439352000001</v>
      </c>
      <c r="Y38" s="152">
        <f t="shared" ca="1" si="6"/>
        <v>-23397.021507999994</v>
      </c>
      <c r="Z38" s="152">
        <f t="shared" ca="1" si="7"/>
        <v>-23485.837410999997</v>
      </c>
      <c r="AA38" s="153">
        <f t="shared" ca="1" si="23"/>
        <v>2310.5821559999931</v>
      </c>
      <c r="AB38" s="153">
        <f t="shared" ca="1" si="24"/>
        <v>2399.3980589999956</v>
      </c>
      <c r="AD38" s="171">
        <f t="shared" ca="1" si="13"/>
        <v>5.2625717293438908E-2</v>
      </c>
      <c r="AE38" s="171">
        <f t="shared" ca="1" si="10"/>
        <v>5.8471898416933676E-2</v>
      </c>
      <c r="AF38" s="171">
        <f t="shared" ca="1" si="11"/>
        <v>5.7279363299484874E-2</v>
      </c>
      <c r="AG38" s="175">
        <f t="shared" ca="1" si="14"/>
        <v>-0.58461811234947691</v>
      </c>
      <c r="AH38" s="175">
        <f t="shared" ca="1" si="15"/>
        <v>-0.46536460060459667</v>
      </c>
    </row>
    <row r="39" spans="1:34" s="51" customFormat="1" ht="15" customHeight="1">
      <c r="A39" s="29" t="s">
        <v>41</v>
      </c>
      <c r="C39" s="50"/>
      <c r="D39" s="54" t="str">
        <f ca="1">_xll.DBRA("tango_core_model:legal_organization",A39,Language)</f>
        <v>Finlande</v>
      </c>
      <c r="E39" s="1"/>
      <c r="F39" s="81">
        <f ca="1">_xll.DBRW($B$3,$B$7,$B$5,$B$4,$B$6,$A39,$B$8,F$4,F$5,F$6)*F$7</f>
        <v>66002</v>
      </c>
      <c r="G39" s="81">
        <f ca="1">_xll.DBRW($B$3,$B$7,$B$5,$B$4,$B$6,$A39,$B$8,G$4,G$5,G$6)*G$7</f>
        <v>65817</v>
      </c>
      <c r="H39" s="81">
        <f ca="1">_xll.DBRW($B$3,$B$7,$B$5,$B$4,$B$6,$A39,$B$8,H$4,H$5,H$6)*H$7</f>
        <v>73783</v>
      </c>
      <c r="I39" s="81">
        <f t="shared" ca="1" si="19"/>
        <v>185</v>
      </c>
      <c r="J39" s="81">
        <f t="shared" ca="1" si="20"/>
        <v>-7781</v>
      </c>
      <c r="K39" s="156"/>
      <c r="L39" s="81">
        <f ca="1">_xll.DBRW($B$3,$B$7,$B$5,$B$4,$B$6,$A39,$B$8,L$4,L$5,L$6)*L$7</f>
        <v>0</v>
      </c>
      <c r="M39" s="81">
        <f ca="1">_xll.DBRW($B$3,$B$7,$B$5,$B$4,$B$6,$A39,$B$8,M$4,M$5,M$6)*M$7</f>
        <v>0</v>
      </c>
      <c r="N39" s="81">
        <f ca="1">_xll.DBRW($B$3,$B$7,$B$5,$B$4,$B$6,$A39,$B$8,N$4,N$5,N$6)*N$7</f>
        <v>0</v>
      </c>
      <c r="O39" s="81">
        <f t="shared" ca="1" si="21"/>
        <v>0</v>
      </c>
      <c r="P39" s="81">
        <f t="shared" ca="1" si="22"/>
        <v>0</v>
      </c>
      <c r="Q39" s="156"/>
      <c r="R39" s="81">
        <f ca="1">_xll.DBRW($B$3,$B$7,$B$5,$B$4,$B$6,$A39,$B$8,R$4,R$5,R$6)*R$7</f>
        <v>-1170</v>
      </c>
      <c r="S39" s="81">
        <f ca="1">_xll.DBRW($B$3,$B$7,$B$5,$B$4,$B$6,$A39,$B$8,S$4,S$5,S$6)*S$7</f>
        <v>-1201</v>
      </c>
      <c r="T39" s="81">
        <f ca="1">_xll.DBRW($B$3,$B$7,$B$5,$B$4,$B$6,$A39,$B$8,T$4,T$5,T$6)*T$7</f>
        <v>-972</v>
      </c>
      <c r="U39" s="81">
        <f t="shared" ca="1" si="4"/>
        <v>31</v>
      </c>
      <c r="V39" s="81">
        <f t="shared" ca="1" si="5"/>
        <v>-198</v>
      </c>
      <c r="W39" s="156"/>
      <c r="X39" s="81">
        <f t="shared" ca="1" si="12"/>
        <v>-1170</v>
      </c>
      <c r="Y39" s="81">
        <f t="shared" ca="1" si="6"/>
        <v>-1201</v>
      </c>
      <c r="Z39" s="81">
        <f t="shared" ca="1" si="7"/>
        <v>-972</v>
      </c>
      <c r="AA39" s="81">
        <f t="shared" ca="1" si="23"/>
        <v>31</v>
      </c>
      <c r="AB39" s="81">
        <f t="shared" ca="1" si="24"/>
        <v>-198</v>
      </c>
      <c r="AD39" s="173">
        <f t="shared" ca="1" si="13"/>
        <v>1.7726735553468077E-2</v>
      </c>
      <c r="AE39" s="173">
        <f t="shared" ca="1" si="10"/>
        <v>1.8247565218712489E-2</v>
      </c>
      <c r="AF39" s="173">
        <f t="shared" ca="1" si="11"/>
        <v>1.3173766314733746E-2</v>
      </c>
      <c r="AG39" s="177">
        <f t="shared" ca="1" si="14"/>
        <v>-5.2082966524441207E-2</v>
      </c>
      <c r="AH39" s="177">
        <f t="shared" ca="1" si="15"/>
        <v>0.45529692387343312</v>
      </c>
    </row>
    <row r="40" spans="1:34" s="51" customFormat="1" ht="15" customHeight="1">
      <c r="A40" s="29" t="s">
        <v>42</v>
      </c>
      <c r="C40" s="50"/>
      <c r="D40" s="54" t="str">
        <f ca="1">_xll.DBRA("tango_core_model:legal_organization",A40,Language)</f>
        <v>Suède</v>
      </c>
      <c r="E40" s="1"/>
      <c r="F40" s="81">
        <f ca="1">_xll.DBRW($B$3,$B$7,$B$5,$B$4,$B$6,$A40,$B$8,F$4,F$5,F$6)*F$7</f>
        <v>334684.97276700009</v>
      </c>
      <c r="G40" s="81">
        <f ca="1">_xll.DBRW($B$3,$B$7,$B$5,$B$4,$B$6,$A40,$B$8,G$4,G$5,G$6)*G$7</f>
        <v>334324.30106000003</v>
      </c>
      <c r="H40" s="81">
        <f ca="1">_xll.DBRW($B$3,$B$7,$B$5,$B$4,$B$6,$A40,$B$8,H$4,H$5,H$6)*H$7</f>
        <v>336239.66886599996</v>
      </c>
      <c r="I40" s="81">
        <f t="shared" ca="1" si="19"/>
        <v>360.67170700005954</v>
      </c>
      <c r="J40" s="81">
        <f t="shared" ca="1" si="20"/>
        <v>-1554.696098999877</v>
      </c>
      <c r="K40" s="156"/>
      <c r="L40" s="81">
        <f ca="1">_xll.DBRW($B$3,$B$7,$B$5,$B$4,$B$6,$A40,$B$8,L$4,L$5,L$6)*L$7</f>
        <v>-254.3165570000001</v>
      </c>
      <c r="M40" s="81">
        <f ca="1">_xll.DBRW($B$3,$B$7,$B$5,$B$4,$B$6,$A40,$B$8,M$4,M$5,M$6)*M$7</f>
        <v>-243.65591399999994</v>
      </c>
      <c r="N40" s="81">
        <f ca="1">_xll.DBRW($B$3,$B$7,$B$5,$B$4,$B$6,$A40,$B$8,N$4,N$5,N$6)*N$7</f>
        <v>-176.65714599999998</v>
      </c>
      <c r="O40" s="81">
        <f t="shared" ca="1" si="21"/>
        <v>-10.660643000000164</v>
      </c>
      <c r="P40" s="81">
        <f t="shared" ca="1" si="22"/>
        <v>-77.659411000000119</v>
      </c>
      <c r="Q40" s="156"/>
      <c r="R40" s="81">
        <f ca="1">_xll.DBRW($B$3,$B$7,$B$5,$B$4,$B$6,$A40,$B$8,R$4,R$5,R$6)*R$7</f>
        <v>-19662.122794999999</v>
      </c>
      <c r="S40" s="81">
        <f ca="1">_xll.DBRW($B$3,$B$7,$B$5,$B$4,$B$6,$A40,$B$8,S$4,S$5,S$6)*S$7</f>
        <v>-21952.365593999995</v>
      </c>
      <c r="T40" s="81">
        <f ca="1">_xll.DBRW($B$3,$B$7,$B$5,$B$4,$B$6,$A40,$B$8,T$4,T$5,T$6)*T$7</f>
        <v>-22337.180264999995</v>
      </c>
      <c r="U40" s="81">
        <f t="shared" ca="1" si="4"/>
        <v>2290.242798999996</v>
      </c>
      <c r="V40" s="81">
        <f t="shared" ca="1" si="5"/>
        <v>2675.0574699999961</v>
      </c>
      <c r="W40" s="156"/>
      <c r="X40" s="81">
        <f t="shared" ca="1" si="12"/>
        <v>-19916.439352000001</v>
      </c>
      <c r="Y40" s="81">
        <f t="shared" ca="1" si="6"/>
        <v>-22196.021507999994</v>
      </c>
      <c r="Z40" s="81">
        <f t="shared" ca="1" si="7"/>
        <v>-22513.837410999997</v>
      </c>
      <c r="AA40" s="81">
        <f t="shared" ca="1" si="23"/>
        <v>2279.5821559999931</v>
      </c>
      <c r="AB40" s="81">
        <f t="shared" ca="1" si="24"/>
        <v>2597.3980589999956</v>
      </c>
      <c r="AD40" s="173">
        <f t="shared" ca="1" si="13"/>
        <v>5.9508017905140202E-2</v>
      </c>
      <c r="AE40" s="173">
        <f t="shared" ca="1" si="10"/>
        <v>6.6390691426336218E-2</v>
      </c>
      <c r="AF40" s="173">
        <f t="shared" ca="1" si="11"/>
        <v>6.6957707539178943E-2</v>
      </c>
      <c r="AG40" s="177">
        <f t="shared" ca="1" si="14"/>
        <v>-0.68826735211960155</v>
      </c>
      <c r="AH40" s="177">
        <f t="shared" ca="1" si="15"/>
        <v>-0.74496896340387408</v>
      </c>
    </row>
    <row r="41" spans="1:34" s="28" customFormat="1" ht="20.100000000000001" customHeight="1">
      <c r="A41" s="29" t="s">
        <v>74</v>
      </c>
      <c r="C41" s="50"/>
      <c r="D41" s="52" t="str">
        <f ca="1">_xll.DBRA("tango_core_model:legal_organization",A41,Language)</f>
        <v>Asie</v>
      </c>
      <c r="E41" s="20"/>
      <c r="F41" s="152">
        <f ca="1">_xll.DBRW($B$3,$B$7,$B$5,$B$4,$B$6,$A41,$B$8,F$4,F$5,F$6)*F$7</f>
        <v>59994.546673000004</v>
      </c>
      <c r="G41" s="152">
        <f ca="1">_xll.DBRW($B$3,$B$7,$B$5,$B$4,$B$6,$A41,$B$8,G$4,G$5,G$6)*G$7</f>
        <v>62248.662306000006</v>
      </c>
      <c r="H41" s="152">
        <f ca="1">_xll.DBRW($B$3,$B$7,$B$5,$B$4,$B$6,$A41,$B$8,H$4,H$5,H$6)*H$7</f>
        <v>51061.652970000017</v>
      </c>
      <c r="I41" s="153">
        <f t="shared" ca="1" si="19"/>
        <v>-2254.1156330000013</v>
      </c>
      <c r="J41" s="153">
        <f t="shared" ca="1" si="20"/>
        <v>8932.893702999987</v>
      </c>
      <c r="K41" s="123"/>
      <c r="L41" s="152">
        <f ca="1">_xll.DBRW($B$3,$B$7,$B$5,$B$4,$B$6,$A41,$B$8,L$4,L$5,L$6)*L$7</f>
        <v>0</v>
      </c>
      <c r="M41" s="152">
        <f ca="1">_xll.DBRW($B$3,$B$7,$B$5,$B$4,$B$6,$A41,$B$8,M$4,M$5,M$6)*M$7</f>
        <v>0</v>
      </c>
      <c r="N41" s="152">
        <f ca="1">_xll.DBRW($B$3,$B$7,$B$5,$B$4,$B$6,$A41,$B$8,N$4,N$5,N$6)*N$7</f>
        <v>0</v>
      </c>
      <c r="O41" s="153">
        <f t="shared" ca="1" si="21"/>
        <v>0</v>
      </c>
      <c r="P41" s="153">
        <f t="shared" ca="1" si="22"/>
        <v>0</v>
      </c>
      <c r="Q41" s="123"/>
      <c r="R41" s="152">
        <f ca="1">_xll.DBRW($B$3,$B$7,$B$5,$B$4,$B$6,$A41,$B$8,R$4,R$5,R$6)*R$7</f>
        <v>-6266.2913880000015</v>
      </c>
      <c r="S41" s="152">
        <f ca="1">_xll.DBRW($B$3,$B$7,$B$5,$B$4,$B$6,$A41,$B$8,S$4,S$5,S$6)*S$7</f>
        <v>-6851.1152570000004</v>
      </c>
      <c r="T41" s="152">
        <f ca="1">_xll.DBRW($B$3,$B$7,$B$5,$B$4,$B$6,$A41,$B$8,T$4,T$5,T$6)*T$7</f>
        <v>-5337.4036710000019</v>
      </c>
      <c r="U41" s="153">
        <f t="shared" ca="1" si="4"/>
        <v>584.82386899999892</v>
      </c>
      <c r="V41" s="153">
        <f t="shared" ca="1" si="5"/>
        <v>-928.88771699999961</v>
      </c>
      <c r="W41" s="123"/>
      <c r="X41" s="152">
        <f t="shared" ca="1" si="12"/>
        <v>-6266.2913880000015</v>
      </c>
      <c r="Y41" s="152">
        <f t="shared" ca="1" si="6"/>
        <v>-6851.1152570000004</v>
      </c>
      <c r="Z41" s="152">
        <f t="shared" ca="1" si="7"/>
        <v>-5337.4036710000019</v>
      </c>
      <c r="AA41" s="153">
        <f t="shared" ca="1" si="23"/>
        <v>584.82386899999892</v>
      </c>
      <c r="AB41" s="153">
        <f t="shared" ca="1" si="24"/>
        <v>-928.88771699999961</v>
      </c>
      <c r="AD41" s="171">
        <f t="shared" ca="1" si="13"/>
        <v>0.10444768292282286</v>
      </c>
      <c r="AE41" s="171">
        <f t="shared" ca="1" si="10"/>
        <v>0.11006044151312851</v>
      </c>
      <c r="AF41" s="171">
        <f t="shared" ca="1" si="11"/>
        <v>0.10452861120919564</v>
      </c>
      <c r="AG41" s="175">
        <f t="shared" ca="1" si="14"/>
        <v>-0.56127585903056465</v>
      </c>
      <c r="AH41" s="175">
        <f t="shared" ca="1" si="15"/>
        <v>-8.09282863727806E-3</v>
      </c>
    </row>
    <row r="42" spans="1:34" s="51" customFormat="1" ht="15" customHeight="1">
      <c r="A42" s="29" t="s">
        <v>75</v>
      </c>
      <c r="C42" s="50"/>
      <c r="D42" s="54" t="str">
        <f ca="1">_xll.DBRA("tango_core_model:legal_organization",A42,Language)</f>
        <v>Corporate Asie</v>
      </c>
      <c r="E42" s="1"/>
      <c r="F42" s="81">
        <f ca="1">_xll.DBRW($B$3,$B$7,$B$5,$B$4,$B$6,$A42,$B$8,F$4,F$5,F$6)*F$7</f>
        <v>0</v>
      </c>
      <c r="G42" s="81">
        <f ca="1">_xll.DBRW($B$3,$B$7,$B$5,$B$4,$B$6,$A42,$B$8,G$4,G$5,G$6)*G$7</f>
        <v>0</v>
      </c>
      <c r="H42" s="81">
        <f ca="1">_xll.DBRW($B$3,$B$7,$B$5,$B$4,$B$6,$A42,$B$8,H$4,H$5,H$6)*H$7</f>
        <v>0</v>
      </c>
      <c r="I42" s="81">
        <f t="shared" ca="1" si="19"/>
        <v>0</v>
      </c>
      <c r="J42" s="81">
        <f t="shared" ca="1" si="20"/>
        <v>0</v>
      </c>
      <c r="K42" s="156"/>
      <c r="L42" s="81">
        <f ca="1">_xll.DBRW($B$3,$B$7,$B$5,$B$4,$B$6,$A42,$B$8,L$4,L$5,L$6)*L$7</f>
        <v>0</v>
      </c>
      <c r="M42" s="81">
        <f ca="1">_xll.DBRW($B$3,$B$7,$B$5,$B$4,$B$6,$A42,$B$8,M$4,M$5,M$6)*M$7</f>
        <v>0</v>
      </c>
      <c r="N42" s="81">
        <f ca="1">_xll.DBRW($B$3,$B$7,$B$5,$B$4,$B$6,$A42,$B$8,N$4,N$5,N$6)*N$7</f>
        <v>0</v>
      </c>
      <c r="O42" s="81">
        <f t="shared" ca="1" si="21"/>
        <v>0</v>
      </c>
      <c r="P42" s="81">
        <f t="shared" ca="1" si="22"/>
        <v>0</v>
      </c>
      <c r="Q42" s="156"/>
      <c r="R42" s="81">
        <f ca="1">_xll.DBRW($B$3,$B$7,$B$5,$B$4,$B$6,$A42,$B$8,R$4,R$5,R$6)*R$7</f>
        <v>0</v>
      </c>
      <c r="S42" s="81">
        <f ca="1">_xll.DBRW($B$3,$B$7,$B$5,$B$4,$B$6,$A42,$B$8,S$4,S$5,S$6)*S$7</f>
        <v>0</v>
      </c>
      <c r="T42" s="81">
        <f ca="1">_xll.DBRW($B$3,$B$7,$B$5,$B$4,$B$6,$A42,$B$8,T$4,T$5,T$6)*T$7</f>
        <v>0</v>
      </c>
      <c r="U42" s="81">
        <f t="shared" ca="1" si="4"/>
        <v>0</v>
      </c>
      <c r="V42" s="81">
        <f t="shared" ca="1" si="5"/>
        <v>0</v>
      </c>
      <c r="W42" s="156"/>
      <c r="X42" s="81">
        <f t="shared" ca="1" si="12"/>
        <v>0</v>
      </c>
      <c r="Y42" s="81">
        <f t="shared" ca="1" si="6"/>
        <v>0</v>
      </c>
      <c r="Z42" s="81">
        <f t="shared" ca="1" si="7"/>
        <v>0</v>
      </c>
      <c r="AA42" s="81">
        <f t="shared" ca="1" si="23"/>
        <v>0</v>
      </c>
      <c r="AB42" s="81">
        <f t="shared" ca="1" si="24"/>
        <v>0</v>
      </c>
      <c r="AD42" s="173" t="str">
        <f t="shared" ca="1" si="13"/>
        <v>-</v>
      </c>
      <c r="AE42" s="173" t="str">
        <f t="shared" ca="1" si="10"/>
        <v>-</v>
      </c>
      <c r="AF42" s="173" t="str">
        <f t="shared" ca="1" si="11"/>
        <v>-</v>
      </c>
      <c r="AG42" s="177" t="str">
        <f t="shared" ca="1" si="14"/>
        <v/>
      </c>
      <c r="AH42" s="177" t="str">
        <f t="shared" ca="1" si="15"/>
        <v/>
      </c>
    </row>
    <row r="43" spans="1:34" s="51" customFormat="1" ht="15" customHeight="1">
      <c r="A43" s="29" t="s">
        <v>76</v>
      </c>
      <c r="C43" s="50"/>
      <c r="D43" s="54" t="str">
        <f ca="1">_xll.DBRA("tango_core_model:legal_organization",A43,Language)</f>
        <v>Chine</v>
      </c>
      <c r="E43" s="1"/>
      <c r="F43" s="81">
        <f ca="1">_xll.DBRW($B$3,$B$7,$B$5,$B$4,$B$6,$A43,$B$8,F$4,F$5,F$6)*F$7</f>
        <v>0</v>
      </c>
      <c r="G43" s="81">
        <f ca="1">_xll.DBRW($B$3,$B$7,$B$5,$B$4,$B$6,$A43,$B$8,G$4,G$5,G$6)*G$7</f>
        <v>0</v>
      </c>
      <c r="H43" s="81">
        <f ca="1">_xll.DBRW($B$3,$B$7,$B$5,$B$4,$B$6,$A43,$B$8,H$4,H$5,H$6)*H$7</f>
        <v>0</v>
      </c>
      <c r="I43" s="81">
        <f t="shared" ca="1" si="19"/>
        <v>0</v>
      </c>
      <c r="J43" s="81">
        <f t="shared" ca="1" si="20"/>
        <v>0</v>
      </c>
      <c r="K43" s="156"/>
      <c r="L43" s="81">
        <f ca="1">_xll.DBRW($B$3,$B$7,$B$5,$B$4,$B$6,$A43,$B$8,L$4,L$5,L$6)*L$7</f>
        <v>0</v>
      </c>
      <c r="M43" s="81">
        <f ca="1">_xll.DBRW($B$3,$B$7,$B$5,$B$4,$B$6,$A43,$B$8,M$4,M$5,M$6)*M$7</f>
        <v>0</v>
      </c>
      <c r="N43" s="81">
        <f ca="1">_xll.DBRW($B$3,$B$7,$B$5,$B$4,$B$6,$A43,$B$8,N$4,N$5,N$6)*N$7</f>
        <v>0</v>
      </c>
      <c r="O43" s="81">
        <f t="shared" ca="1" si="21"/>
        <v>0</v>
      </c>
      <c r="P43" s="81">
        <f t="shared" ca="1" si="22"/>
        <v>0</v>
      </c>
      <c r="Q43" s="156"/>
      <c r="R43" s="81">
        <f ca="1">_xll.DBRW($B$3,$B$7,$B$5,$B$4,$B$6,$A43,$B$8,R$4,R$5,R$6)*R$7</f>
        <v>0</v>
      </c>
      <c r="S43" s="81">
        <f ca="1">_xll.DBRW($B$3,$B$7,$B$5,$B$4,$B$6,$A43,$B$8,S$4,S$5,S$6)*S$7</f>
        <v>0</v>
      </c>
      <c r="T43" s="81">
        <f ca="1">_xll.DBRW($B$3,$B$7,$B$5,$B$4,$B$6,$A43,$B$8,T$4,T$5,T$6)*T$7</f>
        <v>0</v>
      </c>
      <c r="U43" s="81">
        <f t="shared" ca="1" si="4"/>
        <v>0</v>
      </c>
      <c r="V43" s="81">
        <f t="shared" ca="1" si="5"/>
        <v>0</v>
      </c>
      <c r="W43" s="156"/>
      <c r="X43" s="81">
        <f t="shared" ca="1" si="12"/>
        <v>0</v>
      </c>
      <c r="Y43" s="81">
        <f t="shared" ca="1" si="6"/>
        <v>0</v>
      </c>
      <c r="Z43" s="81">
        <f t="shared" ca="1" si="7"/>
        <v>0</v>
      </c>
      <c r="AA43" s="81">
        <f t="shared" ca="1" si="23"/>
        <v>0</v>
      </c>
      <c r="AB43" s="81">
        <f t="shared" ca="1" si="24"/>
        <v>0</v>
      </c>
      <c r="AD43" s="173" t="str">
        <f t="shared" ca="1" si="13"/>
        <v>-</v>
      </c>
      <c r="AE43" s="173" t="str">
        <f t="shared" ca="1" si="10"/>
        <v>-</v>
      </c>
      <c r="AF43" s="173" t="str">
        <f t="shared" ca="1" si="11"/>
        <v>-</v>
      </c>
      <c r="AG43" s="177" t="str">
        <f t="shared" ca="1" si="14"/>
        <v/>
      </c>
      <c r="AH43" s="177" t="str">
        <f t="shared" ca="1" si="15"/>
        <v/>
      </c>
    </row>
    <row r="44" spans="1:34" s="51" customFormat="1" ht="15" customHeight="1">
      <c r="A44" s="29" t="s">
        <v>77</v>
      </c>
      <c r="C44" s="50"/>
      <c r="D44" s="54" t="str">
        <f ca="1">_xll.DBRA("tango_core_model:legal_organization",A44,Language)</f>
        <v>Hong Kong</v>
      </c>
      <c r="E44" s="1"/>
      <c r="F44" s="81">
        <f ca="1">_xll.DBRW($B$3,$B$7,$B$5,$B$4,$B$6,$A44,$B$8,F$4,F$5,F$6)*F$7</f>
        <v>-2.0372681319713594E-12</v>
      </c>
      <c r="G44" s="81">
        <f ca="1">_xll.DBRW($B$3,$B$7,$B$5,$B$4,$B$6,$A44,$B$8,G$4,G$5,G$6)*G$7</f>
        <v>0</v>
      </c>
      <c r="H44" s="81">
        <f ca="1">_xll.DBRW($B$3,$B$7,$B$5,$B$4,$B$6,$A44,$B$8,H$4,H$5,H$6)*H$7</f>
        <v>190.09651200000019</v>
      </c>
      <c r="I44" s="81">
        <f t="shared" ca="1" si="19"/>
        <v>-2.0372681319713594E-12</v>
      </c>
      <c r="J44" s="81">
        <f t="shared" ca="1" si="20"/>
        <v>-190.09651200000224</v>
      </c>
      <c r="K44" s="156"/>
      <c r="L44" s="81">
        <f ca="1">_xll.DBRW($B$3,$B$7,$B$5,$B$4,$B$6,$A44,$B$8,L$4,L$5,L$6)*L$7</f>
        <v>0</v>
      </c>
      <c r="M44" s="81">
        <f ca="1">_xll.DBRW($B$3,$B$7,$B$5,$B$4,$B$6,$A44,$B$8,M$4,M$5,M$6)*M$7</f>
        <v>0</v>
      </c>
      <c r="N44" s="81">
        <f ca="1">_xll.DBRW($B$3,$B$7,$B$5,$B$4,$B$6,$A44,$B$8,N$4,N$5,N$6)*N$7</f>
        <v>0</v>
      </c>
      <c r="O44" s="81">
        <f t="shared" ca="1" si="21"/>
        <v>0</v>
      </c>
      <c r="P44" s="81">
        <f t="shared" ca="1" si="22"/>
        <v>0</v>
      </c>
      <c r="Q44" s="156"/>
      <c r="R44" s="81">
        <f ca="1">_xll.DBRW($B$3,$B$7,$B$5,$B$4,$B$6,$A44,$B$8,R$4,R$5,R$6)*R$7</f>
        <v>53.939114999999994</v>
      </c>
      <c r="S44" s="81">
        <f ca="1">_xll.DBRW($B$3,$B$7,$B$5,$B$4,$B$6,$A44,$B$8,S$4,S$5,S$6)*S$7</f>
        <v>-15.292712</v>
      </c>
      <c r="T44" s="81">
        <f ca="1">_xll.DBRW($B$3,$B$7,$B$5,$B$4,$B$6,$A44,$B$8,T$4,T$5,T$6)*T$7</f>
        <v>-206.5928909999999</v>
      </c>
      <c r="U44" s="81">
        <f t="shared" ca="1" si="4"/>
        <v>69.231826999999996</v>
      </c>
      <c r="V44" s="81">
        <f t="shared" ca="1" si="5"/>
        <v>260.53200599999991</v>
      </c>
      <c r="W44" s="156"/>
      <c r="X44" s="81">
        <f t="shared" ca="1" si="12"/>
        <v>53.939114999999994</v>
      </c>
      <c r="Y44" s="81">
        <f t="shared" ca="1" si="6"/>
        <v>-15.292712</v>
      </c>
      <c r="Z44" s="81">
        <f t="shared" ca="1" si="7"/>
        <v>-206.5928909999999</v>
      </c>
      <c r="AA44" s="81">
        <f t="shared" ca="1" si="23"/>
        <v>69.231826999999996</v>
      </c>
      <c r="AB44" s="81">
        <f t="shared" ca="1" si="24"/>
        <v>260.53200599999991</v>
      </c>
      <c r="AD44" s="173" t="str">
        <f t="shared" ca="1" si="13"/>
        <v>-</v>
      </c>
      <c r="AE44" s="173" t="str">
        <f t="shared" ca="1" si="10"/>
        <v>-</v>
      </c>
      <c r="AF44" s="173">
        <f t="shared" ca="1" si="11"/>
        <v>1.0867789673068788</v>
      </c>
      <c r="AG44" s="177" t="str">
        <f t="shared" ca="1" si="14"/>
        <v/>
      </c>
      <c r="AH44" s="177" t="str">
        <f t="shared" ca="1" si="15"/>
        <v/>
      </c>
    </row>
    <row r="45" spans="1:34" s="51" customFormat="1" ht="15" customHeight="1">
      <c r="A45" s="29" t="s">
        <v>78</v>
      </c>
      <c r="C45" s="50"/>
      <c r="D45" s="54" t="str">
        <f ca="1">_xll.DBRA("tango_core_model:legal_organization",A45,Language)</f>
        <v>Inde</v>
      </c>
      <c r="E45" s="1"/>
      <c r="F45" s="81">
        <f ca="1">_xll.DBRW($B$3,$B$7,$B$5,$B$4,$B$6,$A45,$B$8,F$4,F$5,F$6)*F$7</f>
        <v>7880.5230330000013</v>
      </c>
      <c r="G45" s="81">
        <f ca="1">_xll.DBRW($B$3,$B$7,$B$5,$B$4,$B$6,$A45,$B$8,G$4,G$5,G$6)*G$7</f>
        <v>8185.8157060000003</v>
      </c>
      <c r="H45" s="81">
        <f ca="1">_xll.DBRW($B$3,$B$7,$B$5,$B$4,$B$6,$A45,$B$8,H$4,H$5,H$6)*H$7</f>
        <v>6580.6626300000007</v>
      </c>
      <c r="I45" s="81">
        <f t="shared" ca="1" si="19"/>
        <v>-305.29267299999901</v>
      </c>
      <c r="J45" s="81">
        <f t="shared" ca="1" si="20"/>
        <v>1299.8604030000006</v>
      </c>
      <c r="K45" s="156"/>
      <c r="L45" s="81">
        <f ca="1">_xll.DBRW($B$3,$B$7,$B$5,$B$4,$B$6,$A45,$B$8,L$4,L$5,L$6)*L$7</f>
        <v>0</v>
      </c>
      <c r="M45" s="81">
        <f ca="1">_xll.DBRW($B$3,$B$7,$B$5,$B$4,$B$6,$A45,$B$8,M$4,M$5,M$6)*M$7</f>
        <v>0</v>
      </c>
      <c r="N45" s="81">
        <f ca="1">_xll.DBRW($B$3,$B$7,$B$5,$B$4,$B$6,$A45,$B$8,N$4,N$5,N$6)*N$7</f>
        <v>0</v>
      </c>
      <c r="O45" s="81">
        <f t="shared" ca="1" si="21"/>
        <v>0</v>
      </c>
      <c r="P45" s="81">
        <f t="shared" ca="1" si="22"/>
        <v>0</v>
      </c>
      <c r="Q45" s="156"/>
      <c r="R45" s="81">
        <f ca="1">_xll.DBRW($B$3,$B$7,$B$5,$B$4,$B$6,$A45,$B$8,R$4,R$5,R$6)*R$7</f>
        <v>-2544.2560939999994</v>
      </c>
      <c r="S45" s="81">
        <f ca="1">_xll.DBRW($B$3,$B$7,$B$5,$B$4,$B$6,$A45,$B$8,S$4,S$5,S$6)*S$7</f>
        <v>-2772.1674870000011</v>
      </c>
      <c r="T45" s="81">
        <f ca="1">_xll.DBRW($B$3,$B$7,$B$5,$B$4,$B$6,$A45,$B$8,T$4,T$5,T$6)*T$7</f>
        <v>-1771.7775910000005</v>
      </c>
      <c r="U45" s="81">
        <f t="shared" ca="1" si="4"/>
        <v>227.91139300000168</v>
      </c>
      <c r="V45" s="81">
        <f t="shared" ca="1" si="5"/>
        <v>-772.47850299999891</v>
      </c>
      <c r="W45" s="156"/>
      <c r="X45" s="81">
        <f t="shared" ca="1" si="12"/>
        <v>-2544.2560939999994</v>
      </c>
      <c r="Y45" s="81">
        <f t="shared" ca="1" si="6"/>
        <v>-2772.1674870000011</v>
      </c>
      <c r="Z45" s="81">
        <f t="shared" ca="1" si="7"/>
        <v>-1771.7775910000005</v>
      </c>
      <c r="AA45" s="81">
        <f t="shared" ca="1" si="23"/>
        <v>227.91139300000168</v>
      </c>
      <c r="AB45" s="81">
        <f t="shared" ca="1" si="24"/>
        <v>-772.47850299999891</v>
      </c>
      <c r="AD45" s="173">
        <f t="shared" ca="1" si="13"/>
        <v>0.32285370949946174</v>
      </c>
      <c r="AE45" s="173">
        <f t="shared" ca="1" si="10"/>
        <v>0.33865500843954632</v>
      </c>
      <c r="AF45" s="173">
        <f t="shared" ca="1" si="11"/>
        <v>0.26923999764443179</v>
      </c>
      <c r="AG45" s="177">
        <f t="shared" ca="1" si="14"/>
        <v>-1.5801298940084585</v>
      </c>
      <c r="AH45" s="177">
        <f t="shared" ca="1" si="15"/>
        <v>5.3613711855029944</v>
      </c>
    </row>
    <row r="46" spans="1:34" s="51" customFormat="1" ht="15" customHeight="1">
      <c r="A46" s="29" t="s">
        <v>79</v>
      </c>
      <c r="C46" s="50"/>
      <c r="D46" s="54" t="str">
        <f ca="1">_xll.DBRA("tango_core_model:legal_organization",A46,Language)</f>
        <v>Corée du sud</v>
      </c>
      <c r="E46" s="1"/>
      <c r="F46" s="81">
        <f ca="1">_xll.DBRW($B$3,$B$7,$B$5,$B$4,$B$6,$A46,$B$8,F$4,F$5,F$6)*F$7</f>
        <v>52114.023639999999</v>
      </c>
      <c r="G46" s="81">
        <f ca="1">_xll.DBRW($B$3,$B$7,$B$5,$B$4,$B$6,$A46,$B$8,G$4,G$5,G$6)*G$7</f>
        <v>54062.846600000004</v>
      </c>
      <c r="H46" s="81">
        <f ca="1">_xll.DBRW($B$3,$B$7,$B$5,$B$4,$B$6,$A46,$B$8,H$4,H$5,H$6)*H$7</f>
        <v>44290.893828000007</v>
      </c>
      <c r="I46" s="81">
        <f t="shared" ca="1" si="19"/>
        <v>-1948.822960000005</v>
      </c>
      <c r="J46" s="81">
        <f t="shared" ca="1" si="20"/>
        <v>7823.1298119999919</v>
      </c>
      <c r="K46" s="156"/>
      <c r="L46" s="81">
        <f ca="1">_xll.DBRW($B$3,$B$7,$B$5,$B$4,$B$6,$A46,$B$8,L$4,L$5,L$6)*L$7</f>
        <v>0</v>
      </c>
      <c r="M46" s="81">
        <f ca="1">_xll.DBRW($B$3,$B$7,$B$5,$B$4,$B$6,$A46,$B$8,M$4,M$5,M$6)*M$7</f>
        <v>0</v>
      </c>
      <c r="N46" s="81">
        <f ca="1">_xll.DBRW($B$3,$B$7,$B$5,$B$4,$B$6,$A46,$B$8,N$4,N$5,N$6)*N$7</f>
        <v>0</v>
      </c>
      <c r="O46" s="81">
        <f t="shared" ca="1" si="21"/>
        <v>0</v>
      </c>
      <c r="P46" s="81">
        <f t="shared" ca="1" si="22"/>
        <v>0</v>
      </c>
      <c r="Q46" s="156"/>
      <c r="R46" s="81">
        <f ca="1">_xll.DBRW($B$3,$B$7,$B$5,$B$4,$B$6,$A46,$B$8,R$4,R$5,R$6)*R$7</f>
        <v>-3775.9744090000013</v>
      </c>
      <c r="S46" s="81">
        <f ca="1">_xll.DBRW($B$3,$B$7,$B$5,$B$4,$B$6,$A46,$B$8,S$4,S$5,S$6)*S$7</f>
        <v>-4063.6550579999994</v>
      </c>
      <c r="T46" s="81">
        <f ca="1">_xll.DBRW($B$3,$B$7,$B$5,$B$4,$B$6,$A46,$B$8,T$4,T$5,T$6)*T$7</f>
        <v>-3359.0331890000007</v>
      </c>
      <c r="U46" s="81">
        <f t="shared" ca="1" si="4"/>
        <v>287.68064899999808</v>
      </c>
      <c r="V46" s="81">
        <f t="shared" ca="1" si="5"/>
        <v>-416.94122000000061</v>
      </c>
      <c r="W46" s="156"/>
      <c r="X46" s="81">
        <f t="shared" ca="1" si="12"/>
        <v>-3775.9744090000013</v>
      </c>
      <c r="Y46" s="81">
        <f t="shared" ca="1" si="6"/>
        <v>-4063.6550579999994</v>
      </c>
      <c r="Z46" s="81">
        <f t="shared" ca="1" si="7"/>
        <v>-3359.0331890000007</v>
      </c>
      <c r="AA46" s="81">
        <f t="shared" ca="1" si="23"/>
        <v>287.68064899999808</v>
      </c>
      <c r="AB46" s="81">
        <f t="shared" ca="1" si="24"/>
        <v>-416.94122000000061</v>
      </c>
      <c r="AD46" s="173">
        <f t="shared" ca="1" si="13"/>
        <v>7.2456013665038926E-2</v>
      </c>
      <c r="AE46" s="173">
        <f t="shared" ca="1" si="10"/>
        <v>7.5165392012487911E-2</v>
      </c>
      <c r="AF46" s="173">
        <f t="shared" ca="1" si="11"/>
        <v>7.5840266444938451E-2</v>
      </c>
      <c r="AG46" s="177">
        <f t="shared" ca="1" si="14"/>
        <v>-0.27093783474489846</v>
      </c>
      <c r="AH46" s="177">
        <f t="shared" ca="1" si="15"/>
        <v>-0.33842527798995242</v>
      </c>
    </row>
    <row r="47" spans="1:34" s="28" customFormat="1" ht="20.100000000000001" customHeight="1">
      <c r="A47" s="29" t="s">
        <v>43</v>
      </c>
      <c r="C47" s="50"/>
      <c r="D47" s="52" t="str">
        <f ca="1">_xll.DBRA("tango_core_model:legal_organization",A47,Language)</f>
        <v>Australie et Nouvelle-Zélande</v>
      </c>
      <c r="E47" s="20"/>
      <c r="F47" s="152">
        <f ca="1">_xll.DBRW($B$3,$B$7,$B$5,$B$4,$B$6,$A47,$B$8,F$4,F$5,F$6)*F$7</f>
        <v>450412.90416400007</v>
      </c>
      <c r="G47" s="152">
        <f ca="1">_xll.DBRW($B$3,$B$7,$B$5,$B$4,$B$6,$A47,$B$8,G$4,G$5,G$6)*G$7</f>
        <v>466302.13671699999</v>
      </c>
      <c r="H47" s="152">
        <f ca="1">_xll.DBRW($B$3,$B$7,$B$5,$B$4,$B$6,$A47,$B$8,H$4,H$5,H$6)*H$7</f>
        <v>427828.47823499987</v>
      </c>
      <c r="I47" s="153">
        <f t="shared" ca="1" si="19"/>
        <v>-15889.232552999922</v>
      </c>
      <c r="J47" s="153">
        <f t="shared" ca="1" si="20"/>
        <v>22584.425929000194</v>
      </c>
      <c r="K47" s="123"/>
      <c r="L47" s="152">
        <f ca="1">_xll.DBRW($B$3,$B$7,$B$5,$B$4,$B$6,$A47,$B$8,L$4,L$5,L$6)*L$7</f>
        <v>-2947.5559230000013</v>
      </c>
      <c r="M47" s="152">
        <f ca="1">_xll.DBRW($B$3,$B$7,$B$5,$B$4,$B$6,$A47,$B$8,M$4,M$5,M$6)*M$7</f>
        <v>-3636.363636</v>
      </c>
      <c r="N47" s="152">
        <f ca="1">_xll.DBRW($B$3,$B$7,$B$5,$B$4,$B$6,$A47,$B$8,N$4,N$5,N$6)*N$7</f>
        <v>-2722.0679009999999</v>
      </c>
      <c r="O47" s="153">
        <f t="shared" ca="1" si="21"/>
        <v>688.80771299999878</v>
      </c>
      <c r="P47" s="153">
        <f t="shared" ca="1" si="22"/>
        <v>-225.48802200000137</v>
      </c>
      <c r="Q47" s="123"/>
      <c r="R47" s="152">
        <f ca="1">_xll.DBRW($B$3,$B$7,$B$5,$B$4,$B$6,$A47,$B$8,R$4,R$5,R$6)*R$7</f>
        <v>-34870.150705000007</v>
      </c>
      <c r="S47" s="152">
        <f ca="1">_xll.DBRW($B$3,$B$7,$B$5,$B$4,$B$6,$A47,$B$8,S$4,S$5,S$6)*S$7</f>
        <v>-34130.826363</v>
      </c>
      <c r="T47" s="152">
        <f ca="1">_xll.DBRW($B$3,$B$7,$B$5,$B$4,$B$6,$A47,$B$8,T$4,T$5,T$6)*T$7</f>
        <v>-34551.869945999999</v>
      </c>
      <c r="U47" s="153">
        <f t="shared" ca="1" si="4"/>
        <v>-739.32434200000716</v>
      </c>
      <c r="V47" s="153">
        <f t="shared" ca="1" si="5"/>
        <v>-318.2807590000084</v>
      </c>
      <c r="W47" s="123"/>
      <c r="X47" s="152">
        <f t="shared" ca="1" si="12"/>
        <v>-37817.706628000007</v>
      </c>
      <c r="Y47" s="152">
        <f t="shared" ca="1" si="6"/>
        <v>-37767.189999000002</v>
      </c>
      <c r="Z47" s="152">
        <f t="shared" ca="1" si="7"/>
        <v>-37273.937847000001</v>
      </c>
      <c r="AA47" s="153">
        <f t="shared" ca="1" si="23"/>
        <v>-50.516629000005196</v>
      </c>
      <c r="AB47" s="153">
        <f t="shared" ca="1" si="24"/>
        <v>-543.76878100000613</v>
      </c>
      <c r="AD47" s="171">
        <f t="shared" ca="1" si="13"/>
        <v>8.3962307203858846E-2</v>
      </c>
      <c r="AE47" s="171">
        <f t="shared" ca="1" si="10"/>
        <v>8.0992959339410045E-2</v>
      </c>
      <c r="AF47" s="171">
        <f t="shared" ca="1" si="11"/>
        <v>8.712355474972841E-2</v>
      </c>
      <c r="AG47" s="175">
        <f t="shared" ca="1" si="14"/>
        <v>0.29693478644488014</v>
      </c>
      <c r="AH47" s="175">
        <f t="shared" ca="1" si="15"/>
        <v>-0.31612475458695638</v>
      </c>
    </row>
    <row r="48" spans="1:34" s="51" customFormat="1" ht="15" customHeight="1">
      <c r="A48" s="29" t="s">
        <v>80</v>
      </c>
      <c r="C48" s="50"/>
      <c r="D48" s="54" t="str">
        <f ca="1">_xll.DBRA("tango_core_model:legal_organization",A48,Language)</f>
        <v>Australie</v>
      </c>
      <c r="E48" s="1"/>
      <c r="F48" s="81">
        <f ca="1">_xll.DBRW($B$3,$B$7,$B$5,$B$4,$B$6,$A48,$B$8,F$4,F$5,F$6)*F$7</f>
        <v>406754.25129600003</v>
      </c>
      <c r="G48" s="81">
        <f ca="1">_xll.DBRW($B$3,$B$7,$B$5,$B$4,$B$6,$A48,$B$8,G$4,G$5,G$6)*G$7</f>
        <v>421157.69227699999</v>
      </c>
      <c r="H48" s="81">
        <f ca="1">_xll.DBRW($B$3,$B$7,$B$5,$B$4,$B$6,$A48,$B$8,H$4,H$5,H$6)*H$7</f>
        <v>387870.56595499988</v>
      </c>
      <c r="I48" s="81">
        <f t="shared" ca="1" si="19"/>
        <v>-14403.440980999963</v>
      </c>
      <c r="J48" s="81">
        <f t="shared" ca="1" si="20"/>
        <v>18883.685341000149</v>
      </c>
      <c r="K48" s="156"/>
      <c r="L48" s="81">
        <f ca="1">_xll.DBRW($B$3,$B$7,$B$5,$B$4,$B$6,$A48,$B$8,L$4,L$5,L$6)*L$7</f>
        <v>-2947.5559230000017</v>
      </c>
      <c r="M48" s="81">
        <f ca="1">_xll.DBRW($B$3,$B$7,$B$5,$B$4,$B$6,$A48,$B$8,M$4,M$5,M$6)*M$7</f>
        <v>-3636.363636</v>
      </c>
      <c r="N48" s="81">
        <f ca="1">_xll.DBRW($B$3,$B$7,$B$5,$B$4,$B$6,$A48,$B$8,N$4,N$5,N$6)*N$7</f>
        <v>-2722.0679009999999</v>
      </c>
      <c r="O48" s="81">
        <f t="shared" ca="1" si="21"/>
        <v>688.80771299999833</v>
      </c>
      <c r="P48" s="81">
        <f t="shared" ca="1" si="22"/>
        <v>-225.48802200000182</v>
      </c>
      <c r="Q48" s="156"/>
      <c r="R48" s="81">
        <f ca="1">_xll.DBRW($B$3,$B$7,$B$5,$B$4,$B$6,$A48,$B$8,R$4,R$5,R$6)*R$7</f>
        <v>-30666.23094500001</v>
      </c>
      <c r="S48" s="81">
        <f ca="1">_xll.DBRW($B$3,$B$7,$B$5,$B$4,$B$6,$A48,$B$8,S$4,S$5,S$6)*S$7</f>
        <v>-30606.643356</v>
      </c>
      <c r="T48" s="81">
        <f ca="1">_xll.DBRW($B$3,$B$7,$B$5,$B$4,$B$6,$A48,$B$8,T$4,T$5,T$6)*T$7</f>
        <v>-31962.225190999998</v>
      </c>
      <c r="U48" s="81">
        <f t="shared" ca="1" si="4"/>
        <v>-59.587589000009757</v>
      </c>
      <c r="V48" s="81">
        <f t="shared" ca="1" si="5"/>
        <v>1295.9942459999875</v>
      </c>
      <c r="W48" s="156"/>
      <c r="X48" s="81">
        <f t="shared" ca="1" si="12"/>
        <v>-33613.78686800001</v>
      </c>
      <c r="Y48" s="81">
        <f t="shared" ca="1" si="6"/>
        <v>-34243.006992000002</v>
      </c>
      <c r="Z48" s="81">
        <f t="shared" ca="1" si="7"/>
        <v>-34684.293092</v>
      </c>
      <c r="AA48" s="81">
        <f t="shared" ca="1" si="23"/>
        <v>629.22012399999221</v>
      </c>
      <c r="AB48" s="81">
        <f t="shared" ca="1" si="24"/>
        <v>1070.5062239999897</v>
      </c>
      <c r="AD48" s="173">
        <f t="shared" ca="1" si="13"/>
        <v>8.2639054812333967E-2</v>
      </c>
      <c r="AE48" s="173">
        <f t="shared" ca="1" si="10"/>
        <v>8.1306853988263386E-2</v>
      </c>
      <c r="AF48" s="173">
        <f t="shared" ca="1" si="11"/>
        <v>8.942233862629323E-2</v>
      </c>
      <c r="AG48" s="177">
        <f t="shared" ca="1" si="14"/>
        <v>0.13322008240705813</v>
      </c>
      <c r="AH48" s="177">
        <f t="shared" ca="1" si="15"/>
        <v>-0.67832838139592622</v>
      </c>
    </row>
    <row r="49" spans="1:34" s="51" customFormat="1" ht="15" customHeight="1">
      <c r="A49" s="29" t="s">
        <v>81</v>
      </c>
      <c r="C49" s="50"/>
      <c r="D49" s="54" t="str">
        <f ca="1">_xll.DBRA("tango_core_model:legal_organization",A49,Language)</f>
        <v>Nouvelle-Zélande</v>
      </c>
      <c r="E49" s="1"/>
      <c r="F49" s="81">
        <f ca="1">_xll.DBRW($B$3,$B$7,$B$5,$B$4,$B$6,$A49,$B$8,F$4,F$5,F$6)*F$7</f>
        <v>43658.652868000012</v>
      </c>
      <c r="G49" s="81">
        <f ca="1">_xll.DBRW($B$3,$B$7,$B$5,$B$4,$B$6,$A49,$B$8,G$4,G$5,G$6)*G$7</f>
        <v>45144.444439999999</v>
      </c>
      <c r="H49" s="81">
        <f ca="1">_xll.DBRW($B$3,$B$7,$B$5,$B$4,$B$6,$A49,$B$8,H$4,H$5,H$6)*H$7</f>
        <v>39957.91227999999</v>
      </c>
      <c r="I49" s="81">
        <f t="shared" ca="1" si="19"/>
        <v>-1485.7915719999874</v>
      </c>
      <c r="J49" s="81">
        <f t="shared" ca="1" si="20"/>
        <v>3700.7405880000224</v>
      </c>
      <c r="K49" s="156"/>
      <c r="L49" s="81">
        <f ca="1">_xll.DBRW($B$3,$B$7,$B$5,$B$4,$B$6,$A49,$B$8,L$4,L$5,L$6)*L$7</f>
        <v>0</v>
      </c>
      <c r="M49" s="81">
        <f ca="1">_xll.DBRW($B$3,$B$7,$B$5,$B$4,$B$6,$A49,$B$8,M$4,M$5,M$6)*M$7</f>
        <v>0</v>
      </c>
      <c r="N49" s="81">
        <f ca="1">_xll.DBRW($B$3,$B$7,$B$5,$B$4,$B$6,$A49,$B$8,N$4,N$5,N$6)*N$7</f>
        <v>0</v>
      </c>
      <c r="O49" s="81">
        <f t="shared" ca="1" si="21"/>
        <v>0</v>
      </c>
      <c r="P49" s="81">
        <f t="shared" ca="1" si="22"/>
        <v>0</v>
      </c>
      <c r="Q49" s="156"/>
      <c r="R49" s="81">
        <f ca="1">_xll.DBRW($B$3,$B$7,$B$5,$B$4,$B$6,$A49,$B$8,R$4,R$5,R$6)*R$7</f>
        <v>-4203.9197600000016</v>
      </c>
      <c r="S49" s="81">
        <f ca="1">_xll.DBRW($B$3,$B$7,$B$5,$B$4,$B$6,$A49,$B$8,S$4,S$5,S$6)*S$7</f>
        <v>-3524.1830069999996</v>
      </c>
      <c r="T49" s="81">
        <f ca="1">_xll.DBRW($B$3,$B$7,$B$5,$B$4,$B$6,$A49,$B$8,T$4,T$5,T$6)*T$7</f>
        <v>-2589.6447549999984</v>
      </c>
      <c r="U49" s="81">
        <f t="shared" ca="1" si="4"/>
        <v>-679.73675300000195</v>
      </c>
      <c r="V49" s="81">
        <f t="shared" ca="1" si="5"/>
        <v>-1614.2750050000031</v>
      </c>
      <c r="W49" s="156"/>
      <c r="X49" s="81">
        <f t="shared" ca="1" si="12"/>
        <v>-4203.9197600000016</v>
      </c>
      <c r="Y49" s="81">
        <f t="shared" ca="1" si="6"/>
        <v>-3524.1830069999996</v>
      </c>
      <c r="Z49" s="81">
        <f t="shared" ca="1" si="7"/>
        <v>-2589.6447549999984</v>
      </c>
      <c r="AA49" s="81">
        <f t="shared" ca="1" si="23"/>
        <v>-679.73675300000195</v>
      </c>
      <c r="AB49" s="81">
        <f t="shared" ca="1" si="24"/>
        <v>-1614.2750050000031</v>
      </c>
      <c r="AD49" s="173">
        <f t="shared" ca="1" si="13"/>
        <v>9.6290643064740569E-2</v>
      </c>
      <c r="AE49" s="173">
        <f t="shared" ca="1" si="10"/>
        <v>7.8064600211967955E-2</v>
      </c>
      <c r="AF49" s="173">
        <f t="shared" ca="1" si="11"/>
        <v>6.4809310778135551E-2</v>
      </c>
      <c r="AG49" s="177">
        <f t="shared" ca="1" si="14"/>
        <v>1.8226042852772615</v>
      </c>
      <c r="AH49" s="177">
        <f t="shared" ca="1" si="15"/>
        <v>3.1481332286605017</v>
      </c>
    </row>
    <row r="50" spans="1:34" s="28" customFormat="1" ht="20.100000000000001" customHeight="1">
      <c r="A50" s="29" t="s">
        <v>82</v>
      </c>
      <c r="C50" s="50"/>
      <c r="D50" s="52" t="str">
        <f ca="1">_xll.DBRA("tango_core_model:legal_organization",A50,Language)</f>
        <v>Europe du Sud</v>
      </c>
      <c r="E50" s="20"/>
      <c r="F50" s="152">
        <f ca="1">_xll.DBRW($B$3,$B$7,$B$5,$B$4,$B$6,$A50,$B$8,F$4,F$5,F$6)*F$7</f>
        <v>114247.09999999999</v>
      </c>
      <c r="G50" s="152">
        <f ca="1">_xll.DBRW($B$3,$B$7,$B$5,$B$4,$B$6,$A50,$B$8,G$4,G$5,G$6)*G$7</f>
        <v>113832.12</v>
      </c>
      <c r="H50" s="152">
        <f ca="1">_xll.DBRW($B$3,$B$7,$B$5,$B$4,$B$6,$A50,$B$8,H$4,H$5,H$6)*H$7</f>
        <v>93699</v>
      </c>
      <c r="I50" s="153">
        <f t="shared" ca="1" si="19"/>
        <v>414.97999999999593</v>
      </c>
      <c r="J50" s="153">
        <f t="shared" ca="1" si="20"/>
        <v>20548.099999999991</v>
      </c>
      <c r="K50" s="123"/>
      <c r="L50" s="152">
        <f ca="1">_xll.DBRW($B$3,$B$7,$B$5,$B$4,$B$6,$A50,$B$8,L$4,L$5,L$6)*L$7</f>
        <v>-346.00000000000011</v>
      </c>
      <c r="M50" s="152">
        <f ca="1">_xll.DBRW($B$3,$B$7,$B$5,$B$4,$B$6,$A50,$B$8,M$4,M$5,M$6)*M$7</f>
        <v>-302</v>
      </c>
      <c r="N50" s="152">
        <f ca="1">_xll.DBRW($B$3,$B$7,$B$5,$B$4,$B$6,$A50,$B$8,N$4,N$5,N$6)*N$7</f>
        <v>-28</v>
      </c>
      <c r="O50" s="153">
        <f t="shared" ca="1" si="21"/>
        <v>-44.000000000000114</v>
      </c>
      <c r="P50" s="153">
        <f t="shared" ca="1" si="22"/>
        <v>-318.00000000000011</v>
      </c>
      <c r="Q50" s="123"/>
      <c r="R50" s="152">
        <f ca="1">_xll.DBRW($B$3,$B$7,$B$5,$B$4,$B$6,$A50,$B$8,R$4,R$5,R$6)*R$7</f>
        <v>-6460.3200000000015</v>
      </c>
      <c r="S50" s="152">
        <f ca="1">_xll.DBRW($B$3,$B$7,$B$5,$B$4,$B$6,$A50,$B$8,S$4,S$5,S$6)*S$7</f>
        <v>-6261.1000000000013</v>
      </c>
      <c r="T50" s="152">
        <f ca="1">_xll.DBRW($B$3,$B$7,$B$5,$B$4,$B$6,$A50,$B$8,T$4,T$5,T$6)*T$7</f>
        <v>-5058</v>
      </c>
      <c r="U50" s="153">
        <f t="shared" ca="1" si="4"/>
        <v>-199.22000000000025</v>
      </c>
      <c r="V50" s="153">
        <f t="shared" ca="1" si="5"/>
        <v>-1402.3200000000015</v>
      </c>
      <c r="W50" s="123"/>
      <c r="X50" s="152">
        <f t="shared" ca="1" si="12"/>
        <v>-6806.3200000000015</v>
      </c>
      <c r="Y50" s="152">
        <f t="shared" ca="1" si="6"/>
        <v>-6563.1000000000013</v>
      </c>
      <c r="Z50" s="152">
        <f t="shared" ca="1" si="7"/>
        <v>-5086</v>
      </c>
      <c r="AA50" s="153">
        <f t="shared" ca="1" si="23"/>
        <v>-243.22000000000025</v>
      </c>
      <c r="AB50" s="153">
        <f t="shared" ca="1" si="24"/>
        <v>-1720.3200000000015</v>
      </c>
      <c r="AD50" s="171">
        <f t="shared" ca="1" si="13"/>
        <v>5.9575429048089643E-2</v>
      </c>
      <c r="AE50" s="171">
        <f t="shared" ca="1" si="10"/>
        <v>5.7655958616952767E-2</v>
      </c>
      <c r="AF50" s="171">
        <f t="shared" ca="1" si="11"/>
        <v>5.4280195092797148E-2</v>
      </c>
      <c r="AG50" s="175">
        <f t="shared" ca="1" si="14"/>
        <v>0.19194704311368757</v>
      </c>
      <c r="AH50" s="175">
        <f t="shared" ca="1" si="15"/>
        <v>0.52952339552924943</v>
      </c>
    </row>
    <row r="51" spans="1:34" s="51" customFormat="1" ht="15" customHeight="1">
      <c r="A51" s="29" t="s">
        <v>9</v>
      </c>
      <c r="C51" s="50"/>
      <c r="D51" s="54" t="str">
        <f ca="1">_xll.DBRA("tango_core_model:legal_organization",A51,Language)</f>
        <v>Portugal</v>
      </c>
      <c r="E51" s="1"/>
      <c r="F51" s="81">
        <f ca="1">_xll.DBRW($B$3,$B$7,$B$5,$B$4,$B$6,$A51,$B$8,F$4,F$5,F$6)*F$7</f>
        <v>92649.999999999985</v>
      </c>
      <c r="G51" s="81">
        <f ca="1">_xll.DBRW($B$3,$B$7,$B$5,$B$4,$B$6,$A51,$B$8,G$4,G$5,G$6)*G$7</f>
        <v>92455</v>
      </c>
      <c r="H51" s="81">
        <f ca="1">_xll.DBRW($B$3,$B$7,$B$5,$B$4,$B$6,$A51,$B$8,H$4,H$5,H$6)*H$7</f>
        <v>92068</v>
      </c>
      <c r="I51" s="81">
        <f t="shared" ca="1" si="19"/>
        <v>194.99999999998545</v>
      </c>
      <c r="J51" s="81">
        <f t="shared" ca="1" si="20"/>
        <v>581.99999999998545</v>
      </c>
      <c r="K51" s="156"/>
      <c r="L51" s="81">
        <f ca="1">_xll.DBRW($B$3,$B$7,$B$5,$B$4,$B$6,$A51,$B$8,L$4,L$5,L$6)*L$7</f>
        <v>-346.00000000000011</v>
      </c>
      <c r="M51" s="81">
        <f ca="1">_xll.DBRW($B$3,$B$7,$B$5,$B$4,$B$6,$A51,$B$8,M$4,M$5,M$6)*M$7</f>
        <v>-302</v>
      </c>
      <c r="N51" s="81">
        <f ca="1">_xll.DBRW($B$3,$B$7,$B$5,$B$4,$B$6,$A51,$B$8,N$4,N$5,N$6)*N$7</f>
        <v>-28</v>
      </c>
      <c r="O51" s="81">
        <f t="shared" ca="1" si="21"/>
        <v>-44.000000000000114</v>
      </c>
      <c r="P51" s="81">
        <f t="shared" ca="1" si="22"/>
        <v>-318.00000000000011</v>
      </c>
      <c r="Q51" s="156"/>
      <c r="R51" s="81">
        <f ca="1">_xll.DBRW($B$3,$B$7,$B$5,$B$4,$B$6,$A51,$B$8,R$4,R$5,R$6)*R$7</f>
        <v>-6132.0000000000018</v>
      </c>
      <c r="S51" s="81">
        <f ca="1">_xll.DBRW($B$3,$B$7,$B$5,$B$4,$B$6,$A51,$B$8,S$4,S$5,S$6)*S$7</f>
        <v>-5505.0000000000018</v>
      </c>
      <c r="T51" s="81">
        <f ca="1">_xll.DBRW($B$3,$B$7,$B$5,$B$4,$B$6,$A51,$B$8,T$4,T$5,T$6)*T$7</f>
        <v>-4784</v>
      </c>
      <c r="U51" s="81">
        <f t="shared" ca="1" si="4"/>
        <v>-627</v>
      </c>
      <c r="V51" s="81">
        <f t="shared" ca="1" si="5"/>
        <v>-1348.0000000000018</v>
      </c>
      <c r="W51" s="156"/>
      <c r="X51" s="81">
        <f t="shared" ca="1" si="12"/>
        <v>-6478.0000000000018</v>
      </c>
      <c r="Y51" s="81">
        <f t="shared" ca="1" si="6"/>
        <v>-5807.0000000000018</v>
      </c>
      <c r="Z51" s="81">
        <f t="shared" ca="1" si="7"/>
        <v>-4812</v>
      </c>
      <c r="AA51" s="81">
        <f t="shared" ca="1" si="23"/>
        <v>-671</v>
      </c>
      <c r="AB51" s="81">
        <f t="shared" ca="1" si="24"/>
        <v>-1666.0000000000018</v>
      </c>
      <c r="AD51" s="173">
        <f t="shared" ca="1" si="13"/>
        <v>6.991905018888292E-2</v>
      </c>
      <c r="AE51" s="173">
        <f t="shared" ca="1" si="10"/>
        <v>6.2808934076037007E-2</v>
      </c>
      <c r="AF51" s="173">
        <f t="shared" ca="1" si="11"/>
        <v>5.2265716644219487E-2</v>
      </c>
      <c r="AG51" s="177">
        <f t="shared" ca="1" si="14"/>
        <v>0.71101161128459123</v>
      </c>
      <c r="AH51" s="177">
        <f t="shared" ca="1" si="15"/>
        <v>1.7653333544663432</v>
      </c>
    </row>
    <row r="52" spans="1:34" s="51" customFormat="1" ht="15" customHeight="1">
      <c r="A52" s="29" t="s">
        <v>44</v>
      </c>
      <c r="C52" s="50"/>
      <c r="D52" s="54" t="str">
        <f ca="1">_xll.DBRA("tango_core_model:legal_organization",A52,Language)</f>
        <v>Espagne</v>
      </c>
      <c r="E52" s="1"/>
      <c r="F52" s="81">
        <f ca="1">_xll.DBRW($B$3,$B$7,$B$5,$B$4,$B$6,$A52,$B$8,F$4,F$5,F$6)*F$7</f>
        <v>21597.100000000002</v>
      </c>
      <c r="G52" s="81">
        <f ca="1">_xll.DBRW($B$3,$B$7,$B$5,$B$4,$B$6,$A52,$B$8,G$4,G$5,G$6)*G$7</f>
        <v>21377.119999999999</v>
      </c>
      <c r="H52" s="81">
        <f ca="1">_xll.DBRW($B$3,$B$7,$B$5,$B$4,$B$6,$A52,$B$8,H$4,H$5,H$6)*H$7</f>
        <v>1631</v>
      </c>
      <c r="I52" s="81">
        <f t="shared" ca="1" si="19"/>
        <v>219.9800000000032</v>
      </c>
      <c r="J52" s="81">
        <f t="shared" ca="1" si="20"/>
        <v>19966.100000000002</v>
      </c>
      <c r="K52" s="156"/>
      <c r="L52" s="81">
        <f ca="1">_xll.DBRW($B$3,$B$7,$B$5,$B$4,$B$6,$A52,$B$8,L$4,L$5,L$6)*L$7</f>
        <v>0</v>
      </c>
      <c r="M52" s="81">
        <f ca="1">_xll.DBRW($B$3,$B$7,$B$5,$B$4,$B$6,$A52,$B$8,M$4,M$5,M$6)*M$7</f>
        <v>0</v>
      </c>
      <c r="N52" s="81">
        <f ca="1">_xll.DBRW($B$3,$B$7,$B$5,$B$4,$B$6,$A52,$B$8,N$4,N$5,N$6)*N$7</f>
        <v>0</v>
      </c>
      <c r="O52" s="81">
        <f t="shared" ca="1" si="21"/>
        <v>0</v>
      </c>
      <c r="P52" s="81">
        <f t="shared" ca="1" si="22"/>
        <v>0</v>
      </c>
      <c r="Q52" s="156"/>
      <c r="R52" s="81">
        <f ca="1">_xll.DBRW($B$3,$B$7,$B$5,$B$4,$B$6,$A52,$B$8,R$4,R$5,R$6)*R$7</f>
        <v>-328.32000000000005</v>
      </c>
      <c r="S52" s="81">
        <f ca="1">_xll.DBRW($B$3,$B$7,$B$5,$B$4,$B$6,$A52,$B$8,S$4,S$5,S$6)*S$7</f>
        <v>-756.1</v>
      </c>
      <c r="T52" s="81">
        <f ca="1">_xll.DBRW($B$3,$B$7,$B$5,$B$4,$B$6,$A52,$B$8,T$4,T$5,T$6)*T$7</f>
        <v>-274</v>
      </c>
      <c r="U52" s="81">
        <f t="shared" ca="1" si="4"/>
        <v>427.78</v>
      </c>
      <c r="V52" s="81">
        <f t="shared" ca="1" si="5"/>
        <v>-54.32000000000005</v>
      </c>
      <c r="W52" s="156"/>
      <c r="X52" s="81">
        <f t="shared" ca="1" si="12"/>
        <v>-328.32000000000005</v>
      </c>
      <c r="Y52" s="81">
        <f t="shared" ca="1" si="6"/>
        <v>-756.1</v>
      </c>
      <c r="Z52" s="81">
        <f t="shared" ca="1" si="7"/>
        <v>-274</v>
      </c>
      <c r="AA52" s="81">
        <f t="shared" ca="1" si="23"/>
        <v>427.78</v>
      </c>
      <c r="AB52" s="81">
        <f t="shared" ca="1" si="24"/>
        <v>-54.32000000000005</v>
      </c>
      <c r="AD52" s="173">
        <f t="shared" ca="1" si="13"/>
        <v>1.5202041014765872E-2</v>
      </c>
      <c r="AE52" s="173">
        <f t="shared" ca="1" si="10"/>
        <v>3.5369591413623537E-2</v>
      </c>
      <c r="AF52" s="173">
        <f t="shared" ca="1" si="11"/>
        <v>0.16799509503372165</v>
      </c>
      <c r="AG52" s="177">
        <f t="shared" ca="1" si="14"/>
        <v>-2.0167550398857665</v>
      </c>
      <c r="AH52" s="177">
        <f t="shared" ca="1" si="15"/>
        <v>-15.279305401895577</v>
      </c>
    </row>
    <row r="53" spans="1:34" s="51" customFormat="1" ht="15" customHeight="1">
      <c r="A53" s="29" t="s">
        <v>83</v>
      </c>
      <c r="C53" s="50"/>
      <c r="D53" s="54" t="str">
        <f ca="1">_xll.DBRA("tango_core_model:legal_organization",A53,Language)</f>
        <v>Colombie</v>
      </c>
      <c r="E53" s="1"/>
      <c r="F53" s="81">
        <f ca="1">_xll.DBRW($B$3,$B$7,$B$5,$B$4,$B$6,$A53,$B$8,F$4,F$5,F$6)*F$7</f>
        <v>0</v>
      </c>
      <c r="G53" s="81">
        <f ca="1">_xll.DBRW($B$3,$B$7,$B$5,$B$4,$B$6,$A53,$B$8,G$4,G$5,G$6)*G$7</f>
        <v>0</v>
      </c>
      <c r="H53" s="81">
        <f ca="1">_xll.DBRW($B$3,$B$7,$B$5,$B$4,$B$6,$A53,$B$8,H$4,H$5,H$6)*H$7</f>
        <v>1.102307578548789E-12</v>
      </c>
      <c r="I53" s="81">
        <f t="shared" ca="1" si="19"/>
        <v>0</v>
      </c>
      <c r="J53" s="81">
        <f t="shared" ca="1" si="20"/>
        <v>-1.102307578548789E-12</v>
      </c>
      <c r="K53" s="156"/>
      <c r="L53" s="81">
        <f ca="1">_xll.DBRW($B$3,$B$7,$B$5,$B$4,$B$6,$A53,$B$8,L$4,L$5,L$6)*L$7</f>
        <v>0</v>
      </c>
      <c r="M53" s="81">
        <f ca="1">_xll.DBRW($B$3,$B$7,$B$5,$B$4,$B$6,$A53,$B$8,M$4,M$5,M$6)*M$7</f>
        <v>0</v>
      </c>
      <c r="N53" s="81">
        <f ca="1">_xll.DBRW($B$3,$B$7,$B$5,$B$4,$B$6,$A53,$B$8,N$4,N$5,N$6)*N$7</f>
        <v>0</v>
      </c>
      <c r="O53" s="81">
        <f t="shared" ca="1" si="21"/>
        <v>0</v>
      </c>
      <c r="P53" s="81">
        <f t="shared" ca="1" si="22"/>
        <v>0</v>
      </c>
      <c r="Q53" s="156"/>
      <c r="R53" s="81">
        <f ca="1">_xll.DBRW($B$3,$B$7,$B$5,$B$4,$B$6,$A53,$B$8,R$4,R$5,R$6)*R$7</f>
        <v>0</v>
      </c>
      <c r="S53" s="81">
        <f ca="1">_xll.DBRW($B$3,$B$7,$B$5,$B$4,$B$6,$A53,$B$8,S$4,S$5,S$6)*S$7</f>
        <v>0</v>
      </c>
      <c r="T53" s="81">
        <f ca="1">_xll.DBRW($B$3,$B$7,$B$5,$B$4,$B$6,$A53,$B$8,T$4,T$5,T$6)*T$7</f>
        <v>0</v>
      </c>
      <c r="U53" s="81">
        <f t="shared" ca="1" si="4"/>
        <v>0</v>
      </c>
      <c r="V53" s="81">
        <f t="shared" ca="1" si="5"/>
        <v>0</v>
      </c>
      <c r="W53" s="156"/>
      <c r="X53" s="81">
        <f t="shared" ca="1" si="12"/>
        <v>0</v>
      </c>
      <c r="Y53" s="81">
        <f t="shared" ca="1" si="6"/>
        <v>0</v>
      </c>
      <c r="Z53" s="81">
        <f t="shared" ca="1" si="7"/>
        <v>0</v>
      </c>
      <c r="AA53" s="81">
        <f t="shared" ca="1" si="23"/>
        <v>0</v>
      </c>
      <c r="AB53" s="81">
        <f t="shared" ca="1" si="24"/>
        <v>0</v>
      </c>
      <c r="AD53" s="173" t="str">
        <f t="shared" ca="1" si="13"/>
        <v>-</v>
      </c>
      <c r="AE53" s="173" t="str">
        <f t="shared" ca="1" si="10"/>
        <v>-</v>
      </c>
      <c r="AF53" s="173">
        <f t="shared" ca="1" si="11"/>
        <v>0</v>
      </c>
      <c r="AG53" s="177" t="str">
        <f t="shared" ca="1" si="14"/>
        <v/>
      </c>
      <c r="AH53" s="177" t="str">
        <f t="shared" ca="1" si="15"/>
        <v/>
      </c>
    </row>
    <row r="54" spans="1:34" s="51" customFormat="1" ht="15" customHeight="1">
      <c r="A54" s="29" t="s">
        <v>45</v>
      </c>
      <c r="C54" s="50"/>
      <c r="D54" s="54" t="str">
        <f ca="1">_xll.DBRA("tango_core_model:legal_organization",A54,Language)</f>
        <v>Chili</v>
      </c>
      <c r="E54" s="1"/>
      <c r="F54" s="81">
        <f ca="1">_xll.DBRW($B$3,$B$7,$B$5,$B$4,$B$6,$A54,$B$8,F$4,F$5,F$6)*F$7</f>
        <v>79600.344340000011</v>
      </c>
      <c r="G54" s="81">
        <f ca="1">_xll.DBRW($B$3,$B$7,$B$5,$B$4,$B$6,$A54,$B$8,G$4,G$5,G$6)*G$7</f>
        <v>86160.209744000007</v>
      </c>
      <c r="H54" s="81">
        <f ca="1">_xll.DBRW($B$3,$B$7,$B$5,$B$4,$B$6,$A54,$B$8,H$4,H$5,H$6)*H$7</f>
        <v>80402.239373999982</v>
      </c>
      <c r="I54" s="81">
        <f t="shared" ca="1" si="19"/>
        <v>-6559.8654039999965</v>
      </c>
      <c r="J54" s="81">
        <f t="shared" ca="1" si="20"/>
        <v>-801.89503399997193</v>
      </c>
      <c r="K54" s="156"/>
      <c r="L54" s="81">
        <f ca="1">_xll.DBRW($B$3,$B$7,$B$5,$B$4,$B$6,$A54,$B$8,L$4,L$5,L$6)*L$7</f>
        <v>0</v>
      </c>
      <c r="M54" s="81">
        <f ca="1">_xll.DBRW($B$3,$B$7,$B$5,$B$4,$B$6,$A54,$B$8,M$4,M$5,M$6)*M$7</f>
        <v>0</v>
      </c>
      <c r="N54" s="81">
        <f ca="1">_xll.DBRW($B$3,$B$7,$B$5,$B$4,$B$6,$A54,$B$8,N$4,N$5,N$6)*N$7</f>
        <v>0</v>
      </c>
      <c r="O54" s="81">
        <f t="shared" ca="1" si="21"/>
        <v>0</v>
      </c>
      <c r="P54" s="81">
        <f t="shared" ca="1" si="22"/>
        <v>0</v>
      </c>
      <c r="Q54" s="156"/>
      <c r="R54" s="81">
        <f ca="1">_xll.DBRW($B$3,$B$7,$B$5,$B$4,$B$6,$A54,$B$8,R$4,R$5,R$6)*R$7</f>
        <v>-6805.9143979999999</v>
      </c>
      <c r="S54" s="81">
        <f ca="1">_xll.DBRW($B$3,$B$7,$B$5,$B$4,$B$6,$A54,$B$8,S$4,S$5,S$6)*S$7</f>
        <v>-7319.5228959999986</v>
      </c>
      <c r="T54" s="81">
        <f ca="1">_xll.DBRW($B$3,$B$7,$B$5,$B$4,$B$6,$A54,$B$8,T$4,T$5,T$6)*T$7</f>
        <v>-9317.3125359999995</v>
      </c>
      <c r="U54" s="81">
        <f t="shared" ca="1" si="4"/>
        <v>513.60849799999869</v>
      </c>
      <c r="V54" s="81">
        <f t="shared" ca="1" si="5"/>
        <v>2511.3981379999996</v>
      </c>
      <c r="W54" s="156"/>
      <c r="X54" s="81">
        <f t="shared" ca="1" si="12"/>
        <v>-6805.9143979999999</v>
      </c>
      <c r="Y54" s="81">
        <f t="shared" ca="1" si="6"/>
        <v>-7319.5228959999986</v>
      </c>
      <c r="Z54" s="81">
        <f t="shared" ca="1" si="7"/>
        <v>-9317.3125359999995</v>
      </c>
      <c r="AA54" s="81">
        <f t="shared" ca="1" si="23"/>
        <v>513.60849799999869</v>
      </c>
      <c r="AB54" s="81">
        <f t="shared" ca="1" si="24"/>
        <v>2511.3981379999996</v>
      </c>
      <c r="AD54" s="173">
        <f t="shared" ca="1" si="13"/>
        <v>8.5501067293498587E-2</v>
      </c>
      <c r="AE54" s="173">
        <f t="shared" ca="1" si="10"/>
        <v>8.4952473046988053E-2</v>
      </c>
      <c r="AF54" s="173">
        <f t="shared" ca="1" si="11"/>
        <v>0.11588374414124812</v>
      </c>
      <c r="AG54" s="177">
        <f t="shared" ca="1" si="14"/>
        <v>5.4859424651053368E-2</v>
      </c>
      <c r="AH54" s="177">
        <f t="shared" ca="1" si="15"/>
        <v>-3.0382676847749535</v>
      </c>
    </row>
    <row r="55" spans="1:34" s="51" customFormat="1" ht="15" customHeight="1">
      <c r="A55" s="29" t="s">
        <v>46</v>
      </c>
      <c r="C55" s="50"/>
      <c r="D55" s="54" t="str">
        <f ca="1">_xll.DBRA("tango_core_model:legal_organization",A55,Language)</f>
        <v>Maroc</v>
      </c>
      <c r="E55" s="1"/>
      <c r="F55" s="81">
        <f ca="1">_xll.DBRW($B$3,$B$7,$B$5,$B$4,$B$6,$A55,$B$8,F$4,F$5,F$6)*F$7</f>
        <v>10885.602949999999</v>
      </c>
      <c r="G55" s="81">
        <f ca="1">_xll.DBRW($B$3,$B$7,$B$5,$B$4,$B$6,$A55,$B$8,G$4,G$5,G$6)*G$7</f>
        <v>10915.981740000003</v>
      </c>
      <c r="H55" s="81">
        <f ca="1">_xll.DBRW($B$3,$B$7,$B$5,$B$4,$B$6,$A55,$B$8,H$4,H$5,H$6)*H$7</f>
        <v>11842.98335</v>
      </c>
      <c r="I55" s="81">
        <f t="shared" ca="1" si="19"/>
        <v>-30.378790000004301</v>
      </c>
      <c r="J55" s="81">
        <f t="shared" ca="1" si="20"/>
        <v>-957.38040000000183</v>
      </c>
      <c r="K55" s="156"/>
      <c r="L55" s="81">
        <f ca="1">_xll.DBRW($B$3,$B$7,$B$5,$B$4,$B$6,$A55,$B$8,L$4,L$5,L$6)*L$7</f>
        <v>-833.46158300000013</v>
      </c>
      <c r="M55" s="81">
        <f ca="1">_xll.DBRW($B$3,$B$7,$B$5,$B$4,$B$6,$A55,$B$8,M$4,M$5,M$6)*M$7</f>
        <v>-1498.9954340000004</v>
      </c>
      <c r="N55" s="81">
        <f ca="1">_xll.DBRW($B$3,$B$7,$B$5,$B$4,$B$6,$A55,$B$8,N$4,N$5,N$6)*N$7</f>
        <v>-1457.3138710000001</v>
      </c>
      <c r="O55" s="81">
        <f t="shared" ca="1" si="21"/>
        <v>665.53385100000025</v>
      </c>
      <c r="P55" s="81">
        <f t="shared" ca="1" si="22"/>
        <v>623.85228799999993</v>
      </c>
      <c r="Q55" s="156"/>
      <c r="R55" s="81">
        <f ca="1">_xll.DBRW($B$3,$B$7,$B$5,$B$4,$B$6,$A55,$B$8,R$4,R$5,R$6)*R$7</f>
        <v>-1654.6419369999996</v>
      </c>
      <c r="S55" s="81">
        <f ca="1">_xll.DBRW($B$3,$B$7,$B$5,$B$4,$B$6,$A55,$B$8,S$4,S$5,S$6)*S$7</f>
        <v>-1628.9497719999999</v>
      </c>
      <c r="T55" s="81">
        <f ca="1">_xll.DBRW($B$3,$B$7,$B$5,$B$4,$B$6,$A55,$B$8,T$4,T$5,T$6)*T$7</f>
        <v>-1437.4145190000002</v>
      </c>
      <c r="U55" s="81">
        <f t="shared" ca="1" si="4"/>
        <v>-25.692164999999704</v>
      </c>
      <c r="V55" s="81">
        <f t="shared" ca="1" si="5"/>
        <v>-217.22741799999949</v>
      </c>
      <c r="W55" s="156"/>
      <c r="X55" s="81">
        <f t="shared" ca="1" si="12"/>
        <v>-2488.1035199999997</v>
      </c>
      <c r="Y55" s="81">
        <f t="shared" ca="1" si="6"/>
        <v>-3127.9452060000003</v>
      </c>
      <c r="Z55" s="81">
        <f t="shared" ca="1" si="7"/>
        <v>-2894.7283900000002</v>
      </c>
      <c r="AA55" s="81">
        <f t="shared" ca="1" si="23"/>
        <v>639.84168600000066</v>
      </c>
      <c r="AB55" s="81">
        <f t="shared" ca="1" si="24"/>
        <v>406.62487000000056</v>
      </c>
      <c r="AD55" s="173">
        <f t="shared" ca="1" si="13"/>
        <v>0.22856827788303632</v>
      </c>
      <c r="AE55" s="173">
        <f t="shared" ca="1" si="10"/>
        <v>0.28654731021930047</v>
      </c>
      <c r="AF55" s="173">
        <f t="shared" ca="1" si="11"/>
        <v>0.24442560666101082</v>
      </c>
      <c r="AG55" s="177">
        <f t="shared" ca="1" si="14"/>
        <v>-5.797903233626414</v>
      </c>
      <c r="AH55" s="177">
        <f t="shared" ca="1" si="15"/>
        <v>-1.5857328777974495</v>
      </c>
    </row>
    <row r="56" spans="1:34" s="51" customFormat="1" ht="15" customHeight="1">
      <c r="A56" s="29" t="s">
        <v>84</v>
      </c>
      <c r="C56" s="50"/>
      <c r="D56" s="54" t="str">
        <f ca="1">_xll.DBRA("tango_core_model:legal_organization",A56,Language)</f>
        <v>Lignes Internationales</v>
      </c>
      <c r="E56" s="1"/>
      <c r="F56" s="81">
        <f ca="1">_xll.DBRW($B$3,$B$7,$B$5,$B$4,$B$6,$A56,$B$8,F$4,F$5,F$6)*F$7</f>
        <v>64635.197544000002</v>
      </c>
      <c r="G56" s="81">
        <f ca="1">_xll.DBRW($B$3,$B$7,$B$5,$B$4,$B$6,$A56,$B$8,G$4,G$5,G$6)*G$7</f>
        <v>68236.379561000009</v>
      </c>
      <c r="H56" s="81">
        <f ca="1">_xll.DBRW($B$3,$B$7,$B$5,$B$4,$B$6,$A56,$B$8,H$4,H$5,H$6)*H$7</f>
        <v>68594.093011999998</v>
      </c>
      <c r="I56" s="81">
        <f t="shared" ca="1" si="19"/>
        <v>-3601.1820170000065</v>
      </c>
      <c r="J56" s="81">
        <f t="shared" ca="1" si="20"/>
        <v>-3958.8954679999952</v>
      </c>
      <c r="K56" s="156"/>
      <c r="L56" s="81">
        <f ca="1">_xll.DBRW($B$3,$B$7,$B$5,$B$4,$B$6,$A56,$B$8,L$4,L$5,L$6)*L$7</f>
        <v>-4251</v>
      </c>
      <c r="M56" s="81">
        <f ca="1">_xll.DBRW($B$3,$B$7,$B$5,$B$4,$B$6,$A56,$B$8,M$4,M$5,M$6)*M$7</f>
        <v>-4441</v>
      </c>
      <c r="N56" s="81">
        <f ca="1">_xll.DBRW($B$3,$B$7,$B$5,$B$4,$B$6,$A56,$B$8,N$4,N$5,N$6)*N$7</f>
        <v>-1730</v>
      </c>
      <c r="O56" s="81">
        <f t="shared" ca="1" si="21"/>
        <v>190</v>
      </c>
      <c r="P56" s="81">
        <f t="shared" ca="1" si="22"/>
        <v>-2521</v>
      </c>
      <c r="Q56" s="156"/>
      <c r="R56" s="81">
        <f ca="1">_xll.DBRW($B$3,$B$7,$B$5,$B$4,$B$6,$A56,$B$8,R$4,R$5,R$6)*R$7</f>
        <v>-5627.3245769999994</v>
      </c>
      <c r="S56" s="81">
        <f ca="1">_xll.DBRW($B$3,$B$7,$B$5,$B$4,$B$6,$A56,$B$8,S$4,S$5,S$6)*S$7</f>
        <v>-4822.6725239999996</v>
      </c>
      <c r="T56" s="81">
        <f ca="1">_xll.DBRW($B$3,$B$7,$B$5,$B$4,$B$6,$A56,$B$8,T$4,T$5,T$6)*T$7</f>
        <v>-4514.224827</v>
      </c>
      <c r="U56" s="81">
        <f t="shared" ca="1" si="4"/>
        <v>-804.6520529999998</v>
      </c>
      <c r="V56" s="81">
        <f t="shared" ca="1" si="5"/>
        <v>-1113.0997499999994</v>
      </c>
      <c r="W56" s="156"/>
      <c r="X56" s="81">
        <f t="shared" ca="1" si="12"/>
        <v>-9878.3245769999994</v>
      </c>
      <c r="Y56" s="81">
        <f t="shared" ca="1" si="6"/>
        <v>-9263.6725239999996</v>
      </c>
      <c r="Z56" s="81">
        <f t="shared" ca="1" si="7"/>
        <v>-6244.224827</v>
      </c>
      <c r="AA56" s="81">
        <f t="shared" ca="1" si="23"/>
        <v>-614.6520529999998</v>
      </c>
      <c r="AB56" s="81">
        <f t="shared" ca="1" si="24"/>
        <v>-3634.0997499999994</v>
      </c>
      <c r="AD56" s="173">
        <f t="shared" ca="1" si="13"/>
        <v>0.15283197007753233</v>
      </c>
      <c r="AE56" s="173">
        <f t="shared" ca="1" si="10"/>
        <v>0.13575855846394555</v>
      </c>
      <c r="AF56" s="173">
        <f t="shared" ca="1" si="11"/>
        <v>9.1031524039651951E-2</v>
      </c>
      <c r="AG56" s="177">
        <f t="shared" ca="1" si="14"/>
        <v>1.7073411613586775</v>
      </c>
      <c r="AH56" s="177">
        <f t="shared" ca="1" si="15"/>
        <v>6.180044603788037</v>
      </c>
    </row>
    <row r="57" spans="1:34" s="28" customFormat="1" ht="20.100000000000001" customHeight="1">
      <c r="A57" s="29" t="s">
        <v>85</v>
      </c>
      <c r="C57" s="50"/>
      <c r="D57" s="52" t="str">
        <f ca="1">_xll.DBRA("tango_core_model:legal_organization",A57,Language)</f>
        <v>TDV Corporate</v>
      </c>
      <c r="E57" s="20"/>
      <c r="F57" s="152">
        <f ca="1">_xll.DBRW($B$3,$B$7,$B$5,$B$4,$B$6,$A57,$B$8,F$4,F$5,F$6)*F$7</f>
        <v>638.99999999999989</v>
      </c>
      <c r="G57" s="152">
        <f ca="1">_xll.DBRW($B$3,$B$7,$B$5,$B$4,$B$6,$A57,$B$8,G$4,G$5,G$6)*G$7</f>
        <v>554</v>
      </c>
      <c r="H57" s="152">
        <f ca="1">_xll.DBRW($B$3,$B$7,$B$5,$B$4,$B$6,$A57,$B$8,H$4,H$5,H$6)*H$7</f>
        <v>1906</v>
      </c>
      <c r="I57" s="153">
        <f t="shared" ca="1" si="19"/>
        <v>84.999999999999886</v>
      </c>
      <c r="J57" s="153">
        <f t="shared" ca="1" si="20"/>
        <v>-1267</v>
      </c>
      <c r="K57" s="123"/>
      <c r="L57" s="152">
        <f ca="1">_xll.DBRW($B$3,$B$7,$B$5,$B$4,$B$6,$A57,$B$8,L$4,L$5,L$6)*L$7</f>
        <v>-10707.999999999998</v>
      </c>
      <c r="M57" s="152">
        <f ca="1">_xll.DBRW($B$3,$B$7,$B$5,$B$4,$B$6,$A57,$B$8,M$4,M$5,M$6)*M$7</f>
        <v>-12642</v>
      </c>
      <c r="N57" s="152">
        <f ca="1">_xll.DBRW($B$3,$B$7,$B$5,$B$4,$B$6,$A57,$B$8,N$4,N$5,N$6)*N$7</f>
        <v>-12337.000000000004</v>
      </c>
      <c r="O57" s="153">
        <f t="shared" ca="1" si="21"/>
        <v>1934.0000000000018</v>
      </c>
      <c r="P57" s="153">
        <f t="shared" ca="1" si="22"/>
        <v>1629.0000000000055</v>
      </c>
      <c r="Q57" s="123"/>
      <c r="R57" s="152">
        <f ca="1">_xll.DBRW($B$3,$B$7,$B$5,$B$4,$B$6,$A57,$B$8,R$4,R$5,R$6)*R$7</f>
        <v>-72117</v>
      </c>
      <c r="S57" s="152">
        <f ca="1">_xll.DBRW($B$3,$B$7,$B$5,$B$4,$B$6,$A57,$B$8,S$4,S$5,S$6)*S$7</f>
        <v>-81203</v>
      </c>
      <c r="T57" s="152">
        <f ca="1">_xll.DBRW($B$3,$B$7,$B$5,$B$4,$B$6,$A57,$B$8,T$4,T$5,T$6)*T$7</f>
        <v>-58288.000000000022</v>
      </c>
      <c r="U57" s="153">
        <f t="shared" ca="1" si="4"/>
        <v>9086</v>
      </c>
      <c r="V57" s="153">
        <f t="shared" ca="1" si="5"/>
        <v>-13828.999999999978</v>
      </c>
      <c r="W57" s="123"/>
      <c r="X57" s="152">
        <f t="shared" ca="1" si="12"/>
        <v>-82825</v>
      </c>
      <c r="Y57" s="152">
        <f t="shared" ca="1" si="6"/>
        <v>-93845</v>
      </c>
      <c r="Z57" s="152">
        <f t="shared" ca="1" si="7"/>
        <v>-70625.000000000029</v>
      </c>
      <c r="AA57" s="153">
        <f t="shared" ca="1" si="23"/>
        <v>11020</v>
      </c>
      <c r="AB57" s="153">
        <f t="shared" ca="1" si="24"/>
        <v>-12199.999999999971</v>
      </c>
      <c r="AD57" s="171" t="str">
        <f t="shared" ca="1" si="13"/>
        <v>-</v>
      </c>
      <c r="AE57" s="171" t="str">
        <f t="shared" ca="1" si="10"/>
        <v>-</v>
      </c>
      <c r="AF57" s="171" t="str">
        <f t="shared" ca="1" si="11"/>
        <v>-</v>
      </c>
      <c r="AG57" s="175" t="str">
        <f t="shared" ca="1" si="14"/>
        <v/>
      </c>
      <c r="AH57" s="175" t="str">
        <f t="shared" ca="1" si="15"/>
        <v/>
      </c>
    </row>
    <row r="58" spans="1:34" s="51" customFormat="1" ht="15" customHeight="1">
      <c r="A58" s="29" t="s">
        <v>86</v>
      </c>
      <c r="C58" s="50"/>
      <c r="D58" s="54" t="str">
        <f ca="1">_xll.DBRA("tango_core_model:legal_organization",A58,Language)</f>
        <v>Israel</v>
      </c>
      <c r="E58" s="1"/>
      <c r="F58" s="81">
        <f ca="1">_xll.DBRW($B$3,$B$7,$B$5,$B$4,$B$6,$A58,$B$8,F$4,F$5,F$6)*F$7</f>
        <v>-0.34464999999545398</v>
      </c>
      <c r="G58" s="81">
        <f ca="1">_xll.DBRW($B$3,$B$7,$B$5,$B$4,$B$6,$A58,$B$8,G$4,G$5,G$6)*G$7</f>
        <v>-0.34464999999545398</v>
      </c>
      <c r="H58" s="81">
        <f ca="1">_xll.DBRW($B$3,$B$7,$B$5,$B$4,$B$6,$A58,$B$8,H$4,H$5,H$6)*H$7</f>
        <v>25864.617299999998</v>
      </c>
      <c r="I58" s="81">
        <f t="shared" ca="1" si="19"/>
        <v>0</v>
      </c>
      <c r="J58" s="81">
        <f t="shared" ca="1" si="20"/>
        <v>-25864.961949999994</v>
      </c>
      <c r="K58" s="156"/>
      <c r="L58" s="81">
        <f ca="1">_xll.DBRW($B$3,$B$7,$B$5,$B$4,$B$6,$A58,$B$8,L$4,L$5,L$6)*L$7</f>
        <v>0</v>
      </c>
      <c r="M58" s="81">
        <f ca="1">_xll.DBRW($B$3,$B$7,$B$5,$B$4,$B$6,$A58,$B$8,M$4,M$5,M$6)*M$7</f>
        <v>0</v>
      </c>
      <c r="N58" s="81">
        <f ca="1">_xll.DBRW($B$3,$B$7,$B$5,$B$4,$B$6,$A58,$B$8,N$4,N$5,N$6)*N$7</f>
        <v>0</v>
      </c>
      <c r="O58" s="81">
        <f t="shared" ca="1" si="21"/>
        <v>0</v>
      </c>
      <c r="P58" s="81">
        <f t="shared" ca="1" si="22"/>
        <v>0</v>
      </c>
      <c r="Q58" s="156"/>
      <c r="R58" s="81">
        <f ca="1">_xll.DBRW($B$3,$B$7,$B$5,$B$4,$B$6,$A58,$B$8,R$4,R$5,R$6)*R$7</f>
        <v>5.6843418860808015E-14</v>
      </c>
      <c r="S58" s="81">
        <f ca="1">_xll.DBRW($B$3,$B$7,$B$5,$B$4,$B$6,$A58,$B$8,S$4,S$5,S$6)*S$7</f>
        <v>0</v>
      </c>
      <c r="T58" s="81">
        <f ca="1">_xll.DBRW($B$3,$B$7,$B$5,$B$4,$B$6,$A58,$B$8,T$4,T$5,T$6)*T$7</f>
        <v>1.7763568394002505E-14</v>
      </c>
      <c r="U58" s="81">
        <f t="shared" ca="1" si="4"/>
        <v>5.6843418860808015E-14</v>
      </c>
      <c r="V58" s="81">
        <f t="shared" ca="1" si="5"/>
        <v>3.907985046680551E-14</v>
      </c>
      <c r="W58" s="156"/>
      <c r="X58" s="81">
        <f t="shared" ca="1" si="12"/>
        <v>5.6843418860808015E-14</v>
      </c>
      <c r="Y58" s="81">
        <f t="shared" ca="1" si="6"/>
        <v>0</v>
      </c>
      <c r="Z58" s="81">
        <f t="shared" ca="1" si="7"/>
        <v>1.7763568394002505E-14</v>
      </c>
      <c r="AA58" s="81">
        <f t="shared" ca="1" si="23"/>
        <v>5.6843418860808015E-14</v>
      </c>
      <c r="AB58" s="81">
        <f t="shared" ca="1" si="24"/>
        <v>3.907985046680551E-14</v>
      </c>
      <c r="AD58" s="173">
        <f t="shared" ca="1" si="13"/>
        <v>1.6493085408837312E-13</v>
      </c>
      <c r="AE58" s="173">
        <f t="shared" ca="1" si="10"/>
        <v>0</v>
      </c>
      <c r="AF58" s="173">
        <f t="shared" ca="1" si="11"/>
        <v>-6.8679030460669167E-19</v>
      </c>
      <c r="AG58" s="177">
        <f t="shared" ca="1" si="14"/>
        <v>1.649308540883731E-11</v>
      </c>
      <c r="AH58" s="177">
        <f t="shared" ca="1" si="15"/>
        <v>1.6493154087867772E-11</v>
      </c>
    </row>
    <row r="59" spans="1:34" ht="30" customHeight="1">
      <c r="A59" s="29" t="s">
        <v>60</v>
      </c>
      <c r="B59" s="23"/>
      <c r="D59" s="37" t="str">
        <f ca="1">_xll.DBRA("tango_core_model:legal_organization",A59,Language)</f>
        <v>TRANSDEV All</v>
      </c>
      <c r="F59" s="122">
        <f ca="1">_xll.DBRW($B$3,$B$7,$B$5,$B$4,$B$6,$A59,$B$8,F$4,F$5,F$6)*F$7</f>
        <v>6634305.8655770011</v>
      </c>
      <c r="G59" s="122">
        <f ca="1">_xll.DBRW($B$3,$B$7,$B$5,$B$4,$B$6,$A59,$B$8,G$4,G$5,G$6)*G$7</f>
        <v>6692670.4504117034</v>
      </c>
      <c r="H59" s="122">
        <f ca="1">_xll.DBRW($B$3,$B$7,$B$5,$B$4,$B$6,$A59,$B$8,H$4,H$5,H$6)*H$7</f>
        <v>6636903.6799379997</v>
      </c>
      <c r="I59" s="157">
        <f t="shared" ca="1" si="19"/>
        <v>-58364.584834702313</v>
      </c>
      <c r="J59" s="157">
        <f t="shared" ca="1" si="20"/>
        <v>-2597.8143609985709</v>
      </c>
      <c r="L59" s="122">
        <f ca="1">_xll.DBRW($B$3,$B$7,$B$5,$B$4,$B$6,$A59,$B$8,L$4,L$5,L$6)*L$7</f>
        <v>-39751.146428</v>
      </c>
      <c r="M59" s="122">
        <f ca="1">_xll.DBRW($B$3,$B$7,$B$5,$B$4,$B$6,$A59,$B$8,M$4,M$5,M$6)*M$7</f>
        <v>-45442.683000000005</v>
      </c>
      <c r="N59" s="122">
        <f ca="1">_xll.DBRW($B$3,$B$7,$B$5,$B$4,$B$6,$A59,$B$8,N$4,N$5,N$6)*N$7</f>
        <v>-37775.705753000002</v>
      </c>
      <c r="O59" s="157">
        <f t="shared" ca="1" si="21"/>
        <v>5691.5365720000045</v>
      </c>
      <c r="P59" s="157">
        <f t="shared" ca="1" si="22"/>
        <v>-1975.440674999998</v>
      </c>
      <c r="R59" s="122">
        <f ca="1">_xll.DBRW($B$3,$B$7,$B$5,$B$4,$B$6,$A59,$B$8,R$4,R$5,R$6)*R$7</f>
        <v>-582526.00839600014</v>
      </c>
      <c r="S59" s="122">
        <f ca="1">_xll.DBRW($B$3,$B$7,$B$5,$B$4,$B$6,$A59,$B$8,S$4,S$5,S$6)*S$7</f>
        <v>-584717.28363855556</v>
      </c>
      <c r="T59" s="122">
        <f ca="1">_xll.DBRW($B$3,$B$7,$B$5,$B$4,$B$6,$A59,$B$8,T$4,T$5,T$6)*T$7</f>
        <v>-586549.14941199997</v>
      </c>
      <c r="U59" s="157">
        <f t="shared" ca="1" si="4"/>
        <v>2191.2752425554208</v>
      </c>
      <c r="V59" s="157">
        <f t="shared" ca="1" si="5"/>
        <v>4023.1410159998341</v>
      </c>
      <c r="X59" s="122">
        <f t="shared" ca="1" si="12"/>
        <v>-622277.15482400008</v>
      </c>
      <c r="Y59" s="122">
        <f t="shared" ca="1" si="6"/>
        <v>-630159.96663855552</v>
      </c>
      <c r="Z59" s="122">
        <f t="shared" ca="1" si="7"/>
        <v>-624324.85516499996</v>
      </c>
      <c r="AA59" s="157">
        <f t="shared" ca="1" si="23"/>
        <v>7882.8118145554326</v>
      </c>
      <c r="AB59" s="157">
        <f t="shared" ca="1" si="24"/>
        <v>2047.7003409998724</v>
      </c>
      <c r="AD59" s="174">
        <f t="shared" ca="1" si="13"/>
        <v>9.3796874523493071E-2</v>
      </c>
      <c r="AE59" s="174">
        <f t="shared" ca="1" si="10"/>
        <v>9.4156730307823663E-2</v>
      </c>
      <c r="AF59" s="174">
        <f t="shared" ca="1" si="11"/>
        <v>9.4068693064238082E-2</v>
      </c>
      <c r="AG59" s="178">
        <f t="shared" ca="1" si="14"/>
        <v>-3.5985578433059273E-2</v>
      </c>
      <c r="AH59" s="178">
        <f t="shared" ca="1" si="15"/>
        <v>-2.7181854074501133E-2</v>
      </c>
    </row>
    <row r="60" spans="1:34" ht="13.5" customHeight="1"/>
    <row r="61" spans="1:34" ht="13.5" customHeight="1"/>
  </sheetData>
  <mergeCells count="16">
    <mergeCell ref="A1:AI1"/>
    <mergeCell ref="I13:I14"/>
    <mergeCell ref="J13:J14"/>
    <mergeCell ref="X11:AB12"/>
    <mergeCell ref="AA13:AA14"/>
    <mergeCell ref="AB13:AB14"/>
    <mergeCell ref="F11:J12"/>
    <mergeCell ref="L11:P12"/>
    <mergeCell ref="O13:O14"/>
    <mergeCell ref="P13:P14"/>
    <mergeCell ref="R11:V12"/>
    <mergeCell ref="U13:U14"/>
    <mergeCell ref="V13:V14"/>
    <mergeCell ref="AD11:AH12"/>
    <mergeCell ref="AG13:AG14"/>
    <mergeCell ref="AH13:AH14"/>
  </mergeCells>
  <pageMargins left="0.19685039370078741" right="0.19685039370078741" top="0.59055118110236227" bottom="0.59055118110236227" header="0.31496062992125984" footer="0.31496062992125984"/>
  <pageSetup paperSize="9" scale="58" orientation="landscape" r:id="rId1"/>
  <headerFooter alignWithMargins="0">
    <oddFooter>&amp;L&amp;Z
&amp;F&amp;C&amp;A&amp;R&amp;D&amp;T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13</vt:i4>
      </vt:variant>
    </vt:vector>
  </HeadingPairs>
  <TitlesOfParts>
    <vt:vector size="16" baseType="lpstr">
      <vt:lpstr>Context</vt:lpstr>
      <vt:lpstr>Country</vt:lpstr>
      <vt:lpstr>Total</vt:lpstr>
      <vt:lpstr>Activity_1</vt:lpstr>
      <vt:lpstr>Activity_2</vt:lpstr>
      <vt:lpstr>Activity_3</vt:lpstr>
      <vt:lpstr>Actual_Month</vt:lpstr>
      <vt:lpstr>Country</vt:lpstr>
      <vt:lpstr>Cube</vt:lpstr>
      <vt:lpstr>Devise</vt:lpstr>
      <vt:lpstr>Gaap</vt:lpstr>
      <vt:lpstr>Integration_Rate</vt:lpstr>
      <vt:lpstr>Language</vt:lpstr>
      <vt:lpstr>Local_Gaap_Mgmt_tool</vt:lpstr>
      <vt:lpstr>Management_Organization</vt:lpstr>
      <vt:lpstr>PriorYear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Fabienne.CAUSSIDOU@transdev.com</dc:creator>
  <cp:lastModifiedBy>NICOLLET, Marie</cp:lastModifiedBy>
  <cp:lastPrinted>2016-05-20T13:46:40Z</cp:lastPrinted>
  <dcterms:created xsi:type="dcterms:W3CDTF">2011-12-22T14:31:53Z</dcterms:created>
  <dcterms:modified xsi:type="dcterms:W3CDTF">2019-03-26T09:19:19Z</dcterms:modified>
</cp:coreProperties>
</file>