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-mehdi.taheraly\Desktop\"/>
    </mc:Choice>
  </mc:AlternateContent>
  <bookViews>
    <workbookView xWindow="240" yWindow="105" windowWidth="18780" windowHeight="6540"/>
  </bookViews>
  <sheets>
    <sheet name="ST Weighting Rate" sheetId="1" r:id="rId1"/>
    <sheet name="Variables" sheetId="2" state="hidden" r:id="rId2"/>
    <sheet name="{AR}01" sheetId="4" state="hidden" r:id="rId3"/>
    <sheet name="{AR}11" sheetId="5" state="hidden" r:id="rId4"/>
    <sheet name="{AR}21" sheetId="6" state="hidden" r:id="rId5"/>
  </sheets>
  <functionGroups builtInGroupCount="18"/>
  <definedNames>
    <definedName name="Flag">'ST Weighting Rate'!$E$8</definedName>
    <definedName name="PHASE_LTP">Variables!$B$2</definedName>
    <definedName name="Server">Variables!$B$1</definedName>
    <definedName name="TM1REBUILDOPTION">0</definedName>
    <definedName name="TM1RPTDATARNGARPT1" localSheetId="0">'ST Weighting Rate'!$20:$20</definedName>
    <definedName name="TM1RPTFMTIDCOL" localSheetId="0">'ST Weighting Rate'!$A$1:$A$8</definedName>
    <definedName name="TM1RPTFMTRNG" localSheetId="0">'ST Weighting Rate'!$C$1:$P$8</definedName>
    <definedName name="xActualLTP">'ST Weighting Rate'!$H$8</definedName>
    <definedName name="xCountry">'ST Weighting Rate'!$D$15</definedName>
    <definedName name="xCountryInit">'ST Weighting Rate'!$C$8</definedName>
    <definedName name="xHost">'ST Weighting Rate'!$D$8</definedName>
    <definedName name="xLTPComponent">'ST Weighting Rate'!$D$16</definedName>
    <definedName name="xPhase">'ST Weighting Rate'!$D$14</definedName>
    <definedName name="xServer">Variables!$B$4</definedName>
    <definedName name="xStart">'ST Weighting Rate'!$H$19</definedName>
    <definedName name="xStartFormula">'ST Weighting Rate'!$L$19</definedName>
    <definedName name="YEAR_LTP">Variables!$B$3</definedName>
    <definedName name="YEAR_SELECTED">'ST Weighting Rate'!$E$18</definedName>
  </definedNames>
  <calcPr calcId="162913" calcMode="manual" calcCompleted="0" calcOnSave="0" concurrentCalc="0"/>
</workbook>
</file>

<file path=xl/calcChain.xml><?xml version="1.0" encoding="utf-8"?>
<calcChain xmlns="http://schemas.openxmlformats.org/spreadsheetml/2006/main">
  <c r="C8" i="1" l="1"/>
  <c r="D15" i="1"/>
  <c r="H8" i="1"/>
  <c r="D14" i="1"/>
  <c r="D9" i="1"/>
  <c r="E18" i="1"/>
  <c r="N18" i="1"/>
  <c r="M18" i="1"/>
  <c r="L18" i="1"/>
  <c r="C9" i="1"/>
  <c r="D18" i="1"/>
  <c r="D20" i="1"/>
  <c r="E9" i="1"/>
  <c r="C20" i="1"/>
  <c r="E20" i="1"/>
  <c r="L20" i="1"/>
  <c r="F20" i="1"/>
  <c r="M20" i="1"/>
  <c r="N20" i="1"/>
  <c r="H18" i="1"/>
  <c r="H19" i="1"/>
  <c r="J18" i="1"/>
  <c r="J19" i="1"/>
  <c r="I18" i="1"/>
  <c r="I19" i="1"/>
  <c r="N19" i="1"/>
  <c r="M19" i="1"/>
  <c r="L19" i="1"/>
  <c r="B4" i="2"/>
  <c r="D8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2" i="2"/>
  <c r="F2" i="2"/>
  <c r="B2" i="2"/>
  <c r="B3" i="2"/>
  <c r="A20" i="1"/>
  <c r="A5" i="1"/>
  <c r="A4" i="1"/>
  <c r="A3" i="1"/>
  <c r="A2" i="1"/>
</calcChain>
</file>

<file path=xl/sharedStrings.xml><?xml version="1.0" encoding="utf-8"?>
<sst xmlns="http://schemas.openxmlformats.org/spreadsheetml/2006/main" count="1372" uniqueCount="1366">
  <si>
    <t>Phase</t>
  </si>
  <si>
    <t>Period</t>
  </si>
  <si>
    <t>NUM_VAR2</t>
  </si>
  <si>
    <t>SU3019 - Veolia Transport Algérie</t>
  </si>
  <si>
    <t>SU3034 - Veolia Transport Pilote</t>
  </si>
  <si>
    <t>YSU3034 - Veolia Transport Pilote NC</t>
  </si>
  <si>
    <t>SU954 - GOLCONDE SAL</t>
  </si>
  <si>
    <t>ASIA_Corp_Input - Corporate Asia - Input technical entity</t>
  </si>
  <si>
    <t>SI802 - JV VT RATP</t>
  </si>
  <si>
    <t>SI814 - NANJING PUKOU ZHONGBEI BUS</t>
  </si>
  <si>
    <t>SI815  - NANJING LUHE ZHONGBEI</t>
  </si>
  <si>
    <t>SI820 - BEIJING TRAM</t>
  </si>
  <si>
    <t>SI821 - HEFEI</t>
  </si>
  <si>
    <t>VU1014 - SHH</t>
  </si>
  <si>
    <t>VU1029 - WUHAN</t>
  </si>
  <si>
    <t>VU1073 - CHINA BUS PROJECT</t>
  </si>
  <si>
    <t>VU1074 - CHINA TRAM PROJECT</t>
  </si>
  <si>
    <t>CHN_Input - China - Input technical entity</t>
  </si>
  <si>
    <t>CHN_Input1 - China - Input technical entity1</t>
  </si>
  <si>
    <t>CHN_Input2 - China - Input technical entity2</t>
  </si>
  <si>
    <t>CHN_Input3 - China - Input technical entity3</t>
  </si>
  <si>
    <t>CHN_Input4 - China - Input technical entity4</t>
  </si>
  <si>
    <t>CHN_Input5 - China - Input technical entity5</t>
  </si>
  <si>
    <t>SI116 - SHENYANG TRAM</t>
  </si>
  <si>
    <t>SI805 - ANQING ZHONGBEI BUS CO., LTD</t>
  </si>
  <si>
    <t>SI806 - HUAIBEI ZHONGBEI BUS CO., LTD.</t>
  </si>
  <si>
    <t>SI807 - HUAINAN ZHONGBEI BUS CO., LTD</t>
  </si>
  <si>
    <t>SI808 - MAANSHAN ZHONGBEI BUS CO., LTD</t>
  </si>
  <si>
    <t>SI816 - MACAU BUS</t>
  </si>
  <si>
    <t>SU3037 - NANJING ZHONGBEI</t>
  </si>
  <si>
    <t>HK_Input - Hong Kong - Input technical entity</t>
  </si>
  <si>
    <t>HK_Input1 - Hong Kong - Input technical entity1</t>
  </si>
  <si>
    <t>HK_Input2 - Hong Kong - Input technical entity2</t>
  </si>
  <si>
    <t>HK_Input3 - Hong Kong - Input technical entity3</t>
  </si>
  <si>
    <t>HK_Input4 - Hong Kong - Input technical entity4</t>
  </si>
  <si>
    <t>HK_Input5 - Hong Kong - Input technical entity5</t>
  </si>
  <si>
    <t>SI809 - Hong Kong Engineering</t>
  </si>
  <si>
    <t>SI810 - VT RATP CHINA</t>
  </si>
  <si>
    <t>SI825 - VT RATP CONSULTING CO.LTD</t>
  </si>
  <si>
    <t>SU3045 - VEOLIA TRANSPORT CHINA LTD HK</t>
  </si>
  <si>
    <t>SU3047 - HONG KONG TRAMWAYS LIMITED</t>
  </si>
  <si>
    <t>SU3047ME - HONG KONG TRAMWAYS LIMITED (MEE)</t>
  </si>
  <si>
    <t>SI817 - DEHLI AIRPORT</t>
  </si>
  <si>
    <t>SI818 - GURGAON</t>
  </si>
  <si>
    <t>VU1032 - HYDERADAD</t>
  </si>
  <si>
    <t>VU1090 - PROJECT BUS INDIA (INR)</t>
  </si>
  <si>
    <t>IN_Input - India - Input technical entity</t>
  </si>
  <si>
    <t>IN_Input1 - India - Input technical entity1</t>
  </si>
  <si>
    <t>IN_Input2 - India - Input technical entity2</t>
  </si>
  <si>
    <t>IN_Input3 - India - Input technical entity3</t>
  </si>
  <si>
    <t>IN_Input4 - India - Input technical entity4</t>
  </si>
  <si>
    <t>IN_Input5 - India - Input technical entity5</t>
  </si>
  <si>
    <t>SI801 - METRO ONE OPERATION</t>
  </si>
  <si>
    <t>SU3030 - VTR INDIA</t>
  </si>
  <si>
    <t>YSI801 - METRO ONE OPERATION NC</t>
  </si>
  <si>
    <t>IND_Input - Indonesia - Input technical entity</t>
  </si>
  <si>
    <t>IND_Input1 - Indonesia - Input technical entity1</t>
  </si>
  <si>
    <t>IND_Input2 - Indonesia - Input technical entity2</t>
  </si>
  <si>
    <t>IND_Input3 - Indonesia - Input technical entity3</t>
  </si>
  <si>
    <t>IND_Input4 - Indonesia - Input technical entity4</t>
  </si>
  <si>
    <t>IND_Input5 - Indonesia - Input technical entity5</t>
  </si>
  <si>
    <t>VU1005 - PROJET BUS KOREA</t>
  </si>
  <si>
    <t>KR_Input - South Korea - Input technical entity</t>
  </si>
  <si>
    <t>KR_Input1 - South Korea - Input technical entity1</t>
  </si>
  <si>
    <t>KR_Input2 - South Korea - Input technical entity2</t>
  </si>
  <si>
    <t>KR_Input3 - South Korea - Input technical entity3</t>
  </si>
  <si>
    <t>KR_Input4 - South Korea - Input technical entity4</t>
  </si>
  <si>
    <t>KR_Input5 - South Korea - Input technical entity5</t>
  </si>
  <si>
    <t>SI811 - VT RATP KOREA</t>
  </si>
  <si>
    <t>SU3032 - VEOLIA TRANSPORT KOREA</t>
  </si>
  <si>
    <t>SU3032ME - TRANSDEV  KOREA (MEE)</t>
  </si>
  <si>
    <t>SU3046 - SEOUL LINE 9</t>
  </si>
  <si>
    <t>YSU3046 - SEOUL LINE 9 NC</t>
  </si>
  <si>
    <t>SI822 - MANILLE O&amp;M LINE 1 &amp; 3</t>
  </si>
  <si>
    <t>PH_Input - Philippines - Input technical entity</t>
  </si>
  <si>
    <t>TH_Input - Thailand - Input technical entity</t>
  </si>
  <si>
    <t>TH_Input1 - Thailand - Input technical entity1</t>
  </si>
  <si>
    <t>TH_Input2 - Thailand - Input technical entity2</t>
  </si>
  <si>
    <t>TH_Input3 - Thailand - Input technical entity3</t>
  </si>
  <si>
    <t>TH_Input4 - Thailand - Input technical entity4</t>
  </si>
  <si>
    <t>TH_Input5 - Thailand - Input technical entity5</t>
  </si>
  <si>
    <t>IS_Input - Israel - Input technical entity</t>
  </si>
  <si>
    <t>SU985 - Veolia Transportation Israel ltd</t>
  </si>
  <si>
    <t>SU986 - CONNEX TRANSPORTATION ISRAEL</t>
  </si>
  <si>
    <t>SU987 - Connex Jerusalem (Light Train) Ltd</t>
  </si>
  <si>
    <t>YSU985 - Veolia Transportation Israel ltd NC</t>
  </si>
  <si>
    <t>SI851 - STAREO</t>
  </si>
  <si>
    <t>VU1071 - DEV TRAM AFRIQUE</t>
  </si>
  <si>
    <t>MR_Input - Morocco - Input technical entity</t>
  </si>
  <si>
    <t>MR_Reject - Morocco - Rejects</t>
  </si>
  <si>
    <t>S7599 - TRAMWAY DE RABAT</t>
  </si>
  <si>
    <t>SU3033 - VT MAROC</t>
  </si>
  <si>
    <t>XU040 - IFR16 Morocco</t>
  </si>
  <si>
    <t>YSU3033 - VT MAROC (NC)</t>
  </si>
  <si>
    <t>S7632 - TRANSDEV NEW SOUTH WALES PTY</t>
  </si>
  <si>
    <t>SU956 - Connex Management Australia Pty Ltd</t>
  </si>
  <si>
    <t>SU961 - ACN 087 528 774 Pty Ltd</t>
  </si>
  <si>
    <t>VU1097 - GROWTH - AUSTRALIA</t>
  </si>
  <si>
    <t>S7656 - BRISBANE FERRIES</t>
  </si>
  <si>
    <t>S7857 - TDV TSL (BRISBANE) - IG</t>
  </si>
  <si>
    <t>S7626 - TRANSDEV AUSTRALIA</t>
  </si>
  <si>
    <t>S7627 - TRANSDEV VICTORIA</t>
  </si>
  <si>
    <t>S7628 - METROLINK</t>
  </si>
  <si>
    <t>S7653 - QUEENSLAND</t>
  </si>
  <si>
    <t>S7858 - TSL - IG</t>
  </si>
  <si>
    <t>SU955 - VEOLIA TRANSPORT AUSTRALASIA P/L.</t>
  </si>
  <si>
    <t>SU960 - Connex Melbourne Pty Ltd</t>
  </si>
  <si>
    <t>SU962 - MAINCO Melbourne Pty Ltd</t>
  </si>
  <si>
    <t>SI796 - VIVO CONNECT PTY LTD</t>
  </si>
  <si>
    <t>SI797 - BUSLINK VIVO PTY LTD</t>
  </si>
  <si>
    <t>S7856 - TNSW-IG</t>
  </si>
  <si>
    <t>SU964 - Veolia Transport NSW P/L</t>
  </si>
  <si>
    <t>SI165 - TRANSDEV MAINTENANCE SERVICES PTY LTD</t>
  </si>
  <si>
    <t>SI185 - TRANSDEV LINK  PTY LTD</t>
  </si>
  <si>
    <t>SU973 - Veolia Transport Sydney P/L</t>
  </si>
  <si>
    <t>SU978 - VT QUEENSLAND PTY LTD</t>
  </si>
  <si>
    <t>S7859 - VEOLIA SYDNEY FERRIES</t>
  </si>
  <si>
    <t>SI180 - TRANSDEV SYDNEY FERRIES PTY LTD (2)</t>
  </si>
  <si>
    <t>SI795 - HARBOUR CITY FERRIES</t>
  </si>
  <si>
    <t>SI795IG - HARBOUR CITY FERRIES PTY LTD</t>
  </si>
  <si>
    <t>AUS_Input - Australia - Input technical entity</t>
  </si>
  <si>
    <t>AUS_Input_LTP_Adj - Australia - Input technical entity LTP Adjustment</t>
  </si>
  <si>
    <t>VU1072 - CROISSANCE PACIFIQUE</t>
  </si>
  <si>
    <t>XU020 - IFR16 Bus Australasia</t>
  </si>
  <si>
    <t>XU021 - IFR16 On Demand Australasia</t>
  </si>
  <si>
    <t>XU023 - IFR16 Ferries Australasia</t>
  </si>
  <si>
    <t>XU024 - IFR16 Holding Australasia</t>
  </si>
  <si>
    <t>SU977 - Veolia Transport Perth P/L</t>
  </si>
  <si>
    <t>SU966 - VEOLIA TRANSPORT WA</t>
  </si>
  <si>
    <t>SI114 - VTD MELBOURNE</t>
  </si>
  <si>
    <t>SI223 - Great River City Light Rail Pty Ltd</t>
  </si>
  <si>
    <t>AUS_NZ_Reject - Australia_New Zealand Reject</t>
  </si>
  <si>
    <t>NZ_Input - New Zealand - Input technical entity</t>
  </si>
  <si>
    <t>NZ_Input_LTP_Adj - New Zealand - Input technical entity LTP Adjustment</t>
  </si>
  <si>
    <t>SI126 - Transdev New Zealand</t>
  </si>
  <si>
    <t>SI145 - Transdev Wellington</t>
  </si>
  <si>
    <t>SI231 - Howick and Eastern Buses Limited</t>
  </si>
  <si>
    <t>SI234 - Mana Coach Services Limited</t>
  </si>
  <si>
    <t>SU976 - Veolia Transport Auckland P/L</t>
  </si>
  <si>
    <t>VU1100 - GROWTH NEW ZEALAND</t>
  </si>
  <si>
    <t>XU022 - IFR16 Rail Australasia</t>
  </si>
  <si>
    <t>YSI233 - Mana Coach Holdings Limited</t>
  </si>
  <si>
    <t>VU1047 - GROWTH - BELGIUM</t>
  </si>
  <si>
    <t>BEL_Input - Belgium - Input technical entity</t>
  </si>
  <si>
    <t>SUS2152 - VEOLIA TRANSPORT BELGIUM NV</t>
  </si>
  <si>
    <t>S7735 - CONNEXXION</t>
  </si>
  <si>
    <t>S7795 - T.TAXIS &amp; AMBULANCES - CXX</t>
  </si>
  <si>
    <t>S7968 - DE GROOTH VERVOER BV</t>
  </si>
  <si>
    <t>VU1096 - GROWTH - NL - CONNEXXION</t>
  </si>
  <si>
    <t>S7796 - PT</t>
  </si>
  <si>
    <t>S7983 - CXX AML MATERIEEL B.V.</t>
  </si>
  <si>
    <t>XU025 - IFR16 PT Netherlands</t>
  </si>
  <si>
    <t>Neth_Cxx Consolidated_Input - Cxx Consolidated - Input technical entity</t>
  </si>
  <si>
    <t>Neth_Cxx_Input - Connexxion NL - Input technical entity</t>
  </si>
  <si>
    <t>S7799 - Ambulance</t>
  </si>
  <si>
    <t>S7954 - WKA ZEELAND</t>
  </si>
  <si>
    <t>S7980 - STAN ECOZORG B.V.</t>
  </si>
  <si>
    <t>S7984 - KROON ARBOZAKEN B.V.</t>
  </si>
  <si>
    <t>XU027 - IFR16 Ambulance Netherlands</t>
  </si>
  <si>
    <t>S7801 - HQ</t>
  </si>
  <si>
    <t>XU028 - IFR16 Holding Netherlands</t>
  </si>
  <si>
    <t>S7797 - Taxis</t>
  </si>
  <si>
    <t>S7798 - Tours</t>
  </si>
  <si>
    <t>S7981 - CONNEXXION ZORGVERVOER B.V.</t>
  </si>
  <si>
    <t>S7982 - CONNEXXION ZORGVERVOER ZUID HOLLAND B.V.</t>
  </si>
  <si>
    <t>XU026 - IFR16 Taxi Netherlands</t>
  </si>
  <si>
    <t>NL_TM1_Reject - The Netherlands TM1 Reject</t>
  </si>
  <si>
    <t>S7741 - TBC HOLDING B.V</t>
  </si>
  <si>
    <t>SUS2104 - Personenvervoer West-Nederland BV</t>
  </si>
  <si>
    <t>NETH_Other_Input - TBCH - Input technical entity</t>
  </si>
  <si>
    <t>S7741A - TBC HOLDING B.V.</t>
  </si>
  <si>
    <t>SUS2102 - Omnitax BV</t>
  </si>
  <si>
    <t>SUS2103 - VEOLIA TRANSPORT NEDERLAND PV B.V.</t>
  </si>
  <si>
    <t>SUS2111 - Stadsbus Groep Maastricht NV</t>
  </si>
  <si>
    <t>SUS2113 - Stadsbus Maastricht Participaties BV</t>
  </si>
  <si>
    <t>SUS2115 - VT LIMBURG PERSONEELSVOORZIENING B.V.</t>
  </si>
  <si>
    <t>TDNL_Input - TDNL - Input technical entity</t>
  </si>
  <si>
    <t>NL_EXACT_Reject - The Netherlands EXACT  Reject</t>
  </si>
  <si>
    <t>SUS2097 - VEOLIA TRANSPORT RAIL B.V.</t>
  </si>
  <si>
    <t>SUS2112 - VEOLIA TRANSPORT LIMBURG B.V.</t>
  </si>
  <si>
    <t>SUS2114 - VEOLIA TRANSPORT LIMBURG BUS B.V.</t>
  </si>
  <si>
    <t>S7803 - CXX HQ VTNL</t>
  </si>
  <si>
    <t>S7804 - CXX LIMBURG VTNL</t>
  </si>
  <si>
    <t>S7805 - CXX PT HAAGLANDEN VTNL</t>
  </si>
  <si>
    <t>S7806 - CXX TAXI VTNL</t>
  </si>
  <si>
    <t>SU2096 - VEOLIA TRANSPORT NEDERLAND HOLDING B.V.</t>
  </si>
  <si>
    <t>SUS2098 - VEOLIA TRANSPORT BRABANT N.V.</t>
  </si>
  <si>
    <t>SUS2100 - Continental Breda BV</t>
  </si>
  <si>
    <t>SUS2105 - Personenvervoer Zuid-Nederland BV</t>
  </si>
  <si>
    <t>SUS2108 - Taxi Centrale Midden-Brabant BV</t>
  </si>
  <si>
    <t>SUS2117 - VEOLIA TRANSPORT LIMBURG TOUR B.V.</t>
  </si>
  <si>
    <t>SUS2118 - VEOLIA TRANSPORT NEDERLAND O.V. B.V.</t>
  </si>
  <si>
    <t>SUS2122 - VEOLIA TRANSPORT FAST FERRIES B.V.</t>
  </si>
  <si>
    <t>SUS2101 - VEOLIA TRANSPORT NEDERLAND BEHEER B.V.</t>
  </si>
  <si>
    <t>SUS2106 - Rolgoed BV</t>
  </si>
  <si>
    <t>SUS2107 - Sieswerda Taxi´s BV</t>
  </si>
  <si>
    <t>VU1048 - GROWTH - NL - VTNL</t>
  </si>
  <si>
    <t>VTNL_Input - VTNL - Input technical entity</t>
  </si>
  <si>
    <t>SI520 - CSAD HAVIROV A.S</t>
  </si>
  <si>
    <t>SI521 - CSAD KARVINA  A.S</t>
  </si>
  <si>
    <t>SI522 - CSAD FRYDEK MYSTEK A.S</t>
  </si>
  <si>
    <t>SI523 - BUS MANAGEMENT S.R.O</t>
  </si>
  <si>
    <t>SUS2180 - Connex CR s.r.o.</t>
  </si>
  <si>
    <t>SUS2181 - VEOLIA TRANSPORT MORAVA A.S.</t>
  </si>
  <si>
    <t>SUS2182 - VEOLIA TRANSPORT VYCHODNI CECHY A.S.</t>
  </si>
  <si>
    <t>SUS2183 - Bus Slezsko</t>
  </si>
  <si>
    <t>SUS2184 - VEOLIA TRANSPORT PRAHA S.R.O.</t>
  </si>
  <si>
    <t>SUS2185 - Connex Ceska Zeleznicni</t>
  </si>
  <si>
    <t>SUS2186 - Connex Pribram</t>
  </si>
  <si>
    <t>SUS2189 - Veolia Transport Ceská republika a.s</t>
  </si>
  <si>
    <t>SUS2700 - VEOLIA TRANSPORT TEPLICE S.R.O.</t>
  </si>
  <si>
    <t>SUS2701 - ORLOBUS</t>
  </si>
  <si>
    <t>VU1036 - GROWTH CZECH REPUBLIC</t>
  </si>
  <si>
    <t>CZ_Input - Czech Republic - Input technical entity</t>
  </si>
  <si>
    <t>SI516 - TRANSDEV MORAVA</t>
  </si>
  <si>
    <t>SI517 - TRANSDEV CESKA REPUBLIKA S.R.O</t>
  </si>
  <si>
    <t>SI524 - ANEXIA BUS S.R.O</t>
  </si>
  <si>
    <t>VU1093 - GROWTH CZECH REPUBLIC 1</t>
  </si>
  <si>
    <t>XU035 - IFR16 Czech Republic</t>
  </si>
  <si>
    <t>SI525 - AUDIS BUS</t>
  </si>
  <si>
    <t>DE_Reject - DE Reject</t>
  </si>
  <si>
    <t>GE_Reject - Germany Reject</t>
  </si>
  <si>
    <t>S7655 - EURAILCO GMBH</t>
  </si>
  <si>
    <t>S7657 - TRANSREGIO</t>
  </si>
  <si>
    <t>S7719 - TRANSDEV-SZ</t>
  </si>
  <si>
    <t>S7800 - VWS</t>
  </si>
  <si>
    <t>S7875 - EURAILCO GMBH NEW</t>
  </si>
  <si>
    <t>S7959 - DILLS REISEN</t>
  </si>
  <si>
    <t>S7967 - TD-SZ</t>
  </si>
  <si>
    <t>SU2003 - PVM</t>
  </si>
  <si>
    <t>SU2006 - SVP</t>
  </si>
  <si>
    <t>SU932 - VVK</t>
  </si>
  <si>
    <t>SU946 - Regiobus Gütersloh GmbH</t>
  </si>
  <si>
    <t>S7958 - AWV</t>
  </si>
  <si>
    <t>S7960 - MVB</t>
  </si>
  <si>
    <t>S7961 - NZM</t>
  </si>
  <si>
    <t>S7962 - RMVB</t>
  </si>
  <si>
    <t>S7963 - VLD</t>
  </si>
  <si>
    <t>S7964 - VREM</t>
  </si>
  <si>
    <t>S7965 - VRL</t>
  </si>
  <si>
    <t>S7966 - VRW</t>
  </si>
  <si>
    <t>SI118 - PALATINA BUS WORMS GMBH</t>
  </si>
  <si>
    <t>SI504 - Transdev Süd-West GmbH</t>
  </si>
  <si>
    <t>SI506 - Transdev Ostwestfalen GmbH</t>
  </si>
  <si>
    <t>SI507 - Transdev Service West GmbH</t>
  </si>
  <si>
    <t>SI512 - WURTTEMBERGISCHE BUS-GESELLSCHAFT GMBH</t>
  </si>
  <si>
    <t>SI513 - Transdev Nord Gmbh</t>
  </si>
  <si>
    <t>SU2004 - RVB NF</t>
  </si>
  <si>
    <t>SU2038 - Bustouristik Tonne GmbH</t>
  </si>
  <si>
    <t>SU571A - Transdev Rheinland GmbH</t>
  </si>
  <si>
    <t>SU573 - Taeter Tours GmbH</t>
  </si>
  <si>
    <t>SU574 - HaBus GmbH Verkehrsbetriebe</t>
  </si>
  <si>
    <t>SU575 - Rhein Bus Verkehrsbetrieb GmbH</t>
  </si>
  <si>
    <t>SU576 - Saxbus Eilenburger Busverkehr GmbH</t>
  </si>
  <si>
    <t>SU577 - West Bus GmbH</t>
  </si>
  <si>
    <t>SU726 - NVB</t>
  </si>
  <si>
    <t>SU740A - Transdev Stadt GmbH</t>
  </si>
  <si>
    <t>SU741 - Transdev Rhein-Main GmbH</t>
  </si>
  <si>
    <t>SU746 - Alpina Immobilien</t>
  </si>
  <si>
    <t>SU749 - Transdev West GmbH</t>
  </si>
  <si>
    <t>SU906 - HVG</t>
  </si>
  <si>
    <t>SU910 - Nassausische Verkehrsgesellschaft</t>
  </si>
  <si>
    <t>SU911 - OVR</t>
  </si>
  <si>
    <t>SU913 - Schaumburger Verkehrs-GmbH</t>
  </si>
  <si>
    <t>SU915 - Transdev Niedersachsen/Westfalen GmbH</t>
  </si>
  <si>
    <t>SU918 - Palatinabus</t>
  </si>
  <si>
    <t>SU923 - SSH</t>
  </si>
  <si>
    <t>SU926 - Verkehrsgesellschaft Görlitz GmbH</t>
  </si>
  <si>
    <t>SU944 - Niederschlesische Verkehrsgesellschaft mbH</t>
  </si>
  <si>
    <t>SU949 - Griensteidl GmbH</t>
  </si>
  <si>
    <t>YSU925 - Schaumburger Bus-Service GmbH</t>
  </si>
  <si>
    <t>VU1012 - Croissance Allemagne Bus</t>
  </si>
  <si>
    <t>VU1101 - Allemagne Technical Closing</t>
  </si>
  <si>
    <t>XU017 - IFR16 Bus Germany</t>
  </si>
  <si>
    <t>SU586C - Transdev GmbH</t>
  </si>
  <si>
    <t>VU1079 - CROISSANCE ALLEMAGNE AMBULANCE</t>
  </si>
  <si>
    <t>XU019 - IFR16 Holding Germany</t>
  </si>
  <si>
    <t>GER_Input - Germany - Input technical entity</t>
  </si>
  <si>
    <t>RV_Input - Rhenus Veniro - Input technical entity</t>
  </si>
  <si>
    <t>SI254 - Transdev SE&amp;Co KG</t>
  </si>
  <si>
    <t>SI255 - Eisenbahn Verkehrs Service Gesellschaft mbH</t>
  </si>
  <si>
    <t>SI256 - Eurobus Verkehrs-Service GmbH</t>
  </si>
  <si>
    <t>SI257 - Stendalbus GmbH</t>
  </si>
  <si>
    <t>SI258 - Freiberger Eisenbahngesellschaft mbH</t>
  </si>
  <si>
    <t>SI259 - Kraftverkehrsgesellschaft Dreiländereck mbH</t>
  </si>
  <si>
    <t>SI260 - Martin Becker GmbH &amp; Co. KG</t>
  </si>
  <si>
    <t>SI261 - Verwaltungsgesellschaft der Firma Martin Becker mbH</t>
  </si>
  <si>
    <t>SI262 - MB Moselbahn Verkehrsgesellschaft mbH</t>
  </si>
  <si>
    <t>SI263 - OSL Bus GmbH</t>
  </si>
  <si>
    <t>SI264 - Regionalbus West GmbH</t>
  </si>
  <si>
    <t>SI265 - Regionalbus Oberlausitz GmbH</t>
  </si>
  <si>
    <t>SI266 - Regionalverkehr Westsachsen GmbH</t>
  </si>
  <si>
    <t>SI267 - mobus Märkisch-Oderland Bus GmbH</t>
  </si>
  <si>
    <t>SI268 - Verkehrsgesellschaft mbH, Bad Kreuznach</t>
  </si>
  <si>
    <t>SI269 - Stadtbus Bad Kreuznach GmbH</t>
  </si>
  <si>
    <t>SI270 - Verkehrsgesellschaft Zweibrücken GmbH</t>
  </si>
  <si>
    <t>SI271 - Stadtbus Zweibrücken GmbH</t>
  </si>
  <si>
    <t>SI272 - VIO Verkehrsgesellschaft Idar-Oberstein mbH</t>
  </si>
  <si>
    <t>SI273 - Verkehrsbetriebe Minden-Ravensberg GmbH i. L.</t>
  </si>
  <si>
    <t>SI274 - Eurobus Verkehrs-Service Gmbh Westfalen I.L</t>
  </si>
  <si>
    <t>SI275 - REV Regionale Europäische Verkehrsgesellschaft mbH</t>
  </si>
  <si>
    <t>SI276 - ARGE PRIGNITZBUS</t>
  </si>
  <si>
    <t>SI282 - TRANSDEV VERWALTUNGS SE</t>
  </si>
  <si>
    <t>VU1099 - RETHMANN RHENUS VENIRO</t>
  </si>
  <si>
    <t>YSI275 - REV Regionale Europäische Verkehrsgesellschaft mbH NC</t>
  </si>
  <si>
    <t>YSI276 - ARGE PRIGNITZBUS NC</t>
  </si>
  <si>
    <t>S7877 - TRANSREGIO NEW</t>
  </si>
  <si>
    <t>SI503 - OBERLANDBAHN FAHRZEUGBEREITSTELLUNGSGMBH</t>
  </si>
  <si>
    <t>SI508 - TRANSDEV MITTELDEUTSCHLAND GMBH</t>
  </si>
  <si>
    <t>SI510 - TRANSDEV VERTRIEB GMBH</t>
  </si>
  <si>
    <t>SI511 - TRANSDEV BAHN GMBH</t>
  </si>
  <si>
    <t>SI518 - Everride GmbH</t>
  </si>
  <si>
    <t>SI519 - TRANSDEV HANNOVER</t>
  </si>
  <si>
    <t>SU2034 - MoveOn Telematic Service</t>
  </si>
  <si>
    <t>SU2037 - Transdev Personalservice GmbH</t>
  </si>
  <si>
    <t>SU572 - Transdev Service GmbH</t>
  </si>
  <si>
    <t>SU900 - Transdev Regio GmbH</t>
  </si>
  <si>
    <t>SU901A - Bayerische Oberlandbahn GmbH</t>
  </si>
  <si>
    <t>SU916 - WEG</t>
  </si>
  <si>
    <t>SU920 - OLA</t>
  </si>
  <si>
    <t>SU920A - EWG</t>
  </si>
  <si>
    <t>SU921 - NOB</t>
  </si>
  <si>
    <t>SU922 - NordWESTBAHN GmbH</t>
  </si>
  <si>
    <t>SU931 - Transdev Regio Ost GmbH</t>
  </si>
  <si>
    <t>SU933 - Netlog</t>
  </si>
  <si>
    <t>SU934 - Bayerische Regiobahn GmbH</t>
  </si>
  <si>
    <t>SU940 - Transdev Östereich GmbH</t>
  </si>
  <si>
    <t>SU942 - Transdev Sachsen-Anhalt GmbH</t>
  </si>
  <si>
    <t>SU993 - KSI GmbH &amp; Co. KG Augsburg</t>
  </si>
  <si>
    <t>SU994 - KSA Verwaltungs GmbH Augsburg</t>
  </si>
  <si>
    <t>VU1078 - Croissance Allemagne Train</t>
  </si>
  <si>
    <t>XU018 - IFR16 Rail Germany</t>
  </si>
  <si>
    <t>YSI519 - Transdev Hannover (NC)</t>
  </si>
  <si>
    <t>CR_Input - Croatia - Input technical entity</t>
  </si>
  <si>
    <t>SUS3000 - VEOLIA TRANSPORT HRVATSKA D.O.O</t>
  </si>
  <si>
    <t>SUS3001 - Panturist d.d.</t>
  </si>
  <si>
    <t>SUS2260 - Veolia Transport Hungary k.f.t</t>
  </si>
  <si>
    <t>POL_Input - Poland - Input technical entity</t>
  </si>
  <si>
    <t>SUS2190B - VEOLIA TRANSPORT POLSKA SP. Z O.O.</t>
  </si>
  <si>
    <t>SUS2191 - VEOLIA TRANSPORT SP. Z O.O.</t>
  </si>
  <si>
    <t>SUS2192 - VEOLIA TRANSPORT PODKARPACIE SP. Z O.O.</t>
  </si>
  <si>
    <t>SUS2193 - PKS Connex Sanok sp.z.o.o.</t>
  </si>
  <si>
    <t>SUS2194 - ZKM VEOLIA TRANSPORT TCZEW SP. Z O.O.</t>
  </si>
  <si>
    <t>SUS2290 - VEOLIA TRANSPORT OPOLSZCZYZNA SP. Z O.O.</t>
  </si>
  <si>
    <t>SUS2291 - VEOLIA TRANSPORT KUJAWY SP. Z O.O.</t>
  </si>
  <si>
    <t>SUS2292 - VEOLIA TRANSPORT BIESZCZADY SP. Z O.O.</t>
  </si>
  <si>
    <t>SUS2293 - VEOLIA TRANSPORT POMORZE SP. Z O.O.</t>
  </si>
  <si>
    <t>SUS3006 - VEOLIA TRANSPORT MAZURY SP. Z O.O.</t>
  </si>
  <si>
    <t>VU1035 - GROWTH POLAND</t>
  </si>
  <si>
    <t>SUS2354 - LLC PEOPLE TRAVEL GROUP MOSCOW</t>
  </si>
  <si>
    <t>SER_Input - Serbia - Input technical entity</t>
  </si>
  <si>
    <t>SUS3030 - VEOLIA TRANSPORT LITAS A.D.</t>
  </si>
  <si>
    <t>SUS3031 - VEOLIA TRANSPORT LUV D.O.O.</t>
  </si>
  <si>
    <t>SLV_Input - Slovenia - Input technical entity</t>
  </si>
  <si>
    <t>SUS2250 - Veolia Transport Stajerska d.d.</t>
  </si>
  <si>
    <t>SUS2251 - Veolia Transport Dolenjska in Primorska</t>
  </si>
  <si>
    <t>SUS2252 - Veolia Transport Ljubljana d.d.</t>
  </si>
  <si>
    <t>VU1037 - GROWTH SLOVENIA</t>
  </si>
  <si>
    <t>SU941 - Veolia Transport Central Europe GmbH</t>
  </si>
  <si>
    <t>SUS2300 - VEOLIA TRANSPORT SERVICES S.R.O</t>
  </si>
  <si>
    <t>SUS2301 - VEOLIA TRANSPORT NITRA A.S</t>
  </si>
  <si>
    <t>SLK_Input - Slovakia - Input technical entity</t>
  </si>
  <si>
    <t>VU1038 - GROWTH SLOVAKIA BUS</t>
  </si>
  <si>
    <t>VU1098 - GROWTH SLOVAKIA HOLDING</t>
  </si>
  <si>
    <t>NA - Not affected</t>
  </si>
  <si>
    <t>SI304 - VEOLIA TRANSPORT FINLAND OY MEE</t>
  </si>
  <si>
    <t>VU1045 - GROWTH - FINLAND</t>
  </si>
  <si>
    <t>FIN_Input - Finland - Input technical entity</t>
  </si>
  <si>
    <t>SUS2066B - Veolia Transport Finland Oy</t>
  </si>
  <si>
    <t>SUS2067 - VEOLIA TRANSPORT VANTAA OY</t>
  </si>
  <si>
    <t>SUS2069 - VEOLIA TRANSPORT ESPOO OY</t>
  </si>
  <si>
    <t>SUS2071 - VEOLIA TRANSPORT TAMPERE OY</t>
  </si>
  <si>
    <t>SUS2073 - VEOLIA TRANSPORT WEST OY</t>
  </si>
  <si>
    <t>SUS2460 - WESTERLINES AB OY</t>
  </si>
  <si>
    <t>XU037 - IFR16 Finland</t>
  </si>
  <si>
    <t>YSUS2066B - Veolia Transport Finland Oy NC</t>
  </si>
  <si>
    <t>YSUS2067 - VEOLIA TRANSPORT VANTAA OY NC</t>
  </si>
  <si>
    <t>YSUS2071 - VEOLIA TRANSPORT TAMPERE OY NC</t>
  </si>
  <si>
    <t>CH_Input - Switzerland - Input technical entity</t>
  </si>
  <si>
    <t>SU930 - VEOLIA TRANSPORT SUISSE SA</t>
  </si>
  <si>
    <t>SUS2270 - VT SUISSE TRANSPORT PUBLIC SA</t>
  </si>
  <si>
    <t>SUS2272 - VT SUISSE TOURISME SA</t>
  </si>
  <si>
    <t>SUS2081B - Veolia Transport Danmark A/S</t>
  </si>
  <si>
    <t>SUS2083 - CTD Leasing 2001 A/S</t>
  </si>
  <si>
    <t>SUS2086 - Linjebuss Leasing 1998 A/S</t>
  </si>
  <si>
    <t>SI301 - FFR BUSS AS</t>
  </si>
  <si>
    <t>SUS2050 - Veolia Transport Norge AS</t>
  </si>
  <si>
    <t>SUS2052 - Veolia Transport Sør AS</t>
  </si>
  <si>
    <t>SUS2057 - VEOLIA TRANSPORT NORD AS</t>
  </si>
  <si>
    <t>SUS2058 - VEOLIA TRANSPORT BANE AS</t>
  </si>
  <si>
    <t>SUS2255 - AS A-Rep</t>
  </si>
  <si>
    <t>SUS2256 - Turtrikken AS</t>
  </si>
  <si>
    <t>SUS2257 - Nor Cargo Vest-Finnmark AS</t>
  </si>
  <si>
    <t>SUS2350 - Sør-Vest reiser AS</t>
  </si>
  <si>
    <t>SUS2351 - Nordtraffikk Buss AS</t>
  </si>
  <si>
    <t>SUS2352 - Nordtraffikk Maritim AS</t>
  </si>
  <si>
    <t>SI229 - UTOREDERIET</t>
  </si>
  <si>
    <t>SI246 - FLYGBUSSARNA</t>
  </si>
  <si>
    <t>SI300 - VEOLIA TRANSPORT SWEDEN HOLDING AB</t>
  </si>
  <si>
    <t>SI306 - TRANSDEV UPPLAND AB</t>
  </si>
  <si>
    <t>SI307 - BLIDÖSUNDSBOLAGET</t>
  </si>
  <si>
    <t>SI309 - BLIDÖSUND HOLDING</t>
  </si>
  <si>
    <t>SI310 - BLIDÖSUNDSBOLAGET  MANAGEMENT</t>
  </si>
  <si>
    <t>SUS2013 - VEOLIA TRANSPORT SVERIGE AB</t>
  </si>
  <si>
    <t>SUS2017 - KB Bussningen</t>
  </si>
  <si>
    <t>SUS2022 - Bussdepån i Kristianstad AB</t>
  </si>
  <si>
    <t>SUS2023 - AB Göteborgs-Styrsö Skärgårdstrafik</t>
  </si>
  <si>
    <t>SUS2327 - Granbergs Buss</t>
  </si>
  <si>
    <t>SUS2329 - Älvsby Resebyrå AB</t>
  </si>
  <si>
    <t>SUS2332 - TAXI STOR &amp; LITEN I GÄVLE AB</t>
  </si>
  <si>
    <t>SUS2340 - PTG CHARTER AB</t>
  </si>
  <si>
    <t>SUS2347 - FAC FLYGBUSSARNA AIRPORT COACHES AB</t>
  </si>
  <si>
    <t>SUS2025 - Connex Trafik AB</t>
  </si>
  <si>
    <t>SUS2026 - Umeå Busstation AB</t>
  </si>
  <si>
    <t>SUS2331 - Vetimo AB</t>
  </si>
  <si>
    <t>SUS2334 - AB VÄRMLANDSBUSS</t>
  </si>
  <si>
    <t>SUS2341 - PEOPLE TRAVEL GROUP INTERNATIONAL AB</t>
  </si>
  <si>
    <t>SUS2346 - MERRESOR I SVERIGE AB</t>
  </si>
  <si>
    <t>SI236 - A BJORKS AB</t>
  </si>
  <si>
    <t>SI237 - BJORKS BUSSI I NARKE AB</t>
  </si>
  <si>
    <t>SI238 - VS &amp; PERSSONS BUSSAR AB</t>
  </si>
  <si>
    <t>SI239 - KLOVSJO-RATAN TRAFIK AKTIEBOLAG AB</t>
  </si>
  <si>
    <t>SI240 - BUSS OCH TAXI LOGISTIK I SVERIGE AB</t>
  </si>
  <si>
    <t>SI241 - BJORKS BUSS AKTIEBOLAG</t>
  </si>
  <si>
    <t>SI242 - LINDBERGS BUSS AB</t>
  </si>
  <si>
    <t>SI243 - SILJAN BUSS AB</t>
  </si>
  <si>
    <t>SI244 - BUSSGODS DALARNA AB</t>
  </si>
  <si>
    <t>SI245 - SAMBUS AKTIEBOLAG</t>
  </si>
  <si>
    <t>SI311 - Bouleau</t>
  </si>
  <si>
    <t>SW_Input - Sweden - Input technical entity</t>
  </si>
  <si>
    <t>SW_Reject - Sweden - Reject technical entity</t>
  </si>
  <si>
    <t>VU1043 - GROWTH - SWEDEN 2</t>
  </si>
  <si>
    <t>VU1044 - GROWTH - SWEDEN</t>
  </si>
  <si>
    <t>XU013 - IFR16 B to G Sweden</t>
  </si>
  <si>
    <t>XU014 - IFR16 Ferry Sweden</t>
  </si>
  <si>
    <t>XU015 - IFR16 B to C Sweden</t>
  </si>
  <si>
    <t>XU016 - IFR16 Holding Sweden</t>
  </si>
  <si>
    <t>YSI308 - Skärgårdsrederiet</t>
  </si>
  <si>
    <t>S7729 - TRANSDEV CANADA INC</t>
  </si>
  <si>
    <t>S7730 - LIMOCAR</t>
  </si>
  <si>
    <t>S7746 - AUGER INC.</t>
  </si>
  <si>
    <t>SU1200 - VT CANADA INC</t>
  </si>
  <si>
    <t>SU1202 - Autobus Boulais Ltee</t>
  </si>
  <si>
    <t>SU1203 - VT QUEBEC INC</t>
  </si>
  <si>
    <t>VU1069 - CROISSANCE CANADA</t>
  </si>
  <si>
    <t>SI828 - TRANSDEV HURONTARIO EQUITY HOLDING</t>
  </si>
  <si>
    <t>SI829 - MOBILINX HURONTARIO SERVICES</t>
  </si>
  <si>
    <t>SI764 - VEOLIA TRANSPORTATION SERVICES CANADA INC</t>
  </si>
  <si>
    <t>SU1213 - YORK BRT</t>
  </si>
  <si>
    <t>SI278 - Voyago</t>
  </si>
  <si>
    <t>SI283 - ONTARIO LIMITED Real Estate</t>
  </si>
  <si>
    <t>SI284 - VOYAGEUR PATIENT TRANSFER SERVICES INC</t>
  </si>
  <si>
    <t>SI285 - CHECKER LIMOUSINE INC</t>
  </si>
  <si>
    <t>SI286 - ONTARIO LIMITED Transport</t>
  </si>
  <si>
    <t>CAN_Input - Canada - Input technical entity</t>
  </si>
  <si>
    <t>CAN_Input_LTP_Adj - Canada - Input technical entity LTP Adjustment</t>
  </si>
  <si>
    <t>CAN_Reject - CAN Reject</t>
  </si>
  <si>
    <t>XU008 - IFR16 Québec</t>
  </si>
  <si>
    <t>XU009 - IFR16 Ontario</t>
  </si>
  <si>
    <t>SI793 - VEOLIA TRANSDEV CANADA INC</t>
  </si>
  <si>
    <t>SI799 - VEOLIA TRANSDEV QUEBEC INC</t>
  </si>
  <si>
    <t>SI117 - CAMELBACK</t>
  </si>
  <si>
    <t>SI290 - TRANSDEV ALTERNATIVE SERVICES INC</t>
  </si>
  <si>
    <t>SU1091 - B2B BUSINESS  (SSI)</t>
  </si>
  <si>
    <t>XU004 - IFR16 B to B US</t>
  </si>
  <si>
    <t>SU1092 - B2B GOLDEN TOUCH</t>
  </si>
  <si>
    <t>XU042 - IFR16 Golden Touch</t>
  </si>
  <si>
    <t>OnDemand_Input - On demand - Input technical entity</t>
  </si>
  <si>
    <t>SI120 - SPLIT</t>
  </si>
  <si>
    <t>SI121 - AJELO</t>
  </si>
  <si>
    <t>SU1070 - Veolia Transportation on Demand Inc.</t>
  </si>
  <si>
    <t>SU1080 - Super Shuttle International Inc.</t>
  </si>
  <si>
    <t>XU006 - IFR16 Super Shuttle US</t>
  </si>
  <si>
    <t>SU1071 - Supertaxi, Inc.</t>
  </si>
  <si>
    <t>XU005 - IFR16 Super Taxi US</t>
  </si>
  <si>
    <t>Intelliride_Input - Intelliride Input technical entity</t>
  </si>
  <si>
    <t>SI800 - INTELLIRIDE LLC</t>
  </si>
  <si>
    <t>XU003 - IFR16 Intelliride US</t>
  </si>
  <si>
    <t>SI760 - VEOLIA TRANSPORTATION SERVICES (RAIL)</t>
  </si>
  <si>
    <t>SU1053 - MBCRC</t>
  </si>
  <si>
    <t>SU1054 - Connex Railroad llc</t>
  </si>
  <si>
    <t>US_RAIL_Input - US Rail (Input)</t>
  </si>
  <si>
    <t>XU002 - IFR16 Rail US</t>
  </si>
  <si>
    <t>SU1052 - VEOLIA TRANSPORTATION SERVICES (TRANSIT)</t>
  </si>
  <si>
    <t>Transit_Input - Transit - Input technical entity</t>
  </si>
  <si>
    <t>XU001 - IFR16 Transit US</t>
  </si>
  <si>
    <t>VU1004 - RED TOP TAXI</t>
  </si>
  <si>
    <t>VU1015 - eCAR Growth</t>
  </si>
  <si>
    <t>VU1016 - GROWTH-OTHER VTOD</t>
  </si>
  <si>
    <t>VU1095 - GROWTH - USA</t>
  </si>
  <si>
    <t>US_JDE_Reject - United States JDE  Reject</t>
  </si>
  <si>
    <t>US_ORACLE_Reject - United States ORACLE  Reject</t>
  </si>
  <si>
    <t>Corporate_US_Input - Corporate US Input technical entity</t>
  </si>
  <si>
    <t>SU1050 - Veolia Transportation Inc.</t>
  </si>
  <si>
    <t>XU007 - IFR16 Holding US</t>
  </si>
  <si>
    <t>USA_Input - USA - Input technical entity</t>
  </si>
  <si>
    <t>SI850 - Carbus Urbano S.A.</t>
  </si>
  <si>
    <t>CHL_Input - Chile - Input technical entity</t>
  </si>
  <si>
    <t>CHL_Reject - Chile - Reject technical entity</t>
  </si>
  <si>
    <t>SU3024 - Transdev Chile</t>
  </si>
  <si>
    <t>SU3025 - Redbus Urbano SA</t>
  </si>
  <si>
    <t>SU3049 - Redvan SPA</t>
  </si>
  <si>
    <t>SU3050 - Redsupport SPA</t>
  </si>
  <si>
    <t>VU1080 - GROWTH CHILE</t>
  </si>
  <si>
    <t>VU1082 - GROWTH CHILE 2</t>
  </si>
  <si>
    <t>XU039 - IFR16 Chile</t>
  </si>
  <si>
    <t>CO_Input - Colombia - Input technical entity</t>
  </si>
  <si>
    <t>SU3024A - TRANSDEV CHILE CABLEMOVIL BRANCH</t>
  </si>
  <si>
    <t>SU770 - Sté internationale de transport Massivo</t>
  </si>
  <si>
    <t>SU771 - Conexion Movil</t>
  </si>
  <si>
    <t>SU772 - City movil</t>
  </si>
  <si>
    <t>SU773 - TRANSDEV COLOMBIA SAS</t>
  </si>
  <si>
    <t>SU774 - BOGOTA MOVIL PROVISION SUR SAS</t>
  </si>
  <si>
    <t>SU775 - BOGOTA MOVIL OPERACION SUR SAS</t>
  </si>
  <si>
    <t>SU1100 - VT BILBAO</t>
  </si>
  <si>
    <t>SU752 - FCC-CONNEX CORPORACION SL</t>
  </si>
  <si>
    <t>SU752IG - FCC CONNEX IG</t>
  </si>
  <si>
    <t>SU754 - CORPORACION JEREZANA TRANSPORTES URBANOS</t>
  </si>
  <si>
    <t>SU754IG - COJETUSA IG</t>
  </si>
  <si>
    <t>SU761 - DETREN</t>
  </si>
  <si>
    <t>SU761IG - DETREN IG</t>
  </si>
  <si>
    <t>SU769 - VT ESPAGNE</t>
  </si>
  <si>
    <t>ESP_Input - Spain - Input technical entity</t>
  </si>
  <si>
    <t>ESP_Reject - Spain - Reject technical entity</t>
  </si>
  <si>
    <t>S7659 - TENEMETRO</t>
  </si>
  <si>
    <t>S7731 - TRANSDEV ESPANA SL</t>
  </si>
  <si>
    <t>SI292 - UTE OURENSE</t>
  </si>
  <si>
    <t>SI293 - TRANSMINO</t>
  </si>
  <si>
    <t>SU762 - UTE Trambaix</t>
  </si>
  <si>
    <t>SU762IP - UTE Trambaix IP</t>
  </si>
  <si>
    <t>SU763 - UTE Trambesos</t>
  </si>
  <si>
    <t>SU763IP - UTE Trambesos IP</t>
  </si>
  <si>
    <t>SU765 - MONTAÑESA</t>
  </si>
  <si>
    <t>VU1011 - Growth Spain</t>
  </si>
  <si>
    <t>S7837 - INTERSUL</t>
  </si>
  <si>
    <t>S7839 - LOPES VOYAGES</t>
  </si>
  <si>
    <t>YS7866 - GPS (TNC)</t>
  </si>
  <si>
    <t>Inter_Coaches_internorte_Input - Internorte - Input technical entity</t>
  </si>
  <si>
    <t>S7663 - RT</t>
  </si>
  <si>
    <t>S7833 - INTERNORTE.</t>
  </si>
  <si>
    <t>S7836 - INTERCENTRO</t>
  </si>
  <si>
    <t>S7838 - INTERGALIZA</t>
  </si>
  <si>
    <t>S7840 - IBEROLINES</t>
  </si>
  <si>
    <t>S7841 - IBERFRAN</t>
  </si>
  <si>
    <t>S7842 - IBERO EUROSUR S.L.</t>
  </si>
  <si>
    <t>S7843 - DEUTSCHE TOURING GMBH</t>
  </si>
  <si>
    <t>S7844 - TOURING CROATIA</t>
  </si>
  <si>
    <t>S7845 - TOURING BOHEMIA</t>
  </si>
  <si>
    <t>S7846 - TOURING POLSKA</t>
  </si>
  <si>
    <t>S7847 - TOURING SERBIA</t>
  </si>
  <si>
    <t>S7848 - TOURING SCANDINAVIA</t>
  </si>
  <si>
    <t>S7849 - EUROLINES FRANKFURT</t>
  </si>
  <si>
    <t>S7854 - AUTO-PENAFIEL, LDA (ROCALDAS)</t>
  </si>
  <si>
    <t>S7866 - GPS</t>
  </si>
  <si>
    <t>YS7842 - IBERO EUROSUR S.L. (TNC)</t>
  </si>
  <si>
    <t>SI295 - RODOLEZIRIA</t>
  </si>
  <si>
    <t>SI296 - RMTEJO</t>
  </si>
  <si>
    <t>Other_Portugal_Input - Portugal Other - Input technical entity</t>
  </si>
  <si>
    <t>S7607 - TRANSDEV PORTUGAL</t>
  </si>
  <si>
    <t>S7638 - CARAMULO</t>
  </si>
  <si>
    <t>S7667 - TRPN</t>
  </si>
  <si>
    <t>S7674 - S2M</t>
  </si>
  <si>
    <t>S7810 - HJT</t>
  </si>
  <si>
    <t>S7827 - JRF</t>
  </si>
  <si>
    <t>POR_Hold_Reject - POR_Hold_Reject</t>
  </si>
  <si>
    <t>S7635 - TPT-SGPS</t>
  </si>
  <si>
    <t>S7675 - TRANSDEV MOBILIDADE</t>
  </si>
  <si>
    <t>S7867 - RODOCÔA</t>
  </si>
  <si>
    <t>SI224 - UNIPESSOAL LDA</t>
  </si>
  <si>
    <t>S7814 - MONDINENSE</t>
  </si>
  <si>
    <t>S7815 - TRANSCOVIZELA</t>
  </si>
  <si>
    <t>SI299 - PARTICULA ANDANTE, LDA</t>
  </si>
  <si>
    <t>S7633 - MINHO BUS</t>
  </si>
  <si>
    <t>S7637 - REDM</t>
  </si>
  <si>
    <t>SI297 - TRANSDEV &amp; AVIC CAVADO, LDA</t>
  </si>
  <si>
    <t>SI298 - EMPRESA DE TRANSPORTES CIM CAVADO, LDA</t>
  </si>
  <si>
    <t>S7634 - CAIMA</t>
  </si>
  <si>
    <t>S7639 - CHARLINE</t>
  </si>
  <si>
    <t>S7660 - CALCADA</t>
  </si>
  <si>
    <t>S7830 - AVA</t>
  </si>
  <si>
    <t>S7826 - AVAF</t>
  </si>
  <si>
    <t>S7828 - JVP</t>
  </si>
  <si>
    <t>S7829 - SOARES</t>
  </si>
  <si>
    <t>S7831 - ALPTUR</t>
  </si>
  <si>
    <t>SI140 - TRANSDEV PORTO</t>
  </si>
  <si>
    <t>S7636 - RBL</t>
  </si>
  <si>
    <t>S7818 - ETAC</t>
  </si>
  <si>
    <t>S7825 - TRISAN</t>
  </si>
  <si>
    <t>SI288 - MOISES</t>
  </si>
  <si>
    <t>VU1063 - GROWTH Portugal</t>
  </si>
  <si>
    <t>S7817 - JOALTO RB</t>
  </si>
  <si>
    <t>S7820 - TRANSCOVILHA</t>
  </si>
  <si>
    <t>S7822 - RBI</t>
  </si>
  <si>
    <t>S7823 - ASAD TPT</t>
  </si>
  <si>
    <t>S7832 - UMJ</t>
  </si>
  <si>
    <t>S7816 - VIUVA CARNEIRO</t>
  </si>
  <si>
    <t>S7819 - BEIRA DOURO</t>
  </si>
  <si>
    <t>S7821 - EAVT</t>
  </si>
  <si>
    <t>S7824 - GUEDES</t>
  </si>
  <si>
    <t>VU1102 - Growth Portugal 1</t>
  </si>
  <si>
    <t>VU1103 - Growth Portugal 2</t>
  </si>
  <si>
    <t>VU1104 - Growth Portugal 3</t>
  </si>
  <si>
    <t>SI294 - Transdev Expressos</t>
  </si>
  <si>
    <t>POR_Input - Portugal - Input technical entity</t>
  </si>
  <si>
    <t>POR_Input_LTP_Adj - Portugal - Entité technique de saisie Ajustement LTP</t>
  </si>
  <si>
    <t>POR_Reject - POR_Reject</t>
  </si>
  <si>
    <t>XU038 - IFR16 Portugal</t>
  </si>
  <si>
    <t>RNE_input - RNE - Input technical entity</t>
  </si>
  <si>
    <t>S7680 - AMT</t>
  </si>
  <si>
    <t>S7713 - TRANSDEV ITALIA</t>
  </si>
  <si>
    <t>S7734 - DOLOMITI BUS IP</t>
  </si>
  <si>
    <t>SU3020 - Veolia Transporti srl</t>
  </si>
  <si>
    <t>SI303 - VT IRELAND BUS LTD</t>
  </si>
  <si>
    <t>IR_Input - Ireland - Input technical entity</t>
  </si>
  <si>
    <t>IR_Input_LTP_Adj - Ireland - Input technical entity LTP Adjustment</t>
  </si>
  <si>
    <t>IR_Reject - Ireland - Reject OLD</t>
  </si>
  <si>
    <t>IE_Reject - Ireland - Reject</t>
  </si>
  <si>
    <t>SI342 - VEOLIA TRANSPORT IRELAND LIMITED</t>
  </si>
  <si>
    <t>SI343 - S2M DUBLIN LIGHT RAIL LTD</t>
  </si>
  <si>
    <t>SU982 - VEOLIA TRANSPORT DUBLIN LIGHT RAIL LTD</t>
  </si>
  <si>
    <t>XU036 - IFR16 Ireland</t>
  </si>
  <si>
    <t>S7536 - TRANSDEV PLC</t>
  </si>
  <si>
    <t>S7603 - GREEN TOMATO CARS</t>
  </si>
  <si>
    <t>S7606 - SOVEREIGN</t>
  </si>
  <si>
    <t>S7687 - TRANSDEV AIRPORT SERVICES</t>
  </si>
  <si>
    <t>SI127 - Cabfind Limited</t>
  </si>
  <si>
    <t>SI798 - Trident Heritage Limited</t>
  </si>
  <si>
    <t>S7601 - LONDON UNITED BUSWAYS</t>
  </si>
  <si>
    <t>S7658 - NOTTINGHAM TRAM CONSORTIUM</t>
  </si>
  <si>
    <t>S7661 - TRANSDEV SCOTLAND LIMITED</t>
  </si>
  <si>
    <t>S7673 - EURAILCO UK LIMITED</t>
  </si>
  <si>
    <t>S7682 - BTL</t>
  </si>
  <si>
    <t>S7742 - RATP PROJECT UK</t>
  </si>
  <si>
    <t>S7874 - EURAILCO UK LIMITED NEW</t>
  </si>
  <si>
    <t>SI350 - VEOLIA TRANSPORT UK HOLDINGS LIMITED</t>
  </si>
  <si>
    <t>SI351 - VEOLIA TRANSPORT UK RAIL LIMITED</t>
  </si>
  <si>
    <t>SI352 - VT UK  SPECIALIST SERVICES LTD</t>
  </si>
  <si>
    <t>SUS2280 - Veolia Transport UK Ltd</t>
  </si>
  <si>
    <t>SUS2281 - VEOLIA TRANSPORT CYMRU PLC</t>
  </si>
  <si>
    <t>SUS2480 - VEOLIA TRANSPORT ENGLAND PLC</t>
  </si>
  <si>
    <t>SUS2481 - PULLMAN COACHES LIMITED</t>
  </si>
  <si>
    <t>SUS2482 - VEOLIA TRANSPORT NOTTINGHAM LIMITED</t>
  </si>
  <si>
    <t>SUS2483 - VEOLIA TRANSPORT NORTH LIMITED</t>
  </si>
  <si>
    <t>SUS2484 - Shamrock Travel Ltd</t>
  </si>
  <si>
    <t>SUS2485 - Hawkes Coaches</t>
  </si>
  <si>
    <t>SUS2488 - PAUL JAMES COACHES LTD</t>
  </si>
  <si>
    <t>SUS2489 - ASTONS OF KEMPSEY (HOLDINGS)</t>
  </si>
  <si>
    <t>SUS2490 - ASTONS OF KEMPSEY (COACHES)</t>
  </si>
  <si>
    <t>VU1003 - GROWTH UK OTHER</t>
  </si>
  <si>
    <t>VU1018  - GROWTH UK</t>
  </si>
  <si>
    <t>VU1061 - STD UK BUS L</t>
  </si>
  <si>
    <t>S7683 - TRANSDEV BLAZEFIELD LIMITED</t>
  </si>
  <si>
    <t>SI373 - Transdev Blazefield</t>
  </si>
  <si>
    <t>SI374 - Burnley &amp; Pendle Travel Ltd</t>
  </si>
  <si>
    <t>SI375 - Harrogate &amp; District Travel Ltd</t>
  </si>
  <si>
    <t>SI376 - Keighley &amp; District Travel Ltd</t>
  </si>
  <si>
    <t>SI377 - Lancashire United Ltd</t>
  </si>
  <si>
    <t>SI378 - Rossendale Transport Ltd</t>
  </si>
  <si>
    <t>SI379 - Yorkshire Coastliner</t>
  </si>
  <si>
    <t>SI388 - Transdev Blazefield Services Ltd</t>
  </si>
  <si>
    <t>S7600 - LONDON UNITED LTD</t>
  </si>
  <si>
    <t>S7608 - TRANSDEV TRAM UK</t>
  </si>
  <si>
    <t>SI353 - CCH</t>
  </si>
  <si>
    <t>SI354 - TRANSPORT LONDON LIMITED</t>
  </si>
  <si>
    <t>SU582 - CONNEX SOUTH EASTERN</t>
  </si>
  <si>
    <t>UK_Input - United Kingdom - Input technical entity</t>
  </si>
  <si>
    <t>UK_Input_LTP_Adj - United Kingdom - Input technical entity LTP Adjustment</t>
  </si>
  <si>
    <t>UK_Reject - UK_Reject</t>
  </si>
  <si>
    <t>XU010 - IFR16 Blazefield UK</t>
  </si>
  <si>
    <t>XU011 - IFR16 GTC UK</t>
  </si>
  <si>
    <t>XU012 - IFR16 CCH UK</t>
  </si>
  <si>
    <t>SI065 - AIRPORT CONNECTION SERVICES</t>
  </si>
  <si>
    <t>UK_TOD_FR_input - TOD France - Input technical entity</t>
  </si>
  <si>
    <t>VU1002 - GROWTH - TOD France</t>
  </si>
  <si>
    <t>UK_TOD_Other_input - TOD Other - Input technical entity</t>
  </si>
  <si>
    <t>SI086 - SITE.OISE</t>
  </si>
  <si>
    <t>SI119 - CITYWAY CANADA</t>
  </si>
  <si>
    <t>SI122 - Fleet Me ( EV)</t>
  </si>
  <si>
    <t>SI289 - CITYWAY USA</t>
  </si>
  <si>
    <t>SU045 - CITYWAY</t>
  </si>
  <si>
    <t>VTD_Corp_TopAdj_Not_allocated_Input1 - TDV Corporate - Top adjustments NOT to be allocated #1</t>
  </si>
  <si>
    <t>VTD_Corp_TopAdj_Not_allocated_Input10 - TDV Corporate - Top adjustments NOT to be allocated #10</t>
  </si>
  <si>
    <t>VTD_Corp_TopAdj_Not_allocated_Input2 - TDV Corporate - Top adjustments NOT to be allocated #2</t>
  </si>
  <si>
    <t>VTD_Corp_TopAdj_Not_allocated_Input3 - TDV Corporate - Top adjustments NOT to be allocated #3</t>
  </si>
  <si>
    <t>VTD_Corp_TopAdj_Not_allocated_Input4 - TDV Corporate - Top adjustments NOT to be allocated #4</t>
  </si>
  <si>
    <t>VTD_Corp_TopAdj_Not_allocated_Input5 - TDV Corporate - Top adjustments NOT to be allocated #5</t>
  </si>
  <si>
    <t>VTD_Corp_TopAdj_Not_allocated_Input6 - TDV Corporate - Top adjustments NOT to be allocated #6</t>
  </si>
  <si>
    <t>VTD_Corp_TopAdj_Not_allocated_Input7 - TDV Corporate - Top adjustments NOT to be allocated #7</t>
  </si>
  <si>
    <t>VTD_Corp_TopAdj_Not_allocated_Input8 - TDV Corporate - Top adjustments NOT to be allocated #8</t>
  </si>
  <si>
    <t>VTD_Corp_TopAdj_Not_allocated_Input9 - TDV Corporate - Top adjustments NOT to be allocated #9</t>
  </si>
  <si>
    <t>Inactive_Segments_Input - Inactive segments - Input technical entity</t>
  </si>
  <si>
    <t>JV_EDF_Input - JV EDF - Input technical entity</t>
  </si>
  <si>
    <t>S7574 - TRANSDEV BUSINESS INFORMATION SOLUTIONS</t>
  </si>
  <si>
    <t>S7717 - GIE TRANSDEV FORMATION</t>
  </si>
  <si>
    <t>SI008 - TRANSDEV RÉ</t>
  </si>
  <si>
    <t>Smarter_Mobility_Input - Smarter Mobility - Input technical entity</t>
  </si>
  <si>
    <t>SU556 - TRANSDEV ILE DE FRANCE</t>
  </si>
  <si>
    <t>TDG_LTP_Adj - TRANSDEV GROUP LTP Adjustment</t>
  </si>
  <si>
    <t>Urban_Pulse_Input - Urban Pulse - Input technical entity</t>
  </si>
  <si>
    <t>VTD_Corp_TopAdj_Input1 - TDV Corporate - Top adjustments to be allocated #1</t>
  </si>
  <si>
    <t>VTD_Corp_TopAdj_Input10 - TDV Corporate - Top adjustments to be allocated #10</t>
  </si>
  <si>
    <t>VTD_Corp_TopAdj_Input2 - TDV Corporate - Top adjustments to be allocated #2</t>
  </si>
  <si>
    <t>VTD_Corp_TopAdj_Input3 - TDV Corporate - Top adjustments to be allocated #3</t>
  </si>
  <si>
    <t>VTD_Corp_TopAdj_Input4 - TDV Corporate - Top adjustments to be allocated #4</t>
  </si>
  <si>
    <t>VTD_Corp_TopAdj_Input5 - TDV Corporate - Top adjustments to be allocated #5</t>
  </si>
  <si>
    <t>VTD_Corp_TopAdj_Input6 - TDV Corporate - Top adjustments to be allocated #6</t>
  </si>
  <si>
    <t>VTD_Corp_TopAdj_Input7 - TDV Corporate - Top adjustments to be allocated #7</t>
  </si>
  <si>
    <t>VTD_Corp_TopAdj_Input8 - TDV Corporate - Top adjustments to be allocated #8</t>
  </si>
  <si>
    <t>VTD_Corp_TopAdj_Input9 - TDV Corporate - Top adjustments to be allocated #9</t>
  </si>
  <si>
    <t>S2204 - VE PARTICIPATION VT2</t>
  </si>
  <si>
    <t>SI006 - OD DE SÉCURITÉ VT</t>
  </si>
  <si>
    <t>SU591 - EUROLUM SA</t>
  </si>
  <si>
    <t>VU1000 - VU1000</t>
  </si>
  <si>
    <t>YS7717 - GIE TRANSDEV FORMATION (TNC)</t>
  </si>
  <si>
    <t>SH001 - TRANSDEV GROUP</t>
  </si>
  <si>
    <t>SH001A - TRANSDEV GROUP INNOVATION OLD</t>
  </si>
  <si>
    <t>SI217 - TRANSDEV GROUP INNOVATION</t>
  </si>
  <si>
    <t>XU041 - IFR16 Transdev Group</t>
  </si>
  <si>
    <t>VTD_VECTORENHANCED_Reject - TDV Vector Enhanced reject</t>
  </si>
  <si>
    <t>FR_ARCH_LTP_input - France - LTP Archives  (Input)</t>
  </si>
  <si>
    <t>FR_HOLD_1_input - France - Holdings 1 (Input)</t>
  </si>
  <si>
    <t>FR_HOLD_2_input - France - Holdings 2 (Input)</t>
  </si>
  <si>
    <t>FR_HOLD_3_input - France Holdings 3 (Input)</t>
  </si>
  <si>
    <t>FR_SCENARIO_Reject - France SCENARIO Reject</t>
  </si>
  <si>
    <t>S7501 - TRANSDEV FINANCE</t>
  </si>
  <si>
    <t>S7529 - TRANSPORT DU GRAND AVIGNON</t>
  </si>
  <si>
    <t>S7537 - TAG</t>
  </si>
  <si>
    <t>S7568 - FOURNIER</t>
  </si>
  <si>
    <t>S7569 - AUTOCARS BOCHU</t>
  </si>
  <si>
    <t>S7575 - DRYADE</t>
  </si>
  <si>
    <t>S7616 - CHAMPAGNE MOBILITES</t>
  </si>
  <si>
    <t>S7623 - ILINVEST</t>
  </si>
  <si>
    <t>S7678 - EQUIVAL SAS</t>
  </si>
  <si>
    <t>S7684 - EURAILCO S.A.S</t>
  </si>
  <si>
    <t>S7715 - MOULINS MOBILITE</t>
  </si>
  <si>
    <t>S7724 - SCI LA MARE MOUREUSE</t>
  </si>
  <si>
    <t>S7736 - VIENNE MOBILITE</t>
  </si>
  <si>
    <t>S7744 - CAISSE COMMUNE</t>
  </si>
  <si>
    <t>S7755 - Société Hôtelière Meldoise</t>
  </si>
  <si>
    <t>S7756 - Les Cars Mariette</t>
  </si>
  <si>
    <t>S7873 - EURAILCO S.A.S NEW</t>
  </si>
  <si>
    <t>SI016 - MOBIZEN</t>
  </si>
  <si>
    <t>SI027 - GFP</t>
  </si>
  <si>
    <t>SI028 - MULTICAP</t>
  </si>
  <si>
    <t>SI029 - CARS SALT</t>
  </si>
  <si>
    <t>SI056 - SOGAREL</t>
  </si>
  <si>
    <t>SI059 - SAVOIES TOURISME</t>
  </si>
  <si>
    <t>SI060 - Voyages Desbiolles</t>
  </si>
  <si>
    <t>SI061 - FINANCES SAVOIES SERVICES</t>
  </si>
  <si>
    <t>SI080 - SOCIÉTÉ DES TRANSPORTS INTERURBAINS DE H</t>
  </si>
  <si>
    <t>SI081 - SOCIÉTÉ DES TRANSPORTS INTERURBAINS DE L</t>
  </si>
  <si>
    <t>SI082 - SOCIÉTÉ DES TRANSPORTS URBAINS DE BOURGE</t>
  </si>
  <si>
    <t>SI083 - SOCIÉTÉ DES TRANSPORTS URBAINS DE VIERZO</t>
  </si>
  <si>
    <t>SI110 - Transdev Mobilité Services</t>
  </si>
  <si>
    <t>SU005 - ILE DE FRANCE TOURISME</t>
  </si>
  <si>
    <t>SU032 - SDT Marne</t>
  </si>
  <si>
    <t>SU033 - VT Centre</t>
  </si>
  <si>
    <t>SU067 - CAT TIV</t>
  </si>
  <si>
    <t>SU100 - CONNEX PALIER FRANCE (FICTIVE)</t>
  </si>
  <si>
    <t>SU100B - VEOLIA TRANSPORT FRANCE (FICTIVE)</t>
  </si>
  <si>
    <t>SU3008 - VIGIE 13 AS</t>
  </si>
  <si>
    <t>SU4216 - RHONEXPRESS</t>
  </si>
  <si>
    <t>SU4434 - STP</t>
  </si>
  <si>
    <t>SU50003 - VTU CHAMBÉRY</t>
  </si>
  <si>
    <t>SU50006 - VTU VERDUN</t>
  </si>
  <si>
    <t>SU50008 - VTU MONTLUÇON</t>
  </si>
  <si>
    <t>SU50010 - VTU AIX LES BAINS</t>
  </si>
  <si>
    <t>SU50012 - CGFTE Bourges</t>
  </si>
  <si>
    <t>SU55002 - CFTI BOURGES</t>
  </si>
  <si>
    <t>SU55008 - CFTI THONON</t>
  </si>
  <si>
    <t>SU55009 - CFTI NANCY</t>
  </si>
  <si>
    <t>SU55010 - CFTI Région Lorraine</t>
  </si>
  <si>
    <t>SU55011 - CFTI Région PACA</t>
  </si>
  <si>
    <t>SU55021 - CFTI CLERMONT FERRAND</t>
  </si>
  <si>
    <t>SU55620 - Connex région IDF</t>
  </si>
  <si>
    <t>SU55802 - CFTA NICE</t>
  </si>
  <si>
    <t>SU55803 - CFTA LA MURE</t>
  </si>
  <si>
    <t>SU562 - CALAIS ARDRES TRANSPORTS</t>
  </si>
  <si>
    <t>SU618 - BMVD</t>
  </si>
  <si>
    <t>SU650 - AAA</t>
  </si>
  <si>
    <t>SU651 - Rubans bleus</t>
  </si>
  <si>
    <t>SU683 - Echos-Piste</t>
  </si>
  <si>
    <t>VU1022 - CROISSANCE URBAIN SUD OUEST</t>
  </si>
  <si>
    <t>VU1024 - CROISSANCE INT NORD-OUEST</t>
  </si>
  <si>
    <t>VU1028 - CROISSANCE INT OUEST</t>
  </si>
  <si>
    <t>VU1055 - CROISSANCE URBAIN NORD OUEST</t>
  </si>
  <si>
    <t>VU1066 - CROISSANCE SUD</t>
  </si>
  <si>
    <t>VU1067 - CROISSANCE EST</t>
  </si>
  <si>
    <t>VU1068 - CROISSANCE SUD OUEST</t>
  </si>
  <si>
    <t>VU1075 - CROISSANCE VE AIRPORT</t>
  </si>
  <si>
    <t>VU1076 - CROISSANCE FERROVIAIRE</t>
  </si>
  <si>
    <t>VU1091 - CROISSANCE AEROPORTUAIRE SUD-EST</t>
  </si>
  <si>
    <t>YS7529 - TRANSPORT DU GRAND AVIGNON TNC</t>
  </si>
  <si>
    <t>YS7623 - ILLINVEST</t>
  </si>
  <si>
    <t>FR_Z_IDF_PISTES</t>
  </si>
  <si>
    <t>FR_FER_Input - France - Rail branches (input)</t>
  </si>
  <si>
    <t>SI111 - TRANSDEV AEROPORT LIAISONS</t>
  </si>
  <si>
    <t>SI113 - TRANSDEV RAIL PUY DE DOME</t>
  </si>
  <si>
    <t>SU3042 - TRANSDEV RAIL ()</t>
  </si>
  <si>
    <t>SU4207 - TRANSDEV RAIL RHONE</t>
  </si>
  <si>
    <t>SU4216A - RHONEXPRESS IP</t>
  </si>
  <si>
    <t>SU553 - CFSF</t>
  </si>
  <si>
    <t>SU558 - TRANSDEV RAIL BRETAGNE</t>
  </si>
  <si>
    <t>SU55801 - CFTA CARHAIX</t>
  </si>
  <si>
    <t>FR_IDF_input - France - Ile de France (input)</t>
  </si>
  <si>
    <t>SI098 - PORTEFEUILLE  - IDF</t>
  </si>
  <si>
    <t>SI106 - SI106 - IDF VT IFRIC 12</t>
  </si>
  <si>
    <t>SI107 - SI107 - IDF VT IFRIC 12</t>
  </si>
  <si>
    <t>SU4005 - ALBATRANS</t>
  </si>
  <si>
    <t>SU526 - TRANSEVRY</t>
  </si>
  <si>
    <t>VU1021 - Croissance IDF</t>
  </si>
  <si>
    <t>XU031 - IFR16 France zone IDF</t>
  </si>
  <si>
    <t>S7214 - AUTOCARS MARNE LA VALLEE</t>
  </si>
  <si>
    <t>S7503 - N’4 MOBILITES</t>
  </si>
  <si>
    <t>S7505 - VAL D'EUROPE AIRPORT</t>
  </si>
  <si>
    <t>S7510 - EUROPE AUTOCARS</t>
  </si>
  <si>
    <t>S7593 - INTERVAL</t>
  </si>
  <si>
    <t>S7595 - TRANSDEV PARIS Est</t>
  </si>
  <si>
    <t>S7750 - TRANSDEV ESPACES</t>
  </si>
  <si>
    <t>S7751 - Transports Marne et Morin</t>
  </si>
  <si>
    <t>S7752 - Cars de Chateau-Thierry</t>
  </si>
  <si>
    <t>S7753 - Cars du Pays de Valois</t>
  </si>
  <si>
    <t>S7754 - SEGAR</t>
  </si>
  <si>
    <t>S7757 - Autocars Darche-Gros</t>
  </si>
  <si>
    <t>SU554 - TCC</t>
  </si>
  <si>
    <t>SI362 - TRANSDEV SENART</t>
  </si>
  <si>
    <t>SI363 - TRANSDEV MARNE LA VALLEE</t>
  </si>
  <si>
    <t>SI364 - TRANSDEV MELUN VAL DE SEINE</t>
  </si>
  <si>
    <t>S7508 - STBC - TUC</t>
  </si>
  <si>
    <t>SI175 - Transdev Trefle</t>
  </si>
  <si>
    <t>SU006 - TVO</t>
  </si>
  <si>
    <t>SU3041 - TRANSDEV ILE DE FRANCE CSP CONTROLE</t>
  </si>
  <si>
    <t>SU599 - CARS ROSE</t>
  </si>
  <si>
    <t>SU635 - AUTOB. DE FORT</t>
  </si>
  <si>
    <t>SU641 - TVF</t>
  </si>
  <si>
    <t>SU654 - TRA</t>
  </si>
  <si>
    <t>SU659 - TRANS VO</t>
  </si>
  <si>
    <t>SU673 - CPL</t>
  </si>
  <si>
    <t>YSI175 - Transdev Trefle (TNC)</t>
  </si>
  <si>
    <t>SI091 - SOCIETE DE PRESTATIONS TRANSDEV IDF</t>
  </si>
  <si>
    <t>SU556A - VT SA</t>
  </si>
  <si>
    <t>SI141 - Transdev ICM</t>
  </si>
  <si>
    <t>SU002 - TOURNEUX</t>
  </si>
  <si>
    <t>SU003 - CSO</t>
  </si>
  <si>
    <t>SU004 - CTCOP</t>
  </si>
  <si>
    <t>SU04701 - PROXI VERSAILLES</t>
  </si>
  <si>
    <t>S7512 - CEA TRANSPORTS</t>
  </si>
  <si>
    <t>S7617 - TRANSDEV PARIS Sud</t>
  </si>
  <si>
    <t>S7619 - CARS D'ORSAY</t>
  </si>
  <si>
    <t>S7621 - BIEVRE BUS MOBILITES</t>
  </si>
  <si>
    <t>S7629 - TIPS</t>
  </si>
  <si>
    <t>SI133 - TRANSDEV LYS</t>
  </si>
  <si>
    <t>SI139 - TRANSDEV CONTROLE PREVENTION SURETE</t>
  </si>
  <si>
    <t>SU594 - STRAV</t>
  </si>
  <si>
    <t>SU655 - SETRA</t>
  </si>
  <si>
    <t>S7163 - PROGETOURS</t>
  </si>
  <si>
    <t>S7581 - VISUAL</t>
  </si>
  <si>
    <t>SU3018 - TRANSDEV SHUTTLE FRANCE</t>
  </si>
  <si>
    <t>FR_Airport_input - France - VE-Airport (input)</t>
  </si>
  <si>
    <t>SI193 - TRANSDEV CARGO</t>
  </si>
  <si>
    <t>SI201 - BRAVO PISTE</t>
  </si>
  <si>
    <t>SI202 - TRAFFIC AIR SERVICES</t>
  </si>
  <si>
    <t>SU682 - Passagers Pôle Services</t>
  </si>
  <si>
    <t>SU686 - MANU-PISTE</t>
  </si>
  <si>
    <t>SU687 - CIRCUL AIR</t>
  </si>
  <si>
    <t>SU688 - Charlipiste</t>
  </si>
  <si>
    <t>SU691 - Trac-Piste</t>
  </si>
  <si>
    <t>SU692 - CARBU WASH</t>
  </si>
  <si>
    <t>SU693 - Interpiste</t>
  </si>
  <si>
    <t>SU694 - VE Airport</t>
  </si>
  <si>
    <t>SU696 - AERO PISTE</t>
  </si>
  <si>
    <t>SU697 - MECA PISTE</t>
  </si>
  <si>
    <t>FR_Z_IDF_TAS_input - France - B.U. TAS (input)</t>
  </si>
  <si>
    <t>S7507 - TRANSDEV AEROPORT SERVICES</t>
  </si>
  <si>
    <t>S7562 - TRANSDEV AEROPORT TRANSIT</t>
  </si>
  <si>
    <t>S7583 - AIRCAR</t>
  </si>
  <si>
    <t>S7645 - AEROPASS</t>
  </si>
  <si>
    <t>S7679 - R'ORLY</t>
  </si>
  <si>
    <t>S7855 - TRANSDEV EQUIPAGES</t>
  </si>
  <si>
    <t>SI196 - PHOEBUS</t>
  </si>
  <si>
    <t>SI197 - FLYBUS</t>
  </si>
  <si>
    <t>SI198 - FARGO</t>
  </si>
  <si>
    <t>FR_Holding_input - FR Holdings (input)</t>
  </si>
  <si>
    <t>S7620 - POLE ILE DE FRANCE IMMOBILIER AND FACILI</t>
  </si>
  <si>
    <t>S7721 - SCI LA TRENTAINE</t>
  </si>
  <si>
    <t>S7761 - SCI 9 Rue des Sources</t>
  </si>
  <si>
    <t>SI025 - TRANSDEV MARITIME</t>
  </si>
  <si>
    <t>SI105 - Autonomie et Santé</t>
  </si>
  <si>
    <t>SU037 - ARY</t>
  </si>
  <si>
    <t>SU044 - Connex LCB</t>
  </si>
  <si>
    <t>SU4210 - TRANSDEV LOCATION DE VEHICULES</t>
  </si>
  <si>
    <t>SU500 - TRANSDEV URBAIN</t>
  </si>
  <si>
    <t>SU548 - FNM2</t>
  </si>
  <si>
    <t>SU549 - IM FONTAINE</t>
  </si>
  <si>
    <t>SU550 - CFTI</t>
  </si>
  <si>
    <t>SU600 - Sud CARS</t>
  </si>
  <si>
    <t>SU639 - SCI DE LA LAVANDE</t>
  </si>
  <si>
    <t>SU644 - CLOS PIERVIL</t>
  </si>
  <si>
    <t>SU648 - LES MELEZES</t>
  </si>
  <si>
    <t>SU661 - LA MARE AU MOULIN (SCI)</t>
  </si>
  <si>
    <t>S7000 - TRANSDEV</t>
  </si>
  <si>
    <t>S7560 - TRANSPART</t>
  </si>
  <si>
    <t>S7758 - Autocars Chambon-Gros</t>
  </si>
  <si>
    <t>S7759 - SCI Le Lureau</t>
  </si>
  <si>
    <t>SI037 - TRANSDEV EXPRESS</t>
  </si>
  <si>
    <t>SI092 - TRANSDEV ON DEMAND France</t>
  </si>
  <si>
    <t>SI099 - GREEN_TOMATO_CARS</t>
  </si>
  <si>
    <t>SI100 - GREENTOMATOCARS LEASING</t>
  </si>
  <si>
    <t>SI124 - TRANSDEV PARK</t>
  </si>
  <si>
    <t>SU026 - TRANSPORTS JOFFET</t>
  </si>
  <si>
    <t>SU4461 - EAP</t>
  </si>
  <si>
    <t>SI177 - CFA TRANSDEV</t>
  </si>
  <si>
    <t>FR_HOLD_input - France - Holdings (input)</t>
  </si>
  <si>
    <t>FR_Other_input - Other France entities (input)</t>
  </si>
  <si>
    <t>S7760 - SCI Le Pré Boudrot</t>
  </si>
  <si>
    <t>SI097 - PORTEFEUILLE  - INTERURBAIN</t>
  </si>
  <si>
    <t>VU1001 - CROISSANCE - INTERURBAIN France</t>
  </si>
  <si>
    <t>VU1030 - CROISSANCE - URBAIN France</t>
  </si>
  <si>
    <t>VU1056 - CROISSANCE SIÈGE</t>
  </si>
  <si>
    <t>VU1070 - CROISSANCE - Ile de France</t>
  </si>
  <si>
    <t>VU1077 - CROISSANCE AUTRE</t>
  </si>
  <si>
    <t>FR_Input_LTP_Adj - France - Input technical entity LTP Adjustment</t>
  </si>
  <si>
    <t>FR_branches_input - Specialty branches (input)</t>
  </si>
  <si>
    <t>FR_SPE_input - France - Specialty branches (input)</t>
  </si>
  <si>
    <t>Reg_act_nouv_input - New activities (input)</t>
  </si>
  <si>
    <t>Reg_dev_inno_input - Development innovation (input)</t>
  </si>
  <si>
    <t>S7570 - TRANSDEV MULTI-MODES</t>
  </si>
  <si>
    <t>S7876 - EQUIVAL SAS NEW</t>
  </si>
  <si>
    <t>SD034TR - GECIR</t>
  </si>
  <si>
    <t>SU047 - PROXIWAY</t>
  </si>
  <si>
    <t>SU4217 - OY BIKE</t>
  </si>
  <si>
    <t>SU4463 - VELOWAY</t>
  </si>
  <si>
    <t>SU593 - MERCUR</t>
  </si>
  <si>
    <t>YSD034TR - GECIR TNC</t>
  </si>
  <si>
    <t>S7530 - TRANSAMO</t>
  </si>
  <si>
    <t>SI215 - TRANSAMO Australasia</t>
  </si>
  <si>
    <t>FR_Z_STA_Input - POLE STATIONNEMENT (Input)</t>
  </si>
  <si>
    <t>SI169 - TRANSDEV PARK SERVICES</t>
  </si>
  <si>
    <t>SI170 - SEVM SAS</t>
  </si>
  <si>
    <t>SI171 - TRANSDEV PARK LAVAL</t>
  </si>
  <si>
    <t>SI172 - TRANSDEV PARK RAMBOUILLET</t>
  </si>
  <si>
    <t>SI173 - TRANSDEV PARK SURESNES</t>
  </si>
  <si>
    <t>SI174 - UPI URBIS PARK INFRASTRUCTURES</t>
  </si>
  <si>
    <t>SI179 - CONTROLE DE STATIONNEMENT EN VOIRIE</t>
  </si>
  <si>
    <t>SI187 - TRANSDEV PARK BAGNEUX</t>
  </si>
  <si>
    <t>YSI174 - UPI URBIS PARK INFRASTRUCTURES (non conso)</t>
  </si>
  <si>
    <t>FR_Z_SUD_SANTE_input - France - Pôle Santé Zone Sud (input)</t>
  </si>
  <si>
    <t>SI142 - SANTE MOBILITE SERVICES</t>
  </si>
  <si>
    <t>SI146 - SAS LA MIMETAINE</t>
  </si>
  <si>
    <t>SI147 - BIO SERVICE LOGISTIQUE</t>
  </si>
  <si>
    <t>SI148 - SARL La Belle Auto</t>
  </si>
  <si>
    <t>SI150 - DELEYROLLE AAAC</t>
  </si>
  <si>
    <t>SI151 - SUD LOGISTIQUE</t>
  </si>
  <si>
    <t>SI152 - MIDI PROVENCE</t>
  </si>
  <si>
    <t>SI153 - NOUVELLE MEDISUD</t>
  </si>
  <si>
    <t>SI154 - GROUPEMENT D'ENSEIGNEMENT DU TRANSPORT SANITAIRE</t>
  </si>
  <si>
    <t>SI155 - AMBULANCES MARTEGALES</t>
  </si>
  <si>
    <t>SI157 - LITTORAL</t>
  </si>
  <si>
    <t>SI158 - AMBULANCES PONT DE L'ARC</t>
  </si>
  <si>
    <t>SI159 - PROVENCE SECOURS</t>
  </si>
  <si>
    <t>SI160 - SOCIETE D'EXPLOITATION AMBULANCES LA MIMETAINE</t>
  </si>
  <si>
    <t>SI161 - SOCIETE NOUVELLE AMBULANCES PATRICK</t>
  </si>
  <si>
    <t>SI162 - La Mimetaine</t>
  </si>
  <si>
    <t>SI203 - PARTROPEN SANITRANS</t>
  </si>
  <si>
    <t>SI204 - COLMAR SECOURS AMBULANCE</t>
  </si>
  <si>
    <t>SI205 - COLMAR AMBULANCES</t>
  </si>
  <si>
    <t>SI206 - AMBULANCES GUIRADO</t>
  </si>
  <si>
    <t>SI207 - GROUPEMENT AMBULANCIER DU GRAND EST</t>
  </si>
  <si>
    <t>SI208 - TAXI AMBULANCE BON SAUVEUR</t>
  </si>
  <si>
    <t>SI209 - TAXIS ASA</t>
  </si>
  <si>
    <t>SI210 - ERISTE</t>
  </si>
  <si>
    <t>SI211 - AMBULANCES DE LA HARDT</t>
  </si>
  <si>
    <t>SI226 - GIE A13</t>
  </si>
  <si>
    <t>VU1023 - CROISSANCE TRANSPORT A LA DEMANDE</t>
  </si>
  <si>
    <t>FR_TRAXX_Reject - France TRAXX  Reject</t>
  </si>
  <si>
    <t>FR_Z_NORD_AERO_input - France - Pôle Aeroportuaire Zone Nord (input)</t>
  </si>
  <si>
    <t>SI022 - SAGEB</t>
  </si>
  <si>
    <t>SI023 - TPB</t>
  </si>
  <si>
    <t>SI056ME - SOGAREL MISE EN EQUIVALENCE</t>
  </si>
  <si>
    <t>FR_Z_NORD_PNPC_input - France - Pôle Picardie Nord-Pas-de-Calais (input)</t>
  </si>
  <si>
    <t>S7672 - TRANSDEV MOBILITES DU SAINT QUENTINOIS </t>
  </si>
  <si>
    <t>S7677 - LAON</t>
  </si>
  <si>
    <t>SI051 - TRANSDEV NORD</t>
  </si>
  <si>
    <t>SI052 - TRANSDEV LITTORAL NORD</t>
  </si>
  <si>
    <t>SU048 - TRANSDEV COMPAGNIE AXONAISE</t>
  </si>
  <si>
    <t>SU053 - TRANSDEV ARTESIENS</t>
  </si>
  <si>
    <t>SU532 - STDE</t>
  </si>
  <si>
    <t>SU533 - STCE</t>
  </si>
  <si>
    <t>SU55012 - CFTI COMPIÈGNE</t>
  </si>
  <si>
    <t>SI074 - TRANSPORTS URBAINS DU VALENCIENNOIS</t>
  </si>
  <si>
    <t>SI137 - TRANSDEV ARTOIS GOHELLE</t>
  </si>
  <si>
    <t>SI032 - ATRIOM CPG</t>
  </si>
  <si>
    <t>SI070 - TRANSDEV PICARDIE</t>
  </si>
  <si>
    <t>SI132 - TRANSDEV BEAUVAISIS MOBILITES</t>
  </si>
  <si>
    <t>SI365 - TRIO_1</t>
  </si>
  <si>
    <t>SI366 - TRIO_3</t>
  </si>
  <si>
    <t>SU012 - TRANSDEV OISE CABARO</t>
  </si>
  <si>
    <t>SU051 - CAP</t>
  </si>
  <si>
    <t>SU4462 - ATRIOM BVS</t>
  </si>
  <si>
    <t>FR_Z_NORD_BC_input - France - Pôle Bourgogne Franche-Comte (input)</t>
  </si>
  <si>
    <t>S7511 - TRANSDEV BFC SUD</t>
  </si>
  <si>
    <t>S7514 - TRANSDEV STAC</t>
  </si>
  <si>
    <t>S7518 - TRANSDEV BFC NORD</t>
  </si>
  <si>
    <t>S7520 - TRANSDEV AUXERROIS</t>
  </si>
  <si>
    <t>S7526 - TRANSDEV PAYS D’OR</t>
  </si>
  <si>
    <t>S7596 - TRANSDEV Est - Holding</t>
  </si>
  <si>
    <t>SI108 - SENONAIS MOBILITES</t>
  </si>
  <si>
    <t>SI178 - MACONNAIS MOBILITES</t>
  </si>
  <si>
    <t>SU4214 - TRANSDEV CMT</t>
  </si>
  <si>
    <t>FR_CO_input - France Center west (input)</t>
  </si>
  <si>
    <t>FR_Z_NORD_BPL_input - France - Pôle Bretagne-Pays de la Loire (input)</t>
  </si>
  <si>
    <t>S7723 - ST BRIEUC MOBILITE</t>
  </si>
  <si>
    <t>SI021 - SNC CHEVALIER</t>
  </si>
  <si>
    <t>SI038 - KERDONIS</t>
  </si>
  <si>
    <t>SI068 - SERI 49</t>
  </si>
  <si>
    <t>SI072 - MELVAN</t>
  </si>
  <si>
    <t>SI134 - TRANSDEV EXPRESS GRAND OUEST</t>
  </si>
  <si>
    <t>SI191 - TRANSDEV GUINGAMP-PAIMPOL AGGLOMERATION</t>
  </si>
  <si>
    <t>SU063 - CAT</t>
  </si>
  <si>
    <t>SU078 - CTS</t>
  </si>
  <si>
    <t>SU085 - TPV</t>
  </si>
  <si>
    <t>SU095 - Bacs Loire</t>
  </si>
  <si>
    <t>SU099 - COMP GOLFE</t>
  </si>
  <si>
    <t>SU4213 - TRANSDEV FOUGERES</t>
  </si>
  <si>
    <t>SU4437 - STAO - PL</t>
  </si>
  <si>
    <t>SU4455 - VAD</t>
  </si>
  <si>
    <t>SU446301 - VELO VANNES</t>
  </si>
  <si>
    <t>SU4491 - STERNE</t>
  </si>
  <si>
    <t>SU4492 - ENEZ EDIG</t>
  </si>
  <si>
    <t>SU4493 - ENEZ HOUAD</t>
  </si>
  <si>
    <t>SU4494 - CIE OCEANE</t>
  </si>
  <si>
    <t>SU781A - CARSUD SA (MEE)</t>
  </si>
  <si>
    <t>SU981 - JERSEY</t>
  </si>
  <si>
    <t>SI361 - TRANSDEV BRETAGNE</t>
  </si>
  <si>
    <t>FR_Z_NORD_CPC_input - France - Pôle Centre Val De Loire (input)</t>
  </si>
  <si>
    <t>S7506 - SETAO</t>
  </si>
  <si>
    <t>S7516 - Transdev Loiret</t>
  </si>
  <si>
    <t>S7521 - ODULYS</t>
  </si>
  <si>
    <t>S7649 - TRANSDEV ORLEANS</t>
  </si>
  <si>
    <t>S7716 - CHARTRES MOBILITE</t>
  </si>
  <si>
    <t>SI048 - TPMR TOURS</t>
  </si>
  <si>
    <t>SI101 - EURE-ET-LOIR MOBILITÉ</t>
  </si>
  <si>
    <t>SU031 - Transdev Loir et Cher</t>
  </si>
  <si>
    <t>SU035 - Transdev Eure et Loir</t>
  </si>
  <si>
    <t>SU075 - Transdev Touraine</t>
  </si>
  <si>
    <t>SU50004 - CGFTE Vierzon</t>
  </si>
  <si>
    <t>FR_NE_input - France North east (input)</t>
  </si>
  <si>
    <t>FR_Z_NORD_AL_input - France - Pôle Alsace-Lorraine Champagne Ardenne (input)</t>
  </si>
  <si>
    <t>FR_Z_NORD_GE_input - France - Pôle Grand Est (input)</t>
  </si>
  <si>
    <t>S7236 - T.C.R.M TRANSP. COMMUNS REGION METZ</t>
  </si>
  <si>
    <t>S7245 - TRANSDEV Nord Est</t>
  </si>
  <si>
    <t>S7247 - TRANSDEV ALSACE</t>
  </si>
  <si>
    <t>S7502 - TRANS'L</t>
  </si>
  <si>
    <t>S7519 - COURRIERS DE L'AUBE</t>
  </si>
  <si>
    <t>SI047 - TRANSDEV LIGNES VOSGES (TLV)</t>
  </si>
  <si>
    <t>SI069 - TPMR Strasbourg (Mobistras)</t>
  </si>
  <si>
    <t>SI102  - TRANSDEV SAINT-DIZIER</t>
  </si>
  <si>
    <t>SI195 - TRANSDEV SAINT-DIE-DES-VOSGES</t>
  </si>
  <si>
    <t>SI220 - Transdev Verdun</t>
  </si>
  <si>
    <t>SU008 - BUS Est</t>
  </si>
  <si>
    <t>SU040 - RAPIDES DE LA MEUSE</t>
  </si>
  <si>
    <t>SU091 - Tps S&amp;B</t>
  </si>
  <si>
    <t>SU4464 - TRANSDEV GRAND EST</t>
  </si>
  <si>
    <t>SU50011 - VTU NANCY SUB</t>
  </si>
  <si>
    <t>SU508 - CONNEX EPINAL</t>
  </si>
  <si>
    <t>SU529 - KUNEGEL</t>
  </si>
  <si>
    <t>SU55006 - CFTI METZ</t>
  </si>
  <si>
    <t>SU55019 - CFTI EPINAL</t>
  </si>
  <si>
    <t>XU033 - IFR16 France TLV</t>
  </si>
  <si>
    <t>S7718 - TRANSDEV REIMS</t>
  </si>
  <si>
    <t>SU505 - TRANSDEV NANCY</t>
  </si>
  <si>
    <t>S7726 - SOLEA</t>
  </si>
  <si>
    <t>SI128 - Mulhouse Mobilités</t>
  </si>
  <si>
    <t>FR_Z_NORD_Input - Zone Nord (input)</t>
  </si>
  <si>
    <t>FR_NO_input - France North west (input)</t>
  </si>
  <si>
    <t>FR_Z_NORD_NORM_input - France - Pôle Normandie (input)</t>
  </si>
  <si>
    <t>SI228 - Caux Seine Mobilité</t>
  </si>
  <si>
    <t>SU069 - TRANSDEV NORMANDIE VAL DE SEINE</t>
  </si>
  <si>
    <t>SU4436 - TRANSDEV NORMANDIE INTERURBAIN</t>
  </si>
  <si>
    <t>SU4460 - Transdev Normandie Manche</t>
  </si>
  <si>
    <t>SU4488 - Transdev Normandie Pays de Caux</t>
  </si>
  <si>
    <t>SU50016 - VTU SAINT LÔ</t>
  </si>
  <si>
    <t>SU50023 - VTU SEINE EURE</t>
  </si>
  <si>
    <t>SU503 - Transdev Urbain Dieppe</t>
  </si>
  <si>
    <t>SU501 - TCAR</t>
  </si>
  <si>
    <t>SU506 - TRANSDEV LE HAVRE</t>
  </si>
  <si>
    <t>SU530 - SOMETRAR</t>
  </si>
  <si>
    <t>SI073 - TRANSDEV MONT SAINT MICHEL</t>
  </si>
  <si>
    <t>SI404 - TRANSDEV COTENTIN</t>
  </si>
  <si>
    <t>FR_Z_NORD_URB_input - France - Urbains Zone Nord (Input)</t>
  </si>
  <si>
    <t>S7541 - BESANÇON MOBILITÉ</t>
  </si>
  <si>
    <t>XU029 - IFR16 France zone NORD</t>
  </si>
  <si>
    <t>FR_SO_input - France South west (input)</t>
  </si>
  <si>
    <t>FR_Z_SUD_AQ_LIM_Input - France - Pôle Aquitaine Limousin Poitou-Charentes (input)</t>
  </si>
  <si>
    <t>S7553 - TRANSDEV URBAIN GRAND VILLENEUVOIS</t>
  </si>
  <si>
    <t>S7654 - TRANSDEV Sud Ouest - (ex-ATCRB)</t>
  </si>
  <si>
    <t>SI035 - TRANSDEV DU MARSAN</t>
  </si>
  <si>
    <t>SI036 - TRANSDEV PAYS ROCHEFORTAIS</t>
  </si>
  <si>
    <t>SI049 - TRANSDEV AGGLOMERATION DE BAYONNE</t>
  </si>
  <si>
    <t>SI123 - Transdev Express Sud Ouest</t>
  </si>
  <si>
    <t>SI12302 - TESO LA ROCHELLE</t>
  </si>
  <si>
    <t>SI12303 - TESO ROYAN</t>
  </si>
  <si>
    <t>SI129 - TRANSDEV BASSIN D'ARCACHON</t>
  </si>
  <si>
    <t>SI138 - TRANSDEV NIORT AGGLOMERATION</t>
  </si>
  <si>
    <t>SI186 - Transdev La Rochelle</t>
  </si>
  <si>
    <t>SI189 - TRANSDEV MARITIME LA ROCHELLE</t>
  </si>
  <si>
    <t>SI221 - Transdev Urbain Libournais</t>
  </si>
  <si>
    <t>SU010 - TRANSP LIB</t>
  </si>
  <si>
    <t>SU015 - CITRAM AQUITAINE</t>
  </si>
  <si>
    <t>SU016 - TRANSDEV POITOU-CHARENTE</t>
  </si>
  <si>
    <t>SU017 - CITRAM PYRENEES</t>
  </si>
  <si>
    <t>SU04702 - Proxiway La Rochelle</t>
  </si>
  <si>
    <t>SU055 - MONEGER</t>
  </si>
  <si>
    <t>SU327 - CFTA CO</t>
  </si>
  <si>
    <t>SU377 - OCECARS</t>
  </si>
  <si>
    <t>SU392 - SEM AAAS</t>
  </si>
  <si>
    <t>SU4211 - TRANSDEV ROYAN ATLANTIQUE</t>
  </si>
  <si>
    <t>SU4212 - TRANSDEV BRIVE</t>
  </si>
  <si>
    <t>SU50019 - VTU ARCACHON</t>
  </si>
  <si>
    <t>SU50021 - VTU ROCHELLE</t>
  </si>
  <si>
    <t>SU50022 - VT Sud Ouest</t>
  </si>
  <si>
    <t>SU50026 - VTU MONT DE MARSAN</t>
  </si>
  <si>
    <t>SU50027 - VTU COGNAC</t>
  </si>
  <si>
    <t>SU50028 - TDU SUD PAYS BASQUE</t>
  </si>
  <si>
    <t>SU50029 - TDU Niort</t>
  </si>
  <si>
    <t>SU504 - VT BORDEAUX</t>
  </si>
  <si>
    <t>SU543 - PREVOST</t>
  </si>
  <si>
    <t>SU545 - TPMR Bordeaux</t>
  </si>
  <si>
    <t>SU55004 - CFTI BORDEAUX</t>
  </si>
  <si>
    <t>SU552 - SFA IG</t>
  </si>
  <si>
    <t>SU55807 - TRANSDEV RAIL</t>
  </si>
  <si>
    <t>FR_Z_SUD_Input - Zone Sud (Input)</t>
  </si>
  <si>
    <t>FR_Z_SUD_MP_LR_input - France - Pôle Occitanie (input)</t>
  </si>
  <si>
    <t>S7527 - TRANSDEV MONTPELLIER</t>
  </si>
  <si>
    <t>S7566 - TRANSDEV OCCITANIE LITTORAL</t>
  </si>
  <si>
    <t>SI066 - TRANSDEV AEROPORT CARCASSONNE</t>
  </si>
  <si>
    <t>SI067 - TRANSDEV AEROPORT PERPIGNAN</t>
  </si>
  <si>
    <t>SI168 - AIR PY</t>
  </si>
  <si>
    <t>SI188 - Transdev Nîmes Mobilités</t>
  </si>
  <si>
    <t>SI218 - T3M</t>
  </si>
  <si>
    <t>SU023 - MIDI PYRENEES</t>
  </si>
  <si>
    <t>SU030 - TRANSDEV OCCITANIE PAYS NIMOIS</t>
  </si>
  <si>
    <t>SU4209 - TPMR TOULOUSE</t>
  </si>
  <si>
    <t>SU4466 - ANTRAS</t>
  </si>
  <si>
    <t>SU4467 - TRANSDEV OCCITANIE OUEST</t>
  </si>
  <si>
    <t>SU4472 - Nîmes</t>
  </si>
  <si>
    <t>SU50014 - VTU BEZIERS</t>
  </si>
  <si>
    <t>SU50018 - VTU TOULOUSE</t>
  </si>
  <si>
    <t>SU521 - CONNEX Toulouse</t>
  </si>
  <si>
    <t>SU55022 - CFTI POM</t>
  </si>
  <si>
    <t>FR_Ocean_input - Indian Ocean (input)</t>
  </si>
  <si>
    <t>FR_Z_SUD_OM_input - France - Pôle Outre-Mer (input)</t>
  </si>
  <si>
    <t>S7549 - SOTRADER</t>
  </si>
  <si>
    <t>S7738 - TRANSDEV Océan Indien</t>
  </si>
  <si>
    <t>SU3040 - TRANSDEV SERVICES REUNION</t>
  </si>
  <si>
    <t>SU570 - CMTS</t>
  </si>
  <si>
    <t>SI367 - TRANSDEV MAYOTTE</t>
  </si>
  <si>
    <t>YSI367 - TRANSDEV MAYOTTE NC</t>
  </si>
  <si>
    <t>FR_SE_input - France South east (input)</t>
  </si>
  <si>
    <t>FR_Z_SUD_PROV_input - France - Pôle PACA (input)</t>
  </si>
  <si>
    <t>FR_Z_SUD_AZ_COR_input - France - Pôle Côte-d'Azur Corse (input)</t>
  </si>
  <si>
    <t>S7534 - SNA AJACCIENS</t>
  </si>
  <si>
    <t>SI053 - MUSSO</t>
  </si>
  <si>
    <t>SI090 - VENAP</t>
  </si>
  <si>
    <t>SU009 - SNEG</t>
  </si>
  <si>
    <t>SU446302 - VELO NICE</t>
  </si>
  <si>
    <t>SU50013 - VTU CANNES</t>
  </si>
  <si>
    <t>SU50020 - VTU GRASSE</t>
  </si>
  <si>
    <t>SU50025 - VTU ANTIBES</t>
  </si>
  <si>
    <t>SU509 - ST2N</t>
  </si>
  <si>
    <t>SU510 - TRANSDEV COTE D'AZUR</t>
  </si>
  <si>
    <t>SU512 - TRANSDEV MONACO</t>
  </si>
  <si>
    <t>SU55017 - CFTI CANNES</t>
  </si>
  <si>
    <t>SU561 - TRANSDEV ALPES MARITIMES</t>
  </si>
  <si>
    <t>S7580 - COMPAGNIE des AUTOCARS DE PROVENCE</t>
  </si>
  <si>
    <t>S7586 - TRANSPORT en COMMUN d'ORANGE</t>
  </si>
  <si>
    <t>SI084 - TRANSDEV ARLES</t>
  </si>
  <si>
    <t>SI104 - AUTOBUS DE L'ETANG</t>
  </si>
  <si>
    <t>SI109 - Transdev ISTRES</t>
  </si>
  <si>
    <t>SI13001 - TRANSDEV EXPRESS RHONE-ALPES AUVERGNE GARDANNE</t>
  </si>
  <si>
    <t>SU515 - ALIZES</t>
  </si>
  <si>
    <t>SU611 - CARS D'AIX</t>
  </si>
  <si>
    <t>SU619 - UTOB. AURE</t>
  </si>
  <si>
    <t>SU628 - MOUV'IDEES</t>
  </si>
  <si>
    <t>SU628IG - MOUV'IDEES (IG)</t>
  </si>
  <si>
    <t>SU634 - AUTOB. AUBAGNAIS</t>
  </si>
  <si>
    <t>SU636 - BEB</t>
  </si>
  <si>
    <t>SU638 - SABARDU</t>
  </si>
  <si>
    <t>SU646 - TRANSDEV VITROLLES</t>
  </si>
  <si>
    <t>SU652 - SVT</t>
  </si>
  <si>
    <t>S7579 - TRANSDEV Sud - Holding</t>
  </si>
  <si>
    <t>SU4496 - SNC MASSILIA</t>
  </si>
  <si>
    <t>SU520 - FRIOUL</t>
  </si>
  <si>
    <t>SU630 - TRANSDEV MEDITERRANEE</t>
  </si>
  <si>
    <t>SU637 - Mobilink (ex-Ciotabus)</t>
  </si>
  <si>
    <t>S7531 - TRANSDEV VAUCLUSE</t>
  </si>
  <si>
    <t>S7532 - TCR AVIGNON</t>
  </si>
  <si>
    <t>S7567 - BREMOND</t>
  </si>
  <si>
    <t>SI219 - TRANSDEV MANOSQUE</t>
  </si>
  <si>
    <t>SI225 - TRANSDEV DURANCE</t>
  </si>
  <si>
    <t>SU4435 - LDV</t>
  </si>
  <si>
    <t>SU502 - RMTT</t>
  </si>
  <si>
    <t>S7714 - HANDILIB</t>
  </si>
  <si>
    <t>SU381 - ESTEREL CAR</t>
  </si>
  <si>
    <t>SU4109 - CTR</t>
  </si>
  <si>
    <t>SU55003 - CFTI VALLAURIS</t>
  </si>
  <si>
    <t>SU613 - MEDIA CITE</t>
  </si>
  <si>
    <t>SU617 - Energie Bus</t>
  </si>
  <si>
    <t>SU620 - AUTOC. BLANC</t>
  </si>
  <si>
    <t>SU632 - AUTOB. AIXOIS</t>
  </si>
  <si>
    <t>SU649 - TRANS-SERVICES</t>
  </si>
  <si>
    <t>SU651IG - Rubans bleus (IG)</t>
  </si>
  <si>
    <t>SU695 - SMEA</t>
  </si>
  <si>
    <t>FR_CE_input - France Center east (input)</t>
  </si>
  <si>
    <t>FR_Z_SUD_RAA_input - France - Pôle Rhône-Alpes Auvergne (input)</t>
  </si>
  <si>
    <t>S7244 - TRANSDEV DAUPHINE</t>
  </si>
  <si>
    <t>S7515 - TRANSDEV AUVERGNE</t>
  </si>
  <si>
    <t>S7528 - TRANSDEV BRIANCON</t>
  </si>
  <si>
    <t>S7533 - TRANSDEV VALENCE MOBILITE</t>
  </si>
  <si>
    <t>S7565 - TRANSDEV MARTIN</t>
  </si>
  <si>
    <t>S7582 - TRANSDEV SAVOIE</t>
  </si>
  <si>
    <t>S7587 - ALTIBUS</t>
  </si>
  <si>
    <t>S7594 - TRANSDEV MONT BLANC BUS</t>
  </si>
  <si>
    <t>S7612 - TRANSDEV ALPES - Holding</t>
  </si>
  <si>
    <t>S7613 - TRANSDEV BASSIN ANNECIEN</t>
  </si>
  <si>
    <t>S7614 - DUNAND</t>
  </si>
  <si>
    <t>S7615 - TRANSDEV HAUTE SAVOIE</t>
  </si>
  <si>
    <t>S7640 - SCI MARAIS BELLENE</t>
  </si>
  <si>
    <t>S7739 - TRANSPORT BERARD</t>
  </si>
  <si>
    <t>SI026 - TELEPHERIQUE</t>
  </si>
  <si>
    <t>SI096 - TRANSDEV CHAMBERY</t>
  </si>
  <si>
    <t>SI130 - TRANSDEV EXPRESS RHONE-ALPES AUVERGNE</t>
  </si>
  <si>
    <t>SI190 - TRANSDEV VICHY</t>
  </si>
  <si>
    <t>SI192 - TRANSDEV DROME</t>
  </si>
  <si>
    <t>SI194 - TRANSDEV ALBERTVILLE</t>
  </si>
  <si>
    <t>SU068 - TRANSDEV RHÔNE ALPES INTERURBAIN</t>
  </si>
  <si>
    <t>SU086 - TRANSDEV ANNONAY</t>
  </si>
  <si>
    <t>SU4202 - TRANSDEV VALENCE</t>
  </si>
  <si>
    <t>SU4401 - CFM</t>
  </si>
  <si>
    <t>SU4438 - M&amp;S</t>
  </si>
  <si>
    <t>SU519 - C.Chambéry</t>
  </si>
  <si>
    <t>SU523 - TRANSDEV ROANNE</t>
  </si>
  <si>
    <t>SU534 - CVF</t>
  </si>
  <si>
    <t>SU535 - STAT</t>
  </si>
  <si>
    <t>SU55015 - CFTI Région Rhône Alpes</t>
  </si>
  <si>
    <t>VU1026 - CROISSANCE INT RHONE ALPES</t>
  </si>
  <si>
    <t>SU565 - TRANSDEV SAINT ETIENNE</t>
  </si>
  <si>
    <t>FR_Z_SUD_URB_input - France - Urbains Zone Sud (input)</t>
  </si>
  <si>
    <t>XU030 - IFR16 France zone SUD</t>
  </si>
  <si>
    <t>Tango_France_Reject - Tango France Reject</t>
  </si>
  <si>
    <t>XU032 - IFR16 France hors zone</t>
  </si>
  <si>
    <t>FR_SNCM_Input - SNCM - Input technical entity</t>
  </si>
  <si>
    <t>SU3100 - SNCM</t>
  </si>
  <si>
    <t>SU3103 - Sté Aubagnaise Restauration et Appro</t>
  </si>
  <si>
    <t>SU3104 - Cie Generale de Tourisme et Hotellerie</t>
  </si>
  <si>
    <t>SU3105 - Aliso Voyages</t>
  </si>
  <si>
    <t>SU3106 - Méditerranéenne Consignation Manutention</t>
  </si>
  <si>
    <t>SU3107 - Ferrytour</t>
  </si>
  <si>
    <t>SU3109 - Sté Informatique et Telematique Corse</t>
  </si>
  <si>
    <t>SU3111 - Comptoirs du Sud</t>
  </si>
  <si>
    <t>Inter_Coaches_Eurolines_Input - Eurolines - Input technical entity</t>
  </si>
  <si>
    <t>S2140 - TRANSDEV EUROLINES</t>
  </si>
  <si>
    <t>SU043 - EUROLINES FRANCE</t>
  </si>
  <si>
    <t>SU2005 - VEOLIA EUROLINES CZ A.S.</t>
  </si>
  <si>
    <t>SU3027 - MOVEBUS</t>
  </si>
  <si>
    <t>SU3028 - EUROLINES PENINSULAR</t>
  </si>
  <si>
    <t>SU3029 - VIAJES EUROLINES</t>
  </si>
  <si>
    <t>SUS2155 - EUROLINES BELGIQUE</t>
  </si>
  <si>
    <t>SUS2173 - Eurolines Netherlands NV</t>
  </si>
  <si>
    <t>SUS2179 - VEOLIA EUROLINES POLSKA SP. Z</t>
  </si>
  <si>
    <t>SUS3005 - VT EUROLINES POLSKA</t>
  </si>
  <si>
    <t>VU1081 - GROWTH EUROLINES</t>
  </si>
  <si>
    <t>XU034 - IFR16 Eurolines - Isilines</t>
  </si>
  <si>
    <t>SI085ME - TRENITALIA TRANSDEV SAS MEE</t>
  </si>
  <si>
    <t>SI002 - JV VT TRENITALIA</t>
  </si>
  <si>
    <t>SI085 - TRENITALIA VEOLIA TRANSDEV SAS</t>
  </si>
  <si>
    <t>Zone France_Other_Input - Other Zone France - Input technical entity</t>
  </si>
  <si>
    <t>SI403</t>
  </si>
  <si>
    <t>SI401</t>
  </si>
  <si>
    <t>SI368</t>
  </si>
  <si>
    <t>SI402</t>
  </si>
  <si>
    <t>YSI410</t>
  </si>
  <si>
    <t>UR_BU</t>
  </si>
  <si>
    <t>UR_LR</t>
  </si>
  <si>
    <t>UR_M</t>
  </si>
  <si>
    <t>UR_MM</t>
  </si>
  <si>
    <t>UR_CY</t>
  </si>
  <si>
    <t>UR_CA</t>
  </si>
  <si>
    <t>UR_BO</t>
  </si>
  <si>
    <t>UR_B2B</t>
  </si>
  <si>
    <t>UR_input</t>
  </si>
  <si>
    <t>SU_B</t>
  </si>
  <si>
    <t>SU_H</t>
  </si>
  <si>
    <t>SU_MM</t>
  </si>
  <si>
    <t>SU_B2B</t>
  </si>
  <si>
    <t>SU_input</t>
  </si>
  <si>
    <t>SD_PA</t>
  </si>
  <si>
    <t>SD_MM</t>
  </si>
  <si>
    <t>SO_input</t>
  </si>
  <si>
    <t>RC_S</t>
  </si>
  <si>
    <t>RC_RL</t>
  </si>
  <si>
    <t>RC_CH</t>
  </si>
  <si>
    <t>RC_SC</t>
  </si>
  <si>
    <t>RC_SHC</t>
  </si>
  <si>
    <t>RC_B2B</t>
  </si>
  <si>
    <t>RC_input</t>
  </si>
  <si>
    <t>RH</t>
  </si>
  <si>
    <t>NIH</t>
  </si>
  <si>
    <t>HRAIL_input</t>
  </si>
  <si>
    <t>NIC</t>
  </si>
  <si>
    <t>FE</t>
  </si>
  <si>
    <t>CO_SR</t>
  </si>
  <si>
    <t>CO_SHR</t>
  </si>
  <si>
    <t>CO_B2B</t>
  </si>
  <si>
    <t>CO_input</t>
  </si>
  <si>
    <t>AT_AS</t>
  </si>
  <si>
    <t>AT_LS</t>
  </si>
  <si>
    <t>AT_B2B</t>
  </si>
  <si>
    <t>AT_input</t>
  </si>
  <si>
    <t>OS_AS</t>
  </si>
  <si>
    <t>OS_MA</t>
  </si>
  <si>
    <t>OS_CO</t>
  </si>
  <si>
    <t>OS_IS</t>
  </si>
  <si>
    <t>OS_DS</t>
  </si>
  <si>
    <t>OS_D</t>
  </si>
  <si>
    <t>OS_CC</t>
  </si>
  <si>
    <t>OS_TA</t>
  </si>
  <si>
    <t>OS_PR</t>
  </si>
  <si>
    <t>OS_AV</t>
  </si>
  <si>
    <t>OS_MAAS</t>
  </si>
  <si>
    <t>OS_input</t>
  </si>
  <si>
    <t>STA_PK</t>
  </si>
  <si>
    <t>STA_VO</t>
  </si>
  <si>
    <t>STA_HO</t>
  </si>
  <si>
    <t>STA_CTRL</t>
  </si>
  <si>
    <t>HO</t>
  </si>
  <si>
    <t>NA</t>
  </si>
  <si>
    <t>Reject_Data</t>
  </si>
  <si>
    <t>ZGP&amp;AP_Country</t>
  </si>
  <si>
    <t>Growth_Plan_Orga_Country</t>
  </si>
  <si>
    <t>D</t>
  </si>
  <si>
    <t>N</t>
  </si>
  <si>
    <t>[Begin Format Range]</t>
  </si>
  <si>
    <t>[End Format Range]</t>
  </si>
  <si>
    <t>Server</t>
  </si>
  <si>
    <t>tango_core_model:</t>
  </si>
  <si>
    <t>PHASE_LTP</t>
  </si>
  <si>
    <t>YEAR_LTP</t>
  </si>
  <si>
    <t>Country</t>
  </si>
  <si>
    <t>Indicator</t>
  </si>
  <si>
    <t>ST Weighting Rate</t>
  </si>
  <si>
    <t>Restit</t>
  </si>
  <si>
    <t>Year Slected :</t>
  </si>
  <si>
    <t>Transfo_Plan_Action_Country</t>
  </si>
  <si>
    <t>Growth_Plan_Ext_Country</t>
  </si>
  <si>
    <t>Transfo_Plan_Disp_Country</t>
  </si>
  <si>
    <t>Growth_Plan_Ext_Corp</t>
  </si>
  <si>
    <t>Growth_Plan_Orga_Corp</t>
  </si>
  <si>
    <t>Transfo_Plan_Action_Corp</t>
  </si>
  <si>
    <t>Transfo_Plan_Disp_Corp</t>
  </si>
  <si>
    <t>ZGP&amp;AP_Corp</t>
  </si>
  <si>
    <t>LTP Component</t>
  </si>
  <si>
    <t>STR_VAR1</t>
  </si>
  <si>
    <t>Index</t>
  </si>
  <si>
    <t>Size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</si>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</sst>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name val="Calibri"/>
      <family val="2"/>
    </font>
    <font>
      <sz val="11"/>
      <name val="Calibri"/>
      <family val="2"/>
    </font>
    <font>
      <sz val="10"/>
      <name val="Arial"/>
      <family val="2"/>
    </font>
    <font>
      <b/>
      <sz val="12"/>
      <name val="Calibri"/>
      <family val="2"/>
    </font>
    <font>
      <b/>
      <sz val="2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auto="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4">
    <xf numFmtId="0" fontId="0" fillId="0" borderId="0"/>
    <xf numFmtId="0" fontId="7" fillId="0" borderId="0"/>
    <xf numFmtId="0" fontId="7" fillId="0" borderId="0"/>
    <xf numFmtId="0" fontId="7" fillId="0" borderId="0"/>
  </cellStyleXfs>
  <cellXfs count="29">
    <xf numFmtId="0" fontId="0" fillId="0" borderId="0" xfId="0"/>
    <xf numFmtId="0" fontId="0" fillId="0" borderId="2" xfId="0" applyBorder="1"/>
    <xf numFmtId="0" fontId="0" fillId="0" borderId="0" xfId="0" applyProtection="1">
      <protection locked="0"/>
    </xf>
    <xf numFmtId="0" fontId="0" fillId="5" borderId="0" xfId="0" applyFont="1" applyFill="1" applyProtection="1">
      <protection locked="0"/>
    </xf>
    <xf numFmtId="0" fontId="0" fillId="0" borderId="0" xfId="0" applyProtection="1"/>
    <xf numFmtId="0" fontId="0" fillId="5" borderId="0" xfId="0" applyFont="1" applyFill="1" applyProtection="1"/>
    <xf numFmtId="0" fontId="6" fillId="10" borderId="4" xfId="0" applyNumberFormat="1" applyFont="1" applyFill="1" applyBorder="1" applyAlignment="1" applyProtection="1">
      <alignment horizontal="right" vertical="center" indent="1"/>
      <protection locked="0"/>
    </xf>
    <xf numFmtId="0" fontId="11" fillId="0" borderId="0" xfId="0" applyFont="1" applyProtection="1"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alignment horizontal="right"/>
      <protection locked="0"/>
    </xf>
    <xf numFmtId="0" fontId="1" fillId="3" borderId="1" xfId="0" applyFont="1" applyFill="1" applyBorder="1" applyProtection="1"/>
    <xf numFmtId="0" fontId="0" fillId="3" borderId="0" xfId="0" applyFill="1" applyProtection="1"/>
    <xf numFmtId="0" fontId="3" fillId="3" borderId="0" xfId="0" applyNumberFormat="1" applyFont="1" applyFill="1" applyProtection="1"/>
    <xf numFmtId="0" fontId="0" fillId="3" borderId="1" xfId="0" applyFill="1" applyBorder="1" applyProtection="1"/>
    <xf numFmtId="0" fontId="0" fillId="4" borderId="0" xfId="0" applyFill="1" applyProtection="1"/>
    <xf numFmtId="0" fontId="3" fillId="4" borderId="0" xfId="0" applyNumberFormat="1" applyFont="1" applyFill="1" applyProtection="1"/>
    <xf numFmtId="49" fontId="5" fillId="9" borderId="3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Protection="1"/>
    <xf numFmtId="0" fontId="0" fillId="6" borderId="0" xfId="0" applyFill="1" applyProtection="1"/>
    <xf numFmtId="0" fontId="0" fillId="7" borderId="0" xfId="0" applyFill="1" applyProtection="1"/>
    <xf numFmtId="0" fontId="0" fillId="8" borderId="0" xfId="0" applyFill="1" applyProtection="1"/>
    <xf numFmtId="0" fontId="8" fillId="9" borderId="5" xfId="1" applyFont="1" applyFill="1" applyBorder="1" applyAlignment="1" applyProtection="1">
      <alignment horizontal="left" vertical="center"/>
    </xf>
    <xf numFmtId="0" fontId="1" fillId="5" borderId="0" xfId="0" applyFont="1" applyFill="1" applyProtection="1"/>
    <xf numFmtId="0" fontId="2" fillId="2" borderId="0" xfId="0" applyFont="1" applyFill="1" applyAlignment="1" applyProtection="1">
      <alignment horizontal="center"/>
    </xf>
    <xf numFmtId="0" fontId="13" fillId="4" borderId="0" xfId="0" applyFont="1" applyFill="1" applyAlignment="1" applyProtection="1">
      <alignment horizontal="left"/>
      <protection locked="0"/>
    </xf>
    <xf numFmtId="0" fontId="10" fillId="11" borderId="0" xfId="0" applyFont="1" applyFill="1" applyAlignment="1" applyProtection="1">
      <alignment horizontal="center"/>
      <protection locked="0"/>
    </xf>
    <xf numFmtId="0" fontId="9" fillId="12" borderId="0" xfId="1" applyFont="1" applyFill="1" applyAlignment="1" applyProtection="1">
      <alignment horizontal="center" vertical="center"/>
    </xf>
  </cellXfs>
  <cellStyles count="4">
    <cellStyle name="Normal" xfId="0" builtinId="0"/>
    <cellStyle name="Normal 10" xfId="1"/>
    <cellStyle name="Normal 10 5" xfId="3"/>
    <cellStyle name="Normal 3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186848</xdr:colOff>
      <xdr:row>14</xdr:row>
      <xdr:rowOff>38652</xdr:rowOff>
    </xdr:from>
    <xdr:to>
      <xdr:col>4</xdr:col>
      <xdr:colOff>2066194</xdr:colOff>
      <xdr:row>18</xdr:row>
      <xdr:rowOff>34419</xdr:rowOff>
    </xdr:to>
    <xdr:sp macro="[0]!Rectangle3_Cliquer" textlink="">
      <xdr:nvSpPr>
        <xdr:cNvPr id="4" name="Rectangle 3"/>
        <xdr:cNvSpPr/>
      </xdr:nvSpPr>
      <xdr:spPr>
        <a:xfrm>
          <a:off x="4454048" y="1419777"/>
          <a:ext cx="1879346" cy="3958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5">
                  <a:lumMod val="50000"/>
                </a:schemeClr>
              </a:solidFill>
            </a:rPr>
            <a:t>Upload Data from </a:t>
          </a:r>
          <a:r>
            <a:rPr lang="en-US" sz="1100" b="1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rPr>
            <a:t>Database</a:t>
          </a:r>
        </a:p>
      </xdr:txBody>
    </xdr:sp>
    <xdr:clientData/>
  </xdr:twoCellAnchor>
  <xdr:twoCellAnchor editAs="absolute">
    <xdr:from>
      <xdr:col>4</xdr:col>
      <xdr:colOff>203138</xdr:colOff>
      <xdr:row>12</xdr:row>
      <xdr:rowOff>131153</xdr:rowOff>
    </xdr:from>
    <xdr:to>
      <xdr:col>4</xdr:col>
      <xdr:colOff>2070589</xdr:colOff>
      <xdr:row>13</xdr:row>
      <xdr:rowOff>153480</xdr:rowOff>
    </xdr:to>
    <xdr:sp macro="[0]!Envoi.Envoi" textlink="">
      <xdr:nvSpPr>
        <xdr:cNvPr id="6" name="Rectangle 5"/>
        <xdr:cNvSpPr/>
      </xdr:nvSpPr>
      <xdr:spPr>
        <a:xfrm>
          <a:off x="4470338" y="940778"/>
          <a:ext cx="1867451" cy="393802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accent5">
                  <a:lumMod val="50000"/>
                </a:schemeClr>
              </a:solidFill>
            </a:rPr>
            <a:t>Save</a:t>
          </a:r>
          <a:r>
            <a:rPr lang="en-US" sz="1100" b="1" baseline="0">
              <a:solidFill>
                <a:schemeClr val="accent5">
                  <a:lumMod val="50000"/>
                </a:schemeClr>
              </a:solidFill>
            </a:rPr>
            <a:t> Data</a:t>
          </a:r>
          <a:endParaRPr lang="en-US" sz="11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400050</xdr:colOff>
      <xdr:row>12</xdr:row>
      <xdr:rowOff>33338</xdr:rowOff>
    </xdr:from>
    <xdr:to>
      <xdr:col>10</xdr:col>
      <xdr:colOff>704850</xdr:colOff>
      <xdr:row>15</xdr:row>
      <xdr:rowOff>114300</xdr:rowOff>
    </xdr:to>
    <xdr:sp macro="" textlink="">
      <xdr:nvSpPr>
        <xdr:cNvPr id="5" name="Rectangle à coins arrondis 4"/>
        <xdr:cNvSpPr/>
      </xdr:nvSpPr>
      <xdr:spPr>
        <a:xfrm>
          <a:off x="7124700" y="842963"/>
          <a:ext cx="3124200" cy="85248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l"/>
          <a:r>
            <a:rPr lang="en-US" sz="1200">
              <a:solidFill>
                <a:schemeClr val="accent5">
                  <a:lumMod val="50000"/>
                </a:schemeClr>
              </a:solidFill>
            </a:rPr>
            <a:t>By default,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  empty cell means  100%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keep only 25%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25  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( not  0,25)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cancel a plan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0</a:t>
          </a:r>
        </a:p>
        <a:p>
          <a:pPr algn="l"/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-  to grow by 20% : </a:t>
          </a:r>
          <a:r>
            <a:rPr lang="en-US" sz="1200" b="1" baseline="0">
              <a:solidFill>
                <a:schemeClr val="accent5">
                  <a:lumMod val="50000"/>
                </a:schemeClr>
              </a:solidFill>
            </a:rPr>
            <a:t>enter 120 </a:t>
          </a:r>
          <a:r>
            <a:rPr lang="en-US" sz="1200" baseline="0">
              <a:solidFill>
                <a:schemeClr val="accent5">
                  <a:lumMod val="50000"/>
                </a:schemeClr>
              </a:solidFill>
            </a:rPr>
            <a:t> (not 1,2)</a:t>
          </a:r>
        </a:p>
        <a:p>
          <a:pPr algn="l"/>
          <a:endParaRPr lang="en-US" sz="1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Q20"/>
  <sheetViews>
    <sheetView showGridLines="0" tabSelected="1" topLeftCell="B10" zoomScaleNormal="100" workbookViewId="0">
      <pane ySplit="10" topLeftCell="A20" activePane="bottomLeft" state="frozen"/>
      <selection activeCell="B10" sqref="B10"/>
      <selection pane="bottomLeft" activeCell="E8" sqref="E8"/>
    </sheetView>
  </sheetViews>
  <sheetFormatPr defaultColWidth="11.42578125" defaultRowHeight="15" outlineLevelRow="1" outlineLevelCol="1" x14ac:dyDescent="0.25"/>
  <cols>
    <col min="1" max="1" width="2.7109375" style="4" hidden="1" customWidth="1" outlineLevel="1"/>
    <col min="2" max="2" width="2.7109375" style="4" customWidth="1" collapsed="1"/>
    <col min="3" max="3" width="37" style="4" customWidth="1"/>
    <col min="4" max="4" width="24.28515625" style="4" customWidth="1"/>
    <col min="5" max="5" width="36.85546875" style="4" customWidth="1"/>
    <col min="6" max="6" width="6.140625" style="4" hidden="1" customWidth="1" outlineLevel="1"/>
    <col min="7" max="7" width="6.140625" style="4" customWidth="1" collapsed="1"/>
    <col min="8" max="8" width="12.42578125" style="4" bestFit="1" customWidth="1"/>
    <col min="9" max="10" width="11.85546875" style="4" bestFit="1" customWidth="1"/>
    <col min="11" max="11" width="13.140625" style="2" customWidth="1"/>
    <col min="12" max="14" width="11.85546875" style="2" bestFit="1" customWidth="1"/>
    <col min="15" max="15" width="13.140625" style="2" customWidth="1"/>
    <col min="16" max="16" width="9.140625" style="2" customWidth="1"/>
    <col min="17" max="16384" width="11.42578125" style="2"/>
  </cols>
  <sheetData>
    <row r="1" spans="1:15" hidden="1" outlineLevel="1" x14ac:dyDescent="0.25">
      <c r="A1" s="4" t="s">
        <v>1342</v>
      </c>
    </row>
    <row r="2" spans="1:15" hidden="1" outlineLevel="1" x14ac:dyDescent="0.25">
      <c r="A2" s="4">
        <f ca="1">0</f>
        <v>0</v>
      </c>
      <c r="C2" s="12"/>
      <c r="D2" s="13"/>
      <c r="E2" s="13"/>
      <c r="F2" s="14"/>
      <c r="G2" s="14"/>
    </row>
    <row r="3" spans="1:15" hidden="1" outlineLevel="1" x14ac:dyDescent="0.25">
      <c r="A3" s="4">
        <f ca="1">1</f>
        <v>1</v>
      </c>
      <c r="C3" s="15"/>
      <c r="D3" s="16"/>
      <c r="E3" s="16"/>
      <c r="F3" s="17"/>
      <c r="G3" s="17"/>
    </row>
    <row r="4" spans="1:15" hidden="1" outlineLevel="1" x14ac:dyDescent="0.25">
      <c r="A4" s="4">
        <f ca="1">2</f>
        <v>2</v>
      </c>
      <c r="C4" s="15"/>
      <c r="D4" s="16"/>
      <c r="E4" s="16"/>
      <c r="F4" s="17"/>
      <c r="G4" s="17"/>
    </row>
    <row r="5" spans="1:15" hidden="1" outlineLevel="1" x14ac:dyDescent="0.25">
      <c r="A5" s="4">
        <f ca="1">3</f>
        <v>3</v>
      </c>
      <c r="C5" s="15"/>
      <c r="D5" s="16"/>
      <c r="E5" s="16"/>
      <c r="F5" s="17"/>
      <c r="G5" s="17"/>
    </row>
    <row r="6" spans="1:15" hidden="1" outlineLevel="1" x14ac:dyDescent="0.25">
      <c r="A6" s="4" t="s">
        <v>1340</v>
      </c>
      <c r="C6" s="15"/>
      <c r="D6" s="16"/>
      <c r="E6" s="16"/>
      <c r="F6" s="17"/>
      <c r="G6" s="17"/>
    </row>
    <row r="7" spans="1:15" ht="15.75" hidden="1" outlineLevel="1" x14ac:dyDescent="0.25">
      <c r="A7" s="4" t="s">
        <v>1341</v>
      </c>
      <c r="C7" s="18"/>
      <c r="D7" s="18"/>
      <c r="E7" s="18"/>
      <c r="F7" s="19"/>
      <c r="G7" s="19"/>
      <c r="H7" s="11"/>
      <c r="I7" s="11"/>
      <c r="J7" s="11"/>
      <c r="L7" s="6"/>
      <c r="M7" s="6"/>
      <c r="N7" s="6"/>
    </row>
    <row r="8" spans="1:15" hidden="1" outlineLevel="1" x14ac:dyDescent="0.25">
      <c r="A8" s="4" t="s">
        <v>1343</v>
      </c>
      <c r="C8" s="4" t="str">
        <f ca="1">_xll.DBRA(Server&amp;"Legal_Organization",_xll.DBR(Server&amp;"z_Client_Properties","Default_Legal_Organization",_xll.TM1USER(xServer)),"Country_Entity")</f>
        <v/>
      </c>
      <c r="D8" s="4" t="str">
        <f ca="1">_xll.DBRW("tango_core_model:z_Admin_Param","SERVER_NAME","STR_VAR1")</f>
        <v>FRSAPP021296</v>
      </c>
      <c r="E8" s="27" t="s">
        <v>1351</v>
      </c>
      <c r="H8" s="4" t="str">
        <f ca="1">_xll.DBR(Server&amp;"z_Admin_Param","PHASE_LTP","STR_VAR1")</f>
        <v>LTP_2021_Test3</v>
      </c>
    </row>
    <row r="9" spans="1:15" hidden="1" outlineLevel="1" x14ac:dyDescent="0.25">
      <c r="C9" s="20" t="str">
        <f ca="1">_xll.TM1RPTVIEW(Server&amp;"ST_Weighting_Rate:ARPT1", 1, _xll.TM1RPTTITLE(Server&amp;"Phase",$D$14), _xll.TM1RPTTITLE(Server&amp;"Period",$D$18),TM1RPTFMTRNG,TM1RPTFMTIDCOL)</f>
        <v>tango_core_model:ST_Weighting_Rate:ARPT1</v>
      </c>
      <c r="D9" s="21" t="str">
        <f ca="1">_xll.VIEW(Server&amp;"ST_Weighting_Rate","!","!",$D$14,"!","!",D17)</f>
        <v>tango_core_model:ST_Weighting_Rate</v>
      </c>
      <c r="E9" s="22" t="str">
        <f ca="1">"{TM1FILTERBYLEVEL( {FILTER( {TM1SUBSETALL( [Legal_Organization] )}, [Legal_Organization].[Country_entity] = """&amp;D15&amp;""")}, 0)}"</f>
        <v>{TM1FILTERBYLEVEL( {FILTER( {TM1SUBSETALL( [Legal_Organization] )}, [Legal_Organization].[Country_entity] = "")}, 0)}</v>
      </c>
    </row>
    <row r="10" spans="1:15" ht="36.75" customHeight="1" collapsed="1" x14ac:dyDescent="0.25">
      <c r="C10" s="28" t="s">
        <v>1350</v>
      </c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</row>
    <row r="11" spans="1:15" ht="15" customHeight="1" x14ac:dyDescent="0.25"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</row>
    <row r="12" spans="1:15" ht="12" customHeight="1" x14ac:dyDescent="0.25"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</row>
    <row r="13" spans="1:15" ht="29.25" customHeight="1" x14ac:dyDescent="0.25"/>
    <row r="14" spans="1:15" ht="15.75" x14ac:dyDescent="0.25">
      <c r="C14" s="23" t="s">
        <v>0</v>
      </c>
      <c r="D14" s="26" t="str">
        <f ca="1">_xll.SUBNM(Server&amp;"Phase","LTP_Current",xActualLTP)</f>
        <v>LTP_2021_Test3</v>
      </c>
    </row>
    <row r="15" spans="1:15" ht="15.75" x14ac:dyDescent="0.25">
      <c r="C15" s="23" t="s">
        <v>1348</v>
      </c>
      <c r="D15" s="26" t="str">
        <f ca="1">_xll.SUBNM(Server&amp;"Country","",xCountryInit)</f>
        <v/>
      </c>
    </row>
    <row r="16" spans="1:15" ht="15.75" x14ac:dyDescent="0.25">
      <c r="C16" s="23" t="s">
        <v>1361</v>
      </c>
      <c r="D16" s="26" t="s">
        <v>1348</v>
      </c>
      <c r="K16" s="7"/>
      <c r="L16" s="7"/>
      <c r="M16" s="7"/>
      <c r="N16" s="7"/>
    </row>
    <row r="17" spans="1:17" hidden="1" outlineLevel="1" x14ac:dyDescent="0.25">
      <c r="C17" s="24" t="s">
        <v>1349</v>
      </c>
      <c r="D17" s="5" t="s">
        <v>1362</v>
      </c>
      <c r="E17" s="20" t="s">
        <v>1352</v>
      </c>
      <c r="K17" s="7"/>
      <c r="L17" s="7"/>
      <c r="M17" s="7"/>
      <c r="N17" s="7"/>
    </row>
    <row r="18" spans="1:17" hidden="1" outlineLevel="1" x14ac:dyDescent="0.25">
      <c r="C18" s="24" t="s">
        <v>1</v>
      </c>
      <c r="D18" s="5" t="str">
        <f ca="1">YEAR_SELECTED&amp;".01"</f>
        <v>2021.01</v>
      </c>
      <c r="E18" s="20" t="str">
        <f ca="1">MID(D14,5,4)</f>
        <v>2021</v>
      </c>
      <c r="F18" s="25" t="s">
        <v>2</v>
      </c>
      <c r="G18" s="25"/>
      <c r="H18" s="5" t="str">
        <f ca="1">"F_year_"&amp;YEAR_SELECTED-1</f>
        <v>F_year_2020</v>
      </c>
      <c r="I18" s="5" t="str">
        <f ca="1">"F_year_"&amp;YEAR_SELECTED</f>
        <v>F_year_2021</v>
      </c>
      <c r="J18" s="5" t="str">
        <f ca="1">"F_year_"&amp;YEAR_SELECTED+1</f>
        <v>F_year_2022</v>
      </c>
      <c r="K18" s="7"/>
      <c r="L18" s="3" t="str">
        <f ca="1">"F_year_"&amp;YEAR_SELECTED-1</f>
        <v>F_year_2020</v>
      </c>
      <c r="M18" s="3" t="str">
        <f ca="1">"F_year_"&amp;YEAR_SELECTED</f>
        <v>F_year_2021</v>
      </c>
      <c r="N18" s="3" t="str">
        <f ca="1">"F_year_"&amp;YEAR_SELECTED+1</f>
        <v>F_year_2022</v>
      </c>
    </row>
    <row r="19" spans="1:17" ht="26.25" customHeight="1" collapsed="1" x14ac:dyDescent="0.25">
      <c r="H19" s="8" t="str">
        <f ca="1">RIGHT(H$18,4)</f>
        <v>2020</v>
      </c>
      <c r="I19" s="8" t="str">
        <f t="shared" ref="I19:J19" ca="1" si="0">RIGHT(I$18,4)</f>
        <v>2021</v>
      </c>
      <c r="J19" s="8" t="str">
        <f t="shared" ca="1" si="0"/>
        <v>2022</v>
      </c>
      <c r="K19" s="7"/>
      <c r="L19" s="9" t="str">
        <f ca="1">RIGHT(L$18,4)</f>
        <v>2020</v>
      </c>
      <c r="M19" s="9" t="str">
        <f t="shared" ref="M19:N19" ca="1" si="1">RIGHT(M$18,4)</f>
        <v>2021</v>
      </c>
      <c r="N19" s="9" t="str">
        <f t="shared" ca="1" si="1"/>
        <v>2022</v>
      </c>
      <c r="P19" s="9"/>
      <c r="Q19" s="10"/>
    </row>
    <row r="20" spans="1:17" ht="15.75" x14ac:dyDescent="0.25">
      <c r="A20" s="4" t="str">
        <f ca="1">IF(_xll.TM1RPTELISCONSOLIDATED($E$20,$E20),IF(_xll.TM1RPTELLEV($E$20,$E20)&lt;=3,_xll.TM1RPTELLEV($E$20,$E20),"D"),"N")</f>
        <v>N</v>
      </c>
      <c r="C20" s="18" t="str">
        <f ca="1">_xll.TM1RPTROW($C$9,Server&amp;"Legal_Organization",,'{AR}01'!$B$16:$B$1294,"English",0,E9)</f>
        <v/>
      </c>
      <c r="D20" s="18" t="str">
        <f ca="1">_xll.TM1RPTROW($C$9,Server&amp;"Activity","",'{AR}11'!$C$16:$C$71,"English",0)</f>
        <v/>
      </c>
      <c r="E20" s="18" t="str">
        <f ca="1">_xll.TM1RPTROW($C$9,Server&amp;"LTP_Components","",IF(D16="Country",'{AR}21'!$A$2:$A$6,'{AR}21'!B2:B6),"",0)</f>
        <v/>
      </c>
      <c r="F20" s="19" t="str">
        <f ca="1">_xll.DBRW($C$9,$D20,$C20,$D$14,$D$18,$E20,F$18)</f>
        <v/>
      </c>
      <c r="G20" s="19"/>
      <c r="H20" s="11" t="s">
        <v>1365</v>
      </c>
      <c r="I20" s="11" t="s">
        <v>1365</v>
      </c>
      <c r="J20" s="11" t="s">
        <v>1365</v>
      </c>
      <c r="L20" s="6" t="str">
        <f ca="1">IF($E$8="Restit",_xll.DBRW($D$9,$D20,$C20,$D$14,L$18,$E20,$D$17),_xll.DBSS(""&amp;H20&amp;"",$D$9,$D20,$C20,$D$14,L$18,$E20,$D$17))</f>
        <v/>
      </c>
      <c r="M20" s="6" t="str">
        <f ca="1">IF($E$8="Restit",_xll.DBRW($D$9,$D20,$C20,$D$14,M$18,$E20,$D$17),_xll.DBSS(""&amp;I20&amp;"",$D$9,$D20,$C20,$D$14,M$18,$E20,$D$17))</f>
        <v/>
      </c>
      <c r="N20" s="6" t="str">
        <f ca="1">IF($E$8="Restit",_xll.DBRW($D$9,$D20,$C20,$D$14,N$18,$E20,$D$17),_xll.DBSS(""&amp;J20&amp;"",$D$9,$D20,$C20,$D$14,N$18,$E20,$D$17))</f>
        <v/>
      </c>
    </row>
  </sheetData>
  <sheetProtection algorithmName="SHA-512" hashValue="suqjo9/dPQwh9MXQBhZ0kFyhEutv+IPO9NJvpccvsm9eGKTqRd/iZbgy6SRvoiZmg7akC9G8NQUUrmvVGInCRQ==" saltValue="xMu2+R/u4AilLsGQA/0RcQ==" spinCount="100000" sheet="1" objects="1" scenarios="1" formatColumns="0" formatRows="0"/>
  <mergeCells count="1">
    <mergeCell ref="C10:O12"/>
  </mergeCells>
  <dataValidations count="1">
    <dataValidation type="list" allowBlank="1" showInputMessage="1" showErrorMessage="1" sqref="D16">
      <formula1>"Country,Corporate"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102"/>
  <sheetViews>
    <sheetView showGridLines="0" workbookViewId="0"/>
  </sheetViews>
  <sheetFormatPr defaultColWidth="11.42578125" defaultRowHeight="15" outlineLevelCol="1" x14ac:dyDescent="0.25"/>
  <cols>
    <col min="1" max="1" width="14.7109375" bestFit="1" customWidth="1"/>
    <col min="2" max="2" width="18.28515625" bestFit="1" customWidth="1"/>
    <col min="5" max="6" width="0" hidden="1" customWidth="1" outlineLevel="1"/>
    <col min="7" max="7" width="11.42578125" collapsed="1"/>
  </cols>
  <sheetData>
    <row r="1" spans="1:6" x14ac:dyDescent="0.25">
      <c r="A1" s="1" t="s">
        <v>1344</v>
      </c>
      <c r="B1" s="1" t="s">
        <v>1345</v>
      </c>
      <c r="D1" t="s">
        <v>1348</v>
      </c>
      <c r="E1" t="s">
        <v>1363</v>
      </c>
      <c r="F1" t="s">
        <v>1364</v>
      </c>
    </row>
    <row r="2" spans="1:6" x14ac:dyDescent="0.25">
      <c r="A2" s="1" t="s">
        <v>1346</v>
      </c>
      <c r="B2" s="1" t="str">
        <f ca="1">_xll.DBRW(Server&amp;"z_Admin_Param","PHASE_LTP","STR_VAR1")</f>
        <v>LTP_2021_VC</v>
      </c>
      <c r="D2" t="str">
        <f ca="1">_xll.SUBNM(Server&amp;"Country",,E2)</f>
        <v>AMEA_Project</v>
      </c>
      <c r="E2">
        <v>2</v>
      </c>
      <c r="F2">
        <f ca="1">_xll.SUBSIZ(Server&amp;"Country","All Countries")</f>
        <v>31</v>
      </c>
    </row>
    <row r="3" spans="1:6" x14ac:dyDescent="0.25">
      <c r="A3" s="1" t="s">
        <v>1347</v>
      </c>
      <c r="B3" s="1" t="str">
        <f ca="1">_xll.DBRW(Server&amp;"z_Admin_Param","YEAR_LTP","STR_VAR1")</f>
        <v>2022</v>
      </c>
      <c r="D3" t="str">
        <f ca="1">_xll.SUBNM(Server&amp;"Country",,E3)</f>
        <v>Australia</v>
      </c>
      <c r="E3">
        <v>3</v>
      </c>
    </row>
    <row r="4" spans="1:6" x14ac:dyDescent="0.25">
      <c r="B4" t="str">
        <f>LEFT(Server,LEN(Server)-1)</f>
        <v>tango_core_model</v>
      </c>
      <c r="D4" t="str">
        <f ca="1">_xll.SUBNM(Server&amp;"Country",,E4)</f>
        <v>Canada</v>
      </c>
      <c r="E4">
        <v>4</v>
      </c>
    </row>
    <row r="5" spans="1:6" x14ac:dyDescent="0.25">
      <c r="D5" t="str">
        <f ca="1">_xll.SUBNM(Server&amp;"Country",,E5)</f>
        <v>Chile</v>
      </c>
      <c r="E5">
        <v>5</v>
      </c>
    </row>
    <row r="6" spans="1:6" x14ac:dyDescent="0.25">
      <c r="D6" t="str">
        <f ca="1">_xll.SUBNM(Server&amp;"Country",,E6)</f>
        <v>China</v>
      </c>
      <c r="E6">
        <v>6</v>
      </c>
    </row>
    <row r="7" spans="1:6" x14ac:dyDescent="0.25">
      <c r="D7" t="str">
        <f ca="1">_xll.SUBNM(Server&amp;"Country",,E7)</f>
        <v>Cityway Corporate</v>
      </c>
      <c r="E7">
        <v>7</v>
      </c>
    </row>
    <row r="8" spans="1:6" x14ac:dyDescent="0.25">
      <c r="D8" t="str">
        <f ca="1">_xll.SUBNM(Server&amp;"Country",,E8)</f>
        <v>Colombia</v>
      </c>
      <c r="E8">
        <v>8</v>
      </c>
    </row>
    <row r="9" spans="1:6" x14ac:dyDescent="0.25">
      <c r="D9" t="str">
        <f ca="1">_xll.SUBNM(Server&amp;"Country",,E9)</f>
        <v>Corporate</v>
      </c>
      <c r="E9">
        <v>9</v>
      </c>
    </row>
    <row r="10" spans="1:6" x14ac:dyDescent="0.25">
      <c r="D10" t="str">
        <f ca="1">_xll.SUBNM(Server&amp;"Country",,E10)</f>
        <v>Czech Republic</v>
      </c>
      <c r="E10">
        <v>10</v>
      </c>
    </row>
    <row r="11" spans="1:6" x14ac:dyDescent="0.25">
      <c r="D11" t="str">
        <f ca="1">_xll.SUBNM(Server&amp;"Country",,E11)</f>
        <v>Eurolines</v>
      </c>
      <c r="E11">
        <v>11</v>
      </c>
    </row>
    <row r="12" spans="1:6" x14ac:dyDescent="0.25">
      <c r="D12" t="str">
        <f ca="1">_xll.SUBNM(Server&amp;"Country",,E12)</f>
        <v>Finland</v>
      </c>
      <c r="E12">
        <v>12</v>
      </c>
    </row>
    <row r="13" spans="1:6" x14ac:dyDescent="0.25">
      <c r="D13" t="str">
        <f ca="1">_xll.SUBNM(Server&amp;"Country",,E13)</f>
        <v>France</v>
      </c>
      <c r="E13">
        <v>13</v>
      </c>
    </row>
    <row r="14" spans="1:6" x14ac:dyDescent="0.25">
      <c r="D14" t="str">
        <f ca="1">_xll.SUBNM(Server&amp;"Country",,E14)</f>
        <v>Germany</v>
      </c>
      <c r="E14">
        <v>14</v>
      </c>
    </row>
    <row r="15" spans="1:6" x14ac:dyDescent="0.25">
      <c r="D15" t="str">
        <f ca="1">_xll.SUBNM(Server&amp;"Country",,E15)</f>
        <v>Hong Kong</v>
      </c>
      <c r="E15">
        <v>15</v>
      </c>
    </row>
    <row r="16" spans="1:6" x14ac:dyDescent="0.25">
      <c r="D16" t="str">
        <f ca="1">_xll.SUBNM(Server&amp;"Country",,E16)</f>
        <v>India</v>
      </c>
      <c r="E16">
        <v>16</v>
      </c>
    </row>
    <row r="17" spans="4:5" x14ac:dyDescent="0.25">
      <c r="D17" t="str">
        <f ca="1">_xll.SUBNM(Server&amp;"Country",,E17)</f>
        <v>Indonesia</v>
      </c>
      <c r="E17">
        <v>17</v>
      </c>
    </row>
    <row r="18" spans="4:5" x14ac:dyDescent="0.25">
      <c r="D18" t="str">
        <f ca="1">_xll.SUBNM(Server&amp;"Country",,E18)</f>
        <v>Internorte</v>
      </c>
      <c r="E18">
        <v>18</v>
      </c>
    </row>
    <row r="19" spans="4:5" x14ac:dyDescent="0.25">
      <c r="D19" t="str">
        <f ca="1">_xll.SUBNM(Server&amp;"Country",,E19)</f>
        <v>Ireland</v>
      </c>
      <c r="E19">
        <v>19</v>
      </c>
    </row>
    <row r="20" spans="4:5" x14ac:dyDescent="0.25">
      <c r="D20" t="str">
        <f ca="1">_xll.SUBNM(Server&amp;"Country",,E20)</f>
        <v>LATAM_Project</v>
      </c>
      <c r="E20">
        <v>20</v>
      </c>
    </row>
    <row r="21" spans="4:5" x14ac:dyDescent="0.25">
      <c r="D21" t="str">
        <f ca="1">_xll.SUBNM(Server&amp;"Country",,E21)</f>
        <v>Morocco</v>
      </c>
      <c r="E21">
        <v>21</v>
      </c>
    </row>
    <row r="22" spans="4:5" x14ac:dyDescent="0.25">
      <c r="D22" t="str">
        <f ca="1">_xll.SUBNM(Server&amp;"Country",,E22)</f>
        <v>New Zealand</v>
      </c>
      <c r="E22">
        <v>22</v>
      </c>
    </row>
    <row r="23" spans="4:5" x14ac:dyDescent="0.25">
      <c r="D23" t="str">
        <f ca="1">_xll.SUBNM(Server&amp;"Country",,E23)</f>
        <v>Poland</v>
      </c>
      <c r="E23">
        <v>23</v>
      </c>
    </row>
    <row r="24" spans="4:5" x14ac:dyDescent="0.25">
      <c r="D24" t="str">
        <f ca="1">_xll.SUBNM(Server&amp;"Country",,E24)</f>
        <v>Portugal</v>
      </c>
      <c r="E24">
        <v>24</v>
      </c>
    </row>
    <row r="25" spans="4:5" x14ac:dyDescent="0.25">
      <c r="D25" t="str">
        <f ca="1">_xll.SUBNM(Server&amp;"Country",,E25)</f>
        <v>Slovakia</v>
      </c>
      <c r="E25">
        <v>25</v>
      </c>
    </row>
    <row r="26" spans="4:5" x14ac:dyDescent="0.25">
      <c r="D26" t="str">
        <f ca="1">_xll.SUBNM(Server&amp;"Country",,E26)</f>
        <v>South Korea</v>
      </c>
      <c r="E26">
        <v>26</v>
      </c>
    </row>
    <row r="27" spans="4:5" x14ac:dyDescent="0.25">
      <c r="D27" t="str">
        <f ca="1">_xll.SUBNM(Server&amp;"Country",,E27)</f>
        <v>Spain</v>
      </c>
      <c r="E27">
        <v>27</v>
      </c>
    </row>
    <row r="28" spans="4:5" x14ac:dyDescent="0.25">
      <c r="D28" t="str">
        <f ca="1">_xll.SUBNM(Server&amp;"Country",,E28)</f>
        <v>Sweden</v>
      </c>
      <c r="E28">
        <v>28</v>
      </c>
    </row>
    <row r="29" spans="4:5" x14ac:dyDescent="0.25">
      <c r="D29" t="str">
        <f ca="1">_xll.SUBNM(Server&amp;"Country",,E29)</f>
        <v>Thailand</v>
      </c>
      <c r="E29">
        <v>29</v>
      </c>
    </row>
    <row r="30" spans="4:5" x14ac:dyDescent="0.25">
      <c r="D30" t="str">
        <f ca="1">_xll.SUBNM(Server&amp;"Country",,E30)</f>
        <v>The Netherlands</v>
      </c>
      <c r="E30">
        <v>30</v>
      </c>
    </row>
    <row r="31" spans="4:5" x14ac:dyDescent="0.25">
      <c r="D31" t="str">
        <f ca="1">_xll.SUBNM(Server&amp;"Country",,E31)</f>
        <v>United Kingdom</v>
      </c>
      <c r="E31">
        <v>31</v>
      </c>
    </row>
    <row r="32" spans="4:5" x14ac:dyDescent="0.25">
      <c r="D32" t="str">
        <f ca="1">_xll.SUBNM(Server&amp;"Country",,E32)</f>
        <v>United States</v>
      </c>
      <c r="E32">
        <v>32</v>
      </c>
    </row>
    <row r="33" spans="4:5" x14ac:dyDescent="0.25">
      <c r="D33" t="str">
        <f ca="1">_xll.SUBNM(Server&amp;"Country",,E33)</f>
        <v/>
      </c>
      <c r="E33">
        <v>33</v>
      </c>
    </row>
    <row r="34" spans="4:5" x14ac:dyDescent="0.25">
      <c r="D34" t="str">
        <f ca="1">_xll.SUBNM(Server&amp;"Country",,E34)</f>
        <v/>
      </c>
      <c r="E34">
        <v>34</v>
      </c>
    </row>
    <row r="35" spans="4:5" x14ac:dyDescent="0.25">
      <c r="D35" t="str">
        <f ca="1">_xll.SUBNM(Server&amp;"Country",,E35)</f>
        <v/>
      </c>
      <c r="E35">
        <v>35</v>
      </c>
    </row>
    <row r="36" spans="4:5" x14ac:dyDescent="0.25">
      <c r="D36" t="str">
        <f ca="1">_xll.SUBNM(Server&amp;"Country",,E36)</f>
        <v/>
      </c>
      <c r="E36">
        <v>36</v>
      </c>
    </row>
    <row r="37" spans="4:5" x14ac:dyDescent="0.25">
      <c r="D37" t="str">
        <f ca="1">_xll.SUBNM(Server&amp;"Country",,E37)</f>
        <v/>
      </c>
      <c r="E37">
        <v>37</v>
      </c>
    </row>
    <row r="38" spans="4:5" x14ac:dyDescent="0.25">
      <c r="D38" t="str">
        <f ca="1">_xll.SUBNM(Server&amp;"Country",,E38)</f>
        <v/>
      </c>
      <c r="E38">
        <v>38</v>
      </c>
    </row>
    <row r="39" spans="4:5" x14ac:dyDescent="0.25">
      <c r="D39" t="str">
        <f ca="1">_xll.SUBNM(Server&amp;"Country",,E39)</f>
        <v/>
      </c>
      <c r="E39">
        <v>39</v>
      </c>
    </row>
    <row r="40" spans="4:5" x14ac:dyDescent="0.25">
      <c r="D40" t="str">
        <f ca="1">_xll.SUBNM(Server&amp;"Country",,E40)</f>
        <v/>
      </c>
      <c r="E40">
        <v>40</v>
      </c>
    </row>
    <row r="41" spans="4:5" x14ac:dyDescent="0.25">
      <c r="D41" t="str">
        <f ca="1">_xll.SUBNM(Server&amp;"Country",,E41)</f>
        <v/>
      </c>
      <c r="E41">
        <v>41</v>
      </c>
    </row>
    <row r="42" spans="4:5" x14ac:dyDescent="0.25">
      <c r="D42" t="str">
        <f ca="1">_xll.SUBNM(Server&amp;"Country",,E42)</f>
        <v/>
      </c>
      <c r="E42">
        <v>42</v>
      </c>
    </row>
    <row r="43" spans="4:5" x14ac:dyDescent="0.25">
      <c r="D43" t="str">
        <f ca="1">_xll.SUBNM(Server&amp;"Country",,E43)</f>
        <v/>
      </c>
      <c r="E43">
        <v>43</v>
      </c>
    </row>
    <row r="44" spans="4:5" x14ac:dyDescent="0.25">
      <c r="D44" t="str">
        <f ca="1">_xll.SUBNM(Server&amp;"Country",,E44)</f>
        <v/>
      </c>
      <c r="E44">
        <v>44</v>
      </c>
    </row>
    <row r="45" spans="4:5" x14ac:dyDescent="0.25">
      <c r="D45" t="str">
        <f ca="1">_xll.SUBNM(Server&amp;"Country",,E45)</f>
        <v/>
      </c>
      <c r="E45">
        <v>45</v>
      </c>
    </row>
    <row r="46" spans="4:5" x14ac:dyDescent="0.25">
      <c r="D46" t="str">
        <f ca="1">_xll.SUBNM(Server&amp;"Country",,E46)</f>
        <v/>
      </c>
      <c r="E46">
        <v>46</v>
      </c>
    </row>
    <row r="47" spans="4:5" x14ac:dyDescent="0.25">
      <c r="D47" t="str">
        <f ca="1">_xll.SUBNM(Server&amp;"Country",,E47)</f>
        <v/>
      </c>
      <c r="E47">
        <v>47</v>
      </c>
    </row>
    <row r="48" spans="4:5" x14ac:dyDescent="0.25">
      <c r="D48" t="str">
        <f ca="1">_xll.SUBNM(Server&amp;"Country",,E48)</f>
        <v/>
      </c>
      <c r="E48">
        <v>48</v>
      </c>
    </row>
    <row r="49" spans="4:5" x14ac:dyDescent="0.25">
      <c r="D49" t="str">
        <f ca="1">_xll.SUBNM(Server&amp;"Country",,E49)</f>
        <v/>
      </c>
      <c r="E49">
        <v>49</v>
      </c>
    </row>
    <row r="50" spans="4:5" x14ac:dyDescent="0.25">
      <c r="D50" t="str">
        <f ca="1">_xll.SUBNM(Server&amp;"Country",,E50)</f>
        <v/>
      </c>
      <c r="E50">
        <v>50</v>
      </c>
    </row>
    <row r="51" spans="4:5" x14ac:dyDescent="0.25">
      <c r="D51" t="str">
        <f ca="1">_xll.SUBNM(Server&amp;"Country",,E51)</f>
        <v/>
      </c>
      <c r="E51">
        <v>51</v>
      </c>
    </row>
    <row r="52" spans="4:5" x14ac:dyDescent="0.25">
      <c r="D52" t="str">
        <f ca="1">_xll.SUBNM(Server&amp;"Country",,E52)</f>
        <v/>
      </c>
      <c r="E52">
        <v>52</v>
      </c>
    </row>
    <row r="53" spans="4:5" x14ac:dyDescent="0.25">
      <c r="D53" t="str">
        <f ca="1">_xll.SUBNM(Server&amp;"Country",,E53)</f>
        <v/>
      </c>
      <c r="E53">
        <v>53</v>
      </c>
    </row>
    <row r="54" spans="4:5" x14ac:dyDescent="0.25">
      <c r="D54" t="str">
        <f ca="1">_xll.SUBNM(Server&amp;"Country",,E54)</f>
        <v/>
      </c>
      <c r="E54">
        <v>54</v>
      </c>
    </row>
    <row r="55" spans="4:5" x14ac:dyDescent="0.25">
      <c r="D55" t="str">
        <f ca="1">_xll.SUBNM(Server&amp;"Country",,E55)</f>
        <v/>
      </c>
      <c r="E55">
        <v>55</v>
      </c>
    </row>
    <row r="56" spans="4:5" x14ac:dyDescent="0.25">
      <c r="D56" t="str">
        <f ca="1">_xll.SUBNM(Server&amp;"Country",,E56)</f>
        <v/>
      </c>
      <c r="E56">
        <v>56</v>
      </c>
    </row>
    <row r="57" spans="4:5" x14ac:dyDescent="0.25">
      <c r="D57" t="str">
        <f ca="1">_xll.SUBNM(Server&amp;"Country",,E57)</f>
        <v/>
      </c>
      <c r="E57">
        <v>57</v>
      </c>
    </row>
    <row r="58" spans="4:5" x14ac:dyDescent="0.25">
      <c r="D58" t="str">
        <f ca="1">_xll.SUBNM(Server&amp;"Country",,E58)</f>
        <v/>
      </c>
      <c r="E58">
        <v>58</v>
      </c>
    </row>
    <row r="59" spans="4:5" x14ac:dyDescent="0.25">
      <c r="D59" t="str">
        <f ca="1">_xll.SUBNM(Server&amp;"Country",,E59)</f>
        <v/>
      </c>
      <c r="E59">
        <v>59</v>
      </c>
    </row>
    <row r="60" spans="4:5" x14ac:dyDescent="0.25">
      <c r="D60" t="str">
        <f ca="1">_xll.SUBNM(Server&amp;"Country",,E60)</f>
        <v/>
      </c>
      <c r="E60">
        <v>60</v>
      </c>
    </row>
    <row r="61" spans="4:5" x14ac:dyDescent="0.25">
      <c r="D61" t="str">
        <f ca="1">_xll.SUBNM(Server&amp;"Country",,E61)</f>
        <v/>
      </c>
      <c r="E61">
        <v>61</v>
      </c>
    </row>
    <row r="62" spans="4:5" x14ac:dyDescent="0.25">
      <c r="D62" t="str">
        <f ca="1">_xll.SUBNM(Server&amp;"Country",,E62)</f>
        <v/>
      </c>
      <c r="E62">
        <v>62</v>
      </c>
    </row>
    <row r="63" spans="4:5" x14ac:dyDescent="0.25">
      <c r="D63" t="str">
        <f ca="1">_xll.SUBNM(Server&amp;"Country",,E63)</f>
        <v/>
      </c>
      <c r="E63">
        <v>63</v>
      </c>
    </row>
    <row r="64" spans="4:5" x14ac:dyDescent="0.25">
      <c r="D64" t="str">
        <f ca="1">_xll.SUBNM(Server&amp;"Country",,E64)</f>
        <v/>
      </c>
      <c r="E64">
        <v>64</v>
      </c>
    </row>
    <row r="65" spans="4:5" x14ac:dyDescent="0.25">
      <c r="D65" t="str">
        <f ca="1">_xll.SUBNM(Server&amp;"Country",,E65)</f>
        <v/>
      </c>
      <c r="E65">
        <v>65</v>
      </c>
    </row>
    <row r="66" spans="4:5" x14ac:dyDescent="0.25">
      <c r="D66" t="str">
        <f ca="1">_xll.SUBNM(Server&amp;"Country",,E66)</f>
        <v/>
      </c>
      <c r="E66">
        <v>66</v>
      </c>
    </row>
    <row r="67" spans="4:5" x14ac:dyDescent="0.25">
      <c r="D67" t="str">
        <f ca="1">_xll.SUBNM(Server&amp;"Country",,E67)</f>
        <v/>
      </c>
      <c r="E67">
        <v>67</v>
      </c>
    </row>
    <row r="68" spans="4:5" x14ac:dyDescent="0.25">
      <c r="D68" t="str">
        <f ca="1">_xll.SUBNM(Server&amp;"Country",,E68)</f>
        <v/>
      </c>
      <c r="E68">
        <v>68</v>
      </c>
    </row>
    <row r="69" spans="4:5" x14ac:dyDescent="0.25">
      <c r="D69" t="str">
        <f ca="1">_xll.SUBNM(Server&amp;"Country",,E69)</f>
        <v/>
      </c>
      <c r="E69">
        <v>69</v>
      </c>
    </row>
    <row r="70" spans="4:5" x14ac:dyDescent="0.25">
      <c r="D70" t="str">
        <f ca="1">_xll.SUBNM(Server&amp;"Country",,E70)</f>
        <v/>
      </c>
      <c r="E70">
        <v>70</v>
      </c>
    </row>
    <row r="71" spans="4:5" x14ac:dyDescent="0.25">
      <c r="D71" t="str">
        <f ca="1">_xll.SUBNM(Server&amp;"Country",,E71)</f>
        <v/>
      </c>
      <c r="E71">
        <v>71</v>
      </c>
    </row>
    <row r="72" spans="4:5" x14ac:dyDescent="0.25">
      <c r="D72" t="str">
        <f ca="1">_xll.SUBNM(Server&amp;"Country",,E72)</f>
        <v/>
      </c>
      <c r="E72">
        <v>72</v>
      </c>
    </row>
    <row r="73" spans="4:5" x14ac:dyDescent="0.25">
      <c r="D73" t="str">
        <f ca="1">_xll.SUBNM(Server&amp;"Country",,E73)</f>
        <v/>
      </c>
      <c r="E73">
        <v>73</v>
      </c>
    </row>
    <row r="74" spans="4:5" x14ac:dyDescent="0.25">
      <c r="D74" t="str">
        <f ca="1">_xll.SUBNM(Server&amp;"Country",,E74)</f>
        <v/>
      </c>
      <c r="E74">
        <v>74</v>
      </c>
    </row>
    <row r="75" spans="4:5" x14ac:dyDescent="0.25">
      <c r="D75" t="str">
        <f ca="1">_xll.SUBNM(Server&amp;"Country",,E75)</f>
        <v/>
      </c>
      <c r="E75">
        <v>75</v>
      </c>
    </row>
    <row r="76" spans="4:5" x14ac:dyDescent="0.25">
      <c r="D76" t="str">
        <f ca="1">_xll.SUBNM(Server&amp;"Country",,E76)</f>
        <v/>
      </c>
      <c r="E76">
        <v>76</v>
      </c>
    </row>
    <row r="77" spans="4:5" x14ac:dyDescent="0.25">
      <c r="D77" t="str">
        <f ca="1">_xll.SUBNM(Server&amp;"Country",,E77)</f>
        <v/>
      </c>
      <c r="E77">
        <v>77</v>
      </c>
    </row>
    <row r="78" spans="4:5" x14ac:dyDescent="0.25">
      <c r="D78" t="str">
        <f ca="1">_xll.SUBNM(Server&amp;"Country",,E78)</f>
        <v/>
      </c>
      <c r="E78">
        <v>78</v>
      </c>
    </row>
    <row r="79" spans="4:5" x14ac:dyDescent="0.25">
      <c r="D79" t="str">
        <f ca="1">_xll.SUBNM(Server&amp;"Country",,E79)</f>
        <v/>
      </c>
      <c r="E79">
        <v>79</v>
      </c>
    </row>
    <row r="80" spans="4:5" x14ac:dyDescent="0.25">
      <c r="D80" t="str">
        <f ca="1">_xll.SUBNM(Server&amp;"Country",,E80)</f>
        <v/>
      </c>
      <c r="E80">
        <v>80</v>
      </c>
    </row>
    <row r="81" spans="4:5" x14ac:dyDescent="0.25">
      <c r="D81" t="str">
        <f ca="1">_xll.SUBNM(Server&amp;"Country",,E81)</f>
        <v/>
      </c>
      <c r="E81">
        <v>81</v>
      </c>
    </row>
    <row r="82" spans="4:5" x14ac:dyDescent="0.25">
      <c r="D82" t="str">
        <f ca="1">_xll.SUBNM(Server&amp;"Country",,E82)</f>
        <v/>
      </c>
      <c r="E82">
        <v>82</v>
      </c>
    </row>
    <row r="83" spans="4:5" x14ac:dyDescent="0.25">
      <c r="D83" t="str">
        <f ca="1">_xll.SUBNM(Server&amp;"Country",,E83)</f>
        <v/>
      </c>
      <c r="E83">
        <v>83</v>
      </c>
    </row>
    <row r="84" spans="4:5" x14ac:dyDescent="0.25">
      <c r="D84" t="str">
        <f ca="1">_xll.SUBNM(Server&amp;"Country",,E84)</f>
        <v/>
      </c>
      <c r="E84">
        <v>84</v>
      </c>
    </row>
    <row r="85" spans="4:5" x14ac:dyDescent="0.25">
      <c r="D85" t="str">
        <f ca="1">_xll.SUBNM(Server&amp;"Country",,E85)</f>
        <v/>
      </c>
      <c r="E85">
        <v>85</v>
      </c>
    </row>
    <row r="86" spans="4:5" x14ac:dyDescent="0.25">
      <c r="D86" t="str">
        <f ca="1">_xll.SUBNM(Server&amp;"Country",,E86)</f>
        <v/>
      </c>
      <c r="E86">
        <v>86</v>
      </c>
    </row>
    <row r="87" spans="4:5" x14ac:dyDescent="0.25">
      <c r="D87" t="str">
        <f ca="1">_xll.SUBNM(Server&amp;"Country",,E87)</f>
        <v/>
      </c>
      <c r="E87">
        <v>87</v>
      </c>
    </row>
    <row r="88" spans="4:5" x14ac:dyDescent="0.25">
      <c r="D88" t="str">
        <f ca="1">_xll.SUBNM(Server&amp;"Country",,E88)</f>
        <v/>
      </c>
      <c r="E88">
        <v>88</v>
      </c>
    </row>
    <row r="89" spans="4:5" x14ac:dyDescent="0.25">
      <c r="D89" t="str">
        <f ca="1">_xll.SUBNM(Server&amp;"Country",,E89)</f>
        <v/>
      </c>
      <c r="E89">
        <v>89</v>
      </c>
    </row>
    <row r="90" spans="4:5" x14ac:dyDescent="0.25">
      <c r="D90" t="str">
        <f ca="1">_xll.SUBNM(Server&amp;"Country",,E90)</f>
        <v/>
      </c>
      <c r="E90">
        <v>90</v>
      </c>
    </row>
    <row r="91" spans="4:5" x14ac:dyDescent="0.25">
      <c r="D91" t="str">
        <f ca="1">_xll.SUBNM(Server&amp;"Country",,E91)</f>
        <v/>
      </c>
      <c r="E91">
        <v>91</v>
      </c>
    </row>
    <row r="92" spans="4:5" x14ac:dyDescent="0.25">
      <c r="D92" t="str">
        <f ca="1">_xll.SUBNM(Server&amp;"Country",,E92)</f>
        <v/>
      </c>
      <c r="E92">
        <v>92</v>
      </c>
    </row>
    <row r="93" spans="4:5" x14ac:dyDescent="0.25">
      <c r="D93" t="str">
        <f ca="1">_xll.SUBNM(Server&amp;"Country",,E93)</f>
        <v/>
      </c>
      <c r="E93">
        <v>93</v>
      </c>
    </row>
    <row r="94" spans="4:5" x14ac:dyDescent="0.25">
      <c r="D94" t="str">
        <f ca="1">_xll.SUBNM(Server&amp;"Country",,E94)</f>
        <v/>
      </c>
      <c r="E94">
        <v>94</v>
      </c>
    </row>
    <row r="95" spans="4:5" x14ac:dyDescent="0.25">
      <c r="D95" t="str">
        <f ca="1">_xll.SUBNM(Server&amp;"Country",,E95)</f>
        <v/>
      </c>
      <c r="E95">
        <v>95</v>
      </c>
    </row>
    <row r="96" spans="4:5" x14ac:dyDescent="0.25">
      <c r="D96" t="str">
        <f ca="1">_xll.SUBNM(Server&amp;"Country",,E96)</f>
        <v/>
      </c>
      <c r="E96">
        <v>96</v>
      </c>
    </row>
    <row r="97" spans="4:5" x14ac:dyDescent="0.25">
      <c r="D97" t="str">
        <f ca="1">_xll.SUBNM(Server&amp;"Country",,E97)</f>
        <v/>
      </c>
      <c r="E97">
        <v>97</v>
      </c>
    </row>
    <row r="98" spans="4:5" x14ac:dyDescent="0.25">
      <c r="D98" t="str">
        <f ca="1">_xll.SUBNM(Server&amp;"Country",,E98)</f>
        <v/>
      </c>
      <c r="E98">
        <v>98</v>
      </c>
    </row>
    <row r="99" spans="4:5" x14ac:dyDescent="0.25">
      <c r="D99" t="str">
        <f ca="1">_xll.SUBNM(Server&amp;"Country",,E99)</f>
        <v/>
      </c>
      <c r="E99">
        <v>99</v>
      </c>
    </row>
    <row r="100" spans="4:5" x14ac:dyDescent="0.25">
      <c r="D100" t="str">
        <f ca="1">_xll.SUBNM(Server&amp;"Country",,E100)</f>
        <v/>
      </c>
      <c r="E100">
        <v>100</v>
      </c>
    </row>
    <row r="101" spans="4:5" x14ac:dyDescent="0.25">
      <c r="D101" t="str">
        <f ca="1">_xll.SUBNM(Server&amp;"Country",,E101)</f>
        <v/>
      </c>
      <c r="E101">
        <v>101</v>
      </c>
    </row>
    <row r="102" spans="4:5" x14ac:dyDescent="0.25">
      <c r="D102" t="str">
        <f ca="1">_xll.SUBNM(Server&amp;"Country",,E102)</f>
        <v/>
      </c>
      <c r="E102">
        <v>102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6:B1294"/>
  <sheetViews>
    <sheetView workbookViewId="0"/>
  </sheetViews>
  <sheetFormatPr defaultColWidth="11.42578125" defaultRowHeight="15" x14ac:dyDescent="0.25"/>
  <sheetData>
    <row r="16" spans="2:2" x14ac:dyDescent="0.25">
      <c r="B16" t="s">
        <v>3</v>
      </c>
    </row>
    <row r="17" spans="2:2" x14ac:dyDescent="0.25">
      <c r="B17" t="s">
        <v>4</v>
      </c>
    </row>
    <row r="18" spans="2:2" x14ac:dyDescent="0.25">
      <c r="B18" t="s">
        <v>5</v>
      </c>
    </row>
    <row r="19" spans="2:2" x14ac:dyDescent="0.25">
      <c r="B19" t="s">
        <v>6</v>
      </c>
    </row>
    <row r="20" spans="2:2" x14ac:dyDescent="0.25">
      <c r="B20" t="s">
        <v>7</v>
      </c>
    </row>
    <row r="21" spans="2:2" x14ac:dyDescent="0.25">
      <c r="B21" t="s">
        <v>8</v>
      </c>
    </row>
    <row r="22" spans="2:2" x14ac:dyDescent="0.25">
      <c r="B22" t="s">
        <v>9</v>
      </c>
    </row>
    <row r="23" spans="2:2" x14ac:dyDescent="0.25">
      <c r="B23" t="s">
        <v>10</v>
      </c>
    </row>
    <row r="24" spans="2:2" x14ac:dyDescent="0.25">
      <c r="B24" t="s">
        <v>11</v>
      </c>
    </row>
    <row r="25" spans="2:2" x14ac:dyDescent="0.25">
      <c r="B25" t="s">
        <v>12</v>
      </c>
    </row>
    <row r="26" spans="2:2" x14ac:dyDescent="0.25">
      <c r="B26" t="s">
        <v>13</v>
      </c>
    </row>
    <row r="27" spans="2:2" x14ac:dyDescent="0.25">
      <c r="B27" t="s">
        <v>14</v>
      </c>
    </row>
    <row r="28" spans="2:2" x14ac:dyDescent="0.25">
      <c r="B28" t="s">
        <v>15</v>
      </c>
    </row>
    <row r="29" spans="2:2" x14ac:dyDescent="0.25">
      <c r="B29" t="s">
        <v>16</v>
      </c>
    </row>
    <row r="30" spans="2:2" x14ac:dyDescent="0.25">
      <c r="B30" t="s">
        <v>17</v>
      </c>
    </row>
    <row r="31" spans="2:2" x14ac:dyDescent="0.25">
      <c r="B31" t="s">
        <v>18</v>
      </c>
    </row>
    <row r="32" spans="2:2" x14ac:dyDescent="0.25">
      <c r="B32" t="s">
        <v>19</v>
      </c>
    </row>
    <row r="33" spans="2:2" x14ac:dyDescent="0.25">
      <c r="B33" t="s">
        <v>20</v>
      </c>
    </row>
    <row r="34" spans="2:2" x14ac:dyDescent="0.25">
      <c r="B34" t="s">
        <v>21</v>
      </c>
    </row>
    <row r="35" spans="2:2" x14ac:dyDescent="0.25">
      <c r="B35" t="s">
        <v>22</v>
      </c>
    </row>
    <row r="36" spans="2:2" x14ac:dyDescent="0.25">
      <c r="B36" t="s">
        <v>23</v>
      </c>
    </row>
    <row r="37" spans="2:2" x14ac:dyDescent="0.25">
      <c r="B37" t="s">
        <v>24</v>
      </c>
    </row>
    <row r="38" spans="2:2" x14ac:dyDescent="0.25">
      <c r="B38" t="s">
        <v>25</v>
      </c>
    </row>
    <row r="39" spans="2:2" x14ac:dyDescent="0.25">
      <c r="B39" t="s">
        <v>26</v>
      </c>
    </row>
    <row r="40" spans="2:2" x14ac:dyDescent="0.25">
      <c r="B40" t="s">
        <v>27</v>
      </c>
    </row>
    <row r="41" spans="2:2" x14ac:dyDescent="0.25">
      <c r="B41" t="s">
        <v>28</v>
      </c>
    </row>
    <row r="42" spans="2:2" x14ac:dyDescent="0.25">
      <c r="B42" t="s">
        <v>29</v>
      </c>
    </row>
    <row r="43" spans="2:2" x14ac:dyDescent="0.25">
      <c r="B43" t="s">
        <v>30</v>
      </c>
    </row>
    <row r="44" spans="2:2" x14ac:dyDescent="0.25">
      <c r="B44" t="s">
        <v>31</v>
      </c>
    </row>
    <row r="45" spans="2:2" x14ac:dyDescent="0.25">
      <c r="B45" t="s">
        <v>32</v>
      </c>
    </row>
    <row r="46" spans="2:2" x14ac:dyDescent="0.25">
      <c r="B46" t="s">
        <v>33</v>
      </c>
    </row>
    <row r="47" spans="2:2" x14ac:dyDescent="0.25">
      <c r="B47" t="s">
        <v>34</v>
      </c>
    </row>
    <row r="48" spans="2:2" x14ac:dyDescent="0.25">
      <c r="B48" t="s">
        <v>35</v>
      </c>
    </row>
    <row r="49" spans="2:2" x14ac:dyDescent="0.25">
      <c r="B49" t="s">
        <v>36</v>
      </c>
    </row>
    <row r="50" spans="2:2" x14ac:dyDescent="0.25">
      <c r="B50" t="s">
        <v>37</v>
      </c>
    </row>
    <row r="51" spans="2:2" x14ac:dyDescent="0.25">
      <c r="B51" t="s">
        <v>38</v>
      </c>
    </row>
    <row r="52" spans="2:2" x14ac:dyDescent="0.25">
      <c r="B52" t="s">
        <v>39</v>
      </c>
    </row>
    <row r="53" spans="2:2" x14ac:dyDescent="0.25">
      <c r="B53" t="s">
        <v>40</v>
      </c>
    </row>
    <row r="54" spans="2:2" x14ac:dyDescent="0.25">
      <c r="B54" t="s">
        <v>41</v>
      </c>
    </row>
    <row r="55" spans="2:2" x14ac:dyDescent="0.25">
      <c r="B55" t="s">
        <v>42</v>
      </c>
    </row>
    <row r="56" spans="2:2" x14ac:dyDescent="0.25">
      <c r="B56" t="s">
        <v>43</v>
      </c>
    </row>
    <row r="57" spans="2:2" x14ac:dyDescent="0.25">
      <c r="B57" t="s">
        <v>44</v>
      </c>
    </row>
    <row r="58" spans="2:2" x14ac:dyDescent="0.25">
      <c r="B58" t="s">
        <v>45</v>
      </c>
    </row>
    <row r="59" spans="2:2" x14ac:dyDescent="0.25">
      <c r="B59" t="s">
        <v>46</v>
      </c>
    </row>
    <row r="60" spans="2:2" x14ac:dyDescent="0.25">
      <c r="B60" t="s">
        <v>47</v>
      </c>
    </row>
    <row r="61" spans="2:2" x14ac:dyDescent="0.25">
      <c r="B61" t="s">
        <v>48</v>
      </c>
    </row>
    <row r="62" spans="2:2" x14ac:dyDescent="0.25">
      <c r="B62" t="s">
        <v>49</v>
      </c>
    </row>
    <row r="63" spans="2:2" x14ac:dyDescent="0.25">
      <c r="B63" t="s">
        <v>50</v>
      </c>
    </row>
    <row r="64" spans="2:2" x14ac:dyDescent="0.25">
      <c r="B64" t="s">
        <v>51</v>
      </c>
    </row>
    <row r="65" spans="2:2" x14ac:dyDescent="0.25">
      <c r="B65" t="s">
        <v>52</v>
      </c>
    </row>
    <row r="66" spans="2:2" x14ac:dyDescent="0.25">
      <c r="B66" t="s">
        <v>53</v>
      </c>
    </row>
    <row r="67" spans="2:2" x14ac:dyDescent="0.25">
      <c r="B67" t="s">
        <v>54</v>
      </c>
    </row>
    <row r="68" spans="2:2" x14ac:dyDescent="0.25">
      <c r="B68" t="s">
        <v>55</v>
      </c>
    </row>
    <row r="69" spans="2:2" x14ac:dyDescent="0.25">
      <c r="B69" t="s">
        <v>56</v>
      </c>
    </row>
    <row r="70" spans="2:2" x14ac:dyDescent="0.25">
      <c r="B70" t="s">
        <v>57</v>
      </c>
    </row>
    <row r="71" spans="2:2" x14ac:dyDescent="0.25">
      <c r="B71" t="s">
        <v>58</v>
      </c>
    </row>
    <row r="72" spans="2:2" x14ac:dyDescent="0.25">
      <c r="B72" t="s">
        <v>59</v>
      </c>
    </row>
    <row r="73" spans="2:2" x14ac:dyDescent="0.25">
      <c r="B73" t="s">
        <v>60</v>
      </c>
    </row>
    <row r="74" spans="2:2" x14ac:dyDescent="0.25">
      <c r="B74" t="s">
        <v>61</v>
      </c>
    </row>
    <row r="75" spans="2:2" x14ac:dyDescent="0.25">
      <c r="B75" t="s">
        <v>62</v>
      </c>
    </row>
    <row r="76" spans="2:2" x14ac:dyDescent="0.25">
      <c r="B76" t="s">
        <v>63</v>
      </c>
    </row>
    <row r="77" spans="2:2" x14ac:dyDescent="0.25">
      <c r="B77" t="s">
        <v>64</v>
      </c>
    </row>
    <row r="78" spans="2:2" x14ac:dyDescent="0.25">
      <c r="B78" t="s">
        <v>65</v>
      </c>
    </row>
    <row r="79" spans="2:2" x14ac:dyDescent="0.25">
      <c r="B79" t="s">
        <v>66</v>
      </c>
    </row>
    <row r="80" spans="2:2" x14ac:dyDescent="0.25">
      <c r="B80" t="s">
        <v>67</v>
      </c>
    </row>
    <row r="81" spans="2:2" x14ac:dyDescent="0.25">
      <c r="B81" t="s">
        <v>68</v>
      </c>
    </row>
    <row r="82" spans="2:2" x14ac:dyDescent="0.25">
      <c r="B82" t="s">
        <v>69</v>
      </c>
    </row>
    <row r="83" spans="2:2" x14ac:dyDescent="0.25">
      <c r="B83" t="s">
        <v>70</v>
      </c>
    </row>
    <row r="84" spans="2:2" x14ac:dyDescent="0.25">
      <c r="B84" t="s">
        <v>71</v>
      </c>
    </row>
    <row r="85" spans="2:2" x14ac:dyDescent="0.25">
      <c r="B85" t="s">
        <v>72</v>
      </c>
    </row>
    <row r="86" spans="2:2" x14ac:dyDescent="0.25">
      <c r="B86" t="s">
        <v>73</v>
      </c>
    </row>
    <row r="87" spans="2:2" x14ac:dyDescent="0.25">
      <c r="B87" t="s">
        <v>74</v>
      </c>
    </row>
    <row r="88" spans="2:2" x14ac:dyDescent="0.25">
      <c r="B88" t="s">
        <v>75</v>
      </c>
    </row>
    <row r="89" spans="2:2" x14ac:dyDescent="0.25">
      <c r="B89" t="s">
        <v>76</v>
      </c>
    </row>
    <row r="90" spans="2:2" x14ac:dyDescent="0.25">
      <c r="B90" t="s">
        <v>77</v>
      </c>
    </row>
    <row r="91" spans="2:2" x14ac:dyDescent="0.25">
      <c r="B91" t="s">
        <v>78</v>
      </c>
    </row>
    <row r="92" spans="2:2" x14ac:dyDescent="0.25">
      <c r="B92" t="s">
        <v>79</v>
      </c>
    </row>
    <row r="93" spans="2:2" x14ac:dyDescent="0.25">
      <c r="B93" t="s">
        <v>80</v>
      </c>
    </row>
    <row r="94" spans="2:2" x14ac:dyDescent="0.25">
      <c r="B94" t="s">
        <v>81</v>
      </c>
    </row>
    <row r="95" spans="2:2" x14ac:dyDescent="0.25">
      <c r="B95" t="s">
        <v>82</v>
      </c>
    </row>
    <row r="96" spans="2:2" x14ac:dyDescent="0.25">
      <c r="B96" t="s">
        <v>83</v>
      </c>
    </row>
    <row r="97" spans="2:2" x14ac:dyDescent="0.25">
      <c r="B97" t="s">
        <v>84</v>
      </c>
    </row>
    <row r="98" spans="2:2" x14ac:dyDescent="0.25">
      <c r="B98" t="s">
        <v>85</v>
      </c>
    </row>
    <row r="99" spans="2:2" x14ac:dyDescent="0.25">
      <c r="B99" t="s">
        <v>86</v>
      </c>
    </row>
    <row r="100" spans="2:2" x14ac:dyDescent="0.25">
      <c r="B100" t="s">
        <v>87</v>
      </c>
    </row>
    <row r="101" spans="2:2" x14ac:dyDescent="0.25">
      <c r="B101" t="s">
        <v>88</v>
      </c>
    </row>
    <row r="102" spans="2:2" x14ac:dyDescent="0.25">
      <c r="B102" t="s">
        <v>89</v>
      </c>
    </row>
    <row r="103" spans="2:2" x14ac:dyDescent="0.25">
      <c r="B103" t="s">
        <v>90</v>
      </c>
    </row>
    <row r="104" spans="2:2" x14ac:dyDescent="0.25">
      <c r="B104" t="s">
        <v>91</v>
      </c>
    </row>
    <row r="105" spans="2:2" x14ac:dyDescent="0.25">
      <c r="B105" t="s">
        <v>92</v>
      </c>
    </row>
    <row r="106" spans="2:2" x14ac:dyDescent="0.25">
      <c r="B106" t="s">
        <v>93</v>
      </c>
    </row>
    <row r="107" spans="2:2" x14ac:dyDescent="0.25">
      <c r="B107" t="s">
        <v>94</v>
      </c>
    </row>
    <row r="108" spans="2:2" x14ac:dyDescent="0.25">
      <c r="B108" t="s">
        <v>95</v>
      </c>
    </row>
    <row r="109" spans="2:2" x14ac:dyDescent="0.25">
      <c r="B109" t="s">
        <v>96</v>
      </c>
    </row>
    <row r="110" spans="2:2" x14ac:dyDescent="0.25">
      <c r="B110" t="s">
        <v>97</v>
      </c>
    </row>
    <row r="111" spans="2:2" x14ac:dyDescent="0.25">
      <c r="B111" t="s">
        <v>98</v>
      </c>
    </row>
    <row r="112" spans="2:2" x14ac:dyDescent="0.25">
      <c r="B112" t="s">
        <v>99</v>
      </c>
    </row>
    <row r="113" spans="2:2" x14ac:dyDescent="0.25">
      <c r="B113" t="s">
        <v>100</v>
      </c>
    </row>
    <row r="114" spans="2:2" x14ac:dyDescent="0.25">
      <c r="B114" t="s">
        <v>101</v>
      </c>
    </row>
    <row r="115" spans="2:2" x14ac:dyDescent="0.25">
      <c r="B115" t="s">
        <v>102</v>
      </c>
    </row>
    <row r="116" spans="2:2" x14ac:dyDescent="0.25">
      <c r="B116" t="s">
        <v>103</v>
      </c>
    </row>
    <row r="117" spans="2:2" x14ac:dyDescent="0.25">
      <c r="B117" t="s">
        <v>104</v>
      </c>
    </row>
    <row r="118" spans="2:2" x14ac:dyDescent="0.25">
      <c r="B118" t="s">
        <v>105</v>
      </c>
    </row>
    <row r="119" spans="2:2" x14ac:dyDescent="0.25">
      <c r="B119" t="s">
        <v>106</v>
      </c>
    </row>
    <row r="120" spans="2:2" x14ac:dyDescent="0.25">
      <c r="B120" t="s">
        <v>107</v>
      </c>
    </row>
    <row r="121" spans="2:2" x14ac:dyDescent="0.25">
      <c r="B121" t="s">
        <v>108</v>
      </c>
    </row>
    <row r="122" spans="2:2" x14ac:dyDescent="0.25">
      <c r="B122" t="s">
        <v>109</v>
      </c>
    </row>
    <row r="123" spans="2:2" x14ac:dyDescent="0.25">
      <c r="B123" t="s">
        <v>110</v>
      </c>
    </row>
    <row r="124" spans="2:2" x14ac:dyDescent="0.25">
      <c r="B124" t="s">
        <v>111</v>
      </c>
    </row>
    <row r="125" spans="2:2" x14ac:dyDescent="0.25">
      <c r="B125" t="s">
        <v>112</v>
      </c>
    </row>
    <row r="126" spans="2:2" x14ac:dyDescent="0.25">
      <c r="B126" t="s">
        <v>113</v>
      </c>
    </row>
    <row r="127" spans="2:2" x14ac:dyDescent="0.25">
      <c r="B127" t="s">
        <v>114</v>
      </c>
    </row>
    <row r="128" spans="2:2" x14ac:dyDescent="0.25">
      <c r="B128" t="s">
        <v>115</v>
      </c>
    </row>
    <row r="129" spans="2:2" x14ac:dyDescent="0.25">
      <c r="B129" t="s">
        <v>116</v>
      </c>
    </row>
    <row r="130" spans="2:2" x14ac:dyDescent="0.25">
      <c r="B130" t="s">
        <v>117</v>
      </c>
    </row>
    <row r="131" spans="2:2" x14ac:dyDescent="0.25">
      <c r="B131" t="s">
        <v>118</v>
      </c>
    </row>
    <row r="132" spans="2:2" x14ac:dyDescent="0.25">
      <c r="B132" t="s">
        <v>119</v>
      </c>
    </row>
    <row r="133" spans="2:2" x14ac:dyDescent="0.25">
      <c r="B133" t="s">
        <v>120</v>
      </c>
    </row>
    <row r="134" spans="2:2" x14ac:dyDescent="0.25">
      <c r="B134" t="s">
        <v>121</v>
      </c>
    </row>
    <row r="135" spans="2:2" x14ac:dyDescent="0.25">
      <c r="B135" t="s">
        <v>122</v>
      </c>
    </row>
    <row r="136" spans="2:2" x14ac:dyDescent="0.25">
      <c r="B136" t="s">
        <v>123</v>
      </c>
    </row>
    <row r="137" spans="2:2" x14ac:dyDescent="0.25">
      <c r="B137" t="s">
        <v>124</v>
      </c>
    </row>
    <row r="138" spans="2:2" x14ac:dyDescent="0.25">
      <c r="B138" t="s">
        <v>125</v>
      </c>
    </row>
    <row r="139" spans="2:2" x14ac:dyDescent="0.25">
      <c r="B139" t="s">
        <v>126</v>
      </c>
    </row>
    <row r="140" spans="2:2" x14ac:dyDescent="0.25">
      <c r="B140" t="s">
        <v>127</v>
      </c>
    </row>
    <row r="141" spans="2:2" x14ac:dyDescent="0.25">
      <c r="B141" t="s">
        <v>128</v>
      </c>
    </row>
    <row r="142" spans="2:2" x14ac:dyDescent="0.25">
      <c r="B142" t="s">
        <v>129</v>
      </c>
    </row>
    <row r="143" spans="2:2" x14ac:dyDescent="0.25">
      <c r="B143" t="s">
        <v>130</v>
      </c>
    </row>
    <row r="144" spans="2:2" x14ac:dyDescent="0.25">
      <c r="B144" t="s">
        <v>131</v>
      </c>
    </row>
    <row r="145" spans="2:2" x14ac:dyDescent="0.25">
      <c r="B145" t="s">
        <v>132</v>
      </c>
    </row>
    <row r="146" spans="2:2" x14ac:dyDescent="0.25">
      <c r="B146" t="s">
        <v>133</v>
      </c>
    </row>
    <row r="147" spans="2:2" x14ac:dyDescent="0.25">
      <c r="B147" t="s">
        <v>134</v>
      </c>
    </row>
    <row r="148" spans="2:2" x14ac:dyDescent="0.25">
      <c r="B148" t="s">
        <v>135</v>
      </c>
    </row>
    <row r="149" spans="2:2" x14ac:dyDescent="0.25">
      <c r="B149" t="s">
        <v>136</v>
      </c>
    </row>
    <row r="150" spans="2:2" x14ac:dyDescent="0.25">
      <c r="B150" t="s">
        <v>137</v>
      </c>
    </row>
    <row r="151" spans="2:2" x14ac:dyDescent="0.25">
      <c r="B151" t="s">
        <v>138</v>
      </c>
    </row>
    <row r="152" spans="2:2" x14ac:dyDescent="0.25">
      <c r="B152" t="s">
        <v>139</v>
      </c>
    </row>
    <row r="153" spans="2:2" x14ac:dyDescent="0.25">
      <c r="B153" t="s">
        <v>140</v>
      </c>
    </row>
    <row r="154" spans="2:2" x14ac:dyDescent="0.25">
      <c r="B154" t="s">
        <v>141</v>
      </c>
    </row>
    <row r="155" spans="2:2" x14ac:dyDescent="0.25">
      <c r="B155" t="s">
        <v>142</v>
      </c>
    </row>
    <row r="156" spans="2:2" x14ac:dyDescent="0.25">
      <c r="B156" t="s">
        <v>143</v>
      </c>
    </row>
    <row r="157" spans="2:2" x14ac:dyDescent="0.25">
      <c r="B157" t="s">
        <v>144</v>
      </c>
    </row>
    <row r="158" spans="2:2" x14ac:dyDescent="0.25">
      <c r="B158" t="s">
        <v>145</v>
      </c>
    </row>
    <row r="159" spans="2:2" x14ac:dyDescent="0.25">
      <c r="B159" t="s">
        <v>146</v>
      </c>
    </row>
    <row r="160" spans="2:2" x14ac:dyDescent="0.25">
      <c r="B160" t="s">
        <v>147</v>
      </c>
    </row>
    <row r="161" spans="2:2" x14ac:dyDescent="0.25">
      <c r="B161" t="s">
        <v>148</v>
      </c>
    </row>
    <row r="162" spans="2:2" x14ac:dyDescent="0.25">
      <c r="B162" t="s">
        <v>149</v>
      </c>
    </row>
    <row r="163" spans="2:2" x14ac:dyDescent="0.25">
      <c r="B163" t="s">
        <v>150</v>
      </c>
    </row>
    <row r="164" spans="2:2" x14ac:dyDescent="0.25">
      <c r="B164" t="s">
        <v>151</v>
      </c>
    </row>
    <row r="165" spans="2:2" x14ac:dyDescent="0.25">
      <c r="B165" t="s">
        <v>152</v>
      </c>
    </row>
    <row r="166" spans="2:2" x14ac:dyDescent="0.25">
      <c r="B166" t="s">
        <v>153</v>
      </c>
    </row>
    <row r="167" spans="2:2" x14ac:dyDescent="0.25">
      <c r="B167" t="s">
        <v>154</v>
      </c>
    </row>
    <row r="168" spans="2:2" x14ac:dyDescent="0.25">
      <c r="B168" t="s">
        <v>155</v>
      </c>
    </row>
    <row r="169" spans="2:2" x14ac:dyDescent="0.25">
      <c r="B169" t="s">
        <v>156</v>
      </c>
    </row>
    <row r="170" spans="2:2" x14ac:dyDescent="0.25">
      <c r="B170" t="s">
        <v>157</v>
      </c>
    </row>
    <row r="171" spans="2:2" x14ac:dyDescent="0.25">
      <c r="B171" t="s">
        <v>158</v>
      </c>
    </row>
    <row r="172" spans="2:2" x14ac:dyDescent="0.25">
      <c r="B172" t="s">
        <v>159</v>
      </c>
    </row>
    <row r="173" spans="2:2" x14ac:dyDescent="0.25">
      <c r="B173" t="s">
        <v>160</v>
      </c>
    </row>
    <row r="174" spans="2:2" x14ac:dyDescent="0.25">
      <c r="B174" t="s">
        <v>161</v>
      </c>
    </row>
    <row r="175" spans="2:2" x14ac:dyDescent="0.25">
      <c r="B175" t="s">
        <v>162</v>
      </c>
    </row>
    <row r="176" spans="2:2" x14ac:dyDescent="0.25">
      <c r="B176" t="s">
        <v>163</v>
      </c>
    </row>
    <row r="177" spans="2:2" x14ac:dyDescent="0.25">
      <c r="B177" t="s">
        <v>164</v>
      </c>
    </row>
    <row r="178" spans="2:2" x14ac:dyDescent="0.25">
      <c r="B178" t="s">
        <v>165</v>
      </c>
    </row>
    <row r="179" spans="2:2" x14ac:dyDescent="0.25">
      <c r="B179" t="s">
        <v>166</v>
      </c>
    </row>
    <row r="180" spans="2:2" x14ac:dyDescent="0.25">
      <c r="B180" t="s">
        <v>167</v>
      </c>
    </row>
    <row r="181" spans="2:2" x14ac:dyDescent="0.25">
      <c r="B181" t="s">
        <v>168</v>
      </c>
    </row>
    <row r="182" spans="2:2" x14ac:dyDescent="0.25">
      <c r="B182" t="s">
        <v>169</v>
      </c>
    </row>
    <row r="183" spans="2:2" x14ac:dyDescent="0.25">
      <c r="B183" t="s">
        <v>170</v>
      </c>
    </row>
    <row r="184" spans="2:2" x14ac:dyDescent="0.25">
      <c r="B184" t="s">
        <v>171</v>
      </c>
    </row>
    <row r="185" spans="2:2" x14ac:dyDescent="0.25">
      <c r="B185" t="s">
        <v>172</v>
      </c>
    </row>
    <row r="186" spans="2:2" x14ac:dyDescent="0.25">
      <c r="B186" t="s">
        <v>173</v>
      </c>
    </row>
    <row r="187" spans="2:2" x14ac:dyDescent="0.25">
      <c r="B187" t="s">
        <v>174</v>
      </c>
    </row>
    <row r="188" spans="2:2" x14ac:dyDescent="0.25">
      <c r="B188" t="s">
        <v>175</v>
      </c>
    </row>
    <row r="189" spans="2:2" x14ac:dyDescent="0.25">
      <c r="B189" t="s">
        <v>176</v>
      </c>
    </row>
    <row r="190" spans="2:2" x14ac:dyDescent="0.25">
      <c r="B190" t="s">
        <v>177</v>
      </c>
    </row>
    <row r="191" spans="2:2" x14ac:dyDescent="0.25">
      <c r="B191" t="s">
        <v>178</v>
      </c>
    </row>
    <row r="192" spans="2:2" x14ac:dyDescent="0.25">
      <c r="B192" t="s">
        <v>179</v>
      </c>
    </row>
    <row r="193" spans="2:2" x14ac:dyDescent="0.25">
      <c r="B193" t="s">
        <v>180</v>
      </c>
    </row>
    <row r="194" spans="2:2" x14ac:dyDescent="0.25">
      <c r="B194" t="s">
        <v>181</v>
      </c>
    </row>
    <row r="195" spans="2:2" x14ac:dyDescent="0.25">
      <c r="B195" t="s">
        <v>182</v>
      </c>
    </row>
    <row r="196" spans="2:2" x14ac:dyDescent="0.25">
      <c r="B196" t="s">
        <v>183</v>
      </c>
    </row>
    <row r="197" spans="2:2" x14ac:dyDescent="0.25">
      <c r="B197" t="s">
        <v>184</v>
      </c>
    </row>
    <row r="198" spans="2:2" x14ac:dyDescent="0.25">
      <c r="B198" t="s">
        <v>185</v>
      </c>
    </row>
    <row r="199" spans="2:2" x14ac:dyDescent="0.25">
      <c r="B199" t="s">
        <v>186</v>
      </c>
    </row>
    <row r="200" spans="2:2" x14ac:dyDescent="0.25">
      <c r="B200" t="s">
        <v>187</v>
      </c>
    </row>
    <row r="201" spans="2:2" x14ac:dyDescent="0.25">
      <c r="B201" t="s">
        <v>188</v>
      </c>
    </row>
    <row r="202" spans="2:2" x14ac:dyDescent="0.25">
      <c r="B202" t="s">
        <v>189</v>
      </c>
    </row>
    <row r="203" spans="2:2" x14ac:dyDescent="0.25">
      <c r="B203" t="s">
        <v>190</v>
      </c>
    </row>
    <row r="204" spans="2:2" x14ac:dyDescent="0.25">
      <c r="B204" t="s">
        <v>191</v>
      </c>
    </row>
    <row r="205" spans="2:2" x14ac:dyDescent="0.25">
      <c r="B205" t="s">
        <v>192</v>
      </c>
    </row>
    <row r="206" spans="2:2" x14ac:dyDescent="0.25">
      <c r="B206" t="s">
        <v>193</v>
      </c>
    </row>
    <row r="207" spans="2:2" x14ac:dyDescent="0.25">
      <c r="B207" t="s">
        <v>194</v>
      </c>
    </row>
    <row r="208" spans="2:2" x14ac:dyDescent="0.25">
      <c r="B208" t="s">
        <v>195</v>
      </c>
    </row>
    <row r="209" spans="2:2" x14ac:dyDescent="0.25">
      <c r="B209" t="s">
        <v>196</v>
      </c>
    </row>
    <row r="210" spans="2:2" x14ac:dyDescent="0.25">
      <c r="B210" t="s">
        <v>197</v>
      </c>
    </row>
    <row r="211" spans="2:2" x14ac:dyDescent="0.25">
      <c r="B211" t="s">
        <v>198</v>
      </c>
    </row>
    <row r="212" spans="2:2" x14ac:dyDescent="0.25">
      <c r="B212" t="s">
        <v>199</v>
      </c>
    </row>
    <row r="213" spans="2:2" x14ac:dyDescent="0.25">
      <c r="B213" t="s">
        <v>200</v>
      </c>
    </row>
    <row r="214" spans="2:2" x14ac:dyDescent="0.25">
      <c r="B214" t="s">
        <v>201</v>
      </c>
    </row>
    <row r="215" spans="2:2" x14ac:dyDescent="0.25">
      <c r="B215" t="s">
        <v>202</v>
      </c>
    </row>
    <row r="216" spans="2:2" x14ac:dyDescent="0.25">
      <c r="B216" t="s">
        <v>203</v>
      </c>
    </row>
    <row r="217" spans="2:2" x14ac:dyDescent="0.25">
      <c r="B217" t="s">
        <v>204</v>
      </c>
    </row>
    <row r="218" spans="2:2" x14ac:dyDescent="0.25">
      <c r="B218" t="s">
        <v>205</v>
      </c>
    </row>
    <row r="219" spans="2:2" x14ac:dyDescent="0.25">
      <c r="B219" t="s">
        <v>206</v>
      </c>
    </row>
    <row r="220" spans="2:2" x14ac:dyDescent="0.25">
      <c r="B220" t="s">
        <v>207</v>
      </c>
    </row>
    <row r="221" spans="2:2" x14ac:dyDescent="0.25">
      <c r="B221" t="s">
        <v>208</v>
      </c>
    </row>
    <row r="222" spans="2:2" x14ac:dyDescent="0.25">
      <c r="B222" t="s">
        <v>209</v>
      </c>
    </row>
    <row r="223" spans="2:2" x14ac:dyDescent="0.25">
      <c r="B223" t="s">
        <v>210</v>
      </c>
    </row>
    <row r="224" spans="2:2" x14ac:dyDescent="0.25">
      <c r="B224" t="s">
        <v>211</v>
      </c>
    </row>
    <row r="225" spans="2:2" x14ac:dyDescent="0.25">
      <c r="B225" t="s">
        <v>212</v>
      </c>
    </row>
    <row r="226" spans="2:2" x14ac:dyDescent="0.25">
      <c r="B226" t="s">
        <v>213</v>
      </c>
    </row>
    <row r="227" spans="2:2" x14ac:dyDescent="0.25">
      <c r="B227" t="s">
        <v>214</v>
      </c>
    </row>
    <row r="228" spans="2:2" x14ac:dyDescent="0.25">
      <c r="B228" t="s">
        <v>215</v>
      </c>
    </row>
    <row r="229" spans="2:2" x14ac:dyDescent="0.25">
      <c r="B229" t="s">
        <v>216</v>
      </c>
    </row>
    <row r="230" spans="2:2" x14ac:dyDescent="0.25">
      <c r="B230" t="s">
        <v>217</v>
      </c>
    </row>
    <row r="231" spans="2:2" x14ac:dyDescent="0.25">
      <c r="B231" t="s">
        <v>218</v>
      </c>
    </row>
    <row r="232" spans="2:2" x14ac:dyDescent="0.25">
      <c r="B232" t="s">
        <v>219</v>
      </c>
    </row>
    <row r="233" spans="2:2" x14ac:dyDescent="0.25">
      <c r="B233" t="s">
        <v>220</v>
      </c>
    </row>
    <row r="234" spans="2:2" x14ac:dyDescent="0.25">
      <c r="B234" t="s">
        <v>221</v>
      </c>
    </row>
    <row r="235" spans="2:2" x14ac:dyDescent="0.25">
      <c r="B235" t="s">
        <v>222</v>
      </c>
    </row>
    <row r="236" spans="2:2" x14ac:dyDescent="0.25">
      <c r="B236" t="s">
        <v>223</v>
      </c>
    </row>
    <row r="237" spans="2:2" x14ac:dyDescent="0.25">
      <c r="B237" t="s">
        <v>224</v>
      </c>
    </row>
    <row r="238" spans="2:2" x14ac:dyDescent="0.25">
      <c r="B238" t="s">
        <v>225</v>
      </c>
    </row>
    <row r="239" spans="2:2" x14ac:dyDescent="0.25">
      <c r="B239" t="s">
        <v>226</v>
      </c>
    </row>
    <row r="240" spans="2:2" x14ac:dyDescent="0.25">
      <c r="B240" t="s">
        <v>227</v>
      </c>
    </row>
    <row r="241" spans="2:2" x14ac:dyDescent="0.25">
      <c r="B241" t="s">
        <v>228</v>
      </c>
    </row>
    <row r="242" spans="2:2" x14ac:dyDescent="0.25">
      <c r="B242" t="s">
        <v>229</v>
      </c>
    </row>
    <row r="243" spans="2:2" x14ac:dyDescent="0.25">
      <c r="B243" t="s">
        <v>230</v>
      </c>
    </row>
    <row r="244" spans="2:2" x14ac:dyDescent="0.25">
      <c r="B244" t="s">
        <v>231</v>
      </c>
    </row>
    <row r="245" spans="2:2" x14ac:dyDescent="0.25">
      <c r="B245" t="s">
        <v>232</v>
      </c>
    </row>
    <row r="246" spans="2:2" x14ac:dyDescent="0.25">
      <c r="B246" t="s">
        <v>233</v>
      </c>
    </row>
    <row r="247" spans="2:2" x14ac:dyDescent="0.25">
      <c r="B247" t="s">
        <v>234</v>
      </c>
    </row>
    <row r="248" spans="2:2" x14ac:dyDescent="0.25">
      <c r="B248" t="s">
        <v>235</v>
      </c>
    </row>
    <row r="249" spans="2:2" x14ac:dyDescent="0.25">
      <c r="B249" t="s">
        <v>236</v>
      </c>
    </row>
    <row r="250" spans="2:2" x14ac:dyDescent="0.25">
      <c r="B250" t="s">
        <v>237</v>
      </c>
    </row>
    <row r="251" spans="2:2" x14ac:dyDescent="0.25">
      <c r="B251" t="s">
        <v>238</v>
      </c>
    </row>
    <row r="252" spans="2:2" x14ac:dyDescent="0.25">
      <c r="B252" t="s">
        <v>239</v>
      </c>
    </row>
    <row r="253" spans="2:2" x14ac:dyDescent="0.25">
      <c r="B253" t="s">
        <v>240</v>
      </c>
    </row>
    <row r="254" spans="2:2" x14ac:dyDescent="0.25">
      <c r="B254" t="s">
        <v>241</v>
      </c>
    </row>
    <row r="255" spans="2:2" x14ac:dyDescent="0.25">
      <c r="B255" t="s">
        <v>242</v>
      </c>
    </row>
    <row r="256" spans="2:2" x14ac:dyDescent="0.25">
      <c r="B256" t="s">
        <v>243</v>
      </c>
    </row>
    <row r="257" spans="2:2" x14ac:dyDescent="0.25">
      <c r="B257" t="s">
        <v>244</v>
      </c>
    </row>
    <row r="258" spans="2:2" x14ac:dyDescent="0.25">
      <c r="B258" t="s">
        <v>245</v>
      </c>
    </row>
    <row r="259" spans="2:2" x14ac:dyDescent="0.25">
      <c r="B259" t="s">
        <v>246</v>
      </c>
    </row>
    <row r="260" spans="2:2" x14ac:dyDescent="0.25">
      <c r="B260" t="s">
        <v>247</v>
      </c>
    </row>
    <row r="261" spans="2:2" x14ac:dyDescent="0.25">
      <c r="B261" t="s">
        <v>248</v>
      </c>
    </row>
    <row r="262" spans="2:2" x14ac:dyDescent="0.25">
      <c r="B262" t="s">
        <v>249</v>
      </c>
    </row>
    <row r="263" spans="2:2" x14ac:dyDescent="0.25">
      <c r="B263" t="s">
        <v>250</v>
      </c>
    </row>
    <row r="264" spans="2:2" x14ac:dyDescent="0.25">
      <c r="B264" t="s">
        <v>251</v>
      </c>
    </row>
    <row r="265" spans="2:2" x14ac:dyDescent="0.25">
      <c r="B265" t="s">
        <v>252</v>
      </c>
    </row>
    <row r="266" spans="2:2" x14ac:dyDescent="0.25">
      <c r="B266" t="s">
        <v>253</v>
      </c>
    </row>
    <row r="267" spans="2:2" x14ac:dyDescent="0.25">
      <c r="B267" t="s">
        <v>254</v>
      </c>
    </row>
    <row r="268" spans="2:2" x14ac:dyDescent="0.25">
      <c r="B268" t="s">
        <v>255</v>
      </c>
    </row>
    <row r="269" spans="2:2" x14ac:dyDescent="0.25">
      <c r="B269" t="s">
        <v>256</v>
      </c>
    </row>
    <row r="270" spans="2:2" x14ac:dyDescent="0.25">
      <c r="B270" t="s">
        <v>257</v>
      </c>
    </row>
    <row r="271" spans="2:2" x14ac:dyDescent="0.25">
      <c r="B271" t="s">
        <v>258</v>
      </c>
    </row>
    <row r="272" spans="2:2" x14ac:dyDescent="0.25">
      <c r="B272" t="s">
        <v>259</v>
      </c>
    </row>
    <row r="273" spans="2:2" x14ac:dyDescent="0.25">
      <c r="B273" t="s">
        <v>260</v>
      </c>
    </row>
    <row r="274" spans="2:2" x14ac:dyDescent="0.25">
      <c r="B274" t="s">
        <v>261</v>
      </c>
    </row>
    <row r="275" spans="2:2" x14ac:dyDescent="0.25">
      <c r="B275" t="s">
        <v>262</v>
      </c>
    </row>
    <row r="276" spans="2:2" x14ac:dyDescent="0.25">
      <c r="B276" t="s">
        <v>263</v>
      </c>
    </row>
    <row r="277" spans="2:2" x14ac:dyDescent="0.25">
      <c r="B277" t="s">
        <v>264</v>
      </c>
    </row>
    <row r="278" spans="2:2" x14ac:dyDescent="0.25">
      <c r="B278" t="s">
        <v>265</v>
      </c>
    </row>
    <row r="279" spans="2:2" x14ac:dyDescent="0.25">
      <c r="B279" t="s">
        <v>266</v>
      </c>
    </row>
    <row r="280" spans="2:2" x14ac:dyDescent="0.25">
      <c r="B280" t="s">
        <v>267</v>
      </c>
    </row>
    <row r="281" spans="2:2" x14ac:dyDescent="0.25">
      <c r="B281" t="s">
        <v>268</v>
      </c>
    </row>
    <row r="282" spans="2:2" x14ac:dyDescent="0.25">
      <c r="B282" t="s">
        <v>269</v>
      </c>
    </row>
    <row r="283" spans="2:2" x14ac:dyDescent="0.25">
      <c r="B283" t="s">
        <v>270</v>
      </c>
    </row>
    <row r="284" spans="2:2" x14ac:dyDescent="0.25">
      <c r="B284" t="s">
        <v>271</v>
      </c>
    </row>
    <row r="285" spans="2:2" x14ac:dyDescent="0.25">
      <c r="B285" t="s">
        <v>272</v>
      </c>
    </row>
    <row r="286" spans="2:2" x14ac:dyDescent="0.25">
      <c r="B286" t="s">
        <v>273</v>
      </c>
    </row>
    <row r="287" spans="2:2" x14ac:dyDescent="0.25">
      <c r="B287" t="s">
        <v>274</v>
      </c>
    </row>
    <row r="288" spans="2:2" x14ac:dyDescent="0.25">
      <c r="B288" t="s">
        <v>275</v>
      </c>
    </row>
    <row r="289" spans="2:2" x14ac:dyDescent="0.25">
      <c r="B289" t="s">
        <v>276</v>
      </c>
    </row>
    <row r="290" spans="2:2" x14ac:dyDescent="0.25">
      <c r="B290" t="s">
        <v>277</v>
      </c>
    </row>
    <row r="291" spans="2:2" x14ac:dyDescent="0.25">
      <c r="B291" t="s">
        <v>278</v>
      </c>
    </row>
    <row r="292" spans="2:2" x14ac:dyDescent="0.25">
      <c r="B292" t="s">
        <v>279</v>
      </c>
    </row>
    <row r="293" spans="2:2" x14ac:dyDescent="0.25">
      <c r="B293" t="s">
        <v>280</v>
      </c>
    </row>
    <row r="294" spans="2:2" x14ac:dyDescent="0.25">
      <c r="B294" t="s">
        <v>281</v>
      </c>
    </row>
    <row r="295" spans="2:2" x14ac:dyDescent="0.25">
      <c r="B295" t="s">
        <v>282</v>
      </c>
    </row>
    <row r="296" spans="2:2" x14ac:dyDescent="0.25">
      <c r="B296" t="s">
        <v>283</v>
      </c>
    </row>
    <row r="297" spans="2:2" x14ac:dyDescent="0.25">
      <c r="B297" t="s">
        <v>284</v>
      </c>
    </row>
    <row r="298" spans="2:2" x14ac:dyDescent="0.25">
      <c r="B298" t="s">
        <v>285</v>
      </c>
    </row>
    <row r="299" spans="2:2" x14ac:dyDescent="0.25">
      <c r="B299" t="s">
        <v>286</v>
      </c>
    </row>
    <row r="300" spans="2:2" x14ac:dyDescent="0.25">
      <c r="B300" t="s">
        <v>287</v>
      </c>
    </row>
    <row r="301" spans="2:2" x14ac:dyDescent="0.25">
      <c r="B301" t="s">
        <v>288</v>
      </c>
    </row>
    <row r="302" spans="2:2" x14ac:dyDescent="0.25">
      <c r="B302" t="s">
        <v>289</v>
      </c>
    </row>
    <row r="303" spans="2:2" x14ac:dyDescent="0.25">
      <c r="B303" t="s">
        <v>290</v>
      </c>
    </row>
    <row r="304" spans="2:2" x14ac:dyDescent="0.25">
      <c r="B304" t="s">
        <v>291</v>
      </c>
    </row>
    <row r="305" spans="2:2" x14ac:dyDescent="0.25">
      <c r="B305" t="s">
        <v>292</v>
      </c>
    </row>
    <row r="306" spans="2:2" x14ac:dyDescent="0.25">
      <c r="B306" t="s">
        <v>293</v>
      </c>
    </row>
    <row r="307" spans="2:2" x14ac:dyDescent="0.25">
      <c r="B307" t="s">
        <v>294</v>
      </c>
    </row>
    <row r="308" spans="2:2" x14ac:dyDescent="0.25">
      <c r="B308" t="s">
        <v>295</v>
      </c>
    </row>
    <row r="309" spans="2:2" x14ac:dyDescent="0.25">
      <c r="B309" t="s">
        <v>296</v>
      </c>
    </row>
    <row r="310" spans="2:2" x14ac:dyDescent="0.25">
      <c r="B310" t="s">
        <v>297</v>
      </c>
    </row>
    <row r="311" spans="2:2" x14ac:dyDescent="0.25">
      <c r="B311" t="s">
        <v>298</v>
      </c>
    </row>
    <row r="312" spans="2:2" x14ac:dyDescent="0.25">
      <c r="B312" t="s">
        <v>299</v>
      </c>
    </row>
    <row r="313" spans="2:2" x14ac:dyDescent="0.25">
      <c r="B313" t="s">
        <v>300</v>
      </c>
    </row>
    <row r="314" spans="2:2" x14ac:dyDescent="0.25">
      <c r="B314" t="s">
        <v>301</v>
      </c>
    </row>
    <row r="315" spans="2:2" x14ac:dyDescent="0.25">
      <c r="B315" t="s">
        <v>302</v>
      </c>
    </row>
    <row r="316" spans="2:2" x14ac:dyDescent="0.25">
      <c r="B316" t="s">
        <v>303</v>
      </c>
    </row>
    <row r="317" spans="2:2" x14ac:dyDescent="0.25">
      <c r="B317" t="s">
        <v>304</v>
      </c>
    </row>
    <row r="318" spans="2:2" x14ac:dyDescent="0.25">
      <c r="B318" t="s">
        <v>305</v>
      </c>
    </row>
    <row r="319" spans="2:2" x14ac:dyDescent="0.25">
      <c r="B319" t="s">
        <v>306</v>
      </c>
    </row>
    <row r="320" spans="2:2" x14ac:dyDescent="0.25">
      <c r="B320" t="s">
        <v>307</v>
      </c>
    </row>
    <row r="321" spans="2:2" x14ac:dyDescent="0.25">
      <c r="B321" t="s">
        <v>308</v>
      </c>
    </row>
    <row r="322" spans="2:2" x14ac:dyDescent="0.25">
      <c r="B322" t="s">
        <v>309</v>
      </c>
    </row>
    <row r="323" spans="2:2" x14ac:dyDescent="0.25">
      <c r="B323" t="s">
        <v>310</v>
      </c>
    </row>
    <row r="324" spans="2:2" x14ac:dyDescent="0.25">
      <c r="B324" t="s">
        <v>311</v>
      </c>
    </row>
    <row r="325" spans="2:2" x14ac:dyDescent="0.25">
      <c r="B325" t="s">
        <v>312</v>
      </c>
    </row>
    <row r="326" spans="2:2" x14ac:dyDescent="0.25">
      <c r="B326" t="s">
        <v>313</v>
      </c>
    </row>
    <row r="327" spans="2:2" x14ac:dyDescent="0.25">
      <c r="B327" t="s">
        <v>314</v>
      </c>
    </row>
    <row r="328" spans="2:2" x14ac:dyDescent="0.25">
      <c r="B328" t="s">
        <v>315</v>
      </c>
    </row>
    <row r="329" spans="2:2" x14ac:dyDescent="0.25">
      <c r="B329" t="s">
        <v>316</v>
      </c>
    </row>
    <row r="330" spans="2:2" x14ac:dyDescent="0.25">
      <c r="B330" t="s">
        <v>317</v>
      </c>
    </row>
    <row r="331" spans="2:2" x14ac:dyDescent="0.25">
      <c r="B331" t="s">
        <v>318</v>
      </c>
    </row>
    <row r="332" spans="2:2" x14ac:dyDescent="0.25">
      <c r="B332" t="s">
        <v>319</v>
      </c>
    </row>
    <row r="333" spans="2:2" x14ac:dyDescent="0.25">
      <c r="B333" t="s">
        <v>320</v>
      </c>
    </row>
    <row r="334" spans="2:2" x14ac:dyDescent="0.25">
      <c r="B334" t="s">
        <v>321</v>
      </c>
    </row>
    <row r="335" spans="2:2" x14ac:dyDescent="0.25">
      <c r="B335" t="s">
        <v>322</v>
      </c>
    </row>
    <row r="336" spans="2:2" x14ac:dyDescent="0.25">
      <c r="B336" t="s">
        <v>323</v>
      </c>
    </row>
    <row r="337" spans="2:2" x14ac:dyDescent="0.25">
      <c r="B337" t="s">
        <v>324</v>
      </c>
    </row>
    <row r="338" spans="2:2" x14ac:dyDescent="0.25">
      <c r="B338" t="s">
        <v>325</v>
      </c>
    </row>
    <row r="339" spans="2:2" x14ac:dyDescent="0.25">
      <c r="B339" t="s">
        <v>326</v>
      </c>
    </row>
    <row r="340" spans="2:2" x14ac:dyDescent="0.25">
      <c r="B340" t="s">
        <v>327</v>
      </c>
    </row>
    <row r="341" spans="2:2" x14ac:dyDescent="0.25">
      <c r="B341" t="s">
        <v>328</v>
      </c>
    </row>
    <row r="342" spans="2:2" x14ac:dyDescent="0.25">
      <c r="B342" t="s">
        <v>329</v>
      </c>
    </row>
    <row r="343" spans="2:2" x14ac:dyDescent="0.25">
      <c r="B343" t="s">
        <v>330</v>
      </c>
    </row>
    <row r="344" spans="2:2" x14ac:dyDescent="0.25">
      <c r="B344" t="s">
        <v>331</v>
      </c>
    </row>
    <row r="345" spans="2:2" x14ac:dyDescent="0.25">
      <c r="B345" t="s">
        <v>332</v>
      </c>
    </row>
    <row r="346" spans="2:2" x14ac:dyDescent="0.25">
      <c r="B346" t="s">
        <v>333</v>
      </c>
    </row>
    <row r="347" spans="2:2" x14ac:dyDescent="0.25">
      <c r="B347" t="s">
        <v>334</v>
      </c>
    </row>
    <row r="348" spans="2:2" x14ac:dyDescent="0.25">
      <c r="B348" t="s">
        <v>335</v>
      </c>
    </row>
    <row r="349" spans="2:2" x14ac:dyDescent="0.25">
      <c r="B349" t="s">
        <v>336</v>
      </c>
    </row>
    <row r="350" spans="2:2" x14ac:dyDescent="0.25">
      <c r="B350" t="s">
        <v>337</v>
      </c>
    </row>
    <row r="351" spans="2:2" x14ac:dyDescent="0.25">
      <c r="B351" t="s">
        <v>338</v>
      </c>
    </row>
    <row r="352" spans="2:2" x14ac:dyDescent="0.25">
      <c r="B352" t="s">
        <v>339</v>
      </c>
    </row>
    <row r="353" spans="2:2" x14ac:dyDescent="0.25">
      <c r="B353" t="s">
        <v>340</v>
      </c>
    </row>
    <row r="354" spans="2:2" x14ac:dyDescent="0.25">
      <c r="B354" t="s">
        <v>341</v>
      </c>
    </row>
    <row r="355" spans="2:2" x14ac:dyDescent="0.25">
      <c r="B355" t="s">
        <v>342</v>
      </c>
    </row>
    <row r="356" spans="2:2" x14ac:dyDescent="0.25">
      <c r="B356" t="s">
        <v>343</v>
      </c>
    </row>
    <row r="357" spans="2:2" x14ac:dyDescent="0.25">
      <c r="B357" t="s">
        <v>344</v>
      </c>
    </row>
    <row r="358" spans="2:2" x14ac:dyDescent="0.25">
      <c r="B358" t="s">
        <v>345</v>
      </c>
    </row>
    <row r="359" spans="2:2" x14ac:dyDescent="0.25">
      <c r="B359" t="s">
        <v>346</v>
      </c>
    </row>
    <row r="360" spans="2:2" x14ac:dyDescent="0.25">
      <c r="B360" t="s">
        <v>347</v>
      </c>
    </row>
    <row r="361" spans="2:2" x14ac:dyDescent="0.25">
      <c r="B361" t="s">
        <v>348</v>
      </c>
    </row>
    <row r="362" spans="2:2" x14ac:dyDescent="0.25">
      <c r="B362" t="s">
        <v>349</v>
      </c>
    </row>
    <row r="363" spans="2:2" x14ac:dyDescent="0.25">
      <c r="B363" t="s">
        <v>350</v>
      </c>
    </row>
    <row r="364" spans="2:2" x14ac:dyDescent="0.25">
      <c r="B364" t="s">
        <v>351</v>
      </c>
    </row>
    <row r="365" spans="2:2" x14ac:dyDescent="0.25">
      <c r="B365" t="s">
        <v>352</v>
      </c>
    </row>
    <row r="366" spans="2:2" x14ac:dyDescent="0.25">
      <c r="B366" t="s">
        <v>353</v>
      </c>
    </row>
    <row r="367" spans="2:2" x14ac:dyDescent="0.25">
      <c r="B367" t="s">
        <v>354</v>
      </c>
    </row>
    <row r="368" spans="2:2" x14ac:dyDescent="0.25">
      <c r="B368" t="s">
        <v>355</v>
      </c>
    </row>
    <row r="369" spans="2:2" x14ac:dyDescent="0.25">
      <c r="B369" t="s">
        <v>356</v>
      </c>
    </row>
    <row r="370" spans="2:2" x14ac:dyDescent="0.25">
      <c r="B370" t="s">
        <v>357</v>
      </c>
    </row>
    <row r="371" spans="2:2" x14ac:dyDescent="0.25">
      <c r="B371" t="s">
        <v>358</v>
      </c>
    </row>
    <row r="372" spans="2:2" x14ac:dyDescent="0.25">
      <c r="B372" t="s">
        <v>359</v>
      </c>
    </row>
    <row r="373" spans="2:2" x14ac:dyDescent="0.25">
      <c r="B373" t="s">
        <v>360</v>
      </c>
    </row>
    <row r="374" spans="2:2" x14ac:dyDescent="0.25">
      <c r="B374" t="s">
        <v>361</v>
      </c>
    </row>
    <row r="375" spans="2:2" x14ac:dyDescent="0.25">
      <c r="B375" t="s">
        <v>362</v>
      </c>
    </row>
    <row r="376" spans="2:2" x14ac:dyDescent="0.25">
      <c r="B376" t="s">
        <v>363</v>
      </c>
    </row>
    <row r="377" spans="2:2" x14ac:dyDescent="0.25">
      <c r="B377" t="s">
        <v>364</v>
      </c>
    </row>
    <row r="378" spans="2:2" x14ac:dyDescent="0.25">
      <c r="B378" t="s">
        <v>365</v>
      </c>
    </row>
    <row r="379" spans="2:2" x14ac:dyDescent="0.25">
      <c r="B379" t="s">
        <v>366</v>
      </c>
    </row>
    <row r="380" spans="2:2" x14ac:dyDescent="0.25">
      <c r="B380" t="s">
        <v>367</v>
      </c>
    </row>
    <row r="381" spans="2:2" x14ac:dyDescent="0.25">
      <c r="B381" t="s">
        <v>368</v>
      </c>
    </row>
    <row r="382" spans="2:2" x14ac:dyDescent="0.25">
      <c r="B382" t="s">
        <v>369</v>
      </c>
    </row>
    <row r="383" spans="2:2" x14ac:dyDescent="0.25">
      <c r="B383" t="s">
        <v>370</v>
      </c>
    </row>
    <row r="384" spans="2:2" x14ac:dyDescent="0.25">
      <c r="B384" t="s">
        <v>371</v>
      </c>
    </row>
    <row r="385" spans="2:2" x14ac:dyDescent="0.25">
      <c r="B385" t="s">
        <v>372</v>
      </c>
    </row>
    <row r="386" spans="2:2" x14ac:dyDescent="0.25">
      <c r="B386" t="s">
        <v>373</v>
      </c>
    </row>
    <row r="387" spans="2:2" x14ac:dyDescent="0.25">
      <c r="B387" t="s">
        <v>374</v>
      </c>
    </row>
    <row r="388" spans="2:2" x14ac:dyDescent="0.25">
      <c r="B388" t="s">
        <v>375</v>
      </c>
    </row>
    <row r="389" spans="2:2" x14ac:dyDescent="0.25">
      <c r="B389" t="s">
        <v>376</v>
      </c>
    </row>
    <row r="390" spans="2:2" x14ac:dyDescent="0.25">
      <c r="B390" t="s">
        <v>377</v>
      </c>
    </row>
    <row r="391" spans="2:2" x14ac:dyDescent="0.25">
      <c r="B391" t="s">
        <v>378</v>
      </c>
    </row>
    <row r="392" spans="2:2" x14ac:dyDescent="0.25">
      <c r="B392" t="s">
        <v>379</v>
      </c>
    </row>
    <row r="393" spans="2:2" x14ac:dyDescent="0.25">
      <c r="B393" t="s">
        <v>380</v>
      </c>
    </row>
    <row r="394" spans="2:2" x14ac:dyDescent="0.25">
      <c r="B394" t="s">
        <v>381</v>
      </c>
    </row>
    <row r="395" spans="2:2" x14ac:dyDescent="0.25">
      <c r="B395" t="s">
        <v>382</v>
      </c>
    </row>
    <row r="396" spans="2:2" x14ac:dyDescent="0.25">
      <c r="B396" t="s">
        <v>383</v>
      </c>
    </row>
    <row r="397" spans="2:2" x14ac:dyDescent="0.25">
      <c r="B397" t="s">
        <v>384</v>
      </c>
    </row>
    <row r="398" spans="2:2" x14ac:dyDescent="0.25">
      <c r="B398" t="s">
        <v>385</v>
      </c>
    </row>
    <row r="399" spans="2:2" x14ac:dyDescent="0.25">
      <c r="B399" t="s">
        <v>386</v>
      </c>
    </row>
    <row r="400" spans="2:2" x14ac:dyDescent="0.25">
      <c r="B400" t="s">
        <v>387</v>
      </c>
    </row>
    <row r="401" spans="2:2" x14ac:dyDescent="0.25">
      <c r="B401" t="s">
        <v>388</v>
      </c>
    </row>
    <row r="402" spans="2:2" x14ac:dyDescent="0.25">
      <c r="B402" t="s">
        <v>389</v>
      </c>
    </row>
    <row r="403" spans="2:2" x14ac:dyDescent="0.25">
      <c r="B403" t="s">
        <v>390</v>
      </c>
    </row>
    <row r="404" spans="2:2" x14ac:dyDescent="0.25">
      <c r="B404" t="s">
        <v>391</v>
      </c>
    </row>
    <row r="405" spans="2:2" x14ac:dyDescent="0.25">
      <c r="B405" t="s">
        <v>392</v>
      </c>
    </row>
    <row r="406" spans="2:2" x14ac:dyDescent="0.25">
      <c r="B406" t="s">
        <v>393</v>
      </c>
    </row>
    <row r="407" spans="2:2" x14ac:dyDescent="0.25">
      <c r="B407" t="s">
        <v>394</v>
      </c>
    </row>
    <row r="408" spans="2:2" x14ac:dyDescent="0.25">
      <c r="B408" t="s">
        <v>395</v>
      </c>
    </row>
    <row r="409" spans="2:2" x14ac:dyDescent="0.25">
      <c r="B409" t="s">
        <v>396</v>
      </c>
    </row>
    <row r="410" spans="2:2" x14ac:dyDescent="0.25">
      <c r="B410" t="s">
        <v>397</v>
      </c>
    </row>
    <row r="411" spans="2:2" x14ac:dyDescent="0.25">
      <c r="B411" t="s">
        <v>398</v>
      </c>
    </row>
    <row r="412" spans="2:2" x14ac:dyDescent="0.25">
      <c r="B412" t="s">
        <v>399</v>
      </c>
    </row>
    <row r="413" spans="2:2" x14ac:dyDescent="0.25">
      <c r="B413" t="s">
        <v>400</v>
      </c>
    </row>
    <row r="414" spans="2:2" x14ac:dyDescent="0.25">
      <c r="B414" t="s">
        <v>401</v>
      </c>
    </row>
    <row r="415" spans="2:2" x14ac:dyDescent="0.25">
      <c r="B415" t="s">
        <v>402</v>
      </c>
    </row>
    <row r="416" spans="2:2" x14ac:dyDescent="0.25">
      <c r="B416" t="s">
        <v>403</v>
      </c>
    </row>
    <row r="417" spans="2:2" x14ac:dyDescent="0.25">
      <c r="B417" t="s">
        <v>404</v>
      </c>
    </row>
    <row r="418" spans="2:2" x14ac:dyDescent="0.25">
      <c r="B418" t="s">
        <v>405</v>
      </c>
    </row>
    <row r="419" spans="2:2" x14ac:dyDescent="0.25">
      <c r="B419" t="s">
        <v>406</v>
      </c>
    </row>
    <row r="420" spans="2:2" x14ac:dyDescent="0.25">
      <c r="B420" t="s">
        <v>407</v>
      </c>
    </row>
    <row r="421" spans="2:2" x14ac:dyDescent="0.25">
      <c r="B421" t="s">
        <v>408</v>
      </c>
    </row>
    <row r="422" spans="2:2" x14ac:dyDescent="0.25">
      <c r="B422" t="s">
        <v>409</v>
      </c>
    </row>
    <row r="423" spans="2:2" x14ac:dyDescent="0.25">
      <c r="B423" t="s">
        <v>410</v>
      </c>
    </row>
    <row r="424" spans="2:2" x14ac:dyDescent="0.25">
      <c r="B424" t="s">
        <v>411</v>
      </c>
    </row>
    <row r="425" spans="2:2" x14ac:dyDescent="0.25">
      <c r="B425" t="s">
        <v>412</v>
      </c>
    </row>
    <row r="426" spans="2:2" x14ac:dyDescent="0.25">
      <c r="B426" t="s">
        <v>413</v>
      </c>
    </row>
    <row r="427" spans="2:2" x14ac:dyDescent="0.25">
      <c r="B427" t="s">
        <v>414</v>
      </c>
    </row>
    <row r="428" spans="2:2" x14ac:dyDescent="0.25">
      <c r="B428" t="s">
        <v>415</v>
      </c>
    </row>
    <row r="429" spans="2:2" x14ac:dyDescent="0.25">
      <c r="B429" t="s">
        <v>416</v>
      </c>
    </row>
    <row r="430" spans="2:2" x14ac:dyDescent="0.25">
      <c r="B430" t="s">
        <v>417</v>
      </c>
    </row>
    <row r="431" spans="2:2" x14ac:dyDescent="0.25">
      <c r="B431" t="s">
        <v>418</v>
      </c>
    </row>
    <row r="432" spans="2:2" x14ac:dyDescent="0.25">
      <c r="B432" t="s">
        <v>419</v>
      </c>
    </row>
    <row r="433" spans="2:2" x14ac:dyDescent="0.25">
      <c r="B433" t="s">
        <v>420</v>
      </c>
    </row>
    <row r="434" spans="2:2" x14ac:dyDescent="0.25">
      <c r="B434" t="s">
        <v>421</v>
      </c>
    </row>
    <row r="435" spans="2:2" x14ac:dyDescent="0.25">
      <c r="B435" t="s">
        <v>422</v>
      </c>
    </row>
    <row r="436" spans="2:2" x14ac:dyDescent="0.25">
      <c r="B436" t="s">
        <v>423</v>
      </c>
    </row>
    <row r="437" spans="2:2" x14ac:dyDescent="0.25">
      <c r="B437" t="s">
        <v>424</v>
      </c>
    </row>
    <row r="438" spans="2:2" x14ac:dyDescent="0.25">
      <c r="B438" t="s">
        <v>425</v>
      </c>
    </row>
    <row r="439" spans="2:2" x14ac:dyDescent="0.25">
      <c r="B439" t="s">
        <v>426</v>
      </c>
    </row>
    <row r="440" spans="2:2" x14ac:dyDescent="0.25">
      <c r="B440" t="s">
        <v>427</v>
      </c>
    </row>
    <row r="441" spans="2:2" x14ac:dyDescent="0.25">
      <c r="B441" t="s">
        <v>428</v>
      </c>
    </row>
    <row r="442" spans="2:2" x14ac:dyDescent="0.25">
      <c r="B442" t="s">
        <v>429</v>
      </c>
    </row>
    <row r="443" spans="2:2" x14ac:dyDescent="0.25">
      <c r="B443" t="s">
        <v>430</v>
      </c>
    </row>
    <row r="444" spans="2:2" x14ac:dyDescent="0.25">
      <c r="B444" t="s">
        <v>431</v>
      </c>
    </row>
    <row r="445" spans="2:2" x14ac:dyDescent="0.25">
      <c r="B445" t="s">
        <v>432</v>
      </c>
    </row>
    <row r="446" spans="2:2" x14ac:dyDescent="0.25">
      <c r="B446" t="s">
        <v>433</v>
      </c>
    </row>
    <row r="447" spans="2:2" x14ac:dyDescent="0.25">
      <c r="B447" t="s">
        <v>434</v>
      </c>
    </row>
    <row r="448" spans="2:2" x14ac:dyDescent="0.25">
      <c r="B448" t="s">
        <v>435</v>
      </c>
    </row>
    <row r="449" spans="2:2" x14ac:dyDescent="0.25">
      <c r="B449" t="s">
        <v>436</v>
      </c>
    </row>
    <row r="450" spans="2:2" x14ac:dyDescent="0.25">
      <c r="B450" t="s">
        <v>437</v>
      </c>
    </row>
    <row r="451" spans="2:2" x14ac:dyDescent="0.25">
      <c r="B451" t="s">
        <v>438</v>
      </c>
    </row>
    <row r="452" spans="2:2" x14ac:dyDescent="0.25">
      <c r="B452" t="s">
        <v>439</v>
      </c>
    </row>
    <row r="453" spans="2:2" x14ac:dyDescent="0.25">
      <c r="B453" t="s">
        <v>440</v>
      </c>
    </row>
    <row r="454" spans="2:2" x14ac:dyDescent="0.25">
      <c r="B454" t="s">
        <v>441</v>
      </c>
    </row>
    <row r="455" spans="2:2" x14ac:dyDescent="0.25">
      <c r="B455" t="s">
        <v>442</v>
      </c>
    </row>
    <row r="456" spans="2:2" x14ac:dyDescent="0.25">
      <c r="B456" t="s">
        <v>443</v>
      </c>
    </row>
    <row r="457" spans="2:2" x14ac:dyDescent="0.25">
      <c r="B457" t="s">
        <v>444</v>
      </c>
    </row>
    <row r="458" spans="2:2" x14ac:dyDescent="0.25">
      <c r="B458" t="s">
        <v>445</v>
      </c>
    </row>
    <row r="459" spans="2:2" x14ac:dyDescent="0.25">
      <c r="B459" t="s">
        <v>446</v>
      </c>
    </row>
    <row r="460" spans="2:2" x14ac:dyDescent="0.25">
      <c r="B460" t="s">
        <v>447</v>
      </c>
    </row>
    <row r="461" spans="2:2" x14ac:dyDescent="0.25">
      <c r="B461" t="s">
        <v>448</v>
      </c>
    </row>
    <row r="462" spans="2:2" x14ac:dyDescent="0.25">
      <c r="B462" t="s">
        <v>449</v>
      </c>
    </row>
    <row r="463" spans="2:2" x14ac:dyDescent="0.25">
      <c r="B463" t="s">
        <v>450</v>
      </c>
    </row>
    <row r="464" spans="2:2" x14ac:dyDescent="0.25">
      <c r="B464" t="s">
        <v>451</v>
      </c>
    </row>
    <row r="465" spans="2:2" x14ac:dyDescent="0.25">
      <c r="B465" t="s">
        <v>452</v>
      </c>
    </row>
    <row r="466" spans="2:2" x14ac:dyDescent="0.25">
      <c r="B466" t="s">
        <v>453</v>
      </c>
    </row>
    <row r="467" spans="2:2" x14ac:dyDescent="0.25">
      <c r="B467" t="s">
        <v>454</v>
      </c>
    </row>
    <row r="468" spans="2:2" x14ac:dyDescent="0.25">
      <c r="B468" t="s">
        <v>455</v>
      </c>
    </row>
    <row r="469" spans="2:2" x14ac:dyDescent="0.25">
      <c r="B469" t="s">
        <v>456</v>
      </c>
    </row>
    <row r="470" spans="2:2" x14ac:dyDescent="0.25">
      <c r="B470" t="s">
        <v>457</v>
      </c>
    </row>
    <row r="471" spans="2:2" x14ac:dyDescent="0.25">
      <c r="B471" t="s">
        <v>458</v>
      </c>
    </row>
    <row r="472" spans="2:2" x14ac:dyDescent="0.25">
      <c r="B472" t="s">
        <v>459</v>
      </c>
    </row>
    <row r="473" spans="2:2" x14ac:dyDescent="0.25">
      <c r="B473" t="s">
        <v>460</v>
      </c>
    </row>
    <row r="474" spans="2:2" x14ac:dyDescent="0.25">
      <c r="B474" t="s">
        <v>461</v>
      </c>
    </row>
    <row r="475" spans="2:2" x14ac:dyDescent="0.25">
      <c r="B475" t="s">
        <v>462</v>
      </c>
    </row>
    <row r="476" spans="2:2" x14ac:dyDescent="0.25">
      <c r="B476" t="s">
        <v>463</v>
      </c>
    </row>
    <row r="477" spans="2:2" x14ac:dyDescent="0.25">
      <c r="B477" t="s">
        <v>464</v>
      </c>
    </row>
    <row r="478" spans="2:2" x14ac:dyDescent="0.25">
      <c r="B478" t="s">
        <v>465</v>
      </c>
    </row>
    <row r="479" spans="2:2" x14ac:dyDescent="0.25">
      <c r="B479" t="s">
        <v>466</v>
      </c>
    </row>
    <row r="480" spans="2:2" x14ac:dyDescent="0.25">
      <c r="B480" t="s">
        <v>467</v>
      </c>
    </row>
    <row r="481" spans="2:2" x14ac:dyDescent="0.25">
      <c r="B481" t="s">
        <v>468</v>
      </c>
    </row>
    <row r="482" spans="2:2" x14ac:dyDescent="0.25">
      <c r="B482" t="s">
        <v>469</v>
      </c>
    </row>
    <row r="483" spans="2:2" x14ac:dyDescent="0.25">
      <c r="B483" t="s">
        <v>470</v>
      </c>
    </row>
    <row r="484" spans="2:2" x14ac:dyDescent="0.25">
      <c r="B484" t="s">
        <v>471</v>
      </c>
    </row>
    <row r="485" spans="2:2" x14ac:dyDescent="0.25">
      <c r="B485" t="s">
        <v>472</v>
      </c>
    </row>
    <row r="486" spans="2:2" x14ac:dyDescent="0.25">
      <c r="B486" t="s">
        <v>473</v>
      </c>
    </row>
    <row r="487" spans="2:2" x14ac:dyDescent="0.25">
      <c r="B487" t="s">
        <v>474</v>
      </c>
    </row>
    <row r="488" spans="2:2" x14ac:dyDescent="0.25">
      <c r="B488" t="s">
        <v>475</v>
      </c>
    </row>
    <row r="489" spans="2:2" x14ac:dyDescent="0.25">
      <c r="B489" t="s">
        <v>476</v>
      </c>
    </row>
    <row r="490" spans="2:2" x14ac:dyDescent="0.25">
      <c r="B490" t="s">
        <v>477</v>
      </c>
    </row>
    <row r="491" spans="2:2" x14ac:dyDescent="0.25">
      <c r="B491" t="s">
        <v>478</v>
      </c>
    </row>
    <row r="492" spans="2:2" x14ac:dyDescent="0.25">
      <c r="B492" t="s">
        <v>479</v>
      </c>
    </row>
    <row r="493" spans="2:2" x14ac:dyDescent="0.25">
      <c r="B493" t="s">
        <v>480</v>
      </c>
    </row>
    <row r="494" spans="2:2" x14ac:dyDescent="0.25">
      <c r="B494" t="s">
        <v>481</v>
      </c>
    </row>
    <row r="495" spans="2:2" x14ac:dyDescent="0.25">
      <c r="B495" t="s">
        <v>482</v>
      </c>
    </row>
    <row r="496" spans="2:2" x14ac:dyDescent="0.25">
      <c r="B496" t="s">
        <v>483</v>
      </c>
    </row>
    <row r="497" spans="2:2" x14ac:dyDescent="0.25">
      <c r="B497" t="s">
        <v>484</v>
      </c>
    </row>
    <row r="498" spans="2:2" x14ac:dyDescent="0.25">
      <c r="B498" t="s">
        <v>485</v>
      </c>
    </row>
    <row r="499" spans="2:2" x14ac:dyDescent="0.25">
      <c r="B499" t="s">
        <v>486</v>
      </c>
    </row>
    <row r="500" spans="2:2" x14ac:dyDescent="0.25">
      <c r="B500" t="s">
        <v>487</v>
      </c>
    </row>
    <row r="501" spans="2:2" x14ac:dyDescent="0.25">
      <c r="B501" t="s">
        <v>488</v>
      </c>
    </row>
    <row r="502" spans="2:2" x14ac:dyDescent="0.25">
      <c r="B502" t="s">
        <v>489</v>
      </c>
    </row>
    <row r="503" spans="2:2" x14ac:dyDescent="0.25">
      <c r="B503" t="s">
        <v>490</v>
      </c>
    </row>
    <row r="504" spans="2:2" x14ac:dyDescent="0.25">
      <c r="B504" t="s">
        <v>491</v>
      </c>
    </row>
    <row r="505" spans="2:2" x14ac:dyDescent="0.25">
      <c r="B505" t="s">
        <v>492</v>
      </c>
    </row>
    <row r="506" spans="2:2" x14ac:dyDescent="0.25">
      <c r="B506" t="s">
        <v>493</v>
      </c>
    </row>
    <row r="507" spans="2:2" x14ac:dyDescent="0.25">
      <c r="B507" t="s">
        <v>494</v>
      </c>
    </row>
    <row r="508" spans="2:2" x14ac:dyDescent="0.25">
      <c r="B508" t="s">
        <v>495</v>
      </c>
    </row>
    <row r="509" spans="2:2" x14ac:dyDescent="0.25">
      <c r="B509" t="s">
        <v>496</v>
      </c>
    </row>
    <row r="510" spans="2:2" x14ac:dyDescent="0.25">
      <c r="B510" t="s">
        <v>497</v>
      </c>
    </row>
    <row r="511" spans="2:2" x14ac:dyDescent="0.25">
      <c r="B511" t="s">
        <v>498</v>
      </c>
    </row>
    <row r="512" spans="2:2" x14ac:dyDescent="0.25">
      <c r="B512" t="s">
        <v>499</v>
      </c>
    </row>
    <row r="513" spans="2:2" x14ac:dyDescent="0.25">
      <c r="B513" t="s">
        <v>500</v>
      </c>
    </row>
    <row r="514" spans="2:2" x14ac:dyDescent="0.25">
      <c r="B514" t="s">
        <v>501</v>
      </c>
    </row>
    <row r="515" spans="2:2" x14ac:dyDescent="0.25">
      <c r="B515" t="s">
        <v>502</v>
      </c>
    </row>
    <row r="516" spans="2:2" x14ac:dyDescent="0.25">
      <c r="B516" t="s">
        <v>503</v>
      </c>
    </row>
    <row r="517" spans="2:2" x14ac:dyDescent="0.25">
      <c r="B517" t="s">
        <v>504</v>
      </c>
    </row>
    <row r="518" spans="2:2" x14ac:dyDescent="0.25">
      <c r="B518" t="s">
        <v>505</v>
      </c>
    </row>
    <row r="519" spans="2:2" x14ac:dyDescent="0.25">
      <c r="B519" t="s">
        <v>506</v>
      </c>
    </row>
    <row r="520" spans="2:2" x14ac:dyDescent="0.25">
      <c r="B520" t="s">
        <v>507</v>
      </c>
    </row>
    <row r="521" spans="2:2" x14ac:dyDescent="0.25">
      <c r="B521" t="s">
        <v>508</v>
      </c>
    </row>
    <row r="522" spans="2:2" x14ac:dyDescent="0.25">
      <c r="B522" t="s">
        <v>509</v>
      </c>
    </row>
    <row r="523" spans="2:2" x14ac:dyDescent="0.25">
      <c r="B523" t="s">
        <v>510</v>
      </c>
    </row>
    <row r="524" spans="2:2" x14ac:dyDescent="0.25">
      <c r="B524" t="s">
        <v>511</v>
      </c>
    </row>
    <row r="525" spans="2:2" x14ac:dyDescent="0.25">
      <c r="B525" t="s">
        <v>512</v>
      </c>
    </row>
    <row r="526" spans="2:2" x14ac:dyDescent="0.25">
      <c r="B526" t="s">
        <v>513</v>
      </c>
    </row>
    <row r="527" spans="2:2" x14ac:dyDescent="0.25">
      <c r="B527" t="s">
        <v>514</v>
      </c>
    </row>
    <row r="528" spans="2:2" x14ac:dyDescent="0.25">
      <c r="B528" t="s">
        <v>515</v>
      </c>
    </row>
    <row r="529" spans="2:2" x14ac:dyDescent="0.25">
      <c r="B529" t="s">
        <v>516</v>
      </c>
    </row>
    <row r="530" spans="2:2" x14ac:dyDescent="0.25">
      <c r="B530" t="s">
        <v>517</v>
      </c>
    </row>
    <row r="531" spans="2:2" x14ac:dyDescent="0.25">
      <c r="B531" t="s">
        <v>518</v>
      </c>
    </row>
    <row r="532" spans="2:2" x14ac:dyDescent="0.25">
      <c r="B532" t="s">
        <v>519</v>
      </c>
    </row>
    <row r="533" spans="2:2" x14ac:dyDescent="0.25">
      <c r="B533" t="s">
        <v>520</v>
      </c>
    </row>
    <row r="534" spans="2:2" x14ac:dyDescent="0.25">
      <c r="B534" t="s">
        <v>521</v>
      </c>
    </row>
    <row r="535" spans="2:2" x14ac:dyDescent="0.25">
      <c r="B535" t="s">
        <v>522</v>
      </c>
    </row>
    <row r="536" spans="2:2" x14ac:dyDescent="0.25">
      <c r="B536" t="s">
        <v>523</v>
      </c>
    </row>
    <row r="537" spans="2:2" x14ac:dyDescent="0.25">
      <c r="B537" t="s">
        <v>524</v>
      </c>
    </row>
    <row r="538" spans="2:2" x14ac:dyDescent="0.25">
      <c r="B538" t="s">
        <v>525</v>
      </c>
    </row>
    <row r="539" spans="2:2" x14ac:dyDescent="0.25">
      <c r="B539" t="s">
        <v>526</v>
      </c>
    </row>
    <row r="540" spans="2:2" x14ac:dyDescent="0.25">
      <c r="B540" t="s">
        <v>527</v>
      </c>
    </row>
    <row r="541" spans="2:2" x14ac:dyDescent="0.25">
      <c r="B541" t="s">
        <v>528</v>
      </c>
    </row>
    <row r="542" spans="2:2" x14ac:dyDescent="0.25">
      <c r="B542" t="s">
        <v>529</v>
      </c>
    </row>
    <row r="543" spans="2:2" x14ac:dyDescent="0.25">
      <c r="B543" t="s">
        <v>530</v>
      </c>
    </row>
    <row r="544" spans="2:2" x14ac:dyDescent="0.25">
      <c r="B544" t="s">
        <v>531</v>
      </c>
    </row>
    <row r="545" spans="2:2" x14ac:dyDescent="0.25">
      <c r="B545" t="s">
        <v>532</v>
      </c>
    </row>
    <row r="546" spans="2:2" x14ac:dyDescent="0.25">
      <c r="B546" t="s">
        <v>533</v>
      </c>
    </row>
    <row r="547" spans="2:2" x14ac:dyDescent="0.25">
      <c r="B547" t="s">
        <v>534</v>
      </c>
    </row>
    <row r="548" spans="2:2" x14ac:dyDescent="0.25">
      <c r="B548" t="s">
        <v>535</v>
      </c>
    </row>
    <row r="549" spans="2:2" x14ac:dyDescent="0.25">
      <c r="B549" t="s">
        <v>536</v>
      </c>
    </row>
    <row r="550" spans="2:2" x14ac:dyDescent="0.25">
      <c r="B550" t="s">
        <v>537</v>
      </c>
    </row>
    <row r="551" spans="2:2" x14ac:dyDescent="0.25">
      <c r="B551" t="s">
        <v>538</v>
      </c>
    </row>
    <row r="552" spans="2:2" x14ac:dyDescent="0.25">
      <c r="B552" t="s">
        <v>539</v>
      </c>
    </row>
    <row r="553" spans="2:2" x14ac:dyDescent="0.25">
      <c r="B553" t="s">
        <v>540</v>
      </c>
    </row>
    <row r="554" spans="2:2" x14ac:dyDescent="0.25">
      <c r="B554" t="s">
        <v>541</v>
      </c>
    </row>
    <row r="555" spans="2:2" x14ac:dyDescent="0.25">
      <c r="B555" t="s">
        <v>542</v>
      </c>
    </row>
    <row r="556" spans="2:2" x14ac:dyDescent="0.25">
      <c r="B556" t="s">
        <v>543</v>
      </c>
    </row>
    <row r="557" spans="2:2" x14ac:dyDescent="0.25">
      <c r="B557" t="s">
        <v>544</v>
      </c>
    </row>
    <row r="558" spans="2:2" x14ac:dyDescent="0.25">
      <c r="B558" t="s">
        <v>545</v>
      </c>
    </row>
    <row r="559" spans="2:2" x14ac:dyDescent="0.25">
      <c r="B559" t="s">
        <v>546</v>
      </c>
    </row>
    <row r="560" spans="2:2" x14ac:dyDescent="0.25">
      <c r="B560" t="s">
        <v>547</v>
      </c>
    </row>
    <row r="561" spans="2:2" x14ac:dyDescent="0.25">
      <c r="B561" t="s">
        <v>548</v>
      </c>
    </row>
    <row r="562" spans="2:2" x14ac:dyDescent="0.25">
      <c r="B562" t="s">
        <v>549</v>
      </c>
    </row>
    <row r="563" spans="2:2" x14ac:dyDescent="0.25">
      <c r="B563" t="s">
        <v>550</v>
      </c>
    </row>
    <row r="564" spans="2:2" x14ac:dyDescent="0.25">
      <c r="B564" t="s">
        <v>551</v>
      </c>
    </row>
    <row r="565" spans="2:2" x14ac:dyDescent="0.25">
      <c r="B565" t="s">
        <v>552</v>
      </c>
    </row>
    <row r="566" spans="2:2" x14ac:dyDescent="0.25">
      <c r="B566" t="s">
        <v>553</v>
      </c>
    </row>
    <row r="567" spans="2:2" x14ac:dyDescent="0.25">
      <c r="B567" t="s">
        <v>554</v>
      </c>
    </row>
    <row r="568" spans="2:2" x14ac:dyDescent="0.25">
      <c r="B568" t="s">
        <v>555</v>
      </c>
    </row>
    <row r="569" spans="2:2" x14ac:dyDescent="0.25">
      <c r="B569" t="s">
        <v>556</v>
      </c>
    </row>
    <row r="570" spans="2:2" x14ac:dyDescent="0.25">
      <c r="B570" t="s">
        <v>557</v>
      </c>
    </row>
    <row r="571" spans="2:2" x14ac:dyDescent="0.25">
      <c r="B571" t="s">
        <v>558</v>
      </c>
    </row>
    <row r="572" spans="2:2" x14ac:dyDescent="0.25">
      <c r="B572" t="s">
        <v>559</v>
      </c>
    </row>
    <row r="573" spans="2:2" x14ac:dyDescent="0.25">
      <c r="B573" t="s">
        <v>560</v>
      </c>
    </row>
    <row r="574" spans="2:2" x14ac:dyDescent="0.25">
      <c r="B574" t="s">
        <v>561</v>
      </c>
    </row>
    <row r="575" spans="2:2" x14ac:dyDescent="0.25">
      <c r="B575" t="s">
        <v>562</v>
      </c>
    </row>
    <row r="576" spans="2:2" x14ac:dyDescent="0.25">
      <c r="B576" t="s">
        <v>563</v>
      </c>
    </row>
    <row r="577" spans="2:2" x14ac:dyDescent="0.25">
      <c r="B577" t="s">
        <v>564</v>
      </c>
    </row>
    <row r="578" spans="2:2" x14ac:dyDescent="0.25">
      <c r="B578" t="s">
        <v>565</v>
      </c>
    </row>
    <row r="579" spans="2:2" x14ac:dyDescent="0.25">
      <c r="B579" t="s">
        <v>566</v>
      </c>
    </row>
    <row r="580" spans="2:2" x14ac:dyDescent="0.25">
      <c r="B580" t="s">
        <v>567</v>
      </c>
    </row>
    <row r="581" spans="2:2" x14ac:dyDescent="0.25">
      <c r="B581" t="s">
        <v>568</v>
      </c>
    </row>
    <row r="582" spans="2:2" x14ac:dyDescent="0.25">
      <c r="B582" t="s">
        <v>569</v>
      </c>
    </row>
    <row r="583" spans="2:2" x14ac:dyDescent="0.25">
      <c r="B583" t="s">
        <v>570</v>
      </c>
    </row>
    <row r="584" spans="2:2" x14ac:dyDescent="0.25">
      <c r="B584" t="s">
        <v>571</v>
      </c>
    </row>
    <row r="585" spans="2:2" x14ac:dyDescent="0.25">
      <c r="B585" t="s">
        <v>572</v>
      </c>
    </row>
    <row r="586" spans="2:2" x14ac:dyDescent="0.25">
      <c r="B586" t="s">
        <v>573</v>
      </c>
    </row>
    <row r="587" spans="2:2" x14ac:dyDescent="0.25">
      <c r="B587" t="s">
        <v>574</v>
      </c>
    </row>
    <row r="588" spans="2:2" x14ac:dyDescent="0.25">
      <c r="B588" t="s">
        <v>575</v>
      </c>
    </row>
    <row r="589" spans="2:2" x14ac:dyDescent="0.25">
      <c r="B589" t="s">
        <v>576</v>
      </c>
    </row>
    <row r="590" spans="2:2" x14ac:dyDescent="0.25">
      <c r="B590" t="s">
        <v>577</v>
      </c>
    </row>
    <row r="591" spans="2:2" x14ac:dyDescent="0.25">
      <c r="B591" t="s">
        <v>578</v>
      </c>
    </row>
    <row r="592" spans="2:2" x14ac:dyDescent="0.25">
      <c r="B592" t="s">
        <v>579</v>
      </c>
    </row>
    <row r="593" spans="2:2" x14ac:dyDescent="0.25">
      <c r="B593" t="s">
        <v>580</v>
      </c>
    </row>
    <row r="594" spans="2:2" x14ac:dyDescent="0.25">
      <c r="B594" t="s">
        <v>581</v>
      </c>
    </row>
    <row r="595" spans="2:2" x14ac:dyDescent="0.25">
      <c r="B595" t="s">
        <v>582</v>
      </c>
    </row>
    <row r="596" spans="2:2" x14ac:dyDescent="0.25">
      <c r="B596" t="s">
        <v>583</v>
      </c>
    </row>
    <row r="597" spans="2:2" x14ac:dyDescent="0.25">
      <c r="B597" t="s">
        <v>584</v>
      </c>
    </row>
    <row r="598" spans="2:2" x14ac:dyDescent="0.25">
      <c r="B598" t="s">
        <v>585</v>
      </c>
    </row>
    <row r="599" spans="2:2" x14ac:dyDescent="0.25">
      <c r="B599" t="s">
        <v>586</v>
      </c>
    </row>
    <row r="600" spans="2:2" x14ac:dyDescent="0.25">
      <c r="B600" t="s">
        <v>587</v>
      </c>
    </row>
    <row r="601" spans="2:2" x14ac:dyDescent="0.25">
      <c r="B601" t="s">
        <v>588</v>
      </c>
    </row>
    <row r="602" spans="2:2" x14ac:dyDescent="0.25">
      <c r="B602" t="s">
        <v>589</v>
      </c>
    </row>
    <row r="603" spans="2:2" x14ac:dyDescent="0.25">
      <c r="B603" t="s">
        <v>590</v>
      </c>
    </row>
    <row r="604" spans="2:2" x14ac:dyDescent="0.25">
      <c r="B604" t="s">
        <v>591</v>
      </c>
    </row>
    <row r="605" spans="2:2" x14ac:dyDescent="0.25">
      <c r="B605" t="s">
        <v>592</v>
      </c>
    </row>
    <row r="606" spans="2:2" x14ac:dyDescent="0.25">
      <c r="B606" t="s">
        <v>593</v>
      </c>
    </row>
    <row r="607" spans="2:2" x14ac:dyDescent="0.25">
      <c r="B607" t="s">
        <v>594</v>
      </c>
    </row>
    <row r="608" spans="2:2" x14ac:dyDescent="0.25">
      <c r="B608" t="s">
        <v>595</v>
      </c>
    </row>
    <row r="609" spans="2:2" x14ac:dyDescent="0.25">
      <c r="B609" t="s">
        <v>596</v>
      </c>
    </row>
    <row r="610" spans="2:2" x14ac:dyDescent="0.25">
      <c r="B610" t="s">
        <v>597</v>
      </c>
    </row>
    <row r="611" spans="2:2" x14ac:dyDescent="0.25">
      <c r="B611" t="s">
        <v>598</v>
      </c>
    </row>
    <row r="612" spans="2:2" x14ac:dyDescent="0.25">
      <c r="B612" t="s">
        <v>599</v>
      </c>
    </row>
    <row r="613" spans="2:2" x14ac:dyDescent="0.25">
      <c r="B613" t="s">
        <v>600</v>
      </c>
    </row>
    <row r="614" spans="2:2" x14ac:dyDescent="0.25">
      <c r="B614" t="s">
        <v>601</v>
      </c>
    </row>
    <row r="615" spans="2:2" x14ac:dyDescent="0.25">
      <c r="B615" t="s">
        <v>602</v>
      </c>
    </row>
    <row r="616" spans="2:2" x14ac:dyDescent="0.25">
      <c r="B616" t="s">
        <v>603</v>
      </c>
    </row>
    <row r="617" spans="2:2" x14ac:dyDescent="0.25">
      <c r="B617" t="s">
        <v>604</v>
      </c>
    </row>
    <row r="618" spans="2:2" x14ac:dyDescent="0.25">
      <c r="B618" t="s">
        <v>605</v>
      </c>
    </row>
    <row r="619" spans="2:2" x14ac:dyDescent="0.25">
      <c r="B619" t="s">
        <v>606</v>
      </c>
    </row>
    <row r="620" spans="2:2" x14ac:dyDescent="0.25">
      <c r="B620" t="s">
        <v>607</v>
      </c>
    </row>
    <row r="621" spans="2:2" x14ac:dyDescent="0.25">
      <c r="B621" t="s">
        <v>608</v>
      </c>
    </row>
    <row r="622" spans="2:2" x14ac:dyDescent="0.25">
      <c r="B622" t="s">
        <v>609</v>
      </c>
    </row>
    <row r="623" spans="2:2" x14ac:dyDescent="0.25">
      <c r="B623" t="s">
        <v>610</v>
      </c>
    </row>
    <row r="624" spans="2:2" x14ac:dyDescent="0.25">
      <c r="B624" t="s">
        <v>611</v>
      </c>
    </row>
    <row r="625" spans="2:2" x14ac:dyDescent="0.25">
      <c r="B625" t="s">
        <v>612</v>
      </c>
    </row>
    <row r="626" spans="2:2" x14ac:dyDescent="0.25">
      <c r="B626" t="s">
        <v>613</v>
      </c>
    </row>
    <row r="627" spans="2:2" x14ac:dyDescent="0.25">
      <c r="B627" t="s">
        <v>614</v>
      </c>
    </row>
    <row r="628" spans="2:2" x14ac:dyDescent="0.25">
      <c r="B628" t="s">
        <v>615</v>
      </c>
    </row>
    <row r="629" spans="2:2" x14ac:dyDescent="0.25">
      <c r="B629" t="s">
        <v>616</v>
      </c>
    </row>
    <row r="630" spans="2:2" x14ac:dyDescent="0.25">
      <c r="B630" t="s">
        <v>617</v>
      </c>
    </row>
    <row r="631" spans="2:2" x14ac:dyDescent="0.25">
      <c r="B631" t="s">
        <v>618</v>
      </c>
    </row>
    <row r="632" spans="2:2" x14ac:dyDescent="0.25">
      <c r="B632" t="s">
        <v>619</v>
      </c>
    </row>
    <row r="633" spans="2:2" x14ac:dyDescent="0.25">
      <c r="B633" t="s">
        <v>620</v>
      </c>
    </row>
    <row r="634" spans="2:2" x14ac:dyDescent="0.25">
      <c r="B634" t="s">
        <v>621</v>
      </c>
    </row>
    <row r="635" spans="2:2" x14ac:dyDescent="0.25">
      <c r="B635" t="s">
        <v>622</v>
      </c>
    </row>
    <row r="636" spans="2:2" x14ac:dyDescent="0.25">
      <c r="B636" t="s">
        <v>623</v>
      </c>
    </row>
    <row r="637" spans="2:2" x14ac:dyDescent="0.25">
      <c r="B637" t="s">
        <v>624</v>
      </c>
    </row>
    <row r="638" spans="2:2" x14ac:dyDescent="0.25">
      <c r="B638" t="s">
        <v>625</v>
      </c>
    </row>
    <row r="639" spans="2:2" x14ac:dyDescent="0.25">
      <c r="B639" t="s">
        <v>626</v>
      </c>
    </row>
    <row r="640" spans="2:2" x14ac:dyDescent="0.25">
      <c r="B640" t="s">
        <v>627</v>
      </c>
    </row>
    <row r="641" spans="2:2" x14ac:dyDescent="0.25">
      <c r="B641" t="s">
        <v>628</v>
      </c>
    </row>
    <row r="642" spans="2:2" x14ac:dyDescent="0.25">
      <c r="B642" t="s">
        <v>629</v>
      </c>
    </row>
    <row r="643" spans="2:2" x14ac:dyDescent="0.25">
      <c r="B643" t="s">
        <v>630</v>
      </c>
    </row>
    <row r="644" spans="2:2" x14ac:dyDescent="0.25">
      <c r="B644" t="s">
        <v>631</v>
      </c>
    </row>
    <row r="645" spans="2:2" x14ac:dyDescent="0.25">
      <c r="B645" t="s">
        <v>632</v>
      </c>
    </row>
    <row r="646" spans="2:2" x14ac:dyDescent="0.25">
      <c r="B646" t="s">
        <v>633</v>
      </c>
    </row>
    <row r="647" spans="2:2" x14ac:dyDescent="0.25">
      <c r="B647" t="s">
        <v>634</v>
      </c>
    </row>
    <row r="648" spans="2:2" x14ac:dyDescent="0.25">
      <c r="B648" t="s">
        <v>635</v>
      </c>
    </row>
    <row r="649" spans="2:2" x14ac:dyDescent="0.25">
      <c r="B649" t="s">
        <v>636</v>
      </c>
    </row>
    <row r="650" spans="2:2" x14ac:dyDescent="0.25">
      <c r="B650" t="s">
        <v>637</v>
      </c>
    </row>
    <row r="651" spans="2:2" x14ac:dyDescent="0.25">
      <c r="B651" t="s">
        <v>638</v>
      </c>
    </row>
    <row r="652" spans="2:2" x14ac:dyDescent="0.25">
      <c r="B652" t="s">
        <v>639</v>
      </c>
    </row>
    <row r="653" spans="2:2" x14ac:dyDescent="0.25">
      <c r="B653" t="s">
        <v>640</v>
      </c>
    </row>
    <row r="654" spans="2:2" x14ac:dyDescent="0.25">
      <c r="B654" t="s">
        <v>641</v>
      </c>
    </row>
    <row r="655" spans="2:2" x14ac:dyDescent="0.25">
      <c r="B655" t="s">
        <v>642</v>
      </c>
    </row>
    <row r="656" spans="2:2" x14ac:dyDescent="0.25">
      <c r="B656" t="s">
        <v>643</v>
      </c>
    </row>
    <row r="657" spans="2:2" x14ac:dyDescent="0.25">
      <c r="B657" t="s">
        <v>644</v>
      </c>
    </row>
    <row r="658" spans="2:2" x14ac:dyDescent="0.25">
      <c r="B658" t="s">
        <v>645</v>
      </c>
    </row>
    <row r="659" spans="2:2" x14ac:dyDescent="0.25">
      <c r="B659" t="s">
        <v>646</v>
      </c>
    </row>
    <row r="660" spans="2:2" x14ac:dyDescent="0.25">
      <c r="B660" t="s">
        <v>647</v>
      </c>
    </row>
    <row r="661" spans="2:2" x14ac:dyDescent="0.25">
      <c r="B661" t="s">
        <v>648</v>
      </c>
    </row>
    <row r="662" spans="2:2" x14ac:dyDescent="0.25">
      <c r="B662" t="s">
        <v>649</v>
      </c>
    </row>
    <row r="663" spans="2:2" x14ac:dyDescent="0.25">
      <c r="B663" t="s">
        <v>650</v>
      </c>
    </row>
    <row r="664" spans="2:2" x14ac:dyDescent="0.25">
      <c r="B664" t="s">
        <v>651</v>
      </c>
    </row>
    <row r="665" spans="2:2" x14ac:dyDescent="0.25">
      <c r="B665" t="s">
        <v>652</v>
      </c>
    </row>
    <row r="666" spans="2:2" x14ac:dyDescent="0.25">
      <c r="B666" t="s">
        <v>653</v>
      </c>
    </row>
    <row r="667" spans="2:2" x14ac:dyDescent="0.25">
      <c r="B667" t="s">
        <v>654</v>
      </c>
    </row>
    <row r="668" spans="2:2" x14ac:dyDescent="0.25">
      <c r="B668" t="s">
        <v>655</v>
      </c>
    </row>
    <row r="669" spans="2:2" x14ac:dyDescent="0.25">
      <c r="B669" t="s">
        <v>656</v>
      </c>
    </row>
    <row r="670" spans="2:2" x14ac:dyDescent="0.25">
      <c r="B670" t="s">
        <v>657</v>
      </c>
    </row>
    <row r="671" spans="2:2" x14ac:dyDescent="0.25">
      <c r="B671" t="s">
        <v>658</v>
      </c>
    </row>
    <row r="672" spans="2:2" x14ac:dyDescent="0.25">
      <c r="B672" t="s">
        <v>659</v>
      </c>
    </row>
    <row r="673" spans="2:2" x14ac:dyDescent="0.25">
      <c r="B673" t="s">
        <v>660</v>
      </c>
    </row>
    <row r="674" spans="2:2" x14ac:dyDescent="0.25">
      <c r="B674" t="s">
        <v>661</v>
      </c>
    </row>
    <row r="675" spans="2:2" x14ac:dyDescent="0.25">
      <c r="B675" t="s">
        <v>662</v>
      </c>
    </row>
    <row r="676" spans="2:2" x14ac:dyDescent="0.25">
      <c r="B676" t="s">
        <v>663</v>
      </c>
    </row>
    <row r="677" spans="2:2" x14ac:dyDescent="0.25">
      <c r="B677" t="s">
        <v>664</v>
      </c>
    </row>
    <row r="678" spans="2:2" x14ac:dyDescent="0.25">
      <c r="B678" t="s">
        <v>665</v>
      </c>
    </row>
    <row r="679" spans="2:2" x14ac:dyDescent="0.25">
      <c r="B679" t="s">
        <v>666</v>
      </c>
    </row>
    <row r="680" spans="2:2" x14ac:dyDescent="0.25">
      <c r="B680" t="s">
        <v>667</v>
      </c>
    </row>
    <row r="681" spans="2:2" x14ac:dyDescent="0.25">
      <c r="B681" t="s">
        <v>668</v>
      </c>
    </row>
    <row r="682" spans="2:2" x14ac:dyDescent="0.25">
      <c r="B682" t="s">
        <v>669</v>
      </c>
    </row>
    <row r="683" spans="2:2" x14ac:dyDescent="0.25">
      <c r="B683" t="s">
        <v>670</v>
      </c>
    </row>
    <row r="684" spans="2:2" x14ac:dyDescent="0.25">
      <c r="B684" t="s">
        <v>671</v>
      </c>
    </row>
    <row r="685" spans="2:2" x14ac:dyDescent="0.25">
      <c r="B685" t="s">
        <v>672</v>
      </c>
    </row>
    <row r="686" spans="2:2" x14ac:dyDescent="0.25">
      <c r="B686" t="s">
        <v>673</v>
      </c>
    </row>
    <row r="687" spans="2:2" x14ac:dyDescent="0.25">
      <c r="B687" t="s">
        <v>674</v>
      </c>
    </row>
    <row r="688" spans="2:2" x14ac:dyDescent="0.25">
      <c r="B688" t="s">
        <v>675</v>
      </c>
    </row>
    <row r="689" spans="2:2" x14ac:dyDescent="0.25">
      <c r="B689" t="s">
        <v>676</v>
      </c>
    </row>
    <row r="690" spans="2:2" x14ac:dyDescent="0.25">
      <c r="B690" t="s">
        <v>677</v>
      </c>
    </row>
    <row r="691" spans="2:2" x14ac:dyDescent="0.25">
      <c r="B691" t="s">
        <v>678</v>
      </c>
    </row>
    <row r="692" spans="2:2" x14ac:dyDescent="0.25">
      <c r="B692" t="s">
        <v>679</v>
      </c>
    </row>
    <row r="693" spans="2:2" x14ac:dyDescent="0.25">
      <c r="B693" t="s">
        <v>680</v>
      </c>
    </row>
    <row r="694" spans="2:2" x14ac:dyDescent="0.25">
      <c r="B694" t="s">
        <v>681</v>
      </c>
    </row>
    <row r="695" spans="2:2" x14ac:dyDescent="0.25">
      <c r="B695" t="s">
        <v>682</v>
      </c>
    </row>
    <row r="696" spans="2:2" x14ac:dyDescent="0.25">
      <c r="B696" t="s">
        <v>683</v>
      </c>
    </row>
    <row r="697" spans="2:2" x14ac:dyDescent="0.25">
      <c r="B697" t="s">
        <v>684</v>
      </c>
    </row>
    <row r="698" spans="2:2" x14ac:dyDescent="0.25">
      <c r="B698" t="s">
        <v>685</v>
      </c>
    </row>
    <row r="699" spans="2:2" x14ac:dyDescent="0.25">
      <c r="B699" t="s">
        <v>686</v>
      </c>
    </row>
    <row r="700" spans="2:2" x14ac:dyDescent="0.25">
      <c r="B700" t="s">
        <v>687</v>
      </c>
    </row>
    <row r="701" spans="2:2" x14ac:dyDescent="0.25">
      <c r="B701" t="s">
        <v>688</v>
      </c>
    </row>
    <row r="702" spans="2:2" x14ac:dyDescent="0.25">
      <c r="B702" t="s">
        <v>689</v>
      </c>
    </row>
    <row r="703" spans="2:2" x14ac:dyDescent="0.25">
      <c r="B703" t="s">
        <v>690</v>
      </c>
    </row>
    <row r="704" spans="2:2" x14ac:dyDescent="0.25">
      <c r="B704" t="s">
        <v>691</v>
      </c>
    </row>
    <row r="705" spans="2:2" x14ac:dyDescent="0.25">
      <c r="B705" t="s">
        <v>692</v>
      </c>
    </row>
    <row r="706" spans="2:2" x14ac:dyDescent="0.25">
      <c r="B706" t="s">
        <v>693</v>
      </c>
    </row>
    <row r="707" spans="2:2" x14ac:dyDescent="0.25">
      <c r="B707" t="s">
        <v>694</v>
      </c>
    </row>
    <row r="708" spans="2:2" x14ac:dyDescent="0.25">
      <c r="B708" t="s">
        <v>695</v>
      </c>
    </row>
    <row r="709" spans="2:2" x14ac:dyDescent="0.25">
      <c r="B709" t="s">
        <v>696</v>
      </c>
    </row>
    <row r="710" spans="2:2" x14ac:dyDescent="0.25">
      <c r="B710" t="s">
        <v>697</v>
      </c>
    </row>
    <row r="711" spans="2:2" x14ac:dyDescent="0.25">
      <c r="B711" t="s">
        <v>698</v>
      </c>
    </row>
    <row r="712" spans="2:2" x14ac:dyDescent="0.25">
      <c r="B712" t="s">
        <v>699</v>
      </c>
    </row>
    <row r="713" spans="2:2" x14ac:dyDescent="0.25">
      <c r="B713" t="s">
        <v>700</v>
      </c>
    </row>
    <row r="714" spans="2:2" x14ac:dyDescent="0.25">
      <c r="B714" t="s">
        <v>701</v>
      </c>
    </row>
    <row r="715" spans="2:2" x14ac:dyDescent="0.25">
      <c r="B715" t="s">
        <v>702</v>
      </c>
    </row>
    <row r="716" spans="2:2" x14ac:dyDescent="0.25">
      <c r="B716" t="s">
        <v>703</v>
      </c>
    </row>
    <row r="717" spans="2:2" x14ac:dyDescent="0.25">
      <c r="B717" t="s">
        <v>704</v>
      </c>
    </row>
    <row r="718" spans="2:2" x14ac:dyDescent="0.25">
      <c r="B718" t="s">
        <v>705</v>
      </c>
    </row>
    <row r="719" spans="2:2" x14ac:dyDescent="0.25">
      <c r="B719" t="s">
        <v>706</v>
      </c>
    </row>
    <row r="720" spans="2:2" x14ac:dyDescent="0.25">
      <c r="B720" t="s">
        <v>707</v>
      </c>
    </row>
    <row r="721" spans="2:2" x14ac:dyDescent="0.25">
      <c r="B721" t="s">
        <v>708</v>
      </c>
    </row>
    <row r="722" spans="2:2" x14ac:dyDescent="0.25">
      <c r="B722" t="s">
        <v>709</v>
      </c>
    </row>
    <row r="723" spans="2:2" x14ac:dyDescent="0.25">
      <c r="B723" t="s">
        <v>710</v>
      </c>
    </row>
    <row r="724" spans="2:2" x14ac:dyDescent="0.25">
      <c r="B724" t="s">
        <v>711</v>
      </c>
    </row>
    <row r="725" spans="2:2" x14ac:dyDescent="0.25">
      <c r="B725" t="s">
        <v>712</v>
      </c>
    </row>
    <row r="726" spans="2:2" x14ac:dyDescent="0.25">
      <c r="B726" t="s">
        <v>713</v>
      </c>
    </row>
    <row r="727" spans="2:2" x14ac:dyDescent="0.25">
      <c r="B727" t="s">
        <v>714</v>
      </c>
    </row>
    <row r="728" spans="2:2" x14ac:dyDescent="0.25">
      <c r="B728" t="s">
        <v>715</v>
      </c>
    </row>
    <row r="729" spans="2:2" x14ac:dyDescent="0.25">
      <c r="B729" t="s">
        <v>716</v>
      </c>
    </row>
    <row r="730" spans="2:2" x14ac:dyDescent="0.25">
      <c r="B730" t="s">
        <v>717</v>
      </c>
    </row>
    <row r="731" spans="2:2" x14ac:dyDescent="0.25">
      <c r="B731" t="s">
        <v>718</v>
      </c>
    </row>
    <row r="732" spans="2:2" x14ac:dyDescent="0.25">
      <c r="B732" t="s">
        <v>719</v>
      </c>
    </row>
    <row r="733" spans="2:2" x14ac:dyDescent="0.25">
      <c r="B733" t="s">
        <v>720</v>
      </c>
    </row>
    <row r="734" spans="2:2" x14ac:dyDescent="0.25">
      <c r="B734" t="s">
        <v>721</v>
      </c>
    </row>
    <row r="735" spans="2:2" x14ac:dyDescent="0.25">
      <c r="B735" t="s">
        <v>722</v>
      </c>
    </row>
    <row r="736" spans="2:2" x14ac:dyDescent="0.25">
      <c r="B736" t="s">
        <v>723</v>
      </c>
    </row>
    <row r="737" spans="2:2" x14ac:dyDescent="0.25">
      <c r="B737" t="s">
        <v>724</v>
      </c>
    </row>
    <row r="738" spans="2:2" x14ac:dyDescent="0.25">
      <c r="B738" t="s">
        <v>725</v>
      </c>
    </row>
    <row r="739" spans="2:2" x14ac:dyDescent="0.25">
      <c r="B739" t="s">
        <v>726</v>
      </c>
    </row>
    <row r="740" spans="2:2" x14ac:dyDescent="0.25">
      <c r="B740" t="s">
        <v>727</v>
      </c>
    </row>
    <row r="741" spans="2:2" x14ac:dyDescent="0.25">
      <c r="B741" t="s">
        <v>728</v>
      </c>
    </row>
    <row r="742" spans="2:2" x14ac:dyDescent="0.25">
      <c r="B742" t="s">
        <v>729</v>
      </c>
    </row>
    <row r="743" spans="2:2" x14ac:dyDescent="0.25">
      <c r="B743" t="s">
        <v>730</v>
      </c>
    </row>
    <row r="744" spans="2:2" x14ac:dyDescent="0.25">
      <c r="B744" t="s">
        <v>731</v>
      </c>
    </row>
    <row r="745" spans="2:2" x14ac:dyDescent="0.25">
      <c r="B745" t="s">
        <v>732</v>
      </c>
    </row>
    <row r="746" spans="2:2" x14ac:dyDescent="0.25">
      <c r="B746" t="s">
        <v>733</v>
      </c>
    </row>
    <row r="747" spans="2:2" x14ac:dyDescent="0.25">
      <c r="B747" t="s">
        <v>734</v>
      </c>
    </row>
    <row r="748" spans="2:2" x14ac:dyDescent="0.25">
      <c r="B748" t="s">
        <v>735</v>
      </c>
    </row>
    <row r="749" spans="2:2" x14ac:dyDescent="0.25">
      <c r="B749" t="s">
        <v>736</v>
      </c>
    </row>
    <row r="750" spans="2:2" x14ac:dyDescent="0.25">
      <c r="B750" t="s">
        <v>737</v>
      </c>
    </row>
    <row r="751" spans="2:2" x14ac:dyDescent="0.25">
      <c r="B751" t="s">
        <v>738</v>
      </c>
    </row>
    <row r="752" spans="2:2" x14ac:dyDescent="0.25">
      <c r="B752" t="s">
        <v>739</v>
      </c>
    </row>
    <row r="753" spans="2:2" x14ac:dyDescent="0.25">
      <c r="B753" t="s">
        <v>740</v>
      </c>
    </row>
    <row r="754" spans="2:2" x14ac:dyDescent="0.25">
      <c r="B754" t="s">
        <v>741</v>
      </c>
    </row>
    <row r="755" spans="2:2" x14ac:dyDescent="0.25">
      <c r="B755" t="s">
        <v>742</v>
      </c>
    </row>
    <row r="756" spans="2:2" x14ac:dyDescent="0.25">
      <c r="B756" t="s">
        <v>743</v>
      </c>
    </row>
    <row r="757" spans="2:2" x14ac:dyDescent="0.25">
      <c r="B757" t="s">
        <v>744</v>
      </c>
    </row>
    <row r="758" spans="2:2" x14ac:dyDescent="0.25">
      <c r="B758" t="s">
        <v>745</v>
      </c>
    </row>
    <row r="759" spans="2:2" x14ac:dyDescent="0.25">
      <c r="B759" t="s">
        <v>746</v>
      </c>
    </row>
    <row r="760" spans="2:2" x14ac:dyDescent="0.25">
      <c r="B760" t="s">
        <v>747</v>
      </c>
    </row>
    <row r="761" spans="2:2" x14ac:dyDescent="0.25">
      <c r="B761" t="s">
        <v>748</v>
      </c>
    </row>
    <row r="762" spans="2:2" x14ac:dyDescent="0.25">
      <c r="B762" t="s">
        <v>749</v>
      </c>
    </row>
    <row r="763" spans="2:2" x14ac:dyDescent="0.25">
      <c r="B763" t="s">
        <v>750</v>
      </c>
    </row>
    <row r="764" spans="2:2" x14ac:dyDescent="0.25">
      <c r="B764" t="s">
        <v>751</v>
      </c>
    </row>
    <row r="765" spans="2:2" x14ac:dyDescent="0.25">
      <c r="B765" t="s">
        <v>752</v>
      </c>
    </row>
    <row r="766" spans="2:2" x14ac:dyDescent="0.25">
      <c r="B766" t="s">
        <v>753</v>
      </c>
    </row>
    <row r="767" spans="2:2" x14ac:dyDescent="0.25">
      <c r="B767" t="s">
        <v>754</v>
      </c>
    </row>
    <row r="768" spans="2:2" x14ac:dyDescent="0.25">
      <c r="B768" t="s">
        <v>755</v>
      </c>
    </row>
    <row r="769" spans="2:2" x14ac:dyDescent="0.25">
      <c r="B769" t="s">
        <v>756</v>
      </c>
    </row>
    <row r="770" spans="2:2" x14ac:dyDescent="0.25">
      <c r="B770" t="s">
        <v>757</v>
      </c>
    </row>
    <row r="771" spans="2:2" x14ac:dyDescent="0.25">
      <c r="B771" t="s">
        <v>758</v>
      </c>
    </row>
    <row r="772" spans="2:2" x14ac:dyDescent="0.25">
      <c r="B772" t="s">
        <v>759</v>
      </c>
    </row>
    <row r="773" spans="2:2" x14ac:dyDescent="0.25">
      <c r="B773" t="s">
        <v>760</v>
      </c>
    </row>
    <row r="774" spans="2:2" x14ac:dyDescent="0.25">
      <c r="B774" t="s">
        <v>761</v>
      </c>
    </row>
    <row r="775" spans="2:2" x14ac:dyDescent="0.25">
      <c r="B775" t="s">
        <v>762</v>
      </c>
    </row>
    <row r="776" spans="2:2" x14ac:dyDescent="0.25">
      <c r="B776" t="s">
        <v>763</v>
      </c>
    </row>
    <row r="777" spans="2:2" x14ac:dyDescent="0.25">
      <c r="B777" t="s">
        <v>764</v>
      </c>
    </row>
    <row r="778" spans="2:2" x14ac:dyDescent="0.25">
      <c r="B778" t="s">
        <v>765</v>
      </c>
    </row>
    <row r="779" spans="2:2" x14ac:dyDescent="0.25">
      <c r="B779" t="s">
        <v>766</v>
      </c>
    </row>
    <row r="780" spans="2:2" x14ac:dyDescent="0.25">
      <c r="B780" t="s">
        <v>767</v>
      </c>
    </row>
    <row r="781" spans="2:2" x14ac:dyDescent="0.25">
      <c r="B781" t="s">
        <v>768</v>
      </c>
    </row>
    <row r="782" spans="2:2" x14ac:dyDescent="0.25">
      <c r="B782" t="s">
        <v>769</v>
      </c>
    </row>
    <row r="783" spans="2:2" x14ac:dyDescent="0.25">
      <c r="B783" t="s">
        <v>770</v>
      </c>
    </row>
    <row r="784" spans="2:2" x14ac:dyDescent="0.25">
      <c r="B784" t="s">
        <v>771</v>
      </c>
    </row>
    <row r="785" spans="2:2" x14ac:dyDescent="0.25">
      <c r="B785" t="s">
        <v>772</v>
      </c>
    </row>
    <row r="786" spans="2:2" x14ac:dyDescent="0.25">
      <c r="B786" t="s">
        <v>773</v>
      </c>
    </row>
    <row r="787" spans="2:2" x14ac:dyDescent="0.25">
      <c r="B787" t="s">
        <v>774</v>
      </c>
    </row>
    <row r="788" spans="2:2" x14ac:dyDescent="0.25">
      <c r="B788" t="s">
        <v>775</v>
      </c>
    </row>
    <row r="789" spans="2:2" x14ac:dyDescent="0.25">
      <c r="B789" t="s">
        <v>776</v>
      </c>
    </row>
    <row r="790" spans="2:2" x14ac:dyDescent="0.25">
      <c r="B790" t="s">
        <v>777</v>
      </c>
    </row>
    <row r="791" spans="2:2" x14ac:dyDescent="0.25">
      <c r="B791" t="s">
        <v>778</v>
      </c>
    </row>
    <row r="792" spans="2:2" x14ac:dyDescent="0.25">
      <c r="B792" t="s">
        <v>779</v>
      </c>
    </row>
    <row r="793" spans="2:2" x14ac:dyDescent="0.25">
      <c r="B793" t="s">
        <v>780</v>
      </c>
    </row>
    <row r="794" spans="2:2" x14ac:dyDescent="0.25">
      <c r="B794" t="s">
        <v>781</v>
      </c>
    </row>
    <row r="795" spans="2:2" x14ac:dyDescent="0.25">
      <c r="B795" t="s">
        <v>782</v>
      </c>
    </row>
    <row r="796" spans="2:2" x14ac:dyDescent="0.25">
      <c r="B796" t="s">
        <v>783</v>
      </c>
    </row>
    <row r="797" spans="2:2" x14ac:dyDescent="0.25">
      <c r="B797" t="s">
        <v>784</v>
      </c>
    </row>
    <row r="798" spans="2:2" x14ac:dyDescent="0.25">
      <c r="B798" t="s">
        <v>785</v>
      </c>
    </row>
    <row r="799" spans="2:2" x14ac:dyDescent="0.25">
      <c r="B799" t="s">
        <v>786</v>
      </c>
    </row>
    <row r="800" spans="2:2" x14ac:dyDescent="0.25">
      <c r="B800" t="s">
        <v>787</v>
      </c>
    </row>
    <row r="801" spans="2:2" x14ac:dyDescent="0.25">
      <c r="B801" t="s">
        <v>788</v>
      </c>
    </row>
    <row r="802" spans="2:2" x14ac:dyDescent="0.25">
      <c r="B802" t="s">
        <v>789</v>
      </c>
    </row>
    <row r="803" spans="2:2" x14ac:dyDescent="0.25">
      <c r="B803" t="s">
        <v>790</v>
      </c>
    </row>
    <row r="804" spans="2:2" x14ac:dyDescent="0.25">
      <c r="B804" t="s">
        <v>791</v>
      </c>
    </row>
    <row r="805" spans="2:2" x14ac:dyDescent="0.25">
      <c r="B805" t="s">
        <v>792</v>
      </c>
    </row>
    <row r="806" spans="2:2" x14ac:dyDescent="0.25">
      <c r="B806" t="s">
        <v>793</v>
      </c>
    </row>
    <row r="807" spans="2:2" x14ac:dyDescent="0.25">
      <c r="B807" t="s">
        <v>794</v>
      </c>
    </row>
    <row r="808" spans="2:2" x14ac:dyDescent="0.25">
      <c r="B808" t="s">
        <v>795</v>
      </c>
    </row>
    <row r="809" spans="2:2" x14ac:dyDescent="0.25">
      <c r="B809" t="s">
        <v>796</v>
      </c>
    </row>
    <row r="810" spans="2:2" x14ac:dyDescent="0.25">
      <c r="B810" t="s">
        <v>797</v>
      </c>
    </row>
    <row r="811" spans="2:2" x14ac:dyDescent="0.25">
      <c r="B811" t="s">
        <v>798</v>
      </c>
    </row>
    <row r="812" spans="2:2" x14ac:dyDescent="0.25">
      <c r="B812" t="s">
        <v>799</v>
      </c>
    </row>
    <row r="813" spans="2:2" x14ac:dyDescent="0.25">
      <c r="B813" t="s">
        <v>800</v>
      </c>
    </row>
    <row r="814" spans="2:2" x14ac:dyDescent="0.25">
      <c r="B814" t="s">
        <v>801</v>
      </c>
    </row>
    <row r="815" spans="2:2" x14ac:dyDescent="0.25">
      <c r="B815" t="s">
        <v>802</v>
      </c>
    </row>
    <row r="816" spans="2:2" x14ac:dyDescent="0.25">
      <c r="B816" t="s">
        <v>803</v>
      </c>
    </row>
    <row r="817" spans="2:2" x14ac:dyDescent="0.25">
      <c r="B817" t="s">
        <v>804</v>
      </c>
    </row>
    <row r="818" spans="2:2" x14ac:dyDescent="0.25">
      <c r="B818" t="s">
        <v>805</v>
      </c>
    </row>
    <row r="819" spans="2:2" x14ac:dyDescent="0.25">
      <c r="B819" t="s">
        <v>806</v>
      </c>
    </row>
    <row r="820" spans="2:2" x14ac:dyDescent="0.25">
      <c r="B820" t="s">
        <v>807</v>
      </c>
    </row>
    <row r="821" spans="2:2" x14ac:dyDescent="0.25">
      <c r="B821" t="s">
        <v>808</v>
      </c>
    </row>
    <row r="822" spans="2:2" x14ac:dyDescent="0.25">
      <c r="B822" t="s">
        <v>809</v>
      </c>
    </row>
    <row r="823" spans="2:2" x14ac:dyDescent="0.25">
      <c r="B823" t="s">
        <v>810</v>
      </c>
    </row>
    <row r="824" spans="2:2" x14ac:dyDescent="0.25">
      <c r="B824" t="s">
        <v>811</v>
      </c>
    </row>
    <row r="825" spans="2:2" x14ac:dyDescent="0.25">
      <c r="B825" t="s">
        <v>812</v>
      </c>
    </row>
    <row r="826" spans="2:2" x14ac:dyDescent="0.25">
      <c r="B826" t="s">
        <v>813</v>
      </c>
    </row>
    <row r="827" spans="2:2" x14ac:dyDescent="0.25">
      <c r="B827" t="s">
        <v>814</v>
      </c>
    </row>
    <row r="828" spans="2:2" x14ac:dyDescent="0.25">
      <c r="B828" t="s">
        <v>815</v>
      </c>
    </row>
    <row r="829" spans="2:2" x14ac:dyDescent="0.25">
      <c r="B829" t="s">
        <v>816</v>
      </c>
    </row>
    <row r="830" spans="2:2" x14ac:dyDescent="0.25">
      <c r="B830" t="s">
        <v>817</v>
      </c>
    </row>
    <row r="831" spans="2:2" x14ac:dyDescent="0.25">
      <c r="B831" t="s">
        <v>818</v>
      </c>
    </row>
    <row r="832" spans="2:2" x14ac:dyDescent="0.25">
      <c r="B832" t="s">
        <v>819</v>
      </c>
    </row>
    <row r="833" spans="2:2" x14ac:dyDescent="0.25">
      <c r="B833" t="s">
        <v>820</v>
      </c>
    </row>
    <row r="834" spans="2:2" x14ac:dyDescent="0.25">
      <c r="B834" t="s">
        <v>821</v>
      </c>
    </row>
    <row r="835" spans="2:2" x14ac:dyDescent="0.25">
      <c r="B835" t="s">
        <v>822</v>
      </c>
    </row>
    <row r="836" spans="2:2" x14ac:dyDescent="0.25">
      <c r="B836" t="s">
        <v>823</v>
      </c>
    </row>
    <row r="837" spans="2:2" x14ac:dyDescent="0.25">
      <c r="B837" t="s">
        <v>824</v>
      </c>
    </row>
    <row r="838" spans="2:2" x14ac:dyDescent="0.25">
      <c r="B838" t="s">
        <v>825</v>
      </c>
    </row>
    <row r="839" spans="2:2" x14ac:dyDescent="0.25">
      <c r="B839" t="s">
        <v>826</v>
      </c>
    </row>
    <row r="840" spans="2:2" x14ac:dyDescent="0.25">
      <c r="B840" t="s">
        <v>827</v>
      </c>
    </row>
    <row r="841" spans="2:2" x14ac:dyDescent="0.25">
      <c r="B841" t="s">
        <v>828</v>
      </c>
    </row>
    <row r="842" spans="2:2" x14ac:dyDescent="0.25">
      <c r="B842" t="s">
        <v>829</v>
      </c>
    </row>
    <row r="843" spans="2:2" x14ac:dyDescent="0.25">
      <c r="B843" t="s">
        <v>830</v>
      </c>
    </row>
    <row r="844" spans="2:2" x14ac:dyDescent="0.25">
      <c r="B844" t="s">
        <v>831</v>
      </c>
    </row>
    <row r="845" spans="2:2" x14ac:dyDescent="0.25">
      <c r="B845" t="s">
        <v>832</v>
      </c>
    </row>
    <row r="846" spans="2:2" x14ac:dyDescent="0.25">
      <c r="B846" t="s">
        <v>833</v>
      </c>
    </row>
    <row r="847" spans="2:2" x14ac:dyDescent="0.25">
      <c r="B847" t="s">
        <v>834</v>
      </c>
    </row>
    <row r="848" spans="2:2" x14ac:dyDescent="0.25">
      <c r="B848" t="s">
        <v>835</v>
      </c>
    </row>
    <row r="849" spans="2:2" x14ac:dyDescent="0.25">
      <c r="B849" t="s">
        <v>836</v>
      </c>
    </row>
    <row r="850" spans="2:2" x14ac:dyDescent="0.25">
      <c r="B850" t="s">
        <v>837</v>
      </c>
    </row>
    <row r="851" spans="2:2" x14ac:dyDescent="0.25">
      <c r="B851" t="s">
        <v>838</v>
      </c>
    </row>
    <row r="852" spans="2:2" x14ac:dyDescent="0.25">
      <c r="B852" t="s">
        <v>839</v>
      </c>
    </row>
    <row r="853" spans="2:2" x14ac:dyDescent="0.25">
      <c r="B853" t="s">
        <v>840</v>
      </c>
    </row>
    <row r="854" spans="2:2" x14ac:dyDescent="0.25">
      <c r="B854" t="s">
        <v>841</v>
      </c>
    </row>
    <row r="855" spans="2:2" x14ac:dyDescent="0.25">
      <c r="B855" t="s">
        <v>842</v>
      </c>
    </row>
    <row r="856" spans="2:2" x14ac:dyDescent="0.25">
      <c r="B856" t="s">
        <v>843</v>
      </c>
    </row>
    <row r="857" spans="2:2" x14ac:dyDescent="0.25">
      <c r="B857" t="s">
        <v>844</v>
      </c>
    </row>
    <row r="858" spans="2:2" x14ac:dyDescent="0.25">
      <c r="B858" t="s">
        <v>845</v>
      </c>
    </row>
    <row r="859" spans="2:2" x14ac:dyDescent="0.25">
      <c r="B859" t="s">
        <v>846</v>
      </c>
    </row>
    <row r="860" spans="2:2" x14ac:dyDescent="0.25">
      <c r="B860" t="s">
        <v>847</v>
      </c>
    </row>
    <row r="861" spans="2:2" x14ac:dyDescent="0.25">
      <c r="B861" t="s">
        <v>848</v>
      </c>
    </row>
    <row r="862" spans="2:2" x14ac:dyDescent="0.25">
      <c r="B862" t="s">
        <v>849</v>
      </c>
    </row>
    <row r="863" spans="2:2" x14ac:dyDescent="0.25">
      <c r="B863" t="s">
        <v>850</v>
      </c>
    </row>
    <row r="864" spans="2:2" x14ac:dyDescent="0.25">
      <c r="B864" t="s">
        <v>851</v>
      </c>
    </row>
    <row r="865" spans="2:2" x14ac:dyDescent="0.25">
      <c r="B865" t="s">
        <v>852</v>
      </c>
    </row>
    <row r="866" spans="2:2" x14ac:dyDescent="0.25">
      <c r="B866" t="s">
        <v>853</v>
      </c>
    </row>
    <row r="867" spans="2:2" x14ac:dyDescent="0.25">
      <c r="B867" t="s">
        <v>854</v>
      </c>
    </row>
    <row r="868" spans="2:2" x14ac:dyDescent="0.25">
      <c r="B868" t="s">
        <v>855</v>
      </c>
    </row>
    <row r="869" spans="2:2" x14ac:dyDescent="0.25">
      <c r="B869" t="s">
        <v>856</v>
      </c>
    </row>
    <row r="870" spans="2:2" x14ac:dyDescent="0.25">
      <c r="B870" t="s">
        <v>857</v>
      </c>
    </row>
    <row r="871" spans="2:2" x14ac:dyDescent="0.25">
      <c r="B871" t="s">
        <v>858</v>
      </c>
    </row>
    <row r="872" spans="2:2" x14ac:dyDescent="0.25">
      <c r="B872" t="s">
        <v>859</v>
      </c>
    </row>
    <row r="873" spans="2:2" x14ac:dyDescent="0.25">
      <c r="B873" t="s">
        <v>860</v>
      </c>
    </row>
    <row r="874" spans="2:2" x14ac:dyDescent="0.25">
      <c r="B874" t="s">
        <v>861</v>
      </c>
    </row>
    <row r="875" spans="2:2" x14ac:dyDescent="0.25">
      <c r="B875" t="s">
        <v>862</v>
      </c>
    </row>
    <row r="876" spans="2:2" x14ac:dyDescent="0.25">
      <c r="B876" t="s">
        <v>863</v>
      </c>
    </row>
    <row r="877" spans="2:2" x14ac:dyDescent="0.25">
      <c r="B877" t="s">
        <v>864</v>
      </c>
    </row>
    <row r="878" spans="2:2" x14ac:dyDescent="0.25">
      <c r="B878" t="s">
        <v>865</v>
      </c>
    </row>
    <row r="879" spans="2:2" x14ac:dyDescent="0.25">
      <c r="B879" t="s">
        <v>866</v>
      </c>
    </row>
    <row r="880" spans="2:2" x14ac:dyDescent="0.25">
      <c r="B880" t="s">
        <v>867</v>
      </c>
    </row>
    <row r="881" spans="2:2" x14ac:dyDescent="0.25">
      <c r="B881" t="s">
        <v>868</v>
      </c>
    </row>
    <row r="882" spans="2:2" x14ac:dyDescent="0.25">
      <c r="B882" t="s">
        <v>869</v>
      </c>
    </row>
    <row r="883" spans="2:2" x14ac:dyDescent="0.25">
      <c r="B883" t="s">
        <v>870</v>
      </c>
    </row>
    <row r="884" spans="2:2" x14ac:dyDescent="0.25">
      <c r="B884" t="s">
        <v>871</v>
      </c>
    </row>
    <row r="885" spans="2:2" x14ac:dyDescent="0.25">
      <c r="B885" t="s">
        <v>872</v>
      </c>
    </row>
    <row r="886" spans="2:2" x14ac:dyDescent="0.25">
      <c r="B886" t="s">
        <v>873</v>
      </c>
    </row>
    <row r="887" spans="2:2" x14ac:dyDescent="0.25">
      <c r="B887" t="s">
        <v>874</v>
      </c>
    </row>
    <row r="888" spans="2:2" x14ac:dyDescent="0.25">
      <c r="B888" t="s">
        <v>875</v>
      </c>
    </row>
    <row r="889" spans="2:2" x14ac:dyDescent="0.25">
      <c r="B889" t="s">
        <v>876</v>
      </c>
    </row>
    <row r="890" spans="2:2" x14ac:dyDescent="0.25">
      <c r="B890" t="s">
        <v>877</v>
      </c>
    </row>
    <row r="891" spans="2:2" x14ac:dyDescent="0.25">
      <c r="B891" t="s">
        <v>878</v>
      </c>
    </row>
    <row r="892" spans="2:2" x14ac:dyDescent="0.25">
      <c r="B892" t="s">
        <v>879</v>
      </c>
    </row>
    <row r="893" spans="2:2" x14ac:dyDescent="0.25">
      <c r="B893" t="s">
        <v>880</v>
      </c>
    </row>
    <row r="894" spans="2:2" x14ac:dyDescent="0.25">
      <c r="B894" t="s">
        <v>881</v>
      </c>
    </row>
    <row r="895" spans="2:2" x14ac:dyDescent="0.25">
      <c r="B895" t="s">
        <v>882</v>
      </c>
    </row>
    <row r="896" spans="2:2" x14ac:dyDescent="0.25">
      <c r="B896" t="s">
        <v>883</v>
      </c>
    </row>
    <row r="897" spans="2:2" x14ac:dyDescent="0.25">
      <c r="B897" t="s">
        <v>884</v>
      </c>
    </row>
    <row r="898" spans="2:2" x14ac:dyDescent="0.25">
      <c r="B898" t="s">
        <v>885</v>
      </c>
    </row>
    <row r="899" spans="2:2" x14ac:dyDescent="0.25">
      <c r="B899" t="s">
        <v>886</v>
      </c>
    </row>
    <row r="900" spans="2:2" x14ac:dyDescent="0.25">
      <c r="B900" t="s">
        <v>887</v>
      </c>
    </row>
    <row r="901" spans="2:2" x14ac:dyDescent="0.25">
      <c r="B901" t="s">
        <v>888</v>
      </c>
    </row>
    <row r="902" spans="2:2" x14ac:dyDescent="0.25">
      <c r="B902" t="s">
        <v>889</v>
      </c>
    </row>
    <row r="903" spans="2:2" x14ac:dyDescent="0.25">
      <c r="B903" t="s">
        <v>890</v>
      </c>
    </row>
    <row r="904" spans="2:2" x14ac:dyDescent="0.25">
      <c r="B904" t="s">
        <v>891</v>
      </c>
    </row>
    <row r="905" spans="2:2" x14ac:dyDescent="0.25">
      <c r="B905" t="s">
        <v>892</v>
      </c>
    </row>
    <row r="906" spans="2:2" x14ac:dyDescent="0.25">
      <c r="B906" t="s">
        <v>893</v>
      </c>
    </row>
    <row r="907" spans="2:2" x14ac:dyDescent="0.25">
      <c r="B907" t="s">
        <v>894</v>
      </c>
    </row>
    <row r="908" spans="2:2" x14ac:dyDescent="0.25">
      <c r="B908" t="s">
        <v>895</v>
      </c>
    </row>
    <row r="909" spans="2:2" x14ac:dyDescent="0.25">
      <c r="B909" t="s">
        <v>896</v>
      </c>
    </row>
    <row r="910" spans="2:2" x14ac:dyDescent="0.25">
      <c r="B910" t="s">
        <v>897</v>
      </c>
    </row>
    <row r="911" spans="2:2" x14ac:dyDescent="0.25">
      <c r="B911" t="s">
        <v>898</v>
      </c>
    </row>
    <row r="912" spans="2:2" x14ac:dyDescent="0.25">
      <c r="B912" t="s">
        <v>899</v>
      </c>
    </row>
    <row r="913" spans="2:2" x14ac:dyDescent="0.25">
      <c r="B913" t="s">
        <v>900</v>
      </c>
    </row>
    <row r="914" spans="2:2" x14ac:dyDescent="0.25">
      <c r="B914" t="s">
        <v>901</v>
      </c>
    </row>
    <row r="915" spans="2:2" x14ac:dyDescent="0.25">
      <c r="B915" t="s">
        <v>902</v>
      </c>
    </row>
    <row r="916" spans="2:2" x14ac:dyDescent="0.25">
      <c r="B916" t="s">
        <v>903</v>
      </c>
    </row>
    <row r="917" spans="2:2" x14ac:dyDescent="0.25">
      <c r="B917" t="s">
        <v>904</v>
      </c>
    </row>
    <row r="918" spans="2:2" x14ac:dyDescent="0.25">
      <c r="B918" t="s">
        <v>905</v>
      </c>
    </row>
    <row r="919" spans="2:2" x14ac:dyDescent="0.25">
      <c r="B919" t="s">
        <v>906</v>
      </c>
    </row>
    <row r="920" spans="2:2" x14ac:dyDescent="0.25">
      <c r="B920" t="s">
        <v>907</v>
      </c>
    </row>
    <row r="921" spans="2:2" x14ac:dyDescent="0.25">
      <c r="B921" t="s">
        <v>908</v>
      </c>
    </row>
    <row r="922" spans="2:2" x14ac:dyDescent="0.25">
      <c r="B922" t="s">
        <v>909</v>
      </c>
    </row>
    <row r="923" spans="2:2" x14ac:dyDescent="0.25">
      <c r="B923" t="s">
        <v>910</v>
      </c>
    </row>
    <row r="924" spans="2:2" x14ac:dyDescent="0.25">
      <c r="B924" t="s">
        <v>911</v>
      </c>
    </row>
    <row r="925" spans="2:2" x14ac:dyDescent="0.25">
      <c r="B925" t="s">
        <v>912</v>
      </c>
    </row>
    <row r="926" spans="2:2" x14ac:dyDescent="0.25">
      <c r="B926" t="s">
        <v>913</v>
      </c>
    </row>
    <row r="927" spans="2:2" x14ac:dyDescent="0.25">
      <c r="B927" t="s">
        <v>914</v>
      </c>
    </row>
    <row r="928" spans="2:2" x14ac:dyDescent="0.25">
      <c r="B928" t="s">
        <v>915</v>
      </c>
    </row>
    <row r="929" spans="2:2" x14ac:dyDescent="0.25">
      <c r="B929" t="s">
        <v>916</v>
      </c>
    </row>
    <row r="930" spans="2:2" x14ac:dyDescent="0.25">
      <c r="B930" t="s">
        <v>917</v>
      </c>
    </row>
    <row r="931" spans="2:2" x14ac:dyDescent="0.25">
      <c r="B931" t="s">
        <v>918</v>
      </c>
    </row>
    <row r="932" spans="2:2" x14ac:dyDescent="0.25">
      <c r="B932" t="s">
        <v>919</v>
      </c>
    </row>
    <row r="933" spans="2:2" x14ac:dyDescent="0.25">
      <c r="B933" t="s">
        <v>920</v>
      </c>
    </row>
    <row r="934" spans="2:2" x14ac:dyDescent="0.25">
      <c r="B934" t="s">
        <v>921</v>
      </c>
    </row>
    <row r="935" spans="2:2" x14ac:dyDescent="0.25">
      <c r="B935" t="s">
        <v>922</v>
      </c>
    </row>
    <row r="936" spans="2:2" x14ac:dyDescent="0.25">
      <c r="B936" t="s">
        <v>923</v>
      </c>
    </row>
    <row r="937" spans="2:2" x14ac:dyDescent="0.25">
      <c r="B937" t="s">
        <v>924</v>
      </c>
    </row>
    <row r="938" spans="2:2" x14ac:dyDescent="0.25">
      <c r="B938" t="s">
        <v>925</v>
      </c>
    </row>
    <row r="939" spans="2:2" x14ac:dyDescent="0.25">
      <c r="B939" t="s">
        <v>926</v>
      </c>
    </row>
    <row r="940" spans="2:2" x14ac:dyDescent="0.25">
      <c r="B940" t="s">
        <v>927</v>
      </c>
    </row>
    <row r="941" spans="2:2" x14ac:dyDescent="0.25">
      <c r="B941" t="s">
        <v>928</v>
      </c>
    </row>
    <row r="942" spans="2:2" x14ac:dyDescent="0.25">
      <c r="B942" t="s">
        <v>929</v>
      </c>
    </row>
    <row r="943" spans="2:2" x14ac:dyDescent="0.25">
      <c r="B943" t="s">
        <v>930</v>
      </c>
    </row>
    <row r="944" spans="2:2" x14ac:dyDescent="0.25">
      <c r="B944" t="s">
        <v>931</v>
      </c>
    </row>
    <row r="945" spans="2:2" x14ac:dyDescent="0.25">
      <c r="B945" t="s">
        <v>932</v>
      </c>
    </row>
    <row r="946" spans="2:2" x14ac:dyDescent="0.25">
      <c r="B946" t="s">
        <v>933</v>
      </c>
    </row>
    <row r="947" spans="2:2" x14ac:dyDescent="0.25">
      <c r="B947" t="s">
        <v>934</v>
      </c>
    </row>
    <row r="948" spans="2:2" x14ac:dyDescent="0.25">
      <c r="B948" t="s">
        <v>935</v>
      </c>
    </row>
    <row r="949" spans="2:2" x14ac:dyDescent="0.25">
      <c r="B949" t="s">
        <v>936</v>
      </c>
    </row>
    <row r="950" spans="2:2" x14ac:dyDescent="0.25">
      <c r="B950" t="s">
        <v>937</v>
      </c>
    </row>
    <row r="951" spans="2:2" x14ac:dyDescent="0.25">
      <c r="B951" t="s">
        <v>938</v>
      </c>
    </row>
    <row r="952" spans="2:2" x14ac:dyDescent="0.25">
      <c r="B952" t="s">
        <v>939</v>
      </c>
    </row>
    <row r="953" spans="2:2" x14ac:dyDescent="0.25">
      <c r="B953" t="s">
        <v>940</v>
      </c>
    </row>
    <row r="954" spans="2:2" x14ac:dyDescent="0.25">
      <c r="B954" t="s">
        <v>941</v>
      </c>
    </row>
    <row r="955" spans="2:2" x14ac:dyDescent="0.25">
      <c r="B955" t="s">
        <v>942</v>
      </c>
    </row>
    <row r="956" spans="2:2" x14ac:dyDescent="0.25">
      <c r="B956" t="s">
        <v>943</v>
      </c>
    </row>
    <row r="957" spans="2:2" x14ac:dyDescent="0.25">
      <c r="B957" t="s">
        <v>944</v>
      </c>
    </row>
    <row r="958" spans="2:2" x14ac:dyDescent="0.25">
      <c r="B958" t="s">
        <v>945</v>
      </c>
    </row>
    <row r="959" spans="2:2" x14ac:dyDescent="0.25">
      <c r="B959" t="s">
        <v>946</v>
      </c>
    </row>
    <row r="960" spans="2:2" x14ac:dyDescent="0.25">
      <c r="B960" t="s">
        <v>947</v>
      </c>
    </row>
    <row r="961" spans="2:2" x14ac:dyDescent="0.25">
      <c r="B961" t="s">
        <v>948</v>
      </c>
    </row>
    <row r="962" spans="2:2" x14ac:dyDescent="0.25">
      <c r="B962" t="s">
        <v>949</v>
      </c>
    </row>
    <row r="963" spans="2:2" x14ac:dyDescent="0.25">
      <c r="B963" t="s">
        <v>950</v>
      </c>
    </row>
    <row r="964" spans="2:2" x14ac:dyDescent="0.25">
      <c r="B964" t="s">
        <v>951</v>
      </c>
    </row>
    <row r="965" spans="2:2" x14ac:dyDescent="0.25">
      <c r="B965" t="s">
        <v>952</v>
      </c>
    </row>
    <row r="966" spans="2:2" x14ac:dyDescent="0.25">
      <c r="B966" t="s">
        <v>953</v>
      </c>
    </row>
    <row r="967" spans="2:2" x14ac:dyDescent="0.25">
      <c r="B967" t="s">
        <v>954</v>
      </c>
    </row>
    <row r="968" spans="2:2" x14ac:dyDescent="0.25">
      <c r="B968" t="s">
        <v>955</v>
      </c>
    </row>
    <row r="969" spans="2:2" x14ac:dyDescent="0.25">
      <c r="B969" t="s">
        <v>956</v>
      </c>
    </row>
    <row r="970" spans="2:2" x14ac:dyDescent="0.25">
      <c r="B970" t="s">
        <v>957</v>
      </c>
    </row>
    <row r="971" spans="2:2" x14ac:dyDescent="0.25">
      <c r="B971" t="s">
        <v>958</v>
      </c>
    </row>
    <row r="972" spans="2:2" x14ac:dyDescent="0.25">
      <c r="B972" t="s">
        <v>959</v>
      </c>
    </row>
    <row r="973" spans="2:2" x14ac:dyDescent="0.25">
      <c r="B973" t="s">
        <v>960</v>
      </c>
    </row>
    <row r="974" spans="2:2" x14ac:dyDescent="0.25">
      <c r="B974" t="s">
        <v>961</v>
      </c>
    </row>
    <row r="975" spans="2:2" x14ac:dyDescent="0.25">
      <c r="B975" t="s">
        <v>962</v>
      </c>
    </row>
    <row r="976" spans="2:2" x14ac:dyDescent="0.25">
      <c r="B976" t="s">
        <v>963</v>
      </c>
    </row>
    <row r="977" spans="2:2" x14ac:dyDescent="0.25">
      <c r="B977" t="s">
        <v>964</v>
      </c>
    </row>
    <row r="978" spans="2:2" x14ac:dyDescent="0.25">
      <c r="B978" t="s">
        <v>965</v>
      </c>
    </row>
    <row r="979" spans="2:2" x14ac:dyDescent="0.25">
      <c r="B979" t="s">
        <v>966</v>
      </c>
    </row>
    <row r="980" spans="2:2" x14ac:dyDescent="0.25">
      <c r="B980" t="s">
        <v>967</v>
      </c>
    </row>
    <row r="981" spans="2:2" x14ac:dyDescent="0.25">
      <c r="B981" t="s">
        <v>968</v>
      </c>
    </row>
    <row r="982" spans="2:2" x14ac:dyDescent="0.25">
      <c r="B982" t="s">
        <v>969</v>
      </c>
    </row>
    <row r="983" spans="2:2" x14ac:dyDescent="0.25">
      <c r="B983" t="s">
        <v>970</v>
      </c>
    </row>
    <row r="984" spans="2:2" x14ac:dyDescent="0.25">
      <c r="B984" t="s">
        <v>971</v>
      </c>
    </row>
    <row r="985" spans="2:2" x14ac:dyDescent="0.25">
      <c r="B985" t="s">
        <v>972</v>
      </c>
    </row>
    <row r="986" spans="2:2" x14ac:dyDescent="0.25">
      <c r="B986" t="s">
        <v>973</v>
      </c>
    </row>
    <row r="987" spans="2:2" x14ac:dyDescent="0.25">
      <c r="B987" t="s">
        <v>974</v>
      </c>
    </row>
    <row r="988" spans="2:2" x14ac:dyDescent="0.25">
      <c r="B988" t="s">
        <v>975</v>
      </c>
    </row>
    <row r="989" spans="2:2" x14ac:dyDescent="0.25">
      <c r="B989" t="s">
        <v>976</v>
      </c>
    </row>
    <row r="990" spans="2:2" x14ac:dyDescent="0.25">
      <c r="B990" t="s">
        <v>977</v>
      </c>
    </row>
    <row r="991" spans="2:2" x14ac:dyDescent="0.25">
      <c r="B991" t="s">
        <v>978</v>
      </c>
    </row>
    <row r="992" spans="2:2" x14ac:dyDescent="0.25">
      <c r="B992" t="s">
        <v>979</v>
      </c>
    </row>
    <row r="993" spans="2:2" x14ac:dyDescent="0.25">
      <c r="B993" t="s">
        <v>980</v>
      </c>
    </row>
    <row r="994" spans="2:2" x14ac:dyDescent="0.25">
      <c r="B994" t="s">
        <v>981</v>
      </c>
    </row>
    <row r="995" spans="2:2" x14ac:dyDescent="0.25">
      <c r="B995" t="s">
        <v>982</v>
      </c>
    </row>
    <row r="996" spans="2:2" x14ac:dyDescent="0.25">
      <c r="B996" t="s">
        <v>983</v>
      </c>
    </row>
    <row r="997" spans="2:2" x14ac:dyDescent="0.25">
      <c r="B997" t="s">
        <v>984</v>
      </c>
    </row>
    <row r="998" spans="2:2" x14ac:dyDescent="0.25">
      <c r="B998" t="s">
        <v>985</v>
      </c>
    </row>
    <row r="999" spans="2:2" x14ac:dyDescent="0.25">
      <c r="B999" t="s">
        <v>986</v>
      </c>
    </row>
    <row r="1000" spans="2:2" x14ac:dyDescent="0.25">
      <c r="B1000" t="s">
        <v>987</v>
      </c>
    </row>
    <row r="1001" spans="2:2" x14ac:dyDescent="0.25">
      <c r="B1001" t="s">
        <v>988</v>
      </c>
    </row>
    <row r="1002" spans="2:2" x14ac:dyDescent="0.25">
      <c r="B1002" t="s">
        <v>989</v>
      </c>
    </row>
    <row r="1003" spans="2:2" x14ac:dyDescent="0.25">
      <c r="B1003" t="s">
        <v>990</v>
      </c>
    </row>
    <row r="1004" spans="2:2" x14ac:dyDescent="0.25">
      <c r="B1004" t="s">
        <v>991</v>
      </c>
    </row>
    <row r="1005" spans="2:2" x14ac:dyDescent="0.25">
      <c r="B1005" t="s">
        <v>992</v>
      </c>
    </row>
    <row r="1006" spans="2:2" x14ac:dyDescent="0.25">
      <c r="B1006" t="s">
        <v>993</v>
      </c>
    </row>
    <row r="1007" spans="2:2" x14ac:dyDescent="0.25">
      <c r="B1007" t="s">
        <v>994</v>
      </c>
    </row>
    <row r="1008" spans="2:2" x14ac:dyDescent="0.25">
      <c r="B1008" t="s">
        <v>995</v>
      </c>
    </row>
    <row r="1009" spans="2:2" x14ac:dyDescent="0.25">
      <c r="B1009" t="s">
        <v>996</v>
      </c>
    </row>
    <row r="1010" spans="2:2" x14ac:dyDescent="0.25">
      <c r="B1010" t="s">
        <v>997</v>
      </c>
    </row>
    <row r="1011" spans="2:2" x14ac:dyDescent="0.25">
      <c r="B1011" t="s">
        <v>998</v>
      </c>
    </row>
    <row r="1012" spans="2:2" x14ac:dyDescent="0.25">
      <c r="B1012" t="s">
        <v>999</v>
      </c>
    </row>
    <row r="1013" spans="2:2" x14ac:dyDescent="0.25">
      <c r="B1013" t="s">
        <v>1000</v>
      </c>
    </row>
    <row r="1014" spans="2:2" x14ac:dyDescent="0.25">
      <c r="B1014" t="s">
        <v>1001</v>
      </c>
    </row>
    <row r="1015" spans="2:2" x14ac:dyDescent="0.25">
      <c r="B1015" t="s">
        <v>1002</v>
      </c>
    </row>
    <row r="1016" spans="2:2" x14ac:dyDescent="0.25">
      <c r="B1016" t="s">
        <v>1003</v>
      </c>
    </row>
    <row r="1017" spans="2:2" x14ac:dyDescent="0.25">
      <c r="B1017" t="s">
        <v>1004</v>
      </c>
    </row>
    <row r="1018" spans="2:2" x14ac:dyDescent="0.25">
      <c r="B1018" t="s">
        <v>1005</v>
      </c>
    </row>
    <row r="1019" spans="2:2" x14ac:dyDescent="0.25">
      <c r="B1019" t="s">
        <v>1006</v>
      </c>
    </row>
    <row r="1020" spans="2:2" x14ac:dyDescent="0.25">
      <c r="B1020" t="s">
        <v>1007</v>
      </c>
    </row>
    <row r="1021" spans="2:2" x14ac:dyDescent="0.25">
      <c r="B1021" t="s">
        <v>1008</v>
      </c>
    </row>
    <row r="1022" spans="2:2" x14ac:dyDescent="0.25">
      <c r="B1022" t="s">
        <v>1009</v>
      </c>
    </row>
    <row r="1023" spans="2:2" x14ac:dyDescent="0.25">
      <c r="B1023" t="s">
        <v>1010</v>
      </c>
    </row>
    <row r="1024" spans="2:2" x14ac:dyDescent="0.25">
      <c r="B1024" t="s">
        <v>1011</v>
      </c>
    </row>
    <row r="1025" spans="2:2" x14ac:dyDescent="0.25">
      <c r="B1025" t="s">
        <v>1012</v>
      </c>
    </row>
    <row r="1026" spans="2:2" x14ac:dyDescent="0.25">
      <c r="B1026" t="s">
        <v>1013</v>
      </c>
    </row>
    <row r="1027" spans="2:2" x14ac:dyDescent="0.25">
      <c r="B1027" t="s">
        <v>1014</v>
      </c>
    </row>
    <row r="1028" spans="2:2" x14ac:dyDescent="0.25">
      <c r="B1028" t="s">
        <v>1015</v>
      </c>
    </row>
    <row r="1029" spans="2:2" x14ac:dyDescent="0.25">
      <c r="B1029" t="s">
        <v>1016</v>
      </c>
    </row>
    <row r="1030" spans="2:2" x14ac:dyDescent="0.25">
      <c r="B1030" t="s">
        <v>1017</v>
      </c>
    </row>
    <row r="1031" spans="2:2" x14ac:dyDescent="0.25">
      <c r="B1031" t="s">
        <v>1018</v>
      </c>
    </row>
    <row r="1032" spans="2:2" x14ac:dyDescent="0.25">
      <c r="B1032" t="s">
        <v>1019</v>
      </c>
    </row>
    <row r="1033" spans="2:2" x14ac:dyDescent="0.25">
      <c r="B1033" t="s">
        <v>1020</v>
      </c>
    </row>
    <row r="1034" spans="2:2" x14ac:dyDescent="0.25">
      <c r="B1034" t="s">
        <v>1021</v>
      </c>
    </row>
    <row r="1035" spans="2:2" x14ac:dyDescent="0.25">
      <c r="B1035" t="s">
        <v>1022</v>
      </c>
    </row>
    <row r="1036" spans="2:2" x14ac:dyDescent="0.25">
      <c r="B1036" t="s">
        <v>1023</v>
      </c>
    </row>
    <row r="1037" spans="2:2" x14ac:dyDescent="0.25">
      <c r="B1037" t="s">
        <v>1024</v>
      </c>
    </row>
    <row r="1038" spans="2:2" x14ac:dyDescent="0.25">
      <c r="B1038" t="s">
        <v>1025</v>
      </c>
    </row>
    <row r="1039" spans="2:2" x14ac:dyDescent="0.25">
      <c r="B1039" t="s">
        <v>1026</v>
      </c>
    </row>
    <row r="1040" spans="2:2" x14ac:dyDescent="0.25">
      <c r="B1040" t="s">
        <v>1027</v>
      </c>
    </row>
    <row r="1041" spans="2:2" x14ac:dyDescent="0.25">
      <c r="B1041" t="s">
        <v>1028</v>
      </c>
    </row>
    <row r="1042" spans="2:2" x14ac:dyDescent="0.25">
      <c r="B1042" t="s">
        <v>1029</v>
      </c>
    </row>
    <row r="1043" spans="2:2" x14ac:dyDescent="0.25">
      <c r="B1043" t="s">
        <v>1030</v>
      </c>
    </row>
    <row r="1044" spans="2:2" x14ac:dyDescent="0.25">
      <c r="B1044" t="s">
        <v>1031</v>
      </c>
    </row>
    <row r="1045" spans="2:2" x14ac:dyDescent="0.25">
      <c r="B1045" t="s">
        <v>1032</v>
      </c>
    </row>
    <row r="1046" spans="2:2" x14ac:dyDescent="0.25">
      <c r="B1046" t="s">
        <v>1033</v>
      </c>
    </row>
    <row r="1047" spans="2:2" x14ac:dyDescent="0.25">
      <c r="B1047" t="s">
        <v>1034</v>
      </c>
    </row>
    <row r="1048" spans="2:2" x14ac:dyDescent="0.25">
      <c r="B1048" t="s">
        <v>1035</v>
      </c>
    </row>
    <row r="1049" spans="2:2" x14ac:dyDescent="0.25">
      <c r="B1049" t="s">
        <v>1036</v>
      </c>
    </row>
    <row r="1050" spans="2:2" x14ac:dyDescent="0.25">
      <c r="B1050" t="s">
        <v>1037</v>
      </c>
    </row>
    <row r="1051" spans="2:2" x14ac:dyDescent="0.25">
      <c r="B1051" t="s">
        <v>1038</v>
      </c>
    </row>
    <row r="1052" spans="2:2" x14ac:dyDescent="0.25">
      <c r="B1052" t="s">
        <v>1039</v>
      </c>
    </row>
    <row r="1053" spans="2:2" x14ac:dyDescent="0.25">
      <c r="B1053" t="s">
        <v>1040</v>
      </c>
    </row>
    <row r="1054" spans="2:2" x14ac:dyDescent="0.25">
      <c r="B1054" t="s">
        <v>1041</v>
      </c>
    </row>
    <row r="1055" spans="2:2" x14ac:dyDescent="0.25">
      <c r="B1055" t="s">
        <v>1042</v>
      </c>
    </row>
    <row r="1056" spans="2:2" x14ac:dyDescent="0.25">
      <c r="B1056" t="s">
        <v>1043</v>
      </c>
    </row>
    <row r="1057" spans="2:2" x14ac:dyDescent="0.25">
      <c r="B1057" t="s">
        <v>1044</v>
      </c>
    </row>
    <row r="1058" spans="2:2" x14ac:dyDescent="0.25">
      <c r="B1058" t="s">
        <v>1045</v>
      </c>
    </row>
    <row r="1059" spans="2:2" x14ac:dyDescent="0.25">
      <c r="B1059" t="s">
        <v>1046</v>
      </c>
    </row>
    <row r="1060" spans="2:2" x14ac:dyDescent="0.25">
      <c r="B1060" t="s">
        <v>1047</v>
      </c>
    </row>
    <row r="1061" spans="2:2" x14ac:dyDescent="0.25">
      <c r="B1061" t="s">
        <v>1048</v>
      </c>
    </row>
    <row r="1062" spans="2:2" x14ac:dyDescent="0.25">
      <c r="B1062" t="s">
        <v>1049</v>
      </c>
    </row>
    <row r="1063" spans="2:2" x14ac:dyDescent="0.25">
      <c r="B1063" t="s">
        <v>1050</v>
      </c>
    </row>
    <row r="1064" spans="2:2" x14ac:dyDescent="0.25">
      <c r="B1064" t="s">
        <v>1051</v>
      </c>
    </row>
    <row r="1065" spans="2:2" x14ac:dyDescent="0.25">
      <c r="B1065" t="s">
        <v>1052</v>
      </c>
    </row>
    <row r="1066" spans="2:2" x14ac:dyDescent="0.25">
      <c r="B1066" t="s">
        <v>1053</v>
      </c>
    </row>
    <row r="1067" spans="2:2" x14ac:dyDescent="0.25">
      <c r="B1067" t="s">
        <v>1054</v>
      </c>
    </row>
    <row r="1068" spans="2:2" x14ac:dyDescent="0.25">
      <c r="B1068" t="s">
        <v>1055</v>
      </c>
    </row>
    <row r="1069" spans="2:2" x14ac:dyDescent="0.25">
      <c r="B1069" t="s">
        <v>1056</v>
      </c>
    </row>
    <row r="1070" spans="2:2" x14ac:dyDescent="0.25">
      <c r="B1070" t="s">
        <v>1057</v>
      </c>
    </row>
    <row r="1071" spans="2:2" x14ac:dyDescent="0.25">
      <c r="B1071" t="s">
        <v>1058</v>
      </c>
    </row>
    <row r="1072" spans="2:2" x14ac:dyDescent="0.25">
      <c r="B1072" t="s">
        <v>1059</v>
      </c>
    </row>
    <row r="1073" spans="2:2" x14ac:dyDescent="0.25">
      <c r="B1073" t="s">
        <v>1060</v>
      </c>
    </row>
    <row r="1074" spans="2:2" x14ac:dyDescent="0.25">
      <c r="B1074" t="s">
        <v>1061</v>
      </c>
    </row>
    <row r="1075" spans="2:2" x14ac:dyDescent="0.25">
      <c r="B1075" t="s">
        <v>1062</v>
      </c>
    </row>
    <row r="1076" spans="2:2" x14ac:dyDescent="0.25">
      <c r="B1076" t="s">
        <v>1063</v>
      </c>
    </row>
    <row r="1077" spans="2:2" x14ac:dyDescent="0.25">
      <c r="B1077" t="s">
        <v>1064</v>
      </c>
    </row>
    <row r="1078" spans="2:2" x14ac:dyDescent="0.25">
      <c r="B1078" t="s">
        <v>1065</v>
      </c>
    </row>
    <row r="1079" spans="2:2" x14ac:dyDescent="0.25">
      <c r="B1079" t="s">
        <v>1066</v>
      </c>
    </row>
    <row r="1080" spans="2:2" x14ac:dyDescent="0.25">
      <c r="B1080" t="s">
        <v>1067</v>
      </c>
    </row>
    <row r="1081" spans="2:2" x14ac:dyDescent="0.25">
      <c r="B1081" t="s">
        <v>1068</v>
      </c>
    </row>
    <row r="1082" spans="2:2" x14ac:dyDescent="0.25">
      <c r="B1082" t="s">
        <v>1069</v>
      </c>
    </row>
    <row r="1083" spans="2:2" x14ac:dyDescent="0.25">
      <c r="B1083" t="s">
        <v>1070</v>
      </c>
    </row>
    <row r="1084" spans="2:2" x14ac:dyDescent="0.25">
      <c r="B1084" t="s">
        <v>1071</v>
      </c>
    </row>
    <row r="1085" spans="2:2" x14ac:dyDescent="0.25">
      <c r="B1085" t="s">
        <v>1072</v>
      </c>
    </row>
    <row r="1086" spans="2:2" x14ac:dyDescent="0.25">
      <c r="B1086" t="s">
        <v>1073</v>
      </c>
    </row>
    <row r="1087" spans="2:2" x14ac:dyDescent="0.25">
      <c r="B1087" t="s">
        <v>1074</v>
      </c>
    </row>
    <row r="1088" spans="2:2" x14ac:dyDescent="0.25">
      <c r="B1088" t="s">
        <v>1075</v>
      </c>
    </row>
    <row r="1089" spans="2:2" x14ac:dyDescent="0.25">
      <c r="B1089" t="s">
        <v>1076</v>
      </c>
    </row>
    <row r="1090" spans="2:2" x14ac:dyDescent="0.25">
      <c r="B1090" t="s">
        <v>1077</v>
      </c>
    </row>
    <row r="1091" spans="2:2" x14ac:dyDescent="0.25">
      <c r="B1091" t="s">
        <v>1078</v>
      </c>
    </row>
    <row r="1092" spans="2:2" x14ac:dyDescent="0.25">
      <c r="B1092" t="s">
        <v>1079</v>
      </c>
    </row>
    <row r="1093" spans="2:2" x14ac:dyDescent="0.25">
      <c r="B1093" t="s">
        <v>1080</v>
      </c>
    </row>
    <row r="1094" spans="2:2" x14ac:dyDescent="0.25">
      <c r="B1094" t="s">
        <v>1081</v>
      </c>
    </row>
    <row r="1095" spans="2:2" x14ac:dyDescent="0.25">
      <c r="B1095" t="s">
        <v>1082</v>
      </c>
    </row>
    <row r="1096" spans="2:2" x14ac:dyDescent="0.25">
      <c r="B1096" t="s">
        <v>1083</v>
      </c>
    </row>
    <row r="1097" spans="2:2" x14ac:dyDescent="0.25">
      <c r="B1097" t="s">
        <v>1084</v>
      </c>
    </row>
    <row r="1098" spans="2:2" x14ac:dyDescent="0.25">
      <c r="B1098" t="s">
        <v>1085</v>
      </c>
    </row>
    <row r="1099" spans="2:2" x14ac:dyDescent="0.25">
      <c r="B1099" t="s">
        <v>1086</v>
      </c>
    </row>
    <row r="1100" spans="2:2" x14ac:dyDescent="0.25">
      <c r="B1100" t="s">
        <v>1087</v>
      </c>
    </row>
    <row r="1101" spans="2:2" x14ac:dyDescent="0.25">
      <c r="B1101" t="s">
        <v>1088</v>
      </c>
    </row>
    <row r="1102" spans="2:2" x14ac:dyDescent="0.25">
      <c r="B1102" t="s">
        <v>1089</v>
      </c>
    </row>
    <row r="1103" spans="2:2" x14ac:dyDescent="0.25">
      <c r="B1103" t="s">
        <v>1090</v>
      </c>
    </row>
    <row r="1104" spans="2:2" x14ac:dyDescent="0.25">
      <c r="B1104" t="s">
        <v>1091</v>
      </c>
    </row>
    <row r="1105" spans="2:2" x14ac:dyDescent="0.25">
      <c r="B1105" t="s">
        <v>1092</v>
      </c>
    </row>
    <row r="1106" spans="2:2" x14ac:dyDescent="0.25">
      <c r="B1106" t="s">
        <v>1093</v>
      </c>
    </row>
    <row r="1107" spans="2:2" x14ac:dyDescent="0.25">
      <c r="B1107" t="s">
        <v>1094</v>
      </c>
    </row>
    <row r="1108" spans="2:2" x14ac:dyDescent="0.25">
      <c r="B1108" t="s">
        <v>1095</v>
      </c>
    </row>
    <row r="1109" spans="2:2" x14ac:dyDescent="0.25">
      <c r="B1109" t="s">
        <v>1096</v>
      </c>
    </row>
    <row r="1110" spans="2:2" x14ac:dyDescent="0.25">
      <c r="B1110" t="s">
        <v>1097</v>
      </c>
    </row>
    <row r="1111" spans="2:2" x14ac:dyDescent="0.25">
      <c r="B1111" t="s">
        <v>1098</v>
      </c>
    </row>
    <row r="1112" spans="2:2" x14ac:dyDescent="0.25">
      <c r="B1112" t="s">
        <v>1099</v>
      </c>
    </row>
    <row r="1113" spans="2:2" x14ac:dyDescent="0.25">
      <c r="B1113" t="s">
        <v>1100</v>
      </c>
    </row>
    <row r="1114" spans="2:2" x14ac:dyDescent="0.25">
      <c r="B1114" t="s">
        <v>1101</v>
      </c>
    </row>
    <row r="1115" spans="2:2" x14ac:dyDescent="0.25">
      <c r="B1115" t="s">
        <v>1102</v>
      </c>
    </row>
    <row r="1116" spans="2:2" x14ac:dyDescent="0.25">
      <c r="B1116" t="s">
        <v>1103</v>
      </c>
    </row>
    <row r="1117" spans="2:2" x14ac:dyDescent="0.25">
      <c r="B1117" t="s">
        <v>1104</v>
      </c>
    </row>
    <row r="1118" spans="2:2" x14ac:dyDescent="0.25">
      <c r="B1118" t="s">
        <v>1105</v>
      </c>
    </row>
    <row r="1119" spans="2:2" x14ac:dyDescent="0.25">
      <c r="B1119" t="s">
        <v>1106</v>
      </c>
    </row>
    <row r="1120" spans="2:2" x14ac:dyDescent="0.25">
      <c r="B1120" t="s">
        <v>1107</v>
      </c>
    </row>
    <row r="1121" spans="2:2" x14ac:dyDescent="0.25">
      <c r="B1121" t="s">
        <v>1108</v>
      </c>
    </row>
    <row r="1122" spans="2:2" x14ac:dyDescent="0.25">
      <c r="B1122" t="s">
        <v>1109</v>
      </c>
    </row>
    <row r="1123" spans="2:2" x14ac:dyDescent="0.25">
      <c r="B1123" t="s">
        <v>1110</v>
      </c>
    </row>
    <row r="1124" spans="2:2" x14ac:dyDescent="0.25">
      <c r="B1124" t="s">
        <v>1111</v>
      </c>
    </row>
    <row r="1125" spans="2:2" x14ac:dyDescent="0.25">
      <c r="B1125" t="s">
        <v>1112</v>
      </c>
    </row>
    <row r="1126" spans="2:2" x14ac:dyDescent="0.25">
      <c r="B1126" t="s">
        <v>1113</v>
      </c>
    </row>
    <row r="1127" spans="2:2" x14ac:dyDescent="0.25">
      <c r="B1127" t="s">
        <v>1114</v>
      </c>
    </row>
    <row r="1128" spans="2:2" x14ac:dyDescent="0.25">
      <c r="B1128" t="s">
        <v>1115</v>
      </c>
    </row>
    <row r="1129" spans="2:2" x14ac:dyDescent="0.25">
      <c r="B1129" t="s">
        <v>1116</v>
      </c>
    </row>
    <row r="1130" spans="2:2" x14ac:dyDescent="0.25">
      <c r="B1130" t="s">
        <v>1117</v>
      </c>
    </row>
    <row r="1131" spans="2:2" x14ac:dyDescent="0.25">
      <c r="B1131" t="s">
        <v>1118</v>
      </c>
    </row>
    <row r="1132" spans="2:2" x14ac:dyDescent="0.25">
      <c r="B1132" t="s">
        <v>1119</v>
      </c>
    </row>
    <row r="1133" spans="2:2" x14ac:dyDescent="0.25">
      <c r="B1133" t="s">
        <v>1120</v>
      </c>
    </row>
    <row r="1134" spans="2:2" x14ac:dyDescent="0.25">
      <c r="B1134" t="s">
        <v>1121</v>
      </c>
    </row>
    <row r="1135" spans="2:2" x14ac:dyDescent="0.25">
      <c r="B1135" t="s">
        <v>1122</v>
      </c>
    </row>
    <row r="1136" spans="2:2" x14ac:dyDescent="0.25">
      <c r="B1136" t="s">
        <v>1123</v>
      </c>
    </row>
    <row r="1137" spans="2:2" x14ac:dyDescent="0.25">
      <c r="B1137" t="s">
        <v>1124</v>
      </c>
    </row>
    <row r="1138" spans="2:2" x14ac:dyDescent="0.25">
      <c r="B1138" t="s">
        <v>1125</v>
      </c>
    </row>
    <row r="1139" spans="2:2" x14ac:dyDescent="0.25">
      <c r="B1139" t="s">
        <v>1126</v>
      </c>
    </row>
    <row r="1140" spans="2:2" x14ac:dyDescent="0.25">
      <c r="B1140" t="s">
        <v>1127</v>
      </c>
    </row>
    <row r="1141" spans="2:2" x14ac:dyDescent="0.25">
      <c r="B1141" t="s">
        <v>1128</v>
      </c>
    </row>
    <row r="1142" spans="2:2" x14ac:dyDescent="0.25">
      <c r="B1142" t="s">
        <v>1129</v>
      </c>
    </row>
    <row r="1143" spans="2:2" x14ac:dyDescent="0.25">
      <c r="B1143" t="s">
        <v>1130</v>
      </c>
    </row>
    <row r="1144" spans="2:2" x14ac:dyDescent="0.25">
      <c r="B1144" t="s">
        <v>1131</v>
      </c>
    </row>
    <row r="1145" spans="2:2" x14ac:dyDescent="0.25">
      <c r="B1145" t="s">
        <v>1132</v>
      </c>
    </row>
    <row r="1146" spans="2:2" x14ac:dyDescent="0.25">
      <c r="B1146" t="s">
        <v>1133</v>
      </c>
    </row>
    <row r="1147" spans="2:2" x14ac:dyDescent="0.25">
      <c r="B1147" t="s">
        <v>1134</v>
      </c>
    </row>
    <row r="1148" spans="2:2" x14ac:dyDescent="0.25">
      <c r="B1148" t="s">
        <v>1135</v>
      </c>
    </row>
    <row r="1149" spans="2:2" x14ac:dyDescent="0.25">
      <c r="B1149" t="s">
        <v>1136</v>
      </c>
    </row>
    <row r="1150" spans="2:2" x14ac:dyDescent="0.25">
      <c r="B1150" t="s">
        <v>1137</v>
      </c>
    </row>
    <row r="1151" spans="2:2" x14ac:dyDescent="0.25">
      <c r="B1151" t="s">
        <v>1138</v>
      </c>
    </row>
    <row r="1152" spans="2:2" x14ac:dyDescent="0.25">
      <c r="B1152" t="s">
        <v>1139</v>
      </c>
    </row>
    <row r="1153" spans="2:2" x14ac:dyDescent="0.25">
      <c r="B1153" t="s">
        <v>1140</v>
      </c>
    </row>
    <row r="1154" spans="2:2" x14ac:dyDescent="0.25">
      <c r="B1154" t="s">
        <v>1141</v>
      </c>
    </row>
    <row r="1155" spans="2:2" x14ac:dyDescent="0.25">
      <c r="B1155" t="s">
        <v>1142</v>
      </c>
    </row>
    <row r="1156" spans="2:2" x14ac:dyDescent="0.25">
      <c r="B1156" t="s">
        <v>1143</v>
      </c>
    </row>
    <row r="1157" spans="2:2" x14ac:dyDescent="0.25">
      <c r="B1157" t="s">
        <v>1144</v>
      </c>
    </row>
    <row r="1158" spans="2:2" x14ac:dyDescent="0.25">
      <c r="B1158" t="s">
        <v>1145</v>
      </c>
    </row>
    <row r="1159" spans="2:2" x14ac:dyDescent="0.25">
      <c r="B1159" t="s">
        <v>1146</v>
      </c>
    </row>
    <row r="1160" spans="2:2" x14ac:dyDescent="0.25">
      <c r="B1160" t="s">
        <v>1147</v>
      </c>
    </row>
    <row r="1161" spans="2:2" x14ac:dyDescent="0.25">
      <c r="B1161" t="s">
        <v>1148</v>
      </c>
    </row>
    <row r="1162" spans="2:2" x14ac:dyDescent="0.25">
      <c r="B1162" t="s">
        <v>1149</v>
      </c>
    </row>
    <row r="1163" spans="2:2" x14ac:dyDescent="0.25">
      <c r="B1163" t="s">
        <v>1150</v>
      </c>
    </row>
    <row r="1164" spans="2:2" x14ac:dyDescent="0.25">
      <c r="B1164" t="s">
        <v>1151</v>
      </c>
    </row>
    <row r="1165" spans="2:2" x14ac:dyDescent="0.25">
      <c r="B1165" t="s">
        <v>1152</v>
      </c>
    </row>
    <row r="1166" spans="2:2" x14ac:dyDescent="0.25">
      <c r="B1166" t="s">
        <v>1153</v>
      </c>
    </row>
    <row r="1167" spans="2:2" x14ac:dyDescent="0.25">
      <c r="B1167" t="s">
        <v>1154</v>
      </c>
    </row>
    <row r="1168" spans="2:2" x14ac:dyDescent="0.25">
      <c r="B1168" t="s">
        <v>1155</v>
      </c>
    </row>
    <row r="1169" spans="2:2" x14ac:dyDescent="0.25">
      <c r="B1169" t="s">
        <v>1156</v>
      </c>
    </row>
    <row r="1170" spans="2:2" x14ac:dyDescent="0.25">
      <c r="B1170" t="s">
        <v>1157</v>
      </c>
    </row>
    <row r="1171" spans="2:2" x14ac:dyDescent="0.25">
      <c r="B1171" t="s">
        <v>1158</v>
      </c>
    </row>
    <row r="1172" spans="2:2" x14ac:dyDescent="0.25">
      <c r="B1172" t="s">
        <v>1159</v>
      </c>
    </row>
    <row r="1173" spans="2:2" x14ac:dyDescent="0.25">
      <c r="B1173" t="s">
        <v>1160</v>
      </c>
    </row>
    <row r="1174" spans="2:2" x14ac:dyDescent="0.25">
      <c r="B1174" t="s">
        <v>1161</v>
      </c>
    </row>
    <row r="1175" spans="2:2" x14ac:dyDescent="0.25">
      <c r="B1175" t="s">
        <v>1162</v>
      </c>
    </row>
    <row r="1176" spans="2:2" x14ac:dyDescent="0.25">
      <c r="B1176" t="s">
        <v>1163</v>
      </c>
    </row>
    <row r="1177" spans="2:2" x14ac:dyDescent="0.25">
      <c r="B1177" t="s">
        <v>1164</v>
      </c>
    </row>
    <row r="1178" spans="2:2" x14ac:dyDescent="0.25">
      <c r="B1178" t="s">
        <v>1165</v>
      </c>
    </row>
    <row r="1179" spans="2:2" x14ac:dyDescent="0.25">
      <c r="B1179" t="s">
        <v>1166</v>
      </c>
    </row>
    <row r="1180" spans="2:2" x14ac:dyDescent="0.25">
      <c r="B1180" t="s">
        <v>1167</v>
      </c>
    </row>
    <row r="1181" spans="2:2" x14ac:dyDescent="0.25">
      <c r="B1181" t="s">
        <v>1168</v>
      </c>
    </row>
    <row r="1182" spans="2:2" x14ac:dyDescent="0.25">
      <c r="B1182" t="s">
        <v>1169</v>
      </c>
    </row>
    <row r="1183" spans="2:2" x14ac:dyDescent="0.25">
      <c r="B1183" t="s">
        <v>1170</v>
      </c>
    </row>
    <row r="1184" spans="2:2" x14ac:dyDescent="0.25">
      <c r="B1184" t="s">
        <v>1171</v>
      </c>
    </row>
    <row r="1185" spans="2:2" x14ac:dyDescent="0.25">
      <c r="B1185" t="s">
        <v>1172</v>
      </c>
    </row>
    <row r="1186" spans="2:2" x14ac:dyDescent="0.25">
      <c r="B1186" t="s">
        <v>1173</v>
      </c>
    </row>
    <row r="1187" spans="2:2" x14ac:dyDescent="0.25">
      <c r="B1187" t="s">
        <v>1174</v>
      </c>
    </row>
    <row r="1188" spans="2:2" x14ac:dyDescent="0.25">
      <c r="B1188" t="s">
        <v>1175</v>
      </c>
    </row>
    <row r="1189" spans="2:2" x14ac:dyDescent="0.25">
      <c r="B1189" t="s">
        <v>1176</v>
      </c>
    </row>
    <row r="1190" spans="2:2" x14ac:dyDescent="0.25">
      <c r="B1190" t="s">
        <v>1177</v>
      </c>
    </row>
    <row r="1191" spans="2:2" x14ac:dyDescent="0.25">
      <c r="B1191" t="s">
        <v>1178</v>
      </c>
    </row>
    <row r="1192" spans="2:2" x14ac:dyDescent="0.25">
      <c r="B1192" t="s">
        <v>1179</v>
      </c>
    </row>
    <row r="1193" spans="2:2" x14ac:dyDescent="0.25">
      <c r="B1193" t="s">
        <v>1180</v>
      </c>
    </row>
    <row r="1194" spans="2:2" x14ac:dyDescent="0.25">
      <c r="B1194" t="s">
        <v>1181</v>
      </c>
    </row>
    <row r="1195" spans="2:2" x14ac:dyDescent="0.25">
      <c r="B1195" t="s">
        <v>1182</v>
      </c>
    </row>
    <row r="1196" spans="2:2" x14ac:dyDescent="0.25">
      <c r="B1196" t="s">
        <v>1183</v>
      </c>
    </row>
    <row r="1197" spans="2:2" x14ac:dyDescent="0.25">
      <c r="B1197" t="s">
        <v>1184</v>
      </c>
    </row>
    <row r="1198" spans="2:2" x14ac:dyDescent="0.25">
      <c r="B1198" t="s">
        <v>1185</v>
      </c>
    </row>
    <row r="1199" spans="2:2" x14ac:dyDescent="0.25">
      <c r="B1199" t="s">
        <v>1186</v>
      </c>
    </row>
    <row r="1200" spans="2:2" x14ac:dyDescent="0.25">
      <c r="B1200" t="s">
        <v>1187</v>
      </c>
    </row>
    <row r="1201" spans="2:2" x14ac:dyDescent="0.25">
      <c r="B1201" t="s">
        <v>1188</v>
      </c>
    </row>
    <row r="1202" spans="2:2" x14ac:dyDescent="0.25">
      <c r="B1202" t="s">
        <v>1189</v>
      </c>
    </row>
    <row r="1203" spans="2:2" x14ac:dyDescent="0.25">
      <c r="B1203" t="s">
        <v>1190</v>
      </c>
    </row>
    <row r="1204" spans="2:2" x14ac:dyDescent="0.25">
      <c r="B1204" t="s">
        <v>1191</v>
      </c>
    </row>
    <row r="1205" spans="2:2" x14ac:dyDescent="0.25">
      <c r="B1205" t="s">
        <v>1192</v>
      </c>
    </row>
    <row r="1206" spans="2:2" x14ac:dyDescent="0.25">
      <c r="B1206" t="s">
        <v>1193</v>
      </c>
    </row>
    <row r="1207" spans="2:2" x14ac:dyDescent="0.25">
      <c r="B1207" t="s">
        <v>1194</v>
      </c>
    </row>
    <row r="1208" spans="2:2" x14ac:dyDescent="0.25">
      <c r="B1208" t="s">
        <v>1195</v>
      </c>
    </row>
    <row r="1209" spans="2:2" x14ac:dyDescent="0.25">
      <c r="B1209" t="s">
        <v>1196</v>
      </c>
    </row>
    <row r="1210" spans="2:2" x14ac:dyDescent="0.25">
      <c r="B1210" t="s">
        <v>1197</v>
      </c>
    </row>
    <row r="1211" spans="2:2" x14ac:dyDescent="0.25">
      <c r="B1211" t="s">
        <v>1198</v>
      </c>
    </row>
    <row r="1212" spans="2:2" x14ac:dyDescent="0.25">
      <c r="B1212" t="s">
        <v>1199</v>
      </c>
    </row>
    <row r="1213" spans="2:2" x14ac:dyDescent="0.25">
      <c r="B1213" t="s">
        <v>1200</v>
      </c>
    </row>
    <row r="1214" spans="2:2" x14ac:dyDescent="0.25">
      <c r="B1214" t="s">
        <v>1201</v>
      </c>
    </row>
    <row r="1215" spans="2:2" x14ac:dyDescent="0.25">
      <c r="B1215" t="s">
        <v>1202</v>
      </c>
    </row>
    <row r="1216" spans="2:2" x14ac:dyDescent="0.25">
      <c r="B1216" t="s">
        <v>1203</v>
      </c>
    </row>
    <row r="1217" spans="2:2" x14ac:dyDescent="0.25">
      <c r="B1217" t="s">
        <v>1204</v>
      </c>
    </row>
    <row r="1218" spans="2:2" x14ac:dyDescent="0.25">
      <c r="B1218" t="s">
        <v>1205</v>
      </c>
    </row>
    <row r="1219" spans="2:2" x14ac:dyDescent="0.25">
      <c r="B1219" t="s">
        <v>1206</v>
      </c>
    </row>
    <row r="1220" spans="2:2" x14ac:dyDescent="0.25">
      <c r="B1220" t="s">
        <v>1207</v>
      </c>
    </row>
    <row r="1221" spans="2:2" x14ac:dyDescent="0.25">
      <c r="B1221" t="s">
        <v>1208</v>
      </c>
    </row>
    <row r="1222" spans="2:2" x14ac:dyDescent="0.25">
      <c r="B1222" t="s">
        <v>1209</v>
      </c>
    </row>
    <row r="1223" spans="2:2" x14ac:dyDescent="0.25">
      <c r="B1223" t="s">
        <v>1210</v>
      </c>
    </row>
    <row r="1224" spans="2:2" x14ac:dyDescent="0.25">
      <c r="B1224" t="s">
        <v>1211</v>
      </c>
    </row>
    <row r="1225" spans="2:2" x14ac:dyDescent="0.25">
      <c r="B1225" t="s">
        <v>1212</v>
      </c>
    </row>
    <row r="1226" spans="2:2" x14ac:dyDescent="0.25">
      <c r="B1226" t="s">
        <v>1213</v>
      </c>
    </row>
    <row r="1227" spans="2:2" x14ac:dyDescent="0.25">
      <c r="B1227" t="s">
        <v>1214</v>
      </c>
    </row>
    <row r="1228" spans="2:2" x14ac:dyDescent="0.25">
      <c r="B1228" t="s">
        <v>1215</v>
      </c>
    </row>
    <row r="1229" spans="2:2" x14ac:dyDescent="0.25">
      <c r="B1229" t="s">
        <v>1216</v>
      </c>
    </row>
    <row r="1230" spans="2:2" x14ac:dyDescent="0.25">
      <c r="B1230" t="s">
        <v>1217</v>
      </c>
    </row>
    <row r="1231" spans="2:2" x14ac:dyDescent="0.25">
      <c r="B1231" t="s">
        <v>1218</v>
      </c>
    </row>
    <row r="1232" spans="2:2" x14ac:dyDescent="0.25">
      <c r="B1232" t="s">
        <v>1219</v>
      </c>
    </row>
    <row r="1233" spans="2:2" x14ac:dyDescent="0.25">
      <c r="B1233" t="s">
        <v>1220</v>
      </c>
    </row>
    <row r="1234" spans="2:2" x14ac:dyDescent="0.25">
      <c r="B1234" t="s">
        <v>1221</v>
      </c>
    </row>
    <row r="1235" spans="2:2" x14ac:dyDescent="0.25">
      <c r="B1235" t="s">
        <v>1222</v>
      </c>
    </row>
    <row r="1236" spans="2:2" x14ac:dyDescent="0.25">
      <c r="B1236" t="s">
        <v>1223</v>
      </c>
    </row>
    <row r="1237" spans="2:2" x14ac:dyDescent="0.25">
      <c r="B1237" t="s">
        <v>1224</v>
      </c>
    </row>
    <row r="1238" spans="2:2" x14ac:dyDescent="0.25">
      <c r="B1238" t="s">
        <v>1225</v>
      </c>
    </row>
    <row r="1239" spans="2:2" x14ac:dyDescent="0.25">
      <c r="B1239" t="s">
        <v>1226</v>
      </c>
    </row>
    <row r="1240" spans="2:2" x14ac:dyDescent="0.25">
      <c r="B1240" t="s">
        <v>1227</v>
      </c>
    </row>
    <row r="1241" spans="2:2" x14ac:dyDescent="0.25">
      <c r="B1241" t="s">
        <v>1228</v>
      </c>
    </row>
    <row r="1242" spans="2:2" x14ac:dyDescent="0.25">
      <c r="B1242" t="s">
        <v>1229</v>
      </c>
    </row>
    <row r="1243" spans="2:2" x14ac:dyDescent="0.25">
      <c r="B1243" t="s">
        <v>1230</v>
      </c>
    </row>
    <row r="1244" spans="2:2" x14ac:dyDescent="0.25">
      <c r="B1244" t="s">
        <v>1231</v>
      </c>
    </row>
    <row r="1245" spans="2:2" x14ac:dyDescent="0.25">
      <c r="B1245" t="s">
        <v>1232</v>
      </c>
    </row>
    <row r="1246" spans="2:2" x14ac:dyDescent="0.25">
      <c r="B1246" t="s">
        <v>1233</v>
      </c>
    </row>
    <row r="1247" spans="2:2" x14ac:dyDescent="0.25">
      <c r="B1247" t="s">
        <v>1234</v>
      </c>
    </row>
    <row r="1248" spans="2:2" x14ac:dyDescent="0.25">
      <c r="B1248" t="s">
        <v>1235</v>
      </c>
    </row>
    <row r="1249" spans="2:2" x14ac:dyDescent="0.25">
      <c r="B1249" t="s">
        <v>1236</v>
      </c>
    </row>
    <row r="1250" spans="2:2" x14ac:dyDescent="0.25">
      <c r="B1250" t="s">
        <v>1237</v>
      </c>
    </row>
    <row r="1251" spans="2:2" x14ac:dyDescent="0.25">
      <c r="B1251" t="s">
        <v>1238</v>
      </c>
    </row>
    <row r="1252" spans="2:2" x14ac:dyDescent="0.25">
      <c r="B1252" t="s">
        <v>1239</v>
      </c>
    </row>
    <row r="1253" spans="2:2" x14ac:dyDescent="0.25">
      <c r="B1253" t="s">
        <v>1240</v>
      </c>
    </row>
    <row r="1254" spans="2:2" x14ac:dyDescent="0.25">
      <c r="B1254" t="s">
        <v>1241</v>
      </c>
    </row>
    <row r="1255" spans="2:2" x14ac:dyDescent="0.25">
      <c r="B1255" t="s">
        <v>1242</v>
      </c>
    </row>
    <row r="1256" spans="2:2" x14ac:dyDescent="0.25">
      <c r="B1256" t="s">
        <v>1243</v>
      </c>
    </row>
    <row r="1257" spans="2:2" x14ac:dyDescent="0.25">
      <c r="B1257" t="s">
        <v>1244</v>
      </c>
    </row>
    <row r="1258" spans="2:2" x14ac:dyDescent="0.25">
      <c r="B1258" t="s">
        <v>1245</v>
      </c>
    </row>
    <row r="1259" spans="2:2" x14ac:dyDescent="0.25">
      <c r="B1259" t="s">
        <v>1246</v>
      </c>
    </row>
    <row r="1260" spans="2:2" x14ac:dyDescent="0.25">
      <c r="B1260" t="s">
        <v>1247</v>
      </c>
    </row>
    <row r="1261" spans="2:2" x14ac:dyDescent="0.25">
      <c r="B1261" t="s">
        <v>1248</v>
      </c>
    </row>
    <row r="1262" spans="2:2" x14ac:dyDescent="0.25">
      <c r="B1262" t="s">
        <v>1249</v>
      </c>
    </row>
    <row r="1263" spans="2:2" x14ac:dyDescent="0.25">
      <c r="B1263" t="s">
        <v>1250</v>
      </c>
    </row>
    <row r="1264" spans="2:2" x14ac:dyDescent="0.25">
      <c r="B1264" t="s">
        <v>1251</v>
      </c>
    </row>
    <row r="1265" spans="2:2" x14ac:dyDescent="0.25">
      <c r="B1265" t="s">
        <v>1252</v>
      </c>
    </row>
    <row r="1266" spans="2:2" x14ac:dyDescent="0.25">
      <c r="B1266" t="s">
        <v>1253</v>
      </c>
    </row>
    <row r="1267" spans="2:2" x14ac:dyDescent="0.25">
      <c r="B1267" t="s">
        <v>1254</v>
      </c>
    </row>
    <row r="1268" spans="2:2" x14ac:dyDescent="0.25">
      <c r="B1268" t="s">
        <v>1255</v>
      </c>
    </row>
    <row r="1269" spans="2:2" x14ac:dyDescent="0.25">
      <c r="B1269" t="s">
        <v>1256</v>
      </c>
    </row>
    <row r="1270" spans="2:2" x14ac:dyDescent="0.25">
      <c r="B1270" t="s">
        <v>1257</v>
      </c>
    </row>
    <row r="1271" spans="2:2" x14ac:dyDescent="0.25">
      <c r="B1271" t="s">
        <v>1258</v>
      </c>
    </row>
    <row r="1272" spans="2:2" x14ac:dyDescent="0.25">
      <c r="B1272" t="s">
        <v>1259</v>
      </c>
    </row>
    <row r="1273" spans="2:2" x14ac:dyDescent="0.25">
      <c r="B1273" t="s">
        <v>1260</v>
      </c>
    </row>
    <row r="1274" spans="2:2" x14ac:dyDescent="0.25">
      <c r="B1274" t="s">
        <v>1261</v>
      </c>
    </row>
    <row r="1275" spans="2:2" x14ac:dyDescent="0.25">
      <c r="B1275" t="s">
        <v>1262</v>
      </c>
    </row>
    <row r="1276" spans="2:2" x14ac:dyDescent="0.25">
      <c r="B1276" t="s">
        <v>1263</v>
      </c>
    </row>
    <row r="1277" spans="2:2" x14ac:dyDescent="0.25">
      <c r="B1277" t="s">
        <v>1264</v>
      </c>
    </row>
    <row r="1278" spans="2:2" x14ac:dyDescent="0.25">
      <c r="B1278" t="s">
        <v>1265</v>
      </c>
    </row>
    <row r="1279" spans="2:2" x14ac:dyDescent="0.25">
      <c r="B1279" t="s">
        <v>1266</v>
      </c>
    </row>
    <row r="1280" spans="2:2" x14ac:dyDescent="0.25">
      <c r="B1280" t="s">
        <v>1267</v>
      </c>
    </row>
    <row r="1281" spans="2:2" x14ac:dyDescent="0.25">
      <c r="B1281" t="s">
        <v>1268</v>
      </c>
    </row>
    <row r="1282" spans="2:2" x14ac:dyDescent="0.25">
      <c r="B1282" t="s">
        <v>1269</v>
      </c>
    </row>
    <row r="1283" spans="2:2" x14ac:dyDescent="0.25">
      <c r="B1283" t="s">
        <v>1270</v>
      </c>
    </row>
    <row r="1284" spans="2:2" x14ac:dyDescent="0.25">
      <c r="B1284" t="s">
        <v>1271</v>
      </c>
    </row>
    <row r="1285" spans="2:2" x14ac:dyDescent="0.25">
      <c r="B1285" t="s">
        <v>1272</v>
      </c>
    </row>
    <row r="1286" spans="2:2" x14ac:dyDescent="0.25">
      <c r="B1286" t="s">
        <v>1273</v>
      </c>
    </row>
    <row r="1287" spans="2:2" x14ac:dyDescent="0.25">
      <c r="B1287" t="s">
        <v>1274</v>
      </c>
    </row>
    <row r="1288" spans="2:2" x14ac:dyDescent="0.25">
      <c r="B1288" t="s">
        <v>1275</v>
      </c>
    </row>
    <row r="1289" spans="2:2" x14ac:dyDescent="0.25">
      <c r="B1289" t="s">
        <v>1276</v>
      </c>
    </row>
    <row r="1290" spans="2:2" x14ac:dyDescent="0.25">
      <c r="B1290" t="s">
        <v>1277</v>
      </c>
    </row>
    <row r="1291" spans="2:2" x14ac:dyDescent="0.25">
      <c r="B1291" t="s">
        <v>1278</v>
      </c>
    </row>
    <row r="1292" spans="2:2" x14ac:dyDescent="0.25">
      <c r="B1292" t="s">
        <v>1279</v>
      </c>
    </row>
    <row r="1293" spans="2:2" x14ac:dyDescent="0.25">
      <c r="B1293" t="s">
        <v>1280</v>
      </c>
    </row>
    <row r="1294" spans="2:2" x14ac:dyDescent="0.25">
      <c r="B1294" t="s">
        <v>1281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C16:C71"/>
  <sheetViews>
    <sheetView workbookViewId="0"/>
  </sheetViews>
  <sheetFormatPr defaultColWidth="11.42578125" defaultRowHeight="15" x14ac:dyDescent="0.25"/>
  <sheetData>
    <row r="16" spans="3:3" x14ac:dyDescent="0.25">
      <c r="C16" t="s">
        <v>1282</v>
      </c>
    </row>
    <row r="17" spans="3:3" x14ac:dyDescent="0.25">
      <c r="C17" t="s">
        <v>1283</v>
      </c>
    </row>
    <row r="18" spans="3:3" x14ac:dyDescent="0.25">
      <c r="C18" t="s">
        <v>1284</v>
      </c>
    </row>
    <row r="19" spans="3:3" x14ac:dyDescent="0.25">
      <c r="C19" t="s">
        <v>1285</v>
      </c>
    </row>
    <row r="20" spans="3:3" x14ac:dyDescent="0.25">
      <c r="C20" t="s">
        <v>1286</v>
      </c>
    </row>
    <row r="21" spans="3:3" x14ac:dyDescent="0.25">
      <c r="C21" t="s">
        <v>1287</v>
      </c>
    </row>
    <row r="22" spans="3:3" x14ac:dyDescent="0.25">
      <c r="C22" t="s">
        <v>1288</v>
      </c>
    </row>
    <row r="23" spans="3:3" x14ac:dyDescent="0.25">
      <c r="C23" t="s">
        <v>1289</v>
      </c>
    </row>
    <row r="24" spans="3:3" x14ac:dyDescent="0.25">
      <c r="C24" t="s">
        <v>1290</v>
      </c>
    </row>
    <row r="25" spans="3:3" x14ac:dyDescent="0.25">
      <c r="C25" t="s">
        <v>1291</v>
      </c>
    </row>
    <row r="26" spans="3:3" x14ac:dyDescent="0.25">
      <c r="C26" t="s">
        <v>1292</v>
      </c>
    </row>
    <row r="27" spans="3:3" x14ac:dyDescent="0.25">
      <c r="C27" t="s">
        <v>1293</v>
      </c>
    </row>
    <row r="28" spans="3:3" x14ac:dyDescent="0.25">
      <c r="C28" t="s">
        <v>1294</v>
      </c>
    </row>
    <row r="29" spans="3:3" x14ac:dyDescent="0.25">
      <c r="C29" t="s">
        <v>1295</v>
      </c>
    </row>
    <row r="30" spans="3:3" x14ac:dyDescent="0.25">
      <c r="C30" t="s">
        <v>1296</v>
      </c>
    </row>
    <row r="31" spans="3:3" x14ac:dyDescent="0.25">
      <c r="C31" t="s">
        <v>1297</v>
      </c>
    </row>
    <row r="32" spans="3:3" x14ac:dyDescent="0.25">
      <c r="C32" t="s">
        <v>1298</v>
      </c>
    </row>
    <row r="33" spans="3:3" x14ac:dyDescent="0.25">
      <c r="C33" t="s">
        <v>1299</v>
      </c>
    </row>
    <row r="34" spans="3:3" x14ac:dyDescent="0.25">
      <c r="C34" t="s">
        <v>1300</v>
      </c>
    </row>
    <row r="35" spans="3:3" x14ac:dyDescent="0.25">
      <c r="C35" t="s">
        <v>1301</v>
      </c>
    </row>
    <row r="36" spans="3:3" x14ac:dyDescent="0.25">
      <c r="C36" t="s">
        <v>1302</v>
      </c>
    </row>
    <row r="37" spans="3:3" x14ac:dyDescent="0.25">
      <c r="C37" t="s">
        <v>1303</v>
      </c>
    </row>
    <row r="38" spans="3:3" x14ac:dyDescent="0.25">
      <c r="C38" t="s">
        <v>1304</v>
      </c>
    </row>
    <row r="39" spans="3:3" x14ac:dyDescent="0.25">
      <c r="C39" t="s">
        <v>1305</v>
      </c>
    </row>
    <row r="40" spans="3:3" x14ac:dyDescent="0.25">
      <c r="C40" t="s">
        <v>1306</v>
      </c>
    </row>
    <row r="41" spans="3:3" x14ac:dyDescent="0.25">
      <c r="C41" t="s">
        <v>1307</v>
      </c>
    </row>
    <row r="42" spans="3:3" x14ac:dyDescent="0.25">
      <c r="C42" t="s">
        <v>1308</v>
      </c>
    </row>
    <row r="43" spans="3:3" x14ac:dyDescent="0.25">
      <c r="C43" t="s">
        <v>1309</v>
      </c>
    </row>
    <row r="44" spans="3:3" x14ac:dyDescent="0.25">
      <c r="C44" t="s">
        <v>1310</v>
      </c>
    </row>
    <row r="45" spans="3:3" x14ac:dyDescent="0.25">
      <c r="C45" t="s">
        <v>1311</v>
      </c>
    </row>
    <row r="46" spans="3:3" x14ac:dyDescent="0.25">
      <c r="C46" t="s">
        <v>1312</v>
      </c>
    </row>
    <row r="47" spans="3:3" x14ac:dyDescent="0.25">
      <c r="C47" t="s">
        <v>1313</v>
      </c>
    </row>
    <row r="48" spans="3:3" x14ac:dyDescent="0.25">
      <c r="C48" t="s">
        <v>1314</v>
      </c>
    </row>
    <row r="49" spans="3:3" x14ac:dyDescent="0.25">
      <c r="C49" t="s">
        <v>1315</v>
      </c>
    </row>
    <row r="50" spans="3:3" x14ac:dyDescent="0.25">
      <c r="C50" t="s">
        <v>1316</v>
      </c>
    </row>
    <row r="51" spans="3:3" x14ac:dyDescent="0.25">
      <c r="C51" t="s">
        <v>1317</v>
      </c>
    </row>
    <row r="52" spans="3:3" x14ac:dyDescent="0.25">
      <c r="C52" t="s">
        <v>1318</v>
      </c>
    </row>
    <row r="53" spans="3:3" x14ac:dyDescent="0.25">
      <c r="C53" t="s">
        <v>1319</v>
      </c>
    </row>
    <row r="54" spans="3:3" x14ac:dyDescent="0.25">
      <c r="C54" t="s">
        <v>1320</v>
      </c>
    </row>
    <row r="55" spans="3:3" x14ac:dyDescent="0.25">
      <c r="C55" t="s">
        <v>1321</v>
      </c>
    </row>
    <row r="56" spans="3:3" x14ac:dyDescent="0.25">
      <c r="C56" t="s">
        <v>1322</v>
      </c>
    </row>
    <row r="57" spans="3:3" x14ac:dyDescent="0.25">
      <c r="C57" t="s">
        <v>1323</v>
      </c>
    </row>
    <row r="58" spans="3:3" x14ac:dyDescent="0.25">
      <c r="C58" t="s">
        <v>1324</v>
      </c>
    </row>
    <row r="59" spans="3:3" x14ac:dyDescent="0.25">
      <c r="C59" t="s">
        <v>1325</v>
      </c>
    </row>
    <row r="60" spans="3:3" x14ac:dyDescent="0.25">
      <c r="C60" t="s">
        <v>1326</v>
      </c>
    </row>
    <row r="61" spans="3:3" x14ac:dyDescent="0.25">
      <c r="C61" t="s">
        <v>1327</v>
      </c>
    </row>
    <row r="62" spans="3:3" x14ac:dyDescent="0.25">
      <c r="C62" t="s">
        <v>1328</v>
      </c>
    </row>
    <row r="63" spans="3:3" x14ac:dyDescent="0.25">
      <c r="C63" t="s">
        <v>1329</v>
      </c>
    </row>
    <row r="64" spans="3:3" x14ac:dyDescent="0.25">
      <c r="C64" t="s">
        <v>1330</v>
      </c>
    </row>
    <row r="65" spans="3:3" x14ac:dyDescent="0.25">
      <c r="C65" t="s">
        <v>1331</v>
      </c>
    </row>
    <row r="66" spans="3:3" x14ac:dyDescent="0.25">
      <c r="C66" t="s">
        <v>1332</v>
      </c>
    </row>
    <row r="67" spans="3:3" x14ac:dyDescent="0.25">
      <c r="C67" t="s">
        <v>1333</v>
      </c>
    </row>
    <row r="68" spans="3:3" x14ac:dyDescent="0.25">
      <c r="C68" t="s">
        <v>1334</v>
      </c>
    </row>
    <row r="69" spans="3:3" x14ac:dyDescent="0.25">
      <c r="C69" t="s">
        <v>1335</v>
      </c>
    </row>
    <row r="70" spans="3:3" x14ac:dyDescent="0.25">
      <c r="C70" t="s">
        <v>1336</v>
      </c>
    </row>
    <row r="71" spans="3:3" x14ac:dyDescent="0.25">
      <c r="C71" t="s">
        <v>1337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2:D16"/>
  <sheetViews>
    <sheetView workbookViewId="0"/>
  </sheetViews>
  <sheetFormatPr defaultColWidth="11.42578125" defaultRowHeight="15" x14ac:dyDescent="0.25"/>
  <cols>
    <col min="1" max="1" width="27.5703125" bestFit="1" customWidth="1"/>
  </cols>
  <sheetData>
    <row r="2" spans="1:4" x14ac:dyDescent="0.25">
      <c r="A2" t="s">
        <v>1338</v>
      </c>
      <c r="B2" t="s">
        <v>1360</v>
      </c>
    </row>
    <row r="3" spans="1:4" x14ac:dyDescent="0.25">
      <c r="A3" t="s">
        <v>1339</v>
      </c>
      <c r="B3" t="s">
        <v>1357</v>
      </c>
    </row>
    <row r="4" spans="1:4" x14ac:dyDescent="0.25">
      <c r="A4" t="s">
        <v>1354</v>
      </c>
      <c r="B4" t="s">
        <v>1356</v>
      </c>
    </row>
    <row r="5" spans="1:4" x14ac:dyDescent="0.25">
      <c r="A5" t="s">
        <v>1355</v>
      </c>
      <c r="B5" t="s">
        <v>1359</v>
      </c>
    </row>
    <row r="6" spans="1:4" x14ac:dyDescent="0.25">
      <c r="A6" t="s">
        <v>1353</v>
      </c>
      <c r="B6" t="s">
        <v>1358</v>
      </c>
    </row>
    <row r="15" spans="1:4" x14ac:dyDescent="0.25">
      <c r="D15" t="s">
        <v>1338</v>
      </c>
    </row>
    <row r="16" spans="1:4" x14ac:dyDescent="0.25">
      <c r="D16" t="s">
        <v>1339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E6B3FBA-9264-4518-99BA-8F8B21AFFF65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DD8EF885-AA1F-48DF-AF59-B5CE9753A4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9CADC29-050E-4B7E-BEFD-6B6902537FD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f2833bd4-76a4-4301-b3d7-e03c8129f24a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76FEBE1-67BB-4E07-BBCD-84E2B5AE45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ST Weighting Rate</vt:lpstr>
      <vt:lpstr>Variables</vt:lpstr>
      <vt:lpstr>{AR}01</vt:lpstr>
      <vt:lpstr>{AR}11</vt:lpstr>
      <vt:lpstr>{AR}21</vt:lpstr>
      <vt:lpstr>Flag</vt:lpstr>
      <vt:lpstr>PHASE_LTP</vt:lpstr>
      <vt:lpstr>Server</vt:lpstr>
      <vt:lpstr>'ST Weighting Rate'!TM1RPTDATARNGARPT1</vt:lpstr>
      <vt:lpstr>'ST Weighting Rate'!TM1RPTFMTIDCOL</vt:lpstr>
      <vt:lpstr>'ST Weighting Rate'!TM1RPTFMTRNG</vt:lpstr>
      <vt:lpstr>xActualLTP</vt:lpstr>
      <vt:lpstr>xCountry</vt:lpstr>
      <vt:lpstr>xCountryInit</vt:lpstr>
      <vt:lpstr>xHost</vt:lpstr>
      <vt:lpstr>xLTPComponent</vt:lpstr>
      <vt:lpstr>xPhase</vt:lpstr>
      <vt:lpstr>xServer</vt:lpstr>
      <vt:lpstr>xStart</vt:lpstr>
      <vt:lpstr>xStartFormula</vt:lpstr>
      <vt:lpstr>YEAR_LTP</vt:lpstr>
      <vt:lpstr>YEAR_SELECTED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TABOUMENT, Bruno</dc:creator>
  <cp:lastModifiedBy>ADM-Mehdi.TAHERALY</cp:lastModifiedBy>
  <dcterms:created xsi:type="dcterms:W3CDTF">2021-05-31T15:06:05Z</dcterms:created>
  <dcterms:modified xsi:type="dcterms:W3CDTF">2022-08-11T12:37:13Z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