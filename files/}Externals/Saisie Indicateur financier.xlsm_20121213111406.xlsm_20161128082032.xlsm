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5" windowWidth="8655" windowHeight="8835" tabRatio="852" firstSheet="1" activeTab="1"/>
  </bookViews>
  <sheets>
    <sheet name="Context" sheetId="66" state="hidden" r:id="rId1"/>
    <sheet name="PL_Saisie_Realise_Budget" sheetId="58" r:id="rId2"/>
  </sheets>
  <functionGroups builtInGroupCount="17"/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ForecastAdmin">Context!$B$14</definedName>
    <definedName name="ActualMonth">Context!$B$13</definedName>
    <definedName name="ActualMonthYTD">Context!$F$13</definedName>
    <definedName name="ActualYear">Context!$C$13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PL_Saisie_Realise_Budget!$I$22:$Z$437</definedName>
    <definedName name="AutoRefresh_PL_Saisie_Realise_Budget">PL_Saisie_Realise_Budget!$F$1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COM_pl_1">PL_Saisie_Realise_Budget!$E$442</definedName>
    <definedName name="DBS_COM_pl_2">PL_Saisie_Realise_Budget!$E$443</definedName>
    <definedName name="DBS_COM_pl_3">PL_Saisie_Realise_Budget!$E$444</definedName>
    <definedName name="DBS_COM_pl_4">PL_Saisie_Realise_Budget!$E$445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irst_Flag_Indicator">PL_Saisie_Realise_Budget!$A$25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Context!$B$16:$B$17</definedName>
    <definedName name="Last_Flag_Indicator">PL_Saisie_Realise_Budget!$A$437</definedName>
    <definedName name="LocalLanguage">Context!$B$15</definedName>
    <definedName name="LocalLanguage2">Context!$C$15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Context!$B$21:$B$23</definedName>
    <definedName name="_xlnm.Print_Area" localSheetId="1">PL_Saisie_Realise_Budget!$D$8:$AA$447</definedName>
    <definedName name="_xlnm.Print_Titles" localSheetId="1">PL_Saisie_Realise_Budget!$9:$23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Context!$B$6</definedName>
    <definedName name="xServer">Context!$B$5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F13" i="58" l="1"/>
  <c r="F14" i="58"/>
  <c r="F15" i="58"/>
  <c r="F16" i="58"/>
  <c r="F17" i="58"/>
  <c r="F18" i="58"/>
  <c r="F19" i="58"/>
  <c r="F20" i="58"/>
  <c r="A318" i="58"/>
  <c r="A317" i="58"/>
  <c r="A316" i="58"/>
  <c r="A326" i="58"/>
  <c r="A323" i="58"/>
  <c r="A322" i="58"/>
  <c r="A321" i="58"/>
  <c r="A320" i="58"/>
  <c r="A319" i="58"/>
  <c r="A315" i="58"/>
  <c r="A314" i="58"/>
  <c r="A313" i="58"/>
  <c r="A312" i="58"/>
  <c r="A311" i="58"/>
  <c r="A309" i="58"/>
  <c r="A308" i="58"/>
  <c r="A307" i="58"/>
  <c r="A306" i="58"/>
  <c r="A305" i="58"/>
  <c r="A304" i="58"/>
  <c r="A303" i="58"/>
  <c r="A302" i="58"/>
  <c r="A301" i="58"/>
  <c r="A300" i="58"/>
  <c r="A299" i="58"/>
  <c r="A298" i="58"/>
  <c r="A297" i="58"/>
  <c r="C16" i="58"/>
  <c r="B13" i="66"/>
  <c r="C13" i="66"/>
  <c r="AJ10" i="58"/>
  <c r="G3" i="58"/>
  <c r="L2" i="58"/>
  <c r="H3" i="58"/>
  <c r="I2" i="58"/>
  <c r="B15" i="66"/>
  <c r="C15" i="66"/>
  <c r="Z2" i="58"/>
  <c r="F4" i="58"/>
  <c r="N1" i="58"/>
  <c r="Z429" i="58"/>
  <c r="Y2" i="58"/>
  <c r="Y429" i="58"/>
  <c r="X2" i="58"/>
  <c r="X429" i="58"/>
  <c r="W2" i="58"/>
  <c r="W429" i="58"/>
  <c r="V2" i="58"/>
  <c r="V429" i="58"/>
  <c r="U2" i="58"/>
  <c r="U429" i="58"/>
  <c r="T2" i="58"/>
  <c r="T429" i="58"/>
  <c r="S2" i="58"/>
  <c r="S429" i="58"/>
  <c r="R2" i="58"/>
  <c r="R429" i="58"/>
  <c r="Q2" i="58"/>
  <c r="Q429" i="58"/>
  <c r="P2" i="58"/>
  <c r="P429" i="58"/>
  <c r="O2" i="58"/>
  <c r="O429" i="58"/>
  <c r="N2" i="58"/>
  <c r="N429" i="58"/>
  <c r="Z430" i="58"/>
  <c r="Y430" i="58"/>
  <c r="X430" i="58"/>
  <c r="W430" i="58"/>
  <c r="V430" i="58"/>
  <c r="U430" i="58"/>
  <c r="T430" i="58"/>
  <c r="S430" i="58"/>
  <c r="R430" i="58"/>
  <c r="Q430" i="58"/>
  <c r="P430" i="58"/>
  <c r="O430" i="58"/>
  <c r="N430" i="58"/>
  <c r="AK13" i="58"/>
  <c r="J2" i="58"/>
  <c r="J1" i="58"/>
  <c r="J429" i="58"/>
  <c r="I429" i="58"/>
  <c r="L1" i="58"/>
  <c r="L429" i="58"/>
  <c r="L430" i="58"/>
  <c r="J430" i="58"/>
  <c r="I430" i="58"/>
  <c r="E431" i="58"/>
  <c r="E430" i="58"/>
  <c r="E429" i="58"/>
  <c r="AN35" i="58"/>
  <c r="A430" i="58"/>
  <c r="A429" i="58"/>
  <c r="E445" i="58"/>
  <c r="E444" i="58"/>
  <c r="E443" i="58"/>
  <c r="E442" i="58"/>
  <c r="J419" i="58"/>
  <c r="E419" i="58"/>
  <c r="AK12" i="58"/>
  <c r="Z418" i="58"/>
  <c r="Y418" i="58"/>
  <c r="X418" i="58"/>
  <c r="W418" i="58"/>
  <c r="V418" i="58"/>
  <c r="U418" i="58"/>
  <c r="T418" i="58"/>
  <c r="S418" i="58"/>
  <c r="R418" i="58"/>
  <c r="Q418" i="58"/>
  <c r="P418" i="58"/>
  <c r="O418" i="58"/>
  <c r="N418" i="58"/>
  <c r="L418" i="58"/>
  <c r="J418" i="58"/>
  <c r="I418" i="58"/>
  <c r="E418" i="58"/>
  <c r="A418" i="58"/>
  <c r="E398" i="58"/>
  <c r="B63" i="58"/>
  <c r="B5" i="66"/>
  <c r="A26" i="58"/>
  <c r="A27" i="58"/>
  <c r="AQ35" i="58"/>
  <c r="AT35" i="58"/>
  <c r="A28" i="58"/>
  <c r="A29" i="58"/>
  <c r="A30" i="58"/>
  <c r="A31" i="58"/>
  <c r="A32" i="58"/>
  <c r="A33" i="58"/>
  <c r="A34" i="58"/>
  <c r="A35" i="58"/>
  <c r="B36" i="58"/>
  <c r="A36" i="58"/>
  <c r="B37" i="58"/>
  <c r="A37" i="58"/>
  <c r="B38" i="58"/>
  <c r="A38" i="58"/>
  <c r="B39" i="58"/>
  <c r="A39" i="58"/>
  <c r="B40" i="58"/>
  <c r="A40" i="58"/>
  <c r="B41" i="58"/>
  <c r="A41" i="58"/>
  <c r="B42" i="58"/>
  <c r="A42" i="58"/>
  <c r="B43" i="58"/>
  <c r="A43" i="58"/>
  <c r="B44" i="58"/>
  <c r="A44" i="58"/>
  <c r="B45" i="58"/>
  <c r="A45" i="58"/>
  <c r="B46" i="58"/>
  <c r="A46" i="58"/>
  <c r="B47" i="58"/>
  <c r="A47" i="58"/>
  <c r="B48" i="58"/>
  <c r="A48" i="58"/>
  <c r="A49" i="58"/>
  <c r="B50" i="58"/>
  <c r="A50" i="58"/>
  <c r="B51" i="58"/>
  <c r="A51" i="58"/>
  <c r="B52" i="58"/>
  <c r="A52" i="58"/>
  <c r="B53" i="58"/>
  <c r="A53" i="58"/>
  <c r="B54" i="58"/>
  <c r="A54" i="58"/>
  <c r="B55" i="58"/>
  <c r="A55" i="58"/>
  <c r="B56" i="58"/>
  <c r="A56" i="58"/>
  <c r="B57" i="58"/>
  <c r="A57" i="58"/>
  <c r="B58" i="58"/>
  <c r="A58" i="58"/>
  <c r="B59" i="58"/>
  <c r="A59" i="58"/>
  <c r="B60" i="58"/>
  <c r="A60" i="58"/>
  <c r="B61" i="58"/>
  <c r="A61" i="58"/>
  <c r="B62" i="58"/>
  <c r="A62" i="58"/>
  <c r="A63" i="58"/>
  <c r="B64" i="58"/>
  <c r="A64" i="58"/>
  <c r="B65" i="58"/>
  <c r="A65" i="58"/>
  <c r="B66" i="58"/>
  <c r="A66" i="58"/>
  <c r="B67" i="58"/>
  <c r="A67" i="58"/>
  <c r="B68" i="58"/>
  <c r="A68" i="58"/>
  <c r="B69" i="58"/>
  <c r="A69" i="58"/>
  <c r="B70" i="58"/>
  <c r="A70" i="58"/>
  <c r="B71" i="58"/>
  <c r="A71" i="58"/>
  <c r="B72" i="58"/>
  <c r="A72" i="58"/>
  <c r="B73" i="58"/>
  <c r="A73" i="58"/>
  <c r="B74" i="58"/>
  <c r="A74" i="58"/>
  <c r="B75" i="58"/>
  <c r="A75" i="58"/>
  <c r="B76" i="58"/>
  <c r="A76" i="58"/>
  <c r="A77" i="58"/>
  <c r="B78" i="58"/>
  <c r="A78" i="58"/>
  <c r="B79" i="58"/>
  <c r="A79" i="58"/>
  <c r="B80" i="58"/>
  <c r="A80" i="58"/>
  <c r="B81" i="58"/>
  <c r="A81" i="58"/>
  <c r="B82" i="58"/>
  <c r="A82" i="58"/>
  <c r="B83" i="58"/>
  <c r="A83" i="58"/>
  <c r="B84" i="58"/>
  <c r="A84" i="58"/>
  <c r="B85" i="58"/>
  <c r="A85" i="58"/>
  <c r="B86" i="58"/>
  <c r="A86" i="58"/>
  <c r="B87" i="58"/>
  <c r="A87" i="58"/>
  <c r="B88" i="58"/>
  <c r="A88" i="58"/>
  <c r="B89" i="58"/>
  <c r="A89" i="58"/>
  <c r="B90" i="58"/>
  <c r="A90" i="58"/>
  <c r="A91" i="58"/>
  <c r="B92" i="58"/>
  <c r="A92" i="58"/>
  <c r="B93" i="58"/>
  <c r="A93" i="58"/>
  <c r="B94" i="58"/>
  <c r="A94" i="58"/>
  <c r="B95" i="58"/>
  <c r="A95" i="58"/>
  <c r="B96" i="58"/>
  <c r="A96" i="58"/>
  <c r="B97" i="58"/>
  <c r="A97" i="58"/>
  <c r="B98" i="58"/>
  <c r="A98" i="58"/>
  <c r="B99" i="58"/>
  <c r="A99" i="58"/>
  <c r="B100" i="58"/>
  <c r="A100" i="58"/>
  <c r="B101" i="58"/>
  <c r="A101" i="58"/>
  <c r="B102" i="58"/>
  <c r="A102" i="58"/>
  <c r="B103" i="58"/>
  <c r="A103" i="58"/>
  <c r="B104" i="58"/>
  <c r="A104" i="58"/>
  <c r="A105" i="58"/>
  <c r="A106" i="58"/>
  <c r="B107" i="58"/>
  <c r="A107" i="58"/>
  <c r="B108" i="58"/>
  <c r="A108" i="58"/>
  <c r="B109" i="58"/>
  <c r="A109" i="58"/>
  <c r="B110" i="58"/>
  <c r="A110" i="58"/>
  <c r="B111" i="58"/>
  <c r="A111" i="58"/>
  <c r="B112" i="58"/>
  <c r="A112" i="58"/>
  <c r="B113" i="58"/>
  <c r="A113" i="58"/>
  <c r="B114" i="58"/>
  <c r="A114" i="58"/>
  <c r="B115" i="58"/>
  <c r="A115" i="58"/>
  <c r="B116" i="58"/>
  <c r="A116" i="58"/>
  <c r="B117" i="58"/>
  <c r="A117" i="58"/>
  <c r="B118" i="58"/>
  <c r="A118" i="58"/>
  <c r="B119" i="58"/>
  <c r="A119" i="58"/>
  <c r="A120" i="58"/>
  <c r="B121" i="58"/>
  <c r="A121" i="58"/>
  <c r="B122" i="58"/>
  <c r="A122" i="58"/>
  <c r="B123" i="58"/>
  <c r="A123" i="58"/>
  <c r="B124" i="58"/>
  <c r="A124" i="58"/>
  <c r="B125" i="58"/>
  <c r="A125" i="58"/>
  <c r="B126" i="58"/>
  <c r="A126" i="58"/>
  <c r="B127" i="58"/>
  <c r="A127" i="58"/>
  <c r="B128" i="58"/>
  <c r="A128" i="58"/>
  <c r="B129" i="58"/>
  <c r="A129" i="58"/>
  <c r="B130" i="58"/>
  <c r="A130" i="58"/>
  <c r="B131" i="58"/>
  <c r="A131" i="58"/>
  <c r="B132" i="58"/>
  <c r="A132" i="58"/>
  <c r="B133" i="58"/>
  <c r="A133" i="58"/>
  <c r="A134" i="58"/>
  <c r="B135" i="58"/>
  <c r="A135" i="58"/>
  <c r="B136" i="58"/>
  <c r="A136" i="58"/>
  <c r="B137" i="58"/>
  <c r="A137" i="58"/>
  <c r="B138" i="58"/>
  <c r="A138" i="58"/>
  <c r="B139" i="58"/>
  <c r="A139" i="58"/>
  <c r="B140" i="58"/>
  <c r="A140" i="58"/>
  <c r="B141" i="58"/>
  <c r="A141" i="58"/>
  <c r="B142" i="58"/>
  <c r="A142" i="58"/>
  <c r="B143" i="58"/>
  <c r="A143" i="58"/>
  <c r="B144" i="58"/>
  <c r="A144" i="58"/>
  <c r="B145" i="58"/>
  <c r="A145" i="58"/>
  <c r="B146" i="58"/>
  <c r="A146" i="58"/>
  <c r="B147" i="58"/>
  <c r="A147" i="58"/>
  <c r="A148" i="58"/>
  <c r="B149" i="58"/>
  <c r="A149" i="58"/>
  <c r="B150" i="58"/>
  <c r="A150" i="58"/>
  <c r="B151" i="58"/>
  <c r="A151" i="58"/>
  <c r="B152" i="58"/>
  <c r="A152" i="58"/>
  <c r="B153" i="58"/>
  <c r="A153" i="58"/>
  <c r="B154" i="58"/>
  <c r="A154" i="58"/>
  <c r="B155" i="58"/>
  <c r="A155" i="58"/>
  <c r="B156" i="58"/>
  <c r="A156" i="58"/>
  <c r="B157" i="58"/>
  <c r="A157" i="58"/>
  <c r="B158" i="58"/>
  <c r="A158" i="58"/>
  <c r="B159" i="58"/>
  <c r="A159" i="58"/>
  <c r="B160" i="58"/>
  <c r="A160" i="58"/>
  <c r="B161" i="58"/>
  <c r="A161" i="58"/>
  <c r="A162" i="58"/>
  <c r="B163" i="58"/>
  <c r="A163" i="58"/>
  <c r="B164" i="58"/>
  <c r="A164" i="58"/>
  <c r="B165" i="58"/>
  <c r="A165" i="58"/>
  <c r="B166" i="58"/>
  <c r="A166" i="58"/>
  <c r="B167" i="58"/>
  <c r="A167" i="58"/>
  <c r="B168" i="58"/>
  <c r="A168" i="58"/>
  <c r="B169" i="58"/>
  <c r="A169" i="58"/>
  <c r="B170" i="58"/>
  <c r="A170" i="58"/>
  <c r="B171" i="58"/>
  <c r="A171" i="58"/>
  <c r="B172" i="58"/>
  <c r="A172" i="58"/>
  <c r="B173" i="58"/>
  <c r="A173" i="58"/>
  <c r="B174" i="58"/>
  <c r="A174" i="58"/>
  <c r="B175" i="58"/>
  <c r="A175" i="58"/>
  <c r="A176" i="58"/>
  <c r="B177" i="58"/>
  <c r="A177" i="58"/>
  <c r="B178" i="58"/>
  <c r="A178" i="58"/>
  <c r="B179" i="58"/>
  <c r="A179" i="58"/>
  <c r="B180" i="58"/>
  <c r="A180" i="58"/>
  <c r="B181" i="58"/>
  <c r="A181" i="58"/>
  <c r="B182" i="58"/>
  <c r="A182" i="58"/>
  <c r="B183" i="58"/>
  <c r="A183" i="58"/>
  <c r="B184" i="58"/>
  <c r="A184" i="58"/>
  <c r="B185" i="58"/>
  <c r="A185" i="58"/>
  <c r="B186" i="58"/>
  <c r="A186" i="58"/>
  <c r="B187" i="58"/>
  <c r="A187" i="58"/>
  <c r="B188" i="58"/>
  <c r="A188" i="58"/>
  <c r="B189" i="58"/>
  <c r="A189" i="58"/>
  <c r="A190" i="58"/>
  <c r="B191" i="58"/>
  <c r="A191" i="58"/>
  <c r="B192" i="58"/>
  <c r="A192" i="58"/>
  <c r="B193" i="58"/>
  <c r="A193" i="58"/>
  <c r="B194" i="58"/>
  <c r="A194" i="58"/>
  <c r="B195" i="58"/>
  <c r="A195" i="58"/>
  <c r="B196" i="58"/>
  <c r="A196" i="58"/>
  <c r="B197" i="58"/>
  <c r="A197" i="58"/>
  <c r="B198" i="58"/>
  <c r="A198" i="58"/>
  <c r="B199" i="58"/>
  <c r="A199" i="58"/>
  <c r="B200" i="58"/>
  <c r="A200" i="58"/>
  <c r="B201" i="58"/>
  <c r="A201" i="58"/>
  <c r="B202" i="58"/>
  <c r="A202" i="58"/>
  <c r="B203" i="58"/>
  <c r="A203" i="58"/>
  <c r="A204" i="58"/>
  <c r="B205" i="58"/>
  <c r="A205" i="58"/>
  <c r="B206" i="58"/>
  <c r="A206" i="58"/>
  <c r="B207" i="58"/>
  <c r="A207" i="58"/>
  <c r="B208" i="58"/>
  <c r="A208" i="58"/>
  <c r="B209" i="58"/>
  <c r="A209" i="58"/>
  <c r="B210" i="58"/>
  <c r="A210" i="58"/>
  <c r="B211" i="58"/>
  <c r="A211" i="58"/>
  <c r="B212" i="58"/>
  <c r="A212" i="58"/>
  <c r="B213" i="58"/>
  <c r="A213" i="58"/>
  <c r="B214" i="58"/>
  <c r="A214" i="58"/>
  <c r="B215" i="58"/>
  <c r="A215" i="58"/>
  <c r="B216" i="58"/>
  <c r="A216" i="58"/>
  <c r="B217" i="58"/>
  <c r="A217" i="58"/>
  <c r="A218" i="58"/>
  <c r="B219" i="58"/>
  <c r="A219" i="58"/>
  <c r="A220" i="58"/>
  <c r="A221" i="58"/>
  <c r="B222" i="58"/>
  <c r="A222" i="58"/>
  <c r="A223" i="58"/>
  <c r="B224" i="58"/>
  <c r="A224" i="58"/>
  <c r="A225" i="58"/>
  <c r="B226" i="58"/>
  <c r="A226" i="58"/>
  <c r="B227" i="58"/>
  <c r="A227" i="58"/>
  <c r="B228" i="58"/>
  <c r="A228" i="58"/>
  <c r="B229" i="58"/>
  <c r="A229" i="58"/>
  <c r="B230" i="58"/>
  <c r="A230" i="58"/>
  <c r="B231" i="58"/>
  <c r="A231" i="58"/>
  <c r="B232" i="58"/>
  <c r="A232" i="58"/>
  <c r="B233" i="58"/>
  <c r="A233" i="58"/>
  <c r="B234" i="58"/>
  <c r="A234" i="58"/>
  <c r="B235" i="58"/>
  <c r="A235" i="58"/>
  <c r="B236" i="58"/>
  <c r="A236" i="58"/>
  <c r="A237" i="58"/>
  <c r="B238" i="58"/>
  <c r="A238" i="58"/>
  <c r="B239" i="58"/>
  <c r="A239" i="58"/>
  <c r="B240" i="58"/>
  <c r="A240" i="58"/>
  <c r="B241" i="58"/>
  <c r="A241" i="58"/>
  <c r="B242" i="58"/>
  <c r="A242" i="58"/>
  <c r="B243" i="58"/>
  <c r="A243" i="58"/>
  <c r="B244" i="58"/>
  <c r="A244" i="58"/>
  <c r="B245" i="58"/>
  <c r="A245" i="58"/>
  <c r="B246" i="58"/>
  <c r="A246" i="58"/>
  <c r="B247" i="58"/>
  <c r="A247" i="58"/>
  <c r="B248" i="58"/>
  <c r="A248" i="58"/>
  <c r="B249" i="58"/>
  <c r="A249" i="58"/>
  <c r="B250" i="58"/>
  <c r="A250" i="58"/>
  <c r="A251" i="58"/>
  <c r="B252" i="58"/>
  <c r="A252" i="58"/>
  <c r="B253" i="58"/>
  <c r="A253" i="58"/>
  <c r="B254" i="58"/>
  <c r="A254" i="58"/>
  <c r="B255" i="58"/>
  <c r="A255" i="58"/>
  <c r="B256" i="58"/>
  <c r="A256" i="58"/>
  <c r="B257" i="58"/>
  <c r="A257" i="58"/>
  <c r="B258" i="58"/>
  <c r="A258" i="58"/>
  <c r="B259" i="58"/>
  <c r="A259" i="58"/>
  <c r="B260" i="58"/>
  <c r="A260" i="58"/>
  <c r="B261" i="58"/>
  <c r="A261" i="58"/>
  <c r="B262" i="58"/>
  <c r="A262" i="58"/>
  <c r="B263" i="58"/>
  <c r="A263" i="58"/>
  <c r="B264" i="58"/>
  <c r="A264" i="58"/>
  <c r="A265" i="58"/>
  <c r="A266" i="58"/>
  <c r="B267" i="58"/>
  <c r="A267" i="58"/>
  <c r="B268" i="58"/>
  <c r="A268" i="58"/>
  <c r="B269" i="58"/>
  <c r="A269" i="58"/>
  <c r="B270" i="58"/>
  <c r="A270" i="58"/>
  <c r="B271" i="58"/>
  <c r="A271" i="58"/>
  <c r="B272" i="58"/>
  <c r="A272" i="58"/>
  <c r="B273" i="58"/>
  <c r="A273" i="58"/>
  <c r="B274" i="58"/>
  <c r="A274" i="58"/>
  <c r="B275" i="58"/>
  <c r="A275" i="58"/>
  <c r="B276" i="58"/>
  <c r="A276" i="58"/>
  <c r="B277" i="58"/>
  <c r="A277" i="58"/>
  <c r="B278" i="58"/>
  <c r="A278" i="58"/>
  <c r="B279" i="58"/>
  <c r="A279" i="58"/>
  <c r="A280" i="58"/>
  <c r="B281" i="58"/>
  <c r="A281" i="58"/>
  <c r="B282" i="58"/>
  <c r="A282" i="58"/>
  <c r="B283" i="58"/>
  <c r="A283" i="58"/>
  <c r="B284" i="58"/>
  <c r="A284" i="58"/>
  <c r="B285" i="58"/>
  <c r="A285" i="58"/>
  <c r="B286" i="58"/>
  <c r="A286" i="58"/>
  <c r="B287" i="58"/>
  <c r="A287" i="58"/>
  <c r="B288" i="58"/>
  <c r="A288" i="58"/>
  <c r="B289" i="58"/>
  <c r="A289" i="58"/>
  <c r="B290" i="58"/>
  <c r="A290" i="58"/>
  <c r="B291" i="58"/>
  <c r="A291" i="58"/>
  <c r="B292" i="58"/>
  <c r="A292" i="58"/>
  <c r="B293" i="58"/>
  <c r="A293" i="58"/>
  <c r="A294" i="58"/>
  <c r="A295" i="58"/>
  <c r="A296" i="58"/>
  <c r="B297" i="58"/>
  <c r="B298" i="58"/>
  <c r="B299" i="58"/>
  <c r="B300" i="58"/>
  <c r="B301" i="58"/>
  <c r="B302" i="58"/>
  <c r="B303" i="58"/>
  <c r="B304" i="58"/>
  <c r="B305" i="58"/>
  <c r="B306" i="58"/>
  <c r="B307" i="58"/>
  <c r="B308" i="58"/>
  <c r="B309" i="58"/>
  <c r="A310" i="58"/>
  <c r="B311" i="58"/>
  <c r="B312" i="58"/>
  <c r="B313" i="58"/>
  <c r="B314" i="58"/>
  <c r="B315" i="58"/>
  <c r="B316" i="58"/>
  <c r="B317" i="58"/>
  <c r="B318" i="58"/>
  <c r="B319" i="58"/>
  <c r="B320" i="58"/>
  <c r="B321" i="58"/>
  <c r="B322" i="58"/>
  <c r="B323" i="58"/>
  <c r="A324" i="58"/>
  <c r="A325" i="58"/>
  <c r="B326" i="58"/>
  <c r="B327" i="58"/>
  <c r="A327" i="58"/>
  <c r="B328" i="58"/>
  <c r="A328" i="58"/>
  <c r="B329" i="58"/>
  <c r="A329" i="58"/>
  <c r="B330" i="58"/>
  <c r="A330" i="58"/>
  <c r="B331" i="58"/>
  <c r="A331" i="58"/>
  <c r="B332" i="58"/>
  <c r="A332" i="58"/>
  <c r="B333" i="58"/>
  <c r="A333" i="58"/>
  <c r="B334" i="58"/>
  <c r="A334" i="58"/>
  <c r="B335" i="58"/>
  <c r="A335" i="58"/>
  <c r="B336" i="58"/>
  <c r="A336" i="58"/>
  <c r="B337" i="58"/>
  <c r="A337" i="58"/>
  <c r="B338" i="58"/>
  <c r="A338" i="58"/>
  <c r="A339" i="58"/>
  <c r="B340" i="58"/>
  <c r="A340" i="58"/>
  <c r="B341" i="58"/>
  <c r="A341" i="58"/>
  <c r="B342" i="58"/>
  <c r="A342" i="58"/>
  <c r="B343" i="58"/>
  <c r="A343" i="58"/>
  <c r="B344" i="58"/>
  <c r="A344" i="58"/>
  <c r="B345" i="58"/>
  <c r="A345" i="58"/>
  <c r="B346" i="58"/>
  <c r="A346" i="58"/>
  <c r="B347" i="58"/>
  <c r="A347" i="58"/>
  <c r="B348" i="58"/>
  <c r="A348" i="58"/>
  <c r="B349" i="58"/>
  <c r="A349" i="58"/>
  <c r="B350" i="58"/>
  <c r="A350" i="58"/>
  <c r="B351" i="58"/>
  <c r="A351" i="58"/>
  <c r="B352" i="58"/>
  <c r="A352" i="58"/>
  <c r="A353" i="58"/>
  <c r="B354" i="58"/>
  <c r="A354" i="58"/>
  <c r="B355" i="58"/>
  <c r="A355" i="58"/>
  <c r="B356" i="58"/>
  <c r="A356" i="58"/>
  <c r="B357" i="58"/>
  <c r="A357" i="58"/>
  <c r="B358" i="58"/>
  <c r="A358" i="58"/>
  <c r="B359" i="58"/>
  <c r="A359" i="58"/>
  <c r="B360" i="58"/>
  <c r="A360" i="58"/>
  <c r="B361" i="58"/>
  <c r="A361" i="58"/>
  <c r="B362" i="58"/>
  <c r="A362" i="58"/>
  <c r="B363" i="58"/>
  <c r="A363" i="58"/>
  <c r="B364" i="58"/>
  <c r="A364" i="58"/>
  <c r="B365" i="58"/>
  <c r="A365" i="58"/>
  <c r="B366" i="58"/>
  <c r="A366" i="58"/>
  <c r="A367" i="58"/>
  <c r="A368" i="58"/>
  <c r="B369" i="58"/>
  <c r="A369" i="58"/>
  <c r="B370" i="58"/>
  <c r="A370" i="58"/>
  <c r="B371" i="58"/>
  <c r="A371" i="58"/>
  <c r="B372" i="58"/>
  <c r="A372" i="58"/>
  <c r="B373" i="58"/>
  <c r="A373" i="58"/>
  <c r="B374" i="58"/>
  <c r="A374" i="58"/>
  <c r="B375" i="58"/>
  <c r="A375" i="58"/>
  <c r="B376" i="58"/>
  <c r="A376" i="58"/>
  <c r="B377" i="58"/>
  <c r="A377" i="58"/>
  <c r="B378" i="58"/>
  <c r="A378" i="58"/>
  <c r="B379" i="58"/>
  <c r="A379" i="58"/>
  <c r="B380" i="58"/>
  <c r="A380" i="58"/>
  <c r="B381" i="58"/>
  <c r="A381" i="58"/>
  <c r="A382" i="58"/>
  <c r="B383" i="58"/>
  <c r="A383" i="58"/>
  <c r="B384" i="58"/>
  <c r="A384" i="58"/>
  <c r="B385" i="58"/>
  <c r="A385" i="58"/>
  <c r="B386" i="58"/>
  <c r="A386" i="58"/>
  <c r="B387" i="58"/>
  <c r="A387" i="58"/>
  <c r="B388" i="58"/>
  <c r="A388" i="58"/>
  <c r="B389" i="58"/>
  <c r="A389" i="58"/>
  <c r="B390" i="58"/>
  <c r="A390" i="58"/>
  <c r="B391" i="58"/>
  <c r="A391" i="58"/>
  <c r="B392" i="58"/>
  <c r="A392" i="58"/>
  <c r="B393" i="58"/>
  <c r="A393" i="58"/>
  <c r="B394" i="58"/>
  <c r="A394" i="58"/>
  <c r="B395" i="58"/>
  <c r="A395" i="58"/>
  <c r="A396" i="58"/>
  <c r="A397" i="58"/>
  <c r="A398" i="58"/>
  <c r="A399" i="58"/>
  <c r="A400" i="58"/>
  <c r="A401" i="58"/>
  <c r="A402" i="58"/>
  <c r="A403" i="58"/>
  <c r="A404" i="58"/>
  <c r="A405" i="58"/>
  <c r="A406" i="58"/>
  <c r="A407" i="58"/>
  <c r="A408" i="58"/>
  <c r="A409" i="58"/>
  <c r="A410" i="58"/>
  <c r="A411" i="58"/>
  <c r="A412" i="58"/>
  <c r="A413" i="58"/>
  <c r="A414" i="58"/>
  <c r="A415" i="58"/>
  <c r="A416" i="58"/>
  <c r="A417" i="58"/>
  <c r="A419" i="58"/>
  <c r="A420" i="58"/>
  <c r="A421" i="58"/>
  <c r="A422" i="58"/>
  <c r="A423" i="58"/>
  <c r="A424" i="58"/>
  <c r="A425" i="58"/>
  <c r="A426" i="58"/>
  <c r="A427" i="58"/>
  <c r="A428" i="58"/>
  <c r="A431" i="58"/>
  <c r="A432" i="58"/>
  <c r="A433" i="58"/>
  <c r="A434" i="58"/>
  <c r="A435" i="58"/>
  <c r="A436" i="58"/>
  <c r="A437" i="58"/>
  <c r="A25" i="58"/>
  <c r="Z28" i="58"/>
  <c r="B49" i="58"/>
  <c r="B77" i="58"/>
  <c r="B91" i="58"/>
  <c r="B105" i="58"/>
  <c r="B106" i="58"/>
  <c r="B120" i="58"/>
  <c r="B134" i="58"/>
  <c r="B148" i="58"/>
  <c r="B162" i="58"/>
  <c r="B176" i="58"/>
  <c r="B190" i="58"/>
  <c r="B204" i="58"/>
  <c r="B218" i="58"/>
  <c r="B220" i="58"/>
  <c r="B221" i="58"/>
  <c r="B223" i="58"/>
  <c r="B225" i="58"/>
  <c r="B237" i="58"/>
  <c r="B251" i="58"/>
  <c r="B265" i="58"/>
  <c r="B266" i="58"/>
  <c r="B280" i="58"/>
  <c r="B294" i="58"/>
  <c r="B295" i="58"/>
  <c r="B296" i="58"/>
  <c r="B310" i="58"/>
  <c r="B324" i="58"/>
  <c r="B325" i="58"/>
  <c r="B339" i="58"/>
  <c r="B353" i="58"/>
  <c r="B367" i="58"/>
  <c r="B368" i="58"/>
  <c r="B382" i="58"/>
  <c r="L28" i="58"/>
  <c r="N28" i="58"/>
  <c r="Y28" i="58"/>
  <c r="X28" i="58"/>
  <c r="W28" i="58"/>
  <c r="V28" i="58"/>
  <c r="U28" i="58"/>
  <c r="T28" i="58"/>
  <c r="S28" i="58"/>
  <c r="R28" i="58"/>
  <c r="Q28" i="58"/>
  <c r="P28" i="58"/>
  <c r="O28" i="58"/>
  <c r="Z29" i="58"/>
  <c r="Y29" i="58"/>
  <c r="X29" i="58"/>
  <c r="W29" i="58"/>
  <c r="V29" i="58"/>
  <c r="U29" i="58"/>
  <c r="T29" i="58"/>
  <c r="S29" i="58"/>
  <c r="R29" i="58"/>
  <c r="Q29" i="58"/>
  <c r="P29" i="58"/>
  <c r="O29" i="58"/>
  <c r="N29" i="58"/>
  <c r="L29" i="58"/>
  <c r="Z437" i="58"/>
  <c r="Y437" i="58"/>
  <c r="X437" i="58"/>
  <c r="W437" i="58"/>
  <c r="V437" i="58"/>
  <c r="U437" i="58"/>
  <c r="T437" i="58"/>
  <c r="S437" i="58"/>
  <c r="R437" i="58"/>
  <c r="Q437" i="58"/>
  <c r="P437" i="58"/>
  <c r="O437" i="58"/>
  <c r="N437" i="58"/>
  <c r="L437" i="58"/>
  <c r="Z435" i="58"/>
  <c r="Y435" i="58"/>
  <c r="X435" i="58"/>
  <c r="W435" i="58"/>
  <c r="V435" i="58"/>
  <c r="U435" i="58"/>
  <c r="T435" i="58"/>
  <c r="S435" i="58"/>
  <c r="R435" i="58"/>
  <c r="Q435" i="58"/>
  <c r="P435" i="58"/>
  <c r="O435" i="58"/>
  <c r="N435" i="58"/>
  <c r="L435" i="58"/>
  <c r="Z433" i="58"/>
  <c r="Y433" i="58"/>
  <c r="X433" i="58"/>
  <c r="W433" i="58"/>
  <c r="V433" i="58"/>
  <c r="U433" i="58"/>
  <c r="T433" i="58"/>
  <c r="S433" i="58"/>
  <c r="R433" i="58"/>
  <c r="Q433" i="58"/>
  <c r="P433" i="58"/>
  <c r="O433" i="58"/>
  <c r="N433" i="58"/>
  <c r="L433" i="58"/>
  <c r="Z431" i="58"/>
  <c r="Y431" i="58"/>
  <c r="X431" i="58"/>
  <c r="W431" i="58"/>
  <c r="V431" i="58"/>
  <c r="U431" i="58"/>
  <c r="T431" i="58"/>
  <c r="S431" i="58"/>
  <c r="R431" i="58"/>
  <c r="Q431" i="58"/>
  <c r="P431" i="58"/>
  <c r="O431" i="58"/>
  <c r="N431" i="58"/>
  <c r="L431" i="58"/>
  <c r="Z427" i="58"/>
  <c r="Y427" i="58"/>
  <c r="X427" i="58"/>
  <c r="W427" i="58"/>
  <c r="V427" i="58"/>
  <c r="U427" i="58"/>
  <c r="T427" i="58"/>
  <c r="S427" i="58"/>
  <c r="R427" i="58"/>
  <c r="Q427" i="58"/>
  <c r="P427" i="58"/>
  <c r="O427" i="58"/>
  <c r="N427" i="58"/>
  <c r="L427" i="58"/>
  <c r="Z425" i="58"/>
  <c r="Y425" i="58"/>
  <c r="X425" i="58"/>
  <c r="W425" i="58"/>
  <c r="V425" i="58"/>
  <c r="U425" i="58"/>
  <c r="T425" i="58"/>
  <c r="S425" i="58"/>
  <c r="R425" i="58"/>
  <c r="Q425" i="58"/>
  <c r="P425" i="58"/>
  <c r="O425" i="58"/>
  <c r="N425" i="58"/>
  <c r="L425" i="58"/>
  <c r="Z424" i="58"/>
  <c r="Y424" i="58"/>
  <c r="X424" i="58"/>
  <c r="W424" i="58"/>
  <c r="V424" i="58"/>
  <c r="U424" i="58"/>
  <c r="T424" i="58"/>
  <c r="S424" i="58"/>
  <c r="R424" i="58"/>
  <c r="Q424" i="58"/>
  <c r="P424" i="58"/>
  <c r="O424" i="58"/>
  <c r="N424" i="58"/>
  <c r="L424" i="58"/>
  <c r="Z423" i="58"/>
  <c r="Y423" i="58"/>
  <c r="X423" i="58"/>
  <c r="W423" i="58"/>
  <c r="V423" i="58"/>
  <c r="U423" i="58"/>
  <c r="T423" i="58"/>
  <c r="S423" i="58"/>
  <c r="R423" i="58"/>
  <c r="Q423" i="58"/>
  <c r="P423" i="58"/>
  <c r="O423" i="58"/>
  <c r="N423" i="58"/>
  <c r="L423" i="58"/>
  <c r="Z422" i="58"/>
  <c r="Y422" i="58"/>
  <c r="X422" i="58"/>
  <c r="W422" i="58"/>
  <c r="V422" i="58"/>
  <c r="U422" i="58"/>
  <c r="T422" i="58"/>
  <c r="S422" i="58"/>
  <c r="R422" i="58"/>
  <c r="Q422" i="58"/>
  <c r="P422" i="58"/>
  <c r="O422" i="58"/>
  <c r="N422" i="58"/>
  <c r="L422" i="58"/>
  <c r="Z421" i="58"/>
  <c r="Y421" i="58"/>
  <c r="X421" i="58"/>
  <c r="W421" i="58"/>
  <c r="V421" i="58"/>
  <c r="U421" i="58"/>
  <c r="T421" i="58"/>
  <c r="S421" i="58"/>
  <c r="R421" i="58"/>
  <c r="Q421" i="58"/>
  <c r="P421" i="58"/>
  <c r="O421" i="58"/>
  <c r="N421" i="58"/>
  <c r="L421" i="58"/>
  <c r="Z420" i="58"/>
  <c r="Y420" i="58"/>
  <c r="X420" i="58"/>
  <c r="W420" i="58"/>
  <c r="V420" i="58"/>
  <c r="U420" i="58"/>
  <c r="T420" i="58"/>
  <c r="S420" i="58"/>
  <c r="R420" i="58"/>
  <c r="Q420" i="58"/>
  <c r="P420" i="58"/>
  <c r="O420" i="58"/>
  <c r="N420" i="58"/>
  <c r="L420" i="58"/>
  <c r="Z419" i="58"/>
  <c r="Y419" i="58"/>
  <c r="X419" i="58"/>
  <c r="W419" i="58"/>
  <c r="V419" i="58"/>
  <c r="U419" i="58"/>
  <c r="T419" i="58"/>
  <c r="S419" i="58"/>
  <c r="R419" i="58"/>
  <c r="Q419" i="58"/>
  <c r="P419" i="58"/>
  <c r="O419" i="58"/>
  <c r="N419" i="58"/>
  <c r="L419" i="58"/>
  <c r="Z417" i="58"/>
  <c r="Y417" i="58"/>
  <c r="X417" i="58"/>
  <c r="W417" i="58"/>
  <c r="V417" i="58"/>
  <c r="U417" i="58"/>
  <c r="T417" i="58"/>
  <c r="S417" i="58"/>
  <c r="R417" i="58"/>
  <c r="Q417" i="58"/>
  <c r="P417" i="58"/>
  <c r="O417" i="58"/>
  <c r="N417" i="58"/>
  <c r="L417" i="58"/>
  <c r="Z416" i="58"/>
  <c r="Y416" i="58"/>
  <c r="X416" i="58"/>
  <c r="W416" i="58"/>
  <c r="V416" i="58"/>
  <c r="U416" i="58"/>
  <c r="T416" i="58"/>
  <c r="S416" i="58"/>
  <c r="R416" i="58"/>
  <c r="Q416" i="58"/>
  <c r="P416" i="58"/>
  <c r="O416" i="58"/>
  <c r="N416" i="58"/>
  <c r="L416" i="58"/>
  <c r="Z415" i="58"/>
  <c r="Y415" i="58"/>
  <c r="X415" i="58"/>
  <c r="W415" i="58"/>
  <c r="V415" i="58"/>
  <c r="U415" i="58"/>
  <c r="T415" i="58"/>
  <c r="S415" i="58"/>
  <c r="R415" i="58"/>
  <c r="Q415" i="58"/>
  <c r="P415" i="58"/>
  <c r="O415" i="58"/>
  <c r="N415" i="58"/>
  <c r="L415" i="58"/>
  <c r="Z414" i="58"/>
  <c r="Y414" i="58"/>
  <c r="X414" i="58"/>
  <c r="W414" i="58"/>
  <c r="V414" i="58"/>
  <c r="U414" i="58"/>
  <c r="T414" i="58"/>
  <c r="S414" i="58"/>
  <c r="R414" i="58"/>
  <c r="Q414" i="58"/>
  <c r="P414" i="58"/>
  <c r="O414" i="58"/>
  <c r="N414" i="58"/>
  <c r="L414" i="58"/>
  <c r="Z413" i="58"/>
  <c r="Y413" i="58"/>
  <c r="X413" i="58"/>
  <c r="W413" i="58"/>
  <c r="V413" i="58"/>
  <c r="U413" i="58"/>
  <c r="T413" i="58"/>
  <c r="S413" i="58"/>
  <c r="R413" i="58"/>
  <c r="Q413" i="58"/>
  <c r="P413" i="58"/>
  <c r="O413" i="58"/>
  <c r="N413" i="58"/>
  <c r="L413" i="58"/>
  <c r="Z412" i="58"/>
  <c r="Y412" i="58"/>
  <c r="X412" i="58"/>
  <c r="W412" i="58"/>
  <c r="V412" i="58"/>
  <c r="U412" i="58"/>
  <c r="T412" i="58"/>
  <c r="S412" i="58"/>
  <c r="R412" i="58"/>
  <c r="Q412" i="58"/>
  <c r="P412" i="58"/>
  <c r="O412" i="58"/>
  <c r="N412" i="58"/>
  <c r="L412" i="58"/>
  <c r="Z411" i="58"/>
  <c r="Y411" i="58"/>
  <c r="X411" i="58"/>
  <c r="W411" i="58"/>
  <c r="V411" i="58"/>
  <c r="U411" i="58"/>
  <c r="T411" i="58"/>
  <c r="S411" i="58"/>
  <c r="R411" i="58"/>
  <c r="Q411" i="58"/>
  <c r="P411" i="58"/>
  <c r="O411" i="58"/>
  <c r="N411" i="58"/>
  <c r="L411" i="58"/>
  <c r="Z410" i="58"/>
  <c r="Y410" i="58"/>
  <c r="X410" i="58"/>
  <c r="W410" i="58"/>
  <c r="V410" i="58"/>
  <c r="U410" i="58"/>
  <c r="T410" i="58"/>
  <c r="S410" i="58"/>
  <c r="R410" i="58"/>
  <c r="Q410" i="58"/>
  <c r="P410" i="58"/>
  <c r="O410" i="58"/>
  <c r="N410" i="58"/>
  <c r="L410" i="58"/>
  <c r="Z409" i="58"/>
  <c r="Y409" i="58"/>
  <c r="X409" i="58"/>
  <c r="W409" i="58"/>
  <c r="V409" i="58"/>
  <c r="U409" i="58"/>
  <c r="T409" i="58"/>
  <c r="S409" i="58"/>
  <c r="R409" i="58"/>
  <c r="Q409" i="58"/>
  <c r="P409" i="58"/>
  <c r="O409" i="58"/>
  <c r="N409" i="58"/>
  <c r="L409" i="58"/>
  <c r="Z408" i="58"/>
  <c r="Y408" i="58"/>
  <c r="X408" i="58"/>
  <c r="W408" i="58"/>
  <c r="V408" i="58"/>
  <c r="U408" i="58"/>
  <c r="T408" i="58"/>
  <c r="S408" i="58"/>
  <c r="R408" i="58"/>
  <c r="Q408" i="58"/>
  <c r="P408" i="58"/>
  <c r="O408" i="58"/>
  <c r="N408" i="58"/>
  <c r="L408" i="58"/>
  <c r="Z407" i="58"/>
  <c r="Y407" i="58"/>
  <c r="X407" i="58"/>
  <c r="W407" i="58"/>
  <c r="V407" i="58"/>
  <c r="U407" i="58"/>
  <c r="T407" i="58"/>
  <c r="S407" i="58"/>
  <c r="R407" i="58"/>
  <c r="Q407" i="58"/>
  <c r="P407" i="58"/>
  <c r="O407" i="58"/>
  <c r="N407" i="58"/>
  <c r="L407" i="58"/>
  <c r="Z406" i="58"/>
  <c r="Y406" i="58"/>
  <c r="X406" i="58"/>
  <c r="W406" i="58"/>
  <c r="V406" i="58"/>
  <c r="U406" i="58"/>
  <c r="T406" i="58"/>
  <c r="S406" i="58"/>
  <c r="R406" i="58"/>
  <c r="Q406" i="58"/>
  <c r="P406" i="58"/>
  <c r="O406" i="58"/>
  <c r="N406" i="58"/>
  <c r="L406" i="58"/>
  <c r="Z405" i="58"/>
  <c r="Y405" i="58"/>
  <c r="X405" i="58"/>
  <c r="W405" i="58"/>
  <c r="V405" i="58"/>
  <c r="U405" i="58"/>
  <c r="T405" i="58"/>
  <c r="S405" i="58"/>
  <c r="R405" i="58"/>
  <c r="Q405" i="58"/>
  <c r="P405" i="58"/>
  <c r="O405" i="58"/>
  <c r="N405" i="58"/>
  <c r="L405" i="58"/>
  <c r="Z404" i="58"/>
  <c r="Y404" i="58"/>
  <c r="X404" i="58"/>
  <c r="W404" i="58"/>
  <c r="V404" i="58"/>
  <c r="U404" i="58"/>
  <c r="T404" i="58"/>
  <c r="S404" i="58"/>
  <c r="R404" i="58"/>
  <c r="Q404" i="58"/>
  <c r="P404" i="58"/>
  <c r="O404" i="58"/>
  <c r="N404" i="58"/>
  <c r="L404" i="58"/>
  <c r="Z403" i="58"/>
  <c r="Y403" i="58"/>
  <c r="X403" i="58"/>
  <c r="W403" i="58"/>
  <c r="V403" i="58"/>
  <c r="U403" i="58"/>
  <c r="T403" i="58"/>
  <c r="S403" i="58"/>
  <c r="R403" i="58"/>
  <c r="Q403" i="58"/>
  <c r="P403" i="58"/>
  <c r="O403" i="58"/>
  <c r="N403" i="58"/>
  <c r="L403" i="58"/>
  <c r="Z402" i="58"/>
  <c r="Y402" i="58"/>
  <c r="X402" i="58"/>
  <c r="W402" i="58"/>
  <c r="V402" i="58"/>
  <c r="U402" i="58"/>
  <c r="T402" i="58"/>
  <c r="S402" i="58"/>
  <c r="R402" i="58"/>
  <c r="Q402" i="58"/>
  <c r="P402" i="58"/>
  <c r="O402" i="58"/>
  <c r="N402" i="58"/>
  <c r="L402" i="58"/>
  <c r="Z401" i="58"/>
  <c r="Y401" i="58"/>
  <c r="X401" i="58"/>
  <c r="W401" i="58"/>
  <c r="V401" i="58"/>
  <c r="U401" i="58"/>
  <c r="T401" i="58"/>
  <c r="S401" i="58"/>
  <c r="R401" i="58"/>
  <c r="Q401" i="58"/>
  <c r="P401" i="58"/>
  <c r="O401" i="58"/>
  <c r="N401" i="58"/>
  <c r="L401" i="58"/>
  <c r="Z400" i="58"/>
  <c r="Y400" i="58"/>
  <c r="X400" i="58"/>
  <c r="W400" i="58"/>
  <c r="V400" i="58"/>
  <c r="U400" i="58"/>
  <c r="T400" i="58"/>
  <c r="S400" i="58"/>
  <c r="R400" i="58"/>
  <c r="Q400" i="58"/>
  <c r="P400" i="58"/>
  <c r="O400" i="58"/>
  <c r="N400" i="58"/>
  <c r="L400" i="58"/>
  <c r="Z399" i="58"/>
  <c r="Y399" i="58"/>
  <c r="X399" i="58"/>
  <c r="W399" i="58"/>
  <c r="V399" i="58"/>
  <c r="U399" i="58"/>
  <c r="T399" i="58"/>
  <c r="S399" i="58"/>
  <c r="R399" i="58"/>
  <c r="Q399" i="58"/>
  <c r="P399" i="58"/>
  <c r="O399" i="58"/>
  <c r="N399" i="58"/>
  <c r="L399" i="58"/>
  <c r="Z398" i="58"/>
  <c r="Y398" i="58"/>
  <c r="X398" i="58"/>
  <c r="W398" i="58"/>
  <c r="V398" i="58"/>
  <c r="U398" i="58"/>
  <c r="T398" i="58"/>
  <c r="S398" i="58"/>
  <c r="R398" i="58"/>
  <c r="Q398" i="58"/>
  <c r="P398" i="58"/>
  <c r="O398" i="58"/>
  <c r="N398" i="58"/>
  <c r="L398" i="58"/>
  <c r="Z397" i="58"/>
  <c r="Y397" i="58"/>
  <c r="X397" i="58"/>
  <c r="W397" i="58"/>
  <c r="V397" i="58"/>
  <c r="U397" i="58"/>
  <c r="T397" i="58"/>
  <c r="S397" i="58"/>
  <c r="R397" i="58"/>
  <c r="Q397" i="58"/>
  <c r="P397" i="58"/>
  <c r="O397" i="58"/>
  <c r="N397" i="58"/>
  <c r="L397" i="58"/>
  <c r="Z396" i="58"/>
  <c r="Y396" i="58"/>
  <c r="X396" i="58"/>
  <c r="W396" i="58"/>
  <c r="V396" i="58"/>
  <c r="U396" i="58"/>
  <c r="T396" i="58"/>
  <c r="S396" i="58"/>
  <c r="R396" i="58"/>
  <c r="Q396" i="58"/>
  <c r="P396" i="58"/>
  <c r="O396" i="58"/>
  <c r="N396" i="58"/>
  <c r="L396" i="58"/>
  <c r="Z395" i="58"/>
  <c r="Y395" i="58"/>
  <c r="X395" i="58"/>
  <c r="W395" i="58"/>
  <c r="V395" i="58"/>
  <c r="U395" i="58"/>
  <c r="T395" i="58"/>
  <c r="S395" i="58"/>
  <c r="R395" i="58"/>
  <c r="Q395" i="58"/>
  <c r="P395" i="58"/>
  <c r="O395" i="58"/>
  <c r="N395" i="58"/>
  <c r="L395" i="58"/>
  <c r="Z394" i="58"/>
  <c r="Y394" i="58"/>
  <c r="X394" i="58"/>
  <c r="W394" i="58"/>
  <c r="V394" i="58"/>
  <c r="U394" i="58"/>
  <c r="T394" i="58"/>
  <c r="S394" i="58"/>
  <c r="R394" i="58"/>
  <c r="Q394" i="58"/>
  <c r="P394" i="58"/>
  <c r="O394" i="58"/>
  <c r="N394" i="58"/>
  <c r="L394" i="58"/>
  <c r="Z393" i="58"/>
  <c r="Y393" i="58"/>
  <c r="X393" i="58"/>
  <c r="W393" i="58"/>
  <c r="V393" i="58"/>
  <c r="U393" i="58"/>
  <c r="T393" i="58"/>
  <c r="S393" i="58"/>
  <c r="R393" i="58"/>
  <c r="Q393" i="58"/>
  <c r="P393" i="58"/>
  <c r="O393" i="58"/>
  <c r="N393" i="58"/>
  <c r="L393" i="58"/>
  <c r="Z392" i="58"/>
  <c r="Y392" i="58"/>
  <c r="X392" i="58"/>
  <c r="W392" i="58"/>
  <c r="V392" i="58"/>
  <c r="U392" i="58"/>
  <c r="T392" i="58"/>
  <c r="S392" i="58"/>
  <c r="R392" i="58"/>
  <c r="Q392" i="58"/>
  <c r="P392" i="58"/>
  <c r="O392" i="58"/>
  <c r="N392" i="58"/>
  <c r="L392" i="58"/>
  <c r="Z391" i="58"/>
  <c r="Y391" i="58"/>
  <c r="X391" i="58"/>
  <c r="W391" i="58"/>
  <c r="V391" i="58"/>
  <c r="U391" i="58"/>
  <c r="T391" i="58"/>
  <c r="S391" i="58"/>
  <c r="R391" i="58"/>
  <c r="Q391" i="58"/>
  <c r="P391" i="58"/>
  <c r="O391" i="58"/>
  <c r="N391" i="58"/>
  <c r="L391" i="58"/>
  <c r="Z390" i="58"/>
  <c r="Y390" i="58"/>
  <c r="X390" i="58"/>
  <c r="W390" i="58"/>
  <c r="V390" i="58"/>
  <c r="U390" i="58"/>
  <c r="T390" i="58"/>
  <c r="S390" i="58"/>
  <c r="R390" i="58"/>
  <c r="Q390" i="58"/>
  <c r="P390" i="58"/>
  <c r="O390" i="58"/>
  <c r="N390" i="58"/>
  <c r="L390" i="58"/>
  <c r="Z389" i="58"/>
  <c r="Y389" i="58"/>
  <c r="X389" i="58"/>
  <c r="W389" i="58"/>
  <c r="V389" i="58"/>
  <c r="U389" i="58"/>
  <c r="T389" i="58"/>
  <c r="S389" i="58"/>
  <c r="R389" i="58"/>
  <c r="Q389" i="58"/>
  <c r="P389" i="58"/>
  <c r="O389" i="58"/>
  <c r="N389" i="58"/>
  <c r="L389" i="58"/>
  <c r="Z388" i="58"/>
  <c r="Y388" i="58"/>
  <c r="X388" i="58"/>
  <c r="W388" i="58"/>
  <c r="V388" i="58"/>
  <c r="U388" i="58"/>
  <c r="T388" i="58"/>
  <c r="S388" i="58"/>
  <c r="R388" i="58"/>
  <c r="Q388" i="58"/>
  <c r="P388" i="58"/>
  <c r="O388" i="58"/>
  <c r="N388" i="58"/>
  <c r="L388" i="58"/>
  <c r="Z387" i="58"/>
  <c r="Y387" i="58"/>
  <c r="X387" i="58"/>
  <c r="W387" i="58"/>
  <c r="V387" i="58"/>
  <c r="U387" i="58"/>
  <c r="T387" i="58"/>
  <c r="S387" i="58"/>
  <c r="R387" i="58"/>
  <c r="Q387" i="58"/>
  <c r="P387" i="58"/>
  <c r="O387" i="58"/>
  <c r="N387" i="58"/>
  <c r="L387" i="58"/>
  <c r="Z386" i="58"/>
  <c r="Y386" i="58"/>
  <c r="X386" i="58"/>
  <c r="W386" i="58"/>
  <c r="V386" i="58"/>
  <c r="U386" i="58"/>
  <c r="T386" i="58"/>
  <c r="S386" i="58"/>
  <c r="R386" i="58"/>
  <c r="Q386" i="58"/>
  <c r="P386" i="58"/>
  <c r="O386" i="58"/>
  <c r="N386" i="58"/>
  <c r="L386" i="58"/>
  <c r="Z385" i="58"/>
  <c r="Y385" i="58"/>
  <c r="X385" i="58"/>
  <c r="W385" i="58"/>
  <c r="V385" i="58"/>
  <c r="U385" i="58"/>
  <c r="T385" i="58"/>
  <c r="S385" i="58"/>
  <c r="R385" i="58"/>
  <c r="Q385" i="58"/>
  <c r="P385" i="58"/>
  <c r="O385" i="58"/>
  <c r="N385" i="58"/>
  <c r="L385" i="58"/>
  <c r="Z384" i="58"/>
  <c r="Y384" i="58"/>
  <c r="X384" i="58"/>
  <c r="W384" i="58"/>
  <c r="V384" i="58"/>
  <c r="U384" i="58"/>
  <c r="T384" i="58"/>
  <c r="S384" i="58"/>
  <c r="R384" i="58"/>
  <c r="Q384" i="58"/>
  <c r="P384" i="58"/>
  <c r="O384" i="58"/>
  <c r="N384" i="58"/>
  <c r="L384" i="58"/>
  <c r="Z383" i="58"/>
  <c r="Y383" i="58"/>
  <c r="X383" i="58"/>
  <c r="W383" i="58"/>
  <c r="V383" i="58"/>
  <c r="U383" i="58"/>
  <c r="T383" i="58"/>
  <c r="S383" i="58"/>
  <c r="R383" i="58"/>
  <c r="Q383" i="58"/>
  <c r="P383" i="58"/>
  <c r="O383" i="58"/>
  <c r="N383" i="58"/>
  <c r="L383" i="58"/>
  <c r="Z382" i="58"/>
  <c r="Y382" i="58"/>
  <c r="X382" i="58"/>
  <c r="W382" i="58"/>
  <c r="V382" i="58"/>
  <c r="U382" i="58"/>
  <c r="T382" i="58"/>
  <c r="S382" i="58"/>
  <c r="R382" i="58"/>
  <c r="Q382" i="58"/>
  <c r="P382" i="58"/>
  <c r="O382" i="58"/>
  <c r="N382" i="58"/>
  <c r="L382" i="58"/>
  <c r="Z381" i="58"/>
  <c r="Y381" i="58"/>
  <c r="X381" i="58"/>
  <c r="W381" i="58"/>
  <c r="V381" i="58"/>
  <c r="U381" i="58"/>
  <c r="T381" i="58"/>
  <c r="S381" i="58"/>
  <c r="R381" i="58"/>
  <c r="Q381" i="58"/>
  <c r="P381" i="58"/>
  <c r="O381" i="58"/>
  <c r="N381" i="58"/>
  <c r="L381" i="58"/>
  <c r="Z380" i="58"/>
  <c r="Y380" i="58"/>
  <c r="X380" i="58"/>
  <c r="W380" i="58"/>
  <c r="V380" i="58"/>
  <c r="U380" i="58"/>
  <c r="T380" i="58"/>
  <c r="S380" i="58"/>
  <c r="R380" i="58"/>
  <c r="Q380" i="58"/>
  <c r="P380" i="58"/>
  <c r="O380" i="58"/>
  <c r="N380" i="58"/>
  <c r="L380" i="58"/>
  <c r="Z379" i="58"/>
  <c r="Y379" i="58"/>
  <c r="X379" i="58"/>
  <c r="W379" i="58"/>
  <c r="V379" i="58"/>
  <c r="U379" i="58"/>
  <c r="T379" i="58"/>
  <c r="S379" i="58"/>
  <c r="R379" i="58"/>
  <c r="Q379" i="58"/>
  <c r="P379" i="58"/>
  <c r="O379" i="58"/>
  <c r="N379" i="58"/>
  <c r="L379" i="58"/>
  <c r="Z378" i="58"/>
  <c r="Y378" i="58"/>
  <c r="X378" i="58"/>
  <c r="W378" i="58"/>
  <c r="V378" i="58"/>
  <c r="U378" i="58"/>
  <c r="T378" i="58"/>
  <c r="S378" i="58"/>
  <c r="R378" i="58"/>
  <c r="Q378" i="58"/>
  <c r="P378" i="58"/>
  <c r="O378" i="58"/>
  <c r="N378" i="58"/>
  <c r="L378" i="58"/>
  <c r="Z377" i="58"/>
  <c r="Y377" i="58"/>
  <c r="X377" i="58"/>
  <c r="W377" i="58"/>
  <c r="V377" i="58"/>
  <c r="U377" i="58"/>
  <c r="T377" i="58"/>
  <c r="S377" i="58"/>
  <c r="R377" i="58"/>
  <c r="Q377" i="58"/>
  <c r="P377" i="58"/>
  <c r="O377" i="58"/>
  <c r="N377" i="58"/>
  <c r="L377" i="58"/>
  <c r="Z376" i="58"/>
  <c r="Y376" i="58"/>
  <c r="X376" i="58"/>
  <c r="W376" i="58"/>
  <c r="V376" i="58"/>
  <c r="U376" i="58"/>
  <c r="T376" i="58"/>
  <c r="S376" i="58"/>
  <c r="R376" i="58"/>
  <c r="Q376" i="58"/>
  <c r="P376" i="58"/>
  <c r="O376" i="58"/>
  <c r="N376" i="58"/>
  <c r="L376" i="58"/>
  <c r="Z375" i="58"/>
  <c r="Y375" i="58"/>
  <c r="X375" i="58"/>
  <c r="W375" i="58"/>
  <c r="V375" i="58"/>
  <c r="U375" i="58"/>
  <c r="T375" i="58"/>
  <c r="S375" i="58"/>
  <c r="R375" i="58"/>
  <c r="Q375" i="58"/>
  <c r="P375" i="58"/>
  <c r="O375" i="58"/>
  <c r="N375" i="58"/>
  <c r="L375" i="58"/>
  <c r="Z374" i="58"/>
  <c r="Y374" i="58"/>
  <c r="X374" i="58"/>
  <c r="W374" i="58"/>
  <c r="V374" i="58"/>
  <c r="U374" i="58"/>
  <c r="T374" i="58"/>
  <c r="S374" i="58"/>
  <c r="R374" i="58"/>
  <c r="Q374" i="58"/>
  <c r="P374" i="58"/>
  <c r="O374" i="58"/>
  <c r="N374" i="58"/>
  <c r="L374" i="58"/>
  <c r="Z373" i="58"/>
  <c r="Y373" i="58"/>
  <c r="X373" i="58"/>
  <c r="W373" i="58"/>
  <c r="V373" i="58"/>
  <c r="U373" i="58"/>
  <c r="T373" i="58"/>
  <c r="S373" i="58"/>
  <c r="R373" i="58"/>
  <c r="Q373" i="58"/>
  <c r="P373" i="58"/>
  <c r="O373" i="58"/>
  <c r="N373" i="58"/>
  <c r="L373" i="58"/>
  <c r="Z372" i="58"/>
  <c r="Y372" i="58"/>
  <c r="X372" i="58"/>
  <c r="W372" i="58"/>
  <c r="V372" i="58"/>
  <c r="U372" i="58"/>
  <c r="T372" i="58"/>
  <c r="S372" i="58"/>
  <c r="R372" i="58"/>
  <c r="Q372" i="58"/>
  <c r="P372" i="58"/>
  <c r="O372" i="58"/>
  <c r="N372" i="58"/>
  <c r="L372" i="58"/>
  <c r="Z371" i="58"/>
  <c r="Y371" i="58"/>
  <c r="X371" i="58"/>
  <c r="W371" i="58"/>
  <c r="V371" i="58"/>
  <c r="U371" i="58"/>
  <c r="T371" i="58"/>
  <c r="S371" i="58"/>
  <c r="R371" i="58"/>
  <c r="Q371" i="58"/>
  <c r="P371" i="58"/>
  <c r="O371" i="58"/>
  <c r="N371" i="58"/>
  <c r="L371" i="58"/>
  <c r="Z370" i="58"/>
  <c r="Y370" i="58"/>
  <c r="X370" i="58"/>
  <c r="W370" i="58"/>
  <c r="V370" i="58"/>
  <c r="U370" i="58"/>
  <c r="T370" i="58"/>
  <c r="S370" i="58"/>
  <c r="R370" i="58"/>
  <c r="Q370" i="58"/>
  <c r="P370" i="58"/>
  <c r="O370" i="58"/>
  <c r="N370" i="58"/>
  <c r="L370" i="58"/>
  <c r="Z369" i="58"/>
  <c r="Y369" i="58"/>
  <c r="X369" i="58"/>
  <c r="W369" i="58"/>
  <c r="V369" i="58"/>
  <c r="U369" i="58"/>
  <c r="T369" i="58"/>
  <c r="S369" i="58"/>
  <c r="R369" i="58"/>
  <c r="Q369" i="58"/>
  <c r="P369" i="58"/>
  <c r="O369" i="58"/>
  <c r="N369" i="58"/>
  <c r="L369" i="58"/>
  <c r="Z368" i="58"/>
  <c r="Y368" i="58"/>
  <c r="X368" i="58"/>
  <c r="W368" i="58"/>
  <c r="V368" i="58"/>
  <c r="U368" i="58"/>
  <c r="T368" i="58"/>
  <c r="S368" i="58"/>
  <c r="R368" i="58"/>
  <c r="Q368" i="58"/>
  <c r="P368" i="58"/>
  <c r="O368" i="58"/>
  <c r="N368" i="58"/>
  <c r="L368" i="58"/>
  <c r="Z367" i="58"/>
  <c r="Y367" i="58"/>
  <c r="X367" i="58"/>
  <c r="W367" i="58"/>
  <c r="V367" i="58"/>
  <c r="U367" i="58"/>
  <c r="T367" i="58"/>
  <c r="S367" i="58"/>
  <c r="R367" i="58"/>
  <c r="Q367" i="58"/>
  <c r="P367" i="58"/>
  <c r="O367" i="58"/>
  <c r="N367" i="58"/>
  <c r="L367" i="58"/>
  <c r="Z366" i="58"/>
  <c r="Y366" i="58"/>
  <c r="X366" i="58"/>
  <c r="W366" i="58"/>
  <c r="V366" i="58"/>
  <c r="U366" i="58"/>
  <c r="T366" i="58"/>
  <c r="S366" i="58"/>
  <c r="R366" i="58"/>
  <c r="Q366" i="58"/>
  <c r="P366" i="58"/>
  <c r="O366" i="58"/>
  <c r="N366" i="58"/>
  <c r="L366" i="58"/>
  <c r="Z365" i="58"/>
  <c r="Y365" i="58"/>
  <c r="X365" i="58"/>
  <c r="W365" i="58"/>
  <c r="V365" i="58"/>
  <c r="U365" i="58"/>
  <c r="T365" i="58"/>
  <c r="S365" i="58"/>
  <c r="R365" i="58"/>
  <c r="Q365" i="58"/>
  <c r="P365" i="58"/>
  <c r="O365" i="58"/>
  <c r="N365" i="58"/>
  <c r="L365" i="58"/>
  <c r="Z364" i="58"/>
  <c r="Y364" i="58"/>
  <c r="X364" i="58"/>
  <c r="W364" i="58"/>
  <c r="V364" i="58"/>
  <c r="U364" i="58"/>
  <c r="T364" i="58"/>
  <c r="S364" i="58"/>
  <c r="R364" i="58"/>
  <c r="Q364" i="58"/>
  <c r="P364" i="58"/>
  <c r="O364" i="58"/>
  <c r="N364" i="58"/>
  <c r="L364" i="58"/>
  <c r="Z363" i="58"/>
  <c r="Y363" i="58"/>
  <c r="X363" i="58"/>
  <c r="W363" i="58"/>
  <c r="V363" i="58"/>
  <c r="U363" i="58"/>
  <c r="T363" i="58"/>
  <c r="S363" i="58"/>
  <c r="R363" i="58"/>
  <c r="Q363" i="58"/>
  <c r="P363" i="58"/>
  <c r="O363" i="58"/>
  <c r="N363" i="58"/>
  <c r="L363" i="58"/>
  <c r="Z362" i="58"/>
  <c r="Y362" i="58"/>
  <c r="X362" i="58"/>
  <c r="W362" i="58"/>
  <c r="V362" i="58"/>
  <c r="U362" i="58"/>
  <c r="T362" i="58"/>
  <c r="S362" i="58"/>
  <c r="R362" i="58"/>
  <c r="Q362" i="58"/>
  <c r="P362" i="58"/>
  <c r="O362" i="58"/>
  <c r="N362" i="58"/>
  <c r="L362" i="58"/>
  <c r="Z361" i="58"/>
  <c r="Y361" i="58"/>
  <c r="X361" i="58"/>
  <c r="W361" i="58"/>
  <c r="V361" i="58"/>
  <c r="U361" i="58"/>
  <c r="T361" i="58"/>
  <c r="S361" i="58"/>
  <c r="R361" i="58"/>
  <c r="Q361" i="58"/>
  <c r="P361" i="58"/>
  <c r="O361" i="58"/>
  <c r="N361" i="58"/>
  <c r="L361" i="58"/>
  <c r="Z360" i="58"/>
  <c r="Y360" i="58"/>
  <c r="X360" i="58"/>
  <c r="W360" i="58"/>
  <c r="V360" i="58"/>
  <c r="U360" i="58"/>
  <c r="T360" i="58"/>
  <c r="S360" i="58"/>
  <c r="R360" i="58"/>
  <c r="Q360" i="58"/>
  <c r="P360" i="58"/>
  <c r="O360" i="58"/>
  <c r="N360" i="58"/>
  <c r="L360" i="58"/>
  <c r="Z359" i="58"/>
  <c r="Y359" i="58"/>
  <c r="X359" i="58"/>
  <c r="W359" i="58"/>
  <c r="V359" i="58"/>
  <c r="U359" i="58"/>
  <c r="T359" i="58"/>
  <c r="S359" i="58"/>
  <c r="R359" i="58"/>
  <c r="Q359" i="58"/>
  <c r="P359" i="58"/>
  <c r="O359" i="58"/>
  <c r="N359" i="58"/>
  <c r="L359" i="58"/>
  <c r="Z358" i="58"/>
  <c r="Y358" i="58"/>
  <c r="X358" i="58"/>
  <c r="W358" i="58"/>
  <c r="V358" i="58"/>
  <c r="U358" i="58"/>
  <c r="T358" i="58"/>
  <c r="S358" i="58"/>
  <c r="R358" i="58"/>
  <c r="Q358" i="58"/>
  <c r="P358" i="58"/>
  <c r="O358" i="58"/>
  <c r="N358" i="58"/>
  <c r="L358" i="58"/>
  <c r="Z357" i="58"/>
  <c r="Y357" i="58"/>
  <c r="X357" i="58"/>
  <c r="W357" i="58"/>
  <c r="V357" i="58"/>
  <c r="U357" i="58"/>
  <c r="T357" i="58"/>
  <c r="S357" i="58"/>
  <c r="R357" i="58"/>
  <c r="Q357" i="58"/>
  <c r="P357" i="58"/>
  <c r="O357" i="58"/>
  <c r="N357" i="58"/>
  <c r="L357" i="58"/>
  <c r="Z356" i="58"/>
  <c r="Y356" i="58"/>
  <c r="X356" i="58"/>
  <c r="W356" i="58"/>
  <c r="V356" i="58"/>
  <c r="U356" i="58"/>
  <c r="T356" i="58"/>
  <c r="S356" i="58"/>
  <c r="R356" i="58"/>
  <c r="Q356" i="58"/>
  <c r="P356" i="58"/>
  <c r="O356" i="58"/>
  <c r="N356" i="58"/>
  <c r="L356" i="58"/>
  <c r="Z355" i="58"/>
  <c r="Y355" i="58"/>
  <c r="X355" i="58"/>
  <c r="W355" i="58"/>
  <c r="V355" i="58"/>
  <c r="U355" i="58"/>
  <c r="T355" i="58"/>
  <c r="S355" i="58"/>
  <c r="R355" i="58"/>
  <c r="Q355" i="58"/>
  <c r="P355" i="58"/>
  <c r="O355" i="58"/>
  <c r="N355" i="58"/>
  <c r="L355" i="58"/>
  <c r="Z354" i="58"/>
  <c r="Y354" i="58"/>
  <c r="X354" i="58"/>
  <c r="W354" i="58"/>
  <c r="V354" i="58"/>
  <c r="U354" i="58"/>
  <c r="T354" i="58"/>
  <c r="S354" i="58"/>
  <c r="R354" i="58"/>
  <c r="Q354" i="58"/>
  <c r="P354" i="58"/>
  <c r="O354" i="58"/>
  <c r="N354" i="58"/>
  <c r="L354" i="58"/>
  <c r="Z353" i="58"/>
  <c r="Y353" i="58"/>
  <c r="X353" i="58"/>
  <c r="W353" i="58"/>
  <c r="V353" i="58"/>
  <c r="U353" i="58"/>
  <c r="T353" i="58"/>
  <c r="S353" i="58"/>
  <c r="R353" i="58"/>
  <c r="Q353" i="58"/>
  <c r="P353" i="58"/>
  <c r="O353" i="58"/>
  <c r="N353" i="58"/>
  <c r="L353" i="58"/>
  <c r="Z352" i="58"/>
  <c r="Y352" i="58"/>
  <c r="X352" i="58"/>
  <c r="W352" i="58"/>
  <c r="V352" i="58"/>
  <c r="U352" i="58"/>
  <c r="T352" i="58"/>
  <c r="S352" i="58"/>
  <c r="R352" i="58"/>
  <c r="Q352" i="58"/>
  <c r="P352" i="58"/>
  <c r="O352" i="58"/>
  <c r="N352" i="58"/>
  <c r="L352" i="58"/>
  <c r="Z351" i="58"/>
  <c r="Y351" i="58"/>
  <c r="X351" i="58"/>
  <c r="W351" i="58"/>
  <c r="V351" i="58"/>
  <c r="U351" i="58"/>
  <c r="T351" i="58"/>
  <c r="S351" i="58"/>
  <c r="R351" i="58"/>
  <c r="Q351" i="58"/>
  <c r="P351" i="58"/>
  <c r="O351" i="58"/>
  <c r="N351" i="58"/>
  <c r="L351" i="58"/>
  <c r="Z350" i="58"/>
  <c r="Y350" i="58"/>
  <c r="X350" i="58"/>
  <c r="W350" i="58"/>
  <c r="V350" i="58"/>
  <c r="U350" i="58"/>
  <c r="T350" i="58"/>
  <c r="S350" i="58"/>
  <c r="R350" i="58"/>
  <c r="Q350" i="58"/>
  <c r="P350" i="58"/>
  <c r="O350" i="58"/>
  <c r="N350" i="58"/>
  <c r="L350" i="58"/>
  <c r="Z349" i="58"/>
  <c r="Y349" i="58"/>
  <c r="X349" i="58"/>
  <c r="W349" i="58"/>
  <c r="V349" i="58"/>
  <c r="U349" i="58"/>
  <c r="T349" i="58"/>
  <c r="S349" i="58"/>
  <c r="R349" i="58"/>
  <c r="Q349" i="58"/>
  <c r="P349" i="58"/>
  <c r="O349" i="58"/>
  <c r="N349" i="58"/>
  <c r="L349" i="58"/>
  <c r="Z348" i="58"/>
  <c r="Y348" i="58"/>
  <c r="X348" i="58"/>
  <c r="W348" i="58"/>
  <c r="V348" i="58"/>
  <c r="U348" i="58"/>
  <c r="T348" i="58"/>
  <c r="S348" i="58"/>
  <c r="R348" i="58"/>
  <c r="Q348" i="58"/>
  <c r="P348" i="58"/>
  <c r="O348" i="58"/>
  <c r="N348" i="58"/>
  <c r="L348" i="58"/>
  <c r="Z347" i="58"/>
  <c r="Y347" i="58"/>
  <c r="X347" i="58"/>
  <c r="W347" i="58"/>
  <c r="V347" i="58"/>
  <c r="U347" i="58"/>
  <c r="T347" i="58"/>
  <c r="S347" i="58"/>
  <c r="R347" i="58"/>
  <c r="Q347" i="58"/>
  <c r="P347" i="58"/>
  <c r="O347" i="58"/>
  <c r="N347" i="58"/>
  <c r="L347" i="58"/>
  <c r="Z346" i="58"/>
  <c r="Y346" i="58"/>
  <c r="X346" i="58"/>
  <c r="W346" i="58"/>
  <c r="V346" i="58"/>
  <c r="U346" i="58"/>
  <c r="T346" i="58"/>
  <c r="S346" i="58"/>
  <c r="R346" i="58"/>
  <c r="Q346" i="58"/>
  <c r="P346" i="58"/>
  <c r="O346" i="58"/>
  <c r="N346" i="58"/>
  <c r="L346" i="58"/>
  <c r="Z345" i="58"/>
  <c r="Y345" i="58"/>
  <c r="X345" i="58"/>
  <c r="W345" i="58"/>
  <c r="V345" i="58"/>
  <c r="U345" i="58"/>
  <c r="T345" i="58"/>
  <c r="S345" i="58"/>
  <c r="R345" i="58"/>
  <c r="Q345" i="58"/>
  <c r="P345" i="58"/>
  <c r="O345" i="58"/>
  <c r="N345" i="58"/>
  <c r="L345" i="58"/>
  <c r="Z344" i="58"/>
  <c r="Y344" i="58"/>
  <c r="X344" i="58"/>
  <c r="W344" i="58"/>
  <c r="V344" i="58"/>
  <c r="U344" i="58"/>
  <c r="T344" i="58"/>
  <c r="S344" i="58"/>
  <c r="R344" i="58"/>
  <c r="Q344" i="58"/>
  <c r="P344" i="58"/>
  <c r="O344" i="58"/>
  <c r="N344" i="58"/>
  <c r="L344" i="58"/>
  <c r="Z343" i="58"/>
  <c r="Y343" i="58"/>
  <c r="X343" i="58"/>
  <c r="W343" i="58"/>
  <c r="V343" i="58"/>
  <c r="U343" i="58"/>
  <c r="T343" i="58"/>
  <c r="S343" i="58"/>
  <c r="R343" i="58"/>
  <c r="Q343" i="58"/>
  <c r="P343" i="58"/>
  <c r="O343" i="58"/>
  <c r="N343" i="58"/>
  <c r="L343" i="58"/>
  <c r="Z342" i="58"/>
  <c r="Y342" i="58"/>
  <c r="X342" i="58"/>
  <c r="W342" i="58"/>
  <c r="V342" i="58"/>
  <c r="U342" i="58"/>
  <c r="T342" i="58"/>
  <c r="S342" i="58"/>
  <c r="R342" i="58"/>
  <c r="Q342" i="58"/>
  <c r="P342" i="58"/>
  <c r="O342" i="58"/>
  <c r="N342" i="58"/>
  <c r="L342" i="58"/>
  <c r="Z341" i="58"/>
  <c r="Y341" i="58"/>
  <c r="X341" i="58"/>
  <c r="W341" i="58"/>
  <c r="V341" i="58"/>
  <c r="U341" i="58"/>
  <c r="T341" i="58"/>
  <c r="S341" i="58"/>
  <c r="R341" i="58"/>
  <c r="Q341" i="58"/>
  <c r="P341" i="58"/>
  <c r="O341" i="58"/>
  <c r="N341" i="58"/>
  <c r="L341" i="58"/>
  <c r="Z340" i="58"/>
  <c r="Y340" i="58"/>
  <c r="X340" i="58"/>
  <c r="W340" i="58"/>
  <c r="V340" i="58"/>
  <c r="U340" i="58"/>
  <c r="T340" i="58"/>
  <c r="S340" i="58"/>
  <c r="R340" i="58"/>
  <c r="Q340" i="58"/>
  <c r="P340" i="58"/>
  <c r="O340" i="58"/>
  <c r="N340" i="58"/>
  <c r="L340" i="58"/>
  <c r="Z339" i="58"/>
  <c r="Y339" i="58"/>
  <c r="X339" i="58"/>
  <c r="W339" i="58"/>
  <c r="V339" i="58"/>
  <c r="U339" i="58"/>
  <c r="T339" i="58"/>
  <c r="S339" i="58"/>
  <c r="R339" i="58"/>
  <c r="Q339" i="58"/>
  <c r="P339" i="58"/>
  <c r="O339" i="58"/>
  <c r="N339" i="58"/>
  <c r="L339" i="58"/>
  <c r="Z338" i="58"/>
  <c r="Y338" i="58"/>
  <c r="X338" i="58"/>
  <c r="W338" i="58"/>
  <c r="V338" i="58"/>
  <c r="U338" i="58"/>
  <c r="T338" i="58"/>
  <c r="S338" i="58"/>
  <c r="R338" i="58"/>
  <c r="Q338" i="58"/>
  <c r="P338" i="58"/>
  <c r="O338" i="58"/>
  <c r="N338" i="58"/>
  <c r="L338" i="58"/>
  <c r="Z337" i="58"/>
  <c r="Y337" i="58"/>
  <c r="X337" i="58"/>
  <c r="W337" i="58"/>
  <c r="V337" i="58"/>
  <c r="U337" i="58"/>
  <c r="T337" i="58"/>
  <c r="S337" i="58"/>
  <c r="R337" i="58"/>
  <c r="Q337" i="58"/>
  <c r="P337" i="58"/>
  <c r="O337" i="58"/>
  <c r="N337" i="58"/>
  <c r="L337" i="58"/>
  <c r="Z336" i="58"/>
  <c r="Y336" i="58"/>
  <c r="X336" i="58"/>
  <c r="W336" i="58"/>
  <c r="V336" i="58"/>
  <c r="U336" i="58"/>
  <c r="T336" i="58"/>
  <c r="S336" i="58"/>
  <c r="R336" i="58"/>
  <c r="Q336" i="58"/>
  <c r="P336" i="58"/>
  <c r="O336" i="58"/>
  <c r="N336" i="58"/>
  <c r="L336" i="58"/>
  <c r="Z335" i="58"/>
  <c r="Y335" i="58"/>
  <c r="X335" i="58"/>
  <c r="W335" i="58"/>
  <c r="V335" i="58"/>
  <c r="U335" i="58"/>
  <c r="T335" i="58"/>
  <c r="S335" i="58"/>
  <c r="R335" i="58"/>
  <c r="Q335" i="58"/>
  <c r="P335" i="58"/>
  <c r="O335" i="58"/>
  <c r="N335" i="58"/>
  <c r="L335" i="58"/>
  <c r="Z334" i="58"/>
  <c r="Y334" i="58"/>
  <c r="X334" i="58"/>
  <c r="W334" i="58"/>
  <c r="V334" i="58"/>
  <c r="U334" i="58"/>
  <c r="T334" i="58"/>
  <c r="S334" i="58"/>
  <c r="R334" i="58"/>
  <c r="Q334" i="58"/>
  <c r="P334" i="58"/>
  <c r="O334" i="58"/>
  <c r="N334" i="58"/>
  <c r="L334" i="58"/>
  <c r="Z333" i="58"/>
  <c r="Y333" i="58"/>
  <c r="X333" i="58"/>
  <c r="W333" i="58"/>
  <c r="V333" i="58"/>
  <c r="U333" i="58"/>
  <c r="T333" i="58"/>
  <c r="S333" i="58"/>
  <c r="R333" i="58"/>
  <c r="Q333" i="58"/>
  <c r="P333" i="58"/>
  <c r="O333" i="58"/>
  <c r="N333" i="58"/>
  <c r="L333" i="58"/>
  <c r="Z332" i="58"/>
  <c r="Y332" i="58"/>
  <c r="X332" i="58"/>
  <c r="W332" i="58"/>
  <c r="V332" i="58"/>
  <c r="U332" i="58"/>
  <c r="T332" i="58"/>
  <c r="S332" i="58"/>
  <c r="R332" i="58"/>
  <c r="Q332" i="58"/>
  <c r="P332" i="58"/>
  <c r="O332" i="58"/>
  <c r="N332" i="58"/>
  <c r="L332" i="58"/>
  <c r="Z331" i="58"/>
  <c r="Y331" i="58"/>
  <c r="X331" i="58"/>
  <c r="W331" i="58"/>
  <c r="V331" i="58"/>
  <c r="U331" i="58"/>
  <c r="T331" i="58"/>
  <c r="S331" i="58"/>
  <c r="R331" i="58"/>
  <c r="Q331" i="58"/>
  <c r="P331" i="58"/>
  <c r="O331" i="58"/>
  <c r="N331" i="58"/>
  <c r="L331" i="58"/>
  <c r="Z330" i="58"/>
  <c r="Y330" i="58"/>
  <c r="X330" i="58"/>
  <c r="W330" i="58"/>
  <c r="V330" i="58"/>
  <c r="U330" i="58"/>
  <c r="T330" i="58"/>
  <c r="S330" i="58"/>
  <c r="R330" i="58"/>
  <c r="Q330" i="58"/>
  <c r="P330" i="58"/>
  <c r="O330" i="58"/>
  <c r="N330" i="58"/>
  <c r="L330" i="58"/>
  <c r="Z329" i="58"/>
  <c r="Y329" i="58"/>
  <c r="X329" i="58"/>
  <c r="W329" i="58"/>
  <c r="V329" i="58"/>
  <c r="U329" i="58"/>
  <c r="T329" i="58"/>
  <c r="S329" i="58"/>
  <c r="R329" i="58"/>
  <c r="Q329" i="58"/>
  <c r="P329" i="58"/>
  <c r="O329" i="58"/>
  <c r="N329" i="58"/>
  <c r="L329" i="58"/>
  <c r="Z328" i="58"/>
  <c r="Y328" i="58"/>
  <c r="X328" i="58"/>
  <c r="W328" i="58"/>
  <c r="V328" i="58"/>
  <c r="U328" i="58"/>
  <c r="T328" i="58"/>
  <c r="S328" i="58"/>
  <c r="R328" i="58"/>
  <c r="Q328" i="58"/>
  <c r="P328" i="58"/>
  <c r="O328" i="58"/>
  <c r="N328" i="58"/>
  <c r="L328" i="58"/>
  <c r="Z327" i="58"/>
  <c r="Y327" i="58"/>
  <c r="X327" i="58"/>
  <c r="W327" i="58"/>
  <c r="V327" i="58"/>
  <c r="U327" i="58"/>
  <c r="T327" i="58"/>
  <c r="S327" i="58"/>
  <c r="R327" i="58"/>
  <c r="Q327" i="58"/>
  <c r="P327" i="58"/>
  <c r="O327" i="58"/>
  <c r="N327" i="58"/>
  <c r="L327" i="58"/>
  <c r="Z326" i="58"/>
  <c r="Y326" i="58"/>
  <c r="X326" i="58"/>
  <c r="W326" i="58"/>
  <c r="V326" i="58"/>
  <c r="U326" i="58"/>
  <c r="T326" i="58"/>
  <c r="S326" i="58"/>
  <c r="R326" i="58"/>
  <c r="Q326" i="58"/>
  <c r="P326" i="58"/>
  <c r="O326" i="58"/>
  <c r="N326" i="58"/>
  <c r="L326" i="58"/>
  <c r="Z325" i="58"/>
  <c r="Y325" i="58"/>
  <c r="X325" i="58"/>
  <c r="W325" i="58"/>
  <c r="V325" i="58"/>
  <c r="U325" i="58"/>
  <c r="T325" i="58"/>
  <c r="S325" i="58"/>
  <c r="R325" i="58"/>
  <c r="Q325" i="58"/>
  <c r="P325" i="58"/>
  <c r="O325" i="58"/>
  <c r="N325" i="58"/>
  <c r="L325" i="58"/>
  <c r="Z324" i="58"/>
  <c r="Y324" i="58"/>
  <c r="X324" i="58"/>
  <c r="W324" i="58"/>
  <c r="V324" i="58"/>
  <c r="U324" i="58"/>
  <c r="T324" i="58"/>
  <c r="S324" i="58"/>
  <c r="R324" i="58"/>
  <c r="Q324" i="58"/>
  <c r="P324" i="58"/>
  <c r="O324" i="58"/>
  <c r="N324" i="58"/>
  <c r="L324" i="58"/>
  <c r="Z323" i="58"/>
  <c r="Y323" i="58"/>
  <c r="X323" i="58"/>
  <c r="W323" i="58"/>
  <c r="V323" i="58"/>
  <c r="U323" i="58"/>
  <c r="T323" i="58"/>
  <c r="S323" i="58"/>
  <c r="R323" i="58"/>
  <c r="Q323" i="58"/>
  <c r="P323" i="58"/>
  <c r="O323" i="58"/>
  <c r="N323" i="58"/>
  <c r="L323" i="58"/>
  <c r="Z322" i="58"/>
  <c r="Y322" i="58"/>
  <c r="X322" i="58"/>
  <c r="W322" i="58"/>
  <c r="V322" i="58"/>
  <c r="U322" i="58"/>
  <c r="T322" i="58"/>
  <c r="S322" i="58"/>
  <c r="R322" i="58"/>
  <c r="Q322" i="58"/>
  <c r="P322" i="58"/>
  <c r="O322" i="58"/>
  <c r="N322" i="58"/>
  <c r="L322" i="58"/>
  <c r="Z321" i="58"/>
  <c r="Y321" i="58"/>
  <c r="X321" i="58"/>
  <c r="W321" i="58"/>
  <c r="V321" i="58"/>
  <c r="U321" i="58"/>
  <c r="T321" i="58"/>
  <c r="S321" i="58"/>
  <c r="R321" i="58"/>
  <c r="Q321" i="58"/>
  <c r="P321" i="58"/>
  <c r="O321" i="58"/>
  <c r="N321" i="58"/>
  <c r="L321" i="58"/>
  <c r="Z320" i="58"/>
  <c r="Y320" i="58"/>
  <c r="X320" i="58"/>
  <c r="W320" i="58"/>
  <c r="V320" i="58"/>
  <c r="U320" i="58"/>
  <c r="T320" i="58"/>
  <c r="S320" i="58"/>
  <c r="R320" i="58"/>
  <c r="Q320" i="58"/>
  <c r="P320" i="58"/>
  <c r="O320" i="58"/>
  <c r="N320" i="58"/>
  <c r="L320" i="58"/>
  <c r="Z319" i="58"/>
  <c r="Y319" i="58"/>
  <c r="X319" i="58"/>
  <c r="W319" i="58"/>
  <c r="V319" i="58"/>
  <c r="U319" i="58"/>
  <c r="T319" i="58"/>
  <c r="S319" i="58"/>
  <c r="R319" i="58"/>
  <c r="Q319" i="58"/>
  <c r="P319" i="58"/>
  <c r="O319" i="58"/>
  <c r="N319" i="58"/>
  <c r="L319" i="58"/>
  <c r="Z318" i="58"/>
  <c r="Y318" i="58"/>
  <c r="X318" i="58"/>
  <c r="W318" i="58"/>
  <c r="V318" i="58"/>
  <c r="U318" i="58"/>
  <c r="T318" i="58"/>
  <c r="S318" i="58"/>
  <c r="R318" i="58"/>
  <c r="Q318" i="58"/>
  <c r="P318" i="58"/>
  <c r="O318" i="58"/>
  <c r="N318" i="58"/>
  <c r="L318" i="58"/>
  <c r="Z317" i="58"/>
  <c r="Y317" i="58"/>
  <c r="X317" i="58"/>
  <c r="W317" i="58"/>
  <c r="V317" i="58"/>
  <c r="U317" i="58"/>
  <c r="T317" i="58"/>
  <c r="S317" i="58"/>
  <c r="R317" i="58"/>
  <c r="Q317" i="58"/>
  <c r="P317" i="58"/>
  <c r="O317" i="58"/>
  <c r="N317" i="58"/>
  <c r="L317" i="58"/>
  <c r="Z316" i="58"/>
  <c r="Y316" i="58"/>
  <c r="X316" i="58"/>
  <c r="W316" i="58"/>
  <c r="V316" i="58"/>
  <c r="U316" i="58"/>
  <c r="T316" i="58"/>
  <c r="S316" i="58"/>
  <c r="R316" i="58"/>
  <c r="Q316" i="58"/>
  <c r="P316" i="58"/>
  <c r="O316" i="58"/>
  <c r="N316" i="58"/>
  <c r="L316" i="58"/>
  <c r="Z315" i="58"/>
  <c r="Y315" i="58"/>
  <c r="X315" i="58"/>
  <c r="W315" i="58"/>
  <c r="V315" i="58"/>
  <c r="U315" i="58"/>
  <c r="T315" i="58"/>
  <c r="S315" i="58"/>
  <c r="R315" i="58"/>
  <c r="Q315" i="58"/>
  <c r="P315" i="58"/>
  <c r="O315" i="58"/>
  <c r="N315" i="58"/>
  <c r="L315" i="58"/>
  <c r="Z314" i="58"/>
  <c r="Y314" i="58"/>
  <c r="X314" i="58"/>
  <c r="W314" i="58"/>
  <c r="V314" i="58"/>
  <c r="U314" i="58"/>
  <c r="T314" i="58"/>
  <c r="S314" i="58"/>
  <c r="R314" i="58"/>
  <c r="Q314" i="58"/>
  <c r="P314" i="58"/>
  <c r="O314" i="58"/>
  <c r="N314" i="58"/>
  <c r="L314" i="58"/>
  <c r="Z313" i="58"/>
  <c r="Y313" i="58"/>
  <c r="X313" i="58"/>
  <c r="W313" i="58"/>
  <c r="V313" i="58"/>
  <c r="U313" i="58"/>
  <c r="T313" i="58"/>
  <c r="S313" i="58"/>
  <c r="R313" i="58"/>
  <c r="Q313" i="58"/>
  <c r="P313" i="58"/>
  <c r="O313" i="58"/>
  <c r="N313" i="58"/>
  <c r="L313" i="58"/>
  <c r="Z312" i="58"/>
  <c r="Y312" i="58"/>
  <c r="X312" i="58"/>
  <c r="W312" i="58"/>
  <c r="V312" i="58"/>
  <c r="U312" i="58"/>
  <c r="T312" i="58"/>
  <c r="S312" i="58"/>
  <c r="R312" i="58"/>
  <c r="Q312" i="58"/>
  <c r="P312" i="58"/>
  <c r="O312" i="58"/>
  <c r="N312" i="58"/>
  <c r="L312" i="58"/>
  <c r="Z311" i="58"/>
  <c r="Y311" i="58"/>
  <c r="X311" i="58"/>
  <c r="W311" i="58"/>
  <c r="V311" i="58"/>
  <c r="U311" i="58"/>
  <c r="T311" i="58"/>
  <c r="S311" i="58"/>
  <c r="R311" i="58"/>
  <c r="Q311" i="58"/>
  <c r="P311" i="58"/>
  <c r="O311" i="58"/>
  <c r="N311" i="58"/>
  <c r="L311" i="58"/>
  <c r="Z310" i="58"/>
  <c r="Y310" i="58"/>
  <c r="X310" i="58"/>
  <c r="W310" i="58"/>
  <c r="V310" i="58"/>
  <c r="U310" i="58"/>
  <c r="T310" i="58"/>
  <c r="S310" i="58"/>
  <c r="R310" i="58"/>
  <c r="Q310" i="58"/>
  <c r="P310" i="58"/>
  <c r="O310" i="58"/>
  <c r="N310" i="58"/>
  <c r="L310" i="58"/>
  <c r="Z309" i="58"/>
  <c r="Y309" i="58"/>
  <c r="X309" i="58"/>
  <c r="W309" i="58"/>
  <c r="V309" i="58"/>
  <c r="U309" i="58"/>
  <c r="T309" i="58"/>
  <c r="S309" i="58"/>
  <c r="R309" i="58"/>
  <c r="Q309" i="58"/>
  <c r="P309" i="58"/>
  <c r="O309" i="58"/>
  <c r="N309" i="58"/>
  <c r="L309" i="58"/>
  <c r="Z308" i="58"/>
  <c r="Y308" i="58"/>
  <c r="X308" i="58"/>
  <c r="W308" i="58"/>
  <c r="V308" i="58"/>
  <c r="U308" i="58"/>
  <c r="T308" i="58"/>
  <c r="S308" i="58"/>
  <c r="R308" i="58"/>
  <c r="Q308" i="58"/>
  <c r="P308" i="58"/>
  <c r="O308" i="58"/>
  <c r="N308" i="58"/>
  <c r="L308" i="58"/>
  <c r="Z307" i="58"/>
  <c r="Y307" i="58"/>
  <c r="X307" i="58"/>
  <c r="W307" i="58"/>
  <c r="V307" i="58"/>
  <c r="U307" i="58"/>
  <c r="T307" i="58"/>
  <c r="S307" i="58"/>
  <c r="R307" i="58"/>
  <c r="Q307" i="58"/>
  <c r="P307" i="58"/>
  <c r="O307" i="58"/>
  <c r="N307" i="58"/>
  <c r="L307" i="58"/>
  <c r="Z306" i="58"/>
  <c r="Y306" i="58"/>
  <c r="X306" i="58"/>
  <c r="W306" i="58"/>
  <c r="V306" i="58"/>
  <c r="U306" i="58"/>
  <c r="T306" i="58"/>
  <c r="S306" i="58"/>
  <c r="R306" i="58"/>
  <c r="Q306" i="58"/>
  <c r="P306" i="58"/>
  <c r="O306" i="58"/>
  <c r="N306" i="58"/>
  <c r="L306" i="58"/>
  <c r="Z305" i="58"/>
  <c r="Y305" i="58"/>
  <c r="X305" i="58"/>
  <c r="W305" i="58"/>
  <c r="V305" i="58"/>
  <c r="U305" i="58"/>
  <c r="T305" i="58"/>
  <c r="S305" i="58"/>
  <c r="R305" i="58"/>
  <c r="Q305" i="58"/>
  <c r="P305" i="58"/>
  <c r="O305" i="58"/>
  <c r="N305" i="58"/>
  <c r="L305" i="58"/>
  <c r="Z304" i="58"/>
  <c r="Y304" i="58"/>
  <c r="X304" i="58"/>
  <c r="W304" i="58"/>
  <c r="V304" i="58"/>
  <c r="U304" i="58"/>
  <c r="T304" i="58"/>
  <c r="S304" i="58"/>
  <c r="R304" i="58"/>
  <c r="Q304" i="58"/>
  <c r="P304" i="58"/>
  <c r="O304" i="58"/>
  <c r="N304" i="58"/>
  <c r="L304" i="58"/>
  <c r="Z303" i="58"/>
  <c r="Y303" i="58"/>
  <c r="X303" i="58"/>
  <c r="W303" i="58"/>
  <c r="V303" i="58"/>
  <c r="U303" i="58"/>
  <c r="T303" i="58"/>
  <c r="S303" i="58"/>
  <c r="R303" i="58"/>
  <c r="Q303" i="58"/>
  <c r="P303" i="58"/>
  <c r="O303" i="58"/>
  <c r="N303" i="58"/>
  <c r="L303" i="58"/>
  <c r="Z302" i="58"/>
  <c r="Y302" i="58"/>
  <c r="X302" i="58"/>
  <c r="W302" i="58"/>
  <c r="V302" i="58"/>
  <c r="U302" i="58"/>
  <c r="T302" i="58"/>
  <c r="S302" i="58"/>
  <c r="R302" i="58"/>
  <c r="Q302" i="58"/>
  <c r="P302" i="58"/>
  <c r="O302" i="58"/>
  <c r="N302" i="58"/>
  <c r="L302" i="58"/>
  <c r="Z301" i="58"/>
  <c r="Y301" i="58"/>
  <c r="X301" i="58"/>
  <c r="W301" i="58"/>
  <c r="V301" i="58"/>
  <c r="U301" i="58"/>
  <c r="T301" i="58"/>
  <c r="S301" i="58"/>
  <c r="R301" i="58"/>
  <c r="Q301" i="58"/>
  <c r="P301" i="58"/>
  <c r="O301" i="58"/>
  <c r="N301" i="58"/>
  <c r="L301" i="58"/>
  <c r="Z300" i="58"/>
  <c r="Y300" i="58"/>
  <c r="X300" i="58"/>
  <c r="W300" i="58"/>
  <c r="V300" i="58"/>
  <c r="U300" i="58"/>
  <c r="T300" i="58"/>
  <c r="S300" i="58"/>
  <c r="R300" i="58"/>
  <c r="Q300" i="58"/>
  <c r="P300" i="58"/>
  <c r="O300" i="58"/>
  <c r="N300" i="58"/>
  <c r="L300" i="58"/>
  <c r="Z299" i="58"/>
  <c r="Y299" i="58"/>
  <c r="X299" i="58"/>
  <c r="W299" i="58"/>
  <c r="V299" i="58"/>
  <c r="U299" i="58"/>
  <c r="T299" i="58"/>
  <c r="S299" i="58"/>
  <c r="R299" i="58"/>
  <c r="Q299" i="58"/>
  <c r="P299" i="58"/>
  <c r="O299" i="58"/>
  <c r="N299" i="58"/>
  <c r="L299" i="58"/>
  <c r="Z298" i="58"/>
  <c r="Y298" i="58"/>
  <c r="X298" i="58"/>
  <c r="W298" i="58"/>
  <c r="V298" i="58"/>
  <c r="U298" i="58"/>
  <c r="T298" i="58"/>
  <c r="S298" i="58"/>
  <c r="R298" i="58"/>
  <c r="Q298" i="58"/>
  <c r="P298" i="58"/>
  <c r="O298" i="58"/>
  <c r="N298" i="58"/>
  <c r="L298" i="58"/>
  <c r="Z297" i="58"/>
  <c r="Y297" i="58"/>
  <c r="X297" i="58"/>
  <c r="W297" i="58"/>
  <c r="V297" i="58"/>
  <c r="U297" i="58"/>
  <c r="T297" i="58"/>
  <c r="S297" i="58"/>
  <c r="R297" i="58"/>
  <c r="Q297" i="58"/>
  <c r="P297" i="58"/>
  <c r="O297" i="58"/>
  <c r="N297" i="58"/>
  <c r="L297" i="58"/>
  <c r="Z296" i="58"/>
  <c r="Y296" i="58"/>
  <c r="X296" i="58"/>
  <c r="W296" i="58"/>
  <c r="V296" i="58"/>
  <c r="U296" i="58"/>
  <c r="T296" i="58"/>
  <c r="S296" i="58"/>
  <c r="R296" i="58"/>
  <c r="Q296" i="58"/>
  <c r="P296" i="58"/>
  <c r="O296" i="58"/>
  <c r="N296" i="58"/>
  <c r="L296" i="58"/>
  <c r="Z295" i="58"/>
  <c r="Y295" i="58"/>
  <c r="X295" i="58"/>
  <c r="W295" i="58"/>
  <c r="V295" i="58"/>
  <c r="U295" i="58"/>
  <c r="T295" i="58"/>
  <c r="S295" i="58"/>
  <c r="R295" i="58"/>
  <c r="Q295" i="58"/>
  <c r="P295" i="58"/>
  <c r="O295" i="58"/>
  <c r="N295" i="58"/>
  <c r="L295" i="58"/>
  <c r="Z294" i="58"/>
  <c r="Y294" i="58"/>
  <c r="X294" i="58"/>
  <c r="W294" i="58"/>
  <c r="V294" i="58"/>
  <c r="U294" i="58"/>
  <c r="T294" i="58"/>
  <c r="S294" i="58"/>
  <c r="R294" i="58"/>
  <c r="Q294" i="58"/>
  <c r="P294" i="58"/>
  <c r="O294" i="58"/>
  <c r="N294" i="58"/>
  <c r="L294" i="58"/>
  <c r="Z293" i="58"/>
  <c r="Y293" i="58"/>
  <c r="X293" i="58"/>
  <c r="W293" i="58"/>
  <c r="V293" i="58"/>
  <c r="U293" i="58"/>
  <c r="T293" i="58"/>
  <c r="S293" i="58"/>
  <c r="R293" i="58"/>
  <c r="Q293" i="58"/>
  <c r="P293" i="58"/>
  <c r="O293" i="58"/>
  <c r="N293" i="58"/>
  <c r="L293" i="58"/>
  <c r="Z292" i="58"/>
  <c r="Y292" i="58"/>
  <c r="X292" i="58"/>
  <c r="W292" i="58"/>
  <c r="V292" i="58"/>
  <c r="U292" i="58"/>
  <c r="T292" i="58"/>
  <c r="S292" i="58"/>
  <c r="R292" i="58"/>
  <c r="Q292" i="58"/>
  <c r="P292" i="58"/>
  <c r="O292" i="58"/>
  <c r="N292" i="58"/>
  <c r="L292" i="58"/>
  <c r="Z291" i="58"/>
  <c r="Y291" i="58"/>
  <c r="X291" i="58"/>
  <c r="W291" i="58"/>
  <c r="V291" i="58"/>
  <c r="U291" i="58"/>
  <c r="T291" i="58"/>
  <c r="S291" i="58"/>
  <c r="R291" i="58"/>
  <c r="Q291" i="58"/>
  <c r="P291" i="58"/>
  <c r="O291" i="58"/>
  <c r="N291" i="58"/>
  <c r="L291" i="58"/>
  <c r="Z290" i="58"/>
  <c r="Y290" i="58"/>
  <c r="X290" i="58"/>
  <c r="W290" i="58"/>
  <c r="V290" i="58"/>
  <c r="U290" i="58"/>
  <c r="T290" i="58"/>
  <c r="S290" i="58"/>
  <c r="R290" i="58"/>
  <c r="Q290" i="58"/>
  <c r="P290" i="58"/>
  <c r="O290" i="58"/>
  <c r="N290" i="58"/>
  <c r="L290" i="58"/>
  <c r="Z289" i="58"/>
  <c r="Y289" i="58"/>
  <c r="X289" i="58"/>
  <c r="W289" i="58"/>
  <c r="V289" i="58"/>
  <c r="U289" i="58"/>
  <c r="T289" i="58"/>
  <c r="S289" i="58"/>
  <c r="R289" i="58"/>
  <c r="Q289" i="58"/>
  <c r="P289" i="58"/>
  <c r="O289" i="58"/>
  <c r="N289" i="58"/>
  <c r="L289" i="58"/>
  <c r="Z288" i="58"/>
  <c r="Y288" i="58"/>
  <c r="X288" i="58"/>
  <c r="W288" i="58"/>
  <c r="V288" i="58"/>
  <c r="U288" i="58"/>
  <c r="T288" i="58"/>
  <c r="S288" i="58"/>
  <c r="R288" i="58"/>
  <c r="Q288" i="58"/>
  <c r="P288" i="58"/>
  <c r="O288" i="58"/>
  <c r="N288" i="58"/>
  <c r="L288" i="58"/>
  <c r="Z287" i="58"/>
  <c r="Y287" i="58"/>
  <c r="X287" i="58"/>
  <c r="W287" i="58"/>
  <c r="V287" i="58"/>
  <c r="U287" i="58"/>
  <c r="T287" i="58"/>
  <c r="S287" i="58"/>
  <c r="R287" i="58"/>
  <c r="Q287" i="58"/>
  <c r="P287" i="58"/>
  <c r="O287" i="58"/>
  <c r="N287" i="58"/>
  <c r="L287" i="58"/>
  <c r="Z286" i="58"/>
  <c r="Y286" i="58"/>
  <c r="X286" i="58"/>
  <c r="W286" i="58"/>
  <c r="V286" i="58"/>
  <c r="U286" i="58"/>
  <c r="T286" i="58"/>
  <c r="S286" i="58"/>
  <c r="R286" i="58"/>
  <c r="Q286" i="58"/>
  <c r="P286" i="58"/>
  <c r="O286" i="58"/>
  <c r="N286" i="58"/>
  <c r="L286" i="58"/>
  <c r="Z285" i="58"/>
  <c r="Y285" i="58"/>
  <c r="X285" i="58"/>
  <c r="W285" i="58"/>
  <c r="V285" i="58"/>
  <c r="U285" i="58"/>
  <c r="T285" i="58"/>
  <c r="S285" i="58"/>
  <c r="R285" i="58"/>
  <c r="Q285" i="58"/>
  <c r="P285" i="58"/>
  <c r="O285" i="58"/>
  <c r="N285" i="58"/>
  <c r="L285" i="58"/>
  <c r="Z284" i="58"/>
  <c r="Y284" i="58"/>
  <c r="X284" i="58"/>
  <c r="W284" i="58"/>
  <c r="V284" i="58"/>
  <c r="U284" i="58"/>
  <c r="T284" i="58"/>
  <c r="S284" i="58"/>
  <c r="R284" i="58"/>
  <c r="Q284" i="58"/>
  <c r="P284" i="58"/>
  <c r="O284" i="58"/>
  <c r="N284" i="58"/>
  <c r="L284" i="58"/>
  <c r="Z283" i="58"/>
  <c r="Y283" i="58"/>
  <c r="X283" i="58"/>
  <c r="W283" i="58"/>
  <c r="V283" i="58"/>
  <c r="U283" i="58"/>
  <c r="T283" i="58"/>
  <c r="S283" i="58"/>
  <c r="R283" i="58"/>
  <c r="Q283" i="58"/>
  <c r="P283" i="58"/>
  <c r="O283" i="58"/>
  <c r="N283" i="58"/>
  <c r="L283" i="58"/>
  <c r="Z282" i="58"/>
  <c r="Y282" i="58"/>
  <c r="X282" i="58"/>
  <c r="W282" i="58"/>
  <c r="V282" i="58"/>
  <c r="U282" i="58"/>
  <c r="T282" i="58"/>
  <c r="S282" i="58"/>
  <c r="R282" i="58"/>
  <c r="Q282" i="58"/>
  <c r="P282" i="58"/>
  <c r="O282" i="58"/>
  <c r="N282" i="58"/>
  <c r="L282" i="58"/>
  <c r="Z281" i="58"/>
  <c r="Y281" i="58"/>
  <c r="X281" i="58"/>
  <c r="W281" i="58"/>
  <c r="V281" i="58"/>
  <c r="U281" i="58"/>
  <c r="T281" i="58"/>
  <c r="S281" i="58"/>
  <c r="R281" i="58"/>
  <c r="Q281" i="58"/>
  <c r="P281" i="58"/>
  <c r="O281" i="58"/>
  <c r="N281" i="58"/>
  <c r="L281" i="58"/>
  <c r="Z280" i="58"/>
  <c r="Y280" i="58"/>
  <c r="X280" i="58"/>
  <c r="W280" i="58"/>
  <c r="V280" i="58"/>
  <c r="U280" i="58"/>
  <c r="T280" i="58"/>
  <c r="S280" i="58"/>
  <c r="R280" i="58"/>
  <c r="Q280" i="58"/>
  <c r="P280" i="58"/>
  <c r="O280" i="58"/>
  <c r="N280" i="58"/>
  <c r="L280" i="58"/>
  <c r="Z279" i="58"/>
  <c r="Y279" i="58"/>
  <c r="X279" i="58"/>
  <c r="W279" i="58"/>
  <c r="V279" i="58"/>
  <c r="U279" i="58"/>
  <c r="T279" i="58"/>
  <c r="S279" i="58"/>
  <c r="R279" i="58"/>
  <c r="Q279" i="58"/>
  <c r="P279" i="58"/>
  <c r="O279" i="58"/>
  <c r="N279" i="58"/>
  <c r="L279" i="58"/>
  <c r="Z278" i="58"/>
  <c r="Y278" i="58"/>
  <c r="X278" i="58"/>
  <c r="W278" i="58"/>
  <c r="V278" i="58"/>
  <c r="U278" i="58"/>
  <c r="T278" i="58"/>
  <c r="S278" i="58"/>
  <c r="R278" i="58"/>
  <c r="Q278" i="58"/>
  <c r="P278" i="58"/>
  <c r="O278" i="58"/>
  <c r="N278" i="58"/>
  <c r="L278" i="58"/>
  <c r="Z277" i="58"/>
  <c r="Y277" i="58"/>
  <c r="X277" i="58"/>
  <c r="W277" i="58"/>
  <c r="V277" i="58"/>
  <c r="U277" i="58"/>
  <c r="T277" i="58"/>
  <c r="S277" i="58"/>
  <c r="R277" i="58"/>
  <c r="Q277" i="58"/>
  <c r="P277" i="58"/>
  <c r="O277" i="58"/>
  <c r="N277" i="58"/>
  <c r="L277" i="58"/>
  <c r="Z276" i="58"/>
  <c r="Y276" i="58"/>
  <c r="X276" i="58"/>
  <c r="W276" i="58"/>
  <c r="V276" i="58"/>
  <c r="U276" i="58"/>
  <c r="T276" i="58"/>
  <c r="S276" i="58"/>
  <c r="R276" i="58"/>
  <c r="Q276" i="58"/>
  <c r="P276" i="58"/>
  <c r="O276" i="58"/>
  <c r="N276" i="58"/>
  <c r="L276" i="58"/>
  <c r="Z275" i="58"/>
  <c r="Y275" i="58"/>
  <c r="X275" i="58"/>
  <c r="W275" i="58"/>
  <c r="V275" i="58"/>
  <c r="U275" i="58"/>
  <c r="T275" i="58"/>
  <c r="S275" i="58"/>
  <c r="R275" i="58"/>
  <c r="Q275" i="58"/>
  <c r="P275" i="58"/>
  <c r="O275" i="58"/>
  <c r="N275" i="58"/>
  <c r="L275" i="58"/>
  <c r="Z274" i="58"/>
  <c r="Y274" i="58"/>
  <c r="X274" i="58"/>
  <c r="W274" i="58"/>
  <c r="V274" i="58"/>
  <c r="U274" i="58"/>
  <c r="T274" i="58"/>
  <c r="S274" i="58"/>
  <c r="R274" i="58"/>
  <c r="Q274" i="58"/>
  <c r="P274" i="58"/>
  <c r="O274" i="58"/>
  <c r="N274" i="58"/>
  <c r="L274" i="58"/>
  <c r="Z273" i="58"/>
  <c r="Y273" i="58"/>
  <c r="X273" i="58"/>
  <c r="W273" i="58"/>
  <c r="V273" i="58"/>
  <c r="U273" i="58"/>
  <c r="T273" i="58"/>
  <c r="S273" i="58"/>
  <c r="R273" i="58"/>
  <c r="Q273" i="58"/>
  <c r="P273" i="58"/>
  <c r="O273" i="58"/>
  <c r="N273" i="58"/>
  <c r="L273" i="58"/>
  <c r="Z272" i="58"/>
  <c r="Y272" i="58"/>
  <c r="X272" i="58"/>
  <c r="W272" i="58"/>
  <c r="V272" i="58"/>
  <c r="U272" i="58"/>
  <c r="T272" i="58"/>
  <c r="S272" i="58"/>
  <c r="R272" i="58"/>
  <c r="Q272" i="58"/>
  <c r="P272" i="58"/>
  <c r="O272" i="58"/>
  <c r="N272" i="58"/>
  <c r="L272" i="58"/>
  <c r="Z271" i="58"/>
  <c r="Y271" i="58"/>
  <c r="X271" i="58"/>
  <c r="W271" i="58"/>
  <c r="V271" i="58"/>
  <c r="U271" i="58"/>
  <c r="T271" i="58"/>
  <c r="S271" i="58"/>
  <c r="R271" i="58"/>
  <c r="Q271" i="58"/>
  <c r="P271" i="58"/>
  <c r="O271" i="58"/>
  <c r="N271" i="58"/>
  <c r="L271" i="58"/>
  <c r="Z270" i="58"/>
  <c r="Y270" i="58"/>
  <c r="X270" i="58"/>
  <c r="W270" i="58"/>
  <c r="V270" i="58"/>
  <c r="U270" i="58"/>
  <c r="T270" i="58"/>
  <c r="S270" i="58"/>
  <c r="R270" i="58"/>
  <c r="Q270" i="58"/>
  <c r="P270" i="58"/>
  <c r="O270" i="58"/>
  <c r="N270" i="58"/>
  <c r="L270" i="58"/>
  <c r="Z269" i="58"/>
  <c r="Y269" i="58"/>
  <c r="X269" i="58"/>
  <c r="W269" i="58"/>
  <c r="V269" i="58"/>
  <c r="U269" i="58"/>
  <c r="T269" i="58"/>
  <c r="S269" i="58"/>
  <c r="R269" i="58"/>
  <c r="Q269" i="58"/>
  <c r="P269" i="58"/>
  <c r="O269" i="58"/>
  <c r="N269" i="58"/>
  <c r="L269" i="58"/>
  <c r="Z268" i="58"/>
  <c r="Y268" i="58"/>
  <c r="X268" i="58"/>
  <c r="W268" i="58"/>
  <c r="V268" i="58"/>
  <c r="U268" i="58"/>
  <c r="T268" i="58"/>
  <c r="S268" i="58"/>
  <c r="R268" i="58"/>
  <c r="Q268" i="58"/>
  <c r="P268" i="58"/>
  <c r="O268" i="58"/>
  <c r="N268" i="58"/>
  <c r="L268" i="58"/>
  <c r="Z267" i="58"/>
  <c r="Y267" i="58"/>
  <c r="X267" i="58"/>
  <c r="W267" i="58"/>
  <c r="V267" i="58"/>
  <c r="U267" i="58"/>
  <c r="T267" i="58"/>
  <c r="S267" i="58"/>
  <c r="R267" i="58"/>
  <c r="Q267" i="58"/>
  <c r="P267" i="58"/>
  <c r="O267" i="58"/>
  <c r="N267" i="58"/>
  <c r="L267" i="58"/>
  <c r="Z266" i="58"/>
  <c r="Y266" i="58"/>
  <c r="X266" i="58"/>
  <c r="W266" i="58"/>
  <c r="V266" i="58"/>
  <c r="U266" i="58"/>
  <c r="T266" i="58"/>
  <c r="S266" i="58"/>
  <c r="R266" i="58"/>
  <c r="Q266" i="58"/>
  <c r="P266" i="58"/>
  <c r="O266" i="58"/>
  <c r="N266" i="58"/>
  <c r="L266" i="58"/>
  <c r="Z265" i="58"/>
  <c r="Y265" i="58"/>
  <c r="X265" i="58"/>
  <c r="W265" i="58"/>
  <c r="V265" i="58"/>
  <c r="U265" i="58"/>
  <c r="T265" i="58"/>
  <c r="S265" i="58"/>
  <c r="R265" i="58"/>
  <c r="Q265" i="58"/>
  <c r="P265" i="58"/>
  <c r="O265" i="58"/>
  <c r="N265" i="58"/>
  <c r="L265" i="58"/>
  <c r="Z264" i="58"/>
  <c r="Y264" i="58"/>
  <c r="X264" i="58"/>
  <c r="W264" i="58"/>
  <c r="V264" i="58"/>
  <c r="U264" i="58"/>
  <c r="T264" i="58"/>
  <c r="S264" i="58"/>
  <c r="R264" i="58"/>
  <c r="Q264" i="58"/>
  <c r="P264" i="58"/>
  <c r="O264" i="58"/>
  <c r="N264" i="58"/>
  <c r="L264" i="58"/>
  <c r="Z263" i="58"/>
  <c r="Y263" i="58"/>
  <c r="X263" i="58"/>
  <c r="W263" i="58"/>
  <c r="V263" i="58"/>
  <c r="U263" i="58"/>
  <c r="T263" i="58"/>
  <c r="S263" i="58"/>
  <c r="R263" i="58"/>
  <c r="Q263" i="58"/>
  <c r="P263" i="58"/>
  <c r="O263" i="58"/>
  <c r="N263" i="58"/>
  <c r="L263" i="58"/>
  <c r="Z262" i="58"/>
  <c r="Y262" i="58"/>
  <c r="X262" i="58"/>
  <c r="W262" i="58"/>
  <c r="V262" i="58"/>
  <c r="U262" i="58"/>
  <c r="T262" i="58"/>
  <c r="S262" i="58"/>
  <c r="R262" i="58"/>
  <c r="Q262" i="58"/>
  <c r="P262" i="58"/>
  <c r="O262" i="58"/>
  <c r="N262" i="58"/>
  <c r="L262" i="58"/>
  <c r="Z261" i="58"/>
  <c r="Y261" i="58"/>
  <c r="X261" i="58"/>
  <c r="W261" i="58"/>
  <c r="V261" i="58"/>
  <c r="U261" i="58"/>
  <c r="T261" i="58"/>
  <c r="S261" i="58"/>
  <c r="R261" i="58"/>
  <c r="Q261" i="58"/>
  <c r="P261" i="58"/>
  <c r="O261" i="58"/>
  <c r="N261" i="58"/>
  <c r="L261" i="58"/>
  <c r="Z260" i="58"/>
  <c r="Y260" i="58"/>
  <c r="X260" i="58"/>
  <c r="W260" i="58"/>
  <c r="V260" i="58"/>
  <c r="U260" i="58"/>
  <c r="T260" i="58"/>
  <c r="S260" i="58"/>
  <c r="R260" i="58"/>
  <c r="Q260" i="58"/>
  <c r="P260" i="58"/>
  <c r="O260" i="58"/>
  <c r="N260" i="58"/>
  <c r="L260" i="58"/>
  <c r="Z259" i="58"/>
  <c r="Y259" i="58"/>
  <c r="X259" i="58"/>
  <c r="W259" i="58"/>
  <c r="V259" i="58"/>
  <c r="U259" i="58"/>
  <c r="T259" i="58"/>
  <c r="S259" i="58"/>
  <c r="R259" i="58"/>
  <c r="Q259" i="58"/>
  <c r="P259" i="58"/>
  <c r="O259" i="58"/>
  <c r="N259" i="58"/>
  <c r="L259" i="58"/>
  <c r="Z258" i="58"/>
  <c r="Y258" i="58"/>
  <c r="X258" i="58"/>
  <c r="W258" i="58"/>
  <c r="V258" i="58"/>
  <c r="U258" i="58"/>
  <c r="T258" i="58"/>
  <c r="S258" i="58"/>
  <c r="R258" i="58"/>
  <c r="Q258" i="58"/>
  <c r="P258" i="58"/>
  <c r="O258" i="58"/>
  <c r="N258" i="58"/>
  <c r="L258" i="58"/>
  <c r="Z257" i="58"/>
  <c r="Y257" i="58"/>
  <c r="X257" i="58"/>
  <c r="W257" i="58"/>
  <c r="V257" i="58"/>
  <c r="U257" i="58"/>
  <c r="T257" i="58"/>
  <c r="S257" i="58"/>
  <c r="R257" i="58"/>
  <c r="Q257" i="58"/>
  <c r="P257" i="58"/>
  <c r="O257" i="58"/>
  <c r="N257" i="58"/>
  <c r="L257" i="58"/>
  <c r="Z256" i="58"/>
  <c r="Y256" i="58"/>
  <c r="X256" i="58"/>
  <c r="W256" i="58"/>
  <c r="V256" i="58"/>
  <c r="U256" i="58"/>
  <c r="T256" i="58"/>
  <c r="S256" i="58"/>
  <c r="R256" i="58"/>
  <c r="Q256" i="58"/>
  <c r="P256" i="58"/>
  <c r="O256" i="58"/>
  <c r="N256" i="58"/>
  <c r="L256" i="58"/>
  <c r="Z255" i="58"/>
  <c r="Y255" i="58"/>
  <c r="X255" i="58"/>
  <c r="W255" i="58"/>
  <c r="V255" i="58"/>
  <c r="U255" i="58"/>
  <c r="T255" i="58"/>
  <c r="S255" i="58"/>
  <c r="R255" i="58"/>
  <c r="Q255" i="58"/>
  <c r="P255" i="58"/>
  <c r="O255" i="58"/>
  <c r="N255" i="58"/>
  <c r="L255" i="58"/>
  <c r="Z254" i="58"/>
  <c r="Y254" i="58"/>
  <c r="X254" i="58"/>
  <c r="W254" i="58"/>
  <c r="V254" i="58"/>
  <c r="U254" i="58"/>
  <c r="T254" i="58"/>
  <c r="S254" i="58"/>
  <c r="R254" i="58"/>
  <c r="Q254" i="58"/>
  <c r="P254" i="58"/>
  <c r="O254" i="58"/>
  <c r="N254" i="58"/>
  <c r="L254" i="58"/>
  <c r="Z253" i="58"/>
  <c r="Y253" i="58"/>
  <c r="X253" i="58"/>
  <c r="W253" i="58"/>
  <c r="V253" i="58"/>
  <c r="U253" i="58"/>
  <c r="T253" i="58"/>
  <c r="S253" i="58"/>
  <c r="R253" i="58"/>
  <c r="Q253" i="58"/>
  <c r="P253" i="58"/>
  <c r="O253" i="58"/>
  <c r="N253" i="58"/>
  <c r="L253" i="58"/>
  <c r="Z252" i="58"/>
  <c r="Y252" i="58"/>
  <c r="X252" i="58"/>
  <c r="W252" i="58"/>
  <c r="V252" i="58"/>
  <c r="U252" i="58"/>
  <c r="T252" i="58"/>
  <c r="S252" i="58"/>
  <c r="R252" i="58"/>
  <c r="Q252" i="58"/>
  <c r="P252" i="58"/>
  <c r="O252" i="58"/>
  <c r="N252" i="58"/>
  <c r="L252" i="58"/>
  <c r="Z251" i="58"/>
  <c r="Y251" i="58"/>
  <c r="X251" i="58"/>
  <c r="W251" i="58"/>
  <c r="V251" i="58"/>
  <c r="U251" i="58"/>
  <c r="T251" i="58"/>
  <c r="S251" i="58"/>
  <c r="R251" i="58"/>
  <c r="Q251" i="58"/>
  <c r="P251" i="58"/>
  <c r="O251" i="58"/>
  <c r="N251" i="58"/>
  <c r="L251" i="58"/>
  <c r="Z250" i="58"/>
  <c r="Y250" i="58"/>
  <c r="X250" i="58"/>
  <c r="W250" i="58"/>
  <c r="V250" i="58"/>
  <c r="U250" i="58"/>
  <c r="T250" i="58"/>
  <c r="S250" i="58"/>
  <c r="R250" i="58"/>
  <c r="Q250" i="58"/>
  <c r="P250" i="58"/>
  <c r="O250" i="58"/>
  <c r="N250" i="58"/>
  <c r="L250" i="58"/>
  <c r="Z249" i="58"/>
  <c r="Y249" i="58"/>
  <c r="X249" i="58"/>
  <c r="W249" i="58"/>
  <c r="V249" i="58"/>
  <c r="U249" i="58"/>
  <c r="T249" i="58"/>
  <c r="S249" i="58"/>
  <c r="R249" i="58"/>
  <c r="Q249" i="58"/>
  <c r="P249" i="58"/>
  <c r="O249" i="58"/>
  <c r="N249" i="58"/>
  <c r="L249" i="58"/>
  <c r="Z248" i="58"/>
  <c r="Y248" i="58"/>
  <c r="X248" i="58"/>
  <c r="W248" i="58"/>
  <c r="V248" i="58"/>
  <c r="U248" i="58"/>
  <c r="T248" i="58"/>
  <c r="S248" i="58"/>
  <c r="R248" i="58"/>
  <c r="Q248" i="58"/>
  <c r="P248" i="58"/>
  <c r="O248" i="58"/>
  <c r="N248" i="58"/>
  <c r="L248" i="58"/>
  <c r="Z247" i="58"/>
  <c r="Y247" i="58"/>
  <c r="X247" i="58"/>
  <c r="W247" i="58"/>
  <c r="V247" i="58"/>
  <c r="U247" i="58"/>
  <c r="T247" i="58"/>
  <c r="S247" i="58"/>
  <c r="R247" i="58"/>
  <c r="Q247" i="58"/>
  <c r="P247" i="58"/>
  <c r="O247" i="58"/>
  <c r="N247" i="58"/>
  <c r="L247" i="58"/>
  <c r="Z246" i="58"/>
  <c r="Y246" i="58"/>
  <c r="X246" i="58"/>
  <c r="W246" i="58"/>
  <c r="V246" i="58"/>
  <c r="U246" i="58"/>
  <c r="T246" i="58"/>
  <c r="S246" i="58"/>
  <c r="R246" i="58"/>
  <c r="Q246" i="58"/>
  <c r="P246" i="58"/>
  <c r="O246" i="58"/>
  <c r="N246" i="58"/>
  <c r="L246" i="58"/>
  <c r="Z245" i="58"/>
  <c r="Y245" i="58"/>
  <c r="X245" i="58"/>
  <c r="W245" i="58"/>
  <c r="V245" i="58"/>
  <c r="U245" i="58"/>
  <c r="T245" i="58"/>
  <c r="S245" i="58"/>
  <c r="R245" i="58"/>
  <c r="Q245" i="58"/>
  <c r="P245" i="58"/>
  <c r="O245" i="58"/>
  <c r="N245" i="58"/>
  <c r="L245" i="58"/>
  <c r="Z244" i="58"/>
  <c r="Y244" i="58"/>
  <c r="X244" i="58"/>
  <c r="W244" i="58"/>
  <c r="V244" i="58"/>
  <c r="U244" i="58"/>
  <c r="T244" i="58"/>
  <c r="S244" i="58"/>
  <c r="R244" i="58"/>
  <c r="Q244" i="58"/>
  <c r="P244" i="58"/>
  <c r="O244" i="58"/>
  <c r="N244" i="58"/>
  <c r="L244" i="58"/>
  <c r="Z243" i="58"/>
  <c r="Y243" i="58"/>
  <c r="X243" i="58"/>
  <c r="W243" i="58"/>
  <c r="V243" i="58"/>
  <c r="U243" i="58"/>
  <c r="T243" i="58"/>
  <c r="S243" i="58"/>
  <c r="R243" i="58"/>
  <c r="Q243" i="58"/>
  <c r="P243" i="58"/>
  <c r="O243" i="58"/>
  <c r="N243" i="58"/>
  <c r="L243" i="58"/>
  <c r="Z242" i="58"/>
  <c r="Y242" i="58"/>
  <c r="X242" i="58"/>
  <c r="W242" i="58"/>
  <c r="V242" i="58"/>
  <c r="U242" i="58"/>
  <c r="T242" i="58"/>
  <c r="S242" i="58"/>
  <c r="R242" i="58"/>
  <c r="Q242" i="58"/>
  <c r="P242" i="58"/>
  <c r="O242" i="58"/>
  <c r="N242" i="58"/>
  <c r="L242" i="58"/>
  <c r="Z241" i="58"/>
  <c r="Y241" i="58"/>
  <c r="X241" i="58"/>
  <c r="W241" i="58"/>
  <c r="V241" i="58"/>
  <c r="U241" i="58"/>
  <c r="T241" i="58"/>
  <c r="S241" i="58"/>
  <c r="R241" i="58"/>
  <c r="Q241" i="58"/>
  <c r="P241" i="58"/>
  <c r="O241" i="58"/>
  <c r="N241" i="58"/>
  <c r="L241" i="58"/>
  <c r="Z240" i="58"/>
  <c r="Y240" i="58"/>
  <c r="X240" i="58"/>
  <c r="W240" i="58"/>
  <c r="V240" i="58"/>
  <c r="U240" i="58"/>
  <c r="T240" i="58"/>
  <c r="S240" i="58"/>
  <c r="R240" i="58"/>
  <c r="Q240" i="58"/>
  <c r="P240" i="58"/>
  <c r="O240" i="58"/>
  <c r="N240" i="58"/>
  <c r="L240" i="58"/>
  <c r="Z239" i="58"/>
  <c r="Y239" i="58"/>
  <c r="X239" i="58"/>
  <c r="W239" i="58"/>
  <c r="V239" i="58"/>
  <c r="U239" i="58"/>
  <c r="T239" i="58"/>
  <c r="S239" i="58"/>
  <c r="R239" i="58"/>
  <c r="Q239" i="58"/>
  <c r="P239" i="58"/>
  <c r="O239" i="58"/>
  <c r="N239" i="58"/>
  <c r="L239" i="58"/>
  <c r="Z238" i="58"/>
  <c r="Y238" i="58"/>
  <c r="X238" i="58"/>
  <c r="W238" i="58"/>
  <c r="V238" i="58"/>
  <c r="U238" i="58"/>
  <c r="T238" i="58"/>
  <c r="S238" i="58"/>
  <c r="R238" i="58"/>
  <c r="Q238" i="58"/>
  <c r="P238" i="58"/>
  <c r="O238" i="58"/>
  <c r="N238" i="58"/>
  <c r="L238" i="58"/>
  <c r="Z237" i="58"/>
  <c r="Y237" i="58"/>
  <c r="X237" i="58"/>
  <c r="W237" i="58"/>
  <c r="V237" i="58"/>
  <c r="U237" i="58"/>
  <c r="T237" i="58"/>
  <c r="S237" i="58"/>
  <c r="R237" i="58"/>
  <c r="Q237" i="58"/>
  <c r="P237" i="58"/>
  <c r="O237" i="58"/>
  <c r="N237" i="58"/>
  <c r="L237" i="58"/>
  <c r="Z236" i="58"/>
  <c r="Y236" i="58"/>
  <c r="X236" i="58"/>
  <c r="W236" i="58"/>
  <c r="V236" i="58"/>
  <c r="U236" i="58"/>
  <c r="T236" i="58"/>
  <c r="S236" i="58"/>
  <c r="R236" i="58"/>
  <c r="Q236" i="58"/>
  <c r="P236" i="58"/>
  <c r="O236" i="58"/>
  <c r="N236" i="58"/>
  <c r="L236" i="58"/>
  <c r="Z235" i="58"/>
  <c r="Y235" i="58"/>
  <c r="X235" i="58"/>
  <c r="W235" i="58"/>
  <c r="V235" i="58"/>
  <c r="U235" i="58"/>
  <c r="T235" i="58"/>
  <c r="S235" i="58"/>
  <c r="R235" i="58"/>
  <c r="Q235" i="58"/>
  <c r="P235" i="58"/>
  <c r="O235" i="58"/>
  <c r="N235" i="58"/>
  <c r="L235" i="58"/>
  <c r="Z234" i="58"/>
  <c r="Y234" i="58"/>
  <c r="X234" i="58"/>
  <c r="W234" i="58"/>
  <c r="V234" i="58"/>
  <c r="U234" i="58"/>
  <c r="T234" i="58"/>
  <c r="S234" i="58"/>
  <c r="R234" i="58"/>
  <c r="Q234" i="58"/>
  <c r="P234" i="58"/>
  <c r="O234" i="58"/>
  <c r="N234" i="58"/>
  <c r="L234" i="58"/>
  <c r="Z233" i="58"/>
  <c r="Y233" i="58"/>
  <c r="X233" i="58"/>
  <c r="W233" i="58"/>
  <c r="V233" i="58"/>
  <c r="U233" i="58"/>
  <c r="T233" i="58"/>
  <c r="S233" i="58"/>
  <c r="R233" i="58"/>
  <c r="Q233" i="58"/>
  <c r="P233" i="58"/>
  <c r="O233" i="58"/>
  <c r="N233" i="58"/>
  <c r="L233" i="58"/>
  <c r="Z232" i="58"/>
  <c r="Y232" i="58"/>
  <c r="X232" i="58"/>
  <c r="W232" i="58"/>
  <c r="V232" i="58"/>
  <c r="U232" i="58"/>
  <c r="T232" i="58"/>
  <c r="S232" i="58"/>
  <c r="R232" i="58"/>
  <c r="Q232" i="58"/>
  <c r="P232" i="58"/>
  <c r="O232" i="58"/>
  <c r="N232" i="58"/>
  <c r="L232" i="58"/>
  <c r="Z231" i="58"/>
  <c r="Y231" i="58"/>
  <c r="X231" i="58"/>
  <c r="W231" i="58"/>
  <c r="V231" i="58"/>
  <c r="U231" i="58"/>
  <c r="T231" i="58"/>
  <c r="S231" i="58"/>
  <c r="R231" i="58"/>
  <c r="Q231" i="58"/>
  <c r="P231" i="58"/>
  <c r="O231" i="58"/>
  <c r="N231" i="58"/>
  <c r="L231" i="58"/>
  <c r="Z230" i="58"/>
  <c r="Y230" i="58"/>
  <c r="X230" i="58"/>
  <c r="W230" i="58"/>
  <c r="V230" i="58"/>
  <c r="U230" i="58"/>
  <c r="T230" i="58"/>
  <c r="S230" i="58"/>
  <c r="R230" i="58"/>
  <c r="Q230" i="58"/>
  <c r="P230" i="58"/>
  <c r="O230" i="58"/>
  <c r="N230" i="58"/>
  <c r="L230" i="58"/>
  <c r="Z229" i="58"/>
  <c r="Y229" i="58"/>
  <c r="X229" i="58"/>
  <c r="W229" i="58"/>
  <c r="V229" i="58"/>
  <c r="U229" i="58"/>
  <c r="T229" i="58"/>
  <c r="S229" i="58"/>
  <c r="R229" i="58"/>
  <c r="Q229" i="58"/>
  <c r="P229" i="58"/>
  <c r="O229" i="58"/>
  <c r="N229" i="58"/>
  <c r="L229" i="58"/>
  <c r="Z228" i="58"/>
  <c r="Y228" i="58"/>
  <c r="X228" i="58"/>
  <c r="W228" i="58"/>
  <c r="V228" i="58"/>
  <c r="U228" i="58"/>
  <c r="T228" i="58"/>
  <c r="S228" i="58"/>
  <c r="R228" i="58"/>
  <c r="Q228" i="58"/>
  <c r="P228" i="58"/>
  <c r="O228" i="58"/>
  <c r="N228" i="58"/>
  <c r="L228" i="58"/>
  <c r="Z227" i="58"/>
  <c r="Y227" i="58"/>
  <c r="X227" i="58"/>
  <c r="W227" i="58"/>
  <c r="V227" i="58"/>
  <c r="U227" i="58"/>
  <c r="T227" i="58"/>
  <c r="S227" i="58"/>
  <c r="R227" i="58"/>
  <c r="Q227" i="58"/>
  <c r="P227" i="58"/>
  <c r="O227" i="58"/>
  <c r="N227" i="58"/>
  <c r="L227" i="58"/>
  <c r="Z226" i="58"/>
  <c r="Y226" i="58"/>
  <c r="X226" i="58"/>
  <c r="W226" i="58"/>
  <c r="V226" i="58"/>
  <c r="U226" i="58"/>
  <c r="T226" i="58"/>
  <c r="S226" i="58"/>
  <c r="R226" i="58"/>
  <c r="Q226" i="58"/>
  <c r="P226" i="58"/>
  <c r="O226" i="58"/>
  <c r="N226" i="58"/>
  <c r="L226" i="58"/>
  <c r="Z225" i="58"/>
  <c r="Y225" i="58"/>
  <c r="X225" i="58"/>
  <c r="W225" i="58"/>
  <c r="V225" i="58"/>
  <c r="U225" i="58"/>
  <c r="T225" i="58"/>
  <c r="S225" i="58"/>
  <c r="R225" i="58"/>
  <c r="Q225" i="58"/>
  <c r="P225" i="58"/>
  <c r="O225" i="58"/>
  <c r="N225" i="58"/>
  <c r="L225" i="58"/>
  <c r="Z224" i="58"/>
  <c r="Y224" i="58"/>
  <c r="X224" i="58"/>
  <c r="W224" i="58"/>
  <c r="V224" i="58"/>
  <c r="U224" i="58"/>
  <c r="T224" i="58"/>
  <c r="S224" i="58"/>
  <c r="R224" i="58"/>
  <c r="Q224" i="58"/>
  <c r="P224" i="58"/>
  <c r="O224" i="58"/>
  <c r="N224" i="58"/>
  <c r="L224" i="58"/>
  <c r="Z223" i="58"/>
  <c r="Y223" i="58"/>
  <c r="X223" i="58"/>
  <c r="W223" i="58"/>
  <c r="V223" i="58"/>
  <c r="U223" i="58"/>
  <c r="T223" i="58"/>
  <c r="S223" i="58"/>
  <c r="R223" i="58"/>
  <c r="Q223" i="58"/>
  <c r="P223" i="58"/>
  <c r="O223" i="58"/>
  <c r="N223" i="58"/>
  <c r="L223" i="58"/>
  <c r="Z222" i="58"/>
  <c r="Y222" i="58"/>
  <c r="X222" i="58"/>
  <c r="W222" i="58"/>
  <c r="V222" i="58"/>
  <c r="U222" i="58"/>
  <c r="T222" i="58"/>
  <c r="S222" i="58"/>
  <c r="R222" i="58"/>
  <c r="Q222" i="58"/>
  <c r="P222" i="58"/>
  <c r="O222" i="58"/>
  <c r="N222" i="58"/>
  <c r="L222" i="58"/>
  <c r="Z221" i="58"/>
  <c r="Y221" i="58"/>
  <c r="X221" i="58"/>
  <c r="W221" i="58"/>
  <c r="V221" i="58"/>
  <c r="U221" i="58"/>
  <c r="T221" i="58"/>
  <c r="S221" i="58"/>
  <c r="R221" i="58"/>
  <c r="Q221" i="58"/>
  <c r="P221" i="58"/>
  <c r="O221" i="58"/>
  <c r="N221" i="58"/>
  <c r="L221" i="58"/>
  <c r="Z220" i="58"/>
  <c r="Y220" i="58"/>
  <c r="X220" i="58"/>
  <c r="W220" i="58"/>
  <c r="V220" i="58"/>
  <c r="U220" i="58"/>
  <c r="T220" i="58"/>
  <c r="S220" i="58"/>
  <c r="R220" i="58"/>
  <c r="Q220" i="58"/>
  <c r="P220" i="58"/>
  <c r="O220" i="58"/>
  <c r="N220" i="58"/>
  <c r="L220" i="58"/>
  <c r="Z219" i="58"/>
  <c r="Y219" i="58"/>
  <c r="X219" i="58"/>
  <c r="W219" i="58"/>
  <c r="V219" i="58"/>
  <c r="U219" i="58"/>
  <c r="T219" i="58"/>
  <c r="S219" i="58"/>
  <c r="R219" i="58"/>
  <c r="Q219" i="58"/>
  <c r="P219" i="58"/>
  <c r="O219" i="58"/>
  <c r="N219" i="58"/>
  <c r="L219" i="58"/>
  <c r="Z218" i="58"/>
  <c r="Y218" i="58"/>
  <c r="X218" i="58"/>
  <c r="W218" i="58"/>
  <c r="V218" i="58"/>
  <c r="U218" i="58"/>
  <c r="T218" i="58"/>
  <c r="S218" i="58"/>
  <c r="R218" i="58"/>
  <c r="Q218" i="58"/>
  <c r="P218" i="58"/>
  <c r="O218" i="58"/>
  <c r="N218" i="58"/>
  <c r="L218" i="58"/>
  <c r="Z217" i="58"/>
  <c r="Y217" i="58"/>
  <c r="X217" i="58"/>
  <c r="W217" i="58"/>
  <c r="V217" i="58"/>
  <c r="U217" i="58"/>
  <c r="T217" i="58"/>
  <c r="S217" i="58"/>
  <c r="R217" i="58"/>
  <c r="Q217" i="58"/>
  <c r="P217" i="58"/>
  <c r="O217" i="58"/>
  <c r="N217" i="58"/>
  <c r="L217" i="58"/>
  <c r="Z216" i="58"/>
  <c r="Y216" i="58"/>
  <c r="X216" i="58"/>
  <c r="W216" i="58"/>
  <c r="V216" i="58"/>
  <c r="U216" i="58"/>
  <c r="T216" i="58"/>
  <c r="S216" i="58"/>
  <c r="R216" i="58"/>
  <c r="Q216" i="58"/>
  <c r="P216" i="58"/>
  <c r="O216" i="58"/>
  <c r="N216" i="58"/>
  <c r="L216" i="58"/>
  <c r="Z215" i="58"/>
  <c r="Y215" i="58"/>
  <c r="X215" i="58"/>
  <c r="W215" i="58"/>
  <c r="V215" i="58"/>
  <c r="U215" i="58"/>
  <c r="T215" i="58"/>
  <c r="S215" i="58"/>
  <c r="R215" i="58"/>
  <c r="Q215" i="58"/>
  <c r="P215" i="58"/>
  <c r="O215" i="58"/>
  <c r="N215" i="58"/>
  <c r="L215" i="58"/>
  <c r="Z214" i="58"/>
  <c r="Y214" i="58"/>
  <c r="X214" i="58"/>
  <c r="W214" i="58"/>
  <c r="V214" i="58"/>
  <c r="U214" i="58"/>
  <c r="T214" i="58"/>
  <c r="S214" i="58"/>
  <c r="R214" i="58"/>
  <c r="Q214" i="58"/>
  <c r="P214" i="58"/>
  <c r="O214" i="58"/>
  <c r="N214" i="58"/>
  <c r="L214" i="58"/>
  <c r="Z213" i="58"/>
  <c r="Y213" i="58"/>
  <c r="X213" i="58"/>
  <c r="W213" i="58"/>
  <c r="V213" i="58"/>
  <c r="U213" i="58"/>
  <c r="T213" i="58"/>
  <c r="S213" i="58"/>
  <c r="R213" i="58"/>
  <c r="Q213" i="58"/>
  <c r="P213" i="58"/>
  <c r="O213" i="58"/>
  <c r="N213" i="58"/>
  <c r="L213" i="58"/>
  <c r="Z212" i="58"/>
  <c r="Y212" i="58"/>
  <c r="X212" i="58"/>
  <c r="W212" i="58"/>
  <c r="V212" i="58"/>
  <c r="U212" i="58"/>
  <c r="T212" i="58"/>
  <c r="S212" i="58"/>
  <c r="R212" i="58"/>
  <c r="Q212" i="58"/>
  <c r="P212" i="58"/>
  <c r="O212" i="58"/>
  <c r="N212" i="58"/>
  <c r="L212" i="58"/>
  <c r="Z211" i="58"/>
  <c r="Y211" i="58"/>
  <c r="X211" i="58"/>
  <c r="W211" i="58"/>
  <c r="V211" i="58"/>
  <c r="U211" i="58"/>
  <c r="T211" i="58"/>
  <c r="S211" i="58"/>
  <c r="R211" i="58"/>
  <c r="Q211" i="58"/>
  <c r="P211" i="58"/>
  <c r="O211" i="58"/>
  <c r="N211" i="58"/>
  <c r="L211" i="58"/>
  <c r="Z210" i="58"/>
  <c r="Y210" i="58"/>
  <c r="X210" i="58"/>
  <c r="W210" i="58"/>
  <c r="V210" i="58"/>
  <c r="U210" i="58"/>
  <c r="T210" i="58"/>
  <c r="S210" i="58"/>
  <c r="R210" i="58"/>
  <c r="Q210" i="58"/>
  <c r="P210" i="58"/>
  <c r="O210" i="58"/>
  <c r="N210" i="58"/>
  <c r="L210" i="58"/>
  <c r="Z209" i="58"/>
  <c r="Y209" i="58"/>
  <c r="X209" i="58"/>
  <c r="W209" i="58"/>
  <c r="V209" i="58"/>
  <c r="U209" i="58"/>
  <c r="T209" i="58"/>
  <c r="S209" i="58"/>
  <c r="R209" i="58"/>
  <c r="Q209" i="58"/>
  <c r="P209" i="58"/>
  <c r="O209" i="58"/>
  <c r="N209" i="58"/>
  <c r="L209" i="58"/>
  <c r="Z208" i="58"/>
  <c r="Y208" i="58"/>
  <c r="X208" i="58"/>
  <c r="W208" i="58"/>
  <c r="V208" i="58"/>
  <c r="U208" i="58"/>
  <c r="T208" i="58"/>
  <c r="S208" i="58"/>
  <c r="R208" i="58"/>
  <c r="Q208" i="58"/>
  <c r="P208" i="58"/>
  <c r="O208" i="58"/>
  <c r="N208" i="58"/>
  <c r="L208" i="58"/>
  <c r="Z207" i="58"/>
  <c r="Y207" i="58"/>
  <c r="X207" i="58"/>
  <c r="W207" i="58"/>
  <c r="V207" i="58"/>
  <c r="U207" i="58"/>
  <c r="T207" i="58"/>
  <c r="S207" i="58"/>
  <c r="R207" i="58"/>
  <c r="Q207" i="58"/>
  <c r="P207" i="58"/>
  <c r="O207" i="58"/>
  <c r="N207" i="58"/>
  <c r="L207" i="58"/>
  <c r="Z206" i="58"/>
  <c r="Y206" i="58"/>
  <c r="X206" i="58"/>
  <c r="W206" i="58"/>
  <c r="V206" i="58"/>
  <c r="U206" i="58"/>
  <c r="T206" i="58"/>
  <c r="S206" i="58"/>
  <c r="R206" i="58"/>
  <c r="Q206" i="58"/>
  <c r="P206" i="58"/>
  <c r="O206" i="58"/>
  <c r="N206" i="58"/>
  <c r="L206" i="58"/>
  <c r="Z205" i="58"/>
  <c r="Y205" i="58"/>
  <c r="X205" i="58"/>
  <c r="W205" i="58"/>
  <c r="V205" i="58"/>
  <c r="U205" i="58"/>
  <c r="T205" i="58"/>
  <c r="S205" i="58"/>
  <c r="R205" i="58"/>
  <c r="Q205" i="58"/>
  <c r="P205" i="58"/>
  <c r="O205" i="58"/>
  <c r="N205" i="58"/>
  <c r="L205" i="58"/>
  <c r="Z204" i="58"/>
  <c r="Y204" i="58"/>
  <c r="X204" i="58"/>
  <c r="W204" i="58"/>
  <c r="V204" i="58"/>
  <c r="U204" i="58"/>
  <c r="T204" i="58"/>
  <c r="S204" i="58"/>
  <c r="R204" i="58"/>
  <c r="Q204" i="58"/>
  <c r="P204" i="58"/>
  <c r="O204" i="58"/>
  <c r="N204" i="58"/>
  <c r="L204" i="58"/>
  <c r="Z203" i="58"/>
  <c r="Y203" i="58"/>
  <c r="X203" i="58"/>
  <c r="W203" i="58"/>
  <c r="V203" i="58"/>
  <c r="U203" i="58"/>
  <c r="T203" i="58"/>
  <c r="S203" i="58"/>
  <c r="R203" i="58"/>
  <c r="Q203" i="58"/>
  <c r="P203" i="58"/>
  <c r="O203" i="58"/>
  <c r="N203" i="58"/>
  <c r="L203" i="58"/>
  <c r="Z202" i="58"/>
  <c r="Y202" i="58"/>
  <c r="X202" i="58"/>
  <c r="W202" i="58"/>
  <c r="V202" i="58"/>
  <c r="U202" i="58"/>
  <c r="T202" i="58"/>
  <c r="S202" i="58"/>
  <c r="R202" i="58"/>
  <c r="Q202" i="58"/>
  <c r="P202" i="58"/>
  <c r="O202" i="58"/>
  <c r="N202" i="58"/>
  <c r="L202" i="58"/>
  <c r="Z201" i="58"/>
  <c r="Y201" i="58"/>
  <c r="X201" i="58"/>
  <c r="W201" i="58"/>
  <c r="V201" i="58"/>
  <c r="U201" i="58"/>
  <c r="T201" i="58"/>
  <c r="S201" i="58"/>
  <c r="R201" i="58"/>
  <c r="Q201" i="58"/>
  <c r="P201" i="58"/>
  <c r="O201" i="58"/>
  <c r="N201" i="58"/>
  <c r="L201" i="58"/>
  <c r="Z200" i="58"/>
  <c r="Y200" i="58"/>
  <c r="X200" i="58"/>
  <c r="W200" i="58"/>
  <c r="V200" i="58"/>
  <c r="U200" i="58"/>
  <c r="T200" i="58"/>
  <c r="S200" i="58"/>
  <c r="R200" i="58"/>
  <c r="Q200" i="58"/>
  <c r="P200" i="58"/>
  <c r="O200" i="58"/>
  <c r="N200" i="58"/>
  <c r="L200" i="58"/>
  <c r="Z199" i="58"/>
  <c r="Y199" i="58"/>
  <c r="X199" i="58"/>
  <c r="W199" i="58"/>
  <c r="V199" i="58"/>
  <c r="U199" i="58"/>
  <c r="T199" i="58"/>
  <c r="S199" i="58"/>
  <c r="R199" i="58"/>
  <c r="Q199" i="58"/>
  <c r="P199" i="58"/>
  <c r="O199" i="58"/>
  <c r="N199" i="58"/>
  <c r="L199" i="58"/>
  <c r="Z198" i="58"/>
  <c r="Y198" i="58"/>
  <c r="X198" i="58"/>
  <c r="W198" i="58"/>
  <c r="V198" i="58"/>
  <c r="U198" i="58"/>
  <c r="T198" i="58"/>
  <c r="S198" i="58"/>
  <c r="R198" i="58"/>
  <c r="Q198" i="58"/>
  <c r="P198" i="58"/>
  <c r="O198" i="58"/>
  <c r="N198" i="58"/>
  <c r="L198" i="58"/>
  <c r="Z197" i="58"/>
  <c r="Y197" i="58"/>
  <c r="X197" i="58"/>
  <c r="W197" i="58"/>
  <c r="V197" i="58"/>
  <c r="U197" i="58"/>
  <c r="T197" i="58"/>
  <c r="S197" i="58"/>
  <c r="R197" i="58"/>
  <c r="Q197" i="58"/>
  <c r="P197" i="58"/>
  <c r="O197" i="58"/>
  <c r="N197" i="58"/>
  <c r="L197" i="58"/>
  <c r="Z196" i="58"/>
  <c r="Y196" i="58"/>
  <c r="X196" i="58"/>
  <c r="W196" i="58"/>
  <c r="V196" i="58"/>
  <c r="U196" i="58"/>
  <c r="T196" i="58"/>
  <c r="S196" i="58"/>
  <c r="R196" i="58"/>
  <c r="Q196" i="58"/>
  <c r="P196" i="58"/>
  <c r="O196" i="58"/>
  <c r="N196" i="58"/>
  <c r="L196" i="58"/>
  <c r="Z195" i="58"/>
  <c r="Y195" i="58"/>
  <c r="X195" i="58"/>
  <c r="W195" i="58"/>
  <c r="V195" i="58"/>
  <c r="U195" i="58"/>
  <c r="T195" i="58"/>
  <c r="S195" i="58"/>
  <c r="R195" i="58"/>
  <c r="Q195" i="58"/>
  <c r="P195" i="58"/>
  <c r="O195" i="58"/>
  <c r="N195" i="58"/>
  <c r="L195" i="58"/>
  <c r="Z194" i="58"/>
  <c r="Y194" i="58"/>
  <c r="X194" i="58"/>
  <c r="W194" i="58"/>
  <c r="V194" i="58"/>
  <c r="U194" i="58"/>
  <c r="T194" i="58"/>
  <c r="S194" i="58"/>
  <c r="R194" i="58"/>
  <c r="Q194" i="58"/>
  <c r="P194" i="58"/>
  <c r="O194" i="58"/>
  <c r="N194" i="58"/>
  <c r="L194" i="58"/>
  <c r="Z193" i="58"/>
  <c r="Y193" i="58"/>
  <c r="X193" i="58"/>
  <c r="W193" i="58"/>
  <c r="V193" i="58"/>
  <c r="U193" i="58"/>
  <c r="T193" i="58"/>
  <c r="S193" i="58"/>
  <c r="R193" i="58"/>
  <c r="Q193" i="58"/>
  <c r="P193" i="58"/>
  <c r="O193" i="58"/>
  <c r="N193" i="58"/>
  <c r="L193" i="58"/>
  <c r="Z192" i="58"/>
  <c r="Y192" i="58"/>
  <c r="X192" i="58"/>
  <c r="W192" i="58"/>
  <c r="V192" i="58"/>
  <c r="U192" i="58"/>
  <c r="T192" i="58"/>
  <c r="S192" i="58"/>
  <c r="R192" i="58"/>
  <c r="Q192" i="58"/>
  <c r="P192" i="58"/>
  <c r="O192" i="58"/>
  <c r="N192" i="58"/>
  <c r="L192" i="58"/>
  <c r="Z191" i="58"/>
  <c r="Y191" i="58"/>
  <c r="X191" i="58"/>
  <c r="W191" i="58"/>
  <c r="V191" i="58"/>
  <c r="U191" i="58"/>
  <c r="T191" i="58"/>
  <c r="S191" i="58"/>
  <c r="R191" i="58"/>
  <c r="Q191" i="58"/>
  <c r="P191" i="58"/>
  <c r="O191" i="58"/>
  <c r="N191" i="58"/>
  <c r="L191" i="58"/>
  <c r="Z190" i="58"/>
  <c r="Y190" i="58"/>
  <c r="X190" i="58"/>
  <c r="W190" i="58"/>
  <c r="V190" i="58"/>
  <c r="U190" i="58"/>
  <c r="T190" i="58"/>
  <c r="S190" i="58"/>
  <c r="R190" i="58"/>
  <c r="Q190" i="58"/>
  <c r="P190" i="58"/>
  <c r="O190" i="58"/>
  <c r="N190" i="58"/>
  <c r="L190" i="58"/>
  <c r="Z189" i="58"/>
  <c r="Y189" i="58"/>
  <c r="X189" i="58"/>
  <c r="W189" i="58"/>
  <c r="V189" i="58"/>
  <c r="U189" i="58"/>
  <c r="T189" i="58"/>
  <c r="S189" i="58"/>
  <c r="R189" i="58"/>
  <c r="Q189" i="58"/>
  <c r="P189" i="58"/>
  <c r="O189" i="58"/>
  <c r="N189" i="58"/>
  <c r="L189" i="58"/>
  <c r="Z188" i="58"/>
  <c r="Y188" i="58"/>
  <c r="X188" i="58"/>
  <c r="W188" i="58"/>
  <c r="V188" i="58"/>
  <c r="U188" i="58"/>
  <c r="T188" i="58"/>
  <c r="S188" i="58"/>
  <c r="R188" i="58"/>
  <c r="Q188" i="58"/>
  <c r="P188" i="58"/>
  <c r="O188" i="58"/>
  <c r="N188" i="58"/>
  <c r="L188" i="58"/>
  <c r="Z187" i="58"/>
  <c r="Y187" i="58"/>
  <c r="X187" i="58"/>
  <c r="W187" i="58"/>
  <c r="V187" i="58"/>
  <c r="U187" i="58"/>
  <c r="T187" i="58"/>
  <c r="S187" i="58"/>
  <c r="R187" i="58"/>
  <c r="Q187" i="58"/>
  <c r="P187" i="58"/>
  <c r="O187" i="58"/>
  <c r="N187" i="58"/>
  <c r="L187" i="58"/>
  <c r="Z186" i="58"/>
  <c r="Y186" i="58"/>
  <c r="X186" i="58"/>
  <c r="W186" i="58"/>
  <c r="V186" i="58"/>
  <c r="U186" i="58"/>
  <c r="T186" i="58"/>
  <c r="S186" i="58"/>
  <c r="R186" i="58"/>
  <c r="Q186" i="58"/>
  <c r="P186" i="58"/>
  <c r="O186" i="58"/>
  <c r="N186" i="58"/>
  <c r="L186" i="58"/>
  <c r="Z185" i="58"/>
  <c r="Y185" i="58"/>
  <c r="X185" i="58"/>
  <c r="W185" i="58"/>
  <c r="V185" i="58"/>
  <c r="U185" i="58"/>
  <c r="T185" i="58"/>
  <c r="S185" i="58"/>
  <c r="R185" i="58"/>
  <c r="Q185" i="58"/>
  <c r="P185" i="58"/>
  <c r="O185" i="58"/>
  <c r="N185" i="58"/>
  <c r="L185" i="58"/>
  <c r="Z184" i="58"/>
  <c r="Y184" i="58"/>
  <c r="X184" i="58"/>
  <c r="W184" i="58"/>
  <c r="V184" i="58"/>
  <c r="U184" i="58"/>
  <c r="T184" i="58"/>
  <c r="S184" i="58"/>
  <c r="R184" i="58"/>
  <c r="Q184" i="58"/>
  <c r="P184" i="58"/>
  <c r="O184" i="58"/>
  <c r="N184" i="58"/>
  <c r="L184" i="58"/>
  <c r="Z183" i="58"/>
  <c r="Y183" i="58"/>
  <c r="X183" i="58"/>
  <c r="W183" i="58"/>
  <c r="V183" i="58"/>
  <c r="U183" i="58"/>
  <c r="T183" i="58"/>
  <c r="S183" i="58"/>
  <c r="R183" i="58"/>
  <c r="Q183" i="58"/>
  <c r="P183" i="58"/>
  <c r="O183" i="58"/>
  <c r="N183" i="58"/>
  <c r="L183" i="58"/>
  <c r="Z182" i="58"/>
  <c r="Y182" i="58"/>
  <c r="X182" i="58"/>
  <c r="W182" i="58"/>
  <c r="V182" i="58"/>
  <c r="U182" i="58"/>
  <c r="T182" i="58"/>
  <c r="S182" i="58"/>
  <c r="R182" i="58"/>
  <c r="Q182" i="58"/>
  <c r="P182" i="58"/>
  <c r="O182" i="58"/>
  <c r="N182" i="58"/>
  <c r="L182" i="58"/>
  <c r="Z181" i="58"/>
  <c r="Y181" i="58"/>
  <c r="X181" i="58"/>
  <c r="W181" i="58"/>
  <c r="V181" i="58"/>
  <c r="U181" i="58"/>
  <c r="T181" i="58"/>
  <c r="S181" i="58"/>
  <c r="R181" i="58"/>
  <c r="Q181" i="58"/>
  <c r="P181" i="58"/>
  <c r="O181" i="58"/>
  <c r="N181" i="58"/>
  <c r="L181" i="58"/>
  <c r="Z180" i="58"/>
  <c r="Y180" i="58"/>
  <c r="X180" i="58"/>
  <c r="W180" i="58"/>
  <c r="V180" i="58"/>
  <c r="U180" i="58"/>
  <c r="T180" i="58"/>
  <c r="S180" i="58"/>
  <c r="R180" i="58"/>
  <c r="Q180" i="58"/>
  <c r="P180" i="58"/>
  <c r="O180" i="58"/>
  <c r="N180" i="58"/>
  <c r="L180" i="58"/>
  <c r="Z179" i="58"/>
  <c r="Y179" i="58"/>
  <c r="X179" i="58"/>
  <c r="W179" i="58"/>
  <c r="V179" i="58"/>
  <c r="U179" i="58"/>
  <c r="T179" i="58"/>
  <c r="S179" i="58"/>
  <c r="R179" i="58"/>
  <c r="Q179" i="58"/>
  <c r="P179" i="58"/>
  <c r="O179" i="58"/>
  <c r="N179" i="58"/>
  <c r="L179" i="58"/>
  <c r="Z178" i="58"/>
  <c r="Y178" i="58"/>
  <c r="X178" i="58"/>
  <c r="W178" i="58"/>
  <c r="V178" i="58"/>
  <c r="U178" i="58"/>
  <c r="T178" i="58"/>
  <c r="S178" i="58"/>
  <c r="R178" i="58"/>
  <c r="Q178" i="58"/>
  <c r="P178" i="58"/>
  <c r="O178" i="58"/>
  <c r="N178" i="58"/>
  <c r="L178" i="58"/>
  <c r="Z177" i="58"/>
  <c r="Y177" i="58"/>
  <c r="X177" i="58"/>
  <c r="W177" i="58"/>
  <c r="V177" i="58"/>
  <c r="U177" i="58"/>
  <c r="T177" i="58"/>
  <c r="S177" i="58"/>
  <c r="R177" i="58"/>
  <c r="Q177" i="58"/>
  <c r="P177" i="58"/>
  <c r="O177" i="58"/>
  <c r="N177" i="58"/>
  <c r="L177" i="58"/>
  <c r="Z176" i="58"/>
  <c r="Y176" i="58"/>
  <c r="X176" i="58"/>
  <c r="W176" i="58"/>
  <c r="V176" i="58"/>
  <c r="U176" i="58"/>
  <c r="T176" i="58"/>
  <c r="S176" i="58"/>
  <c r="R176" i="58"/>
  <c r="Q176" i="58"/>
  <c r="P176" i="58"/>
  <c r="O176" i="58"/>
  <c r="N176" i="58"/>
  <c r="L176" i="58"/>
  <c r="Z175" i="58"/>
  <c r="Y175" i="58"/>
  <c r="X175" i="58"/>
  <c r="W175" i="58"/>
  <c r="V175" i="58"/>
  <c r="U175" i="58"/>
  <c r="T175" i="58"/>
  <c r="S175" i="58"/>
  <c r="R175" i="58"/>
  <c r="Q175" i="58"/>
  <c r="P175" i="58"/>
  <c r="O175" i="58"/>
  <c r="N175" i="58"/>
  <c r="L175" i="58"/>
  <c r="Z174" i="58"/>
  <c r="Y174" i="58"/>
  <c r="X174" i="58"/>
  <c r="W174" i="58"/>
  <c r="V174" i="58"/>
  <c r="U174" i="58"/>
  <c r="T174" i="58"/>
  <c r="S174" i="58"/>
  <c r="R174" i="58"/>
  <c r="Q174" i="58"/>
  <c r="P174" i="58"/>
  <c r="O174" i="58"/>
  <c r="N174" i="58"/>
  <c r="L174" i="58"/>
  <c r="Z173" i="58"/>
  <c r="Y173" i="58"/>
  <c r="X173" i="58"/>
  <c r="W173" i="58"/>
  <c r="V173" i="58"/>
  <c r="U173" i="58"/>
  <c r="T173" i="58"/>
  <c r="S173" i="58"/>
  <c r="R173" i="58"/>
  <c r="Q173" i="58"/>
  <c r="P173" i="58"/>
  <c r="O173" i="58"/>
  <c r="N173" i="58"/>
  <c r="L173" i="58"/>
  <c r="Z172" i="58"/>
  <c r="Y172" i="58"/>
  <c r="X172" i="58"/>
  <c r="W172" i="58"/>
  <c r="V172" i="58"/>
  <c r="U172" i="58"/>
  <c r="T172" i="58"/>
  <c r="S172" i="58"/>
  <c r="R172" i="58"/>
  <c r="Q172" i="58"/>
  <c r="P172" i="58"/>
  <c r="O172" i="58"/>
  <c r="N172" i="58"/>
  <c r="L172" i="58"/>
  <c r="Z171" i="58"/>
  <c r="Y171" i="58"/>
  <c r="X171" i="58"/>
  <c r="W171" i="58"/>
  <c r="V171" i="58"/>
  <c r="U171" i="58"/>
  <c r="T171" i="58"/>
  <c r="S171" i="58"/>
  <c r="R171" i="58"/>
  <c r="Q171" i="58"/>
  <c r="P171" i="58"/>
  <c r="O171" i="58"/>
  <c r="N171" i="58"/>
  <c r="L171" i="58"/>
  <c r="Z170" i="58"/>
  <c r="Y170" i="58"/>
  <c r="X170" i="58"/>
  <c r="W170" i="58"/>
  <c r="V170" i="58"/>
  <c r="U170" i="58"/>
  <c r="T170" i="58"/>
  <c r="S170" i="58"/>
  <c r="R170" i="58"/>
  <c r="Q170" i="58"/>
  <c r="P170" i="58"/>
  <c r="O170" i="58"/>
  <c r="N170" i="58"/>
  <c r="L170" i="58"/>
  <c r="Z169" i="58"/>
  <c r="Y169" i="58"/>
  <c r="X169" i="58"/>
  <c r="W169" i="58"/>
  <c r="V169" i="58"/>
  <c r="U169" i="58"/>
  <c r="T169" i="58"/>
  <c r="S169" i="58"/>
  <c r="R169" i="58"/>
  <c r="Q169" i="58"/>
  <c r="P169" i="58"/>
  <c r="O169" i="58"/>
  <c r="N169" i="58"/>
  <c r="L169" i="58"/>
  <c r="Z168" i="58"/>
  <c r="Y168" i="58"/>
  <c r="X168" i="58"/>
  <c r="W168" i="58"/>
  <c r="V168" i="58"/>
  <c r="U168" i="58"/>
  <c r="T168" i="58"/>
  <c r="S168" i="58"/>
  <c r="R168" i="58"/>
  <c r="Q168" i="58"/>
  <c r="P168" i="58"/>
  <c r="O168" i="58"/>
  <c r="N168" i="58"/>
  <c r="L168" i="58"/>
  <c r="Z167" i="58"/>
  <c r="Y167" i="58"/>
  <c r="X167" i="58"/>
  <c r="W167" i="58"/>
  <c r="V167" i="58"/>
  <c r="U167" i="58"/>
  <c r="T167" i="58"/>
  <c r="S167" i="58"/>
  <c r="R167" i="58"/>
  <c r="Q167" i="58"/>
  <c r="P167" i="58"/>
  <c r="O167" i="58"/>
  <c r="N167" i="58"/>
  <c r="L167" i="58"/>
  <c r="Z166" i="58"/>
  <c r="Y166" i="58"/>
  <c r="X166" i="58"/>
  <c r="W166" i="58"/>
  <c r="V166" i="58"/>
  <c r="U166" i="58"/>
  <c r="T166" i="58"/>
  <c r="S166" i="58"/>
  <c r="R166" i="58"/>
  <c r="Q166" i="58"/>
  <c r="P166" i="58"/>
  <c r="O166" i="58"/>
  <c r="N166" i="58"/>
  <c r="L166" i="58"/>
  <c r="Z165" i="58"/>
  <c r="Y165" i="58"/>
  <c r="X165" i="58"/>
  <c r="W165" i="58"/>
  <c r="V165" i="58"/>
  <c r="U165" i="58"/>
  <c r="T165" i="58"/>
  <c r="S165" i="58"/>
  <c r="R165" i="58"/>
  <c r="Q165" i="58"/>
  <c r="P165" i="58"/>
  <c r="O165" i="58"/>
  <c r="N165" i="58"/>
  <c r="L165" i="58"/>
  <c r="Z164" i="58"/>
  <c r="Y164" i="58"/>
  <c r="X164" i="58"/>
  <c r="W164" i="58"/>
  <c r="V164" i="58"/>
  <c r="U164" i="58"/>
  <c r="T164" i="58"/>
  <c r="S164" i="58"/>
  <c r="R164" i="58"/>
  <c r="Q164" i="58"/>
  <c r="P164" i="58"/>
  <c r="O164" i="58"/>
  <c r="N164" i="58"/>
  <c r="L164" i="58"/>
  <c r="Z163" i="58"/>
  <c r="Y163" i="58"/>
  <c r="X163" i="58"/>
  <c r="W163" i="58"/>
  <c r="V163" i="58"/>
  <c r="U163" i="58"/>
  <c r="T163" i="58"/>
  <c r="S163" i="58"/>
  <c r="R163" i="58"/>
  <c r="Q163" i="58"/>
  <c r="P163" i="58"/>
  <c r="O163" i="58"/>
  <c r="N163" i="58"/>
  <c r="L163" i="58"/>
  <c r="Z162" i="58"/>
  <c r="Y162" i="58"/>
  <c r="X162" i="58"/>
  <c r="W162" i="58"/>
  <c r="V162" i="58"/>
  <c r="U162" i="58"/>
  <c r="T162" i="58"/>
  <c r="S162" i="58"/>
  <c r="R162" i="58"/>
  <c r="Q162" i="58"/>
  <c r="P162" i="58"/>
  <c r="O162" i="58"/>
  <c r="N162" i="58"/>
  <c r="L162" i="58"/>
  <c r="Z161" i="58"/>
  <c r="Y161" i="58"/>
  <c r="X161" i="58"/>
  <c r="W161" i="58"/>
  <c r="V161" i="58"/>
  <c r="U161" i="58"/>
  <c r="T161" i="58"/>
  <c r="S161" i="58"/>
  <c r="R161" i="58"/>
  <c r="Q161" i="58"/>
  <c r="P161" i="58"/>
  <c r="O161" i="58"/>
  <c r="N161" i="58"/>
  <c r="L161" i="58"/>
  <c r="Z160" i="58"/>
  <c r="Y160" i="58"/>
  <c r="X160" i="58"/>
  <c r="W160" i="58"/>
  <c r="V160" i="58"/>
  <c r="U160" i="58"/>
  <c r="T160" i="58"/>
  <c r="S160" i="58"/>
  <c r="R160" i="58"/>
  <c r="Q160" i="58"/>
  <c r="P160" i="58"/>
  <c r="O160" i="58"/>
  <c r="N160" i="58"/>
  <c r="L160" i="58"/>
  <c r="Z159" i="58"/>
  <c r="Y159" i="58"/>
  <c r="X159" i="58"/>
  <c r="W159" i="58"/>
  <c r="V159" i="58"/>
  <c r="U159" i="58"/>
  <c r="T159" i="58"/>
  <c r="S159" i="58"/>
  <c r="R159" i="58"/>
  <c r="Q159" i="58"/>
  <c r="P159" i="58"/>
  <c r="O159" i="58"/>
  <c r="N159" i="58"/>
  <c r="L159" i="58"/>
  <c r="Z158" i="58"/>
  <c r="Y158" i="58"/>
  <c r="X158" i="58"/>
  <c r="W158" i="58"/>
  <c r="V158" i="58"/>
  <c r="U158" i="58"/>
  <c r="T158" i="58"/>
  <c r="S158" i="58"/>
  <c r="R158" i="58"/>
  <c r="Q158" i="58"/>
  <c r="P158" i="58"/>
  <c r="O158" i="58"/>
  <c r="N158" i="58"/>
  <c r="L158" i="58"/>
  <c r="Z157" i="58"/>
  <c r="Y157" i="58"/>
  <c r="X157" i="58"/>
  <c r="W157" i="58"/>
  <c r="V157" i="58"/>
  <c r="U157" i="58"/>
  <c r="T157" i="58"/>
  <c r="S157" i="58"/>
  <c r="R157" i="58"/>
  <c r="Q157" i="58"/>
  <c r="P157" i="58"/>
  <c r="O157" i="58"/>
  <c r="N157" i="58"/>
  <c r="L157" i="58"/>
  <c r="Z156" i="58"/>
  <c r="Y156" i="58"/>
  <c r="X156" i="58"/>
  <c r="W156" i="58"/>
  <c r="V156" i="58"/>
  <c r="U156" i="58"/>
  <c r="T156" i="58"/>
  <c r="S156" i="58"/>
  <c r="R156" i="58"/>
  <c r="Q156" i="58"/>
  <c r="P156" i="58"/>
  <c r="O156" i="58"/>
  <c r="N156" i="58"/>
  <c r="L156" i="58"/>
  <c r="Z155" i="58"/>
  <c r="Y155" i="58"/>
  <c r="X155" i="58"/>
  <c r="W155" i="58"/>
  <c r="V155" i="58"/>
  <c r="U155" i="58"/>
  <c r="T155" i="58"/>
  <c r="S155" i="58"/>
  <c r="R155" i="58"/>
  <c r="Q155" i="58"/>
  <c r="P155" i="58"/>
  <c r="O155" i="58"/>
  <c r="N155" i="58"/>
  <c r="L155" i="58"/>
  <c r="Z154" i="58"/>
  <c r="Y154" i="58"/>
  <c r="X154" i="58"/>
  <c r="W154" i="58"/>
  <c r="V154" i="58"/>
  <c r="U154" i="58"/>
  <c r="T154" i="58"/>
  <c r="S154" i="58"/>
  <c r="R154" i="58"/>
  <c r="Q154" i="58"/>
  <c r="P154" i="58"/>
  <c r="O154" i="58"/>
  <c r="N154" i="58"/>
  <c r="L154" i="58"/>
  <c r="Z153" i="58"/>
  <c r="Y153" i="58"/>
  <c r="X153" i="58"/>
  <c r="W153" i="58"/>
  <c r="V153" i="58"/>
  <c r="U153" i="58"/>
  <c r="T153" i="58"/>
  <c r="S153" i="58"/>
  <c r="R153" i="58"/>
  <c r="Q153" i="58"/>
  <c r="P153" i="58"/>
  <c r="O153" i="58"/>
  <c r="N153" i="58"/>
  <c r="L153" i="58"/>
  <c r="Z152" i="58"/>
  <c r="Y152" i="58"/>
  <c r="X152" i="58"/>
  <c r="W152" i="58"/>
  <c r="V152" i="58"/>
  <c r="U152" i="58"/>
  <c r="T152" i="58"/>
  <c r="S152" i="58"/>
  <c r="R152" i="58"/>
  <c r="Q152" i="58"/>
  <c r="P152" i="58"/>
  <c r="O152" i="58"/>
  <c r="N152" i="58"/>
  <c r="L152" i="58"/>
  <c r="Z151" i="58"/>
  <c r="Y151" i="58"/>
  <c r="X151" i="58"/>
  <c r="W151" i="58"/>
  <c r="V151" i="58"/>
  <c r="U151" i="58"/>
  <c r="T151" i="58"/>
  <c r="S151" i="58"/>
  <c r="R151" i="58"/>
  <c r="Q151" i="58"/>
  <c r="P151" i="58"/>
  <c r="O151" i="58"/>
  <c r="N151" i="58"/>
  <c r="L151" i="58"/>
  <c r="Z150" i="58"/>
  <c r="Y150" i="58"/>
  <c r="X150" i="58"/>
  <c r="W150" i="58"/>
  <c r="V150" i="58"/>
  <c r="U150" i="58"/>
  <c r="T150" i="58"/>
  <c r="S150" i="58"/>
  <c r="R150" i="58"/>
  <c r="Q150" i="58"/>
  <c r="P150" i="58"/>
  <c r="O150" i="58"/>
  <c r="N150" i="58"/>
  <c r="L150" i="58"/>
  <c r="Z149" i="58"/>
  <c r="Y149" i="58"/>
  <c r="X149" i="58"/>
  <c r="W149" i="58"/>
  <c r="V149" i="58"/>
  <c r="U149" i="58"/>
  <c r="T149" i="58"/>
  <c r="S149" i="58"/>
  <c r="R149" i="58"/>
  <c r="Q149" i="58"/>
  <c r="P149" i="58"/>
  <c r="O149" i="58"/>
  <c r="N149" i="58"/>
  <c r="L149" i="58"/>
  <c r="Z148" i="58"/>
  <c r="Y148" i="58"/>
  <c r="X148" i="58"/>
  <c r="W148" i="58"/>
  <c r="V148" i="58"/>
  <c r="U148" i="58"/>
  <c r="T148" i="58"/>
  <c r="S148" i="58"/>
  <c r="R148" i="58"/>
  <c r="Q148" i="58"/>
  <c r="P148" i="58"/>
  <c r="O148" i="58"/>
  <c r="N148" i="58"/>
  <c r="L148" i="58"/>
  <c r="Z147" i="58"/>
  <c r="Y147" i="58"/>
  <c r="X147" i="58"/>
  <c r="W147" i="58"/>
  <c r="V147" i="58"/>
  <c r="U147" i="58"/>
  <c r="T147" i="58"/>
  <c r="S147" i="58"/>
  <c r="R147" i="58"/>
  <c r="Q147" i="58"/>
  <c r="P147" i="58"/>
  <c r="O147" i="58"/>
  <c r="N147" i="58"/>
  <c r="L147" i="58"/>
  <c r="Z146" i="58"/>
  <c r="Y146" i="58"/>
  <c r="X146" i="58"/>
  <c r="W146" i="58"/>
  <c r="V146" i="58"/>
  <c r="U146" i="58"/>
  <c r="T146" i="58"/>
  <c r="S146" i="58"/>
  <c r="R146" i="58"/>
  <c r="Q146" i="58"/>
  <c r="P146" i="58"/>
  <c r="O146" i="58"/>
  <c r="N146" i="58"/>
  <c r="L146" i="58"/>
  <c r="Z145" i="58"/>
  <c r="Y145" i="58"/>
  <c r="X145" i="58"/>
  <c r="W145" i="58"/>
  <c r="V145" i="58"/>
  <c r="U145" i="58"/>
  <c r="T145" i="58"/>
  <c r="S145" i="58"/>
  <c r="R145" i="58"/>
  <c r="Q145" i="58"/>
  <c r="P145" i="58"/>
  <c r="O145" i="58"/>
  <c r="N145" i="58"/>
  <c r="L145" i="58"/>
  <c r="Z144" i="58"/>
  <c r="Y144" i="58"/>
  <c r="X144" i="58"/>
  <c r="W144" i="58"/>
  <c r="V144" i="58"/>
  <c r="U144" i="58"/>
  <c r="T144" i="58"/>
  <c r="S144" i="58"/>
  <c r="R144" i="58"/>
  <c r="Q144" i="58"/>
  <c r="P144" i="58"/>
  <c r="O144" i="58"/>
  <c r="N144" i="58"/>
  <c r="L144" i="58"/>
  <c r="Z143" i="58"/>
  <c r="Y143" i="58"/>
  <c r="X143" i="58"/>
  <c r="W143" i="58"/>
  <c r="V143" i="58"/>
  <c r="U143" i="58"/>
  <c r="T143" i="58"/>
  <c r="S143" i="58"/>
  <c r="R143" i="58"/>
  <c r="Q143" i="58"/>
  <c r="P143" i="58"/>
  <c r="O143" i="58"/>
  <c r="N143" i="58"/>
  <c r="L143" i="58"/>
  <c r="Z142" i="58"/>
  <c r="Y142" i="58"/>
  <c r="X142" i="58"/>
  <c r="W142" i="58"/>
  <c r="V142" i="58"/>
  <c r="U142" i="58"/>
  <c r="T142" i="58"/>
  <c r="S142" i="58"/>
  <c r="R142" i="58"/>
  <c r="Q142" i="58"/>
  <c r="P142" i="58"/>
  <c r="O142" i="58"/>
  <c r="N142" i="58"/>
  <c r="L142" i="58"/>
  <c r="Z141" i="58"/>
  <c r="Y141" i="58"/>
  <c r="X141" i="58"/>
  <c r="W141" i="58"/>
  <c r="V141" i="58"/>
  <c r="U141" i="58"/>
  <c r="T141" i="58"/>
  <c r="S141" i="58"/>
  <c r="R141" i="58"/>
  <c r="Q141" i="58"/>
  <c r="P141" i="58"/>
  <c r="O141" i="58"/>
  <c r="N141" i="58"/>
  <c r="L141" i="58"/>
  <c r="Z140" i="58"/>
  <c r="Y140" i="58"/>
  <c r="X140" i="58"/>
  <c r="W140" i="58"/>
  <c r="V140" i="58"/>
  <c r="U140" i="58"/>
  <c r="T140" i="58"/>
  <c r="S140" i="58"/>
  <c r="R140" i="58"/>
  <c r="Q140" i="58"/>
  <c r="P140" i="58"/>
  <c r="O140" i="58"/>
  <c r="N140" i="58"/>
  <c r="L140" i="58"/>
  <c r="Z139" i="58"/>
  <c r="Y139" i="58"/>
  <c r="X139" i="58"/>
  <c r="W139" i="58"/>
  <c r="V139" i="58"/>
  <c r="U139" i="58"/>
  <c r="T139" i="58"/>
  <c r="S139" i="58"/>
  <c r="R139" i="58"/>
  <c r="Q139" i="58"/>
  <c r="P139" i="58"/>
  <c r="O139" i="58"/>
  <c r="N139" i="58"/>
  <c r="L139" i="58"/>
  <c r="Z138" i="58"/>
  <c r="Y138" i="58"/>
  <c r="X138" i="58"/>
  <c r="W138" i="58"/>
  <c r="V138" i="58"/>
  <c r="U138" i="58"/>
  <c r="T138" i="58"/>
  <c r="S138" i="58"/>
  <c r="R138" i="58"/>
  <c r="Q138" i="58"/>
  <c r="P138" i="58"/>
  <c r="O138" i="58"/>
  <c r="N138" i="58"/>
  <c r="L138" i="58"/>
  <c r="Z137" i="58"/>
  <c r="Y137" i="58"/>
  <c r="X137" i="58"/>
  <c r="W137" i="58"/>
  <c r="V137" i="58"/>
  <c r="U137" i="58"/>
  <c r="T137" i="58"/>
  <c r="S137" i="58"/>
  <c r="R137" i="58"/>
  <c r="Q137" i="58"/>
  <c r="P137" i="58"/>
  <c r="O137" i="58"/>
  <c r="N137" i="58"/>
  <c r="L137" i="58"/>
  <c r="Z136" i="58"/>
  <c r="Y136" i="58"/>
  <c r="X136" i="58"/>
  <c r="W136" i="58"/>
  <c r="V136" i="58"/>
  <c r="U136" i="58"/>
  <c r="T136" i="58"/>
  <c r="S136" i="58"/>
  <c r="R136" i="58"/>
  <c r="Q136" i="58"/>
  <c r="P136" i="58"/>
  <c r="O136" i="58"/>
  <c r="N136" i="58"/>
  <c r="L136" i="58"/>
  <c r="Z135" i="58"/>
  <c r="Y135" i="58"/>
  <c r="X135" i="58"/>
  <c r="W135" i="58"/>
  <c r="V135" i="58"/>
  <c r="U135" i="58"/>
  <c r="T135" i="58"/>
  <c r="S135" i="58"/>
  <c r="R135" i="58"/>
  <c r="Q135" i="58"/>
  <c r="P135" i="58"/>
  <c r="O135" i="58"/>
  <c r="N135" i="58"/>
  <c r="L135" i="58"/>
  <c r="Z134" i="58"/>
  <c r="Y134" i="58"/>
  <c r="X134" i="58"/>
  <c r="W134" i="58"/>
  <c r="V134" i="58"/>
  <c r="U134" i="58"/>
  <c r="T134" i="58"/>
  <c r="S134" i="58"/>
  <c r="R134" i="58"/>
  <c r="Q134" i="58"/>
  <c r="P134" i="58"/>
  <c r="O134" i="58"/>
  <c r="N134" i="58"/>
  <c r="L134" i="58"/>
  <c r="Z133" i="58"/>
  <c r="Y133" i="58"/>
  <c r="X133" i="58"/>
  <c r="W133" i="58"/>
  <c r="V133" i="58"/>
  <c r="U133" i="58"/>
  <c r="T133" i="58"/>
  <c r="S133" i="58"/>
  <c r="R133" i="58"/>
  <c r="Q133" i="58"/>
  <c r="P133" i="58"/>
  <c r="O133" i="58"/>
  <c r="N133" i="58"/>
  <c r="L133" i="58"/>
  <c r="Z132" i="58"/>
  <c r="Y132" i="58"/>
  <c r="X132" i="58"/>
  <c r="W132" i="58"/>
  <c r="V132" i="58"/>
  <c r="U132" i="58"/>
  <c r="T132" i="58"/>
  <c r="S132" i="58"/>
  <c r="R132" i="58"/>
  <c r="Q132" i="58"/>
  <c r="P132" i="58"/>
  <c r="O132" i="58"/>
  <c r="N132" i="58"/>
  <c r="L132" i="58"/>
  <c r="Z131" i="58"/>
  <c r="Y131" i="58"/>
  <c r="X131" i="58"/>
  <c r="W131" i="58"/>
  <c r="V131" i="58"/>
  <c r="U131" i="58"/>
  <c r="T131" i="58"/>
  <c r="S131" i="58"/>
  <c r="R131" i="58"/>
  <c r="Q131" i="58"/>
  <c r="P131" i="58"/>
  <c r="O131" i="58"/>
  <c r="N131" i="58"/>
  <c r="L131" i="58"/>
  <c r="Z130" i="58"/>
  <c r="Y130" i="58"/>
  <c r="X130" i="58"/>
  <c r="W130" i="58"/>
  <c r="V130" i="58"/>
  <c r="U130" i="58"/>
  <c r="T130" i="58"/>
  <c r="S130" i="58"/>
  <c r="R130" i="58"/>
  <c r="Q130" i="58"/>
  <c r="P130" i="58"/>
  <c r="O130" i="58"/>
  <c r="N130" i="58"/>
  <c r="L130" i="58"/>
  <c r="Z129" i="58"/>
  <c r="Y129" i="58"/>
  <c r="X129" i="58"/>
  <c r="W129" i="58"/>
  <c r="V129" i="58"/>
  <c r="U129" i="58"/>
  <c r="T129" i="58"/>
  <c r="S129" i="58"/>
  <c r="R129" i="58"/>
  <c r="Q129" i="58"/>
  <c r="P129" i="58"/>
  <c r="O129" i="58"/>
  <c r="N129" i="58"/>
  <c r="L129" i="58"/>
  <c r="Z128" i="58"/>
  <c r="Y128" i="58"/>
  <c r="X128" i="58"/>
  <c r="W128" i="58"/>
  <c r="V128" i="58"/>
  <c r="U128" i="58"/>
  <c r="T128" i="58"/>
  <c r="S128" i="58"/>
  <c r="R128" i="58"/>
  <c r="Q128" i="58"/>
  <c r="P128" i="58"/>
  <c r="O128" i="58"/>
  <c r="N128" i="58"/>
  <c r="L128" i="58"/>
  <c r="Z127" i="58"/>
  <c r="Y127" i="58"/>
  <c r="X127" i="58"/>
  <c r="W127" i="58"/>
  <c r="V127" i="58"/>
  <c r="U127" i="58"/>
  <c r="T127" i="58"/>
  <c r="S127" i="58"/>
  <c r="R127" i="58"/>
  <c r="Q127" i="58"/>
  <c r="P127" i="58"/>
  <c r="O127" i="58"/>
  <c r="N127" i="58"/>
  <c r="L127" i="58"/>
  <c r="Z126" i="58"/>
  <c r="Y126" i="58"/>
  <c r="X126" i="58"/>
  <c r="W126" i="58"/>
  <c r="V126" i="58"/>
  <c r="U126" i="58"/>
  <c r="T126" i="58"/>
  <c r="S126" i="58"/>
  <c r="R126" i="58"/>
  <c r="Q126" i="58"/>
  <c r="P126" i="58"/>
  <c r="O126" i="58"/>
  <c r="N126" i="58"/>
  <c r="L126" i="58"/>
  <c r="Z125" i="58"/>
  <c r="Y125" i="58"/>
  <c r="X125" i="58"/>
  <c r="W125" i="58"/>
  <c r="V125" i="58"/>
  <c r="U125" i="58"/>
  <c r="T125" i="58"/>
  <c r="S125" i="58"/>
  <c r="R125" i="58"/>
  <c r="Q125" i="58"/>
  <c r="P125" i="58"/>
  <c r="O125" i="58"/>
  <c r="N125" i="58"/>
  <c r="L125" i="58"/>
  <c r="Z124" i="58"/>
  <c r="Y124" i="58"/>
  <c r="X124" i="58"/>
  <c r="W124" i="58"/>
  <c r="V124" i="58"/>
  <c r="U124" i="58"/>
  <c r="T124" i="58"/>
  <c r="S124" i="58"/>
  <c r="R124" i="58"/>
  <c r="Q124" i="58"/>
  <c r="P124" i="58"/>
  <c r="O124" i="58"/>
  <c r="N124" i="58"/>
  <c r="L124" i="58"/>
  <c r="Z123" i="58"/>
  <c r="Y123" i="58"/>
  <c r="X123" i="58"/>
  <c r="W123" i="58"/>
  <c r="V123" i="58"/>
  <c r="U123" i="58"/>
  <c r="T123" i="58"/>
  <c r="S123" i="58"/>
  <c r="R123" i="58"/>
  <c r="Q123" i="58"/>
  <c r="P123" i="58"/>
  <c r="O123" i="58"/>
  <c r="N123" i="58"/>
  <c r="L123" i="58"/>
  <c r="Z122" i="58"/>
  <c r="Y122" i="58"/>
  <c r="X122" i="58"/>
  <c r="W122" i="58"/>
  <c r="V122" i="58"/>
  <c r="U122" i="58"/>
  <c r="T122" i="58"/>
  <c r="S122" i="58"/>
  <c r="R122" i="58"/>
  <c r="Q122" i="58"/>
  <c r="P122" i="58"/>
  <c r="O122" i="58"/>
  <c r="N122" i="58"/>
  <c r="L122" i="58"/>
  <c r="Z121" i="58"/>
  <c r="Y121" i="58"/>
  <c r="X121" i="58"/>
  <c r="W121" i="58"/>
  <c r="V121" i="58"/>
  <c r="U121" i="58"/>
  <c r="T121" i="58"/>
  <c r="S121" i="58"/>
  <c r="R121" i="58"/>
  <c r="Q121" i="58"/>
  <c r="P121" i="58"/>
  <c r="O121" i="58"/>
  <c r="N121" i="58"/>
  <c r="L121" i="58"/>
  <c r="Z120" i="58"/>
  <c r="Y120" i="58"/>
  <c r="X120" i="58"/>
  <c r="W120" i="58"/>
  <c r="V120" i="58"/>
  <c r="U120" i="58"/>
  <c r="T120" i="58"/>
  <c r="S120" i="58"/>
  <c r="R120" i="58"/>
  <c r="Q120" i="58"/>
  <c r="P120" i="58"/>
  <c r="O120" i="58"/>
  <c r="N120" i="58"/>
  <c r="L120" i="58"/>
  <c r="Z119" i="58"/>
  <c r="Y119" i="58"/>
  <c r="X119" i="58"/>
  <c r="W119" i="58"/>
  <c r="V119" i="58"/>
  <c r="U119" i="58"/>
  <c r="T119" i="58"/>
  <c r="S119" i="58"/>
  <c r="R119" i="58"/>
  <c r="Q119" i="58"/>
  <c r="P119" i="58"/>
  <c r="O119" i="58"/>
  <c r="N119" i="58"/>
  <c r="L119" i="58"/>
  <c r="Z118" i="58"/>
  <c r="Y118" i="58"/>
  <c r="X118" i="58"/>
  <c r="W118" i="58"/>
  <c r="V118" i="58"/>
  <c r="U118" i="58"/>
  <c r="T118" i="58"/>
  <c r="S118" i="58"/>
  <c r="R118" i="58"/>
  <c r="Q118" i="58"/>
  <c r="P118" i="58"/>
  <c r="O118" i="58"/>
  <c r="N118" i="58"/>
  <c r="L118" i="58"/>
  <c r="Z117" i="58"/>
  <c r="Y117" i="58"/>
  <c r="X117" i="58"/>
  <c r="W117" i="58"/>
  <c r="V117" i="58"/>
  <c r="U117" i="58"/>
  <c r="T117" i="58"/>
  <c r="S117" i="58"/>
  <c r="R117" i="58"/>
  <c r="Q117" i="58"/>
  <c r="P117" i="58"/>
  <c r="O117" i="58"/>
  <c r="N117" i="58"/>
  <c r="L117" i="58"/>
  <c r="Z116" i="58"/>
  <c r="Y116" i="58"/>
  <c r="X116" i="58"/>
  <c r="W116" i="58"/>
  <c r="V116" i="58"/>
  <c r="U116" i="58"/>
  <c r="T116" i="58"/>
  <c r="S116" i="58"/>
  <c r="R116" i="58"/>
  <c r="Q116" i="58"/>
  <c r="P116" i="58"/>
  <c r="O116" i="58"/>
  <c r="N116" i="58"/>
  <c r="L116" i="58"/>
  <c r="Z115" i="58"/>
  <c r="Y115" i="58"/>
  <c r="X115" i="58"/>
  <c r="W115" i="58"/>
  <c r="V115" i="58"/>
  <c r="U115" i="58"/>
  <c r="T115" i="58"/>
  <c r="S115" i="58"/>
  <c r="R115" i="58"/>
  <c r="Q115" i="58"/>
  <c r="P115" i="58"/>
  <c r="O115" i="58"/>
  <c r="N115" i="58"/>
  <c r="L115" i="58"/>
  <c r="Z114" i="58"/>
  <c r="Y114" i="58"/>
  <c r="X114" i="58"/>
  <c r="W114" i="58"/>
  <c r="V114" i="58"/>
  <c r="U114" i="58"/>
  <c r="T114" i="58"/>
  <c r="S114" i="58"/>
  <c r="R114" i="58"/>
  <c r="Q114" i="58"/>
  <c r="P114" i="58"/>
  <c r="O114" i="58"/>
  <c r="N114" i="58"/>
  <c r="L114" i="58"/>
  <c r="Z113" i="58"/>
  <c r="Y113" i="58"/>
  <c r="X113" i="58"/>
  <c r="W113" i="58"/>
  <c r="V113" i="58"/>
  <c r="U113" i="58"/>
  <c r="T113" i="58"/>
  <c r="S113" i="58"/>
  <c r="R113" i="58"/>
  <c r="Q113" i="58"/>
  <c r="P113" i="58"/>
  <c r="O113" i="58"/>
  <c r="N113" i="58"/>
  <c r="L113" i="58"/>
  <c r="Z112" i="58"/>
  <c r="Y112" i="58"/>
  <c r="X112" i="58"/>
  <c r="W112" i="58"/>
  <c r="V112" i="58"/>
  <c r="U112" i="58"/>
  <c r="T112" i="58"/>
  <c r="S112" i="58"/>
  <c r="R112" i="58"/>
  <c r="Q112" i="58"/>
  <c r="P112" i="58"/>
  <c r="O112" i="58"/>
  <c r="N112" i="58"/>
  <c r="L112" i="58"/>
  <c r="Z111" i="58"/>
  <c r="Y111" i="58"/>
  <c r="X111" i="58"/>
  <c r="W111" i="58"/>
  <c r="V111" i="58"/>
  <c r="U111" i="58"/>
  <c r="T111" i="58"/>
  <c r="S111" i="58"/>
  <c r="R111" i="58"/>
  <c r="Q111" i="58"/>
  <c r="P111" i="58"/>
  <c r="O111" i="58"/>
  <c r="N111" i="58"/>
  <c r="L111" i="58"/>
  <c r="Z110" i="58"/>
  <c r="Y110" i="58"/>
  <c r="X110" i="58"/>
  <c r="W110" i="58"/>
  <c r="V110" i="58"/>
  <c r="U110" i="58"/>
  <c r="T110" i="58"/>
  <c r="S110" i="58"/>
  <c r="R110" i="58"/>
  <c r="Q110" i="58"/>
  <c r="P110" i="58"/>
  <c r="O110" i="58"/>
  <c r="N110" i="58"/>
  <c r="L110" i="58"/>
  <c r="Z109" i="58"/>
  <c r="Y109" i="58"/>
  <c r="X109" i="58"/>
  <c r="W109" i="58"/>
  <c r="V109" i="58"/>
  <c r="U109" i="58"/>
  <c r="T109" i="58"/>
  <c r="S109" i="58"/>
  <c r="R109" i="58"/>
  <c r="Q109" i="58"/>
  <c r="P109" i="58"/>
  <c r="O109" i="58"/>
  <c r="N109" i="58"/>
  <c r="L109" i="58"/>
  <c r="Z108" i="58"/>
  <c r="Y108" i="58"/>
  <c r="X108" i="58"/>
  <c r="W108" i="58"/>
  <c r="V108" i="58"/>
  <c r="U108" i="58"/>
  <c r="T108" i="58"/>
  <c r="S108" i="58"/>
  <c r="R108" i="58"/>
  <c r="Q108" i="58"/>
  <c r="P108" i="58"/>
  <c r="O108" i="58"/>
  <c r="N108" i="58"/>
  <c r="L108" i="58"/>
  <c r="Z107" i="58"/>
  <c r="Y107" i="58"/>
  <c r="X107" i="58"/>
  <c r="W107" i="58"/>
  <c r="V107" i="58"/>
  <c r="U107" i="58"/>
  <c r="T107" i="58"/>
  <c r="S107" i="58"/>
  <c r="R107" i="58"/>
  <c r="Q107" i="58"/>
  <c r="P107" i="58"/>
  <c r="O107" i="58"/>
  <c r="N107" i="58"/>
  <c r="L107" i="58"/>
  <c r="Z106" i="58"/>
  <c r="Y106" i="58"/>
  <c r="X106" i="58"/>
  <c r="W106" i="58"/>
  <c r="V106" i="58"/>
  <c r="U106" i="58"/>
  <c r="T106" i="58"/>
  <c r="S106" i="58"/>
  <c r="R106" i="58"/>
  <c r="Q106" i="58"/>
  <c r="P106" i="58"/>
  <c r="O106" i="58"/>
  <c r="N106" i="58"/>
  <c r="L106" i="58"/>
  <c r="Z105" i="58"/>
  <c r="Y105" i="58"/>
  <c r="X105" i="58"/>
  <c r="W105" i="58"/>
  <c r="V105" i="58"/>
  <c r="U105" i="58"/>
  <c r="T105" i="58"/>
  <c r="S105" i="58"/>
  <c r="R105" i="58"/>
  <c r="Q105" i="58"/>
  <c r="P105" i="58"/>
  <c r="O105" i="58"/>
  <c r="N105" i="58"/>
  <c r="L105" i="58"/>
  <c r="Z104" i="58"/>
  <c r="Y104" i="58"/>
  <c r="X104" i="58"/>
  <c r="W104" i="58"/>
  <c r="V104" i="58"/>
  <c r="U104" i="58"/>
  <c r="T104" i="58"/>
  <c r="S104" i="58"/>
  <c r="R104" i="58"/>
  <c r="Q104" i="58"/>
  <c r="P104" i="58"/>
  <c r="O104" i="58"/>
  <c r="N104" i="58"/>
  <c r="L104" i="58"/>
  <c r="Z103" i="58"/>
  <c r="Y103" i="58"/>
  <c r="X103" i="58"/>
  <c r="W103" i="58"/>
  <c r="V103" i="58"/>
  <c r="U103" i="58"/>
  <c r="T103" i="58"/>
  <c r="S103" i="58"/>
  <c r="R103" i="58"/>
  <c r="Q103" i="58"/>
  <c r="P103" i="58"/>
  <c r="O103" i="58"/>
  <c r="N103" i="58"/>
  <c r="L103" i="58"/>
  <c r="Z102" i="58"/>
  <c r="Y102" i="58"/>
  <c r="X102" i="58"/>
  <c r="W102" i="58"/>
  <c r="V102" i="58"/>
  <c r="U102" i="58"/>
  <c r="T102" i="58"/>
  <c r="S102" i="58"/>
  <c r="R102" i="58"/>
  <c r="Q102" i="58"/>
  <c r="P102" i="58"/>
  <c r="O102" i="58"/>
  <c r="N102" i="58"/>
  <c r="L102" i="58"/>
  <c r="Z101" i="58"/>
  <c r="Y101" i="58"/>
  <c r="X101" i="58"/>
  <c r="W101" i="58"/>
  <c r="V101" i="58"/>
  <c r="U101" i="58"/>
  <c r="T101" i="58"/>
  <c r="S101" i="58"/>
  <c r="R101" i="58"/>
  <c r="Q101" i="58"/>
  <c r="P101" i="58"/>
  <c r="O101" i="58"/>
  <c r="N101" i="58"/>
  <c r="L101" i="58"/>
  <c r="Z100" i="58"/>
  <c r="Y100" i="58"/>
  <c r="X100" i="58"/>
  <c r="W100" i="58"/>
  <c r="V100" i="58"/>
  <c r="U100" i="58"/>
  <c r="T100" i="58"/>
  <c r="S100" i="58"/>
  <c r="R100" i="58"/>
  <c r="Q100" i="58"/>
  <c r="P100" i="58"/>
  <c r="O100" i="58"/>
  <c r="N100" i="58"/>
  <c r="L100" i="58"/>
  <c r="Z99" i="58"/>
  <c r="Y99" i="58"/>
  <c r="X99" i="58"/>
  <c r="W99" i="58"/>
  <c r="V99" i="58"/>
  <c r="U99" i="58"/>
  <c r="T99" i="58"/>
  <c r="S99" i="58"/>
  <c r="R99" i="58"/>
  <c r="Q99" i="58"/>
  <c r="P99" i="58"/>
  <c r="O99" i="58"/>
  <c r="N99" i="58"/>
  <c r="L99" i="58"/>
  <c r="Z98" i="58"/>
  <c r="Y98" i="58"/>
  <c r="X98" i="58"/>
  <c r="W98" i="58"/>
  <c r="V98" i="58"/>
  <c r="U98" i="58"/>
  <c r="T98" i="58"/>
  <c r="S98" i="58"/>
  <c r="R98" i="58"/>
  <c r="Q98" i="58"/>
  <c r="P98" i="58"/>
  <c r="O98" i="58"/>
  <c r="N98" i="58"/>
  <c r="L98" i="58"/>
  <c r="Z97" i="58"/>
  <c r="Y97" i="58"/>
  <c r="X97" i="58"/>
  <c r="W97" i="58"/>
  <c r="V97" i="58"/>
  <c r="U97" i="58"/>
  <c r="T97" i="58"/>
  <c r="S97" i="58"/>
  <c r="R97" i="58"/>
  <c r="Q97" i="58"/>
  <c r="P97" i="58"/>
  <c r="O97" i="58"/>
  <c r="N97" i="58"/>
  <c r="L97" i="58"/>
  <c r="Z96" i="58"/>
  <c r="Y96" i="58"/>
  <c r="X96" i="58"/>
  <c r="W96" i="58"/>
  <c r="V96" i="58"/>
  <c r="U96" i="58"/>
  <c r="T96" i="58"/>
  <c r="S96" i="58"/>
  <c r="R96" i="58"/>
  <c r="Q96" i="58"/>
  <c r="P96" i="58"/>
  <c r="O96" i="58"/>
  <c r="N96" i="58"/>
  <c r="L96" i="58"/>
  <c r="Z95" i="58"/>
  <c r="Y95" i="58"/>
  <c r="X95" i="58"/>
  <c r="W95" i="58"/>
  <c r="V95" i="58"/>
  <c r="U95" i="58"/>
  <c r="T95" i="58"/>
  <c r="S95" i="58"/>
  <c r="R95" i="58"/>
  <c r="Q95" i="58"/>
  <c r="P95" i="58"/>
  <c r="O95" i="58"/>
  <c r="N95" i="58"/>
  <c r="L95" i="58"/>
  <c r="Z94" i="58"/>
  <c r="Y94" i="58"/>
  <c r="X94" i="58"/>
  <c r="W94" i="58"/>
  <c r="V94" i="58"/>
  <c r="U94" i="58"/>
  <c r="T94" i="58"/>
  <c r="S94" i="58"/>
  <c r="R94" i="58"/>
  <c r="Q94" i="58"/>
  <c r="P94" i="58"/>
  <c r="O94" i="58"/>
  <c r="N94" i="58"/>
  <c r="L94" i="58"/>
  <c r="Z93" i="58"/>
  <c r="Y93" i="58"/>
  <c r="X93" i="58"/>
  <c r="W93" i="58"/>
  <c r="V93" i="58"/>
  <c r="U93" i="58"/>
  <c r="T93" i="58"/>
  <c r="S93" i="58"/>
  <c r="R93" i="58"/>
  <c r="Q93" i="58"/>
  <c r="P93" i="58"/>
  <c r="O93" i="58"/>
  <c r="N93" i="58"/>
  <c r="L93" i="58"/>
  <c r="Z92" i="58"/>
  <c r="Y92" i="58"/>
  <c r="X92" i="58"/>
  <c r="W92" i="58"/>
  <c r="V92" i="58"/>
  <c r="U92" i="58"/>
  <c r="T92" i="58"/>
  <c r="S92" i="58"/>
  <c r="R92" i="58"/>
  <c r="Q92" i="58"/>
  <c r="P92" i="58"/>
  <c r="O92" i="58"/>
  <c r="N92" i="58"/>
  <c r="L92" i="58"/>
  <c r="Z91" i="58"/>
  <c r="Y91" i="58"/>
  <c r="X91" i="58"/>
  <c r="W91" i="58"/>
  <c r="V91" i="58"/>
  <c r="U91" i="58"/>
  <c r="T91" i="58"/>
  <c r="S91" i="58"/>
  <c r="R91" i="58"/>
  <c r="Q91" i="58"/>
  <c r="P91" i="58"/>
  <c r="O91" i="58"/>
  <c r="N91" i="58"/>
  <c r="L91" i="58"/>
  <c r="Z90" i="58"/>
  <c r="Y90" i="58"/>
  <c r="X90" i="58"/>
  <c r="W90" i="58"/>
  <c r="V90" i="58"/>
  <c r="U90" i="58"/>
  <c r="T90" i="58"/>
  <c r="S90" i="58"/>
  <c r="R90" i="58"/>
  <c r="Q90" i="58"/>
  <c r="P90" i="58"/>
  <c r="O90" i="58"/>
  <c r="N90" i="58"/>
  <c r="L90" i="58"/>
  <c r="Z89" i="58"/>
  <c r="Y89" i="58"/>
  <c r="X89" i="58"/>
  <c r="W89" i="58"/>
  <c r="V89" i="58"/>
  <c r="U89" i="58"/>
  <c r="T89" i="58"/>
  <c r="S89" i="58"/>
  <c r="R89" i="58"/>
  <c r="Q89" i="58"/>
  <c r="P89" i="58"/>
  <c r="O89" i="58"/>
  <c r="N89" i="58"/>
  <c r="L89" i="58"/>
  <c r="Z88" i="58"/>
  <c r="Y88" i="58"/>
  <c r="X88" i="58"/>
  <c r="W88" i="58"/>
  <c r="V88" i="58"/>
  <c r="U88" i="58"/>
  <c r="T88" i="58"/>
  <c r="S88" i="58"/>
  <c r="R88" i="58"/>
  <c r="Q88" i="58"/>
  <c r="P88" i="58"/>
  <c r="O88" i="58"/>
  <c r="N88" i="58"/>
  <c r="L88" i="58"/>
  <c r="Z87" i="58"/>
  <c r="Y87" i="58"/>
  <c r="X87" i="58"/>
  <c r="W87" i="58"/>
  <c r="V87" i="58"/>
  <c r="U87" i="58"/>
  <c r="T87" i="58"/>
  <c r="S87" i="58"/>
  <c r="R87" i="58"/>
  <c r="Q87" i="58"/>
  <c r="P87" i="58"/>
  <c r="O87" i="58"/>
  <c r="N87" i="58"/>
  <c r="L87" i="58"/>
  <c r="Z86" i="58"/>
  <c r="Y86" i="58"/>
  <c r="X86" i="58"/>
  <c r="W86" i="58"/>
  <c r="V86" i="58"/>
  <c r="U86" i="58"/>
  <c r="T86" i="58"/>
  <c r="S86" i="58"/>
  <c r="R86" i="58"/>
  <c r="Q86" i="58"/>
  <c r="P86" i="58"/>
  <c r="O86" i="58"/>
  <c r="N86" i="58"/>
  <c r="L86" i="58"/>
  <c r="Z85" i="58"/>
  <c r="Y85" i="58"/>
  <c r="X85" i="58"/>
  <c r="W85" i="58"/>
  <c r="V85" i="58"/>
  <c r="U85" i="58"/>
  <c r="T85" i="58"/>
  <c r="S85" i="58"/>
  <c r="R85" i="58"/>
  <c r="Q85" i="58"/>
  <c r="P85" i="58"/>
  <c r="O85" i="58"/>
  <c r="N85" i="58"/>
  <c r="L85" i="58"/>
  <c r="Z84" i="58"/>
  <c r="Y84" i="58"/>
  <c r="X84" i="58"/>
  <c r="W84" i="58"/>
  <c r="V84" i="58"/>
  <c r="U84" i="58"/>
  <c r="T84" i="58"/>
  <c r="S84" i="58"/>
  <c r="R84" i="58"/>
  <c r="Q84" i="58"/>
  <c r="P84" i="58"/>
  <c r="O84" i="58"/>
  <c r="N84" i="58"/>
  <c r="L84" i="58"/>
  <c r="Z83" i="58"/>
  <c r="Y83" i="58"/>
  <c r="X83" i="58"/>
  <c r="W83" i="58"/>
  <c r="V83" i="58"/>
  <c r="U83" i="58"/>
  <c r="T83" i="58"/>
  <c r="S83" i="58"/>
  <c r="R83" i="58"/>
  <c r="Q83" i="58"/>
  <c r="P83" i="58"/>
  <c r="O83" i="58"/>
  <c r="N83" i="58"/>
  <c r="L83" i="58"/>
  <c r="Z82" i="58"/>
  <c r="Y82" i="58"/>
  <c r="X82" i="58"/>
  <c r="W82" i="58"/>
  <c r="V82" i="58"/>
  <c r="U82" i="58"/>
  <c r="T82" i="58"/>
  <c r="S82" i="58"/>
  <c r="R82" i="58"/>
  <c r="Q82" i="58"/>
  <c r="P82" i="58"/>
  <c r="O82" i="58"/>
  <c r="N82" i="58"/>
  <c r="L82" i="58"/>
  <c r="Z81" i="58"/>
  <c r="Y81" i="58"/>
  <c r="X81" i="58"/>
  <c r="W81" i="58"/>
  <c r="V81" i="58"/>
  <c r="U81" i="58"/>
  <c r="T81" i="58"/>
  <c r="S81" i="58"/>
  <c r="R81" i="58"/>
  <c r="Q81" i="58"/>
  <c r="P81" i="58"/>
  <c r="O81" i="58"/>
  <c r="N81" i="58"/>
  <c r="L81" i="58"/>
  <c r="Z80" i="58"/>
  <c r="Y80" i="58"/>
  <c r="X80" i="58"/>
  <c r="W80" i="58"/>
  <c r="V80" i="58"/>
  <c r="U80" i="58"/>
  <c r="T80" i="58"/>
  <c r="S80" i="58"/>
  <c r="R80" i="58"/>
  <c r="Q80" i="58"/>
  <c r="P80" i="58"/>
  <c r="O80" i="58"/>
  <c r="N80" i="58"/>
  <c r="L80" i="58"/>
  <c r="Z79" i="58"/>
  <c r="Y79" i="58"/>
  <c r="X79" i="58"/>
  <c r="W79" i="58"/>
  <c r="V79" i="58"/>
  <c r="U79" i="58"/>
  <c r="T79" i="58"/>
  <c r="S79" i="58"/>
  <c r="R79" i="58"/>
  <c r="Q79" i="58"/>
  <c r="P79" i="58"/>
  <c r="O79" i="58"/>
  <c r="N79" i="58"/>
  <c r="L79" i="58"/>
  <c r="Z78" i="58"/>
  <c r="Y78" i="58"/>
  <c r="X78" i="58"/>
  <c r="W78" i="58"/>
  <c r="V78" i="58"/>
  <c r="U78" i="58"/>
  <c r="T78" i="58"/>
  <c r="S78" i="58"/>
  <c r="R78" i="58"/>
  <c r="Q78" i="58"/>
  <c r="P78" i="58"/>
  <c r="O78" i="58"/>
  <c r="N78" i="58"/>
  <c r="L78" i="58"/>
  <c r="Z77" i="58"/>
  <c r="Y77" i="58"/>
  <c r="X77" i="58"/>
  <c r="W77" i="58"/>
  <c r="V77" i="58"/>
  <c r="U77" i="58"/>
  <c r="T77" i="58"/>
  <c r="S77" i="58"/>
  <c r="R77" i="58"/>
  <c r="Q77" i="58"/>
  <c r="P77" i="58"/>
  <c r="O77" i="58"/>
  <c r="N77" i="58"/>
  <c r="L77" i="58"/>
  <c r="Z76" i="58"/>
  <c r="Y76" i="58"/>
  <c r="X76" i="58"/>
  <c r="W76" i="58"/>
  <c r="V76" i="58"/>
  <c r="U76" i="58"/>
  <c r="T76" i="58"/>
  <c r="S76" i="58"/>
  <c r="R76" i="58"/>
  <c r="Q76" i="58"/>
  <c r="P76" i="58"/>
  <c r="O76" i="58"/>
  <c r="N76" i="58"/>
  <c r="L76" i="58"/>
  <c r="Z75" i="58"/>
  <c r="Y75" i="58"/>
  <c r="X75" i="58"/>
  <c r="W75" i="58"/>
  <c r="V75" i="58"/>
  <c r="U75" i="58"/>
  <c r="T75" i="58"/>
  <c r="S75" i="58"/>
  <c r="R75" i="58"/>
  <c r="Q75" i="58"/>
  <c r="P75" i="58"/>
  <c r="O75" i="58"/>
  <c r="N75" i="58"/>
  <c r="L75" i="58"/>
  <c r="Z74" i="58"/>
  <c r="Y74" i="58"/>
  <c r="X74" i="58"/>
  <c r="W74" i="58"/>
  <c r="V74" i="58"/>
  <c r="U74" i="58"/>
  <c r="T74" i="58"/>
  <c r="S74" i="58"/>
  <c r="R74" i="58"/>
  <c r="Q74" i="58"/>
  <c r="P74" i="58"/>
  <c r="O74" i="58"/>
  <c r="N74" i="58"/>
  <c r="L74" i="58"/>
  <c r="Z73" i="58"/>
  <c r="Y73" i="58"/>
  <c r="X73" i="58"/>
  <c r="W73" i="58"/>
  <c r="V73" i="58"/>
  <c r="U73" i="58"/>
  <c r="T73" i="58"/>
  <c r="S73" i="58"/>
  <c r="R73" i="58"/>
  <c r="Q73" i="58"/>
  <c r="P73" i="58"/>
  <c r="O73" i="58"/>
  <c r="N73" i="58"/>
  <c r="L73" i="58"/>
  <c r="Z72" i="58"/>
  <c r="Y72" i="58"/>
  <c r="X72" i="58"/>
  <c r="W72" i="58"/>
  <c r="V72" i="58"/>
  <c r="U72" i="58"/>
  <c r="T72" i="58"/>
  <c r="S72" i="58"/>
  <c r="R72" i="58"/>
  <c r="Q72" i="58"/>
  <c r="P72" i="58"/>
  <c r="O72" i="58"/>
  <c r="N72" i="58"/>
  <c r="L72" i="58"/>
  <c r="Z71" i="58"/>
  <c r="Y71" i="58"/>
  <c r="X71" i="58"/>
  <c r="W71" i="58"/>
  <c r="V71" i="58"/>
  <c r="U71" i="58"/>
  <c r="T71" i="58"/>
  <c r="S71" i="58"/>
  <c r="R71" i="58"/>
  <c r="Q71" i="58"/>
  <c r="P71" i="58"/>
  <c r="O71" i="58"/>
  <c r="N71" i="58"/>
  <c r="L71" i="58"/>
  <c r="Z70" i="58"/>
  <c r="Y70" i="58"/>
  <c r="X70" i="58"/>
  <c r="W70" i="58"/>
  <c r="V70" i="58"/>
  <c r="U70" i="58"/>
  <c r="T70" i="58"/>
  <c r="S70" i="58"/>
  <c r="R70" i="58"/>
  <c r="Q70" i="58"/>
  <c r="P70" i="58"/>
  <c r="O70" i="58"/>
  <c r="N70" i="58"/>
  <c r="L70" i="58"/>
  <c r="Z69" i="58"/>
  <c r="Y69" i="58"/>
  <c r="X69" i="58"/>
  <c r="W69" i="58"/>
  <c r="V69" i="58"/>
  <c r="U69" i="58"/>
  <c r="T69" i="58"/>
  <c r="S69" i="58"/>
  <c r="R69" i="58"/>
  <c r="Q69" i="58"/>
  <c r="P69" i="58"/>
  <c r="O69" i="58"/>
  <c r="N69" i="58"/>
  <c r="L69" i="58"/>
  <c r="Z68" i="58"/>
  <c r="Y68" i="58"/>
  <c r="X68" i="58"/>
  <c r="W68" i="58"/>
  <c r="V68" i="58"/>
  <c r="U68" i="58"/>
  <c r="T68" i="58"/>
  <c r="S68" i="58"/>
  <c r="R68" i="58"/>
  <c r="Q68" i="58"/>
  <c r="P68" i="58"/>
  <c r="O68" i="58"/>
  <c r="N68" i="58"/>
  <c r="L68" i="58"/>
  <c r="Z67" i="58"/>
  <c r="Y67" i="58"/>
  <c r="X67" i="58"/>
  <c r="W67" i="58"/>
  <c r="V67" i="58"/>
  <c r="U67" i="58"/>
  <c r="T67" i="58"/>
  <c r="S67" i="58"/>
  <c r="R67" i="58"/>
  <c r="Q67" i="58"/>
  <c r="P67" i="58"/>
  <c r="O67" i="58"/>
  <c r="N67" i="58"/>
  <c r="L67" i="58"/>
  <c r="Z66" i="58"/>
  <c r="Y66" i="58"/>
  <c r="X66" i="58"/>
  <c r="W66" i="58"/>
  <c r="V66" i="58"/>
  <c r="U66" i="58"/>
  <c r="T66" i="58"/>
  <c r="S66" i="58"/>
  <c r="R66" i="58"/>
  <c r="Q66" i="58"/>
  <c r="P66" i="58"/>
  <c r="O66" i="58"/>
  <c r="N66" i="58"/>
  <c r="L66" i="58"/>
  <c r="Z65" i="58"/>
  <c r="Y65" i="58"/>
  <c r="X65" i="58"/>
  <c r="W65" i="58"/>
  <c r="V65" i="58"/>
  <c r="U65" i="58"/>
  <c r="T65" i="58"/>
  <c r="S65" i="58"/>
  <c r="R65" i="58"/>
  <c r="Q65" i="58"/>
  <c r="P65" i="58"/>
  <c r="O65" i="58"/>
  <c r="N65" i="58"/>
  <c r="L65" i="58"/>
  <c r="Z64" i="58"/>
  <c r="Y64" i="58"/>
  <c r="X64" i="58"/>
  <c r="W64" i="58"/>
  <c r="V64" i="58"/>
  <c r="U64" i="58"/>
  <c r="T64" i="58"/>
  <c r="S64" i="58"/>
  <c r="R64" i="58"/>
  <c r="Q64" i="58"/>
  <c r="P64" i="58"/>
  <c r="O64" i="58"/>
  <c r="N64" i="58"/>
  <c r="L64" i="58"/>
  <c r="Z63" i="58"/>
  <c r="Y63" i="58"/>
  <c r="X63" i="58"/>
  <c r="W63" i="58"/>
  <c r="V63" i="58"/>
  <c r="U63" i="58"/>
  <c r="T63" i="58"/>
  <c r="S63" i="58"/>
  <c r="R63" i="58"/>
  <c r="Q63" i="58"/>
  <c r="P63" i="58"/>
  <c r="O63" i="58"/>
  <c r="N63" i="58"/>
  <c r="L63" i="58"/>
  <c r="Z62" i="58"/>
  <c r="Y62" i="58"/>
  <c r="X62" i="58"/>
  <c r="W62" i="58"/>
  <c r="V62" i="58"/>
  <c r="U62" i="58"/>
  <c r="T62" i="58"/>
  <c r="S62" i="58"/>
  <c r="R62" i="58"/>
  <c r="Q62" i="58"/>
  <c r="P62" i="58"/>
  <c r="O62" i="58"/>
  <c r="N62" i="58"/>
  <c r="L62" i="58"/>
  <c r="Z61" i="58"/>
  <c r="Y61" i="58"/>
  <c r="X61" i="58"/>
  <c r="W61" i="58"/>
  <c r="V61" i="58"/>
  <c r="U61" i="58"/>
  <c r="T61" i="58"/>
  <c r="S61" i="58"/>
  <c r="R61" i="58"/>
  <c r="Q61" i="58"/>
  <c r="P61" i="58"/>
  <c r="O61" i="58"/>
  <c r="N61" i="58"/>
  <c r="L61" i="58"/>
  <c r="Z60" i="58"/>
  <c r="Y60" i="58"/>
  <c r="X60" i="58"/>
  <c r="W60" i="58"/>
  <c r="V60" i="58"/>
  <c r="U60" i="58"/>
  <c r="T60" i="58"/>
  <c r="S60" i="58"/>
  <c r="R60" i="58"/>
  <c r="Q60" i="58"/>
  <c r="P60" i="58"/>
  <c r="O60" i="58"/>
  <c r="N60" i="58"/>
  <c r="L60" i="58"/>
  <c r="Z59" i="58"/>
  <c r="Y59" i="58"/>
  <c r="X59" i="58"/>
  <c r="W59" i="58"/>
  <c r="V59" i="58"/>
  <c r="U59" i="58"/>
  <c r="T59" i="58"/>
  <c r="S59" i="58"/>
  <c r="R59" i="58"/>
  <c r="Q59" i="58"/>
  <c r="P59" i="58"/>
  <c r="O59" i="58"/>
  <c r="N59" i="58"/>
  <c r="L59" i="58"/>
  <c r="Z58" i="58"/>
  <c r="Y58" i="58"/>
  <c r="X58" i="58"/>
  <c r="W58" i="58"/>
  <c r="V58" i="58"/>
  <c r="U58" i="58"/>
  <c r="T58" i="58"/>
  <c r="S58" i="58"/>
  <c r="R58" i="58"/>
  <c r="Q58" i="58"/>
  <c r="P58" i="58"/>
  <c r="O58" i="58"/>
  <c r="N58" i="58"/>
  <c r="L58" i="58"/>
  <c r="Z57" i="58"/>
  <c r="Y57" i="58"/>
  <c r="X57" i="58"/>
  <c r="W57" i="58"/>
  <c r="V57" i="58"/>
  <c r="U57" i="58"/>
  <c r="T57" i="58"/>
  <c r="S57" i="58"/>
  <c r="R57" i="58"/>
  <c r="Q57" i="58"/>
  <c r="P57" i="58"/>
  <c r="O57" i="58"/>
  <c r="N57" i="58"/>
  <c r="L57" i="58"/>
  <c r="Z56" i="58"/>
  <c r="Y56" i="58"/>
  <c r="X56" i="58"/>
  <c r="W56" i="58"/>
  <c r="V56" i="58"/>
  <c r="U56" i="58"/>
  <c r="T56" i="58"/>
  <c r="S56" i="58"/>
  <c r="R56" i="58"/>
  <c r="Q56" i="58"/>
  <c r="P56" i="58"/>
  <c r="O56" i="58"/>
  <c r="N56" i="58"/>
  <c r="L56" i="58"/>
  <c r="Z55" i="58"/>
  <c r="Y55" i="58"/>
  <c r="X55" i="58"/>
  <c r="W55" i="58"/>
  <c r="V55" i="58"/>
  <c r="U55" i="58"/>
  <c r="T55" i="58"/>
  <c r="S55" i="58"/>
  <c r="R55" i="58"/>
  <c r="Q55" i="58"/>
  <c r="P55" i="58"/>
  <c r="O55" i="58"/>
  <c r="N55" i="58"/>
  <c r="L55" i="58"/>
  <c r="Z54" i="58"/>
  <c r="Y54" i="58"/>
  <c r="X54" i="58"/>
  <c r="W54" i="58"/>
  <c r="V54" i="58"/>
  <c r="U54" i="58"/>
  <c r="T54" i="58"/>
  <c r="S54" i="58"/>
  <c r="R54" i="58"/>
  <c r="Q54" i="58"/>
  <c r="P54" i="58"/>
  <c r="O54" i="58"/>
  <c r="N54" i="58"/>
  <c r="L54" i="58"/>
  <c r="Z53" i="58"/>
  <c r="Y53" i="58"/>
  <c r="X53" i="58"/>
  <c r="W53" i="58"/>
  <c r="V53" i="58"/>
  <c r="U53" i="58"/>
  <c r="T53" i="58"/>
  <c r="S53" i="58"/>
  <c r="R53" i="58"/>
  <c r="Q53" i="58"/>
  <c r="P53" i="58"/>
  <c r="O53" i="58"/>
  <c r="N53" i="58"/>
  <c r="L53" i="58"/>
  <c r="Z52" i="58"/>
  <c r="Y52" i="58"/>
  <c r="X52" i="58"/>
  <c r="W52" i="58"/>
  <c r="V52" i="58"/>
  <c r="U52" i="58"/>
  <c r="T52" i="58"/>
  <c r="S52" i="58"/>
  <c r="R52" i="58"/>
  <c r="Q52" i="58"/>
  <c r="P52" i="58"/>
  <c r="O52" i="58"/>
  <c r="N52" i="58"/>
  <c r="L52" i="58"/>
  <c r="Z51" i="58"/>
  <c r="Y51" i="58"/>
  <c r="X51" i="58"/>
  <c r="W51" i="58"/>
  <c r="V51" i="58"/>
  <c r="U51" i="58"/>
  <c r="T51" i="58"/>
  <c r="S51" i="58"/>
  <c r="R51" i="58"/>
  <c r="Q51" i="58"/>
  <c r="P51" i="58"/>
  <c r="O51" i="58"/>
  <c r="N51" i="58"/>
  <c r="L51" i="58"/>
  <c r="Z50" i="58"/>
  <c r="Y50" i="58"/>
  <c r="X50" i="58"/>
  <c r="W50" i="58"/>
  <c r="V50" i="58"/>
  <c r="U50" i="58"/>
  <c r="T50" i="58"/>
  <c r="S50" i="58"/>
  <c r="R50" i="58"/>
  <c r="Q50" i="58"/>
  <c r="P50" i="58"/>
  <c r="O50" i="58"/>
  <c r="N50" i="58"/>
  <c r="L50" i="58"/>
  <c r="Z49" i="58"/>
  <c r="Y49" i="58"/>
  <c r="X49" i="58"/>
  <c r="W49" i="58"/>
  <c r="V49" i="58"/>
  <c r="U49" i="58"/>
  <c r="T49" i="58"/>
  <c r="S49" i="58"/>
  <c r="R49" i="58"/>
  <c r="Q49" i="58"/>
  <c r="P49" i="58"/>
  <c r="O49" i="58"/>
  <c r="N49" i="58"/>
  <c r="L49" i="58"/>
  <c r="Z48" i="58"/>
  <c r="Y48" i="58"/>
  <c r="X48" i="58"/>
  <c r="W48" i="58"/>
  <c r="V48" i="58"/>
  <c r="U48" i="58"/>
  <c r="T48" i="58"/>
  <c r="S48" i="58"/>
  <c r="R48" i="58"/>
  <c r="Q48" i="58"/>
  <c r="P48" i="58"/>
  <c r="O48" i="58"/>
  <c r="N48" i="58"/>
  <c r="L48" i="58"/>
  <c r="Z47" i="58"/>
  <c r="Y47" i="58"/>
  <c r="X47" i="58"/>
  <c r="W47" i="58"/>
  <c r="V47" i="58"/>
  <c r="U47" i="58"/>
  <c r="T47" i="58"/>
  <c r="S47" i="58"/>
  <c r="R47" i="58"/>
  <c r="Q47" i="58"/>
  <c r="P47" i="58"/>
  <c r="O47" i="58"/>
  <c r="N47" i="58"/>
  <c r="L47" i="58"/>
  <c r="Z46" i="58"/>
  <c r="Y46" i="58"/>
  <c r="X46" i="58"/>
  <c r="W46" i="58"/>
  <c r="V46" i="58"/>
  <c r="U46" i="58"/>
  <c r="T46" i="58"/>
  <c r="S46" i="58"/>
  <c r="R46" i="58"/>
  <c r="Q46" i="58"/>
  <c r="P46" i="58"/>
  <c r="O46" i="58"/>
  <c r="N46" i="58"/>
  <c r="L46" i="58"/>
  <c r="Z45" i="58"/>
  <c r="Y45" i="58"/>
  <c r="X45" i="58"/>
  <c r="W45" i="58"/>
  <c r="V45" i="58"/>
  <c r="U45" i="58"/>
  <c r="T45" i="58"/>
  <c r="S45" i="58"/>
  <c r="R45" i="58"/>
  <c r="Q45" i="58"/>
  <c r="P45" i="58"/>
  <c r="O45" i="58"/>
  <c r="N45" i="58"/>
  <c r="L45" i="58"/>
  <c r="Z44" i="58"/>
  <c r="Y44" i="58"/>
  <c r="X44" i="58"/>
  <c r="W44" i="58"/>
  <c r="V44" i="58"/>
  <c r="U44" i="58"/>
  <c r="T44" i="58"/>
  <c r="S44" i="58"/>
  <c r="R44" i="58"/>
  <c r="Q44" i="58"/>
  <c r="P44" i="58"/>
  <c r="O44" i="58"/>
  <c r="N44" i="58"/>
  <c r="L44" i="58"/>
  <c r="Z43" i="58"/>
  <c r="Y43" i="58"/>
  <c r="X43" i="58"/>
  <c r="W43" i="58"/>
  <c r="V43" i="58"/>
  <c r="U43" i="58"/>
  <c r="T43" i="58"/>
  <c r="S43" i="58"/>
  <c r="R43" i="58"/>
  <c r="Q43" i="58"/>
  <c r="P43" i="58"/>
  <c r="O43" i="58"/>
  <c r="N43" i="58"/>
  <c r="L43" i="58"/>
  <c r="Z42" i="58"/>
  <c r="Y42" i="58"/>
  <c r="X42" i="58"/>
  <c r="W42" i="58"/>
  <c r="V42" i="58"/>
  <c r="U42" i="58"/>
  <c r="T42" i="58"/>
  <c r="S42" i="58"/>
  <c r="R42" i="58"/>
  <c r="Q42" i="58"/>
  <c r="P42" i="58"/>
  <c r="O42" i="58"/>
  <c r="N42" i="58"/>
  <c r="L42" i="58"/>
  <c r="Z41" i="58"/>
  <c r="Y41" i="58"/>
  <c r="X41" i="58"/>
  <c r="W41" i="58"/>
  <c r="V41" i="58"/>
  <c r="U41" i="58"/>
  <c r="T41" i="58"/>
  <c r="S41" i="58"/>
  <c r="R41" i="58"/>
  <c r="Q41" i="58"/>
  <c r="P41" i="58"/>
  <c r="O41" i="58"/>
  <c r="N41" i="58"/>
  <c r="L41" i="58"/>
  <c r="Z40" i="58"/>
  <c r="Y40" i="58"/>
  <c r="X40" i="58"/>
  <c r="W40" i="58"/>
  <c r="V40" i="58"/>
  <c r="U40" i="58"/>
  <c r="T40" i="58"/>
  <c r="S40" i="58"/>
  <c r="R40" i="58"/>
  <c r="Q40" i="58"/>
  <c r="P40" i="58"/>
  <c r="O40" i="58"/>
  <c r="N40" i="58"/>
  <c r="L40" i="58"/>
  <c r="Z39" i="58"/>
  <c r="Y39" i="58"/>
  <c r="X39" i="58"/>
  <c r="W39" i="58"/>
  <c r="V39" i="58"/>
  <c r="U39" i="58"/>
  <c r="T39" i="58"/>
  <c r="S39" i="58"/>
  <c r="R39" i="58"/>
  <c r="Q39" i="58"/>
  <c r="P39" i="58"/>
  <c r="O39" i="58"/>
  <c r="N39" i="58"/>
  <c r="L39" i="58"/>
  <c r="Z38" i="58"/>
  <c r="Y38" i="58"/>
  <c r="X38" i="58"/>
  <c r="W38" i="58"/>
  <c r="V38" i="58"/>
  <c r="U38" i="58"/>
  <c r="T38" i="58"/>
  <c r="S38" i="58"/>
  <c r="R38" i="58"/>
  <c r="Q38" i="58"/>
  <c r="P38" i="58"/>
  <c r="O38" i="58"/>
  <c r="N38" i="58"/>
  <c r="L38" i="58"/>
  <c r="Z37" i="58"/>
  <c r="Y37" i="58"/>
  <c r="X37" i="58"/>
  <c r="W37" i="58"/>
  <c r="V37" i="58"/>
  <c r="U37" i="58"/>
  <c r="T37" i="58"/>
  <c r="S37" i="58"/>
  <c r="R37" i="58"/>
  <c r="Q37" i="58"/>
  <c r="P37" i="58"/>
  <c r="O37" i="58"/>
  <c r="N37" i="58"/>
  <c r="L37" i="58"/>
  <c r="Z36" i="58"/>
  <c r="Y36" i="58"/>
  <c r="X36" i="58"/>
  <c r="W36" i="58"/>
  <c r="V36" i="58"/>
  <c r="U36" i="58"/>
  <c r="T36" i="58"/>
  <c r="S36" i="58"/>
  <c r="R36" i="58"/>
  <c r="Q36" i="58"/>
  <c r="P36" i="58"/>
  <c r="O36" i="58"/>
  <c r="N36" i="58"/>
  <c r="L36" i="58"/>
  <c r="Z35" i="58"/>
  <c r="Y35" i="58"/>
  <c r="X35" i="58"/>
  <c r="W35" i="58"/>
  <c r="V35" i="58"/>
  <c r="U35" i="58"/>
  <c r="T35" i="58"/>
  <c r="S35" i="58"/>
  <c r="R35" i="58"/>
  <c r="Q35" i="58"/>
  <c r="P35" i="58"/>
  <c r="O35" i="58"/>
  <c r="N35" i="58"/>
  <c r="L35" i="58"/>
  <c r="Z34" i="58"/>
  <c r="Y34" i="58"/>
  <c r="X34" i="58"/>
  <c r="W34" i="58"/>
  <c r="V34" i="58"/>
  <c r="U34" i="58"/>
  <c r="T34" i="58"/>
  <c r="S34" i="58"/>
  <c r="R34" i="58"/>
  <c r="Q34" i="58"/>
  <c r="P34" i="58"/>
  <c r="O34" i="58"/>
  <c r="N34" i="58"/>
  <c r="L34" i="58"/>
  <c r="Z33" i="58"/>
  <c r="Y33" i="58"/>
  <c r="X33" i="58"/>
  <c r="W33" i="58"/>
  <c r="V33" i="58"/>
  <c r="U33" i="58"/>
  <c r="T33" i="58"/>
  <c r="S33" i="58"/>
  <c r="R33" i="58"/>
  <c r="Q33" i="58"/>
  <c r="P33" i="58"/>
  <c r="O33" i="58"/>
  <c r="N33" i="58"/>
  <c r="L33" i="58"/>
  <c r="Z32" i="58"/>
  <c r="Y32" i="58"/>
  <c r="X32" i="58"/>
  <c r="W32" i="58"/>
  <c r="V32" i="58"/>
  <c r="U32" i="58"/>
  <c r="T32" i="58"/>
  <c r="S32" i="58"/>
  <c r="R32" i="58"/>
  <c r="Q32" i="58"/>
  <c r="P32" i="58"/>
  <c r="O32" i="58"/>
  <c r="N32" i="58"/>
  <c r="L32" i="58"/>
  <c r="Z30" i="58"/>
  <c r="Y30" i="58"/>
  <c r="X30" i="58"/>
  <c r="W30" i="58"/>
  <c r="V30" i="58"/>
  <c r="U30" i="58"/>
  <c r="T30" i="58"/>
  <c r="S30" i="58"/>
  <c r="R30" i="58"/>
  <c r="Q30" i="58"/>
  <c r="P30" i="58"/>
  <c r="O30" i="58"/>
  <c r="N30" i="58"/>
  <c r="L30" i="58"/>
  <c r="Z27" i="58"/>
  <c r="Y27" i="58"/>
  <c r="X27" i="58"/>
  <c r="W27" i="58"/>
  <c r="V27" i="58"/>
  <c r="U27" i="58"/>
  <c r="T27" i="58"/>
  <c r="S27" i="58"/>
  <c r="R27" i="58"/>
  <c r="Q27" i="58"/>
  <c r="P27" i="58"/>
  <c r="O27" i="58"/>
  <c r="N27" i="58"/>
  <c r="Z26" i="58"/>
  <c r="Y26" i="58"/>
  <c r="X26" i="58"/>
  <c r="W26" i="58"/>
  <c r="V26" i="58"/>
  <c r="U26" i="58"/>
  <c r="T26" i="58"/>
  <c r="S26" i="58"/>
  <c r="R26" i="58"/>
  <c r="Q26" i="58"/>
  <c r="P26" i="58"/>
  <c r="O26" i="58"/>
  <c r="N26" i="58"/>
  <c r="Z25" i="58"/>
  <c r="Y25" i="58"/>
  <c r="X25" i="58"/>
  <c r="W25" i="58"/>
  <c r="V25" i="58"/>
  <c r="U25" i="58"/>
  <c r="T25" i="58"/>
  <c r="S25" i="58"/>
  <c r="R25" i="58"/>
  <c r="Q25" i="58"/>
  <c r="P25" i="58"/>
  <c r="O25" i="58"/>
  <c r="N25" i="58"/>
  <c r="L25" i="58"/>
  <c r="J437" i="58"/>
  <c r="I437" i="58"/>
  <c r="J435" i="58"/>
  <c r="I435" i="58"/>
  <c r="J433" i="58"/>
  <c r="I433" i="58"/>
  <c r="J431" i="58"/>
  <c r="I431" i="58"/>
  <c r="J427" i="58"/>
  <c r="I427" i="58"/>
  <c r="J416" i="58"/>
  <c r="I416" i="58"/>
  <c r="J406" i="58"/>
  <c r="I406" i="58"/>
  <c r="J396" i="58"/>
  <c r="I396" i="58"/>
  <c r="J367" i="58"/>
  <c r="I367" i="58"/>
  <c r="J324" i="58"/>
  <c r="I324" i="58"/>
  <c r="J295" i="58"/>
  <c r="I295" i="58"/>
  <c r="J294" i="58"/>
  <c r="I294" i="58"/>
  <c r="J265" i="58"/>
  <c r="I265" i="58"/>
  <c r="J220" i="58"/>
  <c r="I220" i="58"/>
  <c r="I120" i="58"/>
  <c r="J120" i="58"/>
  <c r="J105" i="58"/>
  <c r="I105" i="58"/>
  <c r="J425" i="58"/>
  <c r="I425" i="58"/>
  <c r="J424" i="58"/>
  <c r="I424" i="58"/>
  <c r="J423" i="58"/>
  <c r="I423" i="58"/>
  <c r="J422" i="58"/>
  <c r="I422" i="58"/>
  <c r="J421" i="58"/>
  <c r="I421" i="58"/>
  <c r="J420" i="58"/>
  <c r="I420" i="58"/>
  <c r="I419" i="58"/>
  <c r="J417" i="58"/>
  <c r="I417" i="58"/>
  <c r="J415" i="58"/>
  <c r="I415" i="58"/>
  <c r="J414" i="58"/>
  <c r="I414" i="58"/>
  <c r="J413" i="58"/>
  <c r="I413" i="58"/>
  <c r="J412" i="58"/>
  <c r="I412" i="58"/>
  <c r="J411" i="58"/>
  <c r="I411" i="58"/>
  <c r="J410" i="58"/>
  <c r="I410" i="58"/>
  <c r="J409" i="58"/>
  <c r="I409" i="58"/>
  <c r="J408" i="58"/>
  <c r="I408" i="58"/>
  <c r="J407" i="58"/>
  <c r="I407" i="58"/>
  <c r="J405" i="58"/>
  <c r="I405" i="58"/>
  <c r="J404" i="58"/>
  <c r="I404" i="58"/>
  <c r="J403" i="58"/>
  <c r="I403" i="58"/>
  <c r="J402" i="58"/>
  <c r="I402" i="58"/>
  <c r="J401" i="58"/>
  <c r="I401" i="58"/>
  <c r="J400" i="58"/>
  <c r="I400" i="58"/>
  <c r="J399" i="58"/>
  <c r="I399" i="58"/>
  <c r="J398" i="58"/>
  <c r="I398" i="58"/>
  <c r="J397" i="58"/>
  <c r="I397" i="58"/>
  <c r="J395" i="58"/>
  <c r="I395" i="58"/>
  <c r="J394" i="58"/>
  <c r="I394" i="58"/>
  <c r="J393" i="58"/>
  <c r="I393" i="58"/>
  <c r="J392" i="58"/>
  <c r="I392" i="58"/>
  <c r="J391" i="58"/>
  <c r="I391" i="58"/>
  <c r="J390" i="58"/>
  <c r="I390" i="58"/>
  <c r="J389" i="58"/>
  <c r="I389" i="58"/>
  <c r="J388" i="58"/>
  <c r="I388" i="58"/>
  <c r="J387" i="58"/>
  <c r="I387" i="58"/>
  <c r="J386" i="58"/>
  <c r="I386" i="58"/>
  <c r="J385" i="58"/>
  <c r="I385" i="58"/>
  <c r="J384" i="58"/>
  <c r="I384" i="58"/>
  <c r="J383" i="58"/>
  <c r="I383" i="58"/>
  <c r="J382" i="58"/>
  <c r="I382" i="58"/>
  <c r="J381" i="58"/>
  <c r="I381" i="58"/>
  <c r="J380" i="58"/>
  <c r="I380" i="58"/>
  <c r="J379" i="58"/>
  <c r="I379" i="58"/>
  <c r="J378" i="58"/>
  <c r="I378" i="58"/>
  <c r="J377" i="58"/>
  <c r="I377" i="58"/>
  <c r="J376" i="58"/>
  <c r="I376" i="58"/>
  <c r="J375" i="58"/>
  <c r="I375" i="58"/>
  <c r="J374" i="58"/>
  <c r="I374" i="58"/>
  <c r="J373" i="58"/>
  <c r="I373" i="58"/>
  <c r="J372" i="58"/>
  <c r="I372" i="58"/>
  <c r="J371" i="58"/>
  <c r="I371" i="58"/>
  <c r="J370" i="58"/>
  <c r="I370" i="58"/>
  <c r="J369" i="58"/>
  <c r="I369" i="58"/>
  <c r="J368" i="58"/>
  <c r="I368" i="58"/>
  <c r="J366" i="58"/>
  <c r="I366" i="58"/>
  <c r="J365" i="58"/>
  <c r="I365" i="58"/>
  <c r="J364" i="58"/>
  <c r="I364" i="58"/>
  <c r="J363" i="58"/>
  <c r="I363" i="58"/>
  <c r="J362" i="58"/>
  <c r="I362" i="58"/>
  <c r="J361" i="58"/>
  <c r="I361" i="58"/>
  <c r="J360" i="58"/>
  <c r="I360" i="58"/>
  <c r="J359" i="58"/>
  <c r="I359" i="58"/>
  <c r="J358" i="58"/>
  <c r="I358" i="58"/>
  <c r="J357" i="58"/>
  <c r="I357" i="58"/>
  <c r="J356" i="58"/>
  <c r="I356" i="58"/>
  <c r="J355" i="58"/>
  <c r="I355" i="58"/>
  <c r="J354" i="58"/>
  <c r="I354" i="58"/>
  <c r="J353" i="58"/>
  <c r="I353" i="58"/>
  <c r="J352" i="58"/>
  <c r="I352" i="58"/>
  <c r="J351" i="58"/>
  <c r="I351" i="58"/>
  <c r="J350" i="58"/>
  <c r="I350" i="58"/>
  <c r="J349" i="58"/>
  <c r="I349" i="58"/>
  <c r="J348" i="58"/>
  <c r="I348" i="58"/>
  <c r="J347" i="58"/>
  <c r="I347" i="58"/>
  <c r="J346" i="58"/>
  <c r="I346" i="58"/>
  <c r="J345" i="58"/>
  <c r="I345" i="58"/>
  <c r="J344" i="58"/>
  <c r="I344" i="58"/>
  <c r="J343" i="58"/>
  <c r="I343" i="58"/>
  <c r="J342" i="58"/>
  <c r="I342" i="58"/>
  <c r="J341" i="58"/>
  <c r="I341" i="58"/>
  <c r="J340" i="58"/>
  <c r="I340" i="58"/>
  <c r="J339" i="58"/>
  <c r="I339" i="58"/>
  <c r="J338" i="58"/>
  <c r="I338" i="58"/>
  <c r="J337" i="58"/>
  <c r="I337" i="58"/>
  <c r="J336" i="58"/>
  <c r="I336" i="58"/>
  <c r="J335" i="58"/>
  <c r="I335" i="58"/>
  <c r="J334" i="58"/>
  <c r="I334" i="58"/>
  <c r="J333" i="58"/>
  <c r="I333" i="58"/>
  <c r="J332" i="58"/>
  <c r="I332" i="58"/>
  <c r="J331" i="58"/>
  <c r="I331" i="58"/>
  <c r="J330" i="58"/>
  <c r="I330" i="58"/>
  <c r="J329" i="58"/>
  <c r="I329" i="58"/>
  <c r="J328" i="58"/>
  <c r="I328" i="58"/>
  <c r="J327" i="58"/>
  <c r="I327" i="58"/>
  <c r="J326" i="58"/>
  <c r="I326" i="58"/>
  <c r="J325" i="58"/>
  <c r="I325" i="58"/>
  <c r="J323" i="58"/>
  <c r="I323" i="58"/>
  <c r="J322" i="58"/>
  <c r="I322" i="58"/>
  <c r="J321" i="58"/>
  <c r="I321" i="58"/>
  <c r="J320" i="58"/>
  <c r="I320" i="58"/>
  <c r="J319" i="58"/>
  <c r="I319" i="58"/>
  <c r="J318" i="58"/>
  <c r="I318" i="58"/>
  <c r="J317" i="58"/>
  <c r="I317" i="58"/>
  <c r="J316" i="58"/>
  <c r="I316" i="58"/>
  <c r="J315" i="58"/>
  <c r="I315" i="58"/>
  <c r="J314" i="58"/>
  <c r="I314" i="58"/>
  <c r="J313" i="58"/>
  <c r="I313" i="58"/>
  <c r="J312" i="58"/>
  <c r="I312" i="58"/>
  <c r="J311" i="58"/>
  <c r="I311" i="58"/>
  <c r="J310" i="58"/>
  <c r="I310" i="58"/>
  <c r="J309" i="58"/>
  <c r="I309" i="58"/>
  <c r="J308" i="58"/>
  <c r="I308" i="58"/>
  <c r="J307" i="58"/>
  <c r="I307" i="58"/>
  <c r="J306" i="58"/>
  <c r="I306" i="58"/>
  <c r="J305" i="58"/>
  <c r="I305" i="58"/>
  <c r="J304" i="58"/>
  <c r="I304" i="58"/>
  <c r="J303" i="58"/>
  <c r="I303" i="58"/>
  <c r="J302" i="58"/>
  <c r="I302" i="58"/>
  <c r="J301" i="58"/>
  <c r="I301" i="58"/>
  <c r="J300" i="58"/>
  <c r="I300" i="58"/>
  <c r="J299" i="58"/>
  <c r="I299" i="58"/>
  <c r="J298" i="58"/>
  <c r="I298" i="58"/>
  <c r="J297" i="58"/>
  <c r="I297" i="58"/>
  <c r="J296" i="58"/>
  <c r="I296" i="58"/>
  <c r="J293" i="58"/>
  <c r="I293" i="58"/>
  <c r="J292" i="58"/>
  <c r="I292" i="58"/>
  <c r="J291" i="58"/>
  <c r="I291" i="58"/>
  <c r="J290" i="58"/>
  <c r="I290" i="58"/>
  <c r="J289" i="58"/>
  <c r="I289" i="58"/>
  <c r="J288" i="58"/>
  <c r="I288" i="58"/>
  <c r="J287" i="58"/>
  <c r="I287" i="58"/>
  <c r="J286" i="58"/>
  <c r="I286" i="58"/>
  <c r="J285" i="58"/>
  <c r="I285" i="58"/>
  <c r="J284" i="58"/>
  <c r="I284" i="58"/>
  <c r="J283" i="58"/>
  <c r="I283" i="58"/>
  <c r="J282" i="58"/>
  <c r="I282" i="58"/>
  <c r="J281" i="58"/>
  <c r="I281" i="58"/>
  <c r="J280" i="58"/>
  <c r="I280" i="58"/>
  <c r="J279" i="58"/>
  <c r="I279" i="58"/>
  <c r="J278" i="58"/>
  <c r="I278" i="58"/>
  <c r="J277" i="58"/>
  <c r="I277" i="58"/>
  <c r="J276" i="58"/>
  <c r="I276" i="58"/>
  <c r="J275" i="58"/>
  <c r="I275" i="58"/>
  <c r="J274" i="58"/>
  <c r="I274" i="58"/>
  <c r="J273" i="58"/>
  <c r="I273" i="58"/>
  <c r="J272" i="58"/>
  <c r="I272" i="58"/>
  <c r="J271" i="58"/>
  <c r="I271" i="58"/>
  <c r="J270" i="58"/>
  <c r="I270" i="58"/>
  <c r="J269" i="58"/>
  <c r="I269" i="58"/>
  <c r="J268" i="58"/>
  <c r="I268" i="58"/>
  <c r="J267" i="58"/>
  <c r="I267" i="58"/>
  <c r="J266" i="58"/>
  <c r="I266" i="58"/>
  <c r="J264" i="58"/>
  <c r="I264" i="58"/>
  <c r="J263" i="58"/>
  <c r="I263" i="58"/>
  <c r="J262" i="58"/>
  <c r="I262" i="58"/>
  <c r="J261" i="58"/>
  <c r="I261" i="58"/>
  <c r="J260" i="58"/>
  <c r="I260" i="58"/>
  <c r="J259" i="58"/>
  <c r="I259" i="58"/>
  <c r="J258" i="58"/>
  <c r="I258" i="58"/>
  <c r="J257" i="58"/>
  <c r="I257" i="58"/>
  <c r="J256" i="58"/>
  <c r="I256" i="58"/>
  <c r="J255" i="58"/>
  <c r="I255" i="58"/>
  <c r="J254" i="58"/>
  <c r="I254" i="58"/>
  <c r="J253" i="58"/>
  <c r="I253" i="58"/>
  <c r="J252" i="58"/>
  <c r="I252" i="58"/>
  <c r="J251" i="58"/>
  <c r="I251" i="58"/>
  <c r="J250" i="58"/>
  <c r="I250" i="58"/>
  <c r="J249" i="58"/>
  <c r="I249" i="58"/>
  <c r="J248" i="58"/>
  <c r="I248" i="58"/>
  <c r="J247" i="58"/>
  <c r="I247" i="58"/>
  <c r="J246" i="58"/>
  <c r="I246" i="58"/>
  <c r="J245" i="58"/>
  <c r="I245" i="58"/>
  <c r="J244" i="58"/>
  <c r="I244" i="58"/>
  <c r="J243" i="58"/>
  <c r="I243" i="58"/>
  <c r="J242" i="58"/>
  <c r="I242" i="58"/>
  <c r="J241" i="58"/>
  <c r="I241" i="58"/>
  <c r="J240" i="58"/>
  <c r="I240" i="58"/>
  <c r="J239" i="58"/>
  <c r="I239" i="58"/>
  <c r="J238" i="58"/>
  <c r="I238" i="58"/>
  <c r="J237" i="58"/>
  <c r="I237" i="58"/>
  <c r="J236" i="58"/>
  <c r="I236" i="58"/>
  <c r="J235" i="58"/>
  <c r="I235" i="58"/>
  <c r="J234" i="58"/>
  <c r="I234" i="58"/>
  <c r="J233" i="58"/>
  <c r="I233" i="58"/>
  <c r="J232" i="58"/>
  <c r="I232" i="58"/>
  <c r="J231" i="58"/>
  <c r="I231" i="58"/>
  <c r="J230" i="58"/>
  <c r="I230" i="58"/>
  <c r="J229" i="58"/>
  <c r="I229" i="58"/>
  <c r="J228" i="58"/>
  <c r="I228" i="58"/>
  <c r="J227" i="58"/>
  <c r="I227" i="58"/>
  <c r="J226" i="58"/>
  <c r="I226" i="58"/>
  <c r="J225" i="58"/>
  <c r="I225" i="58"/>
  <c r="J224" i="58"/>
  <c r="I224" i="58"/>
  <c r="J223" i="58"/>
  <c r="I223" i="58"/>
  <c r="J222" i="58"/>
  <c r="I222" i="58"/>
  <c r="J221" i="58"/>
  <c r="I221" i="58"/>
  <c r="J219" i="58"/>
  <c r="I219" i="58"/>
  <c r="J218" i="58"/>
  <c r="I218" i="58"/>
  <c r="J217" i="58"/>
  <c r="I217" i="58"/>
  <c r="J216" i="58"/>
  <c r="I216" i="58"/>
  <c r="J215" i="58"/>
  <c r="I215" i="58"/>
  <c r="J214" i="58"/>
  <c r="I214" i="58"/>
  <c r="J213" i="58"/>
  <c r="I213" i="58"/>
  <c r="J212" i="58"/>
  <c r="I212" i="58"/>
  <c r="J211" i="58"/>
  <c r="I211" i="58"/>
  <c r="J210" i="58"/>
  <c r="I210" i="58"/>
  <c r="J209" i="58"/>
  <c r="I209" i="58"/>
  <c r="J208" i="58"/>
  <c r="I208" i="58"/>
  <c r="J207" i="58"/>
  <c r="I207" i="58"/>
  <c r="J206" i="58"/>
  <c r="I206" i="58"/>
  <c r="J205" i="58"/>
  <c r="I205" i="58"/>
  <c r="J204" i="58"/>
  <c r="I204" i="58"/>
  <c r="J203" i="58"/>
  <c r="I203" i="58"/>
  <c r="J202" i="58"/>
  <c r="I202" i="58"/>
  <c r="J201" i="58"/>
  <c r="I201" i="58"/>
  <c r="J200" i="58"/>
  <c r="I200" i="58"/>
  <c r="J199" i="58"/>
  <c r="I199" i="58"/>
  <c r="J198" i="58"/>
  <c r="I198" i="58"/>
  <c r="J197" i="58"/>
  <c r="I197" i="58"/>
  <c r="J196" i="58"/>
  <c r="I196" i="58"/>
  <c r="J195" i="58"/>
  <c r="I195" i="58"/>
  <c r="J194" i="58"/>
  <c r="I194" i="58"/>
  <c r="J193" i="58"/>
  <c r="I193" i="58"/>
  <c r="J192" i="58"/>
  <c r="I192" i="58"/>
  <c r="J191" i="58"/>
  <c r="I191" i="58"/>
  <c r="J190" i="58"/>
  <c r="I190" i="58"/>
  <c r="J189" i="58"/>
  <c r="I189" i="58"/>
  <c r="J188" i="58"/>
  <c r="I188" i="58"/>
  <c r="J187" i="58"/>
  <c r="I187" i="58"/>
  <c r="J186" i="58"/>
  <c r="I186" i="58"/>
  <c r="J185" i="58"/>
  <c r="I185" i="58"/>
  <c r="J184" i="58"/>
  <c r="I184" i="58"/>
  <c r="J183" i="58"/>
  <c r="I183" i="58"/>
  <c r="J182" i="58"/>
  <c r="I182" i="58"/>
  <c r="J181" i="58"/>
  <c r="I181" i="58"/>
  <c r="J180" i="58"/>
  <c r="I180" i="58"/>
  <c r="J179" i="58"/>
  <c r="I179" i="58"/>
  <c r="J178" i="58"/>
  <c r="I178" i="58"/>
  <c r="J177" i="58"/>
  <c r="I177" i="58"/>
  <c r="J176" i="58"/>
  <c r="I176" i="58"/>
  <c r="J175" i="58"/>
  <c r="I175" i="58"/>
  <c r="J174" i="58"/>
  <c r="I174" i="58"/>
  <c r="J173" i="58"/>
  <c r="I173" i="58"/>
  <c r="J172" i="58"/>
  <c r="I172" i="58"/>
  <c r="J171" i="58"/>
  <c r="I171" i="58"/>
  <c r="J170" i="58"/>
  <c r="I170" i="58"/>
  <c r="J169" i="58"/>
  <c r="I169" i="58"/>
  <c r="J168" i="58"/>
  <c r="I168" i="58"/>
  <c r="J167" i="58"/>
  <c r="I167" i="58"/>
  <c r="J166" i="58"/>
  <c r="I166" i="58"/>
  <c r="J165" i="58"/>
  <c r="I165" i="58"/>
  <c r="J164" i="58"/>
  <c r="I164" i="58"/>
  <c r="J163" i="58"/>
  <c r="I163" i="58"/>
  <c r="J162" i="58"/>
  <c r="I162" i="58"/>
  <c r="J161" i="58"/>
  <c r="I161" i="58"/>
  <c r="J160" i="58"/>
  <c r="I160" i="58"/>
  <c r="J159" i="58"/>
  <c r="I159" i="58"/>
  <c r="J158" i="58"/>
  <c r="I158" i="58"/>
  <c r="J157" i="58"/>
  <c r="I157" i="58"/>
  <c r="J156" i="58"/>
  <c r="I156" i="58"/>
  <c r="J155" i="58"/>
  <c r="I155" i="58"/>
  <c r="J154" i="58"/>
  <c r="I154" i="58"/>
  <c r="J153" i="58"/>
  <c r="I153" i="58"/>
  <c r="J152" i="58"/>
  <c r="I152" i="58"/>
  <c r="J151" i="58"/>
  <c r="I151" i="58"/>
  <c r="J150" i="58"/>
  <c r="I150" i="58"/>
  <c r="J149" i="58"/>
  <c r="I149" i="58"/>
  <c r="J148" i="58"/>
  <c r="I148" i="58"/>
  <c r="J147" i="58"/>
  <c r="I147" i="58"/>
  <c r="J146" i="58"/>
  <c r="I146" i="58"/>
  <c r="J145" i="58"/>
  <c r="I145" i="58"/>
  <c r="J144" i="58"/>
  <c r="I144" i="58"/>
  <c r="J143" i="58"/>
  <c r="I143" i="58"/>
  <c r="J142" i="58"/>
  <c r="I142" i="58"/>
  <c r="J141" i="58"/>
  <c r="I141" i="58"/>
  <c r="J140" i="58"/>
  <c r="I140" i="58"/>
  <c r="J139" i="58"/>
  <c r="I139" i="58"/>
  <c r="J138" i="58"/>
  <c r="I138" i="58"/>
  <c r="J137" i="58"/>
  <c r="I137" i="58"/>
  <c r="J136" i="58"/>
  <c r="I136" i="58"/>
  <c r="J135" i="58"/>
  <c r="I135" i="58"/>
  <c r="J134" i="58"/>
  <c r="I134" i="58"/>
  <c r="J133" i="58"/>
  <c r="I133" i="58"/>
  <c r="J132" i="58"/>
  <c r="I132" i="58"/>
  <c r="J131" i="58"/>
  <c r="I131" i="58"/>
  <c r="J130" i="58"/>
  <c r="I130" i="58"/>
  <c r="J129" i="58"/>
  <c r="I129" i="58"/>
  <c r="J128" i="58"/>
  <c r="I128" i="58"/>
  <c r="J127" i="58"/>
  <c r="I127" i="58"/>
  <c r="J126" i="58"/>
  <c r="I126" i="58"/>
  <c r="J125" i="58"/>
  <c r="I125" i="58"/>
  <c r="J124" i="58"/>
  <c r="I124" i="58"/>
  <c r="J123" i="58"/>
  <c r="I123" i="58"/>
  <c r="J122" i="58"/>
  <c r="I122" i="58"/>
  <c r="J121" i="58"/>
  <c r="I121" i="58"/>
  <c r="J119" i="58"/>
  <c r="I119" i="58"/>
  <c r="J118" i="58"/>
  <c r="I118" i="58"/>
  <c r="J117" i="58"/>
  <c r="I117" i="58"/>
  <c r="J116" i="58"/>
  <c r="I116" i="58"/>
  <c r="J115" i="58"/>
  <c r="I115" i="58"/>
  <c r="J114" i="58"/>
  <c r="I114" i="58"/>
  <c r="J113" i="58"/>
  <c r="I113" i="58"/>
  <c r="J112" i="58"/>
  <c r="I112" i="58"/>
  <c r="J111" i="58"/>
  <c r="I111" i="58"/>
  <c r="J110" i="58"/>
  <c r="I110" i="58"/>
  <c r="J109" i="58"/>
  <c r="I109" i="58"/>
  <c r="J108" i="58"/>
  <c r="I108" i="58"/>
  <c r="J107" i="58"/>
  <c r="I107" i="58"/>
  <c r="J106" i="58"/>
  <c r="I106" i="58"/>
  <c r="J104" i="58"/>
  <c r="I104" i="58"/>
  <c r="J103" i="58"/>
  <c r="I103" i="58"/>
  <c r="J102" i="58"/>
  <c r="I102" i="58"/>
  <c r="J101" i="58"/>
  <c r="I101" i="58"/>
  <c r="J100" i="58"/>
  <c r="I100" i="58"/>
  <c r="J99" i="58"/>
  <c r="I99" i="58"/>
  <c r="J98" i="58"/>
  <c r="I98" i="58"/>
  <c r="J97" i="58"/>
  <c r="I97" i="58"/>
  <c r="J96" i="58"/>
  <c r="I96" i="58"/>
  <c r="J95" i="58"/>
  <c r="I95" i="58"/>
  <c r="J94" i="58"/>
  <c r="I94" i="58"/>
  <c r="J93" i="58"/>
  <c r="I93" i="58"/>
  <c r="J92" i="58"/>
  <c r="I92" i="58"/>
  <c r="J91" i="58"/>
  <c r="I91" i="58"/>
  <c r="J90" i="58"/>
  <c r="I90" i="58"/>
  <c r="J89" i="58"/>
  <c r="I89" i="58"/>
  <c r="J88" i="58"/>
  <c r="I88" i="58"/>
  <c r="J87" i="58"/>
  <c r="I87" i="58"/>
  <c r="J86" i="58"/>
  <c r="I86" i="58"/>
  <c r="J85" i="58"/>
  <c r="I85" i="58"/>
  <c r="J84" i="58"/>
  <c r="I84" i="58"/>
  <c r="J83" i="58"/>
  <c r="I83" i="58"/>
  <c r="J82" i="58"/>
  <c r="I82" i="58"/>
  <c r="J81" i="58"/>
  <c r="I81" i="58"/>
  <c r="J80" i="58"/>
  <c r="I80" i="58"/>
  <c r="J79" i="58"/>
  <c r="I79" i="58"/>
  <c r="J78" i="58"/>
  <c r="I78" i="58"/>
  <c r="J77" i="58"/>
  <c r="I77" i="58"/>
  <c r="J76" i="58"/>
  <c r="I76" i="58"/>
  <c r="J75" i="58"/>
  <c r="I75" i="58"/>
  <c r="J74" i="58"/>
  <c r="I74" i="58"/>
  <c r="J73" i="58"/>
  <c r="I73" i="58"/>
  <c r="J72" i="58"/>
  <c r="I72" i="58"/>
  <c r="J71" i="58"/>
  <c r="I71" i="58"/>
  <c r="J70" i="58"/>
  <c r="I70" i="58"/>
  <c r="J69" i="58"/>
  <c r="I69" i="58"/>
  <c r="J68" i="58"/>
  <c r="I68" i="58"/>
  <c r="J67" i="58"/>
  <c r="I67" i="58"/>
  <c r="J66" i="58"/>
  <c r="I66" i="58"/>
  <c r="J65" i="58"/>
  <c r="I65" i="58"/>
  <c r="J64" i="58"/>
  <c r="I64" i="58"/>
  <c r="J63" i="58"/>
  <c r="I63" i="58"/>
  <c r="J62" i="58"/>
  <c r="I62" i="58"/>
  <c r="J61" i="58"/>
  <c r="I61" i="58"/>
  <c r="J60" i="58"/>
  <c r="I60" i="58"/>
  <c r="J59" i="58"/>
  <c r="I59" i="58"/>
  <c r="J58" i="58"/>
  <c r="I58" i="58"/>
  <c r="J57" i="58"/>
  <c r="I57" i="58"/>
  <c r="J56" i="58"/>
  <c r="I56" i="58"/>
  <c r="J55" i="58"/>
  <c r="I55" i="58"/>
  <c r="J54" i="58"/>
  <c r="I54" i="58"/>
  <c r="J53" i="58"/>
  <c r="I53" i="58"/>
  <c r="J52" i="58"/>
  <c r="I52" i="58"/>
  <c r="J51" i="58"/>
  <c r="I51" i="58"/>
  <c r="J50" i="58"/>
  <c r="I50" i="58"/>
  <c r="J49" i="58"/>
  <c r="I49" i="58"/>
  <c r="J48" i="58"/>
  <c r="I48" i="58"/>
  <c r="J47" i="58"/>
  <c r="I47" i="58"/>
  <c r="J46" i="58"/>
  <c r="I46" i="58"/>
  <c r="J45" i="58"/>
  <c r="I45" i="58"/>
  <c r="J44" i="58"/>
  <c r="I44" i="58"/>
  <c r="J43" i="58"/>
  <c r="I43" i="58"/>
  <c r="J42" i="58"/>
  <c r="I42" i="58"/>
  <c r="J41" i="58"/>
  <c r="I41" i="58"/>
  <c r="J40" i="58"/>
  <c r="I40" i="58"/>
  <c r="J39" i="58"/>
  <c r="I39" i="58"/>
  <c r="J38" i="58"/>
  <c r="I38" i="58"/>
  <c r="J37" i="58"/>
  <c r="I37" i="58"/>
  <c r="J36" i="58"/>
  <c r="I36" i="58"/>
  <c r="J35" i="58"/>
  <c r="I35" i="58"/>
  <c r="J34" i="58"/>
  <c r="I34" i="58"/>
  <c r="J33" i="58"/>
  <c r="I33" i="58"/>
  <c r="J32" i="58"/>
  <c r="I32" i="58"/>
  <c r="I30" i="58"/>
  <c r="J28" i="58"/>
  <c r="J30" i="58"/>
  <c r="J29" i="58"/>
  <c r="I29" i="58"/>
  <c r="I28" i="58"/>
  <c r="L27" i="58"/>
  <c r="J27" i="58"/>
  <c r="I27" i="58"/>
  <c r="L26" i="58"/>
  <c r="J26" i="58"/>
  <c r="I26" i="58"/>
  <c r="J25" i="58"/>
  <c r="I25" i="58"/>
  <c r="E425" i="58"/>
  <c r="E423" i="58"/>
  <c r="E424" i="58"/>
  <c r="E422" i="58"/>
  <c r="E421" i="58"/>
  <c r="E417" i="58"/>
  <c r="E415" i="58"/>
  <c r="E413" i="58"/>
  <c r="E412" i="58"/>
  <c r="E411" i="58"/>
  <c r="E410" i="58"/>
  <c r="E409" i="58"/>
  <c r="E405" i="58"/>
  <c r="E404" i="58"/>
  <c r="E403" i="58"/>
  <c r="E402" i="58"/>
  <c r="E401" i="58"/>
  <c r="E400" i="58"/>
  <c r="E395" i="58"/>
  <c r="E394" i="58"/>
  <c r="E393" i="58"/>
  <c r="E392" i="58"/>
  <c r="E391" i="58"/>
  <c r="E390" i="58"/>
  <c r="E389" i="58"/>
  <c r="E388" i="58"/>
  <c r="E387" i="58"/>
  <c r="E386" i="58"/>
  <c r="E385" i="58"/>
  <c r="E384" i="58"/>
  <c r="E383" i="58"/>
  <c r="E381" i="58"/>
  <c r="E380" i="58"/>
  <c r="E379" i="58"/>
  <c r="E378" i="58"/>
  <c r="E377" i="58"/>
  <c r="E376" i="58"/>
  <c r="E375" i="58"/>
  <c r="E374" i="58"/>
  <c r="E373" i="58"/>
  <c r="E372" i="58"/>
  <c r="E371" i="58"/>
  <c r="E370" i="58"/>
  <c r="E369" i="58"/>
  <c r="E366" i="58"/>
  <c r="E365" i="58"/>
  <c r="E364" i="58"/>
  <c r="E363" i="58"/>
  <c r="E362" i="58"/>
  <c r="E361" i="58"/>
  <c r="E360" i="58"/>
  <c r="E359" i="58"/>
  <c r="E358" i="58"/>
  <c r="E357" i="58"/>
  <c r="E356" i="58"/>
  <c r="E355" i="58"/>
  <c r="E354" i="58"/>
  <c r="E352" i="58"/>
  <c r="E351" i="58"/>
  <c r="E350" i="58"/>
  <c r="E349" i="58"/>
  <c r="E348" i="58"/>
  <c r="E347" i="58"/>
  <c r="E346" i="58"/>
  <c r="E345" i="58"/>
  <c r="E344" i="58"/>
  <c r="E343" i="58"/>
  <c r="E342" i="58"/>
  <c r="E341" i="58"/>
  <c r="E340" i="58"/>
  <c r="E338" i="58"/>
  <c r="E337" i="58"/>
  <c r="E336" i="58"/>
  <c r="E335" i="58"/>
  <c r="E334" i="58"/>
  <c r="E333" i="58"/>
  <c r="E332" i="58"/>
  <c r="E331" i="58"/>
  <c r="E330" i="58"/>
  <c r="E329" i="58"/>
  <c r="E328" i="58"/>
  <c r="E327" i="58"/>
  <c r="E326" i="58"/>
  <c r="E323" i="58"/>
  <c r="E322" i="58"/>
  <c r="E321" i="58"/>
  <c r="E320" i="58"/>
  <c r="E319" i="58"/>
  <c r="E318" i="58"/>
  <c r="E317" i="58"/>
  <c r="E316" i="58"/>
  <c r="E315" i="58"/>
  <c r="E314" i="58"/>
  <c r="E313" i="58"/>
  <c r="E312" i="58"/>
  <c r="E311" i="58"/>
  <c r="E309" i="58"/>
  <c r="E308" i="58"/>
  <c r="E307" i="58"/>
  <c r="E306" i="58"/>
  <c r="E305" i="58"/>
  <c r="E304" i="58"/>
  <c r="E303" i="58"/>
  <c r="E302" i="58"/>
  <c r="E301" i="58"/>
  <c r="E300" i="58"/>
  <c r="E299" i="58"/>
  <c r="E298" i="58"/>
  <c r="E297" i="58"/>
  <c r="E293" i="58"/>
  <c r="E292" i="58"/>
  <c r="E291" i="58"/>
  <c r="E290" i="58"/>
  <c r="E289" i="58"/>
  <c r="E288" i="58"/>
  <c r="E287" i="58"/>
  <c r="E286" i="58"/>
  <c r="E285" i="58"/>
  <c r="E284" i="58"/>
  <c r="E283" i="58"/>
  <c r="E282" i="58"/>
  <c r="E281" i="58"/>
  <c r="E279" i="58"/>
  <c r="E278" i="58"/>
  <c r="E277" i="58"/>
  <c r="E276" i="58"/>
  <c r="E275" i="58"/>
  <c r="E274" i="58"/>
  <c r="E273" i="58"/>
  <c r="E272" i="58"/>
  <c r="E271" i="58"/>
  <c r="E280" i="58"/>
  <c r="E270" i="58"/>
  <c r="E269" i="58"/>
  <c r="E268" i="58"/>
  <c r="E267" i="58"/>
  <c r="E264" i="58"/>
  <c r="E263" i="58"/>
  <c r="E262" i="58"/>
  <c r="E261" i="58"/>
  <c r="E260" i="58"/>
  <c r="E259" i="58"/>
  <c r="E258" i="58"/>
  <c r="E257" i="58"/>
  <c r="E256" i="58"/>
  <c r="E255" i="58"/>
  <c r="E254" i="58"/>
  <c r="E253" i="58"/>
  <c r="E252" i="58"/>
  <c r="E250" i="58"/>
  <c r="E249" i="58"/>
  <c r="E248" i="58"/>
  <c r="E247" i="58"/>
  <c r="E246" i="58"/>
  <c r="E245" i="58"/>
  <c r="E244" i="58"/>
  <c r="E243" i="58"/>
  <c r="E242" i="58"/>
  <c r="E241" i="58"/>
  <c r="E240" i="58"/>
  <c r="E239" i="58"/>
  <c r="E238" i="58"/>
  <c r="E236" i="58"/>
  <c r="E235" i="58"/>
  <c r="E234" i="58"/>
  <c r="E233" i="58"/>
  <c r="E232" i="58"/>
  <c r="E231" i="58"/>
  <c r="E230" i="58"/>
  <c r="E229" i="58"/>
  <c r="E228" i="58"/>
  <c r="E227" i="58"/>
  <c r="E226" i="58"/>
  <c r="E224" i="58"/>
  <c r="E225" i="58"/>
  <c r="E223" i="58"/>
  <c r="E222" i="58"/>
  <c r="E219" i="58"/>
  <c r="E217" i="58"/>
  <c r="E216" i="58"/>
  <c r="E215" i="58"/>
  <c r="E214" i="58"/>
  <c r="E213" i="58"/>
  <c r="E212" i="58"/>
  <c r="E211" i="58"/>
  <c r="E210" i="58"/>
  <c r="E209" i="58"/>
  <c r="E208" i="58"/>
  <c r="E207" i="58"/>
  <c r="E206" i="58"/>
  <c r="E205" i="58"/>
  <c r="E203" i="58"/>
  <c r="E202" i="58"/>
  <c r="E201" i="58"/>
  <c r="E200" i="58"/>
  <c r="E199" i="58"/>
  <c r="E198" i="58"/>
  <c r="E197" i="58"/>
  <c r="E196" i="58"/>
  <c r="E195" i="58"/>
  <c r="E194" i="58"/>
  <c r="E193" i="58"/>
  <c r="E192" i="58"/>
  <c r="E191" i="58"/>
  <c r="E189" i="58"/>
  <c r="E188" i="58"/>
  <c r="E187" i="58"/>
  <c r="E186" i="58"/>
  <c r="E185" i="58"/>
  <c r="E184" i="58"/>
  <c r="E183" i="58"/>
  <c r="E182" i="58"/>
  <c r="E181" i="58"/>
  <c r="E180" i="58"/>
  <c r="E179" i="58"/>
  <c r="E178" i="58"/>
  <c r="E177" i="58"/>
  <c r="E175" i="58"/>
  <c r="E174" i="58"/>
  <c r="E173" i="58"/>
  <c r="E172" i="58"/>
  <c r="E171" i="58"/>
  <c r="E170" i="58"/>
  <c r="E169" i="58"/>
  <c r="E168" i="58"/>
  <c r="E167" i="58"/>
  <c r="E166" i="58"/>
  <c r="E165" i="58"/>
  <c r="E164" i="58"/>
  <c r="E163" i="58"/>
  <c r="E161" i="58"/>
  <c r="E160" i="58"/>
  <c r="E159" i="58"/>
  <c r="E158" i="58"/>
  <c r="E157" i="58"/>
  <c r="E156" i="58"/>
  <c r="E155" i="58"/>
  <c r="E154" i="58"/>
  <c r="E153" i="58"/>
  <c r="E152" i="58"/>
  <c r="E151" i="58"/>
  <c r="E150" i="58"/>
  <c r="E149" i="58"/>
  <c r="E147" i="58"/>
  <c r="E146" i="58"/>
  <c r="E145" i="58"/>
  <c r="E144" i="58"/>
  <c r="E143" i="58"/>
  <c r="E142" i="58"/>
  <c r="E141" i="58"/>
  <c r="E140" i="58"/>
  <c r="E139" i="58"/>
  <c r="E138" i="58"/>
  <c r="E137" i="58"/>
  <c r="E136" i="58"/>
  <c r="E135" i="58"/>
  <c r="E133" i="58"/>
  <c r="E132" i="58"/>
  <c r="E131" i="58"/>
  <c r="E130" i="58"/>
  <c r="E129" i="58"/>
  <c r="E128" i="58"/>
  <c r="E127" i="58"/>
  <c r="E126" i="58"/>
  <c r="E125" i="58"/>
  <c r="E124" i="58"/>
  <c r="E123" i="58"/>
  <c r="E122" i="58"/>
  <c r="E121" i="58"/>
  <c r="E119" i="58"/>
  <c r="E118" i="58"/>
  <c r="E117" i="58"/>
  <c r="E116" i="58"/>
  <c r="E115" i="58"/>
  <c r="E114" i="58"/>
  <c r="E113" i="58"/>
  <c r="E112" i="58"/>
  <c r="E111" i="58"/>
  <c r="E110" i="58"/>
  <c r="E109" i="58"/>
  <c r="E108" i="58"/>
  <c r="E107" i="58"/>
  <c r="E104" i="58"/>
  <c r="E103" i="58"/>
  <c r="E102" i="58"/>
  <c r="E101" i="58"/>
  <c r="E100" i="58"/>
  <c r="E99" i="58"/>
  <c r="E98" i="58"/>
  <c r="E97" i="58"/>
  <c r="E96" i="58"/>
  <c r="E95" i="58"/>
  <c r="E94" i="58"/>
  <c r="E93" i="58"/>
  <c r="E92" i="58"/>
  <c r="E90" i="58"/>
  <c r="E89" i="58"/>
  <c r="E88" i="58"/>
  <c r="E87" i="58"/>
  <c r="E86" i="58"/>
  <c r="E85" i="58"/>
  <c r="E84" i="58"/>
  <c r="E83" i="58"/>
  <c r="E82" i="58"/>
  <c r="E81" i="58"/>
  <c r="E80" i="58"/>
  <c r="E79" i="58"/>
  <c r="E78" i="58"/>
  <c r="E76" i="58"/>
  <c r="E75" i="58"/>
  <c r="E74" i="58"/>
  <c r="E73" i="58"/>
  <c r="E72" i="58"/>
  <c r="E71" i="58"/>
  <c r="E70" i="58"/>
  <c r="E69" i="58"/>
  <c r="E68" i="58"/>
  <c r="E67" i="58"/>
  <c r="E66" i="58"/>
  <c r="E65" i="58"/>
  <c r="E64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8" i="58"/>
  <c r="E47" i="58"/>
  <c r="E46" i="58"/>
  <c r="E45" i="58"/>
  <c r="E44" i="58"/>
  <c r="E43" i="58"/>
  <c r="E42" i="58"/>
  <c r="E41" i="58"/>
  <c r="E40" i="58"/>
  <c r="E39" i="58"/>
  <c r="E38" i="58"/>
  <c r="E37" i="58"/>
  <c r="E36" i="58"/>
  <c r="E29" i="58"/>
  <c r="E28" i="58"/>
  <c r="Z22" i="58"/>
  <c r="E19" i="58"/>
  <c r="Y22" i="58"/>
  <c r="X22" i="58"/>
  <c r="W22" i="58"/>
  <c r="V22" i="58"/>
  <c r="U22" i="58"/>
  <c r="T22" i="58"/>
  <c r="S22" i="58"/>
  <c r="R22" i="58"/>
  <c r="Q22" i="58"/>
  <c r="P22" i="58"/>
  <c r="O22" i="58"/>
  <c r="N22" i="58"/>
  <c r="L20" i="58"/>
  <c r="N20" i="58"/>
  <c r="L22" i="58"/>
  <c r="X9" i="58"/>
  <c r="J20" i="58"/>
  <c r="I20" i="58"/>
  <c r="H4" i="58"/>
  <c r="I22" i="58"/>
  <c r="J22" i="58"/>
  <c r="E20" i="58"/>
  <c r="E16" i="58"/>
  <c r="E441" i="58"/>
  <c r="B14" i="66"/>
  <c r="G9" i="58"/>
  <c r="E437" i="58"/>
  <c r="E435" i="58"/>
  <c r="E433" i="58"/>
  <c r="E427" i="58"/>
  <c r="E420" i="58"/>
  <c r="E414" i="58"/>
  <c r="E408" i="58"/>
  <c r="E407" i="58"/>
  <c r="E399" i="58"/>
  <c r="E397" i="58"/>
  <c r="E382" i="58"/>
  <c r="E368" i="58"/>
  <c r="E339" i="58"/>
  <c r="E325" i="58"/>
  <c r="E310" i="58"/>
  <c r="E296" i="58"/>
  <c r="E266" i="58"/>
  <c r="E251" i="58"/>
  <c r="E237" i="58"/>
  <c r="E221" i="58"/>
  <c r="E416" i="58"/>
  <c r="E406" i="58"/>
  <c r="E396" i="58"/>
  <c r="E367" i="58"/>
  <c r="E324" i="58"/>
  <c r="E295" i="58"/>
  <c r="E294" i="58"/>
  <c r="E265" i="58"/>
  <c r="E220" i="58"/>
  <c r="E218" i="58"/>
  <c r="E204" i="58"/>
  <c r="E190" i="58"/>
  <c r="E176" i="58"/>
  <c r="E162" i="58"/>
  <c r="E148" i="58"/>
  <c r="E134" i="58"/>
  <c r="E120" i="58"/>
  <c r="E106" i="58"/>
  <c r="E35" i="58"/>
  <c r="E77" i="58"/>
  <c r="E63" i="58"/>
  <c r="E49" i="58"/>
  <c r="E91" i="58"/>
  <c r="E32" i="58"/>
  <c r="E30" i="58"/>
  <c r="E27" i="58"/>
  <c r="E26" i="58"/>
  <c r="E25" i="58"/>
  <c r="E15" i="58"/>
  <c r="E23" i="58"/>
  <c r="E21" i="58"/>
  <c r="E18" i="58"/>
  <c r="E17" i="58"/>
  <c r="E14" i="58"/>
  <c r="E13" i="58"/>
  <c r="E12" i="58"/>
  <c r="E105" i="58"/>
  <c r="AQ19" i="58"/>
  <c r="E33" i="58"/>
  <c r="E34" i="58"/>
</calcChain>
</file>

<file path=xl/sharedStrings.xml><?xml version="1.0" encoding="utf-8"?>
<sst xmlns="http://schemas.openxmlformats.org/spreadsheetml/2006/main" count="642" uniqueCount="539">
  <si>
    <t>Phase</t>
  </si>
  <si>
    <t>English</t>
  </si>
  <si>
    <t>Local language</t>
  </si>
  <si>
    <t>Host Server :</t>
  </si>
  <si>
    <t>Server Name :</t>
  </si>
  <si>
    <t>Administration Generic Context :</t>
  </si>
  <si>
    <t>Excel Report Context :</t>
  </si>
  <si>
    <t>xServer</t>
  </si>
  <si>
    <t xml:space="preserve"> </t>
  </si>
  <si>
    <t>Actual Month :</t>
  </si>
  <si>
    <t>Comments</t>
  </si>
  <si>
    <t>Dutch</t>
  </si>
  <si>
    <t>German</t>
  </si>
  <si>
    <t>Portugese</t>
  </si>
  <si>
    <t>Cube n°1 :</t>
  </si>
  <si>
    <t>Cube n°2 :</t>
  </si>
  <si>
    <t>Currency</t>
  </si>
  <si>
    <t>Gaap</t>
  </si>
  <si>
    <t>Flag Send Data :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</si>
  <si>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</si>
  <si>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</si>
  <si>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</si>
  <si>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</si>
  <si>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</si>
  <si>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</si>
  <si>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</si>
  <si>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</si>
  <si>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</si>
  <si>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Comment_1</t>
  </si>
  <si>
    <t>Comment_2</t>
  </si>
  <si>
    <t>Comment_3</t>
  </si>
  <si>
    <t>Comment_4</t>
  </si>
  <si>
    <t>Flag Send Comment :</t>
  </si>
  <si>
    <t>Context_selection</t>
  </si>
  <si>
    <t>Management_organization</t>
  </si>
  <si>
    <t>Legal_organization</t>
  </si>
  <si>
    <t>Variances</t>
  </si>
  <si>
    <t>z_Translate_Report</t>
  </si>
  <si>
    <t>Integration_rate</t>
  </si>
  <si>
    <t>Language</t>
  </si>
  <si>
    <t>TPL10_dest</t>
  </si>
  <si>
    <t>Ytd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</si>
  <si>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</si>
  <si>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</si>
  <si>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</si>
  <si>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</si>
  <si>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</si>
  <si>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</si>
  <si>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</si>
  <si>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</si>
  <si>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</si>
  <si>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</si>
  <si>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</si>
  <si>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</si>
  <si>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volume_effect</t>
  </si>
  <si>
    <t>price_effect</t>
  </si>
  <si>
    <t>Prior_year</t>
  </si>
  <si>
    <t>Period</t>
  </si>
  <si>
    <t>core_model:</t>
  </si>
  <si>
    <t>TFR-AP019298</t>
  </si>
  <si>
    <t>Budget</t>
  </si>
  <si>
    <t>Actual_N_2</t>
  </si>
  <si>
    <t>Forecast2_N_1</t>
  </si>
  <si>
    <t>List 1</t>
  </si>
  <si>
    <t>Trend arrows</t>
  </si>
  <si>
    <t>ì</t>
  </si>
  <si>
    <t>î</t>
  </si>
  <si>
    <t>è</t>
  </si>
  <si>
    <t>ROA</t>
  </si>
  <si>
    <t>Gross_Margin</t>
  </si>
  <si>
    <t>Operational_Profit</t>
  </si>
  <si>
    <t>Langue</t>
  </si>
  <si>
    <t>Français</t>
  </si>
  <si>
    <t>Projets</t>
  </si>
  <si>
    <t>Annee_pleine</t>
  </si>
  <si>
    <t>A_Date</t>
  </si>
  <si>
    <t xml:space="preserve">Forecast Version </t>
  </si>
  <si>
    <t>RP_PL_Corp</t>
  </si>
  <si>
    <t>RP_Comments_PL_Corp</t>
  </si>
  <si>
    <t>ACT_TOT</t>
  </si>
  <si>
    <t>Reste_a_encourir</t>
  </si>
  <si>
    <t>Pourcent_reste_a_encourir</t>
  </si>
  <si>
    <t>Pourcent_consommation</t>
  </si>
  <si>
    <t>Pdts_ope</t>
  </si>
  <si>
    <t>Fact_PMAD</t>
  </si>
  <si>
    <t>PL1003_RC_40_2020</t>
  </si>
  <si>
    <t>Indicator_Corp</t>
  </si>
  <si>
    <t>Chges_ope</t>
  </si>
  <si>
    <t>Cout_ext</t>
  </si>
  <si>
    <t>Couts_admin_info</t>
  </si>
  <si>
    <t>Fr_post</t>
  </si>
  <si>
    <t>Fournit_bur</t>
  </si>
  <si>
    <t>Loc_entret_info</t>
  </si>
  <si>
    <t>Entret_repa_immo</t>
  </si>
  <si>
    <t>Docu</t>
  </si>
  <si>
    <t>Cout_ext_dir</t>
  </si>
  <si>
    <t>Hono_cons</t>
  </si>
  <si>
    <t>Hono_cons_abo</t>
  </si>
  <si>
    <t>Publi_sponso</t>
  </si>
  <si>
    <t>Recep_sem</t>
  </si>
  <si>
    <t>Aut_ass_ext</t>
  </si>
  <si>
    <t>Dep_form</t>
  </si>
  <si>
    <t>Assu</t>
  </si>
  <si>
    <t>Serv_banc</t>
  </si>
  <si>
    <t>Frais_siege</t>
  </si>
  <si>
    <t>Téléphonie mobile</t>
  </si>
  <si>
    <t>Frais_perso_assi</t>
  </si>
  <si>
    <t>Frais_perso</t>
  </si>
  <si>
    <t>PMAD</t>
  </si>
  <si>
    <t>Perso_interim</t>
  </si>
  <si>
    <t>Frais_dep</t>
  </si>
  <si>
    <t>Notes_frais</t>
  </si>
  <si>
    <t>Depl</t>
  </si>
  <si>
    <t>Cout_enviro_taxes_dot</t>
  </si>
  <si>
    <t>Couts_enviro</t>
  </si>
  <si>
    <t>Cout_bureau</t>
  </si>
  <si>
    <t>Loc_bat</t>
  </si>
  <si>
    <t>Aut_cout_perso</t>
  </si>
  <si>
    <t>Cout_vehic_fonct</t>
  </si>
  <si>
    <t>Loc_appart_fonc</t>
  </si>
  <si>
    <t>tel_mob</t>
  </si>
  <si>
    <t>Aut_imp_tax</t>
  </si>
  <si>
    <t>CET_CVAE</t>
  </si>
  <si>
    <t>imp_taxes_divers</t>
  </si>
  <si>
    <t>Dot_amort_prov_except</t>
  </si>
  <si>
    <t>Amort_except</t>
  </si>
  <si>
    <t>Prov_except</t>
  </si>
  <si>
    <t>aut_pdts_chges_except</t>
  </si>
  <si>
    <t>aut_pdts_except</t>
  </si>
  <si>
    <t>aut_chges_except</t>
  </si>
  <si>
    <t>Res_cess</t>
  </si>
  <si>
    <t>Dot_amort_prov</t>
  </si>
  <si>
    <t>Dot_Amort</t>
  </si>
  <si>
    <t>Prov</t>
  </si>
  <si>
    <t>CAFOP</t>
  </si>
  <si>
    <t>TPL1_dest_avt_mgmt_fees</t>
  </si>
  <si>
    <t>PL1355_MF</t>
  </si>
  <si>
    <t>TPL1_dest_aprs_mgmt_fees</t>
  </si>
  <si>
    <t>Tot_capex</t>
  </si>
  <si>
    <t>Matricules</t>
  </si>
  <si>
    <t>Indicateurs_Ope</t>
  </si>
  <si>
    <t>NA</t>
  </si>
  <si>
    <t>input</t>
  </si>
  <si>
    <t>Actual</t>
  </si>
  <si>
    <t>Réalisé</t>
  </si>
  <si>
    <t>Partenaire</t>
  </si>
  <si>
    <t>YearToDate ?</t>
  </si>
  <si>
    <t>Total</t>
  </si>
  <si>
    <t>PL1003_RC_40_2040</t>
  </si>
  <si>
    <t>PL1003_RC_40_2041</t>
  </si>
  <si>
    <t>PL1115_DS_99_6150</t>
  </si>
  <si>
    <t>PL1215_BD_99_6150</t>
  </si>
  <si>
    <t>PL1315_FI_99_6150</t>
  </si>
  <si>
    <t>PL1315_IT_99_6150</t>
  </si>
  <si>
    <t>PL1315_HR_99_6150</t>
  </si>
  <si>
    <t>PL1315_GM_99_6150</t>
  </si>
  <si>
    <t>PL1315_IA_99_6150</t>
  </si>
  <si>
    <t>PL1315_LE_99_6150</t>
  </si>
  <si>
    <t>PL1315_RM_99_6150</t>
  </si>
  <si>
    <t>PL1315_PU_99_6150</t>
  </si>
  <si>
    <t>PL1315_CO_99_6150</t>
  </si>
  <si>
    <t>PL1315_GS_99_6150</t>
  </si>
  <si>
    <t>PL1315_RD_99_6150</t>
  </si>
  <si>
    <t>PL1115_DS_99_601</t>
  </si>
  <si>
    <t>PL1215_BD_99_601</t>
  </si>
  <si>
    <t>PL1315_FI_99_601</t>
  </si>
  <si>
    <t>PL1315_IT_99_601</t>
  </si>
  <si>
    <t>PL1315_HR_99_601</t>
  </si>
  <si>
    <t>PL1315_GM_99_601</t>
  </si>
  <si>
    <t>PL1315_IA_99_601</t>
  </si>
  <si>
    <t>PL1315_LE_99_601</t>
  </si>
  <si>
    <t>PL1315_RM_99_601</t>
  </si>
  <si>
    <t>PL1315_PU_99_601</t>
  </si>
  <si>
    <t>PL1315_CO_99_601</t>
  </si>
  <si>
    <t>PL1315_GS_99_601</t>
  </si>
  <si>
    <t>PL1315_RD_99_601</t>
  </si>
  <si>
    <t>PL1115_DS_99_loc_entr</t>
  </si>
  <si>
    <t>PL1215_BD_99_loc_entr</t>
  </si>
  <si>
    <t>PL1315_FI_99_loc_entr</t>
  </si>
  <si>
    <t>PL1315_IT_99_loc_entr</t>
  </si>
  <si>
    <t>PL1315_HR_99_loc_entr</t>
  </si>
  <si>
    <t>PL1315_GM_99_loc_entr</t>
  </si>
  <si>
    <t>PL1315_IA_99_loc_entr</t>
  </si>
  <si>
    <t>PL1315_LE_99_loc_entr</t>
  </si>
  <si>
    <t>PL1315_RM_99_loc_entr</t>
  </si>
  <si>
    <t>PL1315_PU_99_loc_entr</t>
  </si>
  <si>
    <t>PL1315_CO_99_loc_entr</t>
  </si>
  <si>
    <t>PL1315_GS_99_loc_entr</t>
  </si>
  <si>
    <t>PL1315_RD_99_loc_entr</t>
  </si>
  <si>
    <t>PL1115_DS_99_602</t>
  </si>
  <si>
    <t>PL1215_BD_99_602</t>
  </si>
  <si>
    <t>PL1315_FI_99_602</t>
  </si>
  <si>
    <t>PL1315_IT_99_602</t>
  </si>
  <si>
    <t>PL1315_HR_99_602</t>
  </si>
  <si>
    <t>PL1315_GM_99_602</t>
  </si>
  <si>
    <t>PL1315_IA_99_602</t>
  </si>
  <si>
    <t>PL1315_LE_99_602</t>
  </si>
  <si>
    <t>PL1315_RM_99_602</t>
  </si>
  <si>
    <t>PL1315_PU_99_602</t>
  </si>
  <si>
    <t>PL1315_CO_99_602</t>
  </si>
  <si>
    <t>PL1315_GS_99_602</t>
  </si>
  <si>
    <t>PL1315_RD_99_602</t>
  </si>
  <si>
    <t>PL1115_DS_99_fr_post</t>
  </si>
  <si>
    <t>PL1215_BD_99_fr_post</t>
  </si>
  <si>
    <t>PL1315_FI_99_fr_post</t>
  </si>
  <si>
    <t>PL1315_IT_99_fr_post</t>
  </si>
  <si>
    <t>PL1315_HR_99_fr_post</t>
  </si>
  <si>
    <t>PL1315_GM_99_fr_post</t>
  </si>
  <si>
    <t>PL1315_IA_99_fr_post</t>
  </si>
  <si>
    <t>PL1315_LE_99_fr_post</t>
  </si>
  <si>
    <t>PL1315_RM_99_fr_post</t>
  </si>
  <si>
    <t>PL1315_PU_99_fr_post</t>
  </si>
  <si>
    <t>PL1315_CO_99_fr_post</t>
  </si>
  <si>
    <t>PL1315_GS_99_fr_post</t>
  </si>
  <si>
    <t>PL1315_RD_99_fr_post</t>
  </si>
  <si>
    <t>PL1115_DS_75_cons</t>
  </si>
  <si>
    <t>PL1215_BD_75_cons</t>
  </si>
  <si>
    <t>PL1315_FI_75_cons</t>
  </si>
  <si>
    <t>PL1315_IT_75_cons</t>
  </si>
  <si>
    <t>PL1315_HR_75_cons</t>
  </si>
  <si>
    <t>PL1315_GM_75_cons</t>
  </si>
  <si>
    <t>PL1315_IA_75_cons</t>
  </si>
  <si>
    <t>PL1315_LE_75_cons</t>
  </si>
  <si>
    <t>PL1315_RM_75_cons</t>
  </si>
  <si>
    <t>PL1315_PU_75_cons</t>
  </si>
  <si>
    <t>PL1315_CO_75_cons</t>
  </si>
  <si>
    <t>PL1315_GS_75_cons</t>
  </si>
  <si>
    <t>PL1315_RD_75_cons</t>
  </si>
  <si>
    <t>PL1115_DS_75_abo</t>
  </si>
  <si>
    <t>PL1215_BD_75_abo</t>
  </si>
  <si>
    <t>PL1315_FI_75_abo</t>
  </si>
  <si>
    <t>PL1315_IT_75_abo</t>
  </si>
  <si>
    <t>PL1315_HR_75_abo</t>
  </si>
  <si>
    <t>PL1315_GM_75_abo</t>
  </si>
  <si>
    <t>PL1315_IA_75_abo</t>
  </si>
  <si>
    <t>PL1315_LE_75_abo</t>
  </si>
  <si>
    <t>PL1315_RM_75_abo</t>
  </si>
  <si>
    <t>PL1315_PU_75_abo</t>
  </si>
  <si>
    <t>PL1315_CO_75_abo</t>
  </si>
  <si>
    <t>PL1315_GS_75_abo</t>
  </si>
  <si>
    <t>PL1315_RD_75_abo</t>
  </si>
  <si>
    <t>PL1115_DS_99_pub</t>
  </si>
  <si>
    <t>PL1215_BD_99_pub</t>
  </si>
  <si>
    <t>PL1315_FI_99_pub</t>
  </si>
  <si>
    <t>PL1315_IT_99_pub</t>
  </si>
  <si>
    <t>PL1315_HR_99_pub</t>
  </si>
  <si>
    <t>PL1315_GM_99_pub</t>
  </si>
  <si>
    <t>PL1315_IA_99_pub</t>
  </si>
  <si>
    <t>PL1315_LE_99_pub</t>
  </si>
  <si>
    <t>PL1315_RM_99_pub</t>
  </si>
  <si>
    <t>PL1315_PU_99_pub</t>
  </si>
  <si>
    <t>PL1315_CO_99_pub</t>
  </si>
  <si>
    <t>PL1315_GS_99_pub</t>
  </si>
  <si>
    <t>PL1315_RD_99_pub</t>
  </si>
  <si>
    <t>PL1115_DS_99_6278</t>
  </si>
  <si>
    <t>PL1215_BD_99_6278</t>
  </si>
  <si>
    <t>PL1315_FI_99_6278</t>
  </si>
  <si>
    <t>PL1315_IT_99_6278</t>
  </si>
  <si>
    <t>PL1315_HR_99_6278</t>
  </si>
  <si>
    <t>PL1315_GM_99_6278</t>
  </si>
  <si>
    <t>PL1315_IA_99_6278</t>
  </si>
  <si>
    <t>PL1315_LE_99_6278</t>
  </si>
  <si>
    <t>PL1315_RM_99_6278</t>
  </si>
  <si>
    <t>PL1315_PU_99_6278</t>
  </si>
  <si>
    <t>PL1315_CO_99_6278</t>
  </si>
  <si>
    <t>PL1315_GS_99_6278</t>
  </si>
  <si>
    <t>PL1315_RD_99_6278</t>
  </si>
  <si>
    <t>PL1115_DS_99_assist_ext</t>
  </si>
  <si>
    <t>PL1215_BD_99_assist_ext</t>
  </si>
  <si>
    <t>PL1315_FI_99_assist_ext</t>
  </si>
  <si>
    <t>PL1315_IT_99_assist_ext</t>
  </si>
  <si>
    <t>PL1315_HR_99_assist_ext</t>
  </si>
  <si>
    <t>PL1315_GM_99_assist_ext</t>
  </si>
  <si>
    <t>PL1315_IA_99_assist_ext</t>
  </si>
  <si>
    <t>PL1315_LE_99_assist_ext</t>
  </si>
  <si>
    <t>PL1315_RM_99_assist_ext</t>
  </si>
  <si>
    <t>PL1315_PU_99_assist_ext</t>
  </si>
  <si>
    <t>PL1315_CO_99_assist_ext</t>
  </si>
  <si>
    <t>PL1315_GS_99_assist_ext</t>
  </si>
  <si>
    <t>PL1315_RD_99_assist_ext</t>
  </si>
  <si>
    <t>PL1115_DS_99_6280</t>
  </si>
  <si>
    <t>PL1215_BD_99_6280</t>
  </si>
  <si>
    <t>PL1315_FI_99_6280</t>
  </si>
  <si>
    <t>PL1315_IT_99_6280</t>
  </si>
  <si>
    <t>PL1315_HR_99_6280</t>
  </si>
  <si>
    <t>PL1315_GM_99_6280</t>
  </si>
  <si>
    <t>PL1315_IA_99_6280</t>
  </si>
  <si>
    <t>PL1315_LE_99_6280</t>
  </si>
  <si>
    <t>PL1315_RM_99_6280</t>
  </si>
  <si>
    <t>PL1315_PU_99_6280</t>
  </si>
  <si>
    <t>PL1315_CO_99_6280</t>
  </si>
  <si>
    <t>PL1315_GS_99_6280</t>
  </si>
  <si>
    <t>PL1315_RD_99_6280</t>
  </si>
  <si>
    <t>PL1115_DS_99_assu</t>
  </si>
  <si>
    <t>PL1215_BD_99_assu</t>
  </si>
  <si>
    <t>PL1315_FI_99_assu</t>
  </si>
  <si>
    <t>PL1315_IT_99_assu</t>
  </si>
  <si>
    <t>PL1315_HR_99_assu</t>
  </si>
  <si>
    <t>PL1315_GM_99_assu</t>
  </si>
  <si>
    <t>PL1315_IA_99_assu</t>
  </si>
  <si>
    <t>PL1315_LE_99_assu</t>
  </si>
  <si>
    <t>PL1315_RM_99_assu</t>
  </si>
  <si>
    <t>PL1315_PU_99_assu</t>
  </si>
  <si>
    <t>PL1315_CO_99_assu</t>
  </si>
  <si>
    <t>PL1315_GS_99_assu</t>
  </si>
  <si>
    <t>PL1315_RD_99_assu</t>
  </si>
  <si>
    <t>PL1115_DS_99_6274</t>
  </si>
  <si>
    <t>PL1215_BD_99_6274</t>
  </si>
  <si>
    <t>PL1315_FI_99_6274</t>
  </si>
  <si>
    <t>PL1315_IT_99_6274</t>
  </si>
  <si>
    <t>PL1315_HR_99_6274</t>
  </si>
  <si>
    <t>PL1315_GM_99_6274</t>
  </si>
  <si>
    <t>PL1315_IA_99_6274</t>
  </si>
  <si>
    <t>PL1315_LE_99_6274</t>
  </si>
  <si>
    <t>PL1315_RM_99_6274</t>
  </si>
  <si>
    <t>PL1315_PU_99_6274</t>
  </si>
  <si>
    <t>PL1315_CO_99_6274</t>
  </si>
  <si>
    <t>PL1315_GS_99_6274</t>
  </si>
  <si>
    <t>PL1315_RD_99_6274</t>
  </si>
  <si>
    <t>PL1315_GM_75_frais</t>
  </si>
  <si>
    <t>PL1110_DS_10</t>
  </si>
  <si>
    <t>PL1210</t>
  </si>
  <si>
    <t>PL1210_BD</t>
  </si>
  <si>
    <t>PL1310</t>
  </si>
  <si>
    <t>PL1310_FI_10</t>
  </si>
  <si>
    <t>PL1310_IT_10</t>
  </si>
  <si>
    <t>PL1310_HR_10</t>
  </si>
  <si>
    <t>PL1310_GM_10</t>
  </si>
  <si>
    <t>PL1310_IA_10</t>
  </si>
  <si>
    <t>PL1310_LE_10</t>
  </si>
  <si>
    <t>PL1310_RM_10</t>
  </si>
  <si>
    <t>PL1310_PU_10</t>
  </si>
  <si>
    <t>PL1310_CO_10</t>
  </si>
  <si>
    <t>PL1310_GS_10</t>
  </si>
  <si>
    <t>PL1310_RD_10</t>
  </si>
  <si>
    <t>PL1115_DS_20</t>
  </si>
  <si>
    <t>PL1215_BD_20</t>
  </si>
  <si>
    <t>PL1315_FI_20</t>
  </si>
  <si>
    <t>PL1315_IT_20</t>
  </si>
  <si>
    <t>PL1315_HR_20</t>
  </si>
  <si>
    <t>PL1315_GM_20</t>
  </si>
  <si>
    <t>PL1315_IA_20</t>
  </si>
  <si>
    <t>PL1315_LE_20</t>
  </si>
  <si>
    <t>PL1315_RM_20</t>
  </si>
  <si>
    <t>PL1315_PU_20</t>
  </si>
  <si>
    <t>PL1315_CO_20</t>
  </si>
  <si>
    <t>PL1315_GS_20</t>
  </si>
  <si>
    <t>PL1315_RD_20</t>
  </si>
  <si>
    <t>PL1115_DS_99_5061</t>
  </si>
  <si>
    <t>PL1215_BD_99_5061</t>
  </si>
  <si>
    <t>PL1315_FI_99_5061</t>
  </si>
  <si>
    <t>PL1315_IT_99_5061</t>
  </si>
  <si>
    <t>PL1315_HR_99_5061</t>
  </si>
  <si>
    <t>PL1315_GM_99_5061</t>
  </si>
  <si>
    <t>PL1315_IA_99_5061</t>
  </si>
  <si>
    <t>PL1315_LE_99_5061</t>
  </si>
  <si>
    <t>PL1315_RM_99_5061</t>
  </si>
  <si>
    <t>PL1315_PU_99_5061</t>
  </si>
  <si>
    <t>PL1315_CO_99_5061</t>
  </si>
  <si>
    <t>PL1315_GS_99_5061</t>
  </si>
  <si>
    <t>PL1315_RD_99_5061</t>
  </si>
  <si>
    <t>PL1115_DS_99_611</t>
  </si>
  <si>
    <t>PL1215_BD_99_611</t>
  </si>
  <si>
    <t>PL1315_FI_99_611</t>
  </si>
  <si>
    <t>PL1315_IT_99_611</t>
  </si>
  <si>
    <t>PL1315_HR_99_611</t>
  </si>
  <si>
    <t>PL1315_GM_99_611</t>
  </si>
  <si>
    <t>PL1315_IA_99_611</t>
  </si>
  <si>
    <t>PL1315_LE_99_611</t>
  </si>
  <si>
    <t>PL1315_RM_99_611</t>
  </si>
  <si>
    <t>PL1315_PU_99_611</t>
  </si>
  <si>
    <t>PL1315_CO_99_611</t>
  </si>
  <si>
    <t>PL1315_GS_99_611</t>
  </si>
  <si>
    <t>PL1315_RD_99_611</t>
  </si>
  <si>
    <t>PL1115_DS_99_loc_bat</t>
  </si>
  <si>
    <t>PL1215_BD_99_loc_bat</t>
  </si>
  <si>
    <t>PL1315_FI_99_loc_bat</t>
  </si>
  <si>
    <t>PL1315_IT_99_loc_bat</t>
  </si>
  <si>
    <t>PL1315_HR_99_loc_bat</t>
  </si>
  <si>
    <t>PL1315_GM_99_loc_bat</t>
  </si>
  <si>
    <t>PL1315_IA_99_loc_bat</t>
  </si>
  <si>
    <t>PL1315_LE_99_loc_bat</t>
  </si>
  <si>
    <t>PL1315_RM_99_loc_bat</t>
  </si>
  <si>
    <t>PL1315_PU_99_loc_bat</t>
  </si>
  <si>
    <t>PL1315_CO_99_loc_bat</t>
  </si>
  <si>
    <t>PL1315_GS_99_loc_bat</t>
  </si>
  <si>
    <t>PL1315_RD_99_loc_bat</t>
  </si>
  <si>
    <t>PL1115_DS_99_5075</t>
  </si>
  <si>
    <t>PL1215_BD_99_5075</t>
  </si>
  <si>
    <t>PL1315_FI_99_5075</t>
  </si>
  <si>
    <t>PL1315_IT_99_5075</t>
  </si>
  <si>
    <t>PL1315_HR_99_5075</t>
  </si>
  <si>
    <t>PL1315_GM_99_5075</t>
  </si>
  <si>
    <t>PL1315_IA_99_5075</t>
  </si>
  <si>
    <t>PL1315_LE_99_5075</t>
  </si>
  <si>
    <t>PL1315_RM_99_5075</t>
  </si>
  <si>
    <t>PL1315_PU_99_5075</t>
  </si>
  <si>
    <t>PL1315_CO_99_5075</t>
  </si>
  <si>
    <t>PL1315_GS_99_5075</t>
  </si>
  <si>
    <t>PL1315_RD_99_5075</t>
  </si>
  <si>
    <t>PL1115_DS_99_loc_appart</t>
  </si>
  <si>
    <t>PL1215_BD_99_loc_appart</t>
  </si>
  <si>
    <t>PL1315_FI_99_loc_appart</t>
  </si>
  <si>
    <t>PL1315_IT_99_loc_appart</t>
  </si>
  <si>
    <t>PL1315_HR_99_loc_appart</t>
  </si>
  <si>
    <t>PL1315_GM_99_loc_appart</t>
  </si>
  <si>
    <t>PL1315_IA_99_loc_appart</t>
  </si>
  <si>
    <t>PL1315_LE_99_loc_appart</t>
  </si>
  <si>
    <t>PL1315_RM_99_loc_appart</t>
  </si>
  <si>
    <t>PL1315_PU_99_loc_appart</t>
  </si>
  <si>
    <t>PL1315_CO_99_loc_appart</t>
  </si>
  <si>
    <t>PL1315_GS_99_loc_appart</t>
  </si>
  <si>
    <t>PL1315_RD_99_loc_appart</t>
  </si>
  <si>
    <t>PL1115_DS_99_6112</t>
  </si>
  <si>
    <t>PL1215_BD_99_6112</t>
  </si>
  <si>
    <t>PL1315_FI_99_6112</t>
  </si>
  <si>
    <t>PL1315_IT_99_6112</t>
  </si>
  <si>
    <t>PL1315_HR_99_6112</t>
  </si>
  <si>
    <t>PL1315_GM_99_6112</t>
  </si>
  <si>
    <t>PL1315_IA_99_6112</t>
  </si>
  <si>
    <t>PL1315_LE_99_6112</t>
  </si>
  <si>
    <t>PL1315_RM_99_6112</t>
  </si>
  <si>
    <t>PL1315_PU_99_6112</t>
  </si>
  <si>
    <t>PL1315_CO_99_6112</t>
  </si>
  <si>
    <t>PL1315_GS_99_6112</t>
  </si>
  <si>
    <t>PL1315_RD_99_6112</t>
  </si>
  <si>
    <t>PL1115_DS_99_6239</t>
  </si>
  <si>
    <t>PL1215_BD_99_6239</t>
  </si>
  <si>
    <t>PL1315_FI_99_6239</t>
  </si>
  <si>
    <t>PL1315_IT_99_6239</t>
  </si>
  <si>
    <t>PL1315_HR_99_6239</t>
  </si>
  <si>
    <t>PL1315_GM_99_6239</t>
  </si>
  <si>
    <t>PL1315_IA_99_6239</t>
  </si>
  <si>
    <t>PL1315_LE_99_6239</t>
  </si>
  <si>
    <t>PL1315_RM_99_6239</t>
  </si>
  <si>
    <t>PL1315_PU_99_6239</t>
  </si>
  <si>
    <t>PL1315_CO_99_6239</t>
  </si>
  <si>
    <t>PL1315_GS_99_6239</t>
  </si>
  <si>
    <t>PL1315_RD_99_6239</t>
  </si>
  <si>
    <t>PL1115_DS_99_6241</t>
  </si>
  <si>
    <t>PL1215_BD_99_6241</t>
  </si>
  <si>
    <t>PL1315_FI_99_6241</t>
  </si>
  <si>
    <t>PL1315_IT_99_6241</t>
  </si>
  <si>
    <t>PL1315_HR_99_6241</t>
  </si>
  <si>
    <t>PL1315_GM_99_6241</t>
  </si>
  <si>
    <t>PL1315_IA_99_6241</t>
  </si>
  <si>
    <t>PL1315_LE_99_6241</t>
  </si>
  <si>
    <t>PL1315_RM_99_6241</t>
  </si>
  <si>
    <t>PL1315_PU_99_6241</t>
  </si>
  <si>
    <t>PL1315_CO_99_6241</t>
  </si>
  <si>
    <t>PL1315_GS_99_6241</t>
  </si>
  <si>
    <t>PL1315_RD_99_6241</t>
  </si>
  <si>
    <t>PL1240_BD</t>
  </si>
  <si>
    <t>PL1150_DS_10</t>
  </si>
  <si>
    <t>PL1170_AC</t>
  </si>
  <si>
    <t>PL1270_BD</t>
  </si>
  <si>
    <t>PL1350_GM</t>
  </si>
  <si>
    <t>PL1410_OO</t>
  </si>
  <si>
    <t>PL1370_GM</t>
  </si>
  <si>
    <t>PL1165_AC</t>
  </si>
  <si>
    <t>PL1265_BD</t>
  </si>
  <si>
    <t>PL1360_GM</t>
  </si>
  <si>
    <t>PL1365_GM</t>
  </si>
  <si>
    <t>PL1440_OO</t>
  </si>
  <si>
    <t>PL1400_OO</t>
  </si>
  <si>
    <t>PL1345_GM</t>
  </si>
  <si>
    <t>PL1245</t>
  </si>
  <si>
    <t>PL1245_BD</t>
  </si>
  <si>
    <t>PL1250</t>
  </si>
  <si>
    <t>PL1250_BD</t>
  </si>
  <si>
    <t>FLAG</t>
  </si>
  <si>
    <t>IT</t>
  </si>
  <si>
    <t>DF</t>
  </si>
  <si>
    <t>RH</t>
  </si>
  <si>
    <t>JU</t>
  </si>
  <si>
    <t>AC</t>
  </si>
  <si>
    <t>CO</t>
  </si>
  <si>
    <t>GR</t>
  </si>
  <si>
    <t>SG</t>
  </si>
  <si>
    <t>AI</t>
  </si>
  <si>
    <t>DC</t>
  </si>
  <si>
    <t>RD</t>
  </si>
  <si>
    <t>DG</t>
  </si>
  <si>
    <t>SO</t>
  </si>
  <si>
    <t>Gestion d'affichage des indicateurs</t>
  </si>
  <si>
    <t>Management Organization - Niveau conso ?</t>
  </si>
  <si>
    <t>Management_Organization_Corp</t>
  </si>
  <si>
    <t>Particule</t>
  </si>
  <si>
    <t>ALL</t>
  </si>
  <si>
    <t>Code Management_Organization</t>
  </si>
  <si>
    <t>Code particule</t>
  </si>
  <si>
    <t>DS</t>
  </si>
  <si>
    <t>BD</t>
  </si>
  <si>
    <t>FI</t>
  </si>
  <si>
    <t>HR</t>
  </si>
  <si>
    <t>GM</t>
  </si>
  <si>
    <t>IA</t>
  </si>
  <si>
    <t>LE</t>
  </si>
  <si>
    <t>RM</t>
  </si>
  <si>
    <t>PU</t>
  </si>
  <si>
    <t>GS</t>
  </si>
  <si>
    <t>Compte_résultat_saisie_Actual_budget</t>
  </si>
  <si>
    <t>P&amp;L : Saisie</t>
  </si>
  <si>
    <t>AutoRefresh_PL_Saisie_Realise_Budget</t>
  </si>
  <si>
    <t>PL1115_DS_70_5070</t>
  </si>
  <si>
    <t>PL1215_BD_70_5070</t>
  </si>
  <si>
    <t>PL1315_FI_70_5070</t>
  </si>
  <si>
    <t>PL1315_IT_70_5070</t>
  </si>
  <si>
    <t>PL1315_HR_70_5070</t>
  </si>
  <si>
    <t>PL1315_GM_70_5070</t>
  </si>
  <si>
    <t>PL1315_IA_70_5070</t>
  </si>
  <si>
    <t>PL1315_LE_70_5070</t>
  </si>
  <si>
    <t>PL1315_RM_70_5070</t>
  </si>
  <si>
    <t>PL1315_PU_70_5070</t>
  </si>
  <si>
    <t>PL1315_CO_70_5070</t>
  </si>
  <si>
    <t>PL1315_GS_70_5070</t>
  </si>
  <si>
    <t>PL1315_RD_70_5070</t>
  </si>
  <si>
    <t>PL1115_DS_70_507002</t>
  </si>
  <si>
    <t>PL1215_BD_70_507002</t>
  </si>
  <si>
    <t>PL1315_FI_70_507002</t>
  </si>
  <si>
    <t>PL1315_IT_70_507002</t>
  </si>
  <si>
    <t>PL1315_HR_70_507002</t>
  </si>
  <si>
    <t>PL1315_GM_70_507002</t>
  </si>
  <si>
    <t>PL1315_IA_70_507002</t>
  </si>
  <si>
    <t>PL1315_LE_70_507002</t>
  </si>
  <si>
    <t>PL1315_RM_70_507002</t>
  </si>
  <si>
    <t>PL1315_PU_70_507002</t>
  </si>
  <si>
    <t>PL1315_CO_70_507002</t>
  </si>
  <si>
    <t>PL1315_GS_70_507002</t>
  </si>
  <si>
    <t>PL1315_RD_70_507002</t>
  </si>
  <si>
    <t>PL1340_GM_8128</t>
  </si>
  <si>
    <t>PL1340_GM_autres</t>
  </si>
  <si>
    <t>Indicator_Corp for comments</t>
  </si>
  <si>
    <t>Traduction Phase</t>
  </si>
  <si>
    <t>PL1355_MF_2060</t>
  </si>
  <si>
    <t>PL1355_MF_2061</t>
  </si>
  <si>
    <t>N-1</t>
  </si>
  <si>
    <t>Code Management</t>
  </si>
  <si>
    <t>Specific formula for childrens of 2 indicators (Cout_bureau &amp; Loc_bat)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</si>
</sst>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#,##0.0"/>
    <numFmt numFmtId="172" formatCode="00"/>
    <numFmt numFmtId="173" formatCode="#,##0.0;&quot;(&quot;#,##0.0&quot;)&quot;"/>
    <numFmt numFmtId="174" formatCode="#,##0;&quot;(&quot;#,##0&quot;)&quot;"/>
  </numFmts>
  <fonts count="9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sz val="10"/>
      <color indexed="8"/>
      <name val="Calibri"/>
      <family val="2"/>
    </font>
    <font>
      <b/>
      <sz val="14"/>
      <color indexed="9"/>
      <name val="Calibri"/>
      <family val="2"/>
    </font>
    <font>
      <sz val="10"/>
      <color indexed="62"/>
      <name val="Calibri"/>
      <family val="2"/>
    </font>
    <font>
      <b/>
      <sz val="10"/>
      <color indexed="9"/>
      <name val="Calibri"/>
      <family val="2"/>
    </font>
    <font>
      <sz val="14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8"/>
      <color indexed="17"/>
      <name val="Calibri"/>
      <family val="2"/>
    </font>
    <font>
      <b/>
      <sz val="10"/>
      <name val="Arial"/>
      <family val="2"/>
    </font>
    <font>
      <b/>
      <sz val="18"/>
      <name val="Calibri"/>
      <family val="2"/>
    </font>
    <font>
      <b/>
      <sz val="18"/>
      <color indexed="57"/>
      <name val="Wingdings"/>
      <charset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b/>
      <sz val="32"/>
      <color indexed="9"/>
      <name val="Calibri"/>
      <family val="2"/>
    </font>
    <font>
      <b/>
      <sz val="20"/>
      <color indexed="9"/>
      <name val="Calibri"/>
      <family val="2"/>
    </font>
    <font>
      <sz val="20"/>
      <color indexed="9"/>
      <name val="Calibri"/>
      <family val="2"/>
    </font>
    <font>
      <sz val="18"/>
      <name val="Calibri"/>
      <family val="2"/>
    </font>
    <font>
      <sz val="15"/>
      <name val="Calibri"/>
      <family val="2"/>
    </font>
    <font>
      <sz val="15"/>
      <color indexed="61"/>
      <name val="Calibri"/>
      <family val="2"/>
    </font>
    <font>
      <b/>
      <sz val="15"/>
      <name val="Calibri"/>
      <family val="2"/>
    </font>
    <font>
      <b/>
      <sz val="18"/>
      <color indexed="46"/>
      <name val="Calibri"/>
      <family val="2"/>
    </font>
    <font>
      <b/>
      <sz val="15"/>
      <color indexed="8"/>
      <name val="Calibri"/>
      <family val="2"/>
    </font>
    <font>
      <b/>
      <sz val="13"/>
      <color indexed="8"/>
      <name val="Calibri"/>
      <family val="2"/>
    </font>
    <font>
      <b/>
      <sz val="18"/>
      <color indexed="8"/>
      <name val="Cambria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sz val="13"/>
      <name val="Wingdings"/>
      <charset val="2"/>
    </font>
    <font>
      <i/>
      <sz val="15"/>
      <name val="Calibri"/>
      <family val="2"/>
    </font>
    <font>
      <b/>
      <i/>
      <sz val="22"/>
      <color indexed="9"/>
      <name val="Calibri"/>
      <family val="2"/>
    </font>
    <font>
      <b/>
      <sz val="12"/>
      <color rgb="FFFF0000"/>
      <name val="Arial"/>
      <family val="2"/>
    </font>
    <font>
      <b/>
      <sz val="11"/>
      <name val="Arial"/>
      <family val="2"/>
    </font>
    <font>
      <b/>
      <sz val="18"/>
      <name val="Wingdings"/>
      <charset val="2"/>
    </font>
    <font>
      <b/>
      <sz val="11"/>
      <color rgb="FFFF0000"/>
      <name val="Arial"/>
      <family val="2"/>
    </font>
    <font>
      <i/>
      <sz val="18"/>
      <name val="Calibri"/>
      <family val="2"/>
    </font>
    <font>
      <sz val="10"/>
      <color theme="0"/>
      <name val="Arial"/>
      <family val="2"/>
    </font>
    <font>
      <b/>
      <sz val="16"/>
      <name val="Calibri"/>
      <family val="2"/>
    </font>
    <font>
      <sz val="15"/>
      <color indexed="46"/>
      <name val="Calibri"/>
      <family val="2"/>
    </font>
    <font>
      <sz val="15"/>
      <color indexed="9"/>
      <name val="Calibri"/>
      <family val="2"/>
    </font>
    <font>
      <b/>
      <sz val="15"/>
      <color indexed="9"/>
      <name val="Calibri"/>
      <family val="2"/>
    </font>
    <font>
      <sz val="13"/>
      <color indexed="9"/>
      <name val="Calibri"/>
      <family val="2"/>
    </font>
    <font>
      <b/>
      <sz val="13"/>
      <color indexed="46"/>
      <name val="Calibri"/>
      <family val="2"/>
    </font>
    <font>
      <b/>
      <sz val="15"/>
      <color indexed="46"/>
      <name val="Calibri"/>
      <family val="2"/>
    </font>
    <font>
      <b/>
      <sz val="18"/>
      <color indexed="9"/>
      <name val="Wingdings"/>
      <charset val="2"/>
    </font>
    <font>
      <b/>
      <sz val="12"/>
      <color rgb="FFFF0000"/>
      <name val="Calibri"/>
      <family val="2"/>
    </font>
    <font>
      <sz val="10"/>
      <color rgb="FF0070C0"/>
      <name val="Calibri"/>
      <family val="2"/>
    </font>
    <font>
      <sz val="11"/>
      <name val="Arial"/>
      <family val="2"/>
    </font>
    <font>
      <b/>
      <sz val="10"/>
      <color rgb="FFFF0000"/>
      <name val="Arial"/>
      <family val="2"/>
    </font>
    <font>
      <sz val="10"/>
      <color rgb="FFFFFF00"/>
      <name val="Arial"/>
      <family val="2"/>
    </font>
    <font>
      <sz val="10"/>
      <color rgb="FF000000"/>
      <name val="Verdana"/>
      <family val="2"/>
    </font>
    <font>
      <sz val="12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7E40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EAEAEA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63"/>
      </bottom>
      <diagonal/>
    </border>
    <border>
      <left style="medium">
        <color indexed="23"/>
      </left>
      <right/>
      <top style="medium">
        <color indexed="22"/>
      </top>
      <bottom/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medium">
        <color indexed="63"/>
      </bottom>
      <diagonal/>
    </border>
    <border>
      <left style="medium">
        <color indexed="9"/>
      </left>
      <right/>
      <top/>
      <bottom/>
      <diagonal/>
    </border>
    <border>
      <left/>
      <right/>
      <top/>
      <bottom style="thick">
        <color indexed="9"/>
      </bottom>
      <diagonal/>
    </border>
    <border>
      <left/>
      <right style="medium">
        <color indexed="9"/>
      </right>
      <top style="thick">
        <color indexed="9"/>
      </top>
      <bottom/>
      <diagonal/>
    </border>
    <border>
      <left/>
      <right/>
      <top style="medium">
        <color indexed="46"/>
      </top>
      <bottom style="medium">
        <color indexed="46"/>
      </bottom>
      <diagonal/>
    </border>
    <border>
      <left/>
      <right/>
      <top style="medium">
        <color rgb="FF7E408F"/>
      </top>
      <bottom style="medium">
        <color rgb="FF7E408F"/>
      </bottom>
      <diagonal/>
    </border>
    <border>
      <left style="dotted">
        <color indexed="64"/>
      </left>
      <right/>
      <top/>
      <bottom/>
      <diagonal/>
    </border>
    <border>
      <left style="medium">
        <color indexed="9"/>
      </left>
      <right/>
      <top style="thick">
        <color indexed="9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46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indexed="9"/>
      </right>
      <top/>
      <bottom/>
      <diagonal/>
    </border>
    <border>
      <left/>
      <right/>
      <top/>
      <bottom style="medium">
        <color indexed="46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ck">
        <color indexed="9"/>
      </right>
      <top/>
      <bottom style="thick">
        <color indexed="9"/>
      </bottom>
      <diagonal/>
    </border>
    <border>
      <left/>
      <right style="thick">
        <color indexed="9"/>
      </right>
      <top/>
      <bottom/>
      <diagonal/>
    </border>
    <border>
      <left/>
      <right/>
      <top style="thick">
        <color indexed="9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22">
    <xf numFmtId="0" fontId="0" fillId="0" borderId="0"/>
    <xf numFmtId="0" fontId="22" fillId="2" borderId="0" applyNumberFormat="0" applyBorder="0" applyAlignment="0" applyProtection="0"/>
    <xf numFmtId="0" fontId="22" fillId="3" borderId="0" applyNumberFormat="0" applyBorder="0" applyAlignment="0" applyProtection="0"/>
    <xf numFmtId="0" fontId="22" fillId="4" borderId="0" applyNumberFormat="0" applyBorder="0" applyAlignment="0" applyProtection="0"/>
    <xf numFmtId="0" fontId="22" fillId="5" borderId="0" applyNumberFormat="0" applyBorder="0" applyAlignment="0" applyProtection="0"/>
    <xf numFmtId="0" fontId="22" fillId="6" borderId="0" applyNumberFormat="0" applyBorder="0" applyAlignment="0" applyProtection="0"/>
    <xf numFmtId="0" fontId="22" fillId="7" borderId="0" applyNumberFormat="0" applyBorder="0" applyAlignment="0" applyProtection="0"/>
    <xf numFmtId="0" fontId="22" fillId="2" borderId="0" applyNumberFormat="0" applyBorder="0" applyAlignment="0" applyProtection="0"/>
    <xf numFmtId="0" fontId="22" fillId="2" borderId="0" applyNumberFormat="0" applyBorder="0" applyAlignment="0" applyProtection="0"/>
    <xf numFmtId="0" fontId="22" fillId="2" borderId="0" applyNumberFormat="0" applyBorder="0" applyAlignment="0" applyProtection="0"/>
    <xf numFmtId="0" fontId="22" fillId="2" borderId="0" applyNumberFormat="0" applyBorder="0" applyAlignment="0" applyProtection="0"/>
    <xf numFmtId="0" fontId="22" fillId="2" borderId="0" applyNumberFormat="0" applyBorder="0" applyAlignment="0" applyProtection="0"/>
    <xf numFmtId="0" fontId="22" fillId="3" borderId="0" applyNumberFormat="0" applyBorder="0" applyAlignment="0" applyProtection="0"/>
    <xf numFmtId="0" fontId="22" fillId="3" borderId="0" applyNumberFormat="0" applyBorder="0" applyAlignment="0" applyProtection="0"/>
    <xf numFmtId="0" fontId="22" fillId="3" borderId="0" applyNumberFormat="0" applyBorder="0" applyAlignment="0" applyProtection="0"/>
    <xf numFmtId="0" fontId="22" fillId="3" borderId="0" applyNumberFormat="0" applyBorder="0" applyAlignment="0" applyProtection="0"/>
    <xf numFmtId="0" fontId="22" fillId="3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6" borderId="0" applyNumberFormat="0" applyBorder="0" applyAlignment="0" applyProtection="0"/>
    <xf numFmtId="0" fontId="22" fillId="6" borderId="0" applyNumberFormat="0" applyBorder="0" applyAlignment="0" applyProtection="0"/>
    <xf numFmtId="0" fontId="22" fillId="6" borderId="0" applyNumberFormat="0" applyBorder="0" applyAlignment="0" applyProtection="0"/>
    <xf numFmtId="0" fontId="22" fillId="6" borderId="0" applyNumberFormat="0" applyBorder="0" applyAlignment="0" applyProtection="0"/>
    <xf numFmtId="0" fontId="22" fillId="6" borderId="0" applyNumberFormat="0" applyBorder="0" applyAlignment="0" applyProtection="0"/>
    <xf numFmtId="0" fontId="22" fillId="7" borderId="0" applyNumberFormat="0" applyBorder="0" applyAlignment="0" applyProtection="0"/>
    <xf numFmtId="0" fontId="22" fillId="7" borderId="0" applyNumberFormat="0" applyBorder="0" applyAlignment="0" applyProtection="0"/>
    <xf numFmtId="0" fontId="22" fillId="7" borderId="0" applyNumberFormat="0" applyBorder="0" applyAlignment="0" applyProtection="0"/>
    <xf numFmtId="0" fontId="22" fillId="7" borderId="0" applyNumberFormat="0" applyBorder="0" applyAlignment="0" applyProtection="0"/>
    <xf numFmtId="0" fontId="22" fillId="7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5" borderId="0" applyNumberFormat="0" applyBorder="0" applyAlignment="0" applyProtection="0"/>
    <xf numFmtId="0" fontId="22" fillId="8" borderId="0" applyNumberFormat="0" applyBorder="0" applyAlignment="0" applyProtection="0"/>
    <xf numFmtId="0" fontId="22" fillId="11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9" borderId="0" applyNumberFormat="0" applyBorder="0" applyAlignment="0" applyProtection="0"/>
    <xf numFmtId="0" fontId="22" fillId="9" borderId="0" applyNumberFormat="0" applyBorder="0" applyAlignment="0" applyProtection="0"/>
    <xf numFmtId="0" fontId="22" fillId="9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23" fillId="0" borderId="0" applyNumberFormat="0" applyFill="0" applyBorder="0" applyAlignment="0" applyProtection="0"/>
    <xf numFmtId="0" fontId="24" fillId="3" borderId="0" applyNumberFormat="0" applyBorder="0" applyAlignment="0" applyProtection="0"/>
    <xf numFmtId="0" fontId="24" fillId="3" borderId="0" applyNumberFormat="0" applyBorder="0" applyAlignment="0" applyProtection="0"/>
    <xf numFmtId="0" fontId="24" fillId="3" borderId="0" applyNumberFormat="0" applyBorder="0" applyAlignment="0" applyProtection="0"/>
    <xf numFmtId="0" fontId="24" fillId="3" borderId="0" applyNumberFormat="0" applyBorder="0" applyAlignment="0" applyProtection="0"/>
    <xf numFmtId="0" fontId="24" fillId="3" borderId="0" applyNumberFormat="0" applyBorder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6" fillId="0" borderId="2" applyNumberFormat="0" applyFill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9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21" borderId="5" applyNumberFormat="0" applyFont="0" applyAlignment="0" applyProtection="0"/>
    <xf numFmtId="0" fontId="27" fillId="7" borderId="1" applyNumberFormat="0" applyAlignment="0" applyProtection="0"/>
    <xf numFmtId="0" fontId="2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57" fillId="0" borderId="6" applyNumberFormat="0" applyFill="0" applyAlignment="0" applyProtection="0"/>
    <xf numFmtId="0" fontId="30" fillId="0" borderId="7" applyNumberFormat="0" applyFill="0" applyAlignment="0" applyProtection="0"/>
    <xf numFmtId="0" fontId="30" fillId="0" borderId="7" applyNumberFormat="0" applyFill="0" applyAlignment="0" applyProtection="0"/>
    <xf numFmtId="0" fontId="30" fillId="0" borderId="7" applyNumberFormat="0" applyFill="0" applyAlignment="0" applyProtection="0"/>
    <xf numFmtId="0" fontId="30" fillId="0" borderId="7" applyNumberFormat="0" applyFill="0" applyAlignment="0" applyProtection="0"/>
    <xf numFmtId="0" fontId="58" fillId="0" borderId="8" applyNumberFormat="0" applyFill="0" applyAlignment="0" applyProtection="0"/>
    <xf numFmtId="0" fontId="31" fillId="0" borderId="8" applyNumberFormat="0" applyFill="0" applyAlignment="0" applyProtection="0"/>
    <xf numFmtId="0" fontId="31" fillId="0" borderId="8" applyNumberFormat="0" applyFill="0" applyAlignment="0" applyProtection="0"/>
    <xf numFmtId="0" fontId="31" fillId="0" borderId="8" applyNumberFormat="0" applyFill="0" applyAlignment="0" applyProtection="0"/>
    <xf numFmtId="0" fontId="31" fillId="0" borderId="8" applyNumberFormat="0" applyFill="0" applyAlignment="0" applyProtection="0"/>
    <xf numFmtId="0" fontId="48" fillId="0" borderId="9" applyNumberFormat="0" applyFill="0" applyAlignment="0" applyProtection="0"/>
    <xf numFmtId="0" fontId="32" fillId="0" borderId="10" applyNumberFormat="0" applyFill="0" applyAlignment="0" applyProtection="0"/>
    <xf numFmtId="0" fontId="32" fillId="0" borderId="10" applyNumberFormat="0" applyFill="0" applyAlignment="0" applyProtection="0"/>
    <xf numFmtId="0" fontId="32" fillId="0" borderId="10" applyNumberFormat="0" applyFill="0" applyAlignment="0" applyProtection="0"/>
    <xf numFmtId="0" fontId="32" fillId="0" borderId="10" applyNumberFormat="0" applyFill="0" applyAlignment="0" applyProtection="0"/>
    <xf numFmtId="0" fontId="48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27" fillId="7" borderId="1" applyNumberFormat="0" applyAlignment="0" applyProtection="0"/>
    <xf numFmtId="0" fontId="27" fillId="7" borderId="1" applyNumberFormat="0" applyAlignment="0" applyProtection="0"/>
    <xf numFmtId="0" fontId="27" fillId="7" borderId="1" applyNumberFormat="0" applyAlignment="0" applyProtection="0"/>
    <xf numFmtId="0" fontId="27" fillId="7" borderId="1" applyNumberFormat="0" applyAlignment="0" applyProtection="0"/>
    <xf numFmtId="0" fontId="27" fillId="7" borderId="1" applyNumberFormat="0" applyAlignment="0" applyProtection="0"/>
    <xf numFmtId="0" fontId="24" fillId="3" borderId="0" applyNumberFormat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166" fontId="35" fillId="22" borderId="0" applyNumberFormat="0" applyBorder="0">
      <alignment horizontal="right"/>
      <protection locked="0"/>
    </xf>
    <xf numFmtId="0" fontId="26" fillId="0" borderId="2" applyNumberFormat="0" applyFill="0" applyAlignment="0" applyProtection="0"/>
    <xf numFmtId="0" fontId="26" fillId="0" borderId="2" applyNumberFormat="0" applyFill="0" applyAlignment="0" applyProtection="0"/>
    <xf numFmtId="0" fontId="26" fillId="0" borderId="2" applyNumberFormat="0" applyFill="0" applyAlignment="0" applyProtection="0"/>
    <xf numFmtId="0" fontId="26" fillId="0" borderId="2" applyNumberFormat="0" applyFill="0" applyAlignment="0" applyProtection="0"/>
    <xf numFmtId="0" fontId="26" fillId="0" borderId="2" applyNumberFormat="0" applyFill="0" applyAlignment="0" applyProtection="0"/>
    <xf numFmtId="167" fontId="36" fillId="23" borderId="0" applyNumberFormat="0" applyBorder="0">
      <alignment horizontal="right" vertical="center"/>
      <protection locked="0"/>
    </xf>
    <xf numFmtId="168" fontId="36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7" fillId="25" borderId="0"/>
    <xf numFmtId="0" fontId="38" fillId="26" borderId="0" applyNumberFormat="0" applyBorder="0" applyAlignment="0" applyProtection="0"/>
    <xf numFmtId="0" fontId="38" fillId="26" borderId="0" applyNumberFormat="0" applyBorder="0" applyAlignment="0" applyProtection="0"/>
    <xf numFmtId="0" fontId="38" fillId="26" borderId="0" applyNumberFormat="0" applyBorder="0" applyAlignment="0" applyProtection="0"/>
    <xf numFmtId="0" fontId="38" fillId="26" borderId="0" applyNumberFormat="0" applyBorder="0" applyAlignment="0" applyProtection="0"/>
    <xf numFmtId="0" fontId="38" fillId="26" borderId="0" applyNumberFormat="0" applyBorder="0" applyAlignment="0" applyProtection="0"/>
    <xf numFmtId="0" fontId="38" fillId="26" borderId="0" applyNumberFormat="0" applyBorder="0" applyAlignment="0" applyProtection="0"/>
    <xf numFmtId="0" fontId="37" fillId="25" borderId="0"/>
    <xf numFmtId="0" fontId="37" fillId="25" borderId="0"/>
    <xf numFmtId="169" fontId="39" fillId="0" borderId="0"/>
    <xf numFmtId="0" fontId="2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2" fillId="21" borderId="5" applyNumberFormat="0" applyFont="0" applyAlignment="0" applyProtection="0"/>
    <xf numFmtId="0" fontId="22" fillId="21" borderId="5" applyNumberFormat="0" applyFont="0" applyAlignment="0" applyProtection="0"/>
    <xf numFmtId="0" fontId="22" fillId="21" borderId="5" applyNumberFormat="0" applyFont="0" applyAlignment="0" applyProtection="0"/>
    <xf numFmtId="0" fontId="22" fillId="21" borderId="5" applyNumberFormat="0" applyFont="0" applyAlignment="0" applyProtection="0"/>
    <xf numFmtId="0" fontId="22" fillId="21" borderId="5" applyNumberFormat="0" applyFont="0" applyAlignment="0" applyProtection="0"/>
    <xf numFmtId="0" fontId="37" fillId="25" borderId="0"/>
    <xf numFmtId="0" fontId="40" fillId="27" borderId="11" applyNumberFormat="0" applyAlignment="0" applyProtection="0"/>
    <xf numFmtId="0" fontId="40" fillId="7" borderId="11" applyNumberFormat="0" applyAlignment="0" applyProtection="0"/>
    <xf numFmtId="0" fontId="40" fillId="7" borderId="11" applyNumberFormat="0" applyAlignment="0" applyProtection="0"/>
    <xf numFmtId="0" fontId="40" fillId="7" borderId="11" applyNumberFormat="0" applyAlignment="0" applyProtection="0"/>
    <xf numFmtId="0" fontId="40" fillId="7" borderId="11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9" fillId="12" borderId="0" applyNumberFormat="0" applyBorder="0" applyAlignment="0" applyProtection="0"/>
    <xf numFmtId="0" fontId="40" fillId="27" borderId="11" applyNumberFormat="0" applyAlignment="0" applyProtection="0"/>
    <xf numFmtId="0" fontId="2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170" fontId="43" fillId="28" borderId="0" applyNumberFormat="0" applyBorder="0">
      <alignment horizontal="left" vertical="center"/>
      <protection locked="0"/>
    </xf>
    <xf numFmtId="170" fontId="44" fillId="22" borderId="0" applyNumberFormat="0" applyBorder="0">
      <alignment horizontal="left"/>
      <protection locked="0"/>
    </xf>
    <xf numFmtId="0" fontId="45" fillId="0" borderId="6" applyNumberFormat="0" applyFill="0" applyAlignment="0" applyProtection="0"/>
    <xf numFmtId="0" fontId="46" fillId="0" borderId="12" applyNumberFormat="0" applyFill="0" applyAlignment="0" applyProtection="0"/>
    <xf numFmtId="0" fontId="47" fillId="0" borderId="13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4" applyNumberFormat="0" applyFill="0" applyAlignment="0" applyProtection="0"/>
    <xf numFmtId="0" fontId="48" fillId="0" borderId="14" applyNumberFormat="0" applyFill="0" applyAlignment="0" applyProtection="0"/>
    <xf numFmtId="0" fontId="48" fillId="0" borderId="14" applyNumberFormat="0" applyFill="0" applyAlignment="0" applyProtection="0"/>
    <xf numFmtId="0" fontId="48" fillId="0" borderId="14" applyNumberFormat="0" applyFill="0" applyAlignment="0" applyProtection="0"/>
    <xf numFmtId="0" fontId="48" fillId="0" borderId="14" applyNumberFormat="0" applyFill="0" applyAlignment="0" applyProtection="0"/>
    <xf numFmtId="0" fontId="16" fillId="20" borderId="3" applyNumberFormat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57">
    <xf numFmtId="0" fontId="0" fillId="0" borderId="0" xfId="0"/>
    <xf numFmtId="0" fontId="4" fillId="0" borderId="0" xfId="237" applyFont="1" applyFill="1" applyBorder="1" applyAlignment="1" applyProtection="1">
      <alignment vertical="center"/>
    </xf>
    <xf numFmtId="0" fontId="4" fillId="0" borderId="0" xfId="237" applyFont="1" applyFill="1" applyBorder="1" applyAlignment="1" applyProtection="1">
      <alignment horizontal="left" vertical="center"/>
    </xf>
    <xf numFmtId="0" fontId="5" fillId="0" borderId="0" xfId="237" applyFont="1" applyFill="1" applyBorder="1" applyAlignment="1" applyProtection="1">
      <alignment vertical="center"/>
    </xf>
    <xf numFmtId="0" fontId="6" fillId="0" borderId="0" xfId="237" applyFont="1" applyFill="1" applyBorder="1" applyAlignment="1" applyProtection="1">
      <alignment vertical="center"/>
    </xf>
    <xf numFmtId="171" fontId="11" fillId="0" borderId="0" xfId="237" applyNumberFormat="1" applyFont="1" applyFill="1" applyBorder="1" applyAlignment="1" applyProtection="1">
      <alignment horizontal="left" vertical="center"/>
    </xf>
    <xf numFmtId="0" fontId="13" fillId="0" borderId="0" xfId="237" applyFont="1" applyBorder="1" applyAlignment="1" applyProtection="1">
      <alignment vertical="center"/>
    </xf>
    <xf numFmtId="0" fontId="4" fillId="0" borderId="0" xfId="237" applyFont="1" applyFill="1" applyAlignment="1" applyProtection="1">
      <alignment vertical="center"/>
    </xf>
    <xf numFmtId="0" fontId="3" fillId="0" borderId="0" xfId="254" applyFont="1" applyProtection="1"/>
    <xf numFmtId="0" fontId="52" fillId="0" borderId="0" xfId="237" applyFont="1" applyFill="1" applyBorder="1" applyAlignment="1" applyProtection="1">
      <alignment vertical="center"/>
    </xf>
    <xf numFmtId="0" fontId="53" fillId="0" borderId="0" xfId="237" applyFont="1" applyFill="1" applyBorder="1" applyAlignment="1" applyProtection="1">
      <alignment horizontal="right" vertical="center" indent="1"/>
    </xf>
    <xf numFmtId="0" fontId="7" fillId="0" borderId="0" xfId="254" applyFont="1" applyAlignment="1" applyProtection="1"/>
    <xf numFmtId="0" fontId="3" fillId="0" borderId="0" xfId="254" applyFont="1" applyAlignment="1" applyProtection="1">
      <alignment horizontal="right" indent="1"/>
    </xf>
    <xf numFmtId="0" fontId="4" fillId="0" borderId="0" xfId="254" applyFont="1" applyAlignment="1" applyProtection="1">
      <alignment horizontal="right" indent="1"/>
    </xf>
    <xf numFmtId="0" fontId="6" fillId="0" borderId="0" xfId="237" applyFont="1" applyFill="1" applyBorder="1" applyAlignment="1" applyProtection="1">
      <alignment horizontal="right" vertical="center" indent="1"/>
    </xf>
    <xf numFmtId="0" fontId="64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65" fillId="30" borderId="15" xfId="0" applyFont="1" applyFill="1" applyBorder="1" applyAlignment="1" applyProtection="1">
      <alignment horizontal="left"/>
      <protection locked="0"/>
    </xf>
    <xf numFmtId="0" fontId="63" fillId="30" borderId="16" xfId="0" applyFont="1" applyFill="1" applyBorder="1" applyProtection="1">
      <protection locked="0"/>
    </xf>
    <xf numFmtId="0" fontId="62" fillId="31" borderId="17" xfId="0" applyFont="1" applyFill="1" applyBorder="1" applyProtection="1">
      <protection locked="0"/>
    </xf>
    <xf numFmtId="0" fontId="62" fillId="0" borderId="17" xfId="0" applyFont="1" applyBorder="1" applyProtection="1">
      <protection locked="0"/>
    </xf>
    <xf numFmtId="0" fontId="62" fillId="0" borderId="17" xfId="0" applyNumberFormat="1" applyFont="1" applyBorder="1" applyProtection="1">
      <protection locked="0"/>
    </xf>
    <xf numFmtId="0" fontId="0" fillId="0" borderId="0" xfId="0" applyProtection="1"/>
    <xf numFmtId="0" fontId="0" fillId="0" borderId="0" xfId="0" applyBorder="1" applyProtection="1"/>
    <xf numFmtId="0" fontId="0" fillId="0" borderId="18" xfId="0" applyBorder="1" applyProtection="1"/>
    <xf numFmtId="0" fontId="0" fillId="0" borderId="19" xfId="0" applyBorder="1" applyProtection="1"/>
    <xf numFmtId="0" fontId="4" fillId="0" borderId="0" xfId="0" applyFont="1" applyFill="1" applyAlignment="1" applyProtection="1">
      <alignment horizontal="left" indent="1"/>
    </xf>
    <xf numFmtId="0" fontId="4" fillId="30" borderId="0" xfId="0" applyFont="1" applyFill="1" applyAlignment="1" applyProtection="1">
      <alignment horizontal="left" indent="1"/>
    </xf>
    <xf numFmtId="0" fontId="0" fillId="0" borderId="0" xfId="0" applyFill="1" applyAlignment="1" applyProtection="1"/>
    <xf numFmtId="0" fontId="8" fillId="32" borderId="0" xfId="0" applyFont="1" applyFill="1" applyBorder="1" applyAlignment="1" applyProtection="1">
      <alignment horizontal="left" vertical="center"/>
    </xf>
    <xf numFmtId="0" fontId="7" fillId="29" borderId="20" xfId="0" applyFont="1" applyFill="1" applyBorder="1" applyAlignment="1" applyProtection="1">
      <alignment horizontal="left" vertical="center"/>
    </xf>
    <xf numFmtId="0" fontId="51" fillId="0" borderId="0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vertical="center"/>
    </xf>
    <xf numFmtId="0" fontId="14" fillId="0" borderId="21" xfId="228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vertical="center" wrapText="1"/>
    </xf>
    <xf numFmtId="0" fontId="10" fillId="0" borderId="0" xfId="0" applyFont="1" applyFill="1" applyBorder="1" applyAlignment="1" applyProtection="1">
      <alignment horizontal="left"/>
    </xf>
    <xf numFmtId="0" fontId="14" fillId="0" borderId="0" xfId="228" applyFont="1" applyFill="1" applyBorder="1" applyAlignment="1" applyProtection="1">
      <alignment horizontal="center" vertical="center" wrapText="1"/>
    </xf>
    <xf numFmtId="0" fontId="15" fillId="0" borderId="0" xfId="0" applyFont="1" applyFill="1" applyBorder="1" applyAlignment="1" applyProtection="1">
      <alignment horizontal="center" vertical="center" wrapText="1"/>
    </xf>
    <xf numFmtId="0" fontId="18" fillId="0" borderId="0" xfId="228" applyFont="1" applyFill="1" applyBorder="1" applyAlignment="1" applyProtection="1">
      <alignment horizontal="center"/>
    </xf>
    <xf numFmtId="3" fontId="53" fillId="0" borderId="0" xfId="254" applyNumberFormat="1" applyFont="1" applyFill="1" applyBorder="1" applyAlignment="1" applyProtection="1">
      <alignment horizontal="right" vertical="center" wrapText="1" indent="1"/>
    </xf>
    <xf numFmtId="0" fontId="53" fillId="0" borderId="0" xfId="254" applyFont="1" applyFill="1" applyBorder="1" applyAlignment="1" applyProtection="1">
      <alignment horizontal="left" vertical="center" wrapText="1"/>
    </xf>
    <xf numFmtId="0" fontId="54" fillId="0" borderId="0" xfId="228" applyFont="1" applyFill="1" applyBorder="1" applyAlignment="1" applyProtection="1">
      <alignment horizontal="center"/>
    </xf>
    <xf numFmtId="3" fontId="55" fillId="0" borderId="0" xfId="254" applyNumberFormat="1" applyFont="1" applyFill="1" applyBorder="1" applyAlignment="1" applyProtection="1">
      <alignment horizontal="right" vertical="center" wrapText="1" indent="1"/>
    </xf>
    <xf numFmtId="0" fontId="4" fillId="0" borderId="0" xfId="0" applyFont="1" applyBorder="1" applyProtection="1"/>
    <xf numFmtId="0" fontId="4" fillId="0" borderId="0" xfId="0" applyFont="1" applyProtection="1"/>
    <xf numFmtId="0" fontId="66" fillId="34" borderId="4" xfId="0" applyFont="1" applyFill="1" applyBorder="1" applyAlignment="1" applyProtection="1">
      <alignment horizontal="center"/>
    </xf>
    <xf numFmtId="0" fontId="67" fillId="30" borderId="4" xfId="0" applyFont="1" applyFill="1" applyBorder="1" applyProtection="1"/>
    <xf numFmtId="0" fontId="0" fillId="35" borderId="4" xfId="0" applyFill="1" applyBorder="1" applyProtection="1">
      <protection locked="0"/>
    </xf>
    <xf numFmtId="0" fontId="0" fillId="30" borderId="4" xfId="0" applyFill="1" applyBorder="1" applyProtection="1">
      <protection locked="0"/>
    </xf>
    <xf numFmtId="0" fontId="68" fillId="0" borderId="0" xfId="0" applyFont="1" applyProtection="1"/>
    <xf numFmtId="0" fontId="62" fillId="0" borderId="22" xfId="0" applyFont="1" applyBorder="1" applyProtection="1">
      <protection locked="0"/>
    </xf>
    <xf numFmtId="0" fontId="0" fillId="0" borderId="0" xfId="0" applyProtection="1"/>
    <xf numFmtId="0" fontId="69" fillId="0" borderId="0" xfId="237" applyFont="1" applyFill="1" applyBorder="1" applyAlignment="1" applyProtection="1">
      <alignment horizontal="right" vertical="center" indent="1"/>
    </xf>
    <xf numFmtId="0" fontId="2" fillId="0" borderId="0" xfId="0" applyFont="1" applyProtection="1"/>
    <xf numFmtId="0" fontId="54" fillId="0" borderId="21" xfId="228" applyFont="1" applyFill="1" applyBorder="1" applyAlignment="1" applyProtection="1">
      <alignment horizontal="center"/>
    </xf>
    <xf numFmtId="0" fontId="0" fillId="0" borderId="0" xfId="0" applyFill="1" applyBorder="1" applyProtection="1"/>
    <xf numFmtId="0" fontId="7" fillId="0" borderId="33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2" fillId="0" borderId="35" xfId="0" applyFont="1" applyBorder="1" applyProtection="1"/>
    <xf numFmtId="0" fontId="2" fillId="0" borderId="37" xfId="0" applyFont="1" applyFill="1" applyBorder="1" applyProtection="1"/>
    <xf numFmtId="0" fontId="2" fillId="0" borderId="37" xfId="0" applyFont="1" applyBorder="1" applyProtection="1"/>
    <xf numFmtId="0" fontId="2" fillId="0" borderId="36" xfId="0" applyFont="1" applyBorder="1" applyProtection="1"/>
    <xf numFmtId="0" fontId="0" fillId="0" borderId="35" xfId="0" applyBorder="1" applyProtection="1"/>
    <xf numFmtId="0" fontId="3" fillId="38" borderId="35" xfId="237" applyFont="1" applyFill="1" applyBorder="1" applyAlignment="1" applyProtection="1">
      <alignment horizontal="center" vertical="center"/>
    </xf>
    <xf numFmtId="0" fontId="0" fillId="0" borderId="38" xfId="0" applyBorder="1" applyProtection="1"/>
    <xf numFmtId="0" fontId="7" fillId="29" borderId="39" xfId="0" applyFont="1" applyFill="1" applyBorder="1" applyAlignment="1" applyProtection="1">
      <alignment horizontal="left" vertical="center"/>
    </xf>
    <xf numFmtId="0" fontId="0" fillId="0" borderId="37" xfId="0" applyBorder="1" applyProtection="1"/>
    <xf numFmtId="0" fontId="4" fillId="0" borderId="36" xfId="237" applyFont="1" applyFill="1" applyBorder="1" applyAlignment="1" applyProtection="1">
      <alignment vertical="center"/>
    </xf>
    <xf numFmtId="0" fontId="2" fillId="0" borderId="35" xfId="0" applyFont="1" applyBorder="1"/>
    <xf numFmtId="0" fontId="0" fillId="0" borderId="37" xfId="0" applyBorder="1"/>
    <xf numFmtId="0" fontId="0" fillId="0" borderId="36" xfId="0" applyBorder="1"/>
    <xf numFmtId="0" fontId="11" fillId="0" borderId="37" xfId="237" applyFont="1" applyFill="1" applyBorder="1" applyAlignment="1" applyProtection="1">
      <alignment vertical="center"/>
    </xf>
    <xf numFmtId="0" fontId="11" fillId="0" borderId="36" xfId="237" applyFont="1" applyFill="1" applyBorder="1" applyAlignment="1" applyProtection="1">
      <alignment vertical="center"/>
    </xf>
    <xf numFmtId="0" fontId="71" fillId="0" borderId="38" xfId="0" applyFont="1" applyBorder="1" applyProtection="1"/>
    <xf numFmtId="0" fontId="2" fillId="0" borderId="0" xfId="0" applyFont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4" fillId="0" borderId="43" xfId="237" applyFont="1" applyFill="1" applyBorder="1" applyAlignment="1" applyProtection="1">
      <alignment vertical="center"/>
    </xf>
    <xf numFmtId="0" fontId="0" fillId="0" borderId="0" xfId="0" applyBorder="1" applyAlignment="1" applyProtection="1">
      <alignment horizontal="center"/>
    </xf>
    <xf numFmtId="0" fontId="73" fillId="0" borderId="38" xfId="0" applyFont="1" applyBorder="1" applyAlignment="1" applyProtection="1">
      <alignment horizontal="center"/>
    </xf>
    <xf numFmtId="0" fontId="75" fillId="0" borderId="0" xfId="228" applyFont="1" applyFill="1" applyBorder="1" applyAlignment="1" applyProtection="1">
      <alignment horizontal="center"/>
    </xf>
    <xf numFmtId="0" fontId="2" fillId="0" borderId="45" xfId="0" applyFont="1" applyBorder="1" applyProtection="1"/>
    <xf numFmtId="0" fontId="0" fillId="0" borderId="35" xfId="0" applyFont="1" applyFill="1" applyBorder="1" applyProtection="1"/>
    <xf numFmtId="0" fontId="4" fillId="0" borderId="37" xfId="237" applyFont="1" applyFill="1" applyBorder="1" applyAlignment="1" applyProtection="1">
      <alignment vertical="center"/>
    </xf>
    <xf numFmtId="0" fontId="66" fillId="0" borderId="42" xfId="0" applyFont="1" applyBorder="1" applyAlignment="1" applyProtection="1">
      <alignment horizontal="center"/>
    </xf>
    <xf numFmtId="0" fontId="71" fillId="0" borderId="35" xfId="0" applyFont="1" applyBorder="1" applyAlignment="1" applyProtection="1">
      <alignment horizontal="center"/>
    </xf>
    <xf numFmtId="0" fontId="72" fillId="0" borderId="36" xfId="0" applyFont="1" applyBorder="1" applyAlignment="1" applyProtection="1">
      <alignment horizontal="center" vertical="center"/>
    </xf>
    <xf numFmtId="0" fontId="69" fillId="0" borderId="0" xfId="254" applyFont="1" applyFill="1" applyBorder="1" applyAlignment="1" applyProtection="1">
      <alignment horizontal="left" vertical="center"/>
    </xf>
    <xf numFmtId="0" fontId="0" fillId="0" borderId="37" xfId="0" applyFill="1" applyBorder="1" applyProtection="1"/>
    <xf numFmtId="0" fontId="0" fillId="0" borderId="0" xfId="0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172" fontId="0" fillId="0" borderId="0" xfId="0" applyNumberFormat="1" applyAlignment="1" applyProtection="1">
      <alignment horizontal="center"/>
      <protection locked="0"/>
    </xf>
    <xf numFmtId="0" fontId="0" fillId="0" borderId="35" xfId="0" applyBorder="1"/>
    <xf numFmtId="0" fontId="0" fillId="40" borderId="0" xfId="0" applyFill="1" applyProtection="1"/>
    <xf numFmtId="0" fontId="52" fillId="40" borderId="0" xfId="237" applyFont="1" applyFill="1" applyBorder="1" applyAlignment="1" applyProtection="1">
      <alignment vertical="center"/>
    </xf>
    <xf numFmtId="0" fontId="18" fillId="40" borderId="0" xfId="228" applyFont="1" applyFill="1" applyBorder="1" applyAlignment="1" applyProtection="1">
      <alignment horizontal="center"/>
    </xf>
    <xf numFmtId="0" fontId="53" fillId="29" borderId="0" xfId="254" applyFont="1" applyFill="1" applyBorder="1" applyAlignment="1" applyProtection="1">
      <alignment horizontal="left" vertical="center" indent="2"/>
    </xf>
    <xf numFmtId="0" fontId="56" fillId="0" borderId="0" xfId="254" applyFont="1" applyFill="1" applyBorder="1" applyAlignment="1" applyProtection="1">
      <alignment horizontal="left" vertical="center"/>
    </xf>
    <xf numFmtId="0" fontId="20" fillId="0" borderId="0" xfId="254" applyFont="1" applyFill="1" applyBorder="1" applyAlignment="1" applyProtection="1">
      <alignment horizontal="left" vertical="center"/>
    </xf>
    <xf numFmtId="0" fontId="78" fillId="0" borderId="0" xfId="254" applyFont="1" applyFill="1" applyBorder="1" applyAlignment="1" applyProtection="1">
      <alignment horizontal="left" vertical="center"/>
    </xf>
    <xf numFmtId="0" fontId="55" fillId="0" borderId="0" xfId="254" applyFont="1" applyFill="1" applyBorder="1" applyAlignment="1" applyProtection="1">
      <alignment horizontal="left" vertical="center"/>
    </xf>
    <xf numFmtId="0" fontId="56" fillId="0" borderId="47" xfId="254" applyFont="1" applyFill="1" applyBorder="1" applyAlignment="1" applyProtection="1">
      <alignment horizontal="left" vertical="center"/>
    </xf>
    <xf numFmtId="0" fontId="20" fillId="0" borderId="47" xfId="254" applyFont="1" applyFill="1" applyBorder="1" applyAlignment="1" applyProtection="1">
      <alignment horizontal="left" vertical="center"/>
    </xf>
    <xf numFmtId="0" fontId="69" fillId="0" borderId="0" xfId="254" applyFont="1" applyFill="1" applyBorder="1" applyAlignment="1" applyProtection="1">
      <alignment vertical="center"/>
    </xf>
    <xf numFmtId="0" fontId="0" fillId="0" borderId="48" xfId="0" applyBorder="1" applyProtection="1"/>
    <xf numFmtId="0" fontId="0" fillId="0" borderId="49" xfId="0" applyBorder="1" applyProtection="1"/>
    <xf numFmtId="0" fontId="4" fillId="0" borderId="49" xfId="237" applyFont="1" applyFill="1" applyBorder="1" applyAlignment="1" applyProtection="1">
      <alignment vertical="center"/>
    </xf>
    <xf numFmtId="0" fontId="2" fillId="0" borderId="49" xfId="0" applyFont="1" applyBorder="1" applyProtection="1"/>
    <xf numFmtId="0" fontId="61" fillId="0" borderId="49" xfId="0" applyFont="1" applyBorder="1" applyProtection="1"/>
    <xf numFmtId="0" fontId="9" fillId="0" borderId="49" xfId="237" applyFont="1" applyFill="1" applyBorder="1" applyAlignment="1" applyProtection="1">
      <alignment horizontal="center" vertical="center"/>
    </xf>
    <xf numFmtId="0" fontId="4" fillId="0" borderId="49" xfId="237" applyFont="1" applyFill="1" applyBorder="1" applyAlignment="1" applyProtection="1">
      <alignment horizontal="center" vertical="center"/>
    </xf>
    <xf numFmtId="0" fontId="1" fillId="0" borderId="49" xfId="309" applyFill="1" applyBorder="1"/>
    <xf numFmtId="0" fontId="3" fillId="0" borderId="49" xfId="237" applyFont="1" applyFill="1" applyBorder="1" applyAlignment="1" applyProtection="1">
      <alignment horizontal="center" vertical="center"/>
    </xf>
    <xf numFmtId="0" fontId="2" fillId="0" borderId="49" xfId="0" applyFont="1" applyFill="1" applyBorder="1" applyProtection="1"/>
    <xf numFmtId="0" fontId="1" fillId="0" borderId="49" xfId="313" applyFill="1" applyBorder="1"/>
    <xf numFmtId="0" fontId="0" fillId="0" borderId="49" xfId="0" applyFill="1" applyBorder="1" applyProtection="1"/>
    <xf numFmtId="173" fontId="53" fillId="0" borderId="0" xfId="237" applyNumberFormat="1" applyFont="1" applyFill="1" applyBorder="1" applyAlignment="1" applyProtection="1">
      <alignment horizontal="right" vertical="center" indent="1"/>
    </xf>
    <xf numFmtId="173" fontId="69" fillId="0" borderId="0" xfId="237" applyNumberFormat="1" applyFont="1" applyFill="1" applyBorder="1" applyAlignment="1" applyProtection="1">
      <alignment horizontal="right" vertical="center" indent="1"/>
    </xf>
    <xf numFmtId="173" fontId="53" fillId="0" borderId="0" xfId="254" applyNumberFormat="1" applyFont="1" applyFill="1" applyBorder="1" applyAlignment="1" applyProtection="1">
      <alignment horizontal="right" vertical="center" wrapText="1" indent="1"/>
    </xf>
    <xf numFmtId="173" fontId="55" fillId="0" borderId="0" xfId="254" applyNumberFormat="1" applyFont="1" applyFill="1" applyBorder="1" applyAlignment="1" applyProtection="1">
      <alignment horizontal="right" vertical="center" wrapText="1" indent="1"/>
    </xf>
    <xf numFmtId="0" fontId="20" fillId="0" borderId="0" xfId="0" applyFont="1" applyFill="1" applyBorder="1" applyAlignment="1" applyProtection="1">
      <alignment horizontal="left" vertical="center"/>
    </xf>
    <xf numFmtId="0" fontId="49" fillId="30" borderId="0" xfId="0" applyFont="1" applyFill="1" applyBorder="1" applyAlignment="1" applyProtection="1">
      <alignment horizontal="center" vertical="center"/>
    </xf>
    <xf numFmtId="0" fontId="76" fillId="39" borderId="0" xfId="0" applyFont="1" applyFill="1" applyBorder="1" applyProtection="1"/>
    <xf numFmtId="0" fontId="0" fillId="0" borderId="36" xfId="0" applyBorder="1" applyProtection="1"/>
    <xf numFmtId="17" fontId="50" fillId="0" borderId="0" xfId="0" applyNumberFormat="1" applyFont="1" applyFill="1" applyBorder="1" applyAlignment="1">
      <alignment vertical="center" wrapText="1"/>
    </xf>
    <xf numFmtId="0" fontId="50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50" fillId="0" borderId="0" xfId="0" applyFont="1" applyFill="1" applyBorder="1" applyAlignment="1" applyProtection="1">
      <alignment vertical="center" wrapText="1"/>
    </xf>
    <xf numFmtId="0" fontId="4" fillId="42" borderId="0" xfId="237" applyFont="1" applyFill="1" applyBorder="1" applyAlignment="1" applyProtection="1">
      <alignment vertical="center"/>
    </xf>
    <xf numFmtId="0" fontId="0" fillId="36" borderId="0" xfId="0" applyFill="1" applyBorder="1" applyProtection="1"/>
    <xf numFmtId="0" fontId="85" fillId="42" borderId="0" xfId="237" applyFont="1" applyFill="1" applyBorder="1" applyAlignment="1" applyProtection="1">
      <alignment horizontal="right" vertical="center"/>
    </xf>
    <xf numFmtId="0" fontId="3" fillId="42" borderId="0" xfId="237" applyFont="1" applyFill="1" applyBorder="1" applyAlignment="1" applyProtection="1">
      <alignment horizontal="center" vertical="center"/>
    </xf>
    <xf numFmtId="0" fontId="61" fillId="36" borderId="0" xfId="0" applyFont="1" applyFill="1" applyBorder="1" applyAlignment="1" applyProtection="1">
      <alignment horizontal="right"/>
    </xf>
    <xf numFmtId="0" fontId="4" fillId="36" borderId="0" xfId="237" applyFont="1" applyFill="1" applyBorder="1" applyAlignment="1" applyProtection="1">
      <alignment vertical="center"/>
    </xf>
    <xf numFmtId="0" fontId="0" fillId="36" borderId="0" xfId="0" applyFill="1" applyProtection="1"/>
    <xf numFmtId="0" fontId="76" fillId="36" borderId="0" xfId="0" applyFont="1" applyFill="1" applyBorder="1" applyProtection="1"/>
    <xf numFmtId="0" fontId="86" fillId="0" borderId="49" xfId="237" applyFont="1" applyFill="1" applyBorder="1" applyAlignment="1" applyProtection="1">
      <alignment horizontal="center" vertical="center"/>
    </xf>
    <xf numFmtId="0" fontId="88" fillId="0" borderId="0" xfId="0" applyFont="1" applyProtection="1"/>
    <xf numFmtId="0" fontId="0" fillId="0" borderId="0" xfId="0" applyAlignment="1" applyProtection="1">
      <alignment horizontal="center"/>
    </xf>
    <xf numFmtId="0" fontId="89" fillId="43" borderId="0" xfId="0" applyFont="1" applyFill="1" applyAlignment="1" applyProtection="1">
      <alignment horizontal="center"/>
    </xf>
    <xf numFmtId="0" fontId="0" fillId="0" borderId="5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2" xfId="0" applyBorder="1" applyAlignment="1" applyProtection="1">
      <alignment horizontal="center" vertic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19" fillId="0" borderId="35" xfId="0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0" fontId="19" fillId="0" borderId="37" xfId="0" applyFont="1" applyFill="1" applyBorder="1" applyAlignment="1" applyProtection="1">
      <alignment horizontal="center" vertical="center"/>
    </xf>
    <xf numFmtId="0" fontId="19" fillId="0" borderId="35" xfId="0" applyFont="1" applyFill="1" applyBorder="1" applyAlignment="1" applyProtection="1">
      <alignment horizontal="center" vertical="center"/>
    </xf>
    <xf numFmtId="0" fontId="19" fillId="0" borderId="36" xfId="0" applyFont="1" applyFill="1" applyBorder="1" applyAlignment="1" applyProtection="1">
      <alignment horizontal="center" vertical="center"/>
    </xf>
    <xf numFmtId="0" fontId="0" fillId="0" borderId="57" xfId="0" applyBorder="1" applyAlignment="1">
      <alignment horizontal="center"/>
    </xf>
    <xf numFmtId="0" fontId="19" fillId="0" borderId="38" xfId="0" applyFont="1" applyFill="1" applyBorder="1" applyAlignment="1" applyProtection="1">
      <alignment horizontal="center" vertical="center"/>
    </xf>
    <xf numFmtId="0" fontId="0" fillId="0" borderId="58" xfId="0" applyBorder="1" applyAlignment="1">
      <alignment horizontal="center"/>
    </xf>
    <xf numFmtId="0" fontId="19" fillId="0" borderId="38" xfId="0" applyFont="1" applyBorder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19" fillId="0" borderId="38" xfId="0" applyFont="1" applyBorder="1" applyAlignment="1" applyProtection="1">
      <alignment horizontal="center" vertical="center"/>
    </xf>
    <xf numFmtId="0" fontId="0" fillId="0" borderId="3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2" xfId="0" applyBorder="1" applyAlignment="1">
      <alignment horizontal="center"/>
    </xf>
    <xf numFmtId="1" fontId="0" fillId="0" borderId="42" xfId="0" applyNumberFormat="1" applyBorder="1" applyAlignment="1" applyProtection="1">
      <alignment horizontal="center" vertical="center"/>
    </xf>
    <xf numFmtId="0" fontId="74" fillId="0" borderId="0" xfId="0" applyFont="1" applyBorder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90" fillId="0" borderId="0" xfId="0" applyFont="1" applyAlignment="1">
      <alignment horizontal="center"/>
    </xf>
    <xf numFmtId="0" fontId="71" fillId="36" borderId="0" xfId="0" applyFont="1" applyFill="1" applyBorder="1" applyProtection="1"/>
    <xf numFmtId="0" fontId="66" fillId="36" borderId="0" xfId="0" applyFont="1" applyFill="1" applyBorder="1" applyProtection="1"/>
    <xf numFmtId="0" fontId="71" fillId="0" borderId="0" xfId="0" applyFont="1" applyProtection="1"/>
    <xf numFmtId="0" fontId="91" fillId="0" borderId="0" xfId="0" applyFont="1" applyBorder="1" applyProtection="1"/>
    <xf numFmtId="0" fontId="61" fillId="36" borderId="4" xfId="0" applyFont="1" applyFill="1" applyBorder="1" applyAlignment="1" applyProtection="1">
      <alignment horizontal="right"/>
    </xf>
    <xf numFmtId="0" fontId="19" fillId="36" borderId="4" xfId="0" applyFont="1" applyFill="1" applyBorder="1" applyAlignment="1" applyProtection="1">
      <alignment horizontal="right" vertical="center"/>
    </xf>
    <xf numFmtId="0" fontId="4" fillId="42" borderId="4" xfId="237" applyFont="1" applyFill="1" applyBorder="1" applyAlignment="1" applyProtection="1">
      <alignment vertical="center"/>
    </xf>
    <xf numFmtId="0" fontId="2" fillId="44" borderId="0" xfId="0" applyFont="1" applyFill="1" applyAlignment="1" applyProtection="1">
      <alignment horizontal="center"/>
    </xf>
    <xf numFmtId="0" fontId="87" fillId="0" borderId="0" xfId="0" applyFont="1" applyAlignment="1" applyProtection="1">
      <alignment horizontal="left"/>
    </xf>
    <xf numFmtId="174" fontId="8" fillId="32" borderId="0" xfId="0" applyNumberFormat="1" applyFont="1" applyFill="1" applyBorder="1" applyAlignment="1">
      <alignment horizontal="right" vertical="center" wrapText="1" indent="1"/>
    </xf>
    <xf numFmtId="174" fontId="8" fillId="0" borderId="0" xfId="0" applyNumberFormat="1" applyFont="1" applyFill="1" applyBorder="1" applyAlignment="1">
      <alignment horizontal="right" vertical="center" wrapText="1" indent="1"/>
    </xf>
    <xf numFmtId="174" fontId="52" fillId="0" borderId="0" xfId="237" applyNumberFormat="1" applyFont="1" applyFill="1" applyBorder="1" applyAlignment="1" applyProtection="1">
      <alignment horizontal="right" vertical="center" indent="1"/>
    </xf>
    <xf numFmtId="174" fontId="77" fillId="0" borderId="0" xfId="254" applyNumberFormat="1" applyFont="1" applyFill="1" applyBorder="1" applyAlignment="1">
      <alignment horizontal="right" vertical="center" wrapText="1" indent="1"/>
    </xf>
    <xf numFmtId="174" fontId="55" fillId="0" borderId="0" xfId="237" applyNumberFormat="1" applyFont="1" applyFill="1" applyBorder="1" applyAlignment="1" applyProtection="1">
      <alignment horizontal="right" vertical="center" indent="1"/>
    </xf>
    <xf numFmtId="174" fontId="53" fillId="0" borderId="0" xfId="254" applyNumberFormat="1" applyFont="1" applyFill="1" applyBorder="1" applyAlignment="1">
      <alignment horizontal="right" vertical="center" wrapText="1" indent="1"/>
    </xf>
    <xf numFmtId="174" fontId="55" fillId="0" borderId="0" xfId="254" applyNumberFormat="1" applyFont="1" applyFill="1" applyBorder="1" applyAlignment="1">
      <alignment horizontal="right" vertical="center" wrapText="1" indent="1"/>
    </xf>
    <xf numFmtId="174" fontId="53" fillId="0" borderId="0" xfId="237" applyNumberFormat="1" applyFont="1" applyFill="1" applyBorder="1" applyAlignment="1" applyProtection="1">
      <alignment horizontal="right" vertical="center" indent="1"/>
    </xf>
    <xf numFmtId="174" fontId="53" fillId="37" borderId="0" xfId="254" applyNumberFormat="1" applyFont="1" applyFill="1" applyBorder="1" applyAlignment="1" applyProtection="1">
      <alignment horizontal="right" vertical="center" indent="1"/>
      <protection locked="0"/>
    </xf>
    <xf numFmtId="174" fontId="4" fillId="0" borderId="0" xfId="254" applyNumberFormat="1" applyFont="1" applyFill="1" applyBorder="1" applyAlignment="1">
      <alignment horizontal="left" vertical="center"/>
    </xf>
    <xf numFmtId="174" fontId="56" fillId="41" borderId="47" xfId="254" applyNumberFormat="1" applyFont="1" applyFill="1" applyBorder="1" applyAlignment="1" applyProtection="1">
      <alignment horizontal="right" vertical="center" indent="1"/>
    </xf>
    <xf numFmtId="174" fontId="56" fillId="0" borderId="0" xfId="254" applyNumberFormat="1" applyFont="1" applyFill="1" applyBorder="1" applyAlignment="1" applyProtection="1">
      <alignment horizontal="right" vertical="center" indent="1"/>
    </xf>
    <xf numFmtId="174" fontId="20" fillId="0" borderId="0" xfId="237" applyNumberFormat="1" applyFont="1" applyFill="1" applyBorder="1" applyAlignment="1" applyProtection="1">
      <alignment horizontal="right" vertical="center" indent="1"/>
    </xf>
    <xf numFmtId="174" fontId="77" fillId="0" borderId="0" xfId="254" applyNumberFormat="1" applyFont="1" applyFill="1" applyBorder="1" applyAlignment="1" applyProtection="1">
      <alignment horizontal="right" vertical="center" indent="1"/>
    </xf>
    <xf numFmtId="174" fontId="77" fillId="0" borderId="0" xfId="237" applyNumberFormat="1" applyFont="1" applyFill="1" applyBorder="1" applyAlignment="1" applyProtection="1">
      <alignment horizontal="right" vertical="center" indent="1"/>
    </xf>
    <xf numFmtId="174" fontId="53" fillId="0" borderId="0" xfId="254" applyNumberFormat="1" applyFont="1" applyFill="1" applyBorder="1" applyAlignment="1" applyProtection="1">
      <alignment horizontal="right" vertical="center" indent="1"/>
    </xf>
    <xf numFmtId="174" fontId="79" fillId="0" borderId="0" xfId="254" applyNumberFormat="1" applyFont="1" applyFill="1" applyBorder="1" applyAlignment="1" applyProtection="1">
      <alignment horizontal="right" vertical="center" indent="1"/>
    </xf>
    <xf numFmtId="174" fontId="80" fillId="0" borderId="0" xfId="254" applyNumberFormat="1" applyFont="1" applyFill="1" applyBorder="1" applyAlignment="1">
      <alignment horizontal="right" vertical="center" wrapText="1" indent="1"/>
    </xf>
    <xf numFmtId="174" fontId="79" fillId="0" borderId="0" xfId="237" applyNumberFormat="1" applyFont="1" applyFill="1" applyBorder="1" applyAlignment="1" applyProtection="1">
      <alignment horizontal="right" vertical="center" indent="1"/>
    </xf>
    <xf numFmtId="174" fontId="81" fillId="0" borderId="0" xfId="254" applyNumberFormat="1" applyFont="1" applyFill="1" applyBorder="1" applyAlignment="1">
      <alignment horizontal="right" vertical="center" wrapText="1" indent="1"/>
    </xf>
    <xf numFmtId="174" fontId="84" fillId="0" borderId="0" xfId="228" applyNumberFormat="1" applyFont="1" applyFill="1" applyBorder="1" applyAlignment="1">
      <alignment horizontal="center" vertical="center"/>
    </xf>
    <xf numFmtId="174" fontId="56" fillId="41" borderId="31" xfId="254" applyNumberFormat="1" applyFont="1" applyFill="1" applyBorder="1" applyAlignment="1" applyProtection="1">
      <alignment horizontal="right" vertical="center" indent="1"/>
    </xf>
    <xf numFmtId="174" fontId="56" fillId="0" borderId="44" xfId="254" applyNumberFormat="1" applyFont="1" applyFill="1" applyBorder="1" applyAlignment="1" applyProtection="1">
      <alignment horizontal="right" vertical="center" indent="1"/>
    </xf>
    <xf numFmtId="174" fontId="82" fillId="0" borderId="0" xfId="254" applyNumberFormat="1" applyFont="1" applyFill="1" applyBorder="1" applyAlignment="1" applyProtection="1">
      <alignment horizontal="right" vertical="center" indent="1"/>
    </xf>
    <xf numFmtId="174" fontId="21" fillId="0" borderId="0" xfId="228" applyNumberFormat="1" applyFont="1" applyFill="1" applyBorder="1" applyAlignment="1">
      <alignment horizontal="center" vertical="center"/>
    </xf>
    <xf numFmtId="174" fontId="83" fillId="0" borderId="0" xfId="254" applyNumberFormat="1" applyFont="1" applyFill="1" applyBorder="1" applyAlignment="1" applyProtection="1">
      <alignment horizontal="right" vertical="center" indent="1"/>
    </xf>
    <xf numFmtId="174" fontId="56" fillId="37" borderId="31" xfId="254" applyNumberFormat="1" applyFont="1" applyFill="1" applyBorder="1" applyAlignment="1" applyProtection="1">
      <alignment horizontal="right" vertical="center" indent="1"/>
      <protection locked="0"/>
    </xf>
    <xf numFmtId="174" fontId="56" fillId="0" borderId="31" xfId="254" applyNumberFormat="1" applyFont="1" applyFill="1" applyBorder="1" applyAlignment="1" applyProtection="1">
      <alignment horizontal="right" vertical="center" indent="1"/>
    </xf>
    <xf numFmtId="0" fontId="63" fillId="30" borderId="15" xfId="0" applyFont="1" applyFill="1" applyBorder="1" applyAlignment="1" applyProtection="1">
      <alignment horizontal="left" vertical="center"/>
      <protection locked="0"/>
    </xf>
    <xf numFmtId="0" fontId="19" fillId="0" borderId="35" xfId="0" applyFont="1" applyBorder="1" applyAlignment="1" applyProtection="1">
      <alignment horizontal="center" vertical="center"/>
    </xf>
    <xf numFmtId="0" fontId="19" fillId="0" borderId="36" xfId="0" applyFont="1" applyBorder="1" applyAlignment="1" applyProtection="1">
      <alignment horizontal="center" vertical="center"/>
    </xf>
    <xf numFmtId="0" fontId="19" fillId="0" borderId="37" xfId="0" applyFont="1" applyBorder="1" applyAlignment="1" applyProtection="1">
      <alignment horizontal="center" vertical="center"/>
    </xf>
    <xf numFmtId="0" fontId="19" fillId="0" borderId="35" xfId="0" applyFont="1" applyFill="1" applyBorder="1" applyAlignment="1" applyProtection="1">
      <alignment horizontal="center" vertical="center"/>
    </xf>
    <xf numFmtId="0" fontId="19" fillId="0" borderId="37" xfId="0" applyFont="1" applyFill="1" applyBorder="1" applyAlignment="1" applyProtection="1">
      <alignment horizontal="center" vertical="center"/>
    </xf>
    <xf numFmtId="0" fontId="19" fillId="0" borderId="36" xfId="0" applyFont="1" applyFill="1" applyBorder="1" applyAlignment="1" applyProtection="1">
      <alignment horizontal="center" vertical="center"/>
    </xf>
    <xf numFmtId="0" fontId="87" fillId="0" borderId="40" xfId="0" applyFont="1" applyBorder="1" applyAlignment="1" applyProtection="1">
      <alignment horizontal="center" vertical="center"/>
    </xf>
    <xf numFmtId="0" fontId="87" fillId="0" borderId="41" xfId="0" applyFont="1" applyBorder="1" applyAlignment="1" applyProtection="1">
      <alignment horizontal="center" vertical="center"/>
    </xf>
    <xf numFmtId="0" fontId="2" fillId="0" borderId="41" xfId="0" applyFon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0" fontId="53" fillId="29" borderId="0" xfId="254" applyFont="1" applyFill="1" applyBorder="1" applyAlignment="1" applyProtection="1">
      <alignment horizontal="left" vertical="center" indent="3"/>
    </xf>
    <xf numFmtId="0" fontId="77" fillId="29" borderId="0" xfId="254" applyFont="1" applyFill="1" applyBorder="1" applyAlignment="1" applyProtection="1">
      <alignment horizontal="left" vertical="center" indent="1"/>
    </xf>
    <xf numFmtId="0" fontId="53" fillId="29" borderId="0" xfId="254" applyFont="1" applyFill="1" applyBorder="1" applyAlignment="1" applyProtection="1">
      <alignment horizontal="left" vertical="center" indent="2"/>
    </xf>
    <xf numFmtId="0" fontId="56" fillId="29" borderId="47" xfId="254" applyFont="1" applyFill="1" applyBorder="1" applyAlignment="1" applyProtection="1">
      <alignment horizontal="left" vertical="center"/>
    </xf>
    <xf numFmtId="0" fontId="53" fillId="29" borderId="0" xfId="254" applyFont="1" applyFill="1" applyBorder="1" applyAlignment="1" applyProtection="1">
      <alignment horizontal="left" vertical="center" indent="1"/>
    </xf>
    <xf numFmtId="0" fontId="12" fillId="32" borderId="34" xfId="0" applyFont="1" applyFill="1" applyBorder="1" applyAlignment="1" applyProtection="1">
      <alignment horizontal="center" vertical="center" wrapText="1"/>
    </xf>
    <xf numFmtId="0" fontId="12" fillId="32" borderId="28" xfId="0" applyFont="1" applyFill="1" applyBorder="1" applyAlignment="1" applyProtection="1">
      <alignment horizontal="center" vertical="center" wrapText="1"/>
    </xf>
    <xf numFmtId="2" fontId="53" fillId="29" borderId="0" xfId="254" applyNumberFormat="1" applyFont="1" applyFill="1" applyBorder="1" applyAlignment="1">
      <alignment horizontal="left" vertical="center" indent="2"/>
    </xf>
    <xf numFmtId="0" fontId="8" fillId="32" borderId="0" xfId="0" applyFont="1" applyFill="1" applyBorder="1" applyAlignment="1">
      <alignment horizontal="left" vertical="center"/>
    </xf>
    <xf numFmtId="0" fontId="77" fillId="29" borderId="0" xfId="254" applyFont="1" applyFill="1" applyBorder="1" applyAlignment="1">
      <alignment horizontal="left" vertical="center"/>
    </xf>
    <xf numFmtId="0" fontId="12" fillId="32" borderId="30" xfId="0" applyFont="1" applyFill="1" applyBorder="1" applyAlignment="1" applyProtection="1">
      <alignment horizontal="center" vertical="center" wrapText="1"/>
    </xf>
    <xf numFmtId="0" fontId="12" fillId="32" borderId="46" xfId="0" applyFont="1" applyFill="1" applyBorder="1" applyAlignment="1" applyProtection="1">
      <alignment horizontal="center" vertical="center" wrapText="1"/>
    </xf>
    <xf numFmtId="0" fontId="12" fillId="0" borderId="0" xfId="0" applyFont="1" applyFill="1" applyBorder="1" applyAlignment="1" applyProtection="1">
      <alignment horizontal="center" vertical="center" wrapText="1"/>
    </xf>
    <xf numFmtId="0" fontId="12" fillId="32" borderId="52" xfId="0" applyFont="1" applyFill="1" applyBorder="1" applyAlignment="1" applyProtection="1">
      <alignment horizontal="center" vertical="center" wrapText="1"/>
    </xf>
    <xf numFmtId="0" fontId="12" fillId="32" borderId="0" xfId="0" applyFont="1" applyFill="1" applyBorder="1" applyAlignment="1" applyProtection="1">
      <alignment horizontal="center" vertical="center" wrapText="1"/>
    </xf>
    <xf numFmtId="0" fontId="56" fillId="29" borderId="32" xfId="254" applyFont="1" applyFill="1" applyBorder="1" applyAlignment="1" applyProtection="1">
      <alignment horizontal="left" vertical="center"/>
    </xf>
    <xf numFmtId="0" fontId="53" fillId="37" borderId="26" xfId="237" applyFont="1" applyFill="1" applyBorder="1" applyAlignment="1" applyProtection="1">
      <alignment horizontal="left" vertical="center"/>
      <protection locked="0"/>
    </xf>
    <xf numFmtId="0" fontId="53" fillId="37" borderId="0" xfId="237" applyFont="1" applyFill="1" applyBorder="1" applyAlignment="1" applyProtection="1">
      <alignment horizontal="left" vertical="center"/>
      <protection locked="0"/>
    </xf>
    <xf numFmtId="0" fontId="53" fillId="37" borderId="27" xfId="237" applyFont="1" applyFill="1" applyBorder="1" applyAlignment="1" applyProtection="1">
      <alignment horizontal="left" vertical="center"/>
      <protection locked="0"/>
    </xf>
    <xf numFmtId="0" fontId="53" fillId="37" borderId="24" xfId="237" applyFont="1" applyFill="1" applyBorder="1" applyAlignment="1" applyProtection="1">
      <alignment horizontal="left" vertical="center"/>
      <protection locked="0"/>
    </xf>
    <xf numFmtId="0" fontId="53" fillId="37" borderId="25" xfId="237" applyFont="1" applyFill="1" applyBorder="1" applyAlignment="1" applyProtection="1">
      <alignment horizontal="left" vertical="center"/>
      <protection locked="0"/>
    </xf>
    <xf numFmtId="0" fontId="53" fillId="37" borderId="23" xfId="237" applyFont="1" applyFill="1" applyBorder="1" applyAlignment="1" applyProtection="1">
      <alignment horizontal="left" vertical="center"/>
      <protection locked="0"/>
    </xf>
    <xf numFmtId="0" fontId="72" fillId="0" borderId="40" xfId="0" applyFont="1" applyBorder="1" applyAlignment="1" applyProtection="1">
      <alignment horizontal="center"/>
    </xf>
    <xf numFmtId="0" fontId="72" fillId="0" borderId="41" xfId="0" applyFont="1" applyBorder="1" applyAlignment="1" applyProtection="1">
      <alignment horizontal="center"/>
    </xf>
    <xf numFmtId="0" fontId="72" fillId="0" borderId="42" xfId="0" applyFont="1" applyBorder="1" applyAlignment="1" applyProtection="1">
      <alignment horizontal="center"/>
    </xf>
    <xf numFmtId="2" fontId="53" fillId="29" borderId="0" xfId="254" applyNumberFormat="1" applyFont="1" applyFill="1" applyBorder="1" applyAlignment="1">
      <alignment horizontal="left" vertical="center" indent="1"/>
    </xf>
    <xf numFmtId="0" fontId="53" fillId="40" borderId="0" xfId="254" applyFont="1" applyFill="1" applyBorder="1" applyAlignment="1" applyProtection="1">
      <alignment horizontal="left" vertical="center"/>
    </xf>
    <xf numFmtId="0" fontId="77" fillId="29" borderId="44" xfId="254" applyFont="1" applyFill="1" applyBorder="1" applyAlignment="1" applyProtection="1">
      <alignment horizontal="left" vertical="center" indent="1"/>
    </xf>
    <xf numFmtId="0" fontId="66" fillId="0" borderId="40" xfId="0" applyFont="1" applyBorder="1" applyAlignment="1" applyProtection="1">
      <alignment horizontal="center"/>
    </xf>
    <xf numFmtId="0" fontId="66" fillId="0" borderId="41" xfId="0" applyFont="1" applyBorder="1" applyAlignment="1" applyProtection="1">
      <alignment horizontal="center"/>
    </xf>
    <xf numFmtId="0" fontId="66" fillId="0" borderId="42" xfId="0" applyFont="1" applyBorder="1" applyAlignment="1" applyProtection="1">
      <alignment horizontal="center"/>
    </xf>
    <xf numFmtId="0" fontId="72" fillId="36" borderId="0" xfId="0" applyFont="1" applyFill="1" applyBorder="1" applyAlignment="1" applyProtection="1">
      <alignment horizontal="center"/>
    </xf>
    <xf numFmtId="0" fontId="49" fillId="30" borderId="0" xfId="0" applyFont="1" applyFill="1" applyBorder="1" applyAlignment="1" applyProtection="1">
      <alignment horizontal="center" vertical="center"/>
    </xf>
    <xf numFmtId="0" fontId="70" fillId="30" borderId="0" xfId="0" applyFont="1" applyFill="1" applyBorder="1" applyAlignment="1" applyProtection="1">
      <alignment horizontal="right" vertical="center"/>
    </xf>
    <xf numFmtId="0" fontId="50" fillId="33" borderId="51" xfId="0" applyFont="1" applyFill="1" applyBorder="1" applyAlignment="1" applyProtection="1">
      <alignment horizontal="center" vertical="center" wrapText="1"/>
    </xf>
    <xf numFmtId="0" fontId="50" fillId="33" borderId="50" xfId="0" applyFont="1" applyFill="1" applyBorder="1" applyAlignment="1" applyProtection="1">
      <alignment horizontal="center" vertical="center" wrapText="1"/>
    </xf>
    <xf numFmtId="0" fontId="50" fillId="33" borderId="0" xfId="0" applyFont="1" applyFill="1" applyBorder="1" applyAlignment="1" applyProtection="1">
      <alignment horizontal="center" vertical="center" wrapText="1"/>
    </xf>
    <xf numFmtId="0" fontId="50" fillId="33" borderId="29" xfId="0" applyFont="1" applyFill="1" applyBorder="1" applyAlignment="1" applyProtection="1">
      <alignment horizontal="center" vertical="center" wrapText="1"/>
    </xf>
  </cellXfs>
  <cellStyles count="322">
    <cellStyle name="20 % - Accent1" xfId="1"/>
    <cellStyle name="20 % - Accent2" xfId="2"/>
    <cellStyle name="20 % - Accent3" xfId="3"/>
    <cellStyle name="20 % - Accent4" xfId="4"/>
    <cellStyle name="20 % - Accent5" xfId="5"/>
    <cellStyle name="20 % - Accent6" xfId="6"/>
    <cellStyle name="20% - Accent1" xfId="7" builtinId="30" customBuiltin="1"/>
    <cellStyle name="20% - Accent1 2" xfId="8"/>
    <cellStyle name="20% - Accent1 3" xfId="9"/>
    <cellStyle name="20% - Accent1 4" xfId="10"/>
    <cellStyle name="20% - Accent1 5" xfId="11"/>
    <cellStyle name="20% - Accent2" xfId="12" builtinId="34" customBuiltin="1"/>
    <cellStyle name="20% - Accent2 2" xfId="13"/>
    <cellStyle name="20% - Accent2 3" xfId="14"/>
    <cellStyle name="20% - Accent2 4" xfId="15"/>
    <cellStyle name="20% - Accent2 5" xfId="16"/>
    <cellStyle name="20% - Accent3" xfId="17" builtinId="38" customBuiltin="1"/>
    <cellStyle name="20% - Accent3 2" xfId="18"/>
    <cellStyle name="20% - Accent3 3" xfId="19"/>
    <cellStyle name="20% - Accent3 4" xfId="20"/>
    <cellStyle name="20% - Accent3 5" xfId="21"/>
    <cellStyle name="20% - Accent4" xfId="22" builtinId="42" customBuiltin="1"/>
    <cellStyle name="20% - Accent4 2" xfId="23"/>
    <cellStyle name="20% - Accent4 3" xfId="24"/>
    <cellStyle name="20% - Accent4 4" xfId="25"/>
    <cellStyle name="20% - Accent4 5" xfId="26"/>
    <cellStyle name="20% - Accent5" xfId="27" builtinId="46" customBuiltin="1"/>
    <cellStyle name="20% - Accent5 2" xfId="28"/>
    <cellStyle name="20% - Accent5 3" xfId="29"/>
    <cellStyle name="20% - Accent5 4" xfId="30"/>
    <cellStyle name="20% - Accent5 5" xfId="31"/>
    <cellStyle name="20% - Accent6" xfId="32" builtinId="50" customBuiltin="1"/>
    <cellStyle name="20% - Accent6 2" xfId="33"/>
    <cellStyle name="20% - Accent6 3" xfId="34"/>
    <cellStyle name="20% - Accent6 4" xfId="35"/>
    <cellStyle name="20% - Accent6 5" xfId="36"/>
    <cellStyle name="40 % - Accent1" xfId="37"/>
    <cellStyle name="40 % - Accent2" xfId="38"/>
    <cellStyle name="40 % - Accent3" xfId="39"/>
    <cellStyle name="40 % - Accent4" xfId="40"/>
    <cellStyle name="40 % - Accent5" xfId="41"/>
    <cellStyle name="40 % - Accent6" xfId="42"/>
    <cellStyle name="40% - Accent1" xfId="43" builtinId="31" customBuiltin="1"/>
    <cellStyle name="40% - Accent1 2" xfId="44"/>
    <cellStyle name="40% - Accent1 3" xfId="45"/>
    <cellStyle name="40% - Accent1 4" xfId="46"/>
    <cellStyle name="40% - Accent1 5" xfId="47"/>
    <cellStyle name="40% - Accent2" xfId="48" builtinId="35" customBuiltin="1"/>
    <cellStyle name="40% - Accent2 2" xfId="49"/>
    <cellStyle name="40% - Accent2 3" xfId="50"/>
    <cellStyle name="40% - Accent2 4" xfId="51"/>
    <cellStyle name="40% - Accent2 5" xfId="52"/>
    <cellStyle name="40% - Accent3" xfId="53" builtinId="39" customBuiltin="1"/>
    <cellStyle name="40% - Accent3 2" xfId="54"/>
    <cellStyle name="40% - Accent3 3" xfId="55"/>
    <cellStyle name="40% - Accent3 4" xfId="56"/>
    <cellStyle name="40% - Accent3 5" xfId="57"/>
    <cellStyle name="40% - Accent4" xfId="58" builtinId="43" customBuiltin="1"/>
    <cellStyle name="40% - Accent4 2" xfId="59"/>
    <cellStyle name="40% - Accent4 3" xfId="60"/>
    <cellStyle name="40% - Accent4 4" xfId="61"/>
    <cellStyle name="40% - Accent4 5" xfId="62"/>
    <cellStyle name="40% - Accent5" xfId="63" builtinId="47" customBuiltin="1"/>
    <cellStyle name="40% - Accent5 2" xfId="64"/>
    <cellStyle name="40% - Accent5 3" xfId="65"/>
    <cellStyle name="40% - Accent5 4" xfId="66"/>
    <cellStyle name="40% - Accent5 5" xfId="67"/>
    <cellStyle name="40% - Accent6" xfId="68" builtinId="51" customBuiltin="1"/>
    <cellStyle name="40% - Accent6 2" xfId="69"/>
    <cellStyle name="40% - Accent6 3" xfId="70"/>
    <cellStyle name="40% - Accent6 4" xfId="71"/>
    <cellStyle name="40% - Accent6 5" xfId="72"/>
    <cellStyle name="60 % - Accent1" xfId="73"/>
    <cellStyle name="60 % - Accent2" xfId="74"/>
    <cellStyle name="60 % - Accent3" xfId="75"/>
    <cellStyle name="60 % - Accent4" xfId="76"/>
    <cellStyle name="60 % - Accent5" xfId="77"/>
    <cellStyle name="60 % - Accent6" xfId="78"/>
    <cellStyle name="60% - Accent1" xfId="79" builtinId="32" customBuiltin="1"/>
    <cellStyle name="60% - Accent1 2" xfId="80"/>
    <cellStyle name="60% - Accent1 3" xfId="81"/>
    <cellStyle name="60% - Accent1 4" xfId="82"/>
    <cellStyle name="60% - Accent1 5" xfId="83"/>
    <cellStyle name="60% - Accent2" xfId="84" builtinId="36" customBuiltin="1"/>
    <cellStyle name="60% - Accent2 2" xfId="85"/>
    <cellStyle name="60% - Accent2 3" xfId="86"/>
    <cellStyle name="60% - Accent2 4" xfId="87"/>
    <cellStyle name="60% - Accent2 5" xfId="88"/>
    <cellStyle name="60% - Accent3" xfId="89" builtinId="40" customBuiltin="1"/>
    <cellStyle name="60% - Accent3 2" xfId="90"/>
    <cellStyle name="60% - Accent3 3" xfId="91"/>
    <cellStyle name="60% - Accent3 4" xfId="92"/>
    <cellStyle name="60% - Accent3 5" xfId="93"/>
    <cellStyle name="60% - Accent4" xfId="94" builtinId="44" customBuiltin="1"/>
    <cellStyle name="60% - Accent4 2" xfId="95"/>
    <cellStyle name="60% - Accent4 3" xfId="96"/>
    <cellStyle name="60% - Accent4 4" xfId="97"/>
    <cellStyle name="60% - Accent4 5" xfId="98"/>
    <cellStyle name="60% - Accent5" xfId="99" builtinId="48" customBuiltin="1"/>
    <cellStyle name="60% - Accent5 2" xfId="100"/>
    <cellStyle name="60% - Accent5 3" xfId="101"/>
    <cellStyle name="60% - Accent5 4" xfId="102"/>
    <cellStyle name="60% - Accent5 5" xfId="103"/>
    <cellStyle name="60% - Accent6" xfId="104" builtinId="52" customBuiltin="1"/>
    <cellStyle name="60% - Accent6 2" xfId="105"/>
    <cellStyle name="60% - Accent6 3" xfId="106"/>
    <cellStyle name="60% - Accent6 4" xfId="107"/>
    <cellStyle name="60% - Accent6 5" xfId="108"/>
    <cellStyle name="Accent1" xfId="109" builtinId="29" customBuiltin="1"/>
    <cellStyle name="Accent1 2" xfId="110"/>
    <cellStyle name="Accent1 3" xfId="111"/>
    <cellStyle name="Accent1 4" xfId="112"/>
    <cellStyle name="Accent1 5" xfId="113"/>
    <cellStyle name="Accent2" xfId="114" builtinId="33" customBuiltin="1"/>
    <cellStyle name="Accent2 2" xfId="115"/>
    <cellStyle name="Accent2 3" xfId="116"/>
    <cellStyle name="Accent2 4" xfId="117"/>
    <cellStyle name="Accent2 5" xfId="118"/>
    <cellStyle name="Accent3" xfId="119" builtinId="37" customBuiltin="1"/>
    <cellStyle name="Accent3 2" xfId="120"/>
    <cellStyle name="Accent3 3" xfId="121"/>
    <cellStyle name="Accent3 4" xfId="122"/>
    <cellStyle name="Accent3 5" xfId="123"/>
    <cellStyle name="Accent4" xfId="124" builtinId="41" customBuiltin="1"/>
    <cellStyle name="Accent4 2" xfId="125"/>
    <cellStyle name="Accent4 3" xfId="126"/>
    <cellStyle name="Accent4 4" xfId="127"/>
    <cellStyle name="Accent4 5" xfId="128"/>
    <cellStyle name="Accent5" xfId="129" builtinId="45" customBuiltin="1"/>
    <cellStyle name="Accent5 2" xfId="130"/>
    <cellStyle name="Accent5 3" xfId="131"/>
    <cellStyle name="Accent5 4" xfId="132"/>
    <cellStyle name="Accent5 5" xfId="133"/>
    <cellStyle name="Accent6" xfId="134" builtinId="49" customBuiltin="1"/>
    <cellStyle name="Accent6 2" xfId="135"/>
    <cellStyle name="Accent6 3" xfId="136"/>
    <cellStyle name="Accent6 4" xfId="137"/>
    <cellStyle name="Accent6 5" xfId="138"/>
    <cellStyle name="Avertissement" xfId="139"/>
    <cellStyle name="Bad" xfId="140" builtinId="27" customBuiltin="1"/>
    <cellStyle name="Bad 2" xfId="141"/>
    <cellStyle name="Bad 3" xfId="142"/>
    <cellStyle name="Bad 4" xfId="143"/>
    <cellStyle name="Bad 5" xfId="144"/>
    <cellStyle name="Calcul" xfId="145"/>
    <cellStyle name="Calculation" xfId="146" builtinId="22" customBuiltin="1"/>
    <cellStyle name="Calculation 2" xfId="147"/>
    <cellStyle name="Calculation 3" xfId="148"/>
    <cellStyle name="Calculation 4" xfId="149"/>
    <cellStyle name="Calculation 5" xfId="150"/>
    <cellStyle name="Cellule liée" xfId="151"/>
    <cellStyle name="Check Cell" xfId="152" builtinId="23" customBuiltin="1"/>
    <cellStyle name="Check Cell 2" xfId="153"/>
    <cellStyle name="Check Cell 3" xfId="154"/>
    <cellStyle name="Check Cell 4" xfId="155"/>
    <cellStyle name="Check Cell 5" xfId="156"/>
    <cellStyle name="ColumnHeading" xfId="157"/>
    <cellStyle name="Comma 2" xfId="158"/>
    <cellStyle name="Comma 3" xfId="159"/>
    <cellStyle name="Comma 4" xfId="160"/>
    <cellStyle name="Comma 5" xfId="161"/>
    <cellStyle name="Comma 6" xfId="162"/>
    <cellStyle name="Comma 7" xfId="163"/>
    <cellStyle name="Comma 8" xfId="164"/>
    <cellStyle name="Commentaire" xfId="165"/>
    <cellStyle name="Entrée" xfId="166"/>
    <cellStyle name="Euro" xfId="167"/>
    <cellStyle name="Explanatory Text" xfId="168" builtinId="53" customBuiltin="1"/>
    <cellStyle name="Explanatory Text 2" xfId="169"/>
    <cellStyle name="Explanatory Text 3" xfId="170"/>
    <cellStyle name="Explanatory Text 4" xfId="171"/>
    <cellStyle name="Explanatory Text 5" xfId="172"/>
    <cellStyle name="Good" xfId="173" builtinId="26" customBuiltin="1"/>
    <cellStyle name="Good 2" xfId="174"/>
    <cellStyle name="Good 3" xfId="175"/>
    <cellStyle name="Good 4" xfId="176"/>
    <cellStyle name="Good 5" xfId="177"/>
    <cellStyle name="Heading 1" xfId="178" builtinId="16" customBuiltin="1"/>
    <cellStyle name="Heading 1 2" xfId="179"/>
    <cellStyle name="Heading 1 3" xfId="180"/>
    <cellStyle name="Heading 1 4" xfId="181"/>
    <cellStyle name="Heading 1 5" xfId="182"/>
    <cellStyle name="Heading 2" xfId="183" builtinId="17" customBuiltin="1"/>
    <cellStyle name="Heading 2 2" xfId="184"/>
    <cellStyle name="Heading 2 3" xfId="185"/>
    <cellStyle name="Heading 2 4" xfId="186"/>
    <cellStyle name="Heading 2 5" xfId="187"/>
    <cellStyle name="Heading 3" xfId="188" builtinId="18" customBuiltin="1"/>
    <cellStyle name="Heading 3 2" xfId="189"/>
    <cellStyle name="Heading 3 3" xfId="190"/>
    <cellStyle name="Heading 3 4" xfId="191"/>
    <cellStyle name="Heading 3 5" xfId="192"/>
    <cellStyle name="Heading 4" xfId="193" builtinId="19" customBuiltin="1"/>
    <cellStyle name="Heading 4 2" xfId="194"/>
    <cellStyle name="Heading 4 3" xfId="195"/>
    <cellStyle name="Heading 4 4" xfId="196"/>
    <cellStyle name="Heading 4 5" xfId="197"/>
    <cellStyle name="Hyperlink 2" xfId="198"/>
    <cellStyle name="Hyperlink 3" xfId="199"/>
    <cellStyle name="Input" xfId="200" builtinId="20" customBuiltin="1"/>
    <cellStyle name="Input 2" xfId="201"/>
    <cellStyle name="Input 3" xfId="202"/>
    <cellStyle name="Input 4" xfId="203"/>
    <cellStyle name="Input 5" xfId="204"/>
    <cellStyle name="Insatisfaisant" xfId="205"/>
    <cellStyle name="Lien hypertexte 3" xfId="206"/>
    <cellStyle name="Ligne détail" xfId="207"/>
    <cellStyle name="Linked Cell" xfId="208" builtinId="24" customBuiltin="1"/>
    <cellStyle name="Linked Cell 2" xfId="209"/>
    <cellStyle name="Linked Cell 3" xfId="210"/>
    <cellStyle name="Linked Cell 4" xfId="211"/>
    <cellStyle name="Linked Cell 5" xfId="212"/>
    <cellStyle name="MEV4" xfId="213"/>
    <cellStyle name="MEV5" xfId="214"/>
    <cellStyle name="Milliers 2" xfId="215"/>
    <cellStyle name="Milliers 3" xfId="216"/>
    <cellStyle name="Milliers 4" xfId="217"/>
    <cellStyle name="N?rmal_la?oux_larou?" xfId="218"/>
    <cellStyle name="Neutral" xfId="219" builtinId="28" customBuiltin="1"/>
    <cellStyle name="Neutral 2" xfId="220"/>
    <cellStyle name="Neutral 3" xfId="221"/>
    <cellStyle name="Neutral 4" xfId="222"/>
    <cellStyle name="Neutral 5" xfId="223"/>
    <cellStyle name="Neutre" xfId="224"/>
    <cellStyle name="Norma?_On Hol?" xfId="225"/>
    <cellStyle name="Normaᷬ_On Holᷤ" xfId="226"/>
    <cellStyle name="Normal" xfId="0" builtinId="0"/>
    <cellStyle name="Normal - Style1" xfId="227"/>
    <cellStyle name="Normal 10" xfId="228"/>
    <cellStyle name="Normal 11" xfId="229"/>
    <cellStyle name="Normal 12" xfId="308"/>
    <cellStyle name="Normal 13" xfId="309"/>
    <cellStyle name="Normal 14" xfId="310"/>
    <cellStyle name="Normal 15" xfId="311"/>
    <cellStyle name="Normal 16" xfId="312"/>
    <cellStyle name="Normal 17" xfId="313"/>
    <cellStyle name="Normal 18" xfId="314"/>
    <cellStyle name="Normal 19" xfId="315"/>
    <cellStyle name="Normal 2" xfId="230"/>
    <cellStyle name="Normal 2 2" xfId="231"/>
    <cellStyle name="Normal 2 3" xfId="232"/>
    <cellStyle name="Normal 2 4" xfId="233"/>
    <cellStyle name="Normal 2 5" xfId="234"/>
    <cellStyle name="Normal 2_CRD hybride yc EMB" xfId="235"/>
    <cellStyle name="Normal 20" xfId="316"/>
    <cellStyle name="Normal 21" xfId="317"/>
    <cellStyle name="Normal 22" xfId="318"/>
    <cellStyle name="Normal 23" xfId="319"/>
    <cellStyle name="Normal 24" xfId="320"/>
    <cellStyle name="Normal 25" xfId="321"/>
    <cellStyle name="Normal 3" xfId="236"/>
    <cellStyle name="Normal 3 2" xfId="237"/>
    <cellStyle name="Normal 3 3" xfId="238"/>
    <cellStyle name="Normal 3 4" xfId="239"/>
    <cellStyle name="Normal 3 5" xfId="240"/>
    <cellStyle name="Normal 3 6" xfId="241"/>
    <cellStyle name="Normal 3_0. Investissement" xfId="242"/>
    <cellStyle name="Normal 4" xfId="243"/>
    <cellStyle name="Normal 5" xfId="244"/>
    <cellStyle name="Normal 6" xfId="245"/>
    <cellStyle name="Normal 6 2" xfId="246"/>
    <cellStyle name="Normal 6 3" xfId="247"/>
    <cellStyle name="Normal 6 4" xfId="248"/>
    <cellStyle name="Normal 6 5" xfId="249"/>
    <cellStyle name="Normal 6_0. Investissement" xfId="250"/>
    <cellStyle name="Normal 7" xfId="251"/>
    <cellStyle name="Normal 8" xfId="252"/>
    <cellStyle name="Normal 9" xfId="253"/>
    <cellStyle name="Normal_Copie de CRD_CRC_domaine TER_ergo" xfId="254"/>
    <cellStyle name="Note" xfId="255" builtinId="10" customBuiltin="1"/>
    <cellStyle name="Note 2" xfId="256"/>
    <cellStyle name="Note 3" xfId="257"/>
    <cellStyle name="Note 4" xfId="258"/>
    <cellStyle name="Note 5" xfId="259"/>
    <cellStyle name="N䃯rmal_la䇲oux_larou᷸" xfId="260"/>
    <cellStyle name="Output" xfId="261" builtinId="21" customBuiltin="1"/>
    <cellStyle name="Output 2" xfId="262"/>
    <cellStyle name="Output 3" xfId="263"/>
    <cellStyle name="Output 4" xfId="264"/>
    <cellStyle name="Output 5" xfId="265"/>
    <cellStyle name="Percent 10" xfId="266"/>
    <cellStyle name="Percent 2" xfId="267"/>
    <cellStyle name="Percent 2 2" xfId="268"/>
    <cellStyle name="Percent 3" xfId="269"/>
    <cellStyle name="Percent 4" xfId="270"/>
    <cellStyle name="Percent 5" xfId="271"/>
    <cellStyle name="Percent 5 2" xfId="272"/>
    <cellStyle name="Percent 5 3" xfId="273"/>
    <cellStyle name="Percent 5 4" xfId="274"/>
    <cellStyle name="Percent 5 5" xfId="275"/>
    <cellStyle name="Percent 6" xfId="276"/>
    <cellStyle name="Percent 7" xfId="277"/>
    <cellStyle name="Percent 8" xfId="278"/>
    <cellStyle name="Percent 9" xfId="279"/>
    <cellStyle name="Pourcentage 2" xfId="280"/>
    <cellStyle name="Pourcentage 3" xfId="281"/>
    <cellStyle name="Satisfaisant" xfId="282"/>
    <cellStyle name="Sortie" xfId="283"/>
    <cellStyle name="Texte explicatif" xfId="284"/>
    <cellStyle name="Title" xfId="285" builtinId="15" customBuiltin="1"/>
    <cellStyle name="Title 2" xfId="286"/>
    <cellStyle name="Title 3" xfId="287"/>
    <cellStyle name="Title 4" xfId="288"/>
    <cellStyle name="Title 5" xfId="289"/>
    <cellStyle name="Titre" xfId="290"/>
    <cellStyle name="Titre colonnes" xfId="291"/>
    <cellStyle name="Titre lignes" xfId="292"/>
    <cellStyle name="Titre 1" xfId="293"/>
    <cellStyle name="Titre 2" xfId="294"/>
    <cellStyle name="Titre 3" xfId="295"/>
    <cellStyle name="Titre 4" xfId="296"/>
    <cellStyle name="Total" xfId="297" builtinId="25" customBuiltin="1"/>
    <cellStyle name="Total 2" xfId="298"/>
    <cellStyle name="Total 3" xfId="299"/>
    <cellStyle name="Total 4" xfId="300"/>
    <cellStyle name="Total 5" xfId="301"/>
    <cellStyle name="Vérification" xfId="302"/>
    <cellStyle name="Warning Text" xfId="303" builtinId="11" customBuiltin="1"/>
    <cellStyle name="Warning Text 2" xfId="304"/>
    <cellStyle name="Warning Text 3" xfId="305"/>
    <cellStyle name="Warning Text 4" xfId="306"/>
    <cellStyle name="Warning Text 5" xfId="30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D0C2A4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FFFF99"/>
      <color rgb="FF3F1260"/>
      <color rgb="FFFFFFCC"/>
      <color rgb="FFEAEAEA"/>
      <color rgb="FF7E408F"/>
      <color rgb="FFE3E3E3"/>
      <color rgb="FFDDDDDD"/>
      <color rgb="FFD0C2A4"/>
      <color rgb="FF6F7072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103909</xdr:colOff>
      <xdr:row>8</xdr:row>
      <xdr:rowOff>138546</xdr:rowOff>
    </xdr:from>
    <xdr:to>
      <xdr:col>24</xdr:col>
      <xdr:colOff>1114136</xdr:colOff>
      <xdr:row>9</xdr:row>
      <xdr:rowOff>327313</xdr:rowOff>
    </xdr:to>
    <xdr:grpSp>
      <xdr:nvGrpSpPr>
        <xdr:cNvPr id="9" name="Group 3"/>
        <xdr:cNvGrpSpPr>
          <a:grpSpLocks/>
        </xdr:cNvGrpSpPr>
      </xdr:nvGrpSpPr>
      <xdr:grpSpPr bwMode="auto">
        <a:xfrm>
          <a:off x="28142045" y="813955"/>
          <a:ext cx="1010227" cy="708313"/>
          <a:chOff x="1741" y="124"/>
          <a:chExt cx="105" cy="74"/>
        </a:xfrm>
      </xdr:grpSpPr>
      <xdr:pic>
        <xdr:nvPicPr>
          <xdr:cNvPr id="10" name="Picture 3" descr="doc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" name="Picture 16" descr="stylo_2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5</xdr:row>
          <xdr:rowOff>142875</xdr:rowOff>
        </xdr:from>
        <xdr:to>
          <xdr:col>4</xdr:col>
          <xdr:colOff>2381250</xdr:colOff>
          <xdr:row>7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4</xdr:col>
      <xdr:colOff>294409</xdr:colOff>
      <xdr:row>8</xdr:row>
      <xdr:rowOff>225137</xdr:rowOff>
    </xdr:from>
    <xdr:to>
      <xdr:col>5</xdr:col>
      <xdr:colOff>246784</xdr:colOff>
      <xdr:row>9</xdr:row>
      <xdr:rowOff>187035</xdr:rowOff>
    </xdr:to>
    <xdr:pic>
      <xdr:nvPicPr>
        <xdr:cNvPr id="6" name="Picture 11" descr="Logo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864" y="900546"/>
          <a:ext cx="3000375" cy="4814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10"/>
  </sheetPr>
  <dimension ref="A1:F28"/>
  <sheetViews>
    <sheetView workbookViewId="0">
      <selection activeCell="C13" sqref="C13"/>
    </sheetView>
  </sheetViews>
  <sheetFormatPr defaultRowHeight="12.75" x14ac:dyDescent="0.2"/>
  <cols>
    <col min="1" max="1" width="38.28515625" style="17" bestFit="1" customWidth="1"/>
    <col min="2" max="2" width="17.85546875" style="17" bestFit="1" customWidth="1"/>
    <col min="3" max="3" width="9.140625" style="17"/>
    <col min="4" max="4" width="27.7109375" style="17" hidden="1" customWidth="1"/>
    <col min="5" max="5" width="15.140625" style="17" bestFit="1" customWidth="1"/>
    <col min="6" max="16384" width="9.140625" style="17"/>
  </cols>
  <sheetData>
    <row r="1" spans="1:6" ht="18" x14ac:dyDescent="0.25">
      <c r="A1" s="15" t="s">
        <v>502</v>
      </c>
      <c r="B1" s="16"/>
    </row>
    <row r="2" spans="1:6" x14ac:dyDescent="0.2">
      <c r="A2" s="16"/>
      <c r="B2" s="16"/>
    </row>
    <row r="3" spans="1:6" ht="15.75" x14ac:dyDescent="0.25">
      <c r="A3" s="18" t="s">
        <v>5</v>
      </c>
      <c r="B3" s="16"/>
    </row>
    <row r="4" spans="1:6" x14ac:dyDescent="0.2">
      <c r="A4" s="19" t="s">
        <v>4</v>
      </c>
      <c r="B4" s="20" t="s">
        <v>58</v>
      </c>
    </row>
    <row r="5" spans="1:6" x14ac:dyDescent="0.2">
      <c r="A5" s="19" t="s">
        <v>7</v>
      </c>
      <c r="B5" s="21" t="str">
        <f>LEFT(Server,LEN(Server)-1)</f>
        <v>core_model</v>
      </c>
    </row>
    <row r="6" spans="1:6" x14ac:dyDescent="0.2">
      <c r="A6" s="19" t="s">
        <v>3</v>
      </c>
      <c r="B6" s="21" t="s">
        <v>59</v>
      </c>
    </row>
    <row r="7" spans="1:6" x14ac:dyDescent="0.2">
      <c r="A7" s="19" t="s">
        <v>18</v>
      </c>
      <c r="B7" s="21">
        <v>0</v>
      </c>
    </row>
    <row r="8" spans="1:6" x14ac:dyDescent="0.2">
      <c r="A8" s="19" t="s">
        <v>32</v>
      </c>
      <c r="B8" s="21">
        <v>0</v>
      </c>
    </row>
    <row r="10" spans="1:6" ht="15.75" x14ac:dyDescent="0.25">
      <c r="A10" s="18" t="s">
        <v>6</v>
      </c>
    </row>
    <row r="11" spans="1:6" ht="13.5" customHeight="1" x14ac:dyDescent="0.2">
      <c r="A11" s="19" t="s">
        <v>14</v>
      </c>
      <c r="B11" s="21" t="s">
        <v>77</v>
      </c>
    </row>
    <row r="12" spans="1:6" ht="13.5" customHeight="1" x14ac:dyDescent="0.2">
      <c r="A12" s="19" t="s">
        <v>15</v>
      </c>
      <c r="B12" s="21" t="s">
        <v>78</v>
      </c>
      <c r="C12" s="91"/>
      <c r="D12" s="91"/>
      <c r="E12" s="91"/>
      <c r="F12" s="91"/>
    </row>
    <row r="13" spans="1:6" x14ac:dyDescent="0.2">
      <c r="A13" s="19" t="s">
        <v>9</v>
      </c>
      <c r="B13" s="21" t="str">
        <f ca="1">_xll.DBR(Server&amp;"z_Admin_Param","MONTH_CORPORATE","STR_VAR1")</f>
        <v>2012.02</v>
      </c>
      <c r="C13" s="90" t="str">
        <f ca="1">LEFT(ActualMonth,4)</f>
        <v>2012</v>
      </c>
      <c r="D13" s="92"/>
    </row>
    <row r="14" spans="1:6" x14ac:dyDescent="0.2">
      <c r="A14" s="19" t="s">
        <v>76</v>
      </c>
      <c r="B14" s="21" t="str">
        <f ca="1">_xll.DBR(Server&amp;"z_Admin_Param","FORECAST_VERSION_CORPORATE","STR_VAR1")</f>
        <v>Forecast1</v>
      </c>
    </row>
    <row r="15" spans="1:6" x14ac:dyDescent="0.2">
      <c r="A15" s="19" t="s">
        <v>2</v>
      </c>
      <c r="B15" s="22" t="str">
        <f ca="1">_xll.DBR(Server&amp;"z_Client_Properties","Language",_xll.TM1USER(xServer))</f>
        <v>English</v>
      </c>
      <c r="C15" s="17" t="str">
        <f ca="1">IF(LocalLanguage="French","Français",LocalLanguage)</f>
        <v>English</v>
      </c>
    </row>
    <row r="16" spans="1:6" x14ac:dyDescent="0.2">
      <c r="A16" s="205" t="s">
        <v>26</v>
      </c>
      <c r="B16" s="52" t="s">
        <v>1</v>
      </c>
    </row>
    <row r="17" spans="1:6" x14ac:dyDescent="0.2">
      <c r="A17" s="205"/>
      <c r="B17" s="52" t="s">
        <v>72</v>
      </c>
    </row>
    <row r="18" spans="1:6" x14ac:dyDescent="0.2">
      <c r="A18" s="205"/>
      <c r="B18" s="52" t="s">
        <v>11</v>
      </c>
    </row>
    <row r="19" spans="1:6" x14ac:dyDescent="0.2">
      <c r="A19" s="205"/>
      <c r="B19" s="52" t="s">
        <v>12</v>
      </c>
    </row>
    <row r="20" spans="1:6" x14ac:dyDescent="0.2">
      <c r="A20" s="205"/>
      <c r="B20" s="52" t="s">
        <v>13</v>
      </c>
    </row>
    <row r="21" spans="1:6" x14ac:dyDescent="0.2">
      <c r="A21" s="205" t="s">
        <v>27</v>
      </c>
      <c r="B21" s="52" t="s">
        <v>23</v>
      </c>
    </row>
    <row r="22" spans="1:6" x14ac:dyDescent="0.2">
      <c r="A22" s="205"/>
      <c r="B22" s="52" t="s">
        <v>24</v>
      </c>
    </row>
    <row r="23" spans="1:6" x14ac:dyDescent="0.2">
      <c r="A23" s="205"/>
      <c r="B23" s="52" t="s">
        <v>25</v>
      </c>
    </row>
    <row r="25" spans="1:6" ht="15.75" x14ac:dyDescent="0.25">
      <c r="A25" s="18" t="s">
        <v>19</v>
      </c>
      <c r="F25" s="17" t="s">
        <v>8</v>
      </c>
    </row>
    <row r="26" spans="1:6" ht="13.5" customHeight="1" x14ac:dyDescent="0.25">
      <c r="A26" s="17" t="s">
        <v>20</v>
      </c>
      <c r="B26" s="47"/>
    </row>
    <row r="27" spans="1:6" x14ac:dyDescent="0.2">
      <c r="A27" s="17" t="s">
        <v>21</v>
      </c>
      <c r="B27" s="49"/>
    </row>
    <row r="28" spans="1:6" x14ac:dyDescent="0.2">
      <c r="A28" s="17" t="s">
        <v>22</v>
      </c>
      <c r="B28" s="50"/>
    </row>
  </sheetData>
  <sheetProtection formatColumns="0" formatRows="0"/>
  <mergeCells count="2">
    <mergeCell ref="A16:A20"/>
    <mergeCell ref="A21:A23"/>
  </mergeCells>
  <phoneticPr fontId="60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indexed="36"/>
  </sheetPr>
  <dimension ref="A1:BC517"/>
  <sheetViews>
    <sheetView showGridLines="0" tabSelected="1" topLeftCell="D6" zoomScale="55" zoomScaleNormal="55" zoomScaleSheetLayoutView="70" workbookViewId="0">
      <selection activeCell="D6" sqref="D6"/>
    </sheetView>
  </sheetViews>
  <sheetFormatPr defaultColWidth="11.42578125" defaultRowHeight="18" customHeight="1" x14ac:dyDescent="0.2"/>
  <cols>
    <col min="1" max="1" width="11.7109375" style="139" hidden="1" customWidth="1"/>
    <col min="2" max="2" width="28.28515625" style="139" hidden="1" customWidth="1"/>
    <col min="3" max="3" width="33.7109375" style="23" hidden="1" customWidth="1"/>
    <col min="4" max="4" width="3.7109375" style="23" customWidth="1"/>
    <col min="5" max="5" width="45.7109375" style="2" customWidth="1"/>
    <col min="6" max="6" width="46.85546875" style="2" customWidth="1"/>
    <col min="7" max="7" width="12.7109375" style="2" customWidth="1"/>
    <col min="8" max="8" width="7.7109375" style="1" customWidth="1"/>
    <col min="9" max="10" width="19.7109375" style="1" customWidth="1"/>
    <col min="11" max="11" width="2.7109375" style="1" customWidth="1"/>
    <col min="12" max="12" width="24.85546875" style="3" customWidth="1"/>
    <col min="13" max="13" width="2.7109375" style="3" customWidth="1"/>
    <col min="14" max="26" width="21.28515625" style="3" customWidth="1"/>
    <col min="27" max="27" width="3.7109375" style="23" customWidth="1"/>
    <col min="28" max="29" width="14.28515625" style="23" hidden="1" customWidth="1"/>
    <col min="30" max="35" width="9" style="23" hidden="1" customWidth="1"/>
    <col min="36" max="36" width="24.85546875" style="23" hidden="1" customWidth="1"/>
    <col min="37" max="37" width="13.140625" style="23" hidden="1" customWidth="1"/>
    <col min="38" max="38" width="22" style="23" hidden="1" customWidth="1"/>
    <col min="39" max="39" width="25.28515625" style="23" hidden="1" customWidth="1"/>
    <col min="40" max="40" width="14.42578125" style="23" hidden="1" customWidth="1"/>
    <col min="41" max="41" width="16" style="23" hidden="1" customWidth="1"/>
    <col min="42" max="42" width="16.7109375" style="23" hidden="1" customWidth="1"/>
    <col min="43" max="43" width="43.7109375" style="23" hidden="1" customWidth="1"/>
    <col min="44" max="44" width="10.140625" style="23" hidden="1" customWidth="1"/>
    <col min="45" max="45" width="6.5703125" style="23" hidden="1" customWidth="1"/>
    <col min="46" max="46" width="6.140625" style="23" hidden="1" customWidth="1"/>
    <col min="47" max="47" width="6.5703125" style="23" hidden="1" customWidth="1"/>
    <col min="48" max="54" width="6.5703125" style="1" hidden="1" customWidth="1"/>
    <col min="55" max="56" width="6.42578125" style="1" customWidth="1"/>
    <col min="57" max="58" width="11.42578125" style="1" customWidth="1"/>
    <col min="59" max="16384" width="11.42578125" style="1"/>
  </cols>
  <sheetData>
    <row r="1" spans="1:47" ht="22.5" hidden="1" customHeight="1" x14ac:dyDescent="0.25">
      <c r="E1" s="23"/>
      <c r="F1" s="47" t="s">
        <v>503</v>
      </c>
      <c r="G1" s="133" t="s">
        <v>0</v>
      </c>
      <c r="H1" s="130"/>
      <c r="I1" s="123" t="s">
        <v>79</v>
      </c>
      <c r="J1" s="48" t="str">
        <f ca="1">IF($F$4=$AJ$23,"BUDG_TOT","FC_2_TOT")</f>
        <v>BUDG_TOT</v>
      </c>
      <c r="K1" s="134"/>
      <c r="L1" s="48" t="str">
        <f ca="1">IF($F$4=$AJ$23,"ACT_TOT","BUDG_TOT")</f>
        <v>ACT_TOT</v>
      </c>
      <c r="M1" s="135"/>
      <c r="N1" s="48" t="str">
        <f ca="1">IF($F$4=$AJ$23,"MAN_AJUST","MAN_BUDG")</f>
        <v>MAN_AJUST</v>
      </c>
      <c r="O1" s="135"/>
      <c r="P1" s="135"/>
      <c r="Q1" s="135"/>
      <c r="R1" s="136"/>
      <c r="S1" s="250"/>
      <c r="T1" s="250"/>
      <c r="U1" s="250"/>
      <c r="V1" s="250"/>
      <c r="W1" s="250"/>
      <c r="X1" s="250"/>
      <c r="Y1" s="250"/>
      <c r="Z1" s="250"/>
    </row>
    <row r="2" spans="1:47" ht="22.5" hidden="1" customHeight="1" x14ac:dyDescent="0.25">
      <c r="E2" s="23"/>
      <c r="F2" s="55"/>
      <c r="G2" s="172" t="s">
        <v>57</v>
      </c>
      <c r="H2" s="172" t="s">
        <v>536</v>
      </c>
      <c r="I2" s="129" t="str">
        <f ca="1">_xll.DBRA(Server&amp;$G$2,$H$3,"Prior Year")</f>
        <v>2010</v>
      </c>
      <c r="J2" s="129" t="str">
        <f ca="1">IF($F$23=$AK$13,_xll.DBRA(Server&amp;$G$2,$L$2,"Prior Year"),$L$2)</f>
        <v>2012</v>
      </c>
      <c r="K2" s="134"/>
      <c r="L2" s="129" t="str">
        <f ca="1">LEFT(G3,4)</f>
        <v>2012</v>
      </c>
      <c r="M2" s="135"/>
      <c r="N2" s="135" t="str">
        <f ca="1">$L$2&amp;".01"</f>
        <v>2012.01</v>
      </c>
      <c r="O2" s="135" t="str">
        <f ca="1">$L$2&amp;".02"</f>
        <v>2012.02</v>
      </c>
      <c r="P2" s="135" t="str">
        <f ca="1">$L$2&amp;".03"</f>
        <v>2012.03</v>
      </c>
      <c r="Q2" s="135" t="str">
        <f ca="1">$L$2&amp;".04"</f>
        <v>2012.04</v>
      </c>
      <c r="R2" s="135" t="str">
        <f ca="1">$L$2&amp;".05"</f>
        <v>2012.05</v>
      </c>
      <c r="S2" s="135" t="str">
        <f ca="1">$L$2&amp;".06"</f>
        <v>2012.06</v>
      </c>
      <c r="T2" s="135" t="str">
        <f ca="1">$L$2&amp;".07"</f>
        <v>2012.07</v>
      </c>
      <c r="U2" s="135" t="str">
        <f ca="1">$L$2&amp;".08"</f>
        <v>2012.08</v>
      </c>
      <c r="V2" s="135" t="str">
        <f ca="1">$L$2&amp;".09"</f>
        <v>2012.09</v>
      </c>
      <c r="W2" s="135" t="str">
        <f ca="1">$L$2&amp;".10"</f>
        <v>2012.10</v>
      </c>
      <c r="X2" s="135" t="str">
        <f ca="1">$L$2&amp;".11"</f>
        <v>2012.11</v>
      </c>
      <c r="Y2" s="135" t="str">
        <f ca="1">$L$2&amp;".12"</f>
        <v>2012.12</v>
      </c>
      <c r="Z2" s="130" t="str">
        <f ca="1">$L$2</f>
        <v>2012</v>
      </c>
    </row>
    <row r="3" spans="1:47" ht="22.5" hidden="1" customHeight="1" x14ac:dyDescent="0.25">
      <c r="C3" s="53"/>
      <c r="E3" s="23"/>
      <c r="F3" s="170" t="s">
        <v>533</v>
      </c>
      <c r="G3" s="173" t="str">
        <f ca="1">_xll.SUBNM(Server&amp;"Period","",$F$13,"")</f>
        <v>2012</v>
      </c>
      <c r="H3" s="174" t="str">
        <f ca="1">_xll.DBRA(Server&amp;$G$2,$L$2,"Prior Year")</f>
        <v>2011</v>
      </c>
      <c r="I3" s="130"/>
      <c r="J3" s="130"/>
      <c r="K3" s="130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5"/>
    </row>
    <row r="4" spans="1:47" ht="22.5" hidden="1" customHeight="1" x14ac:dyDescent="0.25">
      <c r="C4" s="53"/>
      <c r="D4" s="24"/>
      <c r="E4" s="24"/>
      <c r="F4" s="171" t="str">
        <f ca="1">_xll.SUBNM(Server&amp;"z_translate_report","",F23,"")</f>
        <v>Actual</v>
      </c>
      <c r="G4" s="131" t="s">
        <v>146</v>
      </c>
      <c r="H4" s="132" t="str">
        <f ca="1">IF(RIGHT(G3,3)="ytd","YES","NO")</f>
        <v>NO</v>
      </c>
      <c r="I4" s="130"/>
      <c r="J4" s="168" t="s">
        <v>532</v>
      </c>
      <c r="K4" s="130"/>
      <c r="L4" s="130"/>
      <c r="M4" s="130"/>
      <c r="N4" s="169" t="s">
        <v>137</v>
      </c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</row>
    <row r="5" spans="1:47" ht="22.5" hidden="1" customHeight="1" thickBot="1" x14ac:dyDescent="0.25">
      <c r="C5" s="53"/>
      <c r="D5" s="24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</row>
    <row r="6" spans="1:47" ht="19.5" customHeight="1" x14ac:dyDescent="0.2">
      <c r="C6" s="53"/>
      <c r="D6" s="105"/>
      <c r="E6" s="24"/>
      <c r="F6" s="24"/>
      <c r="G6" s="23"/>
      <c r="H6" s="24"/>
      <c r="I6" s="23"/>
      <c r="J6" s="24"/>
      <c r="K6" s="23"/>
      <c r="L6" s="2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</row>
    <row r="7" spans="1:47" ht="18" customHeight="1" x14ac:dyDescent="0.2">
      <c r="C7" s="106"/>
      <c r="D7" s="24"/>
      <c r="E7" s="24"/>
      <c r="F7" s="24"/>
      <c r="G7" s="23"/>
      <c r="H7" s="24"/>
      <c r="I7" s="23"/>
      <c r="J7" s="24"/>
      <c r="K7" s="23"/>
      <c r="L7" s="2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M7" s="53"/>
      <c r="AN7" s="53"/>
      <c r="AO7" s="53"/>
      <c r="AP7" s="53"/>
      <c r="AQ7" s="53"/>
    </row>
    <row r="8" spans="1:47" ht="16.5" customHeight="1" thickBot="1" x14ac:dyDescent="0.25">
      <c r="C8" s="106"/>
      <c r="D8" s="24"/>
      <c r="G8" s="27"/>
      <c r="AL8" s="53"/>
      <c r="AM8" s="53"/>
      <c r="AN8" s="53"/>
      <c r="AO8" s="53"/>
      <c r="AP8" s="53"/>
      <c r="AQ8" s="53"/>
    </row>
    <row r="9" spans="1:47" ht="41.25" customHeight="1" thickBot="1" x14ac:dyDescent="0.3">
      <c r="C9" s="106"/>
      <c r="D9" s="24"/>
      <c r="E9" s="28"/>
      <c r="F9" s="28"/>
      <c r="G9" s="251" t="str">
        <f ca="1">_xll.DBRA(Server&amp;$AJ$11,AJ27,$AJ$10)</f>
        <v>Compte de résultat (saisie Réalisé et Budget)</v>
      </c>
      <c r="H9" s="251"/>
      <c r="I9" s="251"/>
      <c r="J9" s="251"/>
      <c r="K9" s="251"/>
      <c r="L9" s="251"/>
      <c r="M9" s="251"/>
      <c r="N9" s="251"/>
      <c r="O9" s="251"/>
      <c r="P9" s="251"/>
      <c r="Q9" s="251"/>
      <c r="R9" s="251"/>
      <c r="S9" s="251"/>
      <c r="T9" s="122"/>
      <c r="U9" s="122"/>
      <c r="V9" s="122"/>
      <c r="W9" s="122"/>
      <c r="X9" s="252" t="str">
        <f ca="1">_xll.DBRA(Server&amp;$AJ$11,AJ28,$AJ$10)</f>
        <v>Saisie</v>
      </c>
      <c r="Y9" s="122"/>
      <c r="Z9" s="252"/>
      <c r="AJ9" s="86" t="s">
        <v>71</v>
      </c>
      <c r="AL9" s="53"/>
      <c r="AM9" s="53"/>
      <c r="AN9" s="53"/>
      <c r="AO9" s="53"/>
      <c r="AP9" s="53"/>
      <c r="AQ9" s="53"/>
    </row>
    <row r="10" spans="1:47" ht="30" customHeight="1" thickBot="1" x14ac:dyDescent="0.3">
      <c r="C10" s="106"/>
      <c r="D10" s="24"/>
      <c r="E10" s="28"/>
      <c r="F10" s="28"/>
      <c r="G10" s="251"/>
      <c r="H10" s="251"/>
      <c r="I10" s="251"/>
      <c r="J10" s="251"/>
      <c r="K10" s="251"/>
      <c r="L10" s="251"/>
      <c r="M10" s="251"/>
      <c r="N10" s="251"/>
      <c r="O10" s="251"/>
      <c r="P10" s="251"/>
      <c r="Q10" s="251"/>
      <c r="R10" s="251"/>
      <c r="S10" s="251"/>
      <c r="T10" s="122"/>
      <c r="U10" s="122"/>
      <c r="V10" s="122"/>
      <c r="W10" s="122"/>
      <c r="X10" s="252"/>
      <c r="Y10" s="122"/>
      <c r="Z10" s="252"/>
      <c r="AJ10" s="87" t="str">
        <f>IF($F$21="Français","French","English")</f>
        <v>French</v>
      </c>
      <c r="AK10" s="85" t="s">
        <v>63</v>
      </c>
      <c r="AL10" s="53"/>
      <c r="AM10" s="53"/>
      <c r="AN10" s="53"/>
      <c r="AO10" s="53"/>
      <c r="AP10" s="53"/>
      <c r="AQ10" s="53"/>
    </row>
    <row r="11" spans="1:47" ht="18" customHeight="1" thickBot="1" x14ac:dyDescent="0.3">
      <c r="C11" s="106"/>
      <c r="D11" s="24"/>
      <c r="E11" s="1"/>
      <c r="F11" s="1"/>
      <c r="G11" s="27"/>
      <c r="H11" s="27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J11" s="65" t="s">
        <v>37</v>
      </c>
      <c r="AK11" s="75" t="s">
        <v>0</v>
      </c>
      <c r="AL11" s="53"/>
      <c r="AM11" s="53"/>
      <c r="AN11" s="53"/>
      <c r="AO11" s="53"/>
      <c r="AP11" s="53"/>
      <c r="AQ11" s="53"/>
    </row>
    <row r="12" spans="1:47" ht="23.25" customHeight="1" thickBot="1" x14ac:dyDescent="0.25">
      <c r="C12" s="106"/>
      <c r="D12" s="24"/>
      <c r="E12" s="30" t="str">
        <f ca="1">_xll.DBRA(Server&amp;$AJ$11,AJ12,$AJ$10)</f>
        <v>Sélection du contexte</v>
      </c>
      <c r="F12" s="121"/>
      <c r="H12" s="27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J12" s="66" t="s">
        <v>33</v>
      </c>
      <c r="AK12" s="64" t="str">
        <f ca="1">_xll.DBRA(Server&amp;$AJ$11,AJ23,$AJ$10)</f>
        <v>Réalisé</v>
      </c>
      <c r="AL12" s="53"/>
      <c r="AM12" s="53"/>
      <c r="AN12" s="53"/>
      <c r="AO12" s="53"/>
      <c r="AP12" s="53"/>
      <c r="AQ12" s="53"/>
    </row>
    <row r="13" spans="1:47" ht="23.25" customHeight="1" x14ac:dyDescent="0.2">
      <c r="C13" s="106"/>
      <c r="D13" s="24"/>
      <c r="E13" s="67" t="str">
        <f ca="1">_xll.DBRA(Server&amp;$AJ$11,AJ13,$AJ$10)</f>
        <v>Période</v>
      </c>
      <c r="F13" s="59" t="str">
        <f ca="1">_xll.SUBNM(Server&amp;"Period","Corp_FR",ActualYear,$AJ$10)</f>
        <v>2012</v>
      </c>
      <c r="H13" s="27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53"/>
      <c r="AB13" s="53"/>
      <c r="AC13" s="53"/>
      <c r="AD13" s="53"/>
      <c r="AE13" s="53"/>
      <c r="AF13" s="53"/>
      <c r="AG13" s="53"/>
      <c r="AH13" s="53"/>
      <c r="AI13" s="53"/>
      <c r="AJ13" s="60" t="s">
        <v>57</v>
      </c>
      <c r="AK13" s="68" t="str">
        <f ca="1">_xll.DBRA(Server&amp;$AJ$11,AJ24,$AJ$10)</f>
        <v>Budget</v>
      </c>
      <c r="AL13" s="53"/>
      <c r="AM13" s="53"/>
      <c r="AN13" s="53"/>
      <c r="AO13" s="53"/>
      <c r="AP13" s="53"/>
      <c r="AQ13" s="53"/>
      <c r="AR13" s="53"/>
      <c r="AS13" s="53"/>
      <c r="AT13" s="53"/>
      <c r="AU13" s="53"/>
    </row>
    <row r="14" spans="1:47" ht="23.25" customHeight="1" x14ac:dyDescent="0.25">
      <c r="A14" s="79"/>
      <c r="B14" s="165" t="s">
        <v>139</v>
      </c>
      <c r="C14" s="108" t="s">
        <v>141</v>
      </c>
      <c r="D14" s="24"/>
      <c r="E14" s="31" t="str">
        <f ca="1">_xll.DBRA(Server&amp;$AJ$11,$AJ$14,$AJ$10)</f>
        <v>Organisation managériale</v>
      </c>
      <c r="F14" s="59" t="str">
        <f ca="1">_xll.SUBNM(Server&amp;"Management_Organization_Corp","Corp_FR",_xll.DBR(Server&amp;"z_Client_Properties","Default_Management_Organization_Corp",_xll.TM1USER(xServer)),$F$21)</f>
        <v>VTD</v>
      </c>
      <c r="H14" s="27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53"/>
      <c r="AB14" s="53"/>
      <c r="AC14" s="53"/>
      <c r="AD14" s="53"/>
      <c r="AE14" s="53"/>
      <c r="AF14" s="53"/>
      <c r="AG14" s="53"/>
      <c r="AH14" s="53"/>
      <c r="AI14" s="53"/>
      <c r="AJ14" s="68" t="s">
        <v>34</v>
      </c>
      <c r="AK14" s="68"/>
      <c r="AL14" s="53"/>
      <c r="AM14"/>
      <c r="AN14" s="53"/>
      <c r="AO14" s="53"/>
      <c r="AP14" s="53"/>
      <c r="AQ14" s="53"/>
      <c r="AR14" s="53"/>
      <c r="AS14" s="53"/>
      <c r="AT14" s="53"/>
      <c r="AU14" s="53"/>
    </row>
    <row r="15" spans="1:47" ht="21.75" customHeight="1" thickBot="1" x14ac:dyDescent="0.3">
      <c r="A15" s="79"/>
      <c r="B15" s="165"/>
      <c r="C15" s="106"/>
      <c r="D15" s="24"/>
      <c r="E15" s="31" t="str">
        <f ca="1">_xll.DBRA(Server&amp;$AJ$11,AJ15,$AJ$10)</f>
        <v>Organisation légale</v>
      </c>
      <c r="F15" s="58" t="str">
        <f ca="1">_xll.SUBNM(Server&amp;"Legal_Organization_Corp","Corp_FR",_xll.DBR(Server&amp;"z_Client_Properties","Default_Legal_Organization_Corp",_xll.TM1USER(xServer)),$F$21)</f>
        <v>VTD</v>
      </c>
      <c r="H15" s="27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51"/>
      <c r="AJ15" s="68" t="s">
        <v>35</v>
      </c>
      <c r="AK15" s="124"/>
      <c r="AL15" s="53"/>
      <c r="AM15" s="53"/>
      <c r="AN15" s="53"/>
      <c r="AO15" s="53"/>
      <c r="AP15" s="53"/>
      <c r="AQ15" s="53"/>
    </row>
    <row r="16" spans="1:47" ht="21.75" customHeight="1" x14ac:dyDescent="0.25">
      <c r="A16" s="79"/>
      <c r="B16" s="165" t="s">
        <v>537</v>
      </c>
      <c r="C16" s="106" t="str">
        <f ca="1">_xll.SUBNM(Server&amp;"Management_Organization_Corp","",$F$14,"")</f>
        <v>VTD</v>
      </c>
      <c r="D16" s="24"/>
      <c r="E16" s="31" t="str">
        <f ca="1">_xll.DBRA(Server&amp;$AJ$11,AJ16,$AJ$10)</f>
        <v>Projets</v>
      </c>
      <c r="F16" s="58" t="str">
        <f ca="1">_xll.SUBNM(Server&amp;"Projets","Corp_FR","NA",$F$21)</f>
        <v>Non affecté</v>
      </c>
      <c r="H16" s="27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51"/>
      <c r="AJ16" s="89" t="s">
        <v>73</v>
      </c>
      <c r="AK16" s="106"/>
      <c r="AL16" s="53"/>
      <c r="AM16" s="53"/>
      <c r="AN16" s="53"/>
      <c r="AO16" s="53"/>
      <c r="AP16" s="53"/>
      <c r="AQ16" s="53"/>
    </row>
    <row r="17" spans="1:55" ht="26.25" x14ac:dyDescent="0.25">
      <c r="B17" s="165"/>
      <c r="C17" s="106"/>
      <c r="D17" s="24"/>
      <c r="E17" s="31" t="str">
        <f ca="1">_xll.DBRA(Server&amp;$AJ$11,AJ17,$AJ$10)</f>
        <v>Devise</v>
      </c>
      <c r="F17" s="58" t="str">
        <f ca="1">_xll.SUBNM(Server&amp;"Currency","Corp_FR","LCL",$AJ$10)</f>
        <v>Devise locale</v>
      </c>
      <c r="H17" s="27"/>
      <c r="I17" s="125"/>
      <c r="J17" s="126"/>
      <c r="K17" s="126"/>
      <c r="L17" s="127"/>
      <c r="M17" s="127"/>
      <c r="N17" s="127"/>
      <c r="O17" s="127"/>
      <c r="P17" s="127"/>
      <c r="Q17" s="127"/>
      <c r="R17" s="125"/>
      <c r="S17" s="125"/>
      <c r="T17" s="125"/>
      <c r="U17" s="125"/>
      <c r="V17" s="125"/>
      <c r="W17" s="125"/>
      <c r="X17" s="125"/>
      <c r="Y17" s="125"/>
      <c r="Z17" s="127"/>
      <c r="AA17" s="51"/>
      <c r="AJ17" s="68" t="s">
        <v>16</v>
      </c>
      <c r="AK17" s="106"/>
      <c r="AL17" s="53"/>
      <c r="AM17" s="76"/>
      <c r="AN17" s="53"/>
      <c r="AO17" s="53"/>
      <c r="AP17" s="53"/>
      <c r="AQ17" s="53"/>
    </row>
    <row r="18" spans="1:55" ht="18.75" x14ac:dyDescent="0.25">
      <c r="A18" s="175"/>
      <c r="B18" s="176" t="s">
        <v>538</v>
      </c>
      <c r="C18" s="106"/>
      <c r="D18" s="24"/>
      <c r="E18" s="31" t="str">
        <f ca="1">_xll.DBRA(Server&amp;$AJ$11,AJ18,$AJ$10)</f>
        <v>Gaap</v>
      </c>
      <c r="F18" s="58" t="str">
        <f ca="1">_xll.SUBNM(Server&amp;"GAAP","Corp_FR","Local_Gaap_Mgmt_tool",$AJ$10)</f>
        <v>Gaap local outils de pilotage</v>
      </c>
      <c r="H18" s="27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51"/>
      <c r="AB18" s="53"/>
      <c r="AC18" s="53"/>
      <c r="AD18" s="53"/>
      <c r="AE18" s="53"/>
      <c r="AF18" s="53"/>
      <c r="AG18" s="53"/>
      <c r="AH18" s="53"/>
      <c r="AI18" s="53"/>
      <c r="AJ18" s="68" t="s">
        <v>17</v>
      </c>
      <c r="AK18" s="106"/>
      <c r="AL18" s="53"/>
      <c r="AM18" s="76"/>
      <c r="AN18" s="53"/>
      <c r="AO18" s="53"/>
      <c r="AP18" s="53"/>
      <c r="AQ18" s="77"/>
      <c r="AR18" s="53"/>
      <c r="AS18" s="53"/>
      <c r="AT18" s="53"/>
      <c r="AU18" s="53"/>
    </row>
    <row r="19" spans="1:55" ht="26.25" customHeight="1" x14ac:dyDescent="0.25">
      <c r="C19" s="106"/>
      <c r="D19" s="24"/>
      <c r="E19" s="31" t="str">
        <f ca="1">_xll.DBRA(Server&amp;$AJ$11,AJ19,$AJ$10)</f>
        <v>Taux d'intégration</v>
      </c>
      <c r="F19" s="58" t="str">
        <f ca="1">_xll.SUBNM(Server&amp;"Integration_Rate","Corp_FR","NO_APP",$AJ$10)</f>
        <v>Données de liasse (Tx d'intégration No-APP)</v>
      </c>
      <c r="H19" s="27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51"/>
      <c r="AB19" s="53"/>
      <c r="AC19" s="53"/>
      <c r="AD19" s="53"/>
      <c r="AE19" s="53"/>
      <c r="AF19" s="53"/>
      <c r="AG19" s="53"/>
      <c r="AH19" s="53"/>
      <c r="AI19" s="53"/>
      <c r="AJ19" s="68" t="s">
        <v>38</v>
      </c>
      <c r="AK19" s="106"/>
      <c r="AL19" s="53"/>
      <c r="AM19" s="76"/>
      <c r="AN19" s="53"/>
      <c r="AO19" s="53"/>
      <c r="AP19" s="53"/>
      <c r="AQ19" s="53" t="str">
        <f ca="1">RIGHT(AN5)</f>
        <v/>
      </c>
      <c r="AR19" s="53"/>
      <c r="AS19" s="53"/>
      <c r="AT19" s="53"/>
      <c r="AU19" s="53"/>
    </row>
    <row r="20" spans="1:55" ht="26.25" customHeight="1" x14ac:dyDescent="0.25">
      <c r="C20" s="106"/>
      <c r="D20" s="24"/>
      <c r="E20" s="31" t="str">
        <f ca="1">_xll.DBRA(Server&amp;$AJ$11,AJ20,$AJ$10)</f>
        <v>Partenaire</v>
      </c>
      <c r="F20" s="59" t="str">
        <f ca="1">_xll.SUBNM(Server&amp;"Tiers","Corp_FR","SU9999",$F$21)</f>
        <v>Entité externe</v>
      </c>
      <c r="H20" s="27"/>
      <c r="I20" s="253" t="str">
        <f ca="1">_xll.DBRA(Server&amp;"Period",$I$2,$AJ$10)</f>
        <v>2010</v>
      </c>
      <c r="J20" s="255" t="str">
        <f ca="1">_xll.DBRA(Server&amp;"Period",$J$2,$AJ$10)</f>
        <v>2012</v>
      </c>
      <c r="K20" s="128"/>
      <c r="L20" s="255" t="str">
        <f ca="1">_xll.DBRA(Server&amp;"Period",$L$2,$AJ$10)</f>
        <v>2012</v>
      </c>
      <c r="M20" s="29"/>
      <c r="N20" s="255" t="str">
        <f ca="1">_xll.DBRA(Server&amp;$G$1,$L$1,$AJ$10)</f>
        <v>Réalisé</v>
      </c>
      <c r="O20" s="255"/>
      <c r="P20" s="255"/>
      <c r="Q20" s="255"/>
      <c r="R20" s="255"/>
      <c r="S20" s="255"/>
      <c r="T20" s="255"/>
      <c r="U20" s="255"/>
      <c r="V20" s="255"/>
      <c r="W20" s="255"/>
      <c r="X20" s="255"/>
      <c r="Y20" s="255"/>
      <c r="Z20" s="255"/>
      <c r="AA20" s="51"/>
      <c r="AB20" s="53"/>
      <c r="AC20" s="53"/>
      <c r="AD20" s="53"/>
      <c r="AE20" s="53"/>
      <c r="AF20" s="53"/>
      <c r="AG20" s="53"/>
      <c r="AH20" s="53"/>
      <c r="AI20" s="53"/>
      <c r="AJ20" s="68" t="s">
        <v>145</v>
      </c>
      <c r="AK20" s="106"/>
      <c r="AL20" s="53"/>
      <c r="AM20" s="76"/>
      <c r="AN20" s="53"/>
      <c r="AO20" s="53"/>
      <c r="AP20" s="53"/>
      <c r="AQ20" s="53"/>
      <c r="AR20" s="53"/>
      <c r="AS20" s="53"/>
      <c r="AT20" s="53"/>
      <c r="AU20" s="53"/>
    </row>
    <row r="21" spans="1:55" ht="24" customHeight="1" thickBot="1" x14ac:dyDescent="0.25">
      <c r="C21" s="106"/>
      <c r="D21" s="24"/>
      <c r="E21" s="31" t="str">
        <f ca="1">_xll.DBRA(Server&amp;$AJ$11,AJ21,$AJ$10)</f>
        <v>Langue</v>
      </c>
      <c r="F21" s="59" t="s">
        <v>72</v>
      </c>
      <c r="I21" s="254"/>
      <c r="J21" s="256"/>
      <c r="K21" s="128"/>
      <c r="L21" s="256"/>
      <c r="M21" s="32"/>
      <c r="N21" s="256"/>
      <c r="O21" s="256"/>
      <c r="P21" s="256"/>
      <c r="Q21" s="256"/>
      <c r="R21" s="256"/>
      <c r="S21" s="256"/>
      <c r="T21" s="256"/>
      <c r="U21" s="256"/>
      <c r="V21" s="256"/>
      <c r="W21" s="256"/>
      <c r="X21" s="256"/>
      <c r="Y21" s="256"/>
      <c r="Z21" s="256"/>
      <c r="AJ21" s="62" t="s">
        <v>39</v>
      </c>
      <c r="AK21" s="106"/>
      <c r="AL21" s="53"/>
      <c r="AM21" s="76"/>
      <c r="AN21" s="53"/>
      <c r="AO21" s="53"/>
      <c r="AP21" s="53"/>
      <c r="AQ21" s="53"/>
    </row>
    <row r="22" spans="1:55" ht="19.5" customHeight="1" thickTop="1" x14ac:dyDescent="0.2">
      <c r="C22" s="107"/>
      <c r="D22" s="24"/>
      <c r="E22" s="33"/>
      <c r="F22" s="33"/>
      <c r="H22" s="5"/>
      <c r="I22" s="229" t="str">
        <f ca="1">_xll.DBRA(Server&amp;$G$1,$I$1,$AJ$10)</f>
        <v>Réalisé</v>
      </c>
      <c r="J22" s="224" t="str">
        <f ca="1">_xll.DBRA(Server&amp;$G$1,$J$1,$AJ$10)</f>
        <v>Budget</v>
      </c>
      <c r="K22" s="231"/>
      <c r="L22" s="232" t="str">
        <f ca="1">_xll.DBRA(Server&amp;$G$1,$L$1,$AJ$10)</f>
        <v>Réalisé</v>
      </c>
      <c r="M22" s="34"/>
      <c r="N22" s="229" t="str">
        <f ca="1">_xll.DBRA(Server&amp;"Period",N$2,$AJ$10)</f>
        <v>janv-12</v>
      </c>
      <c r="O22" s="224" t="str">
        <f ca="1">_xll.DBRA(Server&amp;"Period",O$2,$AJ$10)</f>
        <v>févr-12</v>
      </c>
      <c r="P22" s="224" t="str">
        <f ca="1">_xll.DBRA(Server&amp;"Period",P$2,$AJ$10)</f>
        <v>mars-12</v>
      </c>
      <c r="Q22" s="224" t="str">
        <f ca="1">_xll.DBRA(Server&amp;"Period",Q$2,$AJ$10)</f>
        <v>avr-12</v>
      </c>
      <c r="R22" s="224" t="str">
        <f ca="1">_xll.DBRA(Server&amp;"Period",R$2,$AJ$10)</f>
        <v>mai-12</v>
      </c>
      <c r="S22" s="224" t="str">
        <f ca="1">_xll.DBRA(Server&amp;"Period",S$2,$AJ$10)</f>
        <v>juin-12</v>
      </c>
      <c r="T22" s="224" t="str">
        <f ca="1">_xll.DBRA(Server&amp;"Period",T$2,$AJ$10)</f>
        <v>juil-12</v>
      </c>
      <c r="U22" s="224" t="str">
        <f ca="1">_xll.DBRA(Server&amp;"Period",U$2,$AJ$10)</f>
        <v>août-12</v>
      </c>
      <c r="V22" s="224" t="str">
        <f ca="1">_xll.DBRA(Server&amp;"Period",V$2,$AJ$10)</f>
        <v>sept-12</v>
      </c>
      <c r="W22" s="224" t="str">
        <f ca="1">_xll.DBRA(Server&amp;"Period",W$2,$AJ$10)</f>
        <v>oct-12</v>
      </c>
      <c r="X22" s="224" t="str">
        <f ca="1">_xll.DBRA(Server&amp;"Period",X$2,$AJ$10)</f>
        <v>nov-12</v>
      </c>
      <c r="Y22" s="224" t="str">
        <f ca="1">_xll.DBRA(Server&amp;"Period",Y$2,$AJ$10)</f>
        <v>déc-12</v>
      </c>
      <c r="Z22" s="224" t="str">
        <f ca="1">_xll.DBRA(Server&amp;$AJ$11,AJ25,$AJ$10)</f>
        <v>Total</v>
      </c>
      <c r="AJ22" s="60" t="s">
        <v>0</v>
      </c>
      <c r="AK22" s="106"/>
      <c r="AL22" s="53"/>
      <c r="AM22" s="76"/>
      <c r="AN22" s="53"/>
      <c r="AO22" s="53"/>
      <c r="AP22" s="53"/>
      <c r="AQ22" s="53"/>
      <c r="AV22" s="6"/>
      <c r="AW22" s="6"/>
      <c r="AX22" s="6"/>
      <c r="AY22" s="6"/>
      <c r="AZ22" s="6"/>
      <c r="BA22" s="6"/>
      <c r="BB22" s="6"/>
      <c r="BC22" s="6"/>
    </row>
    <row r="23" spans="1:55" s="7" customFormat="1" ht="36.75" customHeight="1" thickBot="1" x14ac:dyDescent="0.25">
      <c r="A23" s="139"/>
      <c r="B23" s="139"/>
      <c r="C23" s="108"/>
      <c r="D23" s="1"/>
      <c r="E23" s="31" t="str">
        <f ca="1">_xll.DBRA(Server&amp;$AJ$11,$AJ$22,$AJ$10)</f>
        <v>Phase</v>
      </c>
      <c r="F23" s="59" t="s">
        <v>144</v>
      </c>
      <c r="H23" s="35"/>
      <c r="I23" s="230"/>
      <c r="J23" s="225"/>
      <c r="K23" s="231"/>
      <c r="L23" s="233"/>
      <c r="M23" s="36"/>
      <c r="N23" s="230"/>
      <c r="O23" s="225"/>
      <c r="P23" s="225"/>
      <c r="Q23" s="225"/>
      <c r="R23" s="225"/>
      <c r="S23" s="225"/>
      <c r="T23" s="225"/>
      <c r="U23" s="225"/>
      <c r="V23" s="225"/>
      <c r="W23" s="225"/>
      <c r="X23" s="225"/>
      <c r="Y23" s="225"/>
      <c r="Z23" s="225"/>
      <c r="AA23" s="23"/>
      <c r="AB23" s="23"/>
      <c r="AC23" s="23"/>
      <c r="AD23" s="23"/>
      <c r="AE23" s="23"/>
      <c r="AF23" s="23"/>
      <c r="AG23" s="23"/>
      <c r="AH23" s="23"/>
      <c r="AI23" s="23"/>
      <c r="AJ23" s="7" t="s">
        <v>143</v>
      </c>
      <c r="AK23" s="78"/>
      <c r="AL23" s="53"/>
      <c r="AM23" s="79"/>
      <c r="AQ23" s="53"/>
      <c r="AR23" s="23"/>
      <c r="AS23" s="23"/>
      <c r="AT23" s="23"/>
      <c r="AU23" s="23"/>
    </row>
    <row r="24" spans="1:55" s="7" customFormat="1" ht="17.25" customHeight="1" thickBot="1" x14ac:dyDescent="0.3">
      <c r="A24" s="140" t="s">
        <v>470</v>
      </c>
      <c r="B24" s="140" t="s">
        <v>487</v>
      </c>
      <c r="C24" s="109" t="s">
        <v>86</v>
      </c>
      <c r="D24" s="1"/>
      <c r="G24" s="37"/>
      <c r="H24" s="38"/>
      <c r="I24" s="39"/>
      <c r="J24" s="39"/>
      <c r="K24" s="39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23"/>
      <c r="AB24" s="23"/>
      <c r="AC24" s="23"/>
      <c r="AD24" s="23"/>
      <c r="AE24" s="23"/>
      <c r="AF24" s="23"/>
      <c r="AG24" s="23"/>
      <c r="AH24" s="23"/>
      <c r="AI24" s="23"/>
      <c r="AJ24" s="61" t="s">
        <v>60</v>
      </c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</row>
    <row r="25" spans="1:55" s="9" customFormat="1" ht="24.95" customHeight="1" x14ac:dyDescent="0.35">
      <c r="A25" s="157">
        <f ca="1">IF($AN$35="YES",1,IF(_xll.ELCOMPN(Server&amp;$C$24,C25)&lt;&gt;0,1,IF(OR(B25=$AT$35,B25="ALL"),1,0)))</f>
        <v>1</v>
      </c>
      <c r="B25" s="139"/>
      <c r="C25" s="110" t="s">
        <v>83</v>
      </c>
      <c r="D25" s="1"/>
      <c r="E25" s="227" t="str">
        <f ca="1">_xll.DBRA(Server&amp;$C$24,$C25,$F$21)</f>
        <v>PRODUITS OPERATIONNELS</v>
      </c>
      <c r="F25" s="227"/>
      <c r="G25" s="227"/>
      <c r="H25" s="40"/>
      <c r="I25" s="177">
        <f ca="1">_xll.DBRW(Server&amp;Cube1,$F$17,$F$18,$F$19,$F$16,$C$14,$F$15,$F$14,$F$20,I$2,I$1,$C25)</f>
        <v>0</v>
      </c>
      <c r="J25" s="177">
        <f ca="1">_xll.DBRW(Server&amp;Cube1,$F$17,$F$18,$F$19,$F$16,$C$14,$F$15,$F$14,$F$20,J$2,J$1,$C25)</f>
        <v>0.12</v>
      </c>
      <c r="K25" s="178"/>
      <c r="L25" s="177">
        <f ca="1">_xll.DBRW(Server&amp;Cube1,$F$17,$F$18,$F$19,$F$16,$C$14,$F$15,$F$14,$F$20,L$2,L$1,$C25)</f>
        <v>0.12</v>
      </c>
      <c r="M25" s="179"/>
      <c r="N25" s="177">
        <f ca="1">_xll.DBRW(Server&amp;Cube1,$F$17,$F$18,$F$19,$F$16,$C$14,$F$15,$F$14,$F$20,N$2,$N$1,$C25)</f>
        <v>0.01</v>
      </c>
      <c r="O25" s="177">
        <f ca="1">_xll.DBRW(Server&amp;Cube1,$F$17,$F$18,$F$19,$F$16,$C$14,$F$15,$F$14,$F$20,O$2,$N$1,$C25)</f>
        <v>0.01</v>
      </c>
      <c r="P25" s="177">
        <f ca="1">_xll.DBRW(Server&amp;Cube1,$F$17,$F$18,$F$19,$F$16,$C$14,$F$15,$F$14,$F$20,P$2,$N$1,$C25)</f>
        <v>0.01</v>
      </c>
      <c r="Q25" s="177">
        <f ca="1">_xll.DBRW(Server&amp;Cube1,$F$17,$F$18,$F$19,$F$16,$C$14,$F$15,$F$14,$F$20,Q$2,$N$1,$C25)</f>
        <v>0.01</v>
      </c>
      <c r="R25" s="177">
        <f ca="1">_xll.DBRW(Server&amp;Cube1,$F$17,$F$18,$F$19,$F$16,$C$14,$F$15,$F$14,$F$20,R$2,$N$1,$C25)</f>
        <v>0.01</v>
      </c>
      <c r="S25" s="177">
        <f ca="1">_xll.DBRW(Server&amp;Cube1,$F$17,$F$18,$F$19,$F$16,$C$14,$F$15,$F$14,$F$20,S$2,$N$1,$C25)</f>
        <v>0.01</v>
      </c>
      <c r="T25" s="177">
        <f ca="1">_xll.DBRW(Server&amp;Cube1,$F$17,$F$18,$F$19,$F$16,$C$14,$F$15,$F$14,$F$20,T$2,$N$1,$C25)</f>
        <v>0.01</v>
      </c>
      <c r="U25" s="177">
        <f ca="1">_xll.DBRW(Server&amp;Cube1,$F$17,$F$18,$F$19,$F$16,$C$14,$F$15,$F$14,$F$20,U$2,$N$1,$C25)</f>
        <v>0.01</v>
      </c>
      <c r="V25" s="177">
        <f ca="1">_xll.DBRW(Server&amp;Cube1,$F$17,$F$18,$F$19,$F$16,$C$14,$F$15,$F$14,$F$20,V$2,$N$1,$C25)</f>
        <v>0.01</v>
      </c>
      <c r="W25" s="177">
        <f ca="1">_xll.DBRW(Server&amp;Cube1,$F$17,$F$18,$F$19,$F$16,$C$14,$F$15,$F$14,$F$20,W$2,$N$1,$C25)</f>
        <v>0.01</v>
      </c>
      <c r="X25" s="177">
        <f ca="1">_xll.DBRW(Server&amp;Cube1,$F$17,$F$18,$F$19,$F$16,$C$14,$F$15,$F$14,$F$20,X$2,$N$1,$C25)</f>
        <v>0.01</v>
      </c>
      <c r="Y25" s="177">
        <f ca="1">_xll.DBRW(Server&amp;Cube1,$F$17,$F$18,$F$19,$F$16,$C$14,$F$15,$F$14,$F$20,Y$2,$N$1,$C25)</f>
        <v>0.01</v>
      </c>
      <c r="Z25" s="177">
        <f ca="1">_xll.DBRW(Server&amp;Cube1,$F$17,$F$18,$F$19,$F$16,$C$14,$F$15,$F$14,$F$20,Z$2,$N$1,$C25)</f>
        <v>0.12</v>
      </c>
      <c r="AA25" s="23"/>
      <c r="AB25" s="23"/>
      <c r="AC25" s="23"/>
      <c r="AD25" s="23"/>
      <c r="AE25" s="23"/>
      <c r="AF25" s="23"/>
      <c r="AG25" s="23"/>
      <c r="AH25" s="23"/>
      <c r="AI25" s="23"/>
      <c r="AJ25" s="70" t="s">
        <v>147</v>
      </c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</row>
    <row r="26" spans="1:55" s="9" customFormat="1" ht="24.75" customHeight="1" thickBot="1" x14ac:dyDescent="0.4">
      <c r="A26" s="157">
        <f ca="1">IF($AN$35="YES",1,IF(_xll.ELCOMPN(Server&amp;$C$24,C26)&lt;&gt;0,1,IF(OR(B26=$AT$35,B26="ALL"),1,0)))</f>
        <v>1</v>
      </c>
      <c r="B26" s="139"/>
      <c r="C26" s="110" t="s">
        <v>40</v>
      </c>
      <c r="D26" s="1"/>
      <c r="E26" s="228" t="str">
        <f ca="1">_xll.DBRA(Server&amp;$C$24,$C26,$F$21)</f>
        <v>PRODUIT DES ACTIVITES ORDINAIRES</v>
      </c>
      <c r="F26" s="228"/>
      <c r="G26" s="228"/>
      <c r="H26" s="40"/>
      <c r="I26" s="180">
        <f ca="1">_xll.DBRW(Server&amp;Cube1,$F$17,$F$18,$F$19,$F$16,$C$14,$F$15,$F$14,$F$20,I$2,I$1,$C26)</f>
        <v>0</v>
      </c>
      <c r="J26" s="180">
        <f ca="1">_xll.DBRW(Server&amp;Cube1,$F$17,$F$18,$F$19,$F$16,$C$14,$F$15,$F$14,$F$20,J$2,J$1,$C26)</f>
        <v>0.12</v>
      </c>
      <c r="K26" s="180"/>
      <c r="L26" s="180">
        <f ca="1">_xll.DBRW(Server&amp;Cube1,$F$17,$F$18,$F$19,$F$16,$C$14,$F$15,$F$14,$F$20,L$2,L$1,$C26)</f>
        <v>0.12</v>
      </c>
      <c r="M26" s="181"/>
      <c r="N26" s="180">
        <f ca="1">_xll.DBRW(Server&amp;Cube1,$F$17,$F$18,$F$19,$F$16,$C$14,$F$15,$F$14,$F$20,N$2,$N$1,$C26)</f>
        <v>0.01</v>
      </c>
      <c r="O26" s="180">
        <f ca="1">_xll.DBRW(Server&amp;Cube1,$F$17,$F$18,$F$19,$F$16,$C$14,$F$15,$F$14,$F$20,O$2,$N$1,$C26)</f>
        <v>0.01</v>
      </c>
      <c r="P26" s="180">
        <f ca="1">_xll.DBRW(Server&amp;Cube1,$F$17,$F$18,$F$19,$F$16,$C$14,$F$15,$F$14,$F$20,P$2,$N$1,$C26)</f>
        <v>0.01</v>
      </c>
      <c r="Q26" s="180">
        <f ca="1">_xll.DBRW(Server&amp;Cube1,$F$17,$F$18,$F$19,$F$16,$C$14,$F$15,$F$14,$F$20,Q$2,$N$1,$C26)</f>
        <v>0.01</v>
      </c>
      <c r="R26" s="180">
        <f ca="1">_xll.DBRW(Server&amp;Cube1,$F$17,$F$18,$F$19,$F$16,$C$14,$F$15,$F$14,$F$20,R$2,$N$1,$C26)</f>
        <v>0.01</v>
      </c>
      <c r="S26" s="180">
        <f ca="1">_xll.DBRW(Server&amp;Cube1,$F$17,$F$18,$F$19,$F$16,$C$14,$F$15,$F$14,$F$20,S$2,$N$1,$C26)</f>
        <v>0.01</v>
      </c>
      <c r="T26" s="180">
        <f ca="1">_xll.DBRW(Server&amp;Cube1,$F$17,$F$18,$F$19,$F$16,$C$14,$F$15,$F$14,$F$20,T$2,$N$1,$C26)</f>
        <v>0.01</v>
      </c>
      <c r="U26" s="180">
        <f ca="1">_xll.DBRW(Server&amp;Cube1,$F$17,$F$18,$F$19,$F$16,$C$14,$F$15,$F$14,$F$20,U$2,$N$1,$C26)</f>
        <v>0.01</v>
      </c>
      <c r="V26" s="180">
        <f ca="1">_xll.DBRW(Server&amp;Cube1,$F$17,$F$18,$F$19,$F$16,$C$14,$F$15,$F$14,$F$20,V$2,$N$1,$C26)</f>
        <v>0.01</v>
      </c>
      <c r="W26" s="180">
        <f ca="1">_xll.DBRW(Server&amp;Cube1,$F$17,$F$18,$F$19,$F$16,$C$14,$F$15,$F$14,$F$20,W$2,$N$1,$C26)</f>
        <v>0.01</v>
      </c>
      <c r="X26" s="180">
        <f ca="1">_xll.DBRW(Server&amp;Cube1,$F$17,$F$18,$F$19,$F$16,$C$14,$F$15,$F$14,$F$20,X$2,$N$1,$C26)</f>
        <v>0.01</v>
      </c>
      <c r="Y26" s="180">
        <f ca="1">_xll.DBRW(Server&amp;Cube1,$F$17,$F$18,$F$19,$F$16,$C$14,$F$15,$F$14,$F$20,Y$2,$N$1,$C26)</f>
        <v>0.01</v>
      </c>
      <c r="Z26" s="180">
        <f ca="1">_xll.DBRW(Server&amp;Cube1,$F$17,$F$18,$F$19,$F$16,$C$14,$F$15,$F$14,$F$20,Z$2,$N$1,$C26)</f>
        <v>0.12</v>
      </c>
      <c r="AA26" s="23"/>
      <c r="AB26" s="23"/>
      <c r="AC26" s="23"/>
      <c r="AD26" s="23"/>
      <c r="AE26" s="23"/>
      <c r="AF26" s="23"/>
      <c r="AG26" s="23"/>
      <c r="AH26" s="23"/>
      <c r="AI26" s="23"/>
      <c r="AJ26" s="63" t="s">
        <v>36</v>
      </c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</row>
    <row r="27" spans="1:55" s="9" customFormat="1" ht="24.95" customHeight="1" thickBot="1" x14ac:dyDescent="0.4">
      <c r="A27" s="157">
        <f ca="1">IF($AN$35="YES",1,IF(_xll.ELCOMPN(Server&amp;$C$24,C27)&lt;&gt;0,1,IF(OR(B27=$AT$35,B27="ALL"),1,0)))</f>
        <v>1</v>
      </c>
      <c r="B27" s="139"/>
      <c r="C27" s="111" t="s">
        <v>84</v>
      </c>
      <c r="D27" s="1"/>
      <c r="E27" s="244" t="str">
        <f ca="1">_xll.DBRA(Server&amp;$C$24,$C27,$F$21)</f>
        <v>Facturation PMAD</v>
      </c>
      <c r="F27" s="244"/>
      <c r="G27" s="244"/>
      <c r="H27" s="40"/>
      <c r="I27" s="182">
        <f ca="1">_xll.DBRW(Server&amp;Cube1,$F$17,$F$18,$F$19,$F$16,$C$14,$F$15,$F$14,$F$20,I$2,I$1,$C27)</f>
        <v>0</v>
      </c>
      <c r="J27" s="182">
        <f ca="1">_xll.DBRW(Server&amp;Cube1,$F$17,$F$18,$F$19,$F$16,$C$14,$F$15,$F$14,$F$20,J$2,J$1,$C27)</f>
        <v>0.12</v>
      </c>
      <c r="K27" s="183"/>
      <c r="L27" s="184">
        <f ca="1">_xll.DBRW(Server&amp;Cube1,$F$17,$F$18,$F$19,$F$16,$C$14,$F$15,$F$14,$F$20,L$2,L$1,$C27)</f>
        <v>0.12</v>
      </c>
      <c r="M27" s="184"/>
      <c r="N27" s="184">
        <f ca="1">_xll.DBRW(Server&amp;Cube1,$F$17,$F$18,$F$19,$F$16,$C$14,$F$15,$F$14,$F$20,N$2,$N$1,$C27)</f>
        <v>0.01</v>
      </c>
      <c r="O27" s="184">
        <f ca="1">_xll.DBRW(Server&amp;Cube1,$F$17,$F$18,$F$19,$F$16,$C$14,$F$15,$F$14,$F$20,O$2,$N$1,$C27)</f>
        <v>0.01</v>
      </c>
      <c r="P27" s="184">
        <f ca="1">_xll.DBRW(Server&amp;Cube1,$F$17,$F$18,$F$19,$F$16,$C$14,$F$15,$F$14,$F$20,P$2,$N$1,$C27)</f>
        <v>0.01</v>
      </c>
      <c r="Q27" s="184">
        <f ca="1">_xll.DBRW(Server&amp;Cube1,$F$17,$F$18,$F$19,$F$16,$C$14,$F$15,$F$14,$F$20,Q$2,$N$1,$C27)</f>
        <v>0.01</v>
      </c>
      <c r="R27" s="184">
        <f ca="1">_xll.DBRW(Server&amp;Cube1,$F$17,$F$18,$F$19,$F$16,$C$14,$F$15,$F$14,$F$20,R$2,$N$1,$C27)</f>
        <v>0.01</v>
      </c>
      <c r="S27" s="184">
        <f ca="1">_xll.DBRW(Server&amp;Cube1,$F$17,$F$18,$F$19,$F$16,$C$14,$F$15,$F$14,$F$20,S$2,$N$1,$C27)</f>
        <v>0.01</v>
      </c>
      <c r="T27" s="184">
        <f ca="1">_xll.DBRW(Server&amp;Cube1,$F$17,$F$18,$F$19,$F$16,$C$14,$F$15,$F$14,$F$20,T$2,$N$1,$C27)</f>
        <v>0.01</v>
      </c>
      <c r="U27" s="184">
        <f ca="1">_xll.DBRW(Server&amp;Cube1,$F$17,$F$18,$F$19,$F$16,$C$14,$F$15,$F$14,$F$20,U$2,$N$1,$C27)</f>
        <v>0.01</v>
      </c>
      <c r="V27" s="184">
        <f ca="1">_xll.DBRW(Server&amp;Cube1,$F$17,$F$18,$F$19,$F$16,$C$14,$F$15,$F$14,$F$20,V$2,$N$1,$C27)</f>
        <v>0.01</v>
      </c>
      <c r="W27" s="184">
        <f ca="1">_xll.DBRW(Server&amp;Cube1,$F$17,$F$18,$F$19,$F$16,$C$14,$F$15,$F$14,$F$20,W$2,$N$1,$C27)</f>
        <v>0.01</v>
      </c>
      <c r="X27" s="184">
        <f ca="1">_xll.DBRW(Server&amp;Cube1,$F$17,$F$18,$F$19,$F$16,$C$14,$F$15,$F$14,$F$20,X$2,$N$1,$C27)</f>
        <v>0.01</v>
      </c>
      <c r="Y27" s="184">
        <f ca="1">_xll.DBRW(Server&amp;Cube1,$F$17,$F$18,$F$19,$F$16,$C$14,$F$15,$F$14,$F$20,Y$2,$N$1,$C27)</f>
        <v>0.01</v>
      </c>
      <c r="Z27" s="184">
        <f ca="1">_xll.DBRW(Server&amp;Cube1,$F$17,$F$18,$F$19,$F$16,$C$14,$F$15,$F$14,$F$20,Z$2,$N$1,$C27)</f>
        <v>0.12</v>
      </c>
      <c r="AA27" s="23"/>
      <c r="AB27" s="23"/>
      <c r="AC27" s="23"/>
      <c r="AD27" s="23"/>
      <c r="AE27" s="23"/>
      <c r="AF27" s="23"/>
      <c r="AG27" s="23"/>
      <c r="AH27" s="23"/>
      <c r="AI27" s="23"/>
      <c r="AJ27" s="60" t="s">
        <v>501</v>
      </c>
      <c r="AK27" s="23"/>
      <c r="AL27" s="241" t="s">
        <v>64</v>
      </c>
      <c r="AM27" s="242"/>
      <c r="AN27" s="243"/>
      <c r="AO27" s="23"/>
      <c r="AP27" s="23"/>
      <c r="AQ27" s="23"/>
      <c r="AR27" s="23"/>
      <c r="AS27" s="23"/>
      <c r="AT27" s="23"/>
      <c r="AU27" s="23"/>
    </row>
    <row r="28" spans="1:55" s="9" customFormat="1" ht="24.95" customHeight="1" thickBot="1" x14ac:dyDescent="0.4">
      <c r="A28" s="157">
        <f ca="1">IF($AN$35="YES",1,IF(_xll.ELCOMPN(Server&amp;$C$24,C28)&lt;&gt;0,1,IF(OR(B28=$AT$35,B28="ALL"),1,0)))</f>
        <v>1</v>
      </c>
      <c r="B28" s="157" t="s">
        <v>488</v>
      </c>
      <c r="C28" s="137" t="s">
        <v>148</v>
      </c>
      <c r="D28" s="1"/>
      <c r="E28" s="226" t="str">
        <f ca="1">_xll.DBRA(Server&amp;$C$24,$C28,$F$21)</f>
        <v>Facturation Personnel mis à dispo. (Revenus)</v>
      </c>
      <c r="F28" s="226"/>
      <c r="G28" s="226"/>
      <c r="H28" s="40"/>
      <c r="I28" s="182">
        <f ca="1">_xll.DBRW(Server&amp;Cube1,$F$17,$F$18,$F$19,$F$16,$C$14,$F$15,$F$14,$F$20,I$2,I$1,$C28)</f>
        <v>0</v>
      </c>
      <c r="J28" s="182">
        <f ca="1">_xll.DBRW(Server&amp;Cube1,$F$17,$F$18,$F$19,$F$16,$C$14,$F$15,$F$14,$F$20,J$2,J$1,$C28)</f>
        <v>0.12</v>
      </c>
      <c r="K28" s="183"/>
      <c r="L28" s="185">
        <f ca="1">_xll.DBRW(Server&amp;Cube1,$F$17,$F$18,$F$19,$F$16,$C$14,$F$15,$F$14,$F$20,L$2,L$1,$C28)</f>
        <v>0</v>
      </c>
      <c r="M28" s="184"/>
      <c r="N28" s="185">
        <f ca="1">_xll.DBRW(Server&amp;Cube1,$F$17,$F$18,$F$19,$F$16,$C$14,$F$15,$F$14,$F$20,N$2,$N$1,$C28)</f>
        <v>0</v>
      </c>
      <c r="O28" s="185">
        <f ca="1">_xll.DBRW(Server&amp;Cube1,$F$17,$F$18,$F$19,$F$16,$C$14,$F$15,$F$14,$F$20,O$2,$N$1,$C28)</f>
        <v>0</v>
      </c>
      <c r="P28" s="185">
        <f ca="1">_xll.DBRW(Server&amp;Cube1,$F$17,$F$18,$F$19,$F$16,$C$14,$F$15,$F$14,$F$20,P$2,$N$1,$C28)</f>
        <v>0</v>
      </c>
      <c r="Q28" s="185">
        <f ca="1">_xll.DBRW(Server&amp;Cube1,$F$17,$F$18,$F$19,$F$16,$C$14,$F$15,$F$14,$F$20,Q$2,$N$1,$C28)</f>
        <v>0</v>
      </c>
      <c r="R28" s="185">
        <f ca="1">_xll.DBRW(Server&amp;Cube1,$F$17,$F$18,$F$19,$F$16,$C$14,$F$15,$F$14,$F$20,R$2,$N$1,$C28)</f>
        <v>0</v>
      </c>
      <c r="S28" s="185">
        <f ca="1">_xll.DBRW(Server&amp;Cube1,$F$17,$F$18,$F$19,$F$16,$C$14,$F$15,$F$14,$F$20,S$2,$N$1,$C28)</f>
        <v>0</v>
      </c>
      <c r="T28" s="185">
        <f ca="1">_xll.DBRW(Server&amp;Cube1,$F$17,$F$18,$F$19,$F$16,$C$14,$F$15,$F$14,$F$20,T$2,$N$1,$C28)</f>
        <v>0</v>
      </c>
      <c r="U28" s="185">
        <f ca="1">_xll.DBRW(Server&amp;Cube1,$F$17,$F$18,$F$19,$F$16,$C$14,$F$15,$F$14,$F$20,U$2,$N$1,$C28)</f>
        <v>0</v>
      </c>
      <c r="V28" s="185">
        <f ca="1">_xll.DBRW(Server&amp;Cube1,$F$17,$F$18,$F$19,$F$16,$C$14,$F$15,$F$14,$F$20,V$2,$N$1,$C28)</f>
        <v>0</v>
      </c>
      <c r="W28" s="185">
        <f ca="1">_xll.DBRW(Server&amp;Cube1,$F$17,$F$18,$F$19,$F$16,$C$14,$F$15,$F$14,$F$20,W$2,$N$1,$C28)</f>
        <v>0</v>
      </c>
      <c r="X28" s="185">
        <f ca="1">_xll.DBRW(Server&amp;Cube1,$F$17,$F$18,$F$19,$F$16,$C$14,$F$15,$F$14,$F$20,X$2,$N$1,$C28)</f>
        <v>0</v>
      </c>
      <c r="Y28" s="185">
        <f ca="1">_xll.DBRW(Server&amp;Cube1,$F$17,$F$18,$F$19,$F$16,$C$14,$F$15,$F$14,$F$20,Y$2,$N$1,$C28)</f>
        <v>0</v>
      </c>
      <c r="Z28" s="185">
        <f ca="1">_xll.DBRW(Server&amp;Cube1,$F$17,$F$18,$F$19,$F$16,$C$14,$F$15,$F$14,$F$20,Z$2,$N$1,$C28)</f>
        <v>0</v>
      </c>
      <c r="AA28" s="53"/>
      <c r="AB28" s="53"/>
      <c r="AC28" s="53"/>
      <c r="AD28" s="53"/>
      <c r="AE28" s="53"/>
      <c r="AF28" s="53"/>
      <c r="AG28" s="53"/>
      <c r="AH28" s="53"/>
      <c r="AI28" s="53"/>
      <c r="AJ28" s="63" t="s">
        <v>142</v>
      </c>
      <c r="AK28" s="53"/>
      <c r="AL28" s="80" t="s">
        <v>65</v>
      </c>
      <c r="AM28" s="80" t="s">
        <v>66</v>
      </c>
      <c r="AN28" s="80" t="s">
        <v>67</v>
      </c>
      <c r="AO28" s="53"/>
      <c r="AP28" s="53"/>
      <c r="AQ28" s="53"/>
      <c r="AR28" s="53"/>
      <c r="AS28" s="53"/>
      <c r="AT28" s="53"/>
      <c r="AU28" s="53"/>
    </row>
    <row r="29" spans="1:55" s="9" customFormat="1" ht="24.95" customHeight="1" x14ac:dyDescent="0.35">
      <c r="A29" s="157">
        <f ca="1">IF($AN$35="YES",1,IF(_xll.ELCOMPN(Server&amp;$C$24,C29)&lt;&gt;0,1,IF(OR(B29=$AT$35,B29="ALL"),1,0)))</f>
        <v>1</v>
      </c>
      <c r="B29" s="157" t="s">
        <v>488</v>
      </c>
      <c r="C29" s="137" t="s">
        <v>149</v>
      </c>
      <c r="D29" s="1"/>
      <c r="E29" s="226" t="str">
        <f ca="1">_xll.DBRA(Server&amp;$C$24,$C29,$F$21)</f>
        <v>Facturation PMAD (Revenus)</v>
      </c>
      <c r="F29" s="226"/>
      <c r="G29" s="226"/>
      <c r="H29" s="40"/>
      <c r="I29" s="182">
        <f ca="1">_xll.DBRW(Server&amp;Cube1,$F$17,$F$18,$F$19,$F$16,$C$14,$F$15,$F$14,$F$20,I$2,I$1,$C29)</f>
        <v>0</v>
      </c>
      <c r="J29" s="182">
        <f ca="1">_xll.DBRW(Server&amp;Cube1,$F$17,$F$18,$F$19,$F$16,$C$14,$F$15,$F$14,$F$20,J$2,J$1,$C29)</f>
        <v>0</v>
      </c>
      <c r="K29" s="183"/>
      <c r="L29" s="185">
        <f ca="1">_xll.DBRW(Server&amp;Cube1,$F$17,$F$18,$F$19,$F$16,$C$14,$F$15,$F$14,$F$20,L$2,L$1,$C29)</f>
        <v>0.12</v>
      </c>
      <c r="M29" s="184"/>
      <c r="N29" s="185">
        <f ca="1">_xll.DBRW(Server&amp;Cube1,$F$17,$F$18,$F$19,$F$16,$C$14,$F$15,$F$14,$F$20,N$2,$N$1,$C29)</f>
        <v>0.01</v>
      </c>
      <c r="O29" s="185">
        <f ca="1">_xll.DBRW(Server&amp;Cube1,$F$17,$F$18,$F$19,$F$16,$C$14,$F$15,$F$14,$F$20,O$2,$N$1,$C29)</f>
        <v>0.01</v>
      </c>
      <c r="P29" s="185">
        <f ca="1">_xll.DBRW(Server&amp;Cube1,$F$17,$F$18,$F$19,$F$16,$C$14,$F$15,$F$14,$F$20,P$2,$N$1,$C29)</f>
        <v>0.01</v>
      </c>
      <c r="Q29" s="185">
        <f ca="1">_xll.DBRW(Server&amp;Cube1,$F$17,$F$18,$F$19,$F$16,$C$14,$F$15,$F$14,$F$20,Q$2,$N$1,$C29)</f>
        <v>0.01</v>
      </c>
      <c r="R29" s="185">
        <f ca="1">_xll.DBRW(Server&amp;Cube1,$F$17,$F$18,$F$19,$F$16,$C$14,$F$15,$F$14,$F$20,R$2,$N$1,$C29)</f>
        <v>0.01</v>
      </c>
      <c r="S29" s="185">
        <f ca="1">_xll.DBRW(Server&amp;Cube1,$F$17,$F$18,$F$19,$F$16,$C$14,$F$15,$F$14,$F$20,S$2,$N$1,$C29)</f>
        <v>0.01</v>
      </c>
      <c r="T29" s="185">
        <f ca="1">_xll.DBRW(Server&amp;Cube1,$F$17,$F$18,$F$19,$F$16,$C$14,$F$15,$F$14,$F$20,T$2,$N$1,$C29)</f>
        <v>0.01</v>
      </c>
      <c r="U29" s="185">
        <f ca="1">_xll.DBRW(Server&amp;Cube1,$F$17,$F$18,$F$19,$F$16,$C$14,$F$15,$F$14,$F$20,U$2,$N$1,$C29)</f>
        <v>0.01</v>
      </c>
      <c r="V29" s="185">
        <f ca="1">_xll.DBRW(Server&amp;Cube1,$F$17,$F$18,$F$19,$F$16,$C$14,$F$15,$F$14,$F$20,V$2,$N$1,$C29)</f>
        <v>0.01</v>
      </c>
      <c r="W29" s="185">
        <f ca="1">_xll.DBRW(Server&amp;Cube1,$F$17,$F$18,$F$19,$F$16,$C$14,$F$15,$F$14,$F$20,W$2,$N$1,$C29)</f>
        <v>0.01</v>
      </c>
      <c r="X29" s="185">
        <f ca="1">_xll.DBRW(Server&amp;Cube1,$F$17,$F$18,$F$19,$F$16,$C$14,$F$15,$F$14,$F$20,X$2,$N$1,$C29)</f>
        <v>0.01</v>
      </c>
      <c r="Y29" s="185">
        <f ca="1">_xll.DBRW(Server&amp;Cube1,$F$17,$F$18,$F$19,$F$16,$C$14,$F$15,$F$14,$F$20,Y$2,$N$1,$C29)</f>
        <v>0.01</v>
      </c>
      <c r="Z29" s="185">
        <f ca="1">_xll.DBRW(Server&amp;Cube1,$F$17,$F$18,$F$19,$F$16,$C$14,$F$15,$F$14,$F$20,Z$2,$N$1,$C29)</f>
        <v>0.12</v>
      </c>
      <c r="AA29" s="53"/>
      <c r="AB29" s="53"/>
      <c r="AC29" s="53"/>
      <c r="AD29" s="53"/>
      <c r="AE29" s="53"/>
      <c r="AF29" s="53"/>
      <c r="AG29" s="53"/>
      <c r="AH29" s="53"/>
      <c r="AI29" s="53"/>
      <c r="AJ29" s="71" t="s">
        <v>74</v>
      </c>
      <c r="AK29" s="53"/>
      <c r="AO29" s="53"/>
      <c r="AP29" s="53"/>
      <c r="AQ29" s="53"/>
      <c r="AR29" s="53"/>
      <c r="AS29" s="53"/>
      <c r="AT29" s="53"/>
      <c r="AU29" s="53"/>
    </row>
    <row r="30" spans="1:55" s="9" customFormat="1" ht="24.95" customHeight="1" collapsed="1" thickBot="1" x14ac:dyDescent="0.4">
      <c r="A30" s="157">
        <f ca="1">IF($AN$35="YES",1,IF(_xll.ELCOMPN(Server&amp;$C$24,C30)&lt;&gt;0,1,IF(OR(B30=$AT$35,B30="ALL"),1,0)))</f>
        <v>1</v>
      </c>
      <c r="B30" s="157" t="s">
        <v>488</v>
      </c>
      <c r="C30" s="137" t="s">
        <v>85</v>
      </c>
      <c r="D30" s="1"/>
      <c r="E30" s="244" t="str">
        <f ca="1">_xll.DBRA(Server&amp;$C$24,$C30,$F$21)</f>
        <v>Prestation de service</v>
      </c>
      <c r="F30" s="244"/>
      <c r="G30" s="244"/>
      <c r="H30" s="40"/>
      <c r="I30" s="182">
        <f ca="1">_xll.DBRW(Server&amp;Cube1,$F$17,$F$18,$F$19,$F$16,$C$14,$F$15,$F$14,$F$20,I$2,I$1,$C30)</f>
        <v>0</v>
      </c>
      <c r="J30" s="182">
        <f ca="1">_xll.DBRW(Server&amp;Cube1,$F$17,$F$18,$F$19,$F$16,$C$14,$F$15,$F$14,$F$20,J$2,J$1,$C30)</f>
        <v>0</v>
      </c>
      <c r="K30" s="183"/>
      <c r="L30" s="185">
        <f ca="1">_xll.DBRW(Server&amp;Cube1,$F$17,$F$18,$F$19,$F$16,$C$14,$F$15,$F$14,$F$20,L$2,L$1,$C30)</f>
        <v>0</v>
      </c>
      <c r="M30" s="184"/>
      <c r="N30" s="185">
        <f ca="1">_xll.DBRW(Server&amp;Cube1,$F$17,$F$18,$F$19,$F$16,$C$14,$F$15,$F$14,$F$20,N$2,$N$1,$C30)</f>
        <v>0</v>
      </c>
      <c r="O30" s="185">
        <f ca="1">_xll.DBRW(Server&amp;Cube1,$F$17,$F$18,$F$19,$F$16,$C$14,$F$15,$F$14,$F$20,O$2,$N$1,$C30)</f>
        <v>0</v>
      </c>
      <c r="P30" s="185">
        <f ca="1">_xll.DBRW(Server&amp;Cube1,$F$17,$F$18,$F$19,$F$16,$C$14,$F$15,$F$14,$F$20,P$2,$N$1,$C30)</f>
        <v>0</v>
      </c>
      <c r="Q30" s="185">
        <f ca="1">_xll.DBRW(Server&amp;Cube1,$F$17,$F$18,$F$19,$F$16,$C$14,$F$15,$F$14,$F$20,Q$2,$N$1,$C30)</f>
        <v>0</v>
      </c>
      <c r="R30" s="185">
        <f ca="1">_xll.DBRW(Server&amp;Cube1,$F$17,$F$18,$F$19,$F$16,$C$14,$F$15,$F$14,$F$20,R$2,$N$1,$C30)</f>
        <v>0</v>
      </c>
      <c r="S30" s="185">
        <f ca="1">_xll.DBRW(Server&amp;Cube1,$F$17,$F$18,$F$19,$F$16,$C$14,$F$15,$F$14,$F$20,S$2,$N$1,$C30)</f>
        <v>0</v>
      </c>
      <c r="T30" s="185">
        <f ca="1">_xll.DBRW(Server&amp;Cube1,$F$17,$F$18,$F$19,$F$16,$C$14,$F$15,$F$14,$F$20,T$2,$N$1,$C30)</f>
        <v>0</v>
      </c>
      <c r="U30" s="185">
        <f ca="1">_xll.DBRW(Server&amp;Cube1,$F$17,$F$18,$F$19,$F$16,$C$14,$F$15,$F$14,$F$20,U$2,$N$1,$C30)</f>
        <v>0</v>
      </c>
      <c r="V30" s="185">
        <f ca="1">_xll.DBRW(Server&amp;Cube1,$F$17,$F$18,$F$19,$F$16,$C$14,$F$15,$F$14,$F$20,V$2,$N$1,$C30)</f>
        <v>0</v>
      </c>
      <c r="W30" s="185">
        <f ca="1">_xll.DBRW(Server&amp;Cube1,$F$17,$F$18,$F$19,$F$16,$C$14,$F$15,$F$14,$F$20,W$2,$N$1,$C30)</f>
        <v>0</v>
      </c>
      <c r="X30" s="185">
        <f ca="1">_xll.DBRW(Server&amp;Cube1,$F$17,$F$18,$F$19,$F$16,$C$14,$F$15,$F$14,$F$20,X$2,$N$1,$C30)</f>
        <v>0</v>
      </c>
      <c r="Y30" s="185">
        <f ca="1">_xll.DBRW(Server&amp;Cube1,$F$17,$F$18,$F$19,$F$16,$C$14,$F$15,$F$14,$F$20,Y$2,$N$1,$C30)</f>
        <v>0</v>
      </c>
      <c r="Z30" s="185">
        <f ca="1">_xll.DBRW(Server&amp;Cube1,$F$17,$F$18,$F$19,$F$16,$C$14,$F$15,$F$14,$F$20,Z$2,$N$1,$C30)</f>
        <v>0</v>
      </c>
      <c r="AA30" s="23"/>
      <c r="AB30" s="23"/>
      <c r="AC30" s="23"/>
      <c r="AD30" s="23"/>
      <c r="AE30" s="23"/>
      <c r="AF30" s="23"/>
      <c r="AG30" s="23"/>
      <c r="AH30" s="23"/>
      <c r="AI30" s="23"/>
      <c r="AJ30" s="71" t="s">
        <v>75</v>
      </c>
      <c r="AK30" s="23"/>
      <c r="AO30" s="23"/>
      <c r="AP30" s="23"/>
      <c r="AQ30" s="23"/>
      <c r="AR30" s="23"/>
      <c r="AS30" s="23"/>
      <c r="AT30" s="23"/>
      <c r="AU30" s="23"/>
    </row>
    <row r="31" spans="1:55" s="9" customFormat="1" ht="11.25" customHeight="1" x14ac:dyDescent="0.35">
      <c r="A31" s="157">
        <f ca="1">IF($AN$35="YES",1,IF(_xll.ELCOMPN(Server&amp;$C$24,C31)&lt;&gt;0,1,IF(OR(B31=$AT$35,B31="ALL"),1,0)))</f>
        <v>1</v>
      </c>
      <c r="B31" s="157" t="s">
        <v>488</v>
      </c>
      <c r="C31" s="112"/>
      <c r="D31" s="95"/>
      <c r="E31" s="245"/>
      <c r="F31" s="245"/>
      <c r="G31" s="245"/>
      <c r="H31" s="9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94"/>
      <c r="AB31" s="23"/>
      <c r="AC31" s="23"/>
      <c r="AD31" s="23"/>
      <c r="AE31" s="23"/>
      <c r="AF31" s="23"/>
      <c r="AG31" s="23"/>
      <c r="AH31" s="23"/>
      <c r="AI31" s="23"/>
      <c r="AJ31" s="93" t="s">
        <v>80</v>
      </c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</row>
    <row r="32" spans="1:55" s="9" customFormat="1" ht="24.95" customHeight="1" x14ac:dyDescent="0.35">
      <c r="A32" s="157">
        <f ca="1">IF($AN$35="YES",1,IF(_xll.ELCOMPN(Server&amp;$C$24,C32)&lt;&gt;0,1,IF(OR(B32=$AT$35,B32="ALL"),1,0)))</f>
        <v>1</v>
      </c>
      <c r="B32" s="139"/>
      <c r="C32" s="110" t="s">
        <v>87</v>
      </c>
      <c r="E32" s="227" t="str">
        <f ca="1">_xll.DBRA(Server&amp;$C$24,$C32,$F$21)</f>
        <v>CHARGES OPERATIONNELLES</v>
      </c>
      <c r="F32" s="227"/>
      <c r="G32" s="227"/>
      <c r="H32" s="40"/>
      <c r="I32" s="177">
        <f ca="1">_xll.DBRW(Server&amp;Cube1,$F$17,$F$18,$F$19,$F$16,$C$14,$F$15,$F$14,$F$20,I$2,I$1,$C32)</f>
        <v>0</v>
      </c>
      <c r="J32" s="177">
        <f ca="1">_xll.DBRW(Server&amp;Cube1,$F$17,$F$18,$F$19,$F$16,$C$14,$F$15,$F$14,$F$20,J$2,J$1,$C32)</f>
        <v>0</v>
      </c>
      <c r="K32" s="178"/>
      <c r="L32" s="177">
        <f ca="1">_xll.DBRW(Server&amp;Cube1,$F$17,$F$18,$F$19,$F$16,$C$14,$F$15,$F$14,$F$20,L$2,L$1,$C32)</f>
        <v>0</v>
      </c>
      <c r="M32" s="179"/>
      <c r="N32" s="177">
        <f ca="1">_xll.DBRW(Server&amp;Cube1,$F$17,$F$18,$F$19,$F$16,$C$14,$F$15,$F$14,$F$20,N$2,$N$1,$C32)</f>
        <v>0</v>
      </c>
      <c r="O32" s="177">
        <f ca="1">_xll.DBRW(Server&amp;Cube1,$F$17,$F$18,$F$19,$F$16,$C$14,$F$15,$F$14,$F$20,O$2,$N$1,$C32)</f>
        <v>0</v>
      </c>
      <c r="P32" s="177">
        <f ca="1">_xll.DBRW(Server&amp;Cube1,$F$17,$F$18,$F$19,$F$16,$C$14,$F$15,$F$14,$F$20,P$2,$N$1,$C32)</f>
        <v>0</v>
      </c>
      <c r="Q32" s="177">
        <f ca="1">_xll.DBRW(Server&amp;Cube1,$F$17,$F$18,$F$19,$F$16,$C$14,$F$15,$F$14,$F$20,Q$2,$N$1,$C32)</f>
        <v>0</v>
      </c>
      <c r="R32" s="177">
        <f ca="1">_xll.DBRW(Server&amp;Cube1,$F$17,$F$18,$F$19,$F$16,$C$14,$F$15,$F$14,$F$20,R$2,$N$1,$C32)</f>
        <v>0</v>
      </c>
      <c r="S32" s="177">
        <f ca="1">_xll.DBRW(Server&amp;Cube1,$F$17,$F$18,$F$19,$F$16,$C$14,$F$15,$F$14,$F$20,S$2,$N$1,$C32)</f>
        <v>0</v>
      </c>
      <c r="T32" s="177">
        <f ca="1">_xll.DBRW(Server&amp;Cube1,$F$17,$F$18,$F$19,$F$16,$C$14,$F$15,$F$14,$F$20,T$2,$N$1,$C32)</f>
        <v>0</v>
      </c>
      <c r="U32" s="177">
        <f ca="1">_xll.DBRW(Server&amp;Cube1,$F$17,$F$18,$F$19,$F$16,$C$14,$F$15,$F$14,$F$20,U$2,$N$1,$C32)</f>
        <v>0</v>
      </c>
      <c r="V32" s="177">
        <f ca="1">_xll.DBRW(Server&amp;Cube1,$F$17,$F$18,$F$19,$F$16,$C$14,$F$15,$F$14,$F$20,V$2,$N$1,$C32)</f>
        <v>0</v>
      </c>
      <c r="W32" s="177">
        <f ca="1">_xll.DBRW(Server&amp;Cube1,$F$17,$F$18,$F$19,$F$16,$C$14,$F$15,$F$14,$F$20,W$2,$N$1,$C32)</f>
        <v>0</v>
      </c>
      <c r="X32" s="177">
        <f ca="1">_xll.DBRW(Server&amp;Cube1,$F$17,$F$18,$F$19,$F$16,$C$14,$F$15,$F$14,$F$20,X$2,$N$1,$C32)</f>
        <v>0</v>
      </c>
      <c r="Y32" s="177">
        <f ca="1">_xll.DBRW(Server&amp;Cube1,$F$17,$F$18,$F$19,$F$16,$C$14,$F$15,$F$14,$F$20,Y$2,$N$1,$C32)</f>
        <v>0</v>
      </c>
      <c r="Z32" s="177">
        <f ca="1">_xll.DBRW(Server&amp;Cube1,$F$17,$F$18,$F$19,$F$16,$C$14,$F$15,$F$14,$F$20,Z$2,$N$1,$C32)</f>
        <v>0</v>
      </c>
      <c r="AA32" s="23"/>
      <c r="AB32" s="23"/>
      <c r="AC32" s="23"/>
      <c r="AD32" s="23"/>
      <c r="AE32" s="23"/>
      <c r="AF32" s="23"/>
      <c r="AG32" s="23"/>
      <c r="AH32" s="23"/>
      <c r="AI32" s="23"/>
      <c r="AJ32" s="71" t="s">
        <v>81</v>
      </c>
      <c r="AK32" s="23"/>
      <c r="AL32" s="138" t="s">
        <v>486</v>
      </c>
      <c r="AM32" s="23"/>
      <c r="AN32" s="23"/>
      <c r="AO32" s="23"/>
      <c r="AP32" s="23"/>
      <c r="AQ32" s="23"/>
      <c r="AR32" s="23"/>
      <c r="AS32" s="23"/>
      <c r="AT32" s="23"/>
      <c r="AU32" s="23"/>
    </row>
    <row r="33" spans="1:47" s="9" customFormat="1" ht="24.95" customHeight="1" thickBot="1" x14ac:dyDescent="0.4">
      <c r="A33" s="157">
        <f ca="1">IF($AN$35="YES",1,IF(_xll.ELCOMPN(Server&amp;$C$24,C33)&lt;&gt;0,1,IF(OR(B33=$AT$35,B33="ALL"),1,0)))</f>
        <v>1</v>
      </c>
      <c r="B33" s="139"/>
      <c r="C33" s="110" t="s">
        <v>88</v>
      </c>
      <c r="E33" s="222" t="str">
        <f ca="1">_xll.DBRA(Server&amp;$C$24,$C33,$F$21)</f>
        <v>Coûts externes</v>
      </c>
      <c r="F33" s="222"/>
      <c r="G33" s="222"/>
      <c r="H33" s="40"/>
      <c r="I33" s="187">
        <f ca="1">_xll.DBRW(Server&amp;Cube1,$F$17,$F$18,$F$19,$F$16,$C$14,$F$15,$F$14,$F$20,I$2,I$1,$C33)</f>
        <v>0</v>
      </c>
      <c r="J33" s="187">
        <f ca="1">_xll.DBRW(Server&amp;Cube1,$F$17,$F$18,$F$19,$F$16,$C$14,$F$15,$F$14,$F$20,J$2,J$1,$C33)</f>
        <v>0</v>
      </c>
      <c r="K33" s="188"/>
      <c r="L33" s="187">
        <f ca="1">_xll.DBRW(Server&amp;Cube1,$F$17,$F$18,$F$19,$F$16,$C$14,$F$15,$F$14,$F$20,L$2,L$1,$C33)</f>
        <v>0</v>
      </c>
      <c r="M33" s="189"/>
      <c r="N33" s="187">
        <f ca="1">_xll.DBRW(Server&amp;Cube1,$F$17,$F$18,$F$19,$F$16,$C$14,$F$15,$F$14,$F$20,N$2,$N$1,$C33)</f>
        <v>0</v>
      </c>
      <c r="O33" s="187">
        <f ca="1">_xll.DBRW(Server&amp;Cube1,$F$17,$F$18,$F$19,$F$16,$C$14,$F$15,$F$14,$F$20,O$2,$N$1,$C33)</f>
        <v>0</v>
      </c>
      <c r="P33" s="187">
        <f ca="1">_xll.DBRW(Server&amp;Cube1,$F$17,$F$18,$F$19,$F$16,$C$14,$F$15,$F$14,$F$20,P$2,$N$1,$C33)</f>
        <v>0</v>
      </c>
      <c r="Q33" s="187">
        <f ca="1">_xll.DBRW(Server&amp;Cube1,$F$17,$F$18,$F$19,$F$16,$C$14,$F$15,$F$14,$F$20,Q$2,$N$1,$C33)</f>
        <v>0</v>
      </c>
      <c r="R33" s="187">
        <f ca="1">_xll.DBRW(Server&amp;Cube1,$F$17,$F$18,$F$19,$F$16,$C$14,$F$15,$F$14,$F$20,R$2,$N$1,$C33)</f>
        <v>0</v>
      </c>
      <c r="S33" s="187">
        <f ca="1">_xll.DBRW(Server&amp;Cube1,$F$17,$F$18,$F$19,$F$16,$C$14,$F$15,$F$14,$F$20,S$2,$N$1,$C33)</f>
        <v>0</v>
      </c>
      <c r="T33" s="187">
        <f ca="1">_xll.DBRW(Server&amp;Cube1,$F$17,$F$18,$F$19,$F$16,$C$14,$F$15,$F$14,$F$20,T$2,$N$1,$C33)</f>
        <v>0</v>
      </c>
      <c r="U33" s="187">
        <f ca="1">_xll.DBRW(Server&amp;Cube1,$F$17,$F$18,$F$19,$F$16,$C$14,$F$15,$F$14,$F$20,U$2,$N$1,$C33)</f>
        <v>0</v>
      </c>
      <c r="V33" s="187">
        <f ca="1">_xll.DBRW(Server&amp;Cube1,$F$17,$F$18,$F$19,$F$16,$C$14,$F$15,$F$14,$F$20,V$2,$N$1,$C33)</f>
        <v>0</v>
      </c>
      <c r="W33" s="187">
        <f ca="1">_xll.DBRW(Server&amp;Cube1,$F$17,$F$18,$F$19,$F$16,$C$14,$F$15,$F$14,$F$20,W$2,$N$1,$C33)</f>
        <v>0</v>
      </c>
      <c r="X33" s="187">
        <f ca="1">_xll.DBRW(Server&amp;Cube1,$F$17,$F$18,$F$19,$F$16,$C$14,$F$15,$F$14,$F$20,X$2,$N$1,$C33)</f>
        <v>0</v>
      </c>
      <c r="Y33" s="187">
        <f ca="1">_xll.DBRW(Server&amp;Cube1,$F$17,$F$18,$F$19,$F$16,$C$14,$F$15,$F$14,$F$20,Y$2,$N$1,$C33)</f>
        <v>0</v>
      </c>
      <c r="Z33" s="187">
        <f ca="1">_xll.DBRW(Server&amp;Cube1,$F$17,$F$18,$F$19,$F$16,$C$14,$F$15,$F$14,$F$20,Z$2,$N$1,$C33)</f>
        <v>0</v>
      </c>
      <c r="AA33" s="23"/>
      <c r="AB33" s="23"/>
      <c r="AC33" s="23"/>
      <c r="AD33" s="23"/>
      <c r="AE33" s="23"/>
      <c r="AF33" s="23"/>
      <c r="AG33" s="23"/>
      <c r="AH33" s="23"/>
      <c r="AI33" s="23"/>
      <c r="AJ33" s="72" t="s">
        <v>82</v>
      </c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</row>
    <row r="34" spans="1:47" s="9" customFormat="1" ht="24.95" customHeight="1" thickBot="1" x14ac:dyDescent="0.4">
      <c r="A34" s="157">
        <f ca="1">IF($AN$35="YES",1,IF(_xll.ELCOMPN(Server&amp;$C$24,C34)&lt;&gt;0,1,IF(OR(B34=$AT$35,B34="ALL"),1,0)))</f>
        <v>1</v>
      </c>
      <c r="B34" s="139"/>
      <c r="C34" s="110" t="s">
        <v>89</v>
      </c>
      <c r="E34" s="246" t="str">
        <f ca="1">_xll.DBRA(Server&amp;$C$24,$C34,$F$21)</f>
        <v>Coûts admin. et informatique</v>
      </c>
      <c r="F34" s="246"/>
      <c r="G34" s="246"/>
      <c r="H34" s="40"/>
      <c r="I34" s="190">
        <f ca="1">_xll.DBRW(Server&amp;Cube1,$F$17,$F$18,$F$19,$F$16,$C$14,$F$15,$F$14,$F$20,I$2,I$1,$C34)</f>
        <v>0</v>
      </c>
      <c r="J34" s="190">
        <f ca="1">_xll.DBRW(Server&amp;Cube1,$F$17,$F$18,$F$19,$F$16,$C$14,$F$15,$F$14,$F$20,J$2,J$1,$C34)</f>
        <v>0</v>
      </c>
      <c r="K34" s="180"/>
      <c r="L34" s="191">
        <f ca="1">_xll.DBRW(Server&amp;Cube1,$F$17,$F$18,$F$19,$F$16,$C$14,$F$15,$F$14,$F$20,L$2,L$1,$C34)</f>
        <v>0</v>
      </c>
      <c r="M34" s="181"/>
      <c r="N34" s="191">
        <f ca="1">_xll.DBRW(Server&amp;Cube1,$F$17,$F$18,$F$19,$F$16,$C$14,$F$15,$F$14,$F$20,N$2,$N$1,$C34)</f>
        <v>0</v>
      </c>
      <c r="O34" s="191">
        <f ca="1">_xll.DBRW(Server&amp;Cube1,$F$17,$F$18,$F$19,$F$16,$C$14,$F$15,$F$14,$F$20,O$2,$N$1,$C34)</f>
        <v>0</v>
      </c>
      <c r="P34" s="191">
        <f ca="1">_xll.DBRW(Server&amp;Cube1,$F$17,$F$18,$F$19,$F$16,$C$14,$F$15,$F$14,$F$20,P$2,$N$1,$C34)</f>
        <v>0</v>
      </c>
      <c r="Q34" s="191">
        <f ca="1">_xll.DBRW(Server&amp;Cube1,$F$17,$F$18,$F$19,$F$16,$C$14,$F$15,$F$14,$F$20,Q$2,$N$1,$C34)</f>
        <v>0</v>
      </c>
      <c r="R34" s="191">
        <f ca="1">_xll.DBRW(Server&amp;Cube1,$F$17,$F$18,$F$19,$F$16,$C$14,$F$15,$F$14,$F$20,R$2,$N$1,$C34)</f>
        <v>0</v>
      </c>
      <c r="S34" s="191">
        <f ca="1">_xll.DBRW(Server&amp;Cube1,$F$17,$F$18,$F$19,$F$16,$C$14,$F$15,$F$14,$F$20,S$2,$N$1,$C34)</f>
        <v>0</v>
      </c>
      <c r="T34" s="191">
        <f ca="1">_xll.DBRW(Server&amp;Cube1,$F$17,$F$18,$F$19,$F$16,$C$14,$F$15,$F$14,$F$20,T$2,$N$1,$C34)</f>
        <v>0</v>
      </c>
      <c r="U34" s="191">
        <f ca="1">_xll.DBRW(Server&amp;Cube1,$F$17,$F$18,$F$19,$F$16,$C$14,$F$15,$F$14,$F$20,U$2,$N$1,$C34)</f>
        <v>0</v>
      </c>
      <c r="V34" s="191">
        <f ca="1">_xll.DBRW(Server&amp;Cube1,$F$17,$F$18,$F$19,$F$16,$C$14,$F$15,$F$14,$F$20,V$2,$N$1,$C34)</f>
        <v>0</v>
      </c>
      <c r="W34" s="191">
        <f ca="1">_xll.DBRW(Server&amp;Cube1,$F$17,$F$18,$F$19,$F$16,$C$14,$F$15,$F$14,$F$20,W$2,$N$1,$C34)</f>
        <v>0</v>
      </c>
      <c r="X34" s="191">
        <f ca="1">_xll.DBRW(Server&amp;Cube1,$F$17,$F$18,$F$19,$F$16,$C$14,$F$15,$F$14,$F$20,X$2,$N$1,$C34)</f>
        <v>0</v>
      </c>
      <c r="Y34" s="191">
        <f ca="1">_xll.DBRW(Server&amp;Cube1,$F$17,$F$18,$F$19,$F$16,$C$14,$F$15,$F$14,$F$20,Y$2,$N$1,$C34)</f>
        <v>0</v>
      </c>
      <c r="Z34" s="191">
        <f ca="1">_xll.DBRW(Server&amp;Cube1,$F$17,$F$18,$F$19,$F$16,$C$14,$F$15,$F$14,$F$20,Z$2,$N$1,$C34)</f>
        <v>0</v>
      </c>
      <c r="AA34" s="23"/>
      <c r="AB34" s="23"/>
      <c r="AC34" s="23"/>
      <c r="AD34" s="23"/>
      <c r="AE34" s="23"/>
      <c r="AF34" s="23"/>
      <c r="AG34" s="23"/>
      <c r="AH34" s="23"/>
      <c r="AI34" s="23"/>
      <c r="AJ34" s="60" t="s">
        <v>54</v>
      </c>
      <c r="AK34" s="23"/>
      <c r="AL34" s="247" t="s">
        <v>484</v>
      </c>
      <c r="AM34" s="248"/>
      <c r="AN34" s="249"/>
      <c r="AO34" s="23"/>
      <c r="AP34" s="23"/>
      <c r="AQ34" s="55"/>
      <c r="AR34" s="23"/>
      <c r="AS34" s="23"/>
      <c r="AT34" s="23"/>
      <c r="AU34" s="23"/>
    </row>
    <row r="35" spans="1:47" s="9" customFormat="1" ht="24.95" customHeight="1" thickBot="1" x14ac:dyDescent="0.4">
      <c r="A35" s="157">
        <f ca="1">IF($AN$35="YES",1,IF(_xll.ELCOMPN(Server&amp;$C$24,C35)&lt;&gt;0,1,IF(OR(B35=$AT$35,B35="ALL"),1,0)))</f>
        <v>1</v>
      </c>
      <c r="B35" s="139"/>
      <c r="C35" s="111" t="s">
        <v>94</v>
      </c>
      <c r="E35" s="221" t="str">
        <f ca="1">_xll.DBRA(Server&amp;$C$24,$C35,$F$21)</f>
        <v>Documentation</v>
      </c>
      <c r="F35" s="221"/>
      <c r="G35" s="221"/>
      <c r="H35" s="40"/>
      <c r="I35" s="192">
        <f ca="1">_xll.DBRW(Server&amp;Cube1,$F$17,$F$18,$F$19,$F$16,$C$14,$F$15,$F$14,$F$20,I$2,I$1,$C35)</f>
        <v>0</v>
      </c>
      <c r="J35" s="192">
        <f ca="1">_xll.DBRW(Server&amp;Cube1,$F$17,$F$18,$F$19,$F$16,$C$14,$F$15,$F$14,$F$20,J$2,J$1,$C35)</f>
        <v>0</v>
      </c>
      <c r="K35" s="183"/>
      <c r="L35" s="181">
        <f ca="1">_xll.DBRW(Server&amp;Cube1,$F$17,$F$18,$F$19,$F$16,$C$14,$F$15,$F$14,$F$20,L$2,L$1,$C35)</f>
        <v>0</v>
      </c>
      <c r="M35" s="181"/>
      <c r="N35" s="181">
        <f ca="1">_xll.DBRW(Server&amp;Cube1,$F$17,$F$18,$F$19,$F$16,$C$14,$F$15,$F$14,$F$20,N$2,$N$1,$C35)</f>
        <v>0</v>
      </c>
      <c r="O35" s="181">
        <f ca="1">_xll.DBRW(Server&amp;Cube1,$F$17,$F$18,$F$19,$F$16,$C$14,$F$15,$F$14,$F$20,O$2,$N$1,$C35)</f>
        <v>0</v>
      </c>
      <c r="P35" s="181">
        <f ca="1">_xll.DBRW(Server&amp;Cube1,$F$17,$F$18,$F$19,$F$16,$C$14,$F$15,$F$14,$F$20,P$2,$N$1,$C35)</f>
        <v>0</v>
      </c>
      <c r="Q35" s="181">
        <f ca="1">_xll.DBRW(Server&amp;Cube1,$F$17,$F$18,$F$19,$F$16,$C$14,$F$15,$F$14,$F$20,Q$2,$N$1,$C35)</f>
        <v>0</v>
      </c>
      <c r="R35" s="181">
        <f ca="1">_xll.DBRW(Server&amp;Cube1,$F$17,$F$18,$F$19,$F$16,$C$14,$F$15,$F$14,$F$20,R$2,$N$1,$C35)</f>
        <v>0</v>
      </c>
      <c r="S35" s="181">
        <f ca="1">_xll.DBRW(Server&amp;Cube1,$F$17,$F$18,$F$19,$F$16,$C$14,$F$15,$F$14,$F$20,S$2,$N$1,$C35)</f>
        <v>0</v>
      </c>
      <c r="T35" s="181">
        <f ca="1">_xll.DBRW(Server&amp;Cube1,$F$17,$F$18,$F$19,$F$16,$C$14,$F$15,$F$14,$F$20,T$2,$N$1,$C35)</f>
        <v>0</v>
      </c>
      <c r="U35" s="181">
        <f ca="1">_xll.DBRW(Server&amp;Cube1,$F$17,$F$18,$F$19,$F$16,$C$14,$F$15,$F$14,$F$20,U$2,$N$1,$C35)</f>
        <v>0</v>
      </c>
      <c r="V35" s="181">
        <f ca="1">_xll.DBRW(Server&amp;Cube1,$F$17,$F$18,$F$19,$F$16,$C$14,$F$15,$F$14,$F$20,V$2,$N$1,$C35)</f>
        <v>0</v>
      </c>
      <c r="W35" s="181">
        <f ca="1">_xll.DBRW(Server&amp;Cube1,$F$17,$F$18,$F$19,$F$16,$C$14,$F$15,$F$14,$F$20,W$2,$N$1,$C35)</f>
        <v>0</v>
      </c>
      <c r="X35" s="181">
        <f ca="1">_xll.DBRW(Server&amp;Cube1,$F$17,$F$18,$F$19,$F$16,$C$14,$F$15,$F$14,$F$20,X$2,$N$1,$C35)</f>
        <v>0</v>
      </c>
      <c r="Y35" s="181">
        <f ca="1">_xll.DBRW(Server&amp;Cube1,$F$17,$F$18,$F$19,$F$16,$C$14,$F$15,$F$14,$F$20,Y$2,$N$1,$C35)</f>
        <v>0</v>
      </c>
      <c r="Z35" s="181">
        <f ca="1">_xll.DBRW(Server&amp;Cube1,$F$17,$F$18,$F$19,$F$16,$C$14,$F$15,$F$14,$F$20,Z$2,$N$1,$C35)</f>
        <v>0</v>
      </c>
      <c r="AA35" s="23"/>
      <c r="AB35" s="23"/>
      <c r="AC35" s="23"/>
      <c r="AD35" s="23"/>
      <c r="AE35" s="23"/>
      <c r="AF35" s="23"/>
      <c r="AG35" s="23"/>
      <c r="AH35" s="23"/>
      <c r="AI35" s="23"/>
      <c r="AJ35" s="62" t="s">
        <v>55</v>
      </c>
      <c r="AK35" s="23"/>
      <c r="AL35" s="212" t="s">
        <v>485</v>
      </c>
      <c r="AM35" s="213"/>
      <c r="AN35" s="143" t="str">
        <f ca="1">IF(_xll.ELCOMPN(Server&amp;$AL$32,F14)=0,"NO","YES")</f>
        <v>YES</v>
      </c>
      <c r="AO35" s="212" t="s">
        <v>489</v>
      </c>
      <c r="AP35" s="213"/>
      <c r="AQ35" s="164" t="e">
        <f ca="1">VALUE(_xll.SUBNM(Server&amp;"Management_Organization_Corp","",$F$14,""))</f>
        <v>#VALUE!</v>
      </c>
      <c r="AR35" s="212" t="s">
        <v>490</v>
      </c>
      <c r="AS35" s="213"/>
      <c r="AT35" s="214" t="e">
        <f ca="1">VLOOKUP($AQ$35,AM37:AN98,2,FALSE)</f>
        <v>#VALUE!</v>
      </c>
      <c r="AU35" s="215"/>
    </row>
    <row r="36" spans="1:47" s="9" customFormat="1" ht="24.95" customHeight="1" thickBot="1" x14ac:dyDescent="0.4">
      <c r="A36" s="157">
        <f ca="1">IF($AN$35="YES",1,IF(_xll.ELCOMPN(Server&amp;$C$24,C36)&lt;&gt;0,1,IF(OR(B36=$AT$35,B36="ALL"),1,0)))</f>
        <v>1</v>
      </c>
      <c r="B36" s="139" t="str">
        <f>IF(ISERROR(MID(C36,FIND("_",C36,1)+1,2)),MID(C36,FIND("(",C36,1)+1,2),MID(C36,FIND("_",C36,1)+1,2))</f>
        <v>DS</v>
      </c>
      <c r="C36" s="137" t="s">
        <v>150</v>
      </c>
      <c r="E36" s="219" t="str">
        <f ca="1">_xll.DBRA(Server&amp;$C$24,$C36,$F$21)</f>
        <v>Documentation (SO)</v>
      </c>
      <c r="F36" s="219"/>
      <c r="G36" s="219"/>
      <c r="H36" s="40"/>
      <c r="I36" s="192">
        <f ca="1">_xll.DBRW(Server&amp;Cube1,$F$17,$F$18,$F$19,$F$16,$C$14,$F$15,$F$14,$F$20,I$2,I$1,$C36)</f>
        <v>0</v>
      </c>
      <c r="J36" s="192">
        <f ca="1">_xll.DBRW(Server&amp;Cube1,$F$17,$F$18,$F$19,$F$16,$C$14,$F$15,$F$14,$F$20,J$2,J$1,$C36)</f>
        <v>0</v>
      </c>
      <c r="K36" s="183"/>
      <c r="L36" s="185">
        <f ca="1">_xll.DBRW(Server&amp;Cube1,$F$17,$F$18,$F$19,$F$16,$C$14,$F$15,$F$14,$F$20,L$2,L$1,$C36)</f>
        <v>0</v>
      </c>
      <c r="M36" s="184"/>
      <c r="N36" s="185">
        <f ca="1">_xll.DBRW(Server&amp;Cube1,$F$17,$F$18,$F$19,$F$16,$C$14,$F$15,$F$14,$F$20,N$2,$N$1,$C36)</f>
        <v>0</v>
      </c>
      <c r="O36" s="185">
        <f ca="1">_xll.DBRW(Server&amp;Cube1,$F$17,$F$18,$F$19,$F$16,$C$14,$F$15,$F$14,$F$20,O$2,$N$1,$C36)</f>
        <v>0</v>
      </c>
      <c r="P36" s="185">
        <f ca="1">_xll.DBRW(Server&amp;Cube1,$F$17,$F$18,$F$19,$F$16,$C$14,$F$15,$F$14,$F$20,P$2,$N$1,$C36)</f>
        <v>0</v>
      </c>
      <c r="Q36" s="185">
        <f ca="1">_xll.DBRW(Server&amp;Cube1,$F$17,$F$18,$F$19,$F$16,$C$14,$F$15,$F$14,$F$20,Q$2,$N$1,$C36)</f>
        <v>0</v>
      </c>
      <c r="R36" s="185">
        <f ca="1">_xll.DBRW(Server&amp;Cube1,$F$17,$F$18,$F$19,$F$16,$C$14,$F$15,$F$14,$F$20,R$2,$N$1,$C36)</f>
        <v>0</v>
      </c>
      <c r="S36" s="185">
        <f ca="1">_xll.DBRW(Server&amp;Cube1,$F$17,$F$18,$F$19,$F$16,$C$14,$F$15,$F$14,$F$20,S$2,$N$1,$C36)</f>
        <v>0</v>
      </c>
      <c r="T36" s="185">
        <f ca="1">_xll.DBRW(Server&amp;Cube1,$F$17,$F$18,$F$19,$F$16,$C$14,$F$15,$F$14,$F$20,T$2,$N$1,$C36)</f>
        <v>0</v>
      </c>
      <c r="U36" s="185">
        <f ca="1">_xll.DBRW(Server&amp;Cube1,$F$17,$F$18,$F$19,$F$16,$C$14,$F$15,$F$14,$F$20,U$2,$N$1,$C36)</f>
        <v>0</v>
      </c>
      <c r="V36" s="185">
        <f ca="1">_xll.DBRW(Server&amp;Cube1,$F$17,$F$18,$F$19,$F$16,$C$14,$F$15,$F$14,$F$20,V$2,$N$1,$C36)</f>
        <v>0</v>
      </c>
      <c r="W36" s="185">
        <f ca="1">_xll.DBRW(Server&amp;Cube1,$F$17,$F$18,$F$19,$F$16,$C$14,$F$15,$F$14,$F$20,W$2,$N$1,$C36)</f>
        <v>0</v>
      </c>
      <c r="X36" s="185">
        <f ca="1">_xll.DBRW(Server&amp;Cube1,$F$17,$F$18,$F$19,$F$16,$C$14,$F$15,$F$14,$F$20,X$2,$N$1,$C36)</f>
        <v>0</v>
      </c>
      <c r="Y36" s="185">
        <f ca="1">_xll.DBRW(Server&amp;Cube1,$F$17,$F$18,$F$19,$F$16,$C$14,$F$15,$F$14,$F$20,Y$2,$N$1,$C36)</f>
        <v>0</v>
      </c>
      <c r="Z36" s="185">
        <f ca="1">_xll.DBRW(Server&amp;Cube1,$F$17,$F$18,$F$19,$F$16,$C$14,$F$15,$F$14,$F$20,Z$2,$N$1,$C36)</f>
        <v>0</v>
      </c>
      <c r="AA36" s="53"/>
      <c r="AB36" s="53"/>
      <c r="AC36" s="53"/>
      <c r="AD36" s="53"/>
      <c r="AE36" s="53"/>
      <c r="AF36" s="53"/>
      <c r="AG36" s="53"/>
      <c r="AH36" s="53"/>
      <c r="AI36" s="53"/>
      <c r="AJ36" s="63" t="s">
        <v>140</v>
      </c>
      <c r="AK36" s="53"/>
      <c r="AL36" s="53"/>
      <c r="AM36" s="53"/>
      <c r="AN36" s="53"/>
      <c r="AO36" s="53"/>
      <c r="AP36" s="53"/>
      <c r="AR36" s="53"/>
      <c r="AS36" s="53"/>
      <c r="AT36" s="53"/>
      <c r="AU36" s="53"/>
    </row>
    <row r="37" spans="1:47" s="9" customFormat="1" ht="24.95" customHeight="1" x14ac:dyDescent="0.35">
      <c r="A37" s="157">
        <f ca="1">IF($AN$35="YES",1,IF(_xll.ELCOMPN(Server&amp;$C$24,C37)&lt;&gt;0,1,IF(OR(B37=$AT$35,B37="ALL"),1,0)))</f>
        <v>1</v>
      </c>
      <c r="B37" s="139" t="str">
        <f t="shared" ref="B37:B100" si="0">IF(ISERROR(MID(C37,FIND("_",C37,1)+1,2)),MID(C37,FIND("(",C37,1)+1,2),MID(C37,FIND("_",C37,1)+1,2))</f>
        <v>BD</v>
      </c>
      <c r="C37" s="137" t="s">
        <v>151</v>
      </c>
      <c r="E37" s="219" t="str">
        <f ca="1">_xll.DBRA(Server&amp;$C$24,$C37,$F$21)</f>
        <v>Documentation (DC)</v>
      </c>
      <c r="F37" s="219"/>
      <c r="G37" s="219"/>
      <c r="H37" s="40"/>
      <c r="I37" s="192">
        <f ca="1">_xll.DBRW(Server&amp;Cube1,$F$17,$F$18,$F$19,$F$16,$C$14,$F$15,$F$14,$F$20,I$2,I$1,$C37)</f>
        <v>0</v>
      </c>
      <c r="J37" s="192">
        <f ca="1">_xll.DBRW(Server&amp;Cube1,$F$17,$F$18,$F$19,$F$16,$C$14,$F$15,$F$14,$F$20,J$2,J$1,$C37)</f>
        <v>0</v>
      </c>
      <c r="K37" s="183"/>
      <c r="L37" s="185">
        <f ca="1">_xll.DBRW(Server&amp;Cube1,$F$17,$F$18,$F$19,$F$16,$C$14,$F$15,$F$14,$F$20,L$2,L$1,$C37)</f>
        <v>0</v>
      </c>
      <c r="M37" s="184"/>
      <c r="N37" s="185">
        <f ca="1">_xll.DBRW(Server&amp;Cube1,$F$17,$F$18,$F$19,$F$16,$C$14,$F$15,$F$14,$F$20,N$2,$N$1,$C37)</f>
        <v>0</v>
      </c>
      <c r="O37" s="185">
        <f ca="1">_xll.DBRW(Server&amp;Cube1,$F$17,$F$18,$F$19,$F$16,$C$14,$F$15,$F$14,$F$20,O$2,$N$1,$C37)</f>
        <v>0</v>
      </c>
      <c r="P37" s="185">
        <f ca="1">_xll.DBRW(Server&amp;Cube1,$F$17,$F$18,$F$19,$F$16,$C$14,$F$15,$F$14,$F$20,P$2,$N$1,$C37)</f>
        <v>0</v>
      </c>
      <c r="Q37" s="185">
        <f ca="1">_xll.DBRW(Server&amp;Cube1,$F$17,$F$18,$F$19,$F$16,$C$14,$F$15,$F$14,$F$20,Q$2,$N$1,$C37)</f>
        <v>0</v>
      </c>
      <c r="R37" s="185">
        <f ca="1">_xll.DBRW(Server&amp;Cube1,$F$17,$F$18,$F$19,$F$16,$C$14,$F$15,$F$14,$F$20,R$2,$N$1,$C37)</f>
        <v>0</v>
      </c>
      <c r="S37" s="185">
        <f ca="1">_xll.DBRW(Server&amp;Cube1,$F$17,$F$18,$F$19,$F$16,$C$14,$F$15,$F$14,$F$20,S$2,$N$1,$C37)</f>
        <v>0</v>
      </c>
      <c r="T37" s="185">
        <f ca="1">_xll.DBRW(Server&amp;Cube1,$F$17,$F$18,$F$19,$F$16,$C$14,$F$15,$F$14,$F$20,T$2,$N$1,$C37)</f>
        <v>0</v>
      </c>
      <c r="U37" s="185">
        <f ca="1">_xll.DBRW(Server&amp;Cube1,$F$17,$F$18,$F$19,$F$16,$C$14,$F$15,$F$14,$F$20,U$2,$N$1,$C37)</f>
        <v>0</v>
      </c>
      <c r="V37" s="185">
        <f ca="1">_xll.DBRW(Server&amp;Cube1,$F$17,$F$18,$F$19,$F$16,$C$14,$F$15,$F$14,$F$20,V$2,$N$1,$C37)</f>
        <v>0</v>
      </c>
      <c r="W37" s="185">
        <f ca="1">_xll.DBRW(Server&amp;Cube1,$F$17,$F$18,$F$19,$F$16,$C$14,$F$15,$F$14,$F$20,W$2,$N$1,$C37)</f>
        <v>0</v>
      </c>
      <c r="X37" s="185">
        <f ca="1">_xll.DBRW(Server&amp;Cube1,$F$17,$F$18,$F$19,$F$16,$C$14,$F$15,$F$14,$F$20,X$2,$N$1,$C37)</f>
        <v>0</v>
      </c>
      <c r="Y37" s="185">
        <f ca="1">_xll.DBRW(Server&amp;Cube1,$F$17,$F$18,$F$19,$F$16,$C$14,$F$15,$F$14,$F$20,Y$2,$N$1,$C37)</f>
        <v>0</v>
      </c>
      <c r="Z37" s="185">
        <f ca="1">_xll.DBRW(Server&amp;Cube1,$F$17,$F$18,$F$19,$F$16,$C$14,$F$15,$F$14,$F$20,Z$2,$N$1,$C37)</f>
        <v>0</v>
      </c>
      <c r="AA37" s="53"/>
      <c r="AB37" s="53"/>
      <c r="AC37" s="53"/>
      <c r="AD37" s="53"/>
      <c r="AE37" s="53"/>
      <c r="AF37" s="53"/>
      <c r="AG37" s="53"/>
      <c r="AH37" s="53"/>
      <c r="AI37" s="53"/>
      <c r="AJ37" s="64" t="s">
        <v>41</v>
      </c>
      <c r="AK37" s="53"/>
      <c r="AL37" s="216" t="s">
        <v>472</v>
      </c>
      <c r="AM37" s="144">
        <v>4100</v>
      </c>
      <c r="AN37" s="147" t="s">
        <v>493</v>
      </c>
    </row>
    <row r="38" spans="1:47" s="9" customFormat="1" ht="24.95" customHeight="1" x14ac:dyDescent="0.35">
      <c r="A38" s="157">
        <f ca="1">IF($AN$35="YES",1,IF(_xll.ELCOMPN(Server&amp;$C$24,C38)&lt;&gt;0,1,IF(OR(B38=$AT$35,B38="ALL"),1,0)))</f>
        <v>1</v>
      </c>
      <c r="B38" s="139" t="str">
        <f t="shared" si="0"/>
        <v>FI</v>
      </c>
      <c r="C38" s="137" t="s">
        <v>152</v>
      </c>
      <c r="E38" s="219" t="str">
        <f ca="1">_xll.DBRA(Server&amp;$C$24,$C38,$F$21)</f>
        <v>Documentation (DF)</v>
      </c>
      <c r="F38" s="219"/>
      <c r="G38" s="219"/>
      <c r="H38" s="40"/>
      <c r="I38" s="192">
        <f ca="1">_xll.DBRW(Server&amp;Cube1,$F$17,$F$18,$F$19,$F$16,$C$14,$F$15,$F$14,$F$20,I$2,I$1,$C38)</f>
        <v>0</v>
      </c>
      <c r="J38" s="192">
        <f ca="1">_xll.DBRW(Server&amp;Cube1,$F$17,$F$18,$F$19,$F$16,$C$14,$F$15,$F$14,$F$20,J$2,J$1,$C38)</f>
        <v>0</v>
      </c>
      <c r="K38" s="183"/>
      <c r="L38" s="185">
        <f ca="1">_xll.DBRW(Server&amp;Cube1,$F$17,$F$18,$F$19,$F$16,$C$14,$F$15,$F$14,$F$20,L$2,L$1,$C38)</f>
        <v>0</v>
      </c>
      <c r="M38" s="184"/>
      <c r="N38" s="185">
        <f ca="1">_xll.DBRW(Server&amp;Cube1,$F$17,$F$18,$F$19,$F$16,$C$14,$F$15,$F$14,$F$20,N$2,$N$1,$C38)</f>
        <v>0</v>
      </c>
      <c r="O38" s="185">
        <f ca="1">_xll.DBRW(Server&amp;Cube1,$F$17,$F$18,$F$19,$F$16,$C$14,$F$15,$F$14,$F$20,O$2,$N$1,$C38)</f>
        <v>0</v>
      </c>
      <c r="P38" s="185">
        <f ca="1">_xll.DBRW(Server&amp;Cube1,$F$17,$F$18,$F$19,$F$16,$C$14,$F$15,$F$14,$F$20,P$2,$N$1,$C38)</f>
        <v>0</v>
      </c>
      <c r="Q38" s="185">
        <f ca="1">_xll.DBRW(Server&amp;Cube1,$F$17,$F$18,$F$19,$F$16,$C$14,$F$15,$F$14,$F$20,Q$2,$N$1,$C38)</f>
        <v>0</v>
      </c>
      <c r="R38" s="185">
        <f ca="1">_xll.DBRW(Server&amp;Cube1,$F$17,$F$18,$F$19,$F$16,$C$14,$F$15,$F$14,$F$20,R$2,$N$1,$C38)</f>
        <v>0</v>
      </c>
      <c r="S38" s="185">
        <f ca="1">_xll.DBRW(Server&amp;Cube1,$F$17,$F$18,$F$19,$F$16,$C$14,$F$15,$F$14,$F$20,S$2,$N$1,$C38)</f>
        <v>0</v>
      </c>
      <c r="T38" s="185">
        <f ca="1">_xll.DBRW(Server&amp;Cube1,$F$17,$F$18,$F$19,$F$16,$C$14,$F$15,$F$14,$F$20,T$2,$N$1,$C38)</f>
        <v>0</v>
      </c>
      <c r="U38" s="185">
        <f ca="1">_xll.DBRW(Server&amp;Cube1,$F$17,$F$18,$F$19,$F$16,$C$14,$F$15,$F$14,$F$20,U$2,$N$1,$C38)</f>
        <v>0</v>
      </c>
      <c r="V38" s="185">
        <f ca="1">_xll.DBRW(Server&amp;Cube1,$F$17,$F$18,$F$19,$F$16,$C$14,$F$15,$F$14,$F$20,V$2,$N$1,$C38)</f>
        <v>0</v>
      </c>
      <c r="W38" s="185">
        <f ca="1">_xll.DBRW(Server&amp;Cube1,$F$17,$F$18,$F$19,$F$16,$C$14,$F$15,$F$14,$F$20,W$2,$N$1,$C38)</f>
        <v>0</v>
      </c>
      <c r="X38" s="185">
        <f ca="1">_xll.DBRW(Server&amp;Cube1,$F$17,$F$18,$F$19,$F$16,$C$14,$F$15,$F$14,$F$20,X$2,$N$1,$C38)</f>
        <v>0</v>
      </c>
      <c r="Y38" s="185">
        <f ca="1">_xll.DBRW(Server&amp;Cube1,$F$17,$F$18,$F$19,$F$16,$C$14,$F$15,$F$14,$F$20,Y$2,$N$1,$C38)</f>
        <v>0</v>
      </c>
      <c r="Z38" s="185">
        <f ca="1">_xll.DBRW(Server&amp;Cube1,$F$17,$F$18,$F$19,$F$16,$C$14,$F$15,$F$14,$F$20,Z$2,$N$1,$C38)</f>
        <v>0</v>
      </c>
      <c r="AA38" s="53"/>
      <c r="AB38" s="53"/>
      <c r="AC38" s="53"/>
      <c r="AD38" s="53"/>
      <c r="AE38" s="53"/>
      <c r="AF38" s="53"/>
      <c r="AG38" s="53"/>
      <c r="AH38" s="53"/>
      <c r="AI38" s="53"/>
      <c r="AJ38" s="73" t="s">
        <v>42</v>
      </c>
      <c r="AK38" s="53"/>
      <c r="AL38" s="217"/>
      <c r="AM38" s="145">
        <v>4110</v>
      </c>
      <c r="AN38" s="148" t="s">
        <v>493</v>
      </c>
    </row>
    <row r="39" spans="1:47" s="9" customFormat="1" ht="24.95" customHeight="1" x14ac:dyDescent="0.35">
      <c r="A39" s="157">
        <f ca="1">IF($AN$35="YES",1,IF(_xll.ELCOMPN(Server&amp;$C$24,C39)&lt;&gt;0,1,IF(OR(B39=$AT$35,B39="ALL"),1,0)))</f>
        <v>1</v>
      </c>
      <c r="B39" s="139" t="str">
        <f t="shared" si="0"/>
        <v>IT</v>
      </c>
      <c r="C39" s="137" t="s">
        <v>153</v>
      </c>
      <c r="E39" s="219" t="str">
        <f ca="1">_xll.DBRA(Server&amp;$C$24,$C39,$F$21)</f>
        <v>Documentation (IT)</v>
      </c>
      <c r="F39" s="219"/>
      <c r="G39" s="219"/>
      <c r="H39" s="40"/>
      <c r="I39" s="192">
        <f ca="1">_xll.DBRW(Server&amp;Cube1,$F$17,$F$18,$F$19,$F$16,$C$14,$F$15,$F$14,$F$20,I$2,I$1,$C39)</f>
        <v>0</v>
      </c>
      <c r="J39" s="192">
        <f ca="1">_xll.DBRW(Server&amp;Cube1,$F$17,$F$18,$F$19,$F$16,$C$14,$F$15,$F$14,$F$20,J$2,J$1,$C39)</f>
        <v>0</v>
      </c>
      <c r="K39" s="183"/>
      <c r="L39" s="185">
        <f ca="1">_xll.DBRW(Server&amp;Cube1,$F$17,$F$18,$F$19,$F$16,$C$14,$F$15,$F$14,$F$20,L$2,L$1,$C39)</f>
        <v>0</v>
      </c>
      <c r="M39" s="184"/>
      <c r="N39" s="185">
        <f ca="1">_xll.DBRW(Server&amp;Cube1,$F$17,$F$18,$F$19,$F$16,$C$14,$F$15,$F$14,$F$20,N$2,$N$1,$C39)</f>
        <v>0</v>
      </c>
      <c r="O39" s="185">
        <f ca="1">_xll.DBRW(Server&amp;Cube1,$F$17,$F$18,$F$19,$F$16,$C$14,$F$15,$F$14,$F$20,O$2,$N$1,$C39)</f>
        <v>0</v>
      </c>
      <c r="P39" s="185">
        <f ca="1">_xll.DBRW(Server&amp;Cube1,$F$17,$F$18,$F$19,$F$16,$C$14,$F$15,$F$14,$F$20,P$2,$N$1,$C39)</f>
        <v>0</v>
      </c>
      <c r="Q39" s="185">
        <f ca="1">_xll.DBRW(Server&amp;Cube1,$F$17,$F$18,$F$19,$F$16,$C$14,$F$15,$F$14,$F$20,Q$2,$N$1,$C39)</f>
        <v>0</v>
      </c>
      <c r="R39" s="185">
        <f ca="1">_xll.DBRW(Server&amp;Cube1,$F$17,$F$18,$F$19,$F$16,$C$14,$F$15,$F$14,$F$20,R$2,$N$1,$C39)</f>
        <v>0</v>
      </c>
      <c r="S39" s="185">
        <f ca="1">_xll.DBRW(Server&amp;Cube1,$F$17,$F$18,$F$19,$F$16,$C$14,$F$15,$F$14,$F$20,S$2,$N$1,$C39)</f>
        <v>0</v>
      </c>
      <c r="T39" s="185">
        <f ca="1">_xll.DBRW(Server&amp;Cube1,$F$17,$F$18,$F$19,$F$16,$C$14,$F$15,$F$14,$F$20,T$2,$N$1,$C39)</f>
        <v>0</v>
      </c>
      <c r="U39" s="185">
        <f ca="1">_xll.DBRW(Server&amp;Cube1,$F$17,$F$18,$F$19,$F$16,$C$14,$F$15,$F$14,$F$20,U$2,$N$1,$C39)</f>
        <v>0</v>
      </c>
      <c r="V39" s="185">
        <f ca="1">_xll.DBRW(Server&amp;Cube1,$F$17,$F$18,$F$19,$F$16,$C$14,$F$15,$F$14,$F$20,V$2,$N$1,$C39)</f>
        <v>0</v>
      </c>
      <c r="W39" s="185">
        <f ca="1">_xll.DBRW(Server&amp;Cube1,$F$17,$F$18,$F$19,$F$16,$C$14,$F$15,$F$14,$F$20,W$2,$N$1,$C39)</f>
        <v>0</v>
      </c>
      <c r="X39" s="185">
        <f ca="1">_xll.DBRW(Server&amp;Cube1,$F$17,$F$18,$F$19,$F$16,$C$14,$F$15,$F$14,$F$20,X$2,$N$1,$C39)</f>
        <v>0</v>
      </c>
      <c r="Y39" s="185">
        <f ca="1">_xll.DBRW(Server&amp;Cube1,$F$17,$F$18,$F$19,$F$16,$C$14,$F$15,$F$14,$F$20,Y$2,$N$1,$C39)</f>
        <v>0</v>
      </c>
      <c r="Z39" s="185">
        <f ca="1">_xll.DBRW(Server&amp;Cube1,$F$17,$F$18,$F$19,$F$16,$C$14,$F$15,$F$14,$F$20,Z$2,$N$1,$C39)</f>
        <v>0</v>
      </c>
      <c r="AA39" s="53"/>
      <c r="AB39" s="53"/>
      <c r="AC39" s="53"/>
      <c r="AD39" s="53"/>
      <c r="AE39" s="53"/>
      <c r="AF39" s="53"/>
      <c r="AG39" s="53"/>
      <c r="AH39" s="53"/>
      <c r="AI39" s="53"/>
      <c r="AJ39" s="73" t="s">
        <v>43</v>
      </c>
      <c r="AK39" s="53"/>
      <c r="AL39" s="217"/>
      <c r="AM39" s="145">
        <v>4120</v>
      </c>
      <c r="AN39" s="148" t="s">
        <v>493</v>
      </c>
    </row>
    <row r="40" spans="1:47" s="9" customFormat="1" ht="24.95" customHeight="1" thickBot="1" x14ac:dyDescent="0.4">
      <c r="A40" s="157">
        <f ca="1">IF($AN$35="YES",1,IF(_xll.ELCOMPN(Server&amp;$C$24,C40)&lt;&gt;0,1,IF(OR(B40=$AT$35,B40="ALL"),1,0)))</f>
        <v>1</v>
      </c>
      <c r="B40" s="139" t="str">
        <f t="shared" si="0"/>
        <v>HR</v>
      </c>
      <c r="C40" s="137" t="s">
        <v>154</v>
      </c>
      <c r="E40" s="219" t="str">
        <f ca="1">_xll.DBRA(Server&amp;$C$24,$C40,$F$21)</f>
        <v>Documentation (RH)</v>
      </c>
      <c r="F40" s="219"/>
      <c r="G40" s="219"/>
      <c r="H40" s="40"/>
      <c r="I40" s="192">
        <f ca="1">_xll.DBRW(Server&amp;Cube1,$F$17,$F$18,$F$19,$F$16,$C$14,$F$15,$F$14,$F$20,I$2,I$1,$C40)</f>
        <v>0</v>
      </c>
      <c r="J40" s="192">
        <f ca="1">_xll.DBRW(Server&amp;Cube1,$F$17,$F$18,$F$19,$F$16,$C$14,$F$15,$F$14,$F$20,J$2,J$1,$C40)</f>
        <v>0</v>
      </c>
      <c r="K40" s="183"/>
      <c r="L40" s="185">
        <f ca="1">_xll.DBRW(Server&amp;Cube1,$F$17,$F$18,$F$19,$F$16,$C$14,$F$15,$F$14,$F$20,L$2,L$1,$C40)</f>
        <v>0</v>
      </c>
      <c r="M40" s="184"/>
      <c r="N40" s="185">
        <f ca="1">_xll.DBRW(Server&amp;Cube1,$F$17,$F$18,$F$19,$F$16,$C$14,$F$15,$F$14,$F$20,N$2,$N$1,$C40)</f>
        <v>0</v>
      </c>
      <c r="O40" s="185">
        <f ca="1">_xll.DBRW(Server&amp;Cube1,$F$17,$F$18,$F$19,$F$16,$C$14,$F$15,$F$14,$F$20,O$2,$N$1,$C40)</f>
        <v>0</v>
      </c>
      <c r="P40" s="185">
        <f ca="1">_xll.DBRW(Server&amp;Cube1,$F$17,$F$18,$F$19,$F$16,$C$14,$F$15,$F$14,$F$20,P$2,$N$1,$C40)</f>
        <v>0</v>
      </c>
      <c r="Q40" s="185">
        <f ca="1">_xll.DBRW(Server&amp;Cube1,$F$17,$F$18,$F$19,$F$16,$C$14,$F$15,$F$14,$F$20,Q$2,$N$1,$C40)</f>
        <v>0</v>
      </c>
      <c r="R40" s="185">
        <f ca="1">_xll.DBRW(Server&amp;Cube1,$F$17,$F$18,$F$19,$F$16,$C$14,$F$15,$F$14,$F$20,R$2,$N$1,$C40)</f>
        <v>0</v>
      </c>
      <c r="S40" s="185">
        <f ca="1">_xll.DBRW(Server&amp;Cube1,$F$17,$F$18,$F$19,$F$16,$C$14,$F$15,$F$14,$F$20,S$2,$N$1,$C40)</f>
        <v>0</v>
      </c>
      <c r="T40" s="185">
        <f ca="1">_xll.DBRW(Server&amp;Cube1,$F$17,$F$18,$F$19,$F$16,$C$14,$F$15,$F$14,$F$20,T$2,$N$1,$C40)</f>
        <v>0</v>
      </c>
      <c r="U40" s="185">
        <f ca="1">_xll.DBRW(Server&amp;Cube1,$F$17,$F$18,$F$19,$F$16,$C$14,$F$15,$F$14,$F$20,U$2,$N$1,$C40)</f>
        <v>0</v>
      </c>
      <c r="V40" s="185">
        <f ca="1">_xll.DBRW(Server&amp;Cube1,$F$17,$F$18,$F$19,$F$16,$C$14,$F$15,$F$14,$F$20,V$2,$N$1,$C40)</f>
        <v>0</v>
      </c>
      <c r="W40" s="185">
        <f ca="1">_xll.DBRW(Server&amp;Cube1,$F$17,$F$18,$F$19,$F$16,$C$14,$F$15,$F$14,$F$20,W$2,$N$1,$C40)</f>
        <v>0</v>
      </c>
      <c r="X40" s="185">
        <f ca="1">_xll.DBRW(Server&amp;Cube1,$F$17,$F$18,$F$19,$F$16,$C$14,$F$15,$F$14,$F$20,X$2,$N$1,$C40)</f>
        <v>0</v>
      </c>
      <c r="Y40" s="185">
        <f ca="1">_xll.DBRW(Server&amp;Cube1,$F$17,$F$18,$F$19,$F$16,$C$14,$F$15,$F$14,$F$20,Y$2,$N$1,$C40)</f>
        <v>0</v>
      </c>
      <c r="Z40" s="185">
        <f ca="1">_xll.DBRW(Server&amp;Cube1,$F$17,$F$18,$F$19,$F$16,$C$14,$F$15,$F$14,$F$20,Z$2,$N$1,$C40)</f>
        <v>0</v>
      </c>
      <c r="AA40" s="53"/>
      <c r="AB40" s="53"/>
      <c r="AC40" s="53"/>
      <c r="AD40" s="53"/>
      <c r="AE40" s="53"/>
      <c r="AF40" s="53"/>
      <c r="AG40" s="53"/>
      <c r="AH40" s="53"/>
      <c r="AI40" s="53"/>
      <c r="AJ40" s="73" t="s">
        <v>44</v>
      </c>
      <c r="AK40" s="53"/>
      <c r="AL40" s="218"/>
      <c r="AM40" s="146">
        <v>4130</v>
      </c>
      <c r="AN40" s="149" t="s">
        <v>493</v>
      </c>
    </row>
    <row r="41" spans="1:47" s="9" customFormat="1" ht="24.95" customHeight="1" x14ac:dyDescent="0.35">
      <c r="A41" s="157">
        <f ca="1">IF($AN$35="YES",1,IF(_xll.ELCOMPN(Server&amp;$C$24,C41)&lt;&gt;0,1,IF(OR(B41=$AT$35,B41="ALL"),1,0)))</f>
        <v>1</v>
      </c>
      <c r="B41" s="139" t="str">
        <f t="shared" si="0"/>
        <v>GM</v>
      </c>
      <c r="C41" s="137" t="s">
        <v>155</v>
      </c>
      <c r="E41" s="219" t="str">
        <f ca="1">_xll.DBRA(Server&amp;$C$24,$C41,$F$21)</f>
        <v>Documentation (DG)</v>
      </c>
      <c r="F41" s="219"/>
      <c r="G41" s="219"/>
      <c r="H41" s="40"/>
      <c r="I41" s="192">
        <f ca="1">_xll.DBRW(Server&amp;Cube1,$F$17,$F$18,$F$19,$F$16,$C$14,$F$15,$F$14,$F$20,I$2,I$1,$C41)</f>
        <v>0</v>
      </c>
      <c r="J41" s="192">
        <f ca="1">_xll.DBRW(Server&amp;Cube1,$F$17,$F$18,$F$19,$F$16,$C$14,$F$15,$F$14,$F$20,J$2,J$1,$C41)</f>
        <v>0</v>
      </c>
      <c r="K41" s="183"/>
      <c r="L41" s="185">
        <f ca="1">_xll.DBRW(Server&amp;Cube1,$F$17,$F$18,$F$19,$F$16,$C$14,$F$15,$F$14,$F$20,L$2,L$1,$C41)</f>
        <v>0</v>
      </c>
      <c r="M41" s="184"/>
      <c r="N41" s="185">
        <f ca="1">_xll.DBRW(Server&amp;Cube1,$F$17,$F$18,$F$19,$F$16,$C$14,$F$15,$F$14,$F$20,N$2,$N$1,$C41)</f>
        <v>0</v>
      </c>
      <c r="O41" s="185">
        <f ca="1">_xll.DBRW(Server&amp;Cube1,$F$17,$F$18,$F$19,$F$16,$C$14,$F$15,$F$14,$F$20,O$2,$N$1,$C41)</f>
        <v>0</v>
      </c>
      <c r="P41" s="185">
        <f ca="1">_xll.DBRW(Server&amp;Cube1,$F$17,$F$18,$F$19,$F$16,$C$14,$F$15,$F$14,$F$20,P$2,$N$1,$C41)</f>
        <v>0</v>
      </c>
      <c r="Q41" s="185">
        <f ca="1">_xll.DBRW(Server&amp;Cube1,$F$17,$F$18,$F$19,$F$16,$C$14,$F$15,$F$14,$F$20,Q$2,$N$1,$C41)</f>
        <v>0</v>
      </c>
      <c r="R41" s="185">
        <f ca="1">_xll.DBRW(Server&amp;Cube1,$F$17,$F$18,$F$19,$F$16,$C$14,$F$15,$F$14,$F$20,R$2,$N$1,$C41)</f>
        <v>0</v>
      </c>
      <c r="S41" s="185">
        <f ca="1">_xll.DBRW(Server&amp;Cube1,$F$17,$F$18,$F$19,$F$16,$C$14,$F$15,$F$14,$F$20,S$2,$N$1,$C41)</f>
        <v>0</v>
      </c>
      <c r="T41" s="185">
        <f ca="1">_xll.DBRW(Server&amp;Cube1,$F$17,$F$18,$F$19,$F$16,$C$14,$F$15,$F$14,$F$20,T$2,$N$1,$C41)</f>
        <v>0</v>
      </c>
      <c r="U41" s="185">
        <f ca="1">_xll.DBRW(Server&amp;Cube1,$F$17,$F$18,$F$19,$F$16,$C$14,$F$15,$F$14,$F$20,U$2,$N$1,$C41)</f>
        <v>0</v>
      </c>
      <c r="V41" s="185">
        <f ca="1">_xll.DBRW(Server&amp;Cube1,$F$17,$F$18,$F$19,$F$16,$C$14,$F$15,$F$14,$F$20,V$2,$N$1,$C41)</f>
        <v>0</v>
      </c>
      <c r="W41" s="185">
        <f ca="1">_xll.DBRW(Server&amp;Cube1,$F$17,$F$18,$F$19,$F$16,$C$14,$F$15,$F$14,$F$20,W$2,$N$1,$C41)</f>
        <v>0</v>
      </c>
      <c r="X41" s="185">
        <f ca="1">_xll.DBRW(Server&amp;Cube1,$F$17,$F$18,$F$19,$F$16,$C$14,$F$15,$F$14,$F$20,X$2,$N$1,$C41)</f>
        <v>0</v>
      </c>
      <c r="Y41" s="185">
        <f ca="1">_xll.DBRW(Server&amp;Cube1,$F$17,$F$18,$F$19,$F$16,$C$14,$F$15,$F$14,$F$20,Y$2,$N$1,$C41)</f>
        <v>0</v>
      </c>
      <c r="Z41" s="185">
        <f ca="1">_xll.DBRW(Server&amp;Cube1,$F$17,$F$18,$F$19,$F$16,$C$14,$F$15,$F$14,$F$20,Z$2,$N$1,$C41)</f>
        <v>0</v>
      </c>
      <c r="AA41" s="53"/>
      <c r="AB41" s="53"/>
      <c r="AC41" s="53"/>
      <c r="AD41" s="53"/>
      <c r="AE41" s="53"/>
      <c r="AF41" s="53"/>
      <c r="AG41" s="53"/>
      <c r="AH41" s="53"/>
      <c r="AI41" s="53"/>
      <c r="AJ41" s="73" t="s">
        <v>45</v>
      </c>
      <c r="AK41" s="53"/>
      <c r="AL41" s="216" t="s">
        <v>471</v>
      </c>
      <c r="AM41" s="144">
        <v>4200</v>
      </c>
      <c r="AN41" s="147" t="s">
        <v>471</v>
      </c>
    </row>
    <row r="42" spans="1:47" s="9" customFormat="1" ht="24.95" customHeight="1" x14ac:dyDescent="0.35">
      <c r="A42" s="157">
        <f ca="1">IF($AN$35="YES",1,IF(_xll.ELCOMPN(Server&amp;$C$24,C42)&lt;&gt;0,1,IF(OR(B42=$AT$35,B42="ALL"),1,0)))</f>
        <v>1</v>
      </c>
      <c r="B42" s="139" t="str">
        <f t="shared" si="0"/>
        <v>IA</v>
      </c>
      <c r="C42" s="137" t="s">
        <v>156</v>
      </c>
      <c r="E42" s="219" t="str">
        <f ca="1">_xll.DBRA(Server&amp;$C$24,$C42,$F$21)</f>
        <v>Documentation (AI)</v>
      </c>
      <c r="F42" s="219"/>
      <c r="G42" s="219"/>
      <c r="H42" s="40"/>
      <c r="I42" s="192">
        <f ca="1">_xll.DBRW(Server&amp;Cube1,$F$17,$F$18,$F$19,$F$16,$C$14,$F$15,$F$14,$F$20,I$2,I$1,$C42)</f>
        <v>0</v>
      </c>
      <c r="J42" s="192">
        <f ca="1">_xll.DBRW(Server&amp;Cube1,$F$17,$F$18,$F$19,$F$16,$C$14,$F$15,$F$14,$F$20,J$2,J$1,$C42)</f>
        <v>0</v>
      </c>
      <c r="K42" s="183"/>
      <c r="L42" s="185">
        <f ca="1">_xll.DBRW(Server&amp;Cube1,$F$17,$F$18,$F$19,$F$16,$C$14,$F$15,$F$14,$F$20,L$2,L$1,$C42)</f>
        <v>0</v>
      </c>
      <c r="M42" s="184"/>
      <c r="N42" s="185">
        <f ca="1">_xll.DBRW(Server&amp;Cube1,$F$17,$F$18,$F$19,$F$16,$C$14,$F$15,$F$14,$F$20,N$2,$N$1,$C42)</f>
        <v>0</v>
      </c>
      <c r="O42" s="185">
        <f ca="1">_xll.DBRW(Server&amp;Cube1,$F$17,$F$18,$F$19,$F$16,$C$14,$F$15,$F$14,$F$20,O$2,$N$1,$C42)</f>
        <v>0</v>
      </c>
      <c r="P42" s="185">
        <f ca="1">_xll.DBRW(Server&amp;Cube1,$F$17,$F$18,$F$19,$F$16,$C$14,$F$15,$F$14,$F$20,P$2,$N$1,$C42)</f>
        <v>0</v>
      </c>
      <c r="Q42" s="185">
        <f ca="1">_xll.DBRW(Server&amp;Cube1,$F$17,$F$18,$F$19,$F$16,$C$14,$F$15,$F$14,$F$20,Q$2,$N$1,$C42)</f>
        <v>0</v>
      </c>
      <c r="R42" s="185">
        <f ca="1">_xll.DBRW(Server&amp;Cube1,$F$17,$F$18,$F$19,$F$16,$C$14,$F$15,$F$14,$F$20,R$2,$N$1,$C42)</f>
        <v>0</v>
      </c>
      <c r="S42" s="185">
        <f ca="1">_xll.DBRW(Server&amp;Cube1,$F$17,$F$18,$F$19,$F$16,$C$14,$F$15,$F$14,$F$20,S$2,$N$1,$C42)</f>
        <v>0</v>
      </c>
      <c r="T42" s="185">
        <f ca="1">_xll.DBRW(Server&amp;Cube1,$F$17,$F$18,$F$19,$F$16,$C$14,$F$15,$F$14,$F$20,T$2,$N$1,$C42)</f>
        <v>0</v>
      </c>
      <c r="U42" s="185">
        <f ca="1">_xll.DBRW(Server&amp;Cube1,$F$17,$F$18,$F$19,$F$16,$C$14,$F$15,$F$14,$F$20,U$2,$N$1,$C42)</f>
        <v>0</v>
      </c>
      <c r="V42" s="185">
        <f ca="1">_xll.DBRW(Server&amp;Cube1,$F$17,$F$18,$F$19,$F$16,$C$14,$F$15,$F$14,$F$20,V$2,$N$1,$C42)</f>
        <v>0</v>
      </c>
      <c r="W42" s="185">
        <f ca="1">_xll.DBRW(Server&amp;Cube1,$F$17,$F$18,$F$19,$F$16,$C$14,$F$15,$F$14,$F$20,W$2,$N$1,$C42)</f>
        <v>0</v>
      </c>
      <c r="X42" s="185">
        <f ca="1">_xll.DBRW(Server&amp;Cube1,$F$17,$F$18,$F$19,$F$16,$C$14,$F$15,$F$14,$F$20,X$2,$N$1,$C42)</f>
        <v>0</v>
      </c>
      <c r="Y42" s="185">
        <f ca="1">_xll.DBRW(Server&amp;Cube1,$F$17,$F$18,$F$19,$F$16,$C$14,$F$15,$F$14,$F$20,Y$2,$N$1,$C42)</f>
        <v>0</v>
      </c>
      <c r="Z42" s="185">
        <f ca="1">_xll.DBRW(Server&amp;Cube1,$F$17,$F$18,$F$19,$F$16,$C$14,$F$15,$F$14,$F$20,Z$2,$N$1,$C42)</f>
        <v>0</v>
      </c>
      <c r="AA42" s="53"/>
      <c r="AB42" s="53"/>
      <c r="AC42" s="53"/>
      <c r="AD42" s="53"/>
      <c r="AE42" s="53"/>
      <c r="AF42" s="53"/>
      <c r="AG42" s="53"/>
      <c r="AH42" s="53"/>
      <c r="AI42" s="53"/>
      <c r="AJ42" s="73" t="s">
        <v>46</v>
      </c>
      <c r="AK42" s="53"/>
      <c r="AL42" s="217"/>
      <c r="AM42" s="145">
        <v>4210</v>
      </c>
      <c r="AN42" s="148" t="s">
        <v>471</v>
      </c>
    </row>
    <row r="43" spans="1:47" s="9" customFormat="1" ht="24.95" customHeight="1" x14ac:dyDescent="0.35">
      <c r="A43" s="157">
        <f ca="1">IF($AN$35="YES",1,IF(_xll.ELCOMPN(Server&amp;$C$24,C43)&lt;&gt;0,1,IF(OR(B43=$AT$35,B43="ALL"),1,0)))</f>
        <v>1</v>
      </c>
      <c r="B43" s="139" t="str">
        <f t="shared" si="0"/>
        <v>LE</v>
      </c>
      <c r="C43" s="137" t="s">
        <v>157</v>
      </c>
      <c r="E43" s="219" t="str">
        <f ca="1">_xll.DBRA(Server&amp;$C$24,$C43,$F$21)</f>
        <v>Documentation (JU)</v>
      </c>
      <c r="F43" s="219"/>
      <c r="G43" s="219"/>
      <c r="H43" s="40"/>
      <c r="I43" s="192">
        <f ca="1">_xll.DBRW(Server&amp;Cube1,$F$17,$F$18,$F$19,$F$16,$C$14,$F$15,$F$14,$F$20,I$2,I$1,$C43)</f>
        <v>0</v>
      </c>
      <c r="J43" s="192">
        <f ca="1">_xll.DBRW(Server&amp;Cube1,$F$17,$F$18,$F$19,$F$16,$C$14,$F$15,$F$14,$F$20,J$2,J$1,$C43)</f>
        <v>0</v>
      </c>
      <c r="K43" s="183"/>
      <c r="L43" s="185">
        <f ca="1">_xll.DBRW(Server&amp;Cube1,$F$17,$F$18,$F$19,$F$16,$C$14,$F$15,$F$14,$F$20,L$2,L$1,$C43)</f>
        <v>0</v>
      </c>
      <c r="M43" s="184"/>
      <c r="N43" s="185">
        <f ca="1">_xll.DBRW(Server&amp;Cube1,$F$17,$F$18,$F$19,$F$16,$C$14,$F$15,$F$14,$F$20,N$2,$N$1,$C43)</f>
        <v>0</v>
      </c>
      <c r="O43" s="185">
        <f ca="1">_xll.DBRW(Server&amp;Cube1,$F$17,$F$18,$F$19,$F$16,$C$14,$F$15,$F$14,$F$20,O$2,$N$1,$C43)</f>
        <v>0</v>
      </c>
      <c r="P43" s="185">
        <f ca="1">_xll.DBRW(Server&amp;Cube1,$F$17,$F$18,$F$19,$F$16,$C$14,$F$15,$F$14,$F$20,P$2,$N$1,$C43)</f>
        <v>0</v>
      </c>
      <c r="Q43" s="185">
        <f ca="1">_xll.DBRW(Server&amp;Cube1,$F$17,$F$18,$F$19,$F$16,$C$14,$F$15,$F$14,$F$20,Q$2,$N$1,$C43)</f>
        <v>0</v>
      </c>
      <c r="R43" s="185">
        <f ca="1">_xll.DBRW(Server&amp;Cube1,$F$17,$F$18,$F$19,$F$16,$C$14,$F$15,$F$14,$F$20,R$2,$N$1,$C43)</f>
        <v>0</v>
      </c>
      <c r="S43" s="185">
        <f ca="1">_xll.DBRW(Server&amp;Cube1,$F$17,$F$18,$F$19,$F$16,$C$14,$F$15,$F$14,$F$20,S$2,$N$1,$C43)</f>
        <v>0</v>
      </c>
      <c r="T43" s="185">
        <f ca="1">_xll.DBRW(Server&amp;Cube1,$F$17,$F$18,$F$19,$F$16,$C$14,$F$15,$F$14,$F$20,T$2,$N$1,$C43)</f>
        <v>0</v>
      </c>
      <c r="U43" s="185">
        <f ca="1">_xll.DBRW(Server&amp;Cube1,$F$17,$F$18,$F$19,$F$16,$C$14,$F$15,$F$14,$F$20,U$2,$N$1,$C43)</f>
        <v>0</v>
      </c>
      <c r="V43" s="185">
        <f ca="1">_xll.DBRW(Server&amp;Cube1,$F$17,$F$18,$F$19,$F$16,$C$14,$F$15,$F$14,$F$20,V$2,$N$1,$C43)</f>
        <v>0</v>
      </c>
      <c r="W43" s="185">
        <f ca="1">_xll.DBRW(Server&amp;Cube1,$F$17,$F$18,$F$19,$F$16,$C$14,$F$15,$F$14,$F$20,W$2,$N$1,$C43)</f>
        <v>0</v>
      </c>
      <c r="X43" s="185">
        <f ca="1">_xll.DBRW(Server&amp;Cube1,$F$17,$F$18,$F$19,$F$16,$C$14,$F$15,$F$14,$F$20,X$2,$N$1,$C43)</f>
        <v>0</v>
      </c>
      <c r="Y43" s="185">
        <f ca="1">_xll.DBRW(Server&amp;Cube1,$F$17,$F$18,$F$19,$F$16,$C$14,$F$15,$F$14,$F$20,Y$2,$N$1,$C43)</f>
        <v>0</v>
      </c>
      <c r="Z43" s="185">
        <f ca="1">_xll.DBRW(Server&amp;Cube1,$F$17,$F$18,$F$19,$F$16,$C$14,$F$15,$F$14,$F$20,Z$2,$N$1,$C43)</f>
        <v>0</v>
      </c>
      <c r="AA43" s="53"/>
      <c r="AB43" s="53"/>
      <c r="AC43" s="53"/>
      <c r="AD43" s="53"/>
      <c r="AE43" s="53"/>
      <c r="AF43" s="53"/>
      <c r="AG43" s="53"/>
      <c r="AH43" s="53"/>
      <c r="AI43" s="53"/>
      <c r="AJ43" s="73" t="s">
        <v>47</v>
      </c>
      <c r="AK43" s="53"/>
      <c r="AL43" s="217"/>
      <c r="AM43" s="145">
        <v>4220</v>
      </c>
      <c r="AN43" s="148" t="s">
        <v>471</v>
      </c>
    </row>
    <row r="44" spans="1:47" s="9" customFormat="1" ht="24.95" customHeight="1" x14ac:dyDescent="0.35">
      <c r="A44" s="157">
        <f ca="1">IF($AN$35="YES",1,IF(_xll.ELCOMPN(Server&amp;$C$24,C44)&lt;&gt;0,1,IF(OR(B44=$AT$35,B44="ALL"),1,0)))</f>
        <v>1</v>
      </c>
      <c r="B44" s="139" t="str">
        <f t="shared" si="0"/>
        <v>RM</v>
      </c>
      <c r="C44" s="137" t="s">
        <v>158</v>
      </c>
      <c r="E44" s="219" t="str">
        <f ca="1">_xll.DBRA(Server&amp;$C$24,$C44,$F$21)</f>
        <v>Documentation (GR)</v>
      </c>
      <c r="F44" s="219"/>
      <c r="G44" s="219"/>
      <c r="H44" s="40"/>
      <c r="I44" s="192">
        <f ca="1">_xll.DBRW(Server&amp;Cube1,$F$17,$F$18,$F$19,$F$16,$C$14,$F$15,$F$14,$F$20,I$2,I$1,$C44)</f>
        <v>0</v>
      </c>
      <c r="J44" s="192">
        <f ca="1">_xll.DBRW(Server&amp;Cube1,$F$17,$F$18,$F$19,$F$16,$C$14,$F$15,$F$14,$F$20,J$2,J$1,$C44)</f>
        <v>0</v>
      </c>
      <c r="K44" s="183"/>
      <c r="L44" s="185">
        <f ca="1">_xll.DBRW(Server&amp;Cube1,$F$17,$F$18,$F$19,$F$16,$C$14,$F$15,$F$14,$F$20,L$2,L$1,$C44)</f>
        <v>0</v>
      </c>
      <c r="M44" s="184"/>
      <c r="N44" s="185">
        <f ca="1">_xll.DBRW(Server&amp;Cube1,$F$17,$F$18,$F$19,$F$16,$C$14,$F$15,$F$14,$F$20,N$2,$N$1,$C44)</f>
        <v>0</v>
      </c>
      <c r="O44" s="185">
        <f ca="1">_xll.DBRW(Server&amp;Cube1,$F$17,$F$18,$F$19,$F$16,$C$14,$F$15,$F$14,$F$20,O$2,$N$1,$C44)</f>
        <v>0</v>
      </c>
      <c r="P44" s="185">
        <f ca="1">_xll.DBRW(Server&amp;Cube1,$F$17,$F$18,$F$19,$F$16,$C$14,$F$15,$F$14,$F$20,P$2,$N$1,$C44)</f>
        <v>0</v>
      </c>
      <c r="Q44" s="185">
        <f ca="1">_xll.DBRW(Server&amp;Cube1,$F$17,$F$18,$F$19,$F$16,$C$14,$F$15,$F$14,$F$20,Q$2,$N$1,$C44)</f>
        <v>0</v>
      </c>
      <c r="R44" s="185">
        <f ca="1">_xll.DBRW(Server&amp;Cube1,$F$17,$F$18,$F$19,$F$16,$C$14,$F$15,$F$14,$F$20,R$2,$N$1,$C44)</f>
        <v>0</v>
      </c>
      <c r="S44" s="185">
        <f ca="1">_xll.DBRW(Server&amp;Cube1,$F$17,$F$18,$F$19,$F$16,$C$14,$F$15,$F$14,$F$20,S$2,$N$1,$C44)</f>
        <v>0</v>
      </c>
      <c r="T44" s="185">
        <f ca="1">_xll.DBRW(Server&amp;Cube1,$F$17,$F$18,$F$19,$F$16,$C$14,$F$15,$F$14,$F$20,T$2,$N$1,$C44)</f>
        <v>0</v>
      </c>
      <c r="U44" s="185">
        <f ca="1">_xll.DBRW(Server&amp;Cube1,$F$17,$F$18,$F$19,$F$16,$C$14,$F$15,$F$14,$F$20,U$2,$N$1,$C44)</f>
        <v>0</v>
      </c>
      <c r="V44" s="185">
        <f ca="1">_xll.DBRW(Server&amp;Cube1,$F$17,$F$18,$F$19,$F$16,$C$14,$F$15,$F$14,$F$20,V$2,$N$1,$C44)</f>
        <v>0</v>
      </c>
      <c r="W44" s="185">
        <f ca="1">_xll.DBRW(Server&amp;Cube1,$F$17,$F$18,$F$19,$F$16,$C$14,$F$15,$F$14,$F$20,W$2,$N$1,$C44)</f>
        <v>0</v>
      </c>
      <c r="X44" s="185">
        <f ca="1">_xll.DBRW(Server&amp;Cube1,$F$17,$F$18,$F$19,$F$16,$C$14,$F$15,$F$14,$F$20,X$2,$N$1,$C44)</f>
        <v>0</v>
      </c>
      <c r="Y44" s="185">
        <f ca="1">_xll.DBRW(Server&amp;Cube1,$F$17,$F$18,$F$19,$F$16,$C$14,$F$15,$F$14,$F$20,Y$2,$N$1,$C44)</f>
        <v>0</v>
      </c>
      <c r="Z44" s="185">
        <f ca="1">_xll.DBRW(Server&amp;Cube1,$F$17,$F$18,$F$19,$F$16,$C$14,$F$15,$F$14,$F$20,Z$2,$N$1,$C44)</f>
        <v>0</v>
      </c>
      <c r="AA44" s="53"/>
      <c r="AB44" s="53"/>
      <c r="AC44" s="53"/>
      <c r="AD44" s="53"/>
      <c r="AE44" s="53"/>
      <c r="AF44" s="53"/>
      <c r="AG44" s="53"/>
      <c r="AH44" s="53"/>
      <c r="AI44" s="53"/>
      <c r="AJ44" s="73" t="s">
        <v>48</v>
      </c>
      <c r="AK44" s="53"/>
      <c r="AL44" s="217"/>
      <c r="AM44" s="145">
        <v>4230</v>
      </c>
      <c r="AN44" s="148" t="s">
        <v>471</v>
      </c>
    </row>
    <row r="45" spans="1:47" s="9" customFormat="1" ht="24.95" customHeight="1" x14ac:dyDescent="0.35">
      <c r="A45" s="157">
        <f ca="1">IF($AN$35="YES",1,IF(_xll.ELCOMPN(Server&amp;$C$24,C45)&lt;&gt;0,1,IF(OR(B45=$AT$35,B45="ALL"),1,0)))</f>
        <v>1</v>
      </c>
      <c r="B45" s="139" t="str">
        <f t="shared" si="0"/>
        <v>PU</v>
      </c>
      <c r="C45" s="137" t="s">
        <v>159</v>
      </c>
      <c r="E45" s="219" t="str">
        <f ca="1">_xll.DBRA(Server&amp;$C$24,$C45,$F$21)</f>
        <v>Documentation (AC)</v>
      </c>
      <c r="F45" s="219"/>
      <c r="G45" s="219"/>
      <c r="H45" s="40"/>
      <c r="I45" s="192">
        <f ca="1">_xll.DBRW(Server&amp;Cube1,$F$17,$F$18,$F$19,$F$16,$C$14,$F$15,$F$14,$F$20,I$2,I$1,$C45)</f>
        <v>0</v>
      </c>
      <c r="J45" s="192">
        <f ca="1">_xll.DBRW(Server&amp;Cube1,$F$17,$F$18,$F$19,$F$16,$C$14,$F$15,$F$14,$F$20,J$2,J$1,$C45)</f>
        <v>0</v>
      </c>
      <c r="K45" s="183"/>
      <c r="L45" s="185">
        <f ca="1">_xll.DBRW(Server&amp;Cube1,$F$17,$F$18,$F$19,$F$16,$C$14,$F$15,$F$14,$F$20,L$2,L$1,$C45)</f>
        <v>0</v>
      </c>
      <c r="M45" s="184"/>
      <c r="N45" s="185">
        <f ca="1">_xll.DBRW(Server&amp;Cube1,$F$17,$F$18,$F$19,$F$16,$C$14,$F$15,$F$14,$F$20,N$2,$N$1,$C45)</f>
        <v>0</v>
      </c>
      <c r="O45" s="185">
        <f ca="1">_xll.DBRW(Server&amp;Cube1,$F$17,$F$18,$F$19,$F$16,$C$14,$F$15,$F$14,$F$20,O$2,$N$1,$C45)</f>
        <v>0</v>
      </c>
      <c r="P45" s="185">
        <f ca="1">_xll.DBRW(Server&amp;Cube1,$F$17,$F$18,$F$19,$F$16,$C$14,$F$15,$F$14,$F$20,P$2,$N$1,$C45)</f>
        <v>0</v>
      </c>
      <c r="Q45" s="185">
        <f ca="1">_xll.DBRW(Server&amp;Cube1,$F$17,$F$18,$F$19,$F$16,$C$14,$F$15,$F$14,$F$20,Q$2,$N$1,$C45)</f>
        <v>0</v>
      </c>
      <c r="R45" s="185">
        <f ca="1">_xll.DBRW(Server&amp;Cube1,$F$17,$F$18,$F$19,$F$16,$C$14,$F$15,$F$14,$F$20,R$2,$N$1,$C45)</f>
        <v>0</v>
      </c>
      <c r="S45" s="185">
        <f ca="1">_xll.DBRW(Server&amp;Cube1,$F$17,$F$18,$F$19,$F$16,$C$14,$F$15,$F$14,$F$20,S$2,$N$1,$C45)</f>
        <v>0</v>
      </c>
      <c r="T45" s="185">
        <f ca="1">_xll.DBRW(Server&amp;Cube1,$F$17,$F$18,$F$19,$F$16,$C$14,$F$15,$F$14,$F$20,T$2,$N$1,$C45)</f>
        <v>0</v>
      </c>
      <c r="U45" s="185">
        <f ca="1">_xll.DBRW(Server&amp;Cube1,$F$17,$F$18,$F$19,$F$16,$C$14,$F$15,$F$14,$F$20,U$2,$N$1,$C45)</f>
        <v>0</v>
      </c>
      <c r="V45" s="185">
        <f ca="1">_xll.DBRW(Server&amp;Cube1,$F$17,$F$18,$F$19,$F$16,$C$14,$F$15,$F$14,$F$20,V$2,$N$1,$C45)</f>
        <v>0</v>
      </c>
      <c r="W45" s="185">
        <f ca="1">_xll.DBRW(Server&amp;Cube1,$F$17,$F$18,$F$19,$F$16,$C$14,$F$15,$F$14,$F$20,W$2,$N$1,$C45)</f>
        <v>0</v>
      </c>
      <c r="X45" s="185">
        <f ca="1">_xll.DBRW(Server&amp;Cube1,$F$17,$F$18,$F$19,$F$16,$C$14,$F$15,$F$14,$F$20,X$2,$N$1,$C45)</f>
        <v>0</v>
      </c>
      <c r="Y45" s="185">
        <f ca="1">_xll.DBRW(Server&amp;Cube1,$F$17,$F$18,$F$19,$F$16,$C$14,$F$15,$F$14,$F$20,Y$2,$N$1,$C45)</f>
        <v>0</v>
      </c>
      <c r="Z45" s="185">
        <f ca="1">_xll.DBRW(Server&amp;Cube1,$F$17,$F$18,$F$19,$F$16,$C$14,$F$15,$F$14,$F$20,Z$2,$N$1,$C45)</f>
        <v>0</v>
      </c>
      <c r="AA45" s="53"/>
      <c r="AB45" s="53"/>
      <c r="AC45" s="53"/>
      <c r="AD45" s="53"/>
      <c r="AE45" s="53"/>
      <c r="AF45" s="53"/>
      <c r="AG45" s="53"/>
      <c r="AH45" s="53"/>
      <c r="AI45" s="53"/>
      <c r="AJ45" s="73" t="s">
        <v>49</v>
      </c>
      <c r="AK45" s="53"/>
      <c r="AL45" s="217"/>
      <c r="AM45" s="145">
        <v>4240</v>
      </c>
      <c r="AN45" s="148" t="s">
        <v>471</v>
      </c>
    </row>
    <row r="46" spans="1:47" s="9" customFormat="1" ht="24.95" customHeight="1" x14ac:dyDescent="0.35">
      <c r="A46" s="157">
        <f ca="1">IF($AN$35="YES",1,IF(_xll.ELCOMPN(Server&amp;$C$24,C46)&lt;&gt;0,1,IF(OR(B46=$AT$35,B46="ALL"),1,0)))</f>
        <v>1</v>
      </c>
      <c r="B46" s="139" t="str">
        <f t="shared" si="0"/>
        <v>CO</v>
      </c>
      <c r="C46" s="137" t="s">
        <v>160</v>
      </c>
      <c r="E46" s="219" t="str">
        <f ca="1">_xll.DBRA(Server&amp;$C$24,$C46,$F$21)</f>
        <v>Documentation (CO)</v>
      </c>
      <c r="F46" s="219"/>
      <c r="G46" s="219"/>
      <c r="H46" s="40"/>
      <c r="I46" s="192">
        <f ca="1">_xll.DBRW(Server&amp;Cube1,$F$17,$F$18,$F$19,$F$16,$C$14,$F$15,$F$14,$F$20,I$2,I$1,$C46)</f>
        <v>0</v>
      </c>
      <c r="J46" s="192">
        <f ca="1">_xll.DBRW(Server&amp;Cube1,$F$17,$F$18,$F$19,$F$16,$C$14,$F$15,$F$14,$F$20,J$2,J$1,$C46)</f>
        <v>0</v>
      </c>
      <c r="K46" s="183"/>
      <c r="L46" s="185">
        <f ca="1">_xll.DBRW(Server&amp;Cube1,$F$17,$F$18,$F$19,$F$16,$C$14,$F$15,$F$14,$F$20,L$2,L$1,$C46)</f>
        <v>0</v>
      </c>
      <c r="M46" s="184"/>
      <c r="N46" s="185">
        <f ca="1">_xll.DBRW(Server&amp;Cube1,$F$17,$F$18,$F$19,$F$16,$C$14,$F$15,$F$14,$F$20,N$2,$N$1,$C46)</f>
        <v>0</v>
      </c>
      <c r="O46" s="185">
        <f ca="1">_xll.DBRW(Server&amp;Cube1,$F$17,$F$18,$F$19,$F$16,$C$14,$F$15,$F$14,$F$20,O$2,$N$1,$C46)</f>
        <v>0</v>
      </c>
      <c r="P46" s="185">
        <f ca="1">_xll.DBRW(Server&amp;Cube1,$F$17,$F$18,$F$19,$F$16,$C$14,$F$15,$F$14,$F$20,P$2,$N$1,$C46)</f>
        <v>0</v>
      </c>
      <c r="Q46" s="185">
        <f ca="1">_xll.DBRW(Server&amp;Cube1,$F$17,$F$18,$F$19,$F$16,$C$14,$F$15,$F$14,$F$20,Q$2,$N$1,$C46)</f>
        <v>0</v>
      </c>
      <c r="R46" s="185">
        <f ca="1">_xll.DBRW(Server&amp;Cube1,$F$17,$F$18,$F$19,$F$16,$C$14,$F$15,$F$14,$F$20,R$2,$N$1,$C46)</f>
        <v>0</v>
      </c>
      <c r="S46" s="185">
        <f ca="1">_xll.DBRW(Server&amp;Cube1,$F$17,$F$18,$F$19,$F$16,$C$14,$F$15,$F$14,$F$20,S$2,$N$1,$C46)</f>
        <v>0</v>
      </c>
      <c r="T46" s="185">
        <f ca="1">_xll.DBRW(Server&amp;Cube1,$F$17,$F$18,$F$19,$F$16,$C$14,$F$15,$F$14,$F$20,T$2,$N$1,$C46)</f>
        <v>0</v>
      </c>
      <c r="U46" s="185">
        <f ca="1">_xll.DBRW(Server&amp;Cube1,$F$17,$F$18,$F$19,$F$16,$C$14,$F$15,$F$14,$F$20,U$2,$N$1,$C46)</f>
        <v>0</v>
      </c>
      <c r="V46" s="185">
        <f ca="1">_xll.DBRW(Server&amp;Cube1,$F$17,$F$18,$F$19,$F$16,$C$14,$F$15,$F$14,$F$20,V$2,$N$1,$C46)</f>
        <v>0</v>
      </c>
      <c r="W46" s="185">
        <f ca="1">_xll.DBRW(Server&amp;Cube1,$F$17,$F$18,$F$19,$F$16,$C$14,$F$15,$F$14,$F$20,W$2,$N$1,$C46)</f>
        <v>0</v>
      </c>
      <c r="X46" s="185">
        <f ca="1">_xll.DBRW(Server&amp;Cube1,$F$17,$F$18,$F$19,$F$16,$C$14,$F$15,$F$14,$F$20,X$2,$N$1,$C46)</f>
        <v>0</v>
      </c>
      <c r="Y46" s="185">
        <f ca="1">_xll.DBRW(Server&amp;Cube1,$F$17,$F$18,$F$19,$F$16,$C$14,$F$15,$F$14,$F$20,Y$2,$N$1,$C46)</f>
        <v>0</v>
      </c>
      <c r="Z46" s="185">
        <f ca="1">_xll.DBRW(Server&amp;Cube1,$F$17,$F$18,$F$19,$F$16,$C$14,$F$15,$F$14,$F$20,Z$2,$N$1,$C46)</f>
        <v>0</v>
      </c>
      <c r="AA46" s="53"/>
      <c r="AB46" s="53"/>
      <c r="AC46" s="53"/>
      <c r="AD46" s="53"/>
      <c r="AE46" s="53"/>
      <c r="AF46" s="53"/>
      <c r="AG46" s="53"/>
      <c r="AH46" s="53"/>
      <c r="AI46" s="53"/>
      <c r="AJ46" s="73" t="s">
        <v>50</v>
      </c>
      <c r="AK46" s="53"/>
      <c r="AL46" s="217"/>
      <c r="AM46" s="145">
        <v>4250</v>
      </c>
      <c r="AN46" s="148" t="s">
        <v>471</v>
      </c>
    </row>
    <row r="47" spans="1:47" s="9" customFormat="1" ht="24.95" customHeight="1" thickBot="1" x14ac:dyDescent="0.4">
      <c r="A47" s="157">
        <f ca="1">IF($AN$35="YES",1,IF(_xll.ELCOMPN(Server&amp;$C$24,C47)&lt;&gt;0,1,IF(OR(B47=$AT$35,B47="ALL"),1,0)))</f>
        <v>1</v>
      </c>
      <c r="B47" s="139" t="str">
        <f t="shared" si="0"/>
        <v>GS</v>
      </c>
      <c r="C47" s="137" t="s">
        <v>161</v>
      </c>
      <c r="E47" s="219" t="str">
        <f ca="1">_xll.DBRA(Server&amp;$C$24,$C47,$F$21)</f>
        <v>Documentation (SG)</v>
      </c>
      <c r="F47" s="219"/>
      <c r="G47" s="219"/>
      <c r="H47" s="40"/>
      <c r="I47" s="192">
        <f ca="1">_xll.DBRW(Server&amp;Cube1,$F$17,$F$18,$F$19,$F$16,$C$14,$F$15,$F$14,$F$20,I$2,I$1,$C47)</f>
        <v>0</v>
      </c>
      <c r="J47" s="192">
        <f ca="1">_xll.DBRW(Server&amp;Cube1,$F$17,$F$18,$F$19,$F$16,$C$14,$F$15,$F$14,$F$20,J$2,J$1,$C47)</f>
        <v>0</v>
      </c>
      <c r="K47" s="183"/>
      <c r="L47" s="185">
        <f ca="1">_xll.DBRW(Server&amp;Cube1,$F$17,$F$18,$F$19,$F$16,$C$14,$F$15,$F$14,$F$20,L$2,L$1,$C47)</f>
        <v>0</v>
      </c>
      <c r="M47" s="184"/>
      <c r="N47" s="185">
        <f ca="1">_xll.DBRW(Server&amp;Cube1,$F$17,$F$18,$F$19,$F$16,$C$14,$F$15,$F$14,$F$20,N$2,$N$1,$C47)</f>
        <v>0</v>
      </c>
      <c r="O47" s="185">
        <f ca="1">_xll.DBRW(Server&amp;Cube1,$F$17,$F$18,$F$19,$F$16,$C$14,$F$15,$F$14,$F$20,O$2,$N$1,$C47)</f>
        <v>0</v>
      </c>
      <c r="P47" s="185">
        <f ca="1">_xll.DBRW(Server&amp;Cube1,$F$17,$F$18,$F$19,$F$16,$C$14,$F$15,$F$14,$F$20,P$2,$N$1,$C47)</f>
        <v>0</v>
      </c>
      <c r="Q47" s="185">
        <f ca="1">_xll.DBRW(Server&amp;Cube1,$F$17,$F$18,$F$19,$F$16,$C$14,$F$15,$F$14,$F$20,Q$2,$N$1,$C47)</f>
        <v>0</v>
      </c>
      <c r="R47" s="185">
        <f ca="1">_xll.DBRW(Server&amp;Cube1,$F$17,$F$18,$F$19,$F$16,$C$14,$F$15,$F$14,$F$20,R$2,$N$1,$C47)</f>
        <v>0</v>
      </c>
      <c r="S47" s="185">
        <f ca="1">_xll.DBRW(Server&amp;Cube1,$F$17,$F$18,$F$19,$F$16,$C$14,$F$15,$F$14,$F$20,S$2,$N$1,$C47)</f>
        <v>0</v>
      </c>
      <c r="T47" s="185">
        <f ca="1">_xll.DBRW(Server&amp;Cube1,$F$17,$F$18,$F$19,$F$16,$C$14,$F$15,$F$14,$F$20,T$2,$N$1,$C47)</f>
        <v>0</v>
      </c>
      <c r="U47" s="185">
        <f ca="1">_xll.DBRW(Server&amp;Cube1,$F$17,$F$18,$F$19,$F$16,$C$14,$F$15,$F$14,$F$20,U$2,$N$1,$C47)</f>
        <v>0</v>
      </c>
      <c r="V47" s="185">
        <f ca="1">_xll.DBRW(Server&amp;Cube1,$F$17,$F$18,$F$19,$F$16,$C$14,$F$15,$F$14,$F$20,V$2,$N$1,$C47)</f>
        <v>0</v>
      </c>
      <c r="W47" s="185">
        <f ca="1">_xll.DBRW(Server&amp;Cube1,$F$17,$F$18,$F$19,$F$16,$C$14,$F$15,$F$14,$F$20,W$2,$N$1,$C47)</f>
        <v>0</v>
      </c>
      <c r="X47" s="185">
        <f ca="1">_xll.DBRW(Server&amp;Cube1,$F$17,$F$18,$F$19,$F$16,$C$14,$F$15,$F$14,$F$20,X$2,$N$1,$C47)</f>
        <v>0</v>
      </c>
      <c r="Y47" s="185">
        <f ca="1">_xll.DBRW(Server&amp;Cube1,$F$17,$F$18,$F$19,$F$16,$C$14,$F$15,$F$14,$F$20,Y$2,$N$1,$C47)</f>
        <v>0</v>
      </c>
      <c r="Z47" s="185">
        <f ca="1">_xll.DBRW(Server&amp;Cube1,$F$17,$F$18,$F$19,$F$16,$C$14,$F$15,$F$14,$F$20,Z$2,$N$1,$C47)</f>
        <v>0</v>
      </c>
      <c r="AA47" s="53"/>
      <c r="AB47" s="53"/>
      <c r="AC47" s="53"/>
      <c r="AD47" s="53"/>
      <c r="AE47" s="53"/>
      <c r="AF47" s="53"/>
      <c r="AG47" s="53"/>
      <c r="AH47" s="53"/>
      <c r="AI47" s="53"/>
      <c r="AJ47" s="73" t="s">
        <v>51</v>
      </c>
      <c r="AK47" s="53"/>
      <c r="AL47" s="218"/>
      <c r="AM47" s="146">
        <v>5200</v>
      </c>
      <c r="AN47" s="149" t="s">
        <v>471</v>
      </c>
    </row>
    <row r="48" spans="1:47" s="9" customFormat="1" ht="24.95" customHeight="1" x14ac:dyDescent="0.35">
      <c r="A48" s="157">
        <f ca="1">IF($AN$35="YES",1,IF(_xll.ELCOMPN(Server&amp;$C$24,C48)&lt;&gt;0,1,IF(OR(B48=$AT$35,B48="ALL"),1,0)))</f>
        <v>1</v>
      </c>
      <c r="B48" s="139" t="str">
        <f t="shared" si="0"/>
        <v>RD</v>
      </c>
      <c r="C48" s="137" t="s">
        <v>162</v>
      </c>
      <c r="E48" s="219" t="str">
        <f ca="1">_xll.DBRA(Server&amp;$C$24,$C48,$F$21)</f>
        <v>Documentation (RD)</v>
      </c>
      <c r="F48" s="219"/>
      <c r="G48" s="219"/>
      <c r="H48" s="40"/>
      <c r="I48" s="192">
        <f ca="1">_xll.DBRW(Server&amp;Cube1,$F$17,$F$18,$F$19,$F$16,$C$14,$F$15,$F$14,$F$20,I$2,I$1,$C48)</f>
        <v>0</v>
      </c>
      <c r="J48" s="192">
        <f ca="1">_xll.DBRW(Server&amp;Cube1,$F$17,$F$18,$F$19,$F$16,$C$14,$F$15,$F$14,$F$20,J$2,J$1,$C48)</f>
        <v>0</v>
      </c>
      <c r="K48" s="183"/>
      <c r="L48" s="185">
        <f ca="1">_xll.DBRW(Server&amp;Cube1,$F$17,$F$18,$F$19,$F$16,$C$14,$F$15,$F$14,$F$20,L$2,L$1,$C48)</f>
        <v>0</v>
      </c>
      <c r="M48" s="184"/>
      <c r="N48" s="185">
        <f ca="1">_xll.DBRW(Server&amp;Cube1,$F$17,$F$18,$F$19,$F$16,$C$14,$F$15,$F$14,$F$20,N$2,$N$1,$C48)</f>
        <v>0</v>
      </c>
      <c r="O48" s="185">
        <f ca="1">_xll.DBRW(Server&amp;Cube1,$F$17,$F$18,$F$19,$F$16,$C$14,$F$15,$F$14,$F$20,O$2,$N$1,$C48)</f>
        <v>0</v>
      </c>
      <c r="P48" s="185">
        <f ca="1">_xll.DBRW(Server&amp;Cube1,$F$17,$F$18,$F$19,$F$16,$C$14,$F$15,$F$14,$F$20,P$2,$N$1,$C48)</f>
        <v>0</v>
      </c>
      <c r="Q48" s="185">
        <f ca="1">_xll.DBRW(Server&amp;Cube1,$F$17,$F$18,$F$19,$F$16,$C$14,$F$15,$F$14,$F$20,Q$2,$N$1,$C48)</f>
        <v>0</v>
      </c>
      <c r="R48" s="185">
        <f ca="1">_xll.DBRW(Server&amp;Cube1,$F$17,$F$18,$F$19,$F$16,$C$14,$F$15,$F$14,$F$20,R$2,$N$1,$C48)</f>
        <v>0</v>
      </c>
      <c r="S48" s="185">
        <f ca="1">_xll.DBRW(Server&amp;Cube1,$F$17,$F$18,$F$19,$F$16,$C$14,$F$15,$F$14,$F$20,S$2,$N$1,$C48)</f>
        <v>0</v>
      </c>
      <c r="T48" s="185">
        <f ca="1">_xll.DBRW(Server&amp;Cube1,$F$17,$F$18,$F$19,$F$16,$C$14,$F$15,$F$14,$F$20,T$2,$N$1,$C48)</f>
        <v>0</v>
      </c>
      <c r="U48" s="185">
        <f ca="1">_xll.DBRW(Server&amp;Cube1,$F$17,$F$18,$F$19,$F$16,$C$14,$F$15,$F$14,$F$20,U$2,$N$1,$C48)</f>
        <v>0</v>
      </c>
      <c r="V48" s="185">
        <f ca="1">_xll.DBRW(Server&amp;Cube1,$F$17,$F$18,$F$19,$F$16,$C$14,$F$15,$F$14,$F$20,V$2,$N$1,$C48)</f>
        <v>0</v>
      </c>
      <c r="W48" s="185">
        <f ca="1">_xll.DBRW(Server&amp;Cube1,$F$17,$F$18,$F$19,$F$16,$C$14,$F$15,$F$14,$F$20,W$2,$N$1,$C48)</f>
        <v>0</v>
      </c>
      <c r="X48" s="185">
        <f ca="1">_xll.DBRW(Server&amp;Cube1,$F$17,$F$18,$F$19,$F$16,$C$14,$F$15,$F$14,$F$20,X$2,$N$1,$C48)</f>
        <v>0</v>
      </c>
      <c r="Y48" s="185">
        <f ca="1">_xll.DBRW(Server&amp;Cube1,$F$17,$F$18,$F$19,$F$16,$C$14,$F$15,$F$14,$F$20,Y$2,$N$1,$C48)</f>
        <v>0</v>
      </c>
      <c r="Z48" s="185">
        <f ca="1">_xll.DBRW(Server&amp;Cube1,$F$17,$F$18,$F$19,$F$16,$C$14,$F$15,$F$14,$F$20,Z$2,$N$1,$C48)</f>
        <v>0</v>
      </c>
      <c r="AA48" s="53"/>
      <c r="AB48" s="53"/>
      <c r="AC48" s="53"/>
      <c r="AD48" s="53"/>
      <c r="AE48" s="53"/>
      <c r="AF48" s="53"/>
      <c r="AG48" s="53"/>
      <c r="AH48" s="53"/>
      <c r="AI48" s="53"/>
      <c r="AJ48" s="73" t="s">
        <v>52</v>
      </c>
      <c r="AK48" s="53"/>
      <c r="AL48" s="216" t="s">
        <v>473</v>
      </c>
      <c r="AM48" s="144">
        <v>4400</v>
      </c>
      <c r="AN48" s="147" t="s">
        <v>494</v>
      </c>
    </row>
    <row r="49" spans="1:47" s="9" customFormat="1" ht="24.75" customHeight="1" collapsed="1" thickBot="1" x14ac:dyDescent="0.4">
      <c r="A49" s="157">
        <f ca="1">IF($AN$35="YES",1,IF(_xll.ELCOMPN(Server&amp;$C$24,C49)&lt;&gt;0,1,IF(OR(B49=$AT$35,B49="ALL"),1,0)))</f>
        <v>1</v>
      </c>
      <c r="B49" s="139" t="str">
        <f t="shared" si="0"/>
        <v>bu</v>
      </c>
      <c r="C49" s="111" t="s">
        <v>91</v>
      </c>
      <c r="E49" s="221" t="str">
        <f ca="1">_xll.DBRA(Server&amp;$C$24,$C49,$F$21)</f>
        <v>Fournitures de bureau et autres consommables</v>
      </c>
      <c r="F49" s="221"/>
      <c r="G49" s="221"/>
      <c r="H49" s="40"/>
      <c r="I49" s="192">
        <f ca="1">_xll.DBRW(Server&amp;Cube1,$F$17,$F$18,$F$19,$F$16,$C$14,$F$15,$F$14,$F$20,I$2,I$1,$C49)</f>
        <v>0</v>
      </c>
      <c r="J49" s="192">
        <f ca="1">_xll.DBRW(Server&amp;Cube1,$F$17,$F$18,$F$19,$F$16,$C$14,$F$15,$F$14,$F$20,J$2,J$1,$C49)</f>
        <v>0</v>
      </c>
      <c r="K49" s="183"/>
      <c r="L49" s="181">
        <f ca="1">_xll.DBRW(Server&amp;Cube1,$F$17,$F$18,$F$19,$F$16,$C$14,$F$15,$F$14,$F$20,L$2,L$1,$C49)</f>
        <v>0</v>
      </c>
      <c r="M49" s="181"/>
      <c r="N49" s="181">
        <f ca="1">_xll.DBRW(Server&amp;Cube1,$F$17,$F$18,$F$19,$F$16,$C$14,$F$15,$F$14,$F$20,N$2,$N$1,$C49)</f>
        <v>0</v>
      </c>
      <c r="O49" s="181">
        <f ca="1">_xll.DBRW(Server&amp;Cube1,$F$17,$F$18,$F$19,$F$16,$C$14,$F$15,$F$14,$F$20,O$2,$N$1,$C49)</f>
        <v>0</v>
      </c>
      <c r="P49" s="181">
        <f ca="1">_xll.DBRW(Server&amp;Cube1,$F$17,$F$18,$F$19,$F$16,$C$14,$F$15,$F$14,$F$20,P$2,$N$1,$C49)</f>
        <v>0</v>
      </c>
      <c r="Q49" s="181">
        <f ca="1">_xll.DBRW(Server&amp;Cube1,$F$17,$F$18,$F$19,$F$16,$C$14,$F$15,$F$14,$F$20,Q$2,$N$1,$C49)</f>
        <v>0</v>
      </c>
      <c r="R49" s="181">
        <f ca="1">_xll.DBRW(Server&amp;Cube1,$F$17,$F$18,$F$19,$F$16,$C$14,$F$15,$F$14,$F$20,R$2,$N$1,$C49)</f>
        <v>0</v>
      </c>
      <c r="S49" s="181">
        <f ca="1">_xll.DBRW(Server&amp;Cube1,$F$17,$F$18,$F$19,$F$16,$C$14,$F$15,$F$14,$F$20,S$2,$N$1,$C49)</f>
        <v>0</v>
      </c>
      <c r="T49" s="181">
        <f ca="1">_xll.DBRW(Server&amp;Cube1,$F$17,$F$18,$F$19,$F$16,$C$14,$F$15,$F$14,$F$20,T$2,$N$1,$C49)</f>
        <v>0</v>
      </c>
      <c r="U49" s="181">
        <f ca="1">_xll.DBRW(Server&amp;Cube1,$F$17,$F$18,$F$19,$F$16,$C$14,$F$15,$F$14,$F$20,U$2,$N$1,$C49)</f>
        <v>0</v>
      </c>
      <c r="V49" s="181">
        <f ca="1">_xll.DBRW(Server&amp;Cube1,$F$17,$F$18,$F$19,$F$16,$C$14,$F$15,$F$14,$F$20,V$2,$N$1,$C49)</f>
        <v>0</v>
      </c>
      <c r="W49" s="181">
        <f ca="1">_xll.DBRW(Server&amp;Cube1,$F$17,$F$18,$F$19,$F$16,$C$14,$F$15,$F$14,$F$20,W$2,$N$1,$C49)</f>
        <v>0</v>
      </c>
      <c r="X49" s="181">
        <f ca="1">_xll.DBRW(Server&amp;Cube1,$F$17,$F$18,$F$19,$F$16,$C$14,$F$15,$F$14,$F$20,X$2,$N$1,$C49)</f>
        <v>0</v>
      </c>
      <c r="Y49" s="181">
        <f ca="1">_xll.DBRW(Server&amp;Cube1,$F$17,$F$18,$F$19,$F$16,$C$14,$F$15,$F$14,$F$20,Y$2,$N$1,$C49)</f>
        <v>0</v>
      </c>
      <c r="Z49" s="181">
        <f ca="1">_xll.DBRW(Server&amp;Cube1,$F$17,$F$18,$F$19,$F$16,$C$14,$F$15,$F$14,$F$20,Z$2,$N$1,$C49)</f>
        <v>0</v>
      </c>
      <c r="AA49" s="23"/>
      <c r="AB49" s="23"/>
      <c r="AC49" s="23"/>
      <c r="AD49" s="23"/>
      <c r="AE49" s="23"/>
      <c r="AF49" s="23"/>
      <c r="AG49" s="23"/>
      <c r="AH49" s="23"/>
      <c r="AI49" s="23"/>
      <c r="AJ49" s="74" t="s">
        <v>53</v>
      </c>
      <c r="AK49" s="23"/>
      <c r="AL49" s="217"/>
      <c r="AM49" s="145">
        <v>4410</v>
      </c>
      <c r="AN49" s="148" t="s">
        <v>494</v>
      </c>
    </row>
    <row r="50" spans="1:47" s="9" customFormat="1" ht="24.75" customHeight="1" x14ac:dyDescent="0.35">
      <c r="A50" s="157">
        <f ca="1">IF($AN$35="YES",1,IF(_xll.ELCOMPN(Server&amp;$C$24,C50)&lt;&gt;0,1,IF(OR(B50=$AT$35,B50="ALL"),1,0)))</f>
        <v>1</v>
      </c>
      <c r="B50" s="139" t="str">
        <f t="shared" si="0"/>
        <v>DS</v>
      </c>
      <c r="C50" s="137" t="s">
        <v>163</v>
      </c>
      <c r="E50" s="219" t="str">
        <f ca="1">_xll.DBRA(Server&amp;$C$24,$C50,$F$21)</f>
        <v>Fournitures de bureau et autres consommables (SO)</v>
      </c>
      <c r="F50" s="219"/>
      <c r="G50" s="219"/>
      <c r="H50" s="40"/>
      <c r="I50" s="192">
        <f ca="1">_xll.DBRW(Server&amp;Cube1,$F$17,$F$18,$F$19,$F$16,$C$14,$F$15,$F$14,$F$20,I$2,I$1,$C50)</f>
        <v>0</v>
      </c>
      <c r="J50" s="192">
        <f ca="1">_xll.DBRW(Server&amp;Cube1,$F$17,$F$18,$F$19,$F$16,$C$14,$F$15,$F$14,$F$20,J$2,J$1,$C50)</f>
        <v>0</v>
      </c>
      <c r="K50" s="183"/>
      <c r="L50" s="185">
        <f ca="1">_xll.DBRW(Server&amp;Cube1,$F$17,$F$18,$F$19,$F$16,$C$14,$F$15,$F$14,$F$20,L$2,L$1,$C50)</f>
        <v>0</v>
      </c>
      <c r="M50" s="184"/>
      <c r="N50" s="185">
        <f ca="1">_xll.DBRW(Server&amp;Cube1,$F$17,$F$18,$F$19,$F$16,$C$14,$F$15,$F$14,$F$20,N$2,$N$1,$C50)</f>
        <v>0</v>
      </c>
      <c r="O50" s="185">
        <f ca="1">_xll.DBRW(Server&amp;Cube1,$F$17,$F$18,$F$19,$F$16,$C$14,$F$15,$F$14,$F$20,O$2,$N$1,$C50)</f>
        <v>0</v>
      </c>
      <c r="P50" s="185">
        <f ca="1">_xll.DBRW(Server&amp;Cube1,$F$17,$F$18,$F$19,$F$16,$C$14,$F$15,$F$14,$F$20,P$2,$N$1,$C50)</f>
        <v>0</v>
      </c>
      <c r="Q50" s="185">
        <f ca="1">_xll.DBRW(Server&amp;Cube1,$F$17,$F$18,$F$19,$F$16,$C$14,$F$15,$F$14,$F$20,Q$2,$N$1,$C50)</f>
        <v>0</v>
      </c>
      <c r="R50" s="185">
        <f ca="1">_xll.DBRW(Server&amp;Cube1,$F$17,$F$18,$F$19,$F$16,$C$14,$F$15,$F$14,$F$20,R$2,$N$1,$C50)</f>
        <v>0</v>
      </c>
      <c r="S50" s="185">
        <f ca="1">_xll.DBRW(Server&amp;Cube1,$F$17,$F$18,$F$19,$F$16,$C$14,$F$15,$F$14,$F$20,S$2,$N$1,$C50)</f>
        <v>0</v>
      </c>
      <c r="T50" s="185">
        <f ca="1">_xll.DBRW(Server&amp;Cube1,$F$17,$F$18,$F$19,$F$16,$C$14,$F$15,$F$14,$F$20,T$2,$N$1,$C50)</f>
        <v>0</v>
      </c>
      <c r="U50" s="185">
        <f ca="1">_xll.DBRW(Server&amp;Cube1,$F$17,$F$18,$F$19,$F$16,$C$14,$F$15,$F$14,$F$20,U$2,$N$1,$C50)</f>
        <v>0</v>
      </c>
      <c r="V50" s="185">
        <f ca="1">_xll.DBRW(Server&amp;Cube1,$F$17,$F$18,$F$19,$F$16,$C$14,$F$15,$F$14,$F$20,V$2,$N$1,$C50)</f>
        <v>0</v>
      </c>
      <c r="W50" s="185">
        <f ca="1">_xll.DBRW(Server&amp;Cube1,$F$17,$F$18,$F$19,$F$16,$C$14,$F$15,$F$14,$F$20,W$2,$N$1,$C50)</f>
        <v>0</v>
      </c>
      <c r="X50" s="185">
        <f ca="1">_xll.DBRW(Server&amp;Cube1,$F$17,$F$18,$F$19,$F$16,$C$14,$F$15,$F$14,$F$20,X$2,$N$1,$C50)</f>
        <v>0</v>
      </c>
      <c r="Y50" s="185">
        <f ca="1">_xll.DBRW(Server&amp;Cube1,$F$17,$F$18,$F$19,$F$16,$C$14,$F$15,$F$14,$F$20,Y$2,$N$1,$C50)</f>
        <v>0</v>
      </c>
      <c r="Z50" s="185">
        <f ca="1">_xll.DBRW(Server&amp;Cube1,$F$17,$F$18,$F$19,$F$16,$C$14,$F$15,$F$14,$F$20,Z$2,$N$1,$C50)</f>
        <v>0</v>
      </c>
      <c r="AA50" s="53"/>
      <c r="AB50" s="53"/>
      <c r="AC50" s="53"/>
      <c r="AD50" s="53"/>
      <c r="AE50" s="53"/>
      <c r="AF50" s="53"/>
      <c r="AG50" s="53"/>
      <c r="AH50" s="53"/>
      <c r="AI50" s="53"/>
      <c r="AJ50" s="64" t="s">
        <v>56</v>
      </c>
      <c r="AK50" s="53"/>
      <c r="AL50" s="217"/>
      <c r="AM50" s="145">
        <v>4420</v>
      </c>
      <c r="AN50" s="148" t="s">
        <v>494</v>
      </c>
    </row>
    <row r="51" spans="1:47" s="9" customFormat="1" ht="24.75" customHeight="1" x14ac:dyDescent="0.35">
      <c r="A51" s="157">
        <f ca="1">IF($AN$35="YES",1,IF(_xll.ELCOMPN(Server&amp;$C$24,C51)&lt;&gt;0,1,IF(OR(B51=$AT$35,B51="ALL"),1,0)))</f>
        <v>1</v>
      </c>
      <c r="B51" s="139" t="str">
        <f t="shared" si="0"/>
        <v>BD</v>
      </c>
      <c r="C51" s="137" t="s">
        <v>164</v>
      </c>
      <c r="E51" s="219" t="str">
        <f ca="1">_xll.DBRA(Server&amp;$C$24,$C51,$F$21)</f>
        <v>Fournitures de bureau et autres consommables (DC)</v>
      </c>
      <c r="F51" s="219"/>
      <c r="G51" s="219"/>
      <c r="H51" s="40"/>
      <c r="I51" s="192">
        <f ca="1">_xll.DBRW(Server&amp;Cube1,$F$17,$F$18,$F$19,$F$16,$C$14,$F$15,$F$14,$F$20,I$2,I$1,$C51)</f>
        <v>0</v>
      </c>
      <c r="J51" s="192">
        <f ca="1">_xll.DBRW(Server&amp;Cube1,$F$17,$F$18,$F$19,$F$16,$C$14,$F$15,$F$14,$F$20,J$2,J$1,$C51)</f>
        <v>0</v>
      </c>
      <c r="K51" s="183"/>
      <c r="L51" s="185">
        <f ca="1">_xll.DBRW(Server&amp;Cube1,$F$17,$F$18,$F$19,$F$16,$C$14,$F$15,$F$14,$F$20,L$2,L$1,$C51)</f>
        <v>0</v>
      </c>
      <c r="M51" s="184"/>
      <c r="N51" s="185">
        <f ca="1">_xll.DBRW(Server&amp;Cube1,$F$17,$F$18,$F$19,$F$16,$C$14,$F$15,$F$14,$F$20,N$2,$N$1,$C51)</f>
        <v>0</v>
      </c>
      <c r="O51" s="185">
        <f ca="1">_xll.DBRW(Server&amp;Cube1,$F$17,$F$18,$F$19,$F$16,$C$14,$F$15,$F$14,$F$20,O$2,$N$1,$C51)</f>
        <v>0</v>
      </c>
      <c r="P51" s="185">
        <f ca="1">_xll.DBRW(Server&amp;Cube1,$F$17,$F$18,$F$19,$F$16,$C$14,$F$15,$F$14,$F$20,P$2,$N$1,$C51)</f>
        <v>0</v>
      </c>
      <c r="Q51" s="185">
        <f ca="1">_xll.DBRW(Server&amp;Cube1,$F$17,$F$18,$F$19,$F$16,$C$14,$F$15,$F$14,$F$20,Q$2,$N$1,$C51)</f>
        <v>0</v>
      </c>
      <c r="R51" s="185">
        <f ca="1">_xll.DBRW(Server&amp;Cube1,$F$17,$F$18,$F$19,$F$16,$C$14,$F$15,$F$14,$F$20,R$2,$N$1,$C51)</f>
        <v>0</v>
      </c>
      <c r="S51" s="185">
        <f ca="1">_xll.DBRW(Server&amp;Cube1,$F$17,$F$18,$F$19,$F$16,$C$14,$F$15,$F$14,$F$20,S$2,$N$1,$C51)</f>
        <v>0</v>
      </c>
      <c r="T51" s="185">
        <f ca="1">_xll.DBRW(Server&amp;Cube1,$F$17,$F$18,$F$19,$F$16,$C$14,$F$15,$F$14,$F$20,T$2,$N$1,$C51)</f>
        <v>0</v>
      </c>
      <c r="U51" s="185">
        <f ca="1">_xll.DBRW(Server&amp;Cube1,$F$17,$F$18,$F$19,$F$16,$C$14,$F$15,$F$14,$F$20,U$2,$N$1,$C51)</f>
        <v>0</v>
      </c>
      <c r="V51" s="185">
        <f ca="1">_xll.DBRW(Server&amp;Cube1,$F$17,$F$18,$F$19,$F$16,$C$14,$F$15,$F$14,$F$20,V$2,$N$1,$C51)</f>
        <v>0</v>
      </c>
      <c r="W51" s="185">
        <f ca="1">_xll.DBRW(Server&amp;Cube1,$F$17,$F$18,$F$19,$F$16,$C$14,$F$15,$F$14,$F$20,W$2,$N$1,$C51)</f>
        <v>0</v>
      </c>
      <c r="X51" s="185">
        <f ca="1">_xll.DBRW(Server&amp;Cube1,$F$17,$F$18,$F$19,$F$16,$C$14,$F$15,$F$14,$F$20,X$2,$N$1,$C51)</f>
        <v>0</v>
      </c>
      <c r="Y51" s="185">
        <f ca="1">_xll.DBRW(Server&amp;Cube1,$F$17,$F$18,$F$19,$F$16,$C$14,$F$15,$F$14,$F$20,Y$2,$N$1,$C51)</f>
        <v>0</v>
      </c>
      <c r="Z51" s="185">
        <f ca="1">_xll.DBRW(Server&amp;Cube1,$F$17,$F$18,$F$19,$F$16,$C$14,$F$15,$F$14,$F$20,Z$2,$N$1,$C51)</f>
        <v>0</v>
      </c>
      <c r="AA51" s="53"/>
      <c r="AB51" s="53"/>
      <c r="AC51" s="53"/>
      <c r="AD51" s="53"/>
      <c r="AE51" s="53"/>
      <c r="AF51" s="53"/>
      <c r="AG51" s="53"/>
      <c r="AH51" s="53"/>
      <c r="AI51" s="53"/>
      <c r="AJ51" s="71" t="s">
        <v>61</v>
      </c>
      <c r="AK51" s="53"/>
      <c r="AL51" s="217"/>
      <c r="AM51" s="145">
        <v>4440</v>
      </c>
      <c r="AN51" s="148" t="s">
        <v>494</v>
      </c>
    </row>
    <row r="52" spans="1:47" s="9" customFormat="1" ht="24.75" customHeight="1" thickBot="1" x14ac:dyDescent="0.4">
      <c r="A52" s="157">
        <f ca="1">IF($AN$35="YES",1,IF(_xll.ELCOMPN(Server&amp;$C$24,C52)&lt;&gt;0,1,IF(OR(B52=$AT$35,B52="ALL"),1,0)))</f>
        <v>1</v>
      </c>
      <c r="B52" s="139" t="str">
        <f t="shared" si="0"/>
        <v>FI</v>
      </c>
      <c r="C52" s="137" t="s">
        <v>165</v>
      </c>
      <c r="E52" s="219" t="str">
        <f ca="1">_xll.DBRA(Server&amp;$C$24,$C52,$F$21)</f>
        <v>Fournitures de bureau et autres consommables (DF)</v>
      </c>
      <c r="F52" s="219"/>
      <c r="G52" s="219"/>
      <c r="H52" s="40"/>
      <c r="I52" s="192">
        <f ca="1">_xll.DBRW(Server&amp;Cube1,$F$17,$F$18,$F$19,$F$16,$C$14,$F$15,$F$14,$F$20,I$2,I$1,$C52)</f>
        <v>0</v>
      </c>
      <c r="J52" s="192">
        <f ca="1">_xll.DBRW(Server&amp;Cube1,$F$17,$F$18,$F$19,$F$16,$C$14,$F$15,$F$14,$F$20,J$2,J$1,$C52)</f>
        <v>0</v>
      </c>
      <c r="K52" s="183"/>
      <c r="L52" s="185">
        <f ca="1">_xll.DBRW(Server&amp;Cube1,$F$17,$F$18,$F$19,$F$16,$C$14,$F$15,$F$14,$F$20,L$2,L$1,$C52)</f>
        <v>0</v>
      </c>
      <c r="M52" s="184"/>
      <c r="N52" s="185">
        <f ca="1">_xll.DBRW(Server&amp;Cube1,$F$17,$F$18,$F$19,$F$16,$C$14,$F$15,$F$14,$F$20,N$2,$N$1,$C52)</f>
        <v>0</v>
      </c>
      <c r="O52" s="185">
        <f ca="1">_xll.DBRW(Server&amp;Cube1,$F$17,$F$18,$F$19,$F$16,$C$14,$F$15,$F$14,$F$20,O$2,$N$1,$C52)</f>
        <v>0</v>
      </c>
      <c r="P52" s="185">
        <f ca="1">_xll.DBRW(Server&amp;Cube1,$F$17,$F$18,$F$19,$F$16,$C$14,$F$15,$F$14,$F$20,P$2,$N$1,$C52)</f>
        <v>0</v>
      </c>
      <c r="Q52" s="185">
        <f ca="1">_xll.DBRW(Server&amp;Cube1,$F$17,$F$18,$F$19,$F$16,$C$14,$F$15,$F$14,$F$20,Q$2,$N$1,$C52)</f>
        <v>0</v>
      </c>
      <c r="R52" s="185">
        <f ca="1">_xll.DBRW(Server&amp;Cube1,$F$17,$F$18,$F$19,$F$16,$C$14,$F$15,$F$14,$F$20,R$2,$N$1,$C52)</f>
        <v>0</v>
      </c>
      <c r="S52" s="185">
        <f ca="1">_xll.DBRW(Server&amp;Cube1,$F$17,$F$18,$F$19,$F$16,$C$14,$F$15,$F$14,$F$20,S$2,$N$1,$C52)</f>
        <v>0</v>
      </c>
      <c r="T52" s="185">
        <f ca="1">_xll.DBRW(Server&amp;Cube1,$F$17,$F$18,$F$19,$F$16,$C$14,$F$15,$F$14,$F$20,T$2,$N$1,$C52)</f>
        <v>0</v>
      </c>
      <c r="U52" s="185">
        <f ca="1">_xll.DBRW(Server&amp;Cube1,$F$17,$F$18,$F$19,$F$16,$C$14,$F$15,$F$14,$F$20,U$2,$N$1,$C52)</f>
        <v>0</v>
      </c>
      <c r="V52" s="185">
        <f ca="1">_xll.DBRW(Server&amp;Cube1,$F$17,$F$18,$F$19,$F$16,$C$14,$F$15,$F$14,$F$20,V$2,$N$1,$C52)</f>
        <v>0</v>
      </c>
      <c r="W52" s="185">
        <f ca="1">_xll.DBRW(Server&amp;Cube1,$F$17,$F$18,$F$19,$F$16,$C$14,$F$15,$F$14,$F$20,W$2,$N$1,$C52)</f>
        <v>0</v>
      </c>
      <c r="X52" s="185">
        <f ca="1">_xll.DBRW(Server&amp;Cube1,$F$17,$F$18,$F$19,$F$16,$C$14,$F$15,$F$14,$F$20,X$2,$N$1,$C52)</f>
        <v>0</v>
      </c>
      <c r="Y52" s="185">
        <f ca="1">_xll.DBRW(Server&amp;Cube1,$F$17,$F$18,$F$19,$F$16,$C$14,$F$15,$F$14,$F$20,Y$2,$N$1,$C52)</f>
        <v>0</v>
      </c>
      <c r="Z52" s="185">
        <f ca="1">_xll.DBRW(Server&amp;Cube1,$F$17,$F$18,$F$19,$F$16,$C$14,$F$15,$F$14,$F$20,Z$2,$N$1,$C52)</f>
        <v>0</v>
      </c>
      <c r="AA52" s="53"/>
      <c r="AB52" s="53"/>
      <c r="AC52" s="53"/>
      <c r="AD52" s="53"/>
      <c r="AE52" s="53"/>
      <c r="AF52" s="53"/>
      <c r="AG52" s="53"/>
      <c r="AH52" s="53"/>
      <c r="AI52" s="53"/>
      <c r="AJ52" s="72" t="s">
        <v>62</v>
      </c>
      <c r="AK52" s="53"/>
      <c r="AL52" s="217"/>
      <c r="AM52" s="145">
        <v>4450</v>
      </c>
      <c r="AN52" s="148" t="s">
        <v>494</v>
      </c>
    </row>
    <row r="53" spans="1:47" s="9" customFormat="1" ht="24.75" customHeight="1" thickBot="1" x14ac:dyDescent="0.4">
      <c r="A53" s="157">
        <f ca="1">IF($AN$35="YES",1,IF(_xll.ELCOMPN(Server&amp;$C$24,C53)&lt;&gt;0,1,IF(OR(B53=$AT$35,B53="ALL"),1,0)))</f>
        <v>1</v>
      </c>
      <c r="B53" s="139" t="str">
        <f t="shared" si="0"/>
        <v>IT</v>
      </c>
      <c r="C53" s="137" t="s">
        <v>166</v>
      </c>
      <c r="E53" s="219" t="str">
        <f ca="1">_xll.DBRA(Server&amp;$C$24,$C53,$F$21)</f>
        <v>Fournitures de bureau et autres consommables (IT)</v>
      </c>
      <c r="F53" s="219"/>
      <c r="G53" s="219"/>
      <c r="H53" s="40"/>
      <c r="I53" s="192">
        <f ca="1">_xll.DBRW(Server&amp;Cube1,$F$17,$F$18,$F$19,$F$16,$C$14,$F$15,$F$14,$F$20,I$2,I$1,$C53)</f>
        <v>0</v>
      </c>
      <c r="J53" s="192">
        <f ca="1">_xll.DBRW(Server&amp;Cube1,$F$17,$F$18,$F$19,$F$16,$C$14,$F$15,$F$14,$F$20,J$2,J$1,$C53)</f>
        <v>0</v>
      </c>
      <c r="K53" s="183"/>
      <c r="L53" s="185">
        <f ca="1">_xll.DBRW(Server&amp;Cube1,$F$17,$F$18,$F$19,$F$16,$C$14,$F$15,$F$14,$F$20,L$2,L$1,$C53)</f>
        <v>0</v>
      </c>
      <c r="M53" s="184"/>
      <c r="N53" s="185">
        <f ca="1">_xll.DBRW(Server&amp;Cube1,$F$17,$F$18,$F$19,$F$16,$C$14,$F$15,$F$14,$F$20,N$2,$N$1,$C53)</f>
        <v>0</v>
      </c>
      <c r="O53" s="185">
        <f ca="1">_xll.DBRW(Server&amp;Cube1,$F$17,$F$18,$F$19,$F$16,$C$14,$F$15,$F$14,$F$20,O$2,$N$1,$C53)</f>
        <v>0</v>
      </c>
      <c r="P53" s="185">
        <f ca="1">_xll.DBRW(Server&amp;Cube1,$F$17,$F$18,$F$19,$F$16,$C$14,$F$15,$F$14,$F$20,P$2,$N$1,$C53)</f>
        <v>0</v>
      </c>
      <c r="Q53" s="185">
        <f ca="1">_xll.DBRW(Server&amp;Cube1,$F$17,$F$18,$F$19,$F$16,$C$14,$F$15,$F$14,$F$20,Q$2,$N$1,$C53)</f>
        <v>0</v>
      </c>
      <c r="R53" s="185">
        <f ca="1">_xll.DBRW(Server&amp;Cube1,$F$17,$F$18,$F$19,$F$16,$C$14,$F$15,$F$14,$F$20,R$2,$N$1,$C53)</f>
        <v>0</v>
      </c>
      <c r="S53" s="185">
        <f ca="1">_xll.DBRW(Server&amp;Cube1,$F$17,$F$18,$F$19,$F$16,$C$14,$F$15,$F$14,$F$20,S$2,$N$1,$C53)</f>
        <v>0</v>
      </c>
      <c r="T53" s="185">
        <f ca="1">_xll.DBRW(Server&amp;Cube1,$F$17,$F$18,$F$19,$F$16,$C$14,$F$15,$F$14,$F$20,T$2,$N$1,$C53)</f>
        <v>0</v>
      </c>
      <c r="U53" s="185">
        <f ca="1">_xll.DBRW(Server&amp;Cube1,$F$17,$F$18,$F$19,$F$16,$C$14,$F$15,$F$14,$F$20,U$2,$N$1,$C53)</f>
        <v>0</v>
      </c>
      <c r="V53" s="185">
        <f ca="1">_xll.DBRW(Server&amp;Cube1,$F$17,$F$18,$F$19,$F$16,$C$14,$F$15,$F$14,$F$20,V$2,$N$1,$C53)</f>
        <v>0</v>
      </c>
      <c r="W53" s="185">
        <f ca="1">_xll.DBRW(Server&amp;Cube1,$F$17,$F$18,$F$19,$F$16,$C$14,$F$15,$F$14,$F$20,W$2,$N$1,$C53)</f>
        <v>0</v>
      </c>
      <c r="X53" s="185">
        <f ca="1">_xll.DBRW(Server&amp;Cube1,$F$17,$F$18,$F$19,$F$16,$C$14,$F$15,$F$14,$F$20,X$2,$N$1,$C53)</f>
        <v>0</v>
      </c>
      <c r="Y53" s="185">
        <f ca="1">_xll.DBRW(Server&amp;Cube1,$F$17,$F$18,$F$19,$F$16,$C$14,$F$15,$F$14,$F$20,Y$2,$N$1,$C53)</f>
        <v>0</v>
      </c>
      <c r="Z53" s="185">
        <f ca="1">_xll.DBRW(Server&amp;Cube1,$F$17,$F$18,$F$19,$F$16,$C$14,$F$15,$F$14,$F$20,Z$2,$N$1,$C53)</f>
        <v>0</v>
      </c>
      <c r="AA53" s="53"/>
      <c r="AB53" s="53"/>
      <c r="AC53" s="53"/>
      <c r="AD53" s="53"/>
      <c r="AE53" s="53"/>
      <c r="AF53" s="53"/>
      <c r="AG53" s="53"/>
      <c r="AH53" s="53"/>
      <c r="AI53" s="53"/>
      <c r="AJ53" s="83" t="s">
        <v>68</v>
      </c>
      <c r="AK53" s="53"/>
      <c r="AL53" s="218"/>
      <c r="AM53" s="146">
        <v>4430</v>
      </c>
      <c r="AN53" s="149" t="s">
        <v>494</v>
      </c>
    </row>
    <row r="54" spans="1:47" s="9" customFormat="1" ht="24.75" customHeight="1" x14ac:dyDescent="0.35">
      <c r="A54" s="157">
        <f ca="1">IF($AN$35="YES",1,IF(_xll.ELCOMPN(Server&amp;$C$24,C54)&lt;&gt;0,1,IF(OR(B54=$AT$35,B54="ALL"),1,0)))</f>
        <v>1</v>
      </c>
      <c r="B54" s="139" t="str">
        <f t="shared" si="0"/>
        <v>HR</v>
      </c>
      <c r="C54" s="137" t="s">
        <v>167</v>
      </c>
      <c r="E54" s="219" t="str">
        <f ca="1">_xll.DBRA(Server&amp;$C$24,$C54,$F$21)</f>
        <v>Fournitures de bureau et autres consommables (RH)</v>
      </c>
      <c r="F54" s="219"/>
      <c r="G54" s="219"/>
      <c r="H54" s="40"/>
      <c r="I54" s="192">
        <f ca="1">_xll.DBRW(Server&amp;Cube1,$F$17,$F$18,$F$19,$F$16,$C$14,$F$15,$F$14,$F$20,I$2,I$1,$C54)</f>
        <v>0</v>
      </c>
      <c r="J54" s="192">
        <f ca="1">_xll.DBRW(Server&amp;Cube1,$F$17,$F$18,$F$19,$F$16,$C$14,$F$15,$F$14,$F$20,J$2,J$1,$C54)</f>
        <v>0</v>
      </c>
      <c r="K54" s="183"/>
      <c r="L54" s="185">
        <f ca="1">_xll.DBRW(Server&amp;Cube1,$F$17,$F$18,$F$19,$F$16,$C$14,$F$15,$F$14,$F$20,L$2,L$1,$C54)</f>
        <v>0</v>
      </c>
      <c r="M54" s="184"/>
      <c r="N54" s="185">
        <f ca="1">_xll.DBRW(Server&amp;Cube1,$F$17,$F$18,$F$19,$F$16,$C$14,$F$15,$F$14,$F$20,N$2,$N$1,$C54)</f>
        <v>0</v>
      </c>
      <c r="O54" s="185">
        <f ca="1">_xll.DBRW(Server&amp;Cube1,$F$17,$F$18,$F$19,$F$16,$C$14,$F$15,$F$14,$F$20,O$2,$N$1,$C54)</f>
        <v>0</v>
      </c>
      <c r="P54" s="185">
        <f ca="1">_xll.DBRW(Server&amp;Cube1,$F$17,$F$18,$F$19,$F$16,$C$14,$F$15,$F$14,$F$20,P$2,$N$1,$C54)</f>
        <v>0</v>
      </c>
      <c r="Q54" s="185">
        <f ca="1">_xll.DBRW(Server&amp;Cube1,$F$17,$F$18,$F$19,$F$16,$C$14,$F$15,$F$14,$F$20,Q$2,$N$1,$C54)</f>
        <v>0</v>
      </c>
      <c r="R54" s="185">
        <f ca="1">_xll.DBRW(Server&amp;Cube1,$F$17,$F$18,$F$19,$F$16,$C$14,$F$15,$F$14,$F$20,R$2,$N$1,$C54)</f>
        <v>0</v>
      </c>
      <c r="S54" s="185">
        <f ca="1">_xll.DBRW(Server&amp;Cube1,$F$17,$F$18,$F$19,$F$16,$C$14,$F$15,$F$14,$F$20,S$2,$N$1,$C54)</f>
        <v>0</v>
      </c>
      <c r="T54" s="185">
        <f ca="1">_xll.DBRW(Server&amp;Cube1,$F$17,$F$18,$F$19,$F$16,$C$14,$F$15,$F$14,$F$20,T$2,$N$1,$C54)</f>
        <v>0</v>
      </c>
      <c r="U54" s="185">
        <f ca="1">_xll.DBRW(Server&amp;Cube1,$F$17,$F$18,$F$19,$F$16,$C$14,$F$15,$F$14,$F$20,U$2,$N$1,$C54)</f>
        <v>0</v>
      </c>
      <c r="V54" s="185">
        <f ca="1">_xll.DBRW(Server&amp;Cube1,$F$17,$F$18,$F$19,$F$16,$C$14,$F$15,$F$14,$F$20,V$2,$N$1,$C54)</f>
        <v>0</v>
      </c>
      <c r="W54" s="185">
        <f ca="1">_xll.DBRW(Server&amp;Cube1,$F$17,$F$18,$F$19,$F$16,$C$14,$F$15,$F$14,$F$20,W$2,$N$1,$C54)</f>
        <v>0</v>
      </c>
      <c r="X54" s="185">
        <f ca="1">_xll.DBRW(Server&amp;Cube1,$F$17,$F$18,$F$19,$F$16,$C$14,$F$15,$F$14,$F$20,X$2,$N$1,$C54)</f>
        <v>0</v>
      </c>
      <c r="Y54" s="185">
        <f ca="1">_xll.DBRW(Server&amp;Cube1,$F$17,$F$18,$F$19,$F$16,$C$14,$F$15,$F$14,$F$20,Y$2,$N$1,$C54)</f>
        <v>0</v>
      </c>
      <c r="Z54" s="185">
        <f ca="1">_xll.DBRW(Server&amp;Cube1,$F$17,$F$18,$F$19,$F$16,$C$14,$F$15,$F$14,$F$20,Z$2,$N$1,$C54)</f>
        <v>0</v>
      </c>
      <c r="AA54" s="53"/>
      <c r="AB54" s="53"/>
      <c r="AC54" s="53"/>
      <c r="AD54" s="53"/>
      <c r="AE54" s="53"/>
      <c r="AF54" s="53"/>
      <c r="AG54" s="53"/>
      <c r="AH54" s="53"/>
      <c r="AI54" s="53"/>
      <c r="AJ54" s="84" t="s">
        <v>69</v>
      </c>
      <c r="AK54" s="53"/>
      <c r="AL54" s="216" t="s">
        <v>474</v>
      </c>
      <c r="AM54" s="141">
        <v>4500</v>
      </c>
      <c r="AN54" s="151" t="s">
        <v>497</v>
      </c>
      <c r="AO54" s="53"/>
      <c r="AP54" s="53"/>
      <c r="AQ54" s="53"/>
      <c r="AR54" s="53"/>
      <c r="AS54" s="53"/>
      <c r="AT54" s="53"/>
      <c r="AU54" s="53"/>
    </row>
    <row r="55" spans="1:47" s="9" customFormat="1" ht="24.75" customHeight="1" thickBot="1" x14ac:dyDescent="0.4">
      <c r="A55" s="157">
        <f ca="1">IF($AN$35="YES",1,IF(_xll.ELCOMPN(Server&amp;$C$24,C55)&lt;&gt;0,1,IF(OR(B55=$AT$35,B55="ALL"),1,0)))</f>
        <v>1</v>
      </c>
      <c r="B55" s="139" t="str">
        <f t="shared" si="0"/>
        <v>GM</v>
      </c>
      <c r="C55" s="137" t="s">
        <v>168</v>
      </c>
      <c r="E55" s="219" t="str">
        <f ca="1">_xll.DBRA(Server&amp;$C$24,$C55,$F$21)</f>
        <v>Fournitures de bureau et autres consommables (DG)</v>
      </c>
      <c r="F55" s="219"/>
      <c r="G55" s="219"/>
      <c r="H55" s="40"/>
      <c r="I55" s="192">
        <f ca="1">_xll.DBRW(Server&amp;Cube1,$F$17,$F$18,$F$19,$F$16,$C$14,$F$15,$F$14,$F$20,I$2,I$1,$C55)</f>
        <v>0</v>
      </c>
      <c r="J55" s="192">
        <f ca="1">_xll.DBRW(Server&amp;Cube1,$F$17,$F$18,$F$19,$F$16,$C$14,$F$15,$F$14,$F$20,J$2,J$1,$C55)</f>
        <v>0</v>
      </c>
      <c r="K55" s="183"/>
      <c r="L55" s="185">
        <f ca="1">_xll.DBRW(Server&amp;Cube1,$F$17,$F$18,$F$19,$F$16,$C$14,$F$15,$F$14,$F$20,L$2,L$1,$C55)</f>
        <v>0</v>
      </c>
      <c r="M55" s="184"/>
      <c r="N55" s="185">
        <f ca="1">_xll.DBRW(Server&amp;Cube1,$F$17,$F$18,$F$19,$F$16,$C$14,$F$15,$F$14,$F$20,N$2,$N$1,$C55)</f>
        <v>0</v>
      </c>
      <c r="O55" s="185">
        <f ca="1">_xll.DBRW(Server&amp;Cube1,$F$17,$F$18,$F$19,$F$16,$C$14,$F$15,$F$14,$F$20,O$2,$N$1,$C55)</f>
        <v>0</v>
      </c>
      <c r="P55" s="185">
        <f ca="1">_xll.DBRW(Server&amp;Cube1,$F$17,$F$18,$F$19,$F$16,$C$14,$F$15,$F$14,$F$20,P$2,$N$1,$C55)</f>
        <v>0</v>
      </c>
      <c r="Q55" s="185">
        <f ca="1">_xll.DBRW(Server&amp;Cube1,$F$17,$F$18,$F$19,$F$16,$C$14,$F$15,$F$14,$F$20,Q$2,$N$1,$C55)</f>
        <v>0</v>
      </c>
      <c r="R55" s="185">
        <f ca="1">_xll.DBRW(Server&amp;Cube1,$F$17,$F$18,$F$19,$F$16,$C$14,$F$15,$F$14,$F$20,R$2,$N$1,$C55)</f>
        <v>0</v>
      </c>
      <c r="S55" s="185">
        <f ca="1">_xll.DBRW(Server&amp;Cube1,$F$17,$F$18,$F$19,$F$16,$C$14,$F$15,$F$14,$F$20,S$2,$N$1,$C55)</f>
        <v>0</v>
      </c>
      <c r="T55" s="185">
        <f ca="1">_xll.DBRW(Server&amp;Cube1,$F$17,$F$18,$F$19,$F$16,$C$14,$F$15,$F$14,$F$20,T$2,$N$1,$C55)</f>
        <v>0</v>
      </c>
      <c r="U55" s="185">
        <f ca="1">_xll.DBRW(Server&amp;Cube1,$F$17,$F$18,$F$19,$F$16,$C$14,$F$15,$F$14,$F$20,U$2,$N$1,$C55)</f>
        <v>0</v>
      </c>
      <c r="V55" s="185">
        <f ca="1">_xll.DBRW(Server&amp;Cube1,$F$17,$F$18,$F$19,$F$16,$C$14,$F$15,$F$14,$F$20,V$2,$N$1,$C55)</f>
        <v>0</v>
      </c>
      <c r="W55" s="185">
        <f ca="1">_xll.DBRW(Server&amp;Cube1,$F$17,$F$18,$F$19,$F$16,$C$14,$F$15,$F$14,$F$20,W$2,$N$1,$C55)</f>
        <v>0</v>
      </c>
      <c r="X55" s="185">
        <f ca="1">_xll.DBRW(Server&amp;Cube1,$F$17,$F$18,$F$19,$F$16,$C$14,$F$15,$F$14,$F$20,X$2,$N$1,$C55)</f>
        <v>0</v>
      </c>
      <c r="Y55" s="185">
        <f ca="1">_xll.DBRW(Server&amp;Cube1,$F$17,$F$18,$F$19,$F$16,$C$14,$F$15,$F$14,$F$20,Y$2,$N$1,$C55)</f>
        <v>0</v>
      </c>
      <c r="Z55" s="185">
        <f ca="1">_xll.DBRW(Server&amp;Cube1,$F$17,$F$18,$F$19,$F$16,$C$14,$F$15,$F$14,$F$20,Z$2,$N$1,$C55)</f>
        <v>0</v>
      </c>
      <c r="AA55" s="53"/>
      <c r="AB55" s="53"/>
      <c r="AC55" s="53"/>
      <c r="AD55" s="53"/>
      <c r="AE55" s="53"/>
      <c r="AF55" s="53"/>
      <c r="AG55" s="53"/>
      <c r="AH55" s="53"/>
      <c r="AI55" s="53"/>
      <c r="AJ55" s="69" t="s">
        <v>70</v>
      </c>
      <c r="AK55" s="53"/>
      <c r="AL55" s="217"/>
      <c r="AM55" s="142">
        <v>4510</v>
      </c>
      <c r="AN55" s="150" t="s">
        <v>497</v>
      </c>
      <c r="AO55" s="53"/>
      <c r="AP55" s="53"/>
      <c r="AQ55" s="53"/>
      <c r="AR55" s="53"/>
      <c r="AS55" s="53"/>
      <c r="AT55" s="53"/>
      <c r="AU55" s="53"/>
    </row>
    <row r="56" spans="1:47" s="9" customFormat="1" ht="24.75" customHeight="1" x14ac:dyDescent="0.35">
      <c r="A56" s="157">
        <f ca="1">IF($AN$35="YES",1,IF(_xll.ELCOMPN(Server&amp;$C$24,C56)&lt;&gt;0,1,IF(OR(B56=$AT$35,B56="ALL"),1,0)))</f>
        <v>1</v>
      </c>
      <c r="B56" s="139" t="str">
        <f t="shared" si="0"/>
        <v>IA</v>
      </c>
      <c r="C56" s="137" t="s">
        <v>169</v>
      </c>
      <c r="E56" s="219" t="str">
        <f ca="1">_xll.DBRA(Server&amp;$C$24,$C56,$F$21)</f>
        <v>Fournitures de bureau et autres consommables (AI)</v>
      </c>
      <c r="F56" s="219"/>
      <c r="G56" s="219"/>
      <c r="H56" s="40"/>
      <c r="I56" s="192">
        <f ca="1">_xll.DBRW(Server&amp;Cube1,$F$17,$F$18,$F$19,$F$16,$C$14,$F$15,$F$14,$F$20,I$2,I$1,$C56)</f>
        <v>0</v>
      </c>
      <c r="J56" s="192">
        <f ca="1">_xll.DBRW(Server&amp;Cube1,$F$17,$F$18,$F$19,$F$16,$C$14,$F$15,$F$14,$F$20,J$2,J$1,$C56)</f>
        <v>0</v>
      </c>
      <c r="K56" s="183"/>
      <c r="L56" s="185">
        <f ca="1">_xll.DBRW(Server&amp;Cube1,$F$17,$F$18,$F$19,$F$16,$C$14,$F$15,$F$14,$F$20,L$2,L$1,$C56)</f>
        <v>0</v>
      </c>
      <c r="M56" s="184"/>
      <c r="N56" s="185">
        <f ca="1">_xll.DBRW(Server&amp;Cube1,$F$17,$F$18,$F$19,$F$16,$C$14,$F$15,$F$14,$F$20,N$2,$N$1,$C56)</f>
        <v>0</v>
      </c>
      <c r="O56" s="185">
        <f ca="1">_xll.DBRW(Server&amp;Cube1,$F$17,$F$18,$F$19,$F$16,$C$14,$F$15,$F$14,$F$20,O$2,$N$1,$C56)</f>
        <v>0</v>
      </c>
      <c r="P56" s="185">
        <f ca="1">_xll.DBRW(Server&amp;Cube1,$F$17,$F$18,$F$19,$F$16,$C$14,$F$15,$F$14,$F$20,P$2,$N$1,$C56)</f>
        <v>0</v>
      </c>
      <c r="Q56" s="185">
        <f ca="1">_xll.DBRW(Server&amp;Cube1,$F$17,$F$18,$F$19,$F$16,$C$14,$F$15,$F$14,$F$20,Q$2,$N$1,$C56)</f>
        <v>0</v>
      </c>
      <c r="R56" s="185">
        <f ca="1">_xll.DBRW(Server&amp;Cube1,$F$17,$F$18,$F$19,$F$16,$C$14,$F$15,$F$14,$F$20,R$2,$N$1,$C56)</f>
        <v>0</v>
      </c>
      <c r="S56" s="185">
        <f ca="1">_xll.DBRW(Server&amp;Cube1,$F$17,$F$18,$F$19,$F$16,$C$14,$F$15,$F$14,$F$20,S$2,$N$1,$C56)</f>
        <v>0</v>
      </c>
      <c r="T56" s="185">
        <f ca="1">_xll.DBRW(Server&amp;Cube1,$F$17,$F$18,$F$19,$F$16,$C$14,$F$15,$F$14,$F$20,T$2,$N$1,$C56)</f>
        <v>0</v>
      </c>
      <c r="U56" s="185">
        <f ca="1">_xll.DBRW(Server&amp;Cube1,$F$17,$F$18,$F$19,$F$16,$C$14,$F$15,$F$14,$F$20,U$2,$N$1,$C56)</f>
        <v>0</v>
      </c>
      <c r="V56" s="185">
        <f ca="1">_xll.DBRW(Server&amp;Cube1,$F$17,$F$18,$F$19,$F$16,$C$14,$F$15,$F$14,$F$20,V$2,$N$1,$C56)</f>
        <v>0</v>
      </c>
      <c r="W56" s="185">
        <f ca="1">_xll.DBRW(Server&amp;Cube1,$F$17,$F$18,$F$19,$F$16,$C$14,$F$15,$F$14,$F$20,W$2,$N$1,$C56)</f>
        <v>0</v>
      </c>
      <c r="X56" s="185">
        <f ca="1">_xll.DBRW(Server&amp;Cube1,$F$17,$F$18,$F$19,$F$16,$C$14,$F$15,$F$14,$F$20,X$2,$N$1,$C56)</f>
        <v>0</v>
      </c>
      <c r="Y56" s="185">
        <f ca="1">_xll.DBRW(Server&amp;Cube1,$F$17,$F$18,$F$19,$F$16,$C$14,$F$15,$F$14,$F$20,Y$2,$N$1,$C56)</f>
        <v>0</v>
      </c>
      <c r="Z56" s="185">
        <f ca="1">_xll.DBRW(Server&amp;Cube1,$F$17,$F$18,$F$19,$F$16,$C$14,$F$15,$F$14,$F$20,Z$2,$N$1,$C56)</f>
        <v>0</v>
      </c>
      <c r="AA56" s="53"/>
      <c r="AB56" s="53"/>
      <c r="AC56" s="53"/>
      <c r="AD56" s="53"/>
      <c r="AE56" s="53"/>
      <c r="AF56" s="53"/>
      <c r="AG56" s="53"/>
      <c r="AH56" s="53"/>
      <c r="AI56" s="53"/>
      <c r="AJ56" s="62"/>
      <c r="AK56" s="53"/>
      <c r="AL56" s="217"/>
      <c r="AM56" s="142">
        <v>4520</v>
      </c>
      <c r="AN56" s="150" t="s">
        <v>497</v>
      </c>
      <c r="AO56" s="53"/>
      <c r="AP56" s="53"/>
      <c r="AQ56" s="53"/>
      <c r="AR56" s="53"/>
      <c r="AS56" s="53"/>
      <c r="AT56" s="53"/>
      <c r="AU56" s="53"/>
    </row>
    <row r="57" spans="1:47" s="9" customFormat="1" ht="24.75" customHeight="1" thickBot="1" x14ac:dyDescent="0.4">
      <c r="A57" s="157">
        <f ca="1">IF($AN$35="YES",1,IF(_xll.ELCOMPN(Server&amp;$C$24,C57)&lt;&gt;0,1,IF(OR(B57=$AT$35,B57="ALL"),1,0)))</f>
        <v>1</v>
      </c>
      <c r="B57" s="139" t="str">
        <f t="shared" si="0"/>
        <v>LE</v>
      </c>
      <c r="C57" s="137" t="s">
        <v>170</v>
      </c>
      <c r="E57" s="219" t="str">
        <f ca="1">_xll.DBRA(Server&amp;$C$24,$C57,$F$21)</f>
        <v>Fournitures de bureau et autres consommables (JU)</v>
      </c>
      <c r="F57" s="219"/>
      <c r="G57" s="219"/>
      <c r="H57" s="40"/>
      <c r="I57" s="192">
        <f ca="1">_xll.DBRW(Server&amp;Cube1,$F$17,$F$18,$F$19,$F$16,$C$14,$F$15,$F$14,$F$20,I$2,I$1,$C57)</f>
        <v>0</v>
      </c>
      <c r="J57" s="192">
        <f ca="1">_xll.DBRW(Server&amp;Cube1,$F$17,$F$18,$F$19,$F$16,$C$14,$F$15,$F$14,$F$20,J$2,J$1,$C57)</f>
        <v>0</v>
      </c>
      <c r="K57" s="183"/>
      <c r="L57" s="185">
        <f ca="1">_xll.DBRW(Server&amp;Cube1,$F$17,$F$18,$F$19,$F$16,$C$14,$F$15,$F$14,$F$20,L$2,L$1,$C57)</f>
        <v>0</v>
      </c>
      <c r="M57" s="184"/>
      <c r="N57" s="185">
        <f ca="1">_xll.DBRW(Server&amp;Cube1,$F$17,$F$18,$F$19,$F$16,$C$14,$F$15,$F$14,$F$20,N$2,$N$1,$C57)</f>
        <v>0</v>
      </c>
      <c r="O57" s="185">
        <f ca="1">_xll.DBRW(Server&amp;Cube1,$F$17,$F$18,$F$19,$F$16,$C$14,$F$15,$F$14,$F$20,O$2,$N$1,$C57)</f>
        <v>0</v>
      </c>
      <c r="P57" s="185">
        <f ca="1">_xll.DBRW(Server&amp;Cube1,$F$17,$F$18,$F$19,$F$16,$C$14,$F$15,$F$14,$F$20,P$2,$N$1,$C57)</f>
        <v>0</v>
      </c>
      <c r="Q57" s="185">
        <f ca="1">_xll.DBRW(Server&amp;Cube1,$F$17,$F$18,$F$19,$F$16,$C$14,$F$15,$F$14,$F$20,Q$2,$N$1,$C57)</f>
        <v>0</v>
      </c>
      <c r="R57" s="185">
        <f ca="1">_xll.DBRW(Server&amp;Cube1,$F$17,$F$18,$F$19,$F$16,$C$14,$F$15,$F$14,$F$20,R$2,$N$1,$C57)</f>
        <v>0</v>
      </c>
      <c r="S57" s="185">
        <f ca="1">_xll.DBRW(Server&amp;Cube1,$F$17,$F$18,$F$19,$F$16,$C$14,$F$15,$F$14,$F$20,S$2,$N$1,$C57)</f>
        <v>0</v>
      </c>
      <c r="T57" s="185">
        <f ca="1">_xll.DBRW(Server&amp;Cube1,$F$17,$F$18,$F$19,$F$16,$C$14,$F$15,$F$14,$F$20,T$2,$N$1,$C57)</f>
        <v>0</v>
      </c>
      <c r="U57" s="185">
        <f ca="1">_xll.DBRW(Server&amp;Cube1,$F$17,$F$18,$F$19,$F$16,$C$14,$F$15,$F$14,$F$20,U$2,$N$1,$C57)</f>
        <v>0</v>
      </c>
      <c r="V57" s="185">
        <f ca="1">_xll.DBRW(Server&amp;Cube1,$F$17,$F$18,$F$19,$F$16,$C$14,$F$15,$F$14,$F$20,V$2,$N$1,$C57)</f>
        <v>0</v>
      </c>
      <c r="W57" s="185">
        <f ca="1">_xll.DBRW(Server&amp;Cube1,$F$17,$F$18,$F$19,$F$16,$C$14,$F$15,$F$14,$F$20,W$2,$N$1,$C57)</f>
        <v>0</v>
      </c>
      <c r="X57" s="185">
        <f ca="1">_xll.DBRW(Server&amp;Cube1,$F$17,$F$18,$F$19,$F$16,$C$14,$F$15,$F$14,$F$20,X$2,$N$1,$C57)</f>
        <v>0</v>
      </c>
      <c r="Y57" s="185">
        <f ca="1">_xll.DBRW(Server&amp;Cube1,$F$17,$F$18,$F$19,$F$16,$C$14,$F$15,$F$14,$F$20,Y$2,$N$1,$C57)</f>
        <v>0</v>
      </c>
      <c r="Z57" s="185">
        <f ca="1">_xll.DBRW(Server&amp;Cube1,$F$17,$F$18,$F$19,$F$16,$C$14,$F$15,$F$14,$F$20,Z$2,$N$1,$C57)</f>
        <v>0</v>
      </c>
      <c r="AA57" s="53"/>
      <c r="AB57" s="53"/>
      <c r="AC57" s="53"/>
      <c r="AD57" s="53"/>
      <c r="AE57" s="53"/>
      <c r="AF57" s="53"/>
      <c r="AG57" s="53"/>
      <c r="AH57" s="53"/>
      <c r="AI57" s="53"/>
      <c r="AJ57" s="62"/>
      <c r="AK57" s="53"/>
      <c r="AL57" s="217"/>
      <c r="AM57" s="153">
        <v>4530</v>
      </c>
      <c r="AN57" s="150" t="s">
        <v>497</v>
      </c>
      <c r="AO57" s="53"/>
      <c r="AP57" s="53"/>
      <c r="AQ57" s="53"/>
      <c r="AR57" s="53"/>
      <c r="AS57" s="53"/>
      <c r="AT57" s="53"/>
      <c r="AU57" s="53"/>
    </row>
    <row r="58" spans="1:47" s="9" customFormat="1" ht="24.75" customHeight="1" thickBot="1" x14ac:dyDescent="0.4">
      <c r="A58" s="157">
        <f ca="1">IF($AN$35="YES",1,IF(_xll.ELCOMPN(Server&amp;$C$24,C58)&lt;&gt;0,1,IF(OR(B58=$AT$35,B58="ALL"),1,0)))</f>
        <v>1</v>
      </c>
      <c r="B58" s="139" t="str">
        <f t="shared" si="0"/>
        <v>RM</v>
      </c>
      <c r="C58" s="137" t="s">
        <v>171</v>
      </c>
      <c r="E58" s="219" t="str">
        <f ca="1">_xll.DBRA(Server&amp;$C$24,$C58,$F$21)</f>
        <v>Fournitures de bureau et autres consommables (GR)</v>
      </c>
      <c r="F58" s="219"/>
      <c r="G58" s="219"/>
      <c r="H58" s="40"/>
      <c r="I58" s="192">
        <f ca="1">_xll.DBRW(Server&amp;Cube1,$F$17,$F$18,$F$19,$F$16,$C$14,$F$15,$F$14,$F$20,I$2,I$1,$C58)</f>
        <v>0</v>
      </c>
      <c r="J58" s="192">
        <f ca="1">_xll.DBRW(Server&amp;Cube1,$F$17,$F$18,$F$19,$F$16,$C$14,$F$15,$F$14,$F$20,J$2,J$1,$C58)</f>
        <v>0</v>
      </c>
      <c r="K58" s="183"/>
      <c r="L58" s="185">
        <f ca="1">_xll.DBRW(Server&amp;Cube1,$F$17,$F$18,$F$19,$F$16,$C$14,$F$15,$F$14,$F$20,L$2,L$1,$C58)</f>
        <v>0</v>
      </c>
      <c r="M58" s="184"/>
      <c r="N58" s="185">
        <f ca="1">_xll.DBRW(Server&amp;Cube1,$F$17,$F$18,$F$19,$F$16,$C$14,$F$15,$F$14,$F$20,N$2,$N$1,$C58)</f>
        <v>0</v>
      </c>
      <c r="O58" s="185">
        <f ca="1">_xll.DBRW(Server&amp;Cube1,$F$17,$F$18,$F$19,$F$16,$C$14,$F$15,$F$14,$F$20,O$2,$N$1,$C58)</f>
        <v>0</v>
      </c>
      <c r="P58" s="185">
        <f ca="1">_xll.DBRW(Server&amp;Cube1,$F$17,$F$18,$F$19,$F$16,$C$14,$F$15,$F$14,$F$20,P$2,$N$1,$C58)</f>
        <v>0</v>
      </c>
      <c r="Q58" s="185">
        <f ca="1">_xll.DBRW(Server&amp;Cube1,$F$17,$F$18,$F$19,$F$16,$C$14,$F$15,$F$14,$F$20,Q$2,$N$1,$C58)</f>
        <v>0</v>
      </c>
      <c r="R58" s="185">
        <f ca="1">_xll.DBRW(Server&amp;Cube1,$F$17,$F$18,$F$19,$F$16,$C$14,$F$15,$F$14,$F$20,R$2,$N$1,$C58)</f>
        <v>0</v>
      </c>
      <c r="S58" s="185">
        <f ca="1">_xll.DBRW(Server&amp;Cube1,$F$17,$F$18,$F$19,$F$16,$C$14,$F$15,$F$14,$F$20,S$2,$N$1,$C58)</f>
        <v>0</v>
      </c>
      <c r="T58" s="185">
        <f ca="1">_xll.DBRW(Server&amp;Cube1,$F$17,$F$18,$F$19,$F$16,$C$14,$F$15,$F$14,$F$20,T$2,$N$1,$C58)</f>
        <v>0</v>
      </c>
      <c r="U58" s="185">
        <f ca="1">_xll.DBRW(Server&amp;Cube1,$F$17,$F$18,$F$19,$F$16,$C$14,$F$15,$F$14,$F$20,U$2,$N$1,$C58)</f>
        <v>0</v>
      </c>
      <c r="V58" s="185">
        <f ca="1">_xll.DBRW(Server&amp;Cube1,$F$17,$F$18,$F$19,$F$16,$C$14,$F$15,$F$14,$F$20,V$2,$N$1,$C58)</f>
        <v>0</v>
      </c>
      <c r="W58" s="185">
        <f ca="1">_xll.DBRW(Server&amp;Cube1,$F$17,$F$18,$F$19,$F$16,$C$14,$F$15,$F$14,$F$20,W$2,$N$1,$C58)</f>
        <v>0</v>
      </c>
      <c r="X58" s="185">
        <f ca="1">_xll.DBRW(Server&amp;Cube1,$F$17,$F$18,$F$19,$F$16,$C$14,$F$15,$F$14,$F$20,X$2,$N$1,$C58)</f>
        <v>0</v>
      </c>
      <c r="Y58" s="185">
        <f ca="1">_xll.DBRW(Server&amp;Cube1,$F$17,$F$18,$F$19,$F$16,$C$14,$F$15,$F$14,$F$20,Y$2,$N$1,$C58)</f>
        <v>0</v>
      </c>
      <c r="Z58" s="185">
        <f ca="1">_xll.DBRW(Server&amp;Cube1,$F$17,$F$18,$F$19,$F$16,$C$14,$F$15,$F$14,$F$20,Z$2,$N$1,$C58)</f>
        <v>0</v>
      </c>
      <c r="AA58" s="53"/>
      <c r="AB58" s="53"/>
      <c r="AC58" s="53"/>
      <c r="AD58" s="53"/>
      <c r="AE58" s="53"/>
      <c r="AF58" s="53"/>
      <c r="AG58" s="53"/>
      <c r="AH58" s="53"/>
      <c r="AI58" s="53"/>
      <c r="AJ58" s="62"/>
      <c r="AK58" s="53"/>
      <c r="AL58" s="156" t="s">
        <v>475</v>
      </c>
      <c r="AM58" s="155">
        <v>4330</v>
      </c>
      <c r="AN58" s="154" t="s">
        <v>499</v>
      </c>
      <c r="AO58" s="53"/>
      <c r="AP58" s="53"/>
      <c r="AQ58" s="53"/>
      <c r="AR58" s="53"/>
      <c r="AS58" s="53"/>
      <c r="AT58" s="53"/>
      <c r="AU58" s="53"/>
    </row>
    <row r="59" spans="1:47" s="9" customFormat="1" ht="24.75" customHeight="1" thickBot="1" x14ac:dyDescent="0.4">
      <c r="A59" s="157">
        <f ca="1">IF($AN$35="YES",1,IF(_xll.ELCOMPN(Server&amp;$C$24,C59)&lt;&gt;0,1,IF(OR(B59=$AT$35,B59="ALL"),1,0)))</f>
        <v>1</v>
      </c>
      <c r="B59" s="139" t="str">
        <f t="shared" si="0"/>
        <v>PU</v>
      </c>
      <c r="C59" s="137" t="s">
        <v>172</v>
      </c>
      <c r="E59" s="219" t="str">
        <f ca="1">_xll.DBRA(Server&amp;$C$24,$C59,$F$21)</f>
        <v>Fournitures de bureau et autres consommables (AC)</v>
      </c>
      <c r="F59" s="219"/>
      <c r="G59" s="219"/>
      <c r="H59" s="40"/>
      <c r="I59" s="192">
        <f ca="1">_xll.DBRW(Server&amp;Cube1,$F$17,$F$18,$F$19,$F$16,$C$14,$F$15,$F$14,$F$20,I$2,I$1,$C59)</f>
        <v>0</v>
      </c>
      <c r="J59" s="192">
        <f ca="1">_xll.DBRW(Server&amp;Cube1,$F$17,$F$18,$F$19,$F$16,$C$14,$F$15,$F$14,$F$20,J$2,J$1,$C59)</f>
        <v>0</v>
      </c>
      <c r="K59" s="183"/>
      <c r="L59" s="185">
        <f ca="1">_xll.DBRW(Server&amp;Cube1,$F$17,$F$18,$F$19,$F$16,$C$14,$F$15,$F$14,$F$20,L$2,L$1,$C59)</f>
        <v>0</v>
      </c>
      <c r="M59" s="184"/>
      <c r="N59" s="185">
        <f ca="1">_xll.DBRW(Server&amp;Cube1,$F$17,$F$18,$F$19,$F$16,$C$14,$F$15,$F$14,$F$20,N$2,$N$1,$C59)</f>
        <v>0</v>
      </c>
      <c r="O59" s="185">
        <f ca="1">_xll.DBRW(Server&amp;Cube1,$F$17,$F$18,$F$19,$F$16,$C$14,$F$15,$F$14,$F$20,O$2,$N$1,$C59)</f>
        <v>0</v>
      </c>
      <c r="P59" s="185">
        <f ca="1">_xll.DBRW(Server&amp;Cube1,$F$17,$F$18,$F$19,$F$16,$C$14,$F$15,$F$14,$F$20,P$2,$N$1,$C59)</f>
        <v>0</v>
      </c>
      <c r="Q59" s="185">
        <f ca="1">_xll.DBRW(Server&amp;Cube1,$F$17,$F$18,$F$19,$F$16,$C$14,$F$15,$F$14,$F$20,Q$2,$N$1,$C59)</f>
        <v>0</v>
      </c>
      <c r="R59" s="185">
        <f ca="1">_xll.DBRW(Server&amp;Cube1,$F$17,$F$18,$F$19,$F$16,$C$14,$F$15,$F$14,$F$20,R$2,$N$1,$C59)</f>
        <v>0</v>
      </c>
      <c r="S59" s="185">
        <f ca="1">_xll.DBRW(Server&amp;Cube1,$F$17,$F$18,$F$19,$F$16,$C$14,$F$15,$F$14,$F$20,S$2,$N$1,$C59)</f>
        <v>0</v>
      </c>
      <c r="T59" s="185">
        <f ca="1">_xll.DBRW(Server&amp;Cube1,$F$17,$F$18,$F$19,$F$16,$C$14,$F$15,$F$14,$F$20,T$2,$N$1,$C59)</f>
        <v>0</v>
      </c>
      <c r="U59" s="185">
        <f ca="1">_xll.DBRW(Server&amp;Cube1,$F$17,$F$18,$F$19,$F$16,$C$14,$F$15,$F$14,$F$20,U$2,$N$1,$C59)</f>
        <v>0</v>
      </c>
      <c r="V59" s="185">
        <f ca="1">_xll.DBRW(Server&amp;Cube1,$F$17,$F$18,$F$19,$F$16,$C$14,$F$15,$F$14,$F$20,V$2,$N$1,$C59)</f>
        <v>0</v>
      </c>
      <c r="W59" s="185">
        <f ca="1">_xll.DBRW(Server&amp;Cube1,$F$17,$F$18,$F$19,$F$16,$C$14,$F$15,$F$14,$F$20,W$2,$N$1,$C59)</f>
        <v>0</v>
      </c>
      <c r="X59" s="185">
        <f ca="1">_xll.DBRW(Server&amp;Cube1,$F$17,$F$18,$F$19,$F$16,$C$14,$F$15,$F$14,$F$20,X$2,$N$1,$C59)</f>
        <v>0</v>
      </c>
      <c r="Y59" s="185">
        <f ca="1">_xll.DBRW(Server&amp;Cube1,$F$17,$F$18,$F$19,$F$16,$C$14,$F$15,$F$14,$F$20,Y$2,$N$1,$C59)</f>
        <v>0</v>
      </c>
      <c r="Z59" s="185">
        <f ca="1">_xll.DBRW(Server&amp;Cube1,$F$17,$F$18,$F$19,$F$16,$C$14,$F$15,$F$14,$F$20,Z$2,$N$1,$C59)</f>
        <v>0</v>
      </c>
      <c r="AA59" s="53"/>
      <c r="AB59" s="53"/>
      <c r="AC59" s="53"/>
      <c r="AD59" s="53"/>
      <c r="AE59" s="53"/>
      <c r="AF59" s="53"/>
      <c r="AG59" s="53"/>
      <c r="AH59" s="53"/>
      <c r="AI59" s="53"/>
      <c r="AJ59" s="62"/>
      <c r="AK59" s="53"/>
      <c r="AL59" s="156" t="s">
        <v>476</v>
      </c>
      <c r="AM59" s="155">
        <v>4310</v>
      </c>
      <c r="AN59" s="154" t="s">
        <v>476</v>
      </c>
      <c r="AO59" s="53"/>
      <c r="AP59" s="53"/>
      <c r="AQ59" s="53"/>
      <c r="AR59" s="53"/>
      <c r="AS59" s="53"/>
      <c r="AT59" s="53"/>
      <c r="AU59" s="53"/>
    </row>
    <row r="60" spans="1:47" s="9" customFormat="1" ht="24.75" customHeight="1" x14ac:dyDescent="0.35">
      <c r="A60" s="157">
        <f ca="1">IF($AN$35="YES",1,IF(_xll.ELCOMPN(Server&amp;$C$24,C60)&lt;&gt;0,1,IF(OR(B60=$AT$35,B60="ALL"),1,0)))</f>
        <v>1</v>
      </c>
      <c r="B60" s="139" t="str">
        <f t="shared" si="0"/>
        <v>CO</v>
      </c>
      <c r="C60" s="137" t="s">
        <v>173</v>
      </c>
      <c r="E60" s="219" t="str">
        <f ca="1">_xll.DBRA(Server&amp;$C$24,$C60,$F$21)</f>
        <v>Fournitures de bureau et autres consommables (CO)</v>
      </c>
      <c r="F60" s="219"/>
      <c r="G60" s="219"/>
      <c r="H60" s="40"/>
      <c r="I60" s="192">
        <f ca="1">_xll.DBRW(Server&amp;Cube1,$F$17,$F$18,$F$19,$F$16,$C$14,$F$15,$F$14,$F$20,I$2,I$1,$C60)</f>
        <v>0</v>
      </c>
      <c r="J60" s="192">
        <f ca="1">_xll.DBRW(Server&amp;Cube1,$F$17,$F$18,$F$19,$F$16,$C$14,$F$15,$F$14,$F$20,J$2,J$1,$C60)</f>
        <v>0</v>
      </c>
      <c r="K60" s="183"/>
      <c r="L60" s="185">
        <f ca="1">_xll.DBRW(Server&amp;Cube1,$F$17,$F$18,$F$19,$F$16,$C$14,$F$15,$F$14,$F$20,L$2,L$1,$C60)</f>
        <v>0</v>
      </c>
      <c r="M60" s="184"/>
      <c r="N60" s="185">
        <f ca="1">_xll.DBRW(Server&amp;Cube1,$F$17,$F$18,$F$19,$F$16,$C$14,$F$15,$F$14,$F$20,N$2,$N$1,$C60)</f>
        <v>0</v>
      </c>
      <c r="O60" s="185">
        <f ca="1">_xll.DBRW(Server&amp;Cube1,$F$17,$F$18,$F$19,$F$16,$C$14,$F$15,$F$14,$F$20,O$2,$N$1,$C60)</f>
        <v>0</v>
      </c>
      <c r="P60" s="185">
        <f ca="1">_xll.DBRW(Server&amp;Cube1,$F$17,$F$18,$F$19,$F$16,$C$14,$F$15,$F$14,$F$20,P$2,$N$1,$C60)</f>
        <v>0</v>
      </c>
      <c r="Q60" s="185">
        <f ca="1">_xll.DBRW(Server&amp;Cube1,$F$17,$F$18,$F$19,$F$16,$C$14,$F$15,$F$14,$F$20,Q$2,$N$1,$C60)</f>
        <v>0</v>
      </c>
      <c r="R60" s="185">
        <f ca="1">_xll.DBRW(Server&amp;Cube1,$F$17,$F$18,$F$19,$F$16,$C$14,$F$15,$F$14,$F$20,R$2,$N$1,$C60)</f>
        <v>0</v>
      </c>
      <c r="S60" s="185">
        <f ca="1">_xll.DBRW(Server&amp;Cube1,$F$17,$F$18,$F$19,$F$16,$C$14,$F$15,$F$14,$F$20,S$2,$N$1,$C60)</f>
        <v>0</v>
      </c>
      <c r="T60" s="185">
        <f ca="1">_xll.DBRW(Server&amp;Cube1,$F$17,$F$18,$F$19,$F$16,$C$14,$F$15,$F$14,$F$20,T$2,$N$1,$C60)</f>
        <v>0</v>
      </c>
      <c r="U60" s="185">
        <f ca="1">_xll.DBRW(Server&amp;Cube1,$F$17,$F$18,$F$19,$F$16,$C$14,$F$15,$F$14,$F$20,U$2,$N$1,$C60)</f>
        <v>0</v>
      </c>
      <c r="V60" s="185">
        <f ca="1">_xll.DBRW(Server&amp;Cube1,$F$17,$F$18,$F$19,$F$16,$C$14,$F$15,$F$14,$F$20,V$2,$N$1,$C60)</f>
        <v>0</v>
      </c>
      <c r="W60" s="185">
        <f ca="1">_xll.DBRW(Server&amp;Cube1,$F$17,$F$18,$F$19,$F$16,$C$14,$F$15,$F$14,$F$20,W$2,$N$1,$C60)</f>
        <v>0</v>
      </c>
      <c r="X60" s="185">
        <f ca="1">_xll.DBRW(Server&amp;Cube1,$F$17,$F$18,$F$19,$F$16,$C$14,$F$15,$F$14,$F$20,X$2,$N$1,$C60)</f>
        <v>0</v>
      </c>
      <c r="Y60" s="185">
        <f ca="1">_xll.DBRW(Server&amp;Cube1,$F$17,$F$18,$F$19,$F$16,$C$14,$F$15,$F$14,$F$20,Y$2,$N$1,$C60)</f>
        <v>0</v>
      </c>
      <c r="Z60" s="185">
        <f ca="1">_xll.DBRW(Server&amp;Cube1,$F$17,$F$18,$F$19,$F$16,$C$14,$F$15,$F$14,$F$20,Z$2,$N$1,$C60)</f>
        <v>0</v>
      </c>
      <c r="AA60" s="53"/>
      <c r="AB60" s="53"/>
      <c r="AC60" s="53"/>
      <c r="AD60" s="53"/>
      <c r="AE60" s="53"/>
      <c r="AF60" s="53"/>
      <c r="AG60" s="53"/>
      <c r="AH60" s="53"/>
      <c r="AI60" s="53"/>
      <c r="AJ60" s="62"/>
      <c r="AK60" s="53"/>
      <c r="AL60" s="206" t="s">
        <v>477</v>
      </c>
      <c r="AM60" s="144">
        <v>4340</v>
      </c>
      <c r="AN60" s="151" t="s">
        <v>498</v>
      </c>
      <c r="AO60" s="53"/>
      <c r="AP60" s="53"/>
      <c r="AQ60" s="53"/>
      <c r="AR60" s="53"/>
      <c r="AS60" s="53"/>
      <c r="AT60" s="53"/>
      <c r="AU60" s="53"/>
    </row>
    <row r="61" spans="1:47" s="9" customFormat="1" ht="24.75" customHeight="1" thickBot="1" x14ac:dyDescent="0.4">
      <c r="A61" s="157">
        <f ca="1">IF($AN$35="YES",1,IF(_xll.ELCOMPN(Server&amp;$C$24,C61)&lt;&gt;0,1,IF(OR(B61=$AT$35,B61="ALL"),1,0)))</f>
        <v>1</v>
      </c>
      <c r="B61" s="139" t="str">
        <f t="shared" si="0"/>
        <v>GS</v>
      </c>
      <c r="C61" s="137" t="s">
        <v>174</v>
      </c>
      <c r="E61" s="219" t="str">
        <f ca="1">_xll.DBRA(Server&amp;$C$24,$C61,$F$21)</f>
        <v>Fournitures de bureau et autres consommables (SG)</v>
      </c>
      <c r="F61" s="219"/>
      <c r="G61" s="219"/>
      <c r="H61" s="40"/>
      <c r="I61" s="192">
        <f ca="1">_xll.DBRW(Server&amp;Cube1,$F$17,$F$18,$F$19,$F$16,$C$14,$F$15,$F$14,$F$20,I$2,I$1,$C61)</f>
        <v>0</v>
      </c>
      <c r="J61" s="192">
        <f ca="1">_xll.DBRW(Server&amp;Cube1,$F$17,$F$18,$F$19,$F$16,$C$14,$F$15,$F$14,$F$20,J$2,J$1,$C61)</f>
        <v>0</v>
      </c>
      <c r="K61" s="183"/>
      <c r="L61" s="185">
        <f ca="1">_xll.DBRW(Server&amp;Cube1,$F$17,$F$18,$F$19,$F$16,$C$14,$F$15,$F$14,$F$20,L$2,L$1,$C61)</f>
        <v>0</v>
      </c>
      <c r="M61" s="184"/>
      <c r="N61" s="185">
        <f ca="1">_xll.DBRW(Server&amp;Cube1,$F$17,$F$18,$F$19,$F$16,$C$14,$F$15,$F$14,$F$20,N$2,$N$1,$C61)</f>
        <v>0</v>
      </c>
      <c r="O61" s="185">
        <f ca="1">_xll.DBRW(Server&amp;Cube1,$F$17,$F$18,$F$19,$F$16,$C$14,$F$15,$F$14,$F$20,O$2,$N$1,$C61)</f>
        <v>0</v>
      </c>
      <c r="P61" s="185">
        <f ca="1">_xll.DBRW(Server&amp;Cube1,$F$17,$F$18,$F$19,$F$16,$C$14,$F$15,$F$14,$F$20,P$2,$N$1,$C61)</f>
        <v>0</v>
      </c>
      <c r="Q61" s="185">
        <f ca="1">_xll.DBRW(Server&amp;Cube1,$F$17,$F$18,$F$19,$F$16,$C$14,$F$15,$F$14,$F$20,Q$2,$N$1,$C61)</f>
        <v>0</v>
      </c>
      <c r="R61" s="185">
        <f ca="1">_xll.DBRW(Server&amp;Cube1,$F$17,$F$18,$F$19,$F$16,$C$14,$F$15,$F$14,$F$20,R$2,$N$1,$C61)</f>
        <v>0</v>
      </c>
      <c r="S61" s="185">
        <f ca="1">_xll.DBRW(Server&amp;Cube1,$F$17,$F$18,$F$19,$F$16,$C$14,$F$15,$F$14,$F$20,S$2,$N$1,$C61)</f>
        <v>0</v>
      </c>
      <c r="T61" s="185">
        <f ca="1">_xll.DBRW(Server&amp;Cube1,$F$17,$F$18,$F$19,$F$16,$C$14,$F$15,$F$14,$F$20,T$2,$N$1,$C61)</f>
        <v>0</v>
      </c>
      <c r="U61" s="185">
        <f ca="1">_xll.DBRW(Server&amp;Cube1,$F$17,$F$18,$F$19,$F$16,$C$14,$F$15,$F$14,$F$20,U$2,$N$1,$C61)</f>
        <v>0</v>
      </c>
      <c r="V61" s="185">
        <f ca="1">_xll.DBRW(Server&amp;Cube1,$F$17,$F$18,$F$19,$F$16,$C$14,$F$15,$F$14,$F$20,V$2,$N$1,$C61)</f>
        <v>0</v>
      </c>
      <c r="W61" s="185">
        <f ca="1">_xll.DBRW(Server&amp;Cube1,$F$17,$F$18,$F$19,$F$16,$C$14,$F$15,$F$14,$F$20,W$2,$N$1,$C61)</f>
        <v>0</v>
      </c>
      <c r="X61" s="185">
        <f ca="1">_xll.DBRW(Server&amp;Cube1,$F$17,$F$18,$F$19,$F$16,$C$14,$F$15,$F$14,$F$20,X$2,$N$1,$C61)</f>
        <v>0</v>
      </c>
      <c r="Y61" s="185">
        <f ca="1">_xll.DBRW(Server&amp;Cube1,$F$17,$F$18,$F$19,$F$16,$C$14,$F$15,$F$14,$F$20,Y$2,$N$1,$C61)</f>
        <v>0</v>
      </c>
      <c r="Z61" s="185">
        <f ca="1">_xll.DBRW(Server&amp;Cube1,$F$17,$F$18,$F$19,$F$16,$C$14,$F$15,$F$14,$F$20,Z$2,$N$1,$C61)</f>
        <v>0</v>
      </c>
      <c r="AA61" s="53"/>
      <c r="AB61" s="53"/>
      <c r="AC61" s="53"/>
      <c r="AD61" s="53"/>
      <c r="AE61" s="53"/>
      <c r="AF61" s="53"/>
      <c r="AG61" s="53"/>
      <c r="AH61" s="53"/>
      <c r="AI61" s="53"/>
      <c r="AJ61" s="62"/>
      <c r="AK61" s="53"/>
      <c r="AL61" s="207"/>
      <c r="AM61" s="146">
        <v>4320</v>
      </c>
      <c r="AN61" s="152" t="s">
        <v>498</v>
      </c>
      <c r="AO61" s="53"/>
      <c r="AP61" s="53"/>
      <c r="AQ61" s="53"/>
      <c r="AR61" s="53"/>
      <c r="AS61" s="53"/>
      <c r="AT61" s="53"/>
      <c r="AU61" s="53"/>
    </row>
    <row r="62" spans="1:47" s="9" customFormat="1" ht="24.75" customHeight="1" x14ac:dyDescent="0.35">
      <c r="A62" s="157">
        <f ca="1">IF($AN$35="YES",1,IF(_xll.ELCOMPN(Server&amp;$C$24,C62)&lt;&gt;0,1,IF(OR(B62=$AT$35,B62="ALL"),1,0)))</f>
        <v>1</v>
      </c>
      <c r="B62" s="139" t="str">
        <f t="shared" si="0"/>
        <v>RD</v>
      </c>
      <c r="C62" s="137" t="s">
        <v>175</v>
      </c>
      <c r="E62" s="219" t="str">
        <f ca="1">_xll.DBRA(Server&amp;$C$24,$C62,$F$21)</f>
        <v>Fournitures de bureau et autres consommables (RD)</v>
      </c>
      <c r="F62" s="219"/>
      <c r="G62" s="219"/>
      <c r="H62" s="40"/>
      <c r="I62" s="192">
        <f ca="1">_xll.DBRW(Server&amp;Cube1,$F$17,$F$18,$F$19,$F$16,$C$14,$F$15,$F$14,$F$20,I$2,I$1,$C62)</f>
        <v>0</v>
      </c>
      <c r="J62" s="192">
        <f ca="1">_xll.DBRW(Server&amp;Cube1,$F$17,$F$18,$F$19,$F$16,$C$14,$F$15,$F$14,$F$20,J$2,J$1,$C62)</f>
        <v>0</v>
      </c>
      <c r="K62" s="183"/>
      <c r="L62" s="185">
        <f ca="1">_xll.DBRW(Server&amp;Cube1,$F$17,$F$18,$F$19,$F$16,$C$14,$F$15,$F$14,$F$20,L$2,L$1,$C62)</f>
        <v>0</v>
      </c>
      <c r="M62" s="184"/>
      <c r="N62" s="185">
        <f ca="1">_xll.DBRW(Server&amp;Cube1,$F$17,$F$18,$F$19,$F$16,$C$14,$F$15,$F$14,$F$20,N$2,$N$1,$C62)</f>
        <v>0</v>
      </c>
      <c r="O62" s="185">
        <f ca="1">_xll.DBRW(Server&amp;Cube1,$F$17,$F$18,$F$19,$F$16,$C$14,$F$15,$F$14,$F$20,O$2,$N$1,$C62)</f>
        <v>0</v>
      </c>
      <c r="P62" s="185">
        <f ca="1">_xll.DBRW(Server&amp;Cube1,$F$17,$F$18,$F$19,$F$16,$C$14,$F$15,$F$14,$F$20,P$2,$N$1,$C62)</f>
        <v>0</v>
      </c>
      <c r="Q62" s="185">
        <f ca="1">_xll.DBRW(Server&amp;Cube1,$F$17,$F$18,$F$19,$F$16,$C$14,$F$15,$F$14,$F$20,Q$2,$N$1,$C62)</f>
        <v>0</v>
      </c>
      <c r="R62" s="185">
        <f ca="1">_xll.DBRW(Server&amp;Cube1,$F$17,$F$18,$F$19,$F$16,$C$14,$F$15,$F$14,$F$20,R$2,$N$1,$C62)</f>
        <v>0</v>
      </c>
      <c r="S62" s="185">
        <f ca="1">_xll.DBRW(Server&amp;Cube1,$F$17,$F$18,$F$19,$F$16,$C$14,$F$15,$F$14,$F$20,S$2,$N$1,$C62)</f>
        <v>0</v>
      </c>
      <c r="T62" s="185">
        <f ca="1">_xll.DBRW(Server&amp;Cube1,$F$17,$F$18,$F$19,$F$16,$C$14,$F$15,$F$14,$F$20,T$2,$N$1,$C62)</f>
        <v>0</v>
      </c>
      <c r="U62" s="185">
        <f ca="1">_xll.DBRW(Server&amp;Cube1,$F$17,$F$18,$F$19,$F$16,$C$14,$F$15,$F$14,$F$20,U$2,$N$1,$C62)</f>
        <v>0</v>
      </c>
      <c r="V62" s="185">
        <f ca="1">_xll.DBRW(Server&amp;Cube1,$F$17,$F$18,$F$19,$F$16,$C$14,$F$15,$F$14,$F$20,V$2,$N$1,$C62)</f>
        <v>0</v>
      </c>
      <c r="W62" s="185">
        <f ca="1">_xll.DBRW(Server&amp;Cube1,$F$17,$F$18,$F$19,$F$16,$C$14,$F$15,$F$14,$F$20,W$2,$N$1,$C62)</f>
        <v>0</v>
      </c>
      <c r="X62" s="185">
        <f ca="1">_xll.DBRW(Server&amp;Cube1,$F$17,$F$18,$F$19,$F$16,$C$14,$F$15,$F$14,$F$20,X$2,$N$1,$C62)</f>
        <v>0</v>
      </c>
      <c r="Y62" s="185">
        <f ca="1">_xll.DBRW(Server&amp;Cube1,$F$17,$F$18,$F$19,$F$16,$C$14,$F$15,$F$14,$F$20,Y$2,$N$1,$C62)</f>
        <v>0</v>
      </c>
      <c r="Z62" s="185">
        <f ca="1">_xll.DBRW(Server&amp;Cube1,$F$17,$F$18,$F$19,$F$16,$C$14,$F$15,$F$14,$F$20,Z$2,$N$1,$C62)</f>
        <v>0</v>
      </c>
      <c r="AA62" s="53"/>
      <c r="AB62" s="53"/>
      <c r="AC62" s="53"/>
      <c r="AD62" s="53"/>
      <c r="AE62" s="53"/>
      <c r="AF62" s="53"/>
      <c r="AG62" s="53"/>
      <c r="AH62" s="53"/>
      <c r="AI62" s="53"/>
      <c r="AJ62" s="62"/>
      <c r="AK62" s="53"/>
      <c r="AL62" s="206" t="s">
        <v>478</v>
      </c>
      <c r="AM62" s="144">
        <v>4350</v>
      </c>
      <c r="AN62" s="151" t="s">
        <v>500</v>
      </c>
      <c r="AO62" s="53"/>
      <c r="AP62" s="53"/>
      <c r="AQ62" s="53"/>
      <c r="AR62" s="53"/>
      <c r="AS62" s="53"/>
      <c r="AT62" s="53"/>
      <c r="AU62" s="53"/>
    </row>
    <row r="63" spans="1:47" s="9" customFormat="1" ht="24.95" customHeight="1" collapsed="1" x14ac:dyDescent="0.35">
      <c r="A63" s="157">
        <f ca="1">IF($AN$35="YES",1,IF(_xll.ELCOMPN(Server&amp;$C$24,C63)&lt;&gt;0,1,IF(OR(B63=$AT$35,B63="ALL"),1,0)))</f>
        <v>1</v>
      </c>
      <c r="B63" s="139" t="str">
        <f t="shared" si="0"/>
        <v>en</v>
      </c>
      <c r="C63" s="111" t="s">
        <v>92</v>
      </c>
      <c r="E63" s="221" t="str">
        <f ca="1">_xll.DBRA(Server&amp;$C$24,$C63,$F$21)</f>
        <v>Location et entretien de matériel de bureau et informatique</v>
      </c>
      <c r="F63" s="221"/>
      <c r="G63" s="221"/>
      <c r="H63" s="40"/>
      <c r="I63" s="192">
        <f ca="1">_xll.DBRW(Server&amp;Cube1,$F$17,$F$18,$F$19,$F$16,$C$14,$F$15,$F$14,$F$20,I$2,I$1,$C63)</f>
        <v>0</v>
      </c>
      <c r="J63" s="192">
        <f ca="1">_xll.DBRW(Server&amp;Cube1,$F$17,$F$18,$F$19,$F$16,$C$14,$F$15,$F$14,$F$20,J$2,J$1,$C63)</f>
        <v>0</v>
      </c>
      <c r="K63" s="183"/>
      <c r="L63" s="181">
        <f ca="1">_xll.DBRW(Server&amp;Cube1,$F$17,$F$18,$F$19,$F$16,$C$14,$F$15,$F$14,$F$20,L$2,L$1,$C63)</f>
        <v>0</v>
      </c>
      <c r="M63" s="181"/>
      <c r="N63" s="181">
        <f ca="1">_xll.DBRW(Server&amp;Cube1,$F$17,$F$18,$F$19,$F$16,$C$14,$F$15,$F$14,$F$20,N$2,$N$1,$C63)</f>
        <v>0</v>
      </c>
      <c r="O63" s="181">
        <f ca="1">_xll.DBRW(Server&amp;Cube1,$F$17,$F$18,$F$19,$F$16,$C$14,$F$15,$F$14,$F$20,O$2,$N$1,$C63)</f>
        <v>0</v>
      </c>
      <c r="P63" s="181">
        <f ca="1">_xll.DBRW(Server&amp;Cube1,$F$17,$F$18,$F$19,$F$16,$C$14,$F$15,$F$14,$F$20,P$2,$N$1,$C63)</f>
        <v>0</v>
      </c>
      <c r="Q63" s="181">
        <f ca="1">_xll.DBRW(Server&amp;Cube1,$F$17,$F$18,$F$19,$F$16,$C$14,$F$15,$F$14,$F$20,Q$2,$N$1,$C63)</f>
        <v>0</v>
      </c>
      <c r="R63" s="181">
        <f ca="1">_xll.DBRW(Server&amp;Cube1,$F$17,$F$18,$F$19,$F$16,$C$14,$F$15,$F$14,$F$20,R$2,$N$1,$C63)</f>
        <v>0</v>
      </c>
      <c r="S63" s="181">
        <f ca="1">_xll.DBRW(Server&amp;Cube1,$F$17,$F$18,$F$19,$F$16,$C$14,$F$15,$F$14,$F$20,S$2,$N$1,$C63)</f>
        <v>0</v>
      </c>
      <c r="T63" s="181">
        <f ca="1">_xll.DBRW(Server&amp;Cube1,$F$17,$F$18,$F$19,$F$16,$C$14,$F$15,$F$14,$F$20,T$2,$N$1,$C63)</f>
        <v>0</v>
      </c>
      <c r="U63" s="181">
        <f ca="1">_xll.DBRW(Server&amp;Cube1,$F$17,$F$18,$F$19,$F$16,$C$14,$F$15,$F$14,$F$20,U$2,$N$1,$C63)</f>
        <v>0</v>
      </c>
      <c r="V63" s="181">
        <f ca="1">_xll.DBRW(Server&amp;Cube1,$F$17,$F$18,$F$19,$F$16,$C$14,$F$15,$F$14,$F$20,V$2,$N$1,$C63)</f>
        <v>0</v>
      </c>
      <c r="W63" s="181">
        <f ca="1">_xll.DBRW(Server&amp;Cube1,$F$17,$F$18,$F$19,$F$16,$C$14,$F$15,$F$14,$F$20,W$2,$N$1,$C63)</f>
        <v>0</v>
      </c>
      <c r="X63" s="181">
        <f ca="1">_xll.DBRW(Server&amp;Cube1,$F$17,$F$18,$F$19,$F$16,$C$14,$F$15,$F$14,$F$20,X$2,$N$1,$C63)</f>
        <v>0</v>
      </c>
      <c r="Y63" s="181">
        <f ca="1">_xll.DBRW(Server&amp;Cube1,$F$17,$F$18,$F$19,$F$16,$C$14,$F$15,$F$14,$F$20,Y$2,$N$1,$C63)</f>
        <v>0</v>
      </c>
      <c r="Z63" s="181">
        <f ca="1">_xll.DBRW(Server&amp;Cube1,$F$17,$F$18,$F$19,$F$16,$C$14,$F$15,$F$14,$F$20,Z$2,$N$1,$C63)</f>
        <v>0</v>
      </c>
      <c r="AA63" s="23"/>
      <c r="AB63" s="23"/>
      <c r="AC63" s="23"/>
      <c r="AD63" s="23"/>
      <c r="AE63" s="23"/>
      <c r="AF63" s="23"/>
      <c r="AG63" s="23"/>
      <c r="AH63" s="23"/>
      <c r="AI63" s="23"/>
      <c r="AK63" s="23"/>
      <c r="AL63" s="208"/>
      <c r="AM63" s="145">
        <v>5000</v>
      </c>
      <c r="AN63" s="150" t="s">
        <v>500</v>
      </c>
      <c r="AO63" s="53"/>
      <c r="AP63" s="53"/>
      <c r="AQ63" s="53"/>
      <c r="AR63" s="53"/>
      <c r="AS63" s="53"/>
      <c r="AT63" s="53"/>
      <c r="AU63" s="53"/>
    </row>
    <row r="64" spans="1:47" s="9" customFormat="1" ht="24.95" customHeight="1" x14ac:dyDescent="0.35">
      <c r="A64" s="157">
        <f ca="1">IF($AN$35="YES",1,IF(_xll.ELCOMPN(Server&amp;$C$24,C64)&lt;&gt;0,1,IF(OR(B64=$AT$35,B64="ALL"),1,0)))</f>
        <v>1</v>
      </c>
      <c r="B64" s="166" t="str">
        <f t="shared" si="0"/>
        <v>DS</v>
      </c>
      <c r="C64" s="137" t="s">
        <v>176</v>
      </c>
      <c r="E64" s="219" t="str">
        <f ca="1">_xll.DBRA(Server&amp;$C$24,$C64,$F$21)</f>
        <v>Location et entretien de matériel de bureau et informatique (SO)</v>
      </c>
      <c r="F64" s="219"/>
      <c r="G64" s="219"/>
      <c r="H64" s="40"/>
      <c r="I64" s="192">
        <f ca="1">_xll.DBRW(Server&amp;Cube1,$F$17,$F$18,$F$19,$F$16,$C$14,$F$15,$F$14,$F$20,I$2,I$1,$C64)</f>
        <v>0</v>
      </c>
      <c r="J64" s="192">
        <f ca="1">_xll.DBRW(Server&amp;Cube1,$F$17,$F$18,$F$19,$F$16,$C$14,$F$15,$F$14,$F$20,J$2,J$1,$C64)</f>
        <v>0</v>
      </c>
      <c r="K64" s="183"/>
      <c r="L64" s="185">
        <f ca="1">_xll.DBRW(Server&amp;Cube1,$F$17,$F$18,$F$19,$F$16,$C$14,$F$15,$F$14,$F$20,L$2,L$1,$C64)</f>
        <v>0</v>
      </c>
      <c r="M64" s="184"/>
      <c r="N64" s="185">
        <f ca="1">_xll.DBRW(Server&amp;Cube1,$F$17,$F$18,$F$19,$F$16,$C$14,$F$15,$F$14,$F$20,N$2,$N$1,$C64)</f>
        <v>0</v>
      </c>
      <c r="O64" s="185">
        <f ca="1">_xll.DBRW(Server&amp;Cube1,$F$17,$F$18,$F$19,$F$16,$C$14,$F$15,$F$14,$F$20,O$2,$N$1,$C64)</f>
        <v>0</v>
      </c>
      <c r="P64" s="185">
        <f ca="1">_xll.DBRW(Server&amp;Cube1,$F$17,$F$18,$F$19,$F$16,$C$14,$F$15,$F$14,$F$20,P$2,$N$1,$C64)</f>
        <v>0</v>
      </c>
      <c r="Q64" s="185">
        <f ca="1">_xll.DBRW(Server&amp;Cube1,$F$17,$F$18,$F$19,$F$16,$C$14,$F$15,$F$14,$F$20,Q$2,$N$1,$C64)</f>
        <v>0</v>
      </c>
      <c r="R64" s="185">
        <f ca="1">_xll.DBRW(Server&amp;Cube1,$F$17,$F$18,$F$19,$F$16,$C$14,$F$15,$F$14,$F$20,R$2,$N$1,$C64)</f>
        <v>0</v>
      </c>
      <c r="S64" s="185">
        <f ca="1">_xll.DBRW(Server&amp;Cube1,$F$17,$F$18,$F$19,$F$16,$C$14,$F$15,$F$14,$F$20,S$2,$N$1,$C64)</f>
        <v>0</v>
      </c>
      <c r="T64" s="185">
        <f ca="1">_xll.DBRW(Server&amp;Cube1,$F$17,$F$18,$F$19,$F$16,$C$14,$F$15,$F$14,$F$20,T$2,$N$1,$C64)</f>
        <v>0</v>
      </c>
      <c r="U64" s="185">
        <f ca="1">_xll.DBRW(Server&amp;Cube1,$F$17,$F$18,$F$19,$F$16,$C$14,$F$15,$F$14,$F$20,U$2,$N$1,$C64)</f>
        <v>0</v>
      </c>
      <c r="V64" s="185">
        <f ca="1">_xll.DBRW(Server&amp;Cube1,$F$17,$F$18,$F$19,$F$16,$C$14,$F$15,$F$14,$F$20,V$2,$N$1,$C64)</f>
        <v>0</v>
      </c>
      <c r="W64" s="185">
        <f ca="1">_xll.DBRW(Server&amp;Cube1,$F$17,$F$18,$F$19,$F$16,$C$14,$F$15,$F$14,$F$20,W$2,$N$1,$C64)</f>
        <v>0</v>
      </c>
      <c r="X64" s="185">
        <f ca="1">_xll.DBRW(Server&amp;Cube1,$F$17,$F$18,$F$19,$F$16,$C$14,$F$15,$F$14,$F$20,X$2,$N$1,$C64)</f>
        <v>0</v>
      </c>
      <c r="Y64" s="185">
        <f ca="1">_xll.DBRW(Server&amp;Cube1,$F$17,$F$18,$F$19,$F$16,$C$14,$F$15,$F$14,$F$20,Y$2,$N$1,$C64)</f>
        <v>0</v>
      </c>
      <c r="Z64" s="185">
        <f ca="1">_xll.DBRW(Server&amp;Cube1,$F$17,$F$18,$F$19,$F$16,$C$14,$F$15,$F$14,$F$20,Z$2,$N$1,$C64)</f>
        <v>0</v>
      </c>
      <c r="AA64" s="53"/>
      <c r="AB64" s="53"/>
      <c r="AC64" s="53"/>
      <c r="AD64" s="53"/>
      <c r="AE64" s="53"/>
      <c r="AF64" s="53"/>
      <c r="AG64" s="53"/>
      <c r="AH64" s="53"/>
      <c r="AI64" s="53"/>
      <c r="AJ64" s="62"/>
      <c r="AK64" s="53"/>
      <c r="AL64" s="208"/>
      <c r="AM64" s="145">
        <v>5010</v>
      </c>
      <c r="AN64" s="150" t="s">
        <v>500</v>
      </c>
      <c r="AO64" s="53"/>
      <c r="AP64" s="53"/>
      <c r="AQ64" s="53"/>
      <c r="AR64" s="53"/>
      <c r="AS64" s="53"/>
      <c r="AT64" s="53"/>
      <c r="AU64" s="53"/>
    </row>
    <row r="65" spans="1:51" s="9" customFormat="1" ht="24.95" customHeight="1" x14ac:dyDescent="0.35">
      <c r="A65" s="157">
        <f ca="1">IF($AN$35="YES",1,IF(_xll.ELCOMPN(Server&amp;$C$24,C65)&lt;&gt;0,1,IF(OR(B65=$AT$35,B65="ALL"),1,0)))</f>
        <v>1</v>
      </c>
      <c r="B65" s="166" t="str">
        <f t="shared" si="0"/>
        <v>BD</v>
      </c>
      <c r="C65" s="137" t="s">
        <v>177</v>
      </c>
      <c r="E65" s="219" t="str">
        <f ca="1">_xll.DBRA(Server&amp;$C$24,$C65,$F$21)</f>
        <v>Location et entretien de matériel de bureau et informatique (DC)</v>
      </c>
      <c r="F65" s="219"/>
      <c r="G65" s="219"/>
      <c r="H65" s="40"/>
      <c r="I65" s="192">
        <f ca="1">_xll.DBRW(Server&amp;Cube1,$F$17,$F$18,$F$19,$F$16,$C$14,$F$15,$F$14,$F$20,I$2,I$1,$C65)</f>
        <v>0</v>
      </c>
      <c r="J65" s="192">
        <f ca="1">_xll.DBRW(Server&amp;Cube1,$F$17,$F$18,$F$19,$F$16,$C$14,$F$15,$F$14,$F$20,J$2,J$1,$C65)</f>
        <v>0</v>
      </c>
      <c r="K65" s="183"/>
      <c r="L65" s="185">
        <f ca="1">_xll.DBRW(Server&amp;Cube1,$F$17,$F$18,$F$19,$F$16,$C$14,$F$15,$F$14,$F$20,L$2,L$1,$C65)</f>
        <v>0</v>
      </c>
      <c r="M65" s="184"/>
      <c r="N65" s="185">
        <f ca="1">_xll.DBRW(Server&amp;Cube1,$F$17,$F$18,$F$19,$F$16,$C$14,$F$15,$F$14,$F$20,N$2,$N$1,$C65)</f>
        <v>0</v>
      </c>
      <c r="O65" s="185">
        <f ca="1">_xll.DBRW(Server&amp;Cube1,$F$17,$F$18,$F$19,$F$16,$C$14,$F$15,$F$14,$F$20,O$2,$N$1,$C65)</f>
        <v>0</v>
      </c>
      <c r="P65" s="185">
        <f ca="1">_xll.DBRW(Server&amp;Cube1,$F$17,$F$18,$F$19,$F$16,$C$14,$F$15,$F$14,$F$20,P$2,$N$1,$C65)</f>
        <v>0</v>
      </c>
      <c r="Q65" s="185">
        <f ca="1">_xll.DBRW(Server&amp;Cube1,$F$17,$F$18,$F$19,$F$16,$C$14,$F$15,$F$14,$F$20,Q$2,$N$1,$C65)</f>
        <v>0</v>
      </c>
      <c r="R65" s="185">
        <f ca="1">_xll.DBRW(Server&amp;Cube1,$F$17,$F$18,$F$19,$F$16,$C$14,$F$15,$F$14,$F$20,R$2,$N$1,$C65)</f>
        <v>0</v>
      </c>
      <c r="S65" s="185">
        <f ca="1">_xll.DBRW(Server&amp;Cube1,$F$17,$F$18,$F$19,$F$16,$C$14,$F$15,$F$14,$F$20,S$2,$N$1,$C65)</f>
        <v>0</v>
      </c>
      <c r="T65" s="185">
        <f ca="1">_xll.DBRW(Server&amp;Cube1,$F$17,$F$18,$F$19,$F$16,$C$14,$F$15,$F$14,$F$20,T$2,$N$1,$C65)</f>
        <v>0</v>
      </c>
      <c r="U65" s="185">
        <f ca="1">_xll.DBRW(Server&amp;Cube1,$F$17,$F$18,$F$19,$F$16,$C$14,$F$15,$F$14,$F$20,U$2,$N$1,$C65)</f>
        <v>0</v>
      </c>
      <c r="V65" s="185">
        <f ca="1">_xll.DBRW(Server&amp;Cube1,$F$17,$F$18,$F$19,$F$16,$C$14,$F$15,$F$14,$F$20,V$2,$N$1,$C65)</f>
        <v>0</v>
      </c>
      <c r="W65" s="185">
        <f ca="1">_xll.DBRW(Server&amp;Cube1,$F$17,$F$18,$F$19,$F$16,$C$14,$F$15,$F$14,$F$20,W$2,$N$1,$C65)</f>
        <v>0</v>
      </c>
      <c r="X65" s="185">
        <f ca="1">_xll.DBRW(Server&amp;Cube1,$F$17,$F$18,$F$19,$F$16,$C$14,$F$15,$F$14,$F$20,X$2,$N$1,$C65)</f>
        <v>0</v>
      </c>
      <c r="Y65" s="185">
        <f ca="1">_xll.DBRW(Server&amp;Cube1,$F$17,$F$18,$F$19,$F$16,$C$14,$F$15,$F$14,$F$20,Y$2,$N$1,$C65)</f>
        <v>0</v>
      </c>
      <c r="Z65" s="185">
        <f ca="1">_xll.DBRW(Server&amp;Cube1,$F$17,$F$18,$F$19,$F$16,$C$14,$F$15,$F$14,$F$20,Z$2,$N$1,$C65)</f>
        <v>0</v>
      </c>
      <c r="AA65" s="53"/>
      <c r="AB65" s="53"/>
      <c r="AC65" s="53"/>
      <c r="AD65" s="53"/>
      <c r="AE65" s="53"/>
      <c r="AF65" s="53"/>
      <c r="AG65" s="53"/>
      <c r="AH65" s="53"/>
      <c r="AI65" s="53"/>
      <c r="AJ65" s="62"/>
      <c r="AK65" s="53"/>
      <c r="AL65" s="208"/>
      <c r="AM65" s="145">
        <v>5020</v>
      </c>
      <c r="AN65" s="150" t="s">
        <v>500</v>
      </c>
      <c r="AO65" s="53"/>
      <c r="AP65" s="53"/>
      <c r="AQ65" s="53"/>
      <c r="AR65" s="53"/>
      <c r="AS65" s="53"/>
      <c r="AT65" s="53"/>
      <c r="AU65" s="53"/>
    </row>
    <row r="66" spans="1:51" s="9" customFormat="1" ht="24.95" customHeight="1" thickBot="1" x14ac:dyDescent="0.4">
      <c r="A66" s="157">
        <f ca="1">IF($AN$35="YES",1,IF(_xll.ELCOMPN(Server&amp;$C$24,C66)&lt;&gt;0,1,IF(OR(B66=$AT$35,B66="ALL"),1,0)))</f>
        <v>1</v>
      </c>
      <c r="B66" s="166" t="str">
        <f t="shared" si="0"/>
        <v>FI</v>
      </c>
      <c r="C66" s="137" t="s">
        <v>178</v>
      </c>
      <c r="E66" s="219" t="str">
        <f ca="1">_xll.DBRA(Server&amp;$C$24,$C66,$F$21)</f>
        <v>Location et entretien de matériel de bureau et informatique (DF)</v>
      </c>
      <c r="F66" s="219"/>
      <c r="G66" s="219"/>
      <c r="H66" s="40"/>
      <c r="I66" s="192">
        <f ca="1">_xll.DBRW(Server&amp;Cube1,$F$17,$F$18,$F$19,$F$16,$C$14,$F$15,$F$14,$F$20,I$2,I$1,$C66)</f>
        <v>0</v>
      </c>
      <c r="J66" s="192">
        <f ca="1">_xll.DBRW(Server&amp;Cube1,$F$17,$F$18,$F$19,$F$16,$C$14,$F$15,$F$14,$F$20,J$2,J$1,$C66)</f>
        <v>0</v>
      </c>
      <c r="K66" s="183"/>
      <c r="L66" s="185">
        <f ca="1">_xll.DBRW(Server&amp;Cube1,$F$17,$F$18,$F$19,$F$16,$C$14,$F$15,$F$14,$F$20,L$2,L$1,$C66)</f>
        <v>0</v>
      </c>
      <c r="M66" s="184"/>
      <c r="N66" s="185">
        <f ca="1">_xll.DBRW(Server&amp;Cube1,$F$17,$F$18,$F$19,$F$16,$C$14,$F$15,$F$14,$F$20,N$2,$N$1,$C66)</f>
        <v>0</v>
      </c>
      <c r="O66" s="185">
        <f ca="1">_xll.DBRW(Server&amp;Cube1,$F$17,$F$18,$F$19,$F$16,$C$14,$F$15,$F$14,$F$20,O$2,$N$1,$C66)</f>
        <v>0</v>
      </c>
      <c r="P66" s="185">
        <f ca="1">_xll.DBRW(Server&amp;Cube1,$F$17,$F$18,$F$19,$F$16,$C$14,$F$15,$F$14,$F$20,P$2,$N$1,$C66)</f>
        <v>0</v>
      </c>
      <c r="Q66" s="185">
        <f ca="1">_xll.DBRW(Server&amp;Cube1,$F$17,$F$18,$F$19,$F$16,$C$14,$F$15,$F$14,$F$20,Q$2,$N$1,$C66)</f>
        <v>0</v>
      </c>
      <c r="R66" s="185">
        <f ca="1">_xll.DBRW(Server&amp;Cube1,$F$17,$F$18,$F$19,$F$16,$C$14,$F$15,$F$14,$F$20,R$2,$N$1,$C66)</f>
        <v>0</v>
      </c>
      <c r="S66" s="185">
        <f ca="1">_xll.DBRW(Server&amp;Cube1,$F$17,$F$18,$F$19,$F$16,$C$14,$F$15,$F$14,$F$20,S$2,$N$1,$C66)</f>
        <v>0</v>
      </c>
      <c r="T66" s="185">
        <f ca="1">_xll.DBRW(Server&amp;Cube1,$F$17,$F$18,$F$19,$F$16,$C$14,$F$15,$F$14,$F$20,T$2,$N$1,$C66)</f>
        <v>0</v>
      </c>
      <c r="U66" s="185">
        <f ca="1">_xll.DBRW(Server&amp;Cube1,$F$17,$F$18,$F$19,$F$16,$C$14,$F$15,$F$14,$F$20,U$2,$N$1,$C66)</f>
        <v>0</v>
      </c>
      <c r="V66" s="185">
        <f ca="1">_xll.DBRW(Server&amp;Cube1,$F$17,$F$18,$F$19,$F$16,$C$14,$F$15,$F$14,$F$20,V$2,$N$1,$C66)</f>
        <v>0</v>
      </c>
      <c r="W66" s="185">
        <f ca="1">_xll.DBRW(Server&amp;Cube1,$F$17,$F$18,$F$19,$F$16,$C$14,$F$15,$F$14,$F$20,W$2,$N$1,$C66)</f>
        <v>0</v>
      </c>
      <c r="X66" s="185">
        <f ca="1">_xll.DBRW(Server&amp;Cube1,$F$17,$F$18,$F$19,$F$16,$C$14,$F$15,$F$14,$F$20,X$2,$N$1,$C66)</f>
        <v>0</v>
      </c>
      <c r="Y66" s="185">
        <f ca="1">_xll.DBRW(Server&amp;Cube1,$F$17,$F$18,$F$19,$F$16,$C$14,$F$15,$F$14,$F$20,Y$2,$N$1,$C66)</f>
        <v>0</v>
      </c>
      <c r="Z66" s="185">
        <f ca="1">_xll.DBRW(Server&amp;Cube1,$F$17,$F$18,$F$19,$F$16,$C$14,$F$15,$F$14,$F$20,Z$2,$N$1,$C66)</f>
        <v>0</v>
      </c>
      <c r="AA66" s="53"/>
      <c r="AB66" s="53"/>
      <c r="AC66" s="53"/>
      <c r="AD66" s="53"/>
      <c r="AE66" s="53"/>
      <c r="AF66" s="53"/>
      <c r="AG66" s="53"/>
      <c r="AH66" s="53"/>
      <c r="AI66" s="53"/>
      <c r="AJ66" s="62"/>
      <c r="AK66" s="53"/>
      <c r="AL66" s="207"/>
      <c r="AM66" s="146">
        <v>5100</v>
      </c>
      <c r="AN66" s="152" t="s">
        <v>500</v>
      </c>
      <c r="AO66" s="53"/>
      <c r="AP66" s="53"/>
      <c r="AQ66" s="53"/>
      <c r="AR66" s="53"/>
      <c r="AS66" s="53"/>
      <c r="AT66" s="53"/>
      <c r="AU66" s="53"/>
    </row>
    <row r="67" spans="1:51" s="9" customFormat="1" ht="24.95" customHeight="1" thickBot="1" x14ac:dyDescent="0.4">
      <c r="A67" s="157">
        <f ca="1">IF($AN$35="YES",1,IF(_xll.ELCOMPN(Server&amp;$C$24,C67)&lt;&gt;0,1,IF(OR(B67=$AT$35,B67="ALL"),1,0)))</f>
        <v>1</v>
      </c>
      <c r="B67" s="166" t="str">
        <f t="shared" si="0"/>
        <v>IT</v>
      </c>
      <c r="C67" s="137" t="s">
        <v>179</v>
      </c>
      <c r="E67" s="219" t="str">
        <f ca="1">_xll.DBRA(Server&amp;$C$24,$C67,$F$21)</f>
        <v>Location et entretien de matériel de bureau et informatique (IT)</v>
      </c>
      <c r="F67" s="219"/>
      <c r="G67" s="219"/>
      <c r="H67" s="40"/>
      <c r="I67" s="192">
        <f ca="1">_xll.DBRW(Server&amp;Cube1,$F$17,$F$18,$F$19,$F$16,$C$14,$F$15,$F$14,$F$20,I$2,I$1,$C67)</f>
        <v>0</v>
      </c>
      <c r="J67" s="192">
        <f ca="1">_xll.DBRW(Server&amp;Cube1,$F$17,$F$18,$F$19,$F$16,$C$14,$F$15,$F$14,$F$20,J$2,J$1,$C67)</f>
        <v>0</v>
      </c>
      <c r="K67" s="183"/>
      <c r="L67" s="185">
        <f ca="1">_xll.DBRW(Server&amp;Cube1,$F$17,$F$18,$F$19,$F$16,$C$14,$F$15,$F$14,$F$20,L$2,L$1,$C67)</f>
        <v>0</v>
      </c>
      <c r="M67" s="184"/>
      <c r="N67" s="185">
        <f ca="1">_xll.DBRW(Server&amp;Cube1,$F$17,$F$18,$F$19,$F$16,$C$14,$F$15,$F$14,$F$20,N$2,$N$1,$C67)</f>
        <v>0</v>
      </c>
      <c r="O67" s="185">
        <f ca="1">_xll.DBRW(Server&amp;Cube1,$F$17,$F$18,$F$19,$F$16,$C$14,$F$15,$F$14,$F$20,O$2,$N$1,$C67)</f>
        <v>0</v>
      </c>
      <c r="P67" s="185">
        <f ca="1">_xll.DBRW(Server&amp;Cube1,$F$17,$F$18,$F$19,$F$16,$C$14,$F$15,$F$14,$F$20,P$2,$N$1,$C67)</f>
        <v>0</v>
      </c>
      <c r="Q67" s="185">
        <f ca="1">_xll.DBRW(Server&amp;Cube1,$F$17,$F$18,$F$19,$F$16,$C$14,$F$15,$F$14,$F$20,Q$2,$N$1,$C67)</f>
        <v>0</v>
      </c>
      <c r="R67" s="185">
        <f ca="1">_xll.DBRW(Server&amp;Cube1,$F$17,$F$18,$F$19,$F$16,$C$14,$F$15,$F$14,$F$20,R$2,$N$1,$C67)</f>
        <v>0</v>
      </c>
      <c r="S67" s="185">
        <f ca="1">_xll.DBRW(Server&amp;Cube1,$F$17,$F$18,$F$19,$F$16,$C$14,$F$15,$F$14,$F$20,S$2,$N$1,$C67)</f>
        <v>0</v>
      </c>
      <c r="T67" s="185">
        <f ca="1">_xll.DBRW(Server&amp;Cube1,$F$17,$F$18,$F$19,$F$16,$C$14,$F$15,$F$14,$F$20,T$2,$N$1,$C67)</f>
        <v>0</v>
      </c>
      <c r="U67" s="185">
        <f ca="1">_xll.DBRW(Server&amp;Cube1,$F$17,$F$18,$F$19,$F$16,$C$14,$F$15,$F$14,$F$20,U$2,$N$1,$C67)</f>
        <v>0</v>
      </c>
      <c r="V67" s="185">
        <f ca="1">_xll.DBRW(Server&amp;Cube1,$F$17,$F$18,$F$19,$F$16,$C$14,$F$15,$F$14,$F$20,V$2,$N$1,$C67)</f>
        <v>0</v>
      </c>
      <c r="W67" s="185">
        <f ca="1">_xll.DBRW(Server&amp;Cube1,$F$17,$F$18,$F$19,$F$16,$C$14,$F$15,$F$14,$F$20,W$2,$N$1,$C67)</f>
        <v>0</v>
      </c>
      <c r="X67" s="185">
        <f ca="1">_xll.DBRW(Server&amp;Cube1,$F$17,$F$18,$F$19,$F$16,$C$14,$F$15,$F$14,$F$20,X$2,$N$1,$C67)</f>
        <v>0</v>
      </c>
      <c r="Y67" s="185">
        <f ca="1">_xll.DBRW(Server&amp;Cube1,$F$17,$F$18,$F$19,$F$16,$C$14,$F$15,$F$14,$F$20,Y$2,$N$1,$C67)</f>
        <v>0</v>
      </c>
      <c r="Z67" s="185">
        <f ca="1">_xll.DBRW(Server&amp;Cube1,$F$17,$F$18,$F$19,$F$16,$C$14,$F$15,$F$14,$F$20,Z$2,$N$1,$C67)</f>
        <v>0</v>
      </c>
      <c r="AA67" s="53"/>
      <c r="AB67" s="53"/>
      <c r="AC67" s="53"/>
      <c r="AD67" s="53"/>
      <c r="AE67" s="53"/>
      <c r="AF67" s="53"/>
      <c r="AG67" s="53"/>
      <c r="AH67" s="53"/>
      <c r="AI67" s="53"/>
      <c r="AJ67" s="62"/>
      <c r="AK67" s="53"/>
      <c r="AL67" s="160" t="s">
        <v>479</v>
      </c>
      <c r="AM67" s="161">
        <v>4020</v>
      </c>
      <c r="AN67" s="154" t="s">
        <v>496</v>
      </c>
      <c r="AO67" s="53"/>
      <c r="AP67" s="53"/>
      <c r="AQ67" s="53"/>
      <c r="AR67" s="53"/>
      <c r="AS67" s="53"/>
      <c r="AT67" s="53"/>
      <c r="AU67" s="53"/>
    </row>
    <row r="68" spans="1:51" s="9" customFormat="1" ht="24.95" customHeight="1" x14ac:dyDescent="0.35">
      <c r="A68" s="157">
        <f ca="1">IF($AN$35="YES",1,IF(_xll.ELCOMPN(Server&amp;$C$24,C68)&lt;&gt;0,1,IF(OR(B68=$AT$35,B68="ALL"),1,0)))</f>
        <v>1</v>
      </c>
      <c r="B68" s="166" t="str">
        <f t="shared" si="0"/>
        <v>HR</v>
      </c>
      <c r="C68" s="137" t="s">
        <v>180</v>
      </c>
      <c r="E68" s="219" t="str">
        <f ca="1">_xll.DBRA(Server&amp;$C$24,$C68,$F$21)</f>
        <v>Location et entretien de matériel de bureau et informatique (RH)</v>
      </c>
      <c r="F68" s="219"/>
      <c r="G68" s="219"/>
      <c r="H68" s="40"/>
      <c r="I68" s="192">
        <f ca="1">_xll.DBRW(Server&amp;Cube1,$F$17,$F$18,$F$19,$F$16,$C$14,$F$15,$F$14,$F$20,I$2,I$1,$C68)</f>
        <v>0</v>
      </c>
      <c r="J68" s="192">
        <f ca="1">_xll.DBRW(Server&amp;Cube1,$F$17,$F$18,$F$19,$F$16,$C$14,$F$15,$F$14,$F$20,J$2,J$1,$C68)</f>
        <v>0</v>
      </c>
      <c r="K68" s="183"/>
      <c r="L68" s="185">
        <f ca="1">_xll.DBRW(Server&amp;Cube1,$F$17,$F$18,$F$19,$F$16,$C$14,$F$15,$F$14,$F$20,L$2,L$1,$C68)</f>
        <v>0</v>
      </c>
      <c r="M68" s="184"/>
      <c r="N68" s="185">
        <f ca="1">_xll.DBRW(Server&amp;Cube1,$F$17,$F$18,$F$19,$F$16,$C$14,$F$15,$F$14,$F$20,N$2,$N$1,$C68)</f>
        <v>0</v>
      </c>
      <c r="O68" s="185">
        <f ca="1">_xll.DBRW(Server&amp;Cube1,$F$17,$F$18,$F$19,$F$16,$C$14,$F$15,$F$14,$F$20,O$2,$N$1,$C68)</f>
        <v>0</v>
      </c>
      <c r="P68" s="185">
        <f ca="1">_xll.DBRW(Server&amp;Cube1,$F$17,$F$18,$F$19,$F$16,$C$14,$F$15,$F$14,$F$20,P$2,$N$1,$C68)</f>
        <v>0</v>
      </c>
      <c r="Q68" s="185">
        <f ca="1">_xll.DBRW(Server&amp;Cube1,$F$17,$F$18,$F$19,$F$16,$C$14,$F$15,$F$14,$F$20,Q$2,$N$1,$C68)</f>
        <v>0</v>
      </c>
      <c r="R68" s="185">
        <f ca="1">_xll.DBRW(Server&amp;Cube1,$F$17,$F$18,$F$19,$F$16,$C$14,$F$15,$F$14,$F$20,R$2,$N$1,$C68)</f>
        <v>0</v>
      </c>
      <c r="S68" s="185">
        <f ca="1">_xll.DBRW(Server&amp;Cube1,$F$17,$F$18,$F$19,$F$16,$C$14,$F$15,$F$14,$F$20,S$2,$N$1,$C68)</f>
        <v>0</v>
      </c>
      <c r="T68" s="185">
        <f ca="1">_xll.DBRW(Server&amp;Cube1,$F$17,$F$18,$F$19,$F$16,$C$14,$F$15,$F$14,$F$20,T$2,$N$1,$C68)</f>
        <v>0</v>
      </c>
      <c r="U68" s="185">
        <f ca="1">_xll.DBRW(Server&amp;Cube1,$F$17,$F$18,$F$19,$F$16,$C$14,$F$15,$F$14,$F$20,U$2,$N$1,$C68)</f>
        <v>0</v>
      </c>
      <c r="V68" s="185">
        <f ca="1">_xll.DBRW(Server&amp;Cube1,$F$17,$F$18,$F$19,$F$16,$C$14,$F$15,$F$14,$F$20,V$2,$N$1,$C68)</f>
        <v>0</v>
      </c>
      <c r="W68" s="185">
        <f ca="1">_xll.DBRW(Server&amp;Cube1,$F$17,$F$18,$F$19,$F$16,$C$14,$F$15,$F$14,$F$20,W$2,$N$1,$C68)</f>
        <v>0</v>
      </c>
      <c r="X68" s="185">
        <f ca="1">_xll.DBRW(Server&amp;Cube1,$F$17,$F$18,$F$19,$F$16,$C$14,$F$15,$F$14,$F$20,X$2,$N$1,$C68)</f>
        <v>0</v>
      </c>
      <c r="Y68" s="185">
        <f ca="1">_xll.DBRW(Server&amp;Cube1,$F$17,$F$18,$F$19,$F$16,$C$14,$F$15,$F$14,$F$20,Y$2,$N$1,$C68)</f>
        <v>0</v>
      </c>
      <c r="Z68" s="185">
        <f ca="1">_xll.DBRW(Server&amp;Cube1,$F$17,$F$18,$F$19,$F$16,$C$14,$F$15,$F$14,$F$20,Z$2,$N$1,$C68)</f>
        <v>0</v>
      </c>
      <c r="AA68" s="53"/>
      <c r="AB68" s="53"/>
      <c r="AC68" s="53"/>
      <c r="AD68" s="53"/>
      <c r="AE68" s="53"/>
      <c r="AF68" s="53"/>
      <c r="AG68" s="53"/>
      <c r="AH68" s="53"/>
      <c r="AI68" s="53"/>
      <c r="AJ68" s="62"/>
      <c r="AK68" s="53"/>
      <c r="AL68" s="209" t="s">
        <v>480</v>
      </c>
      <c r="AM68" s="158">
        <v>2000</v>
      </c>
      <c r="AN68" s="151" t="s">
        <v>492</v>
      </c>
      <c r="AO68" s="53"/>
      <c r="AP68" s="53"/>
      <c r="AQ68" s="53"/>
      <c r="AR68" s="53"/>
      <c r="AS68" s="53"/>
      <c r="AT68" s="53"/>
      <c r="AU68" s="53"/>
    </row>
    <row r="69" spans="1:51" s="9" customFormat="1" ht="24.95" customHeight="1" x14ac:dyDescent="0.35">
      <c r="A69" s="157">
        <f ca="1">IF($AN$35="YES",1,IF(_xll.ELCOMPN(Server&amp;$C$24,C69)&lt;&gt;0,1,IF(OR(B69=$AT$35,B69="ALL"),1,0)))</f>
        <v>1</v>
      </c>
      <c r="B69" s="166" t="str">
        <f t="shared" si="0"/>
        <v>GM</v>
      </c>
      <c r="C69" s="137" t="s">
        <v>181</v>
      </c>
      <c r="E69" s="219" t="str">
        <f ca="1">_xll.DBRA(Server&amp;$C$24,$C69,$F$21)</f>
        <v>Location et entretien de matériel de bureau et informatique (DG)</v>
      </c>
      <c r="F69" s="219"/>
      <c r="G69" s="219"/>
      <c r="H69" s="40"/>
      <c r="I69" s="192">
        <f ca="1">_xll.DBRW(Server&amp;Cube1,$F$17,$F$18,$F$19,$F$16,$C$14,$F$15,$F$14,$F$20,I$2,I$1,$C69)</f>
        <v>0</v>
      </c>
      <c r="J69" s="192">
        <f ca="1">_xll.DBRW(Server&amp;Cube1,$F$17,$F$18,$F$19,$F$16,$C$14,$F$15,$F$14,$F$20,J$2,J$1,$C69)</f>
        <v>0</v>
      </c>
      <c r="K69" s="183"/>
      <c r="L69" s="185">
        <f ca="1">_xll.DBRW(Server&amp;Cube1,$F$17,$F$18,$F$19,$F$16,$C$14,$F$15,$F$14,$F$20,L$2,L$1,$C69)</f>
        <v>0</v>
      </c>
      <c r="M69" s="184"/>
      <c r="N69" s="185">
        <f ca="1">_xll.DBRW(Server&amp;Cube1,$F$17,$F$18,$F$19,$F$16,$C$14,$F$15,$F$14,$F$20,N$2,$N$1,$C69)</f>
        <v>0</v>
      </c>
      <c r="O69" s="185">
        <f ca="1">_xll.DBRW(Server&amp;Cube1,$F$17,$F$18,$F$19,$F$16,$C$14,$F$15,$F$14,$F$20,O$2,$N$1,$C69)</f>
        <v>0</v>
      </c>
      <c r="P69" s="185">
        <f ca="1">_xll.DBRW(Server&amp;Cube1,$F$17,$F$18,$F$19,$F$16,$C$14,$F$15,$F$14,$F$20,P$2,$N$1,$C69)</f>
        <v>0</v>
      </c>
      <c r="Q69" s="185">
        <f ca="1">_xll.DBRW(Server&amp;Cube1,$F$17,$F$18,$F$19,$F$16,$C$14,$F$15,$F$14,$F$20,Q$2,$N$1,$C69)</f>
        <v>0</v>
      </c>
      <c r="R69" s="185">
        <f ca="1">_xll.DBRW(Server&amp;Cube1,$F$17,$F$18,$F$19,$F$16,$C$14,$F$15,$F$14,$F$20,R$2,$N$1,$C69)</f>
        <v>0</v>
      </c>
      <c r="S69" s="185">
        <f ca="1">_xll.DBRW(Server&amp;Cube1,$F$17,$F$18,$F$19,$F$16,$C$14,$F$15,$F$14,$F$20,S$2,$N$1,$C69)</f>
        <v>0</v>
      </c>
      <c r="T69" s="185">
        <f ca="1">_xll.DBRW(Server&amp;Cube1,$F$17,$F$18,$F$19,$F$16,$C$14,$F$15,$F$14,$F$20,T$2,$N$1,$C69)</f>
        <v>0</v>
      </c>
      <c r="U69" s="185">
        <f ca="1">_xll.DBRW(Server&amp;Cube1,$F$17,$F$18,$F$19,$F$16,$C$14,$F$15,$F$14,$F$20,U$2,$N$1,$C69)</f>
        <v>0</v>
      </c>
      <c r="V69" s="185">
        <f ca="1">_xll.DBRW(Server&amp;Cube1,$F$17,$F$18,$F$19,$F$16,$C$14,$F$15,$F$14,$F$20,V$2,$N$1,$C69)</f>
        <v>0</v>
      </c>
      <c r="W69" s="185">
        <f ca="1">_xll.DBRW(Server&amp;Cube1,$F$17,$F$18,$F$19,$F$16,$C$14,$F$15,$F$14,$F$20,W$2,$N$1,$C69)</f>
        <v>0</v>
      </c>
      <c r="X69" s="185">
        <f ca="1">_xll.DBRW(Server&amp;Cube1,$F$17,$F$18,$F$19,$F$16,$C$14,$F$15,$F$14,$F$20,X$2,$N$1,$C69)</f>
        <v>0</v>
      </c>
      <c r="Y69" s="185">
        <f ca="1">_xll.DBRW(Server&amp;Cube1,$F$17,$F$18,$F$19,$F$16,$C$14,$F$15,$F$14,$F$20,Y$2,$N$1,$C69)</f>
        <v>0</v>
      </c>
      <c r="Z69" s="185">
        <f ca="1">_xll.DBRW(Server&amp;Cube1,$F$17,$F$18,$F$19,$F$16,$C$14,$F$15,$F$14,$F$20,Z$2,$N$1,$C69)</f>
        <v>0</v>
      </c>
      <c r="AA69" s="53"/>
      <c r="AB69" s="53"/>
      <c r="AC69" s="53"/>
      <c r="AD69" s="53"/>
      <c r="AE69" s="53"/>
      <c r="AF69" s="53"/>
      <c r="AG69" s="53"/>
      <c r="AH69" s="53"/>
      <c r="AI69" s="53"/>
      <c r="AJ69" s="62"/>
      <c r="AK69" s="53"/>
      <c r="AL69" s="210"/>
      <c r="AM69" s="159">
        <v>2040</v>
      </c>
      <c r="AN69" s="150" t="s">
        <v>492</v>
      </c>
      <c r="AO69" s="53"/>
      <c r="AP69" s="53"/>
      <c r="AQ69" s="53"/>
      <c r="AR69" s="53"/>
      <c r="AS69" s="53"/>
      <c r="AT69" s="53"/>
      <c r="AU69" s="53"/>
    </row>
    <row r="70" spans="1:51" s="9" customFormat="1" ht="24.95" customHeight="1" x14ac:dyDescent="0.35">
      <c r="A70" s="157">
        <f ca="1">IF($AN$35="YES",1,IF(_xll.ELCOMPN(Server&amp;$C$24,C70)&lt;&gt;0,1,IF(OR(B70=$AT$35,B70="ALL"),1,0)))</f>
        <v>1</v>
      </c>
      <c r="B70" s="166" t="str">
        <f t="shared" si="0"/>
        <v>IA</v>
      </c>
      <c r="C70" s="137" t="s">
        <v>182</v>
      </c>
      <c r="E70" s="219" t="str">
        <f ca="1">_xll.DBRA(Server&amp;$C$24,$C70,$F$21)</f>
        <v>Location et entretien de matériel de bureau et informatique (AI)</v>
      </c>
      <c r="F70" s="219"/>
      <c r="G70" s="219"/>
      <c r="H70" s="40"/>
      <c r="I70" s="192">
        <f ca="1">_xll.DBRW(Server&amp;Cube1,$F$17,$F$18,$F$19,$F$16,$C$14,$F$15,$F$14,$F$20,I$2,I$1,$C70)</f>
        <v>0</v>
      </c>
      <c r="J70" s="192">
        <f ca="1">_xll.DBRW(Server&amp;Cube1,$F$17,$F$18,$F$19,$F$16,$C$14,$F$15,$F$14,$F$20,J$2,J$1,$C70)</f>
        <v>0</v>
      </c>
      <c r="K70" s="183"/>
      <c r="L70" s="185">
        <f ca="1">_xll.DBRW(Server&amp;Cube1,$F$17,$F$18,$F$19,$F$16,$C$14,$F$15,$F$14,$F$20,L$2,L$1,$C70)</f>
        <v>0</v>
      </c>
      <c r="M70" s="184"/>
      <c r="N70" s="185">
        <f ca="1">_xll.DBRW(Server&amp;Cube1,$F$17,$F$18,$F$19,$F$16,$C$14,$F$15,$F$14,$F$20,N$2,$N$1,$C70)</f>
        <v>0</v>
      </c>
      <c r="O70" s="185">
        <f ca="1">_xll.DBRW(Server&amp;Cube1,$F$17,$F$18,$F$19,$F$16,$C$14,$F$15,$F$14,$F$20,O$2,$N$1,$C70)</f>
        <v>0</v>
      </c>
      <c r="P70" s="185">
        <f ca="1">_xll.DBRW(Server&amp;Cube1,$F$17,$F$18,$F$19,$F$16,$C$14,$F$15,$F$14,$F$20,P$2,$N$1,$C70)</f>
        <v>0</v>
      </c>
      <c r="Q70" s="185">
        <f ca="1">_xll.DBRW(Server&amp;Cube1,$F$17,$F$18,$F$19,$F$16,$C$14,$F$15,$F$14,$F$20,Q$2,$N$1,$C70)</f>
        <v>0</v>
      </c>
      <c r="R70" s="185">
        <f ca="1">_xll.DBRW(Server&amp;Cube1,$F$17,$F$18,$F$19,$F$16,$C$14,$F$15,$F$14,$F$20,R$2,$N$1,$C70)</f>
        <v>0</v>
      </c>
      <c r="S70" s="185">
        <f ca="1">_xll.DBRW(Server&amp;Cube1,$F$17,$F$18,$F$19,$F$16,$C$14,$F$15,$F$14,$F$20,S$2,$N$1,$C70)</f>
        <v>0</v>
      </c>
      <c r="T70" s="185">
        <f ca="1">_xll.DBRW(Server&amp;Cube1,$F$17,$F$18,$F$19,$F$16,$C$14,$F$15,$F$14,$F$20,T$2,$N$1,$C70)</f>
        <v>0</v>
      </c>
      <c r="U70" s="185">
        <f ca="1">_xll.DBRW(Server&amp;Cube1,$F$17,$F$18,$F$19,$F$16,$C$14,$F$15,$F$14,$F$20,U$2,$N$1,$C70)</f>
        <v>0</v>
      </c>
      <c r="V70" s="185">
        <f ca="1">_xll.DBRW(Server&amp;Cube1,$F$17,$F$18,$F$19,$F$16,$C$14,$F$15,$F$14,$F$20,V$2,$N$1,$C70)</f>
        <v>0</v>
      </c>
      <c r="W70" s="185">
        <f ca="1">_xll.DBRW(Server&amp;Cube1,$F$17,$F$18,$F$19,$F$16,$C$14,$F$15,$F$14,$F$20,W$2,$N$1,$C70)</f>
        <v>0</v>
      </c>
      <c r="X70" s="185">
        <f ca="1">_xll.DBRW(Server&amp;Cube1,$F$17,$F$18,$F$19,$F$16,$C$14,$F$15,$F$14,$F$20,X$2,$N$1,$C70)</f>
        <v>0</v>
      </c>
      <c r="Y70" s="185">
        <f ca="1">_xll.DBRW(Server&amp;Cube1,$F$17,$F$18,$F$19,$F$16,$C$14,$F$15,$F$14,$F$20,Y$2,$N$1,$C70)</f>
        <v>0</v>
      </c>
      <c r="Z70" s="185">
        <f ca="1">_xll.DBRW(Server&amp;Cube1,$F$17,$F$18,$F$19,$F$16,$C$14,$F$15,$F$14,$F$20,Z$2,$N$1,$C70)</f>
        <v>0</v>
      </c>
      <c r="AA70" s="53"/>
      <c r="AB70" s="53"/>
      <c r="AC70" s="53"/>
      <c r="AD70" s="53"/>
      <c r="AE70" s="53"/>
      <c r="AF70" s="53"/>
      <c r="AG70" s="53"/>
      <c r="AH70" s="53"/>
      <c r="AI70" s="53"/>
      <c r="AJ70" s="62"/>
      <c r="AK70" s="53"/>
      <c r="AL70" s="210"/>
      <c r="AM70" s="159">
        <v>2010</v>
      </c>
      <c r="AN70" s="150" t="s">
        <v>492</v>
      </c>
      <c r="AO70" s="53"/>
      <c r="AP70" s="53"/>
      <c r="AQ70" s="53"/>
      <c r="AR70" s="53"/>
      <c r="AS70" s="53"/>
      <c r="AT70" s="53"/>
      <c r="AU70" s="53"/>
    </row>
    <row r="71" spans="1:51" s="9" customFormat="1" ht="24.95" customHeight="1" x14ac:dyDescent="0.35">
      <c r="A71" s="157">
        <f ca="1">IF($AN$35="YES",1,IF(_xll.ELCOMPN(Server&amp;$C$24,C71)&lt;&gt;0,1,IF(OR(B71=$AT$35,B71="ALL"),1,0)))</f>
        <v>1</v>
      </c>
      <c r="B71" s="166" t="str">
        <f t="shared" si="0"/>
        <v>LE</v>
      </c>
      <c r="C71" s="137" t="s">
        <v>183</v>
      </c>
      <c r="E71" s="219" t="str">
        <f ca="1">_xll.DBRA(Server&amp;$C$24,$C71,$F$21)</f>
        <v>Location et entretien de matériel de bureau et informatique (JU)</v>
      </c>
      <c r="F71" s="219"/>
      <c r="G71" s="219"/>
      <c r="H71" s="40"/>
      <c r="I71" s="192">
        <f ca="1">_xll.DBRW(Server&amp;Cube1,$F$17,$F$18,$F$19,$F$16,$C$14,$F$15,$F$14,$F$20,I$2,I$1,$C71)</f>
        <v>0</v>
      </c>
      <c r="J71" s="192">
        <f ca="1">_xll.DBRW(Server&amp;Cube1,$F$17,$F$18,$F$19,$F$16,$C$14,$F$15,$F$14,$F$20,J$2,J$1,$C71)</f>
        <v>0</v>
      </c>
      <c r="K71" s="183"/>
      <c r="L71" s="185">
        <f ca="1">_xll.DBRW(Server&amp;Cube1,$F$17,$F$18,$F$19,$F$16,$C$14,$F$15,$F$14,$F$20,L$2,L$1,$C71)</f>
        <v>0</v>
      </c>
      <c r="M71" s="184"/>
      <c r="N71" s="185">
        <f ca="1">_xll.DBRW(Server&amp;Cube1,$F$17,$F$18,$F$19,$F$16,$C$14,$F$15,$F$14,$F$20,N$2,$N$1,$C71)</f>
        <v>0</v>
      </c>
      <c r="O71" s="185">
        <f ca="1">_xll.DBRW(Server&amp;Cube1,$F$17,$F$18,$F$19,$F$16,$C$14,$F$15,$F$14,$F$20,O$2,$N$1,$C71)</f>
        <v>0</v>
      </c>
      <c r="P71" s="185">
        <f ca="1">_xll.DBRW(Server&amp;Cube1,$F$17,$F$18,$F$19,$F$16,$C$14,$F$15,$F$14,$F$20,P$2,$N$1,$C71)</f>
        <v>0</v>
      </c>
      <c r="Q71" s="185">
        <f ca="1">_xll.DBRW(Server&amp;Cube1,$F$17,$F$18,$F$19,$F$16,$C$14,$F$15,$F$14,$F$20,Q$2,$N$1,$C71)</f>
        <v>0</v>
      </c>
      <c r="R71" s="185">
        <f ca="1">_xll.DBRW(Server&amp;Cube1,$F$17,$F$18,$F$19,$F$16,$C$14,$F$15,$F$14,$F$20,R$2,$N$1,$C71)</f>
        <v>0</v>
      </c>
      <c r="S71" s="185">
        <f ca="1">_xll.DBRW(Server&amp;Cube1,$F$17,$F$18,$F$19,$F$16,$C$14,$F$15,$F$14,$F$20,S$2,$N$1,$C71)</f>
        <v>0</v>
      </c>
      <c r="T71" s="185">
        <f ca="1">_xll.DBRW(Server&amp;Cube1,$F$17,$F$18,$F$19,$F$16,$C$14,$F$15,$F$14,$F$20,T$2,$N$1,$C71)</f>
        <v>0</v>
      </c>
      <c r="U71" s="185">
        <f ca="1">_xll.DBRW(Server&amp;Cube1,$F$17,$F$18,$F$19,$F$16,$C$14,$F$15,$F$14,$F$20,U$2,$N$1,$C71)</f>
        <v>0</v>
      </c>
      <c r="V71" s="185">
        <f ca="1">_xll.DBRW(Server&amp;Cube1,$F$17,$F$18,$F$19,$F$16,$C$14,$F$15,$F$14,$F$20,V$2,$N$1,$C71)</f>
        <v>0</v>
      </c>
      <c r="W71" s="185">
        <f ca="1">_xll.DBRW(Server&amp;Cube1,$F$17,$F$18,$F$19,$F$16,$C$14,$F$15,$F$14,$F$20,W$2,$N$1,$C71)</f>
        <v>0</v>
      </c>
      <c r="X71" s="185">
        <f ca="1">_xll.DBRW(Server&amp;Cube1,$F$17,$F$18,$F$19,$F$16,$C$14,$F$15,$F$14,$F$20,X$2,$N$1,$C71)</f>
        <v>0</v>
      </c>
      <c r="Y71" s="185">
        <f ca="1">_xll.DBRW(Server&amp;Cube1,$F$17,$F$18,$F$19,$F$16,$C$14,$F$15,$F$14,$F$20,Y$2,$N$1,$C71)</f>
        <v>0</v>
      </c>
      <c r="Z71" s="185">
        <f ca="1">_xll.DBRW(Server&amp;Cube1,$F$17,$F$18,$F$19,$F$16,$C$14,$F$15,$F$14,$F$20,Z$2,$N$1,$C71)</f>
        <v>0</v>
      </c>
      <c r="AA71" s="53"/>
      <c r="AB71" s="53"/>
      <c r="AC71" s="53"/>
      <c r="AD71" s="53"/>
      <c r="AE71" s="53"/>
      <c r="AF71" s="53"/>
      <c r="AG71" s="53"/>
      <c r="AH71" s="53"/>
      <c r="AI71" s="53"/>
      <c r="AJ71" s="62"/>
      <c r="AK71" s="53"/>
      <c r="AL71" s="210"/>
      <c r="AM71" s="159">
        <v>2020</v>
      </c>
      <c r="AN71" s="150" t="s">
        <v>492</v>
      </c>
      <c r="AO71" s="53"/>
      <c r="AP71" s="53"/>
      <c r="AQ71" s="53"/>
      <c r="AR71" s="53"/>
      <c r="AS71" s="53"/>
      <c r="AT71" s="53"/>
      <c r="AU71" s="53"/>
    </row>
    <row r="72" spans="1:51" s="9" customFormat="1" ht="24.95" customHeight="1" x14ac:dyDescent="0.35">
      <c r="A72" s="157">
        <f ca="1">IF($AN$35="YES",1,IF(_xll.ELCOMPN(Server&amp;$C$24,C72)&lt;&gt;0,1,IF(OR(B72=$AT$35,B72="ALL"),1,0)))</f>
        <v>1</v>
      </c>
      <c r="B72" s="166" t="str">
        <f t="shared" si="0"/>
        <v>RM</v>
      </c>
      <c r="C72" s="137" t="s">
        <v>184</v>
      </c>
      <c r="E72" s="219" t="str">
        <f ca="1">_xll.DBRA(Server&amp;$C$24,$C72,$F$21)</f>
        <v>Location et entretien de matériel de bureau et informatique (GR)</v>
      </c>
      <c r="F72" s="219"/>
      <c r="G72" s="219"/>
      <c r="H72" s="40"/>
      <c r="I72" s="192">
        <f ca="1">_xll.DBRW(Server&amp;Cube1,$F$17,$F$18,$F$19,$F$16,$C$14,$F$15,$F$14,$F$20,I$2,I$1,$C72)</f>
        <v>0</v>
      </c>
      <c r="J72" s="192">
        <f ca="1">_xll.DBRW(Server&amp;Cube1,$F$17,$F$18,$F$19,$F$16,$C$14,$F$15,$F$14,$F$20,J$2,J$1,$C72)</f>
        <v>0</v>
      </c>
      <c r="K72" s="183"/>
      <c r="L72" s="185">
        <f ca="1">_xll.DBRW(Server&amp;Cube1,$F$17,$F$18,$F$19,$F$16,$C$14,$F$15,$F$14,$F$20,L$2,L$1,$C72)</f>
        <v>0</v>
      </c>
      <c r="M72" s="184"/>
      <c r="N72" s="185">
        <f ca="1">_xll.DBRW(Server&amp;Cube1,$F$17,$F$18,$F$19,$F$16,$C$14,$F$15,$F$14,$F$20,N$2,$N$1,$C72)</f>
        <v>0</v>
      </c>
      <c r="O72" s="185">
        <f ca="1">_xll.DBRW(Server&amp;Cube1,$F$17,$F$18,$F$19,$F$16,$C$14,$F$15,$F$14,$F$20,O$2,$N$1,$C72)</f>
        <v>0</v>
      </c>
      <c r="P72" s="185">
        <f ca="1">_xll.DBRW(Server&amp;Cube1,$F$17,$F$18,$F$19,$F$16,$C$14,$F$15,$F$14,$F$20,P$2,$N$1,$C72)</f>
        <v>0</v>
      </c>
      <c r="Q72" s="185">
        <f ca="1">_xll.DBRW(Server&amp;Cube1,$F$17,$F$18,$F$19,$F$16,$C$14,$F$15,$F$14,$F$20,Q$2,$N$1,$C72)</f>
        <v>0</v>
      </c>
      <c r="R72" s="185">
        <f ca="1">_xll.DBRW(Server&amp;Cube1,$F$17,$F$18,$F$19,$F$16,$C$14,$F$15,$F$14,$F$20,R$2,$N$1,$C72)</f>
        <v>0</v>
      </c>
      <c r="S72" s="185">
        <f ca="1">_xll.DBRW(Server&amp;Cube1,$F$17,$F$18,$F$19,$F$16,$C$14,$F$15,$F$14,$F$20,S$2,$N$1,$C72)</f>
        <v>0</v>
      </c>
      <c r="T72" s="185">
        <f ca="1">_xll.DBRW(Server&amp;Cube1,$F$17,$F$18,$F$19,$F$16,$C$14,$F$15,$F$14,$F$20,T$2,$N$1,$C72)</f>
        <v>0</v>
      </c>
      <c r="U72" s="185">
        <f ca="1">_xll.DBRW(Server&amp;Cube1,$F$17,$F$18,$F$19,$F$16,$C$14,$F$15,$F$14,$F$20,U$2,$N$1,$C72)</f>
        <v>0</v>
      </c>
      <c r="V72" s="185">
        <f ca="1">_xll.DBRW(Server&amp;Cube1,$F$17,$F$18,$F$19,$F$16,$C$14,$F$15,$F$14,$F$20,V$2,$N$1,$C72)</f>
        <v>0</v>
      </c>
      <c r="W72" s="185">
        <f ca="1">_xll.DBRW(Server&amp;Cube1,$F$17,$F$18,$F$19,$F$16,$C$14,$F$15,$F$14,$F$20,W$2,$N$1,$C72)</f>
        <v>0</v>
      </c>
      <c r="X72" s="185">
        <f ca="1">_xll.DBRW(Server&amp;Cube1,$F$17,$F$18,$F$19,$F$16,$C$14,$F$15,$F$14,$F$20,X$2,$N$1,$C72)</f>
        <v>0</v>
      </c>
      <c r="Y72" s="185">
        <f ca="1">_xll.DBRW(Server&amp;Cube1,$F$17,$F$18,$F$19,$F$16,$C$14,$F$15,$F$14,$F$20,Y$2,$N$1,$C72)</f>
        <v>0</v>
      </c>
      <c r="Z72" s="185">
        <f ca="1">_xll.DBRW(Server&amp;Cube1,$F$17,$F$18,$F$19,$F$16,$C$14,$F$15,$F$14,$F$20,Z$2,$N$1,$C72)</f>
        <v>0</v>
      </c>
      <c r="AA72" s="53"/>
      <c r="AB72" s="53"/>
      <c r="AC72" s="53"/>
      <c r="AD72" s="53"/>
      <c r="AE72" s="53"/>
      <c r="AF72" s="53"/>
      <c r="AG72" s="53"/>
      <c r="AH72" s="53"/>
      <c r="AI72" s="53"/>
      <c r="AJ72" s="62"/>
      <c r="AK72" s="53"/>
      <c r="AL72" s="210"/>
      <c r="AM72" s="159">
        <v>2030</v>
      </c>
      <c r="AN72" s="150" t="s">
        <v>492</v>
      </c>
      <c r="AO72" s="53"/>
      <c r="AP72" s="53"/>
      <c r="AQ72" s="53"/>
      <c r="AR72" s="53"/>
      <c r="AS72" s="53"/>
      <c r="AT72" s="53"/>
      <c r="AU72" s="53"/>
    </row>
    <row r="73" spans="1:51" s="9" customFormat="1" ht="24.95" customHeight="1" x14ac:dyDescent="0.35">
      <c r="A73" s="157">
        <f ca="1">IF($AN$35="YES",1,IF(_xll.ELCOMPN(Server&amp;$C$24,C73)&lt;&gt;0,1,IF(OR(B73=$AT$35,B73="ALL"),1,0)))</f>
        <v>1</v>
      </c>
      <c r="B73" s="166" t="str">
        <f t="shared" si="0"/>
        <v>PU</v>
      </c>
      <c r="C73" s="137" t="s">
        <v>185</v>
      </c>
      <c r="E73" s="219" t="str">
        <f ca="1">_xll.DBRA(Server&amp;$C$24,$C73,$F$21)</f>
        <v>Location et entretien de matériel de bureau et informatique (AC)</v>
      </c>
      <c r="F73" s="219"/>
      <c r="G73" s="219"/>
      <c r="H73" s="40"/>
      <c r="I73" s="192">
        <f ca="1">_xll.DBRW(Server&amp;Cube1,$F$17,$F$18,$F$19,$F$16,$C$14,$F$15,$F$14,$F$20,I$2,I$1,$C73)</f>
        <v>0</v>
      </c>
      <c r="J73" s="192">
        <f ca="1">_xll.DBRW(Server&amp;Cube1,$F$17,$F$18,$F$19,$F$16,$C$14,$F$15,$F$14,$F$20,J$2,J$1,$C73)</f>
        <v>0</v>
      </c>
      <c r="K73" s="183"/>
      <c r="L73" s="185">
        <f ca="1">_xll.DBRW(Server&amp;Cube1,$F$17,$F$18,$F$19,$F$16,$C$14,$F$15,$F$14,$F$20,L$2,L$1,$C73)</f>
        <v>0</v>
      </c>
      <c r="M73" s="184"/>
      <c r="N73" s="185">
        <f ca="1">_xll.DBRW(Server&amp;Cube1,$F$17,$F$18,$F$19,$F$16,$C$14,$F$15,$F$14,$F$20,N$2,$N$1,$C73)</f>
        <v>0</v>
      </c>
      <c r="O73" s="185">
        <f ca="1">_xll.DBRW(Server&amp;Cube1,$F$17,$F$18,$F$19,$F$16,$C$14,$F$15,$F$14,$F$20,O$2,$N$1,$C73)</f>
        <v>0</v>
      </c>
      <c r="P73" s="185">
        <f ca="1">_xll.DBRW(Server&amp;Cube1,$F$17,$F$18,$F$19,$F$16,$C$14,$F$15,$F$14,$F$20,P$2,$N$1,$C73)</f>
        <v>0</v>
      </c>
      <c r="Q73" s="185">
        <f ca="1">_xll.DBRW(Server&amp;Cube1,$F$17,$F$18,$F$19,$F$16,$C$14,$F$15,$F$14,$F$20,Q$2,$N$1,$C73)</f>
        <v>0</v>
      </c>
      <c r="R73" s="185">
        <f ca="1">_xll.DBRW(Server&amp;Cube1,$F$17,$F$18,$F$19,$F$16,$C$14,$F$15,$F$14,$F$20,R$2,$N$1,$C73)</f>
        <v>0</v>
      </c>
      <c r="S73" s="185">
        <f ca="1">_xll.DBRW(Server&amp;Cube1,$F$17,$F$18,$F$19,$F$16,$C$14,$F$15,$F$14,$F$20,S$2,$N$1,$C73)</f>
        <v>0</v>
      </c>
      <c r="T73" s="185">
        <f ca="1">_xll.DBRW(Server&amp;Cube1,$F$17,$F$18,$F$19,$F$16,$C$14,$F$15,$F$14,$F$20,T$2,$N$1,$C73)</f>
        <v>0</v>
      </c>
      <c r="U73" s="185">
        <f ca="1">_xll.DBRW(Server&amp;Cube1,$F$17,$F$18,$F$19,$F$16,$C$14,$F$15,$F$14,$F$20,U$2,$N$1,$C73)</f>
        <v>0</v>
      </c>
      <c r="V73" s="185">
        <f ca="1">_xll.DBRW(Server&amp;Cube1,$F$17,$F$18,$F$19,$F$16,$C$14,$F$15,$F$14,$F$20,V$2,$N$1,$C73)</f>
        <v>0</v>
      </c>
      <c r="W73" s="185">
        <f ca="1">_xll.DBRW(Server&amp;Cube1,$F$17,$F$18,$F$19,$F$16,$C$14,$F$15,$F$14,$F$20,W$2,$N$1,$C73)</f>
        <v>0</v>
      </c>
      <c r="X73" s="185">
        <f ca="1">_xll.DBRW(Server&amp;Cube1,$F$17,$F$18,$F$19,$F$16,$C$14,$F$15,$F$14,$F$20,X$2,$N$1,$C73)</f>
        <v>0</v>
      </c>
      <c r="Y73" s="185">
        <f ca="1">_xll.DBRW(Server&amp;Cube1,$F$17,$F$18,$F$19,$F$16,$C$14,$F$15,$F$14,$F$20,Y$2,$N$1,$C73)</f>
        <v>0</v>
      </c>
      <c r="Z73" s="185">
        <f ca="1">_xll.DBRW(Server&amp;Cube1,$F$17,$F$18,$F$19,$F$16,$C$14,$F$15,$F$14,$F$20,Z$2,$N$1,$C73)</f>
        <v>0</v>
      </c>
      <c r="AA73" s="53"/>
      <c r="AB73" s="53"/>
      <c r="AC73" s="53"/>
      <c r="AD73" s="53"/>
      <c r="AE73" s="53"/>
      <c r="AF73" s="53"/>
      <c r="AG73" s="53"/>
      <c r="AH73" s="53"/>
      <c r="AI73" s="53"/>
      <c r="AJ73" s="62"/>
      <c r="AK73" s="53"/>
      <c r="AL73" s="210"/>
      <c r="AM73" s="159">
        <v>4620</v>
      </c>
      <c r="AN73" s="150" t="s">
        <v>492</v>
      </c>
      <c r="AO73" s="53"/>
      <c r="AP73" s="53"/>
      <c r="AQ73" s="53"/>
      <c r="AR73" s="53"/>
      <c r="AS73" s="53"/>
      <c r="AT73" s="53"/>
      <c r="AU73" s="53"/>
    </row>
    <row r="74" spans="1:51" s="9" customFormat="1" ht="24.95" customHeight="1" x14ac:dyDescent="0.35">
      <c r="A74" s="157">
        <f ca="1">IF($AN$35="YES",1,IF(_xll.ELCOMPN(Server&amp;$C$24,C74)&lt;&gt;0,1,IF(OR(B74=$AT$35,B74="ALL"),1,0)))</f>
        <v>1</v>
      </c>
      <c r="B74" s="166" t="str">
        <f t="shared" si="0"/>
        <v>CO</v>
      </c>
      <c r="C74" s="137" t="s">
        <v>186</v>
      </c>
      <c r="E74" s="219" t="str">
        <f ca="1">_xll.DBRA(Server&amp;$C$24,$C74,$F$21)</f>
        <v>Location et entretien de matériel de bureau et informatique (CO)</v>
      </c>
      <c r="F74" s="219"/>
      <c r="G74" s="219"/>
      <c r="H74" s="40"/>
      <c r="I74" s="192">
        <f ca="1">_xll.DBRW(Server&amp;Cube1,$F$17,$F$18,$F$19,$F$16,$C$14,$F$15,$F$14,$F$20,I$2,I$1,$C74)</f>
        <v>0</v>
      </c>
      <c r="J74" s="192">
        <f ca="1">_xll.DBRW(Server&amp;Cube1,$F$17,$F$18,$F$19,$F$16,$C$14,$F$15,$F$14,$F$20,J$2,J$1,$C74)</f>
        <v>0</v>
      </c>
      <c r="K74" s="183"/>
      <c r="L74" s="185">
        <f ca="1">_xll.DBRW(Server&amp;Cube1,$F$17,$F$18,$F$19,$F$16,$C$14,$F$15,$F$14,$F$20,L$2,L$1,$C74)</f>
        <v>0</v>
      </c>
      <c r="M74" s="184"/>
      <c r="N74" s="185">
        <f ca="1">_xll.DBRW(Server&amp;Cube1,$F$17,$F$18,$F$19,$F$16,$C$14,$F$15,$F$14,$F$20,N$2,$N$1,$C74)</f>
        <v>0</v>
      </c>
      <c r="O74" s="185">
        <f ca="1">_xll.DBRW(Server&amp;Cube1,$F$17,$F$18,$F$19,$F$16,$C$14,$F$15,$F$14,$F$20,O$2,$N$1,$C74)</f>
        <v>0</v>
      </c>
      <c r="P74" s="185">
        <f ca="1">_xll.DBRW(Server&amp;Cube1,$F$17,$F$18,$F$19,$F$16,$C$14,$F$15,$F$14,$F$20,P$2,$N$1,$C74)</f>
        <v>0</v>
      </c>
      <c r="Q74" s="185">
        <f ca="1">_xll.DBRW(Server&amp;Cube1,$F$17,$F$18,$F$19,$F$16,$C$14,$F$15,$F$14,$F$20,Q$2,$N$1,$C74)</f>
        <v>0</v>
      </c>
      <c r="R74" s="185">
        <f ca="1">_xll.DBRW(Server&amp;Cube1,$F$17,$F$18,$F$19,$F$16,$C$14,$F$15,$F$14,$F$20,R$2,$N$1,$C74)</f>
        <v>0</v>
      </c>
      <c r="S74" s="185">
        <f ca="1">_xll.DBRW(Server&amp;Cube1,$F$17,$F$18,$F$19,$F$16,$C$14,$F$15,$F$14,$F$20,S$2,$N$1,$C74)</f>
        <v>0</v>
      </c>
      <c r="T74" s="185">
        <f ca="1">_xll.DBRW(Server&amp;Cube1,$F$17,$F$18,$F$19,$F$16,$C$14,$F$15,$F$14,$F$20,T$2,$N$1,$C74)</f>
        <v>0</v>
      </c>
      <c r="U74" s="185">
        <f ca="1">_xll.DBRW(Server&amp;Cube1,$F$17,$F$18,$F$19,$F$16,$C$14,$F$15,$F$14,$F$20,U$2,$N$1,$C74)</f>
        <v>0</v>
      </c>
      <c r="V74" s="185">
        <f ca="1">_xll.DBRW(Server&amp;Cube1,$F$17,$F$18,$F$19,$F$16,$C$14,$F$15,$F$14,$F$20,V$2,$N$1,$C74)</f>
        <v>0</v>
      </c>
      <c r="W74" s="185">
        <f ca="1">_xll.DBRW(Server&amp;Cube1,$F$17,$F$18,$F$19,$F$16,$C$14,$F$15,$F$14,$F$20,W$2,$N$1,$C74)</f>
        <v>0</v>
      </c>
      <c r="X74" s="185">
        <f ca="1">_xll.DBRW(Server&amp;Cube1,$F$17,$F$18,$F$19,$F$16,$C$14,$F$15,$F$14,$F$20,X$2,$N$1,$C74)</f>
        <v>0</v>
      </c>
      <c r="Y74" s="185">
        <f ca="1">_xll.DBRW(Server&amp;Cube1,$F$17,$F$18,$F$19,$F$16,$C$14,$F$15,$F$14,$F$20,Y$2,$N$1,$C74)</f>
        <v>0</v>
      </c>
      <c r="Z74" s="185">
        <f ca="1">_xll.DBRW(Server&amp;Cube1,$F$17,$F$18,$F$19,$F$16,$C$14,$F$15,$F$14,$F$20,Z$2,$N$1,$C74)</f>
        <v>0</v>
      </c>
      <c r="AA74" s="53"/>
      <c r="AB74" s="53"/>
      <c r="AC74" s="53"/>
      <c r="AD74" s="53"/>
      <c r="AE74" s="53"/>
      <c r="AF74" s="53"/>
      <c r="AG74" s="53"/>
      <c r="AH74" s="53"/>
      <c r="AI74" s="53"/>
      <c r="AJ74" s="62"/>
      <c r="AK74" s="53"/>
      <c r="AL74" s="210"/>
      <c r="AM74" s="159">
        <v>4630</v>
      </c>
      <c r="AN74" s="150" t="s">
        <v>492</v>
      </c>
      <c r="AO74" s="53"/>
      <c r="AP74" s="53"/>
      <c r="AQ74" s="53"/>
      <c r="AR74" s="53"/>
      <c r="AS74" s="53"/>
      <c r="AT74" s="53"/>
      <c r="AU74" s="53"/>
    </row>
    <row r="75" spans="1:51" s="9" customFormat="1" ht="24.95" customHeight="1" x14ac:dyDescent="0.35">
      <c r="A75" s="157">
        <f ca="1">IF($AN$35="YES",1,IF(_xll.ELCOMPN(Server&amp;$C$24,C75)&lt;&gt;0,1,IF(OR(B75=$AT$35,B75="ALL"),1,0)))</f>
        <v>1</v>
      </c>
      <c r="B75" s="166" t="str">
        <f t="shared" si="0"/>
        <v>GS</v>
      </c>
      <c r="C75" s="137" t="s">
        <v>187</v>
      </c>
      <c r="E75" s="219" t="str">
        <f ca="1">_xll.DBRA(Server&amp;$C$24,$C75,$F$21)</f>
        <v>Location et entretien de matériel de bureau et informatique (SG)</v>
      </c>
      <c r="F75" s="219"/>
      <c r="G75" s="219"/>
      <c r="H75" s="40"/>
      <c r="I75" s="192">
        <f ca="1">_xll.DBRW(Server&amp;Cube1,$F$17,$F$18,$F$19,$F$16,$C$14,$F$15,$F$14,$F$20,I$2,I$1,$C75)</f>
        <v>0</v>
      </c>
      <c r="J75" s="192">
        <f ca="1">_xll.DBRW(Server&amp;Cube1,$F$17,$F$18,$F$19,$F$16,$C$14,$F$15,$F$14,$F$20,J$2,J$1,$C75)</f>
        <v>0</v>
      </c>
      <c r="K75" s="183"/>
      <c r="L75" s="185">
        <f ca="1">_xll.DBRW(Server&amp;Cube1,$F$17,$F$18,$F$19,$F$16,$C$14,$F$15,$F$14,$F$20,L$2,L$1,$C75)</f>
        <v>0</v>
      </c>
      <c r="M75" s="184"/>
      <c r="N75" s="185">
        <f ca="1">_xll.DBRW(Server&amp;Cube1,$F$17,$F$18,$F$19,$F$16,$C$14,$F$15,$F$14,$F$20,N$2,$N$1,$C75)</f>
        <v>0</v>
      </c>
      <c r="O75" s="185">
        <f ca="1">_xll.DBRW(Server&amp;Cube1,$F$17,$F$18,$F$19,$F$16,$C$14,$F$15,$F$14,$F$20,O$2,$N$1,$C75)</f>
        <v>0</v>
      </c>
      <c r="P75" s="185">
        <f ca="1">_xll.DBRW(Server&amp;Cube1,$F$17,$F$18,$F$19,$F$16,$C$14,$F$15,$F$14,$F$20,P$2,$N$1,$C75)</f>
        <v>0</v>
      </c>
      <c r="Q75" s="185">
        <f ca="1">_xll.DBRW(Server&amp;Cube1,$F$17,$F$18,$F$19,$F$16,$C$14,$F$15,$F$14,$F$20,Q$2,$N$1,$C75)</f>
        <v>0</v>
      </c>
      <c r="R75" s="185">
        <f ca="1">_xll.DBRW(Server&amp;Cube1,$F$17,$F$18,$F$19,$F$16,$C$14,$F$15,$F$14,$F$20,R$2,$N$1,$C75)</f>
        <v>0</v>
      </c>
      <c r="S75" s="185">
        <f ca="1">_xll.DBRW(Server&amp;Cube1,$F$17,$F$18,$F$19,$F$16,$C$14,$F$15,$F$14,$F$20,S$2,$N$1,$C75)</f>
        <v>0</v>
      </c>
      <c r="T75" s="185">
        <f ca="1">_xll.DBRW(Server&amp;Cube1,$F$17,$F$18,$F$19,$F$16,$C$14,$F$15,$F$14,$F$20,T$2,$N$1,$C75)</f>
        <v>0</v>
      </c>
      <c r="U75" s="185">
        <f ca="1">_xll.DBRW(Server&amp;Cube1,$F$17,$F$18,$F$19,$F$16,$C$14,$F$15,$F$14,$F$20,U$2,$N$1,$C75)</f>
        <v>0</v>
      </c>
      <c r="V75" s="185">
        <f ca="1">_xll.DBRW(Server&amp;Cube1,$F$17,$F$18,$F$19,$F$16,$C$14,$F$15,$F$14,$F$20,V$2,$N$1,$C75)</f>
        <v>0</v>
      </c>
      <c r="W75" s="185">
        <f ca="1">_xll.DBRW(Server&amp;Cube1,$F$17,$F$18,$F$19,$F$16,$C$14,$F$15,$F$14,$F$20,W$2,$N$1,$C75)</f>
        <v>0</v>
      </c>
      <c r="X75" s="185">
        <f ca="1">_xll.DBRW(Server&amp;Cube1,$F$17,$F$18,$F$19,$F$16,$C$14,$F$15,$F$14,$F$20,X$2,$N$1,$C75)</f>
        <v>0</v>
      </c>
      <c r="Y75" s="185">
        <f ca="1">_xll.DBRW(Server&amp;Cube1,$F$17,$F$18,$F$19,$F$16,$C$14,$F$15,$F$14,$F$20,Y$2,$N$1,$C75)</f>
        <v>0</v>
      </c>
      <c r="Z75" s="185">
        <f ca="1">_xll.DBRW(Server&amp;Cube1,$F$17,$F$18,$F$19,$F$16,$C$14,$F$15,$F$14,$F$20,Z$2,$N$1,$C75)</f>
        <v>0</v>
      </c>
      <c r="AA75" s="53"/>
      <c r="AB75" s="53"/>
      <c r="AC75" s="53"/>
      <c r="AD75" s="53"/>
      <c r="AE75" s="53"/>
      <c r="AF75" s="53"/>
      <c r="AG75" s="53"/>
      <c r="AH75" s="53"/>
      <c r="AI75" s="53"/>
      <c r="AJ75" s="62"/>
      <c r="AK75" s="53"/>
      <c r="AL75" s="210"/>
      <c r="AM75" s="159">
        <v>4640</v>
      </c>
      <c r="AN75" s="150" t="s">
        <v>492</v>
      </c>
      <c r="AO75" s="53"/>
      <c r="AP75" s="53"/>
      <c r="AQ75" s="53"/>
      <c r="AR75" s="53"/>
      <c r="AS75" s="53"/>
      <c r="AT75" s="53"/>
      <c r="AU75" s="53"/>
    </row>
    <row r="76" spans="1:51" s="9" customFormat="1" ht="24.95" customHeight="1" x14ac:dyDescent="0.35">
      <c r="A76" s="157">
        <f ca="1">IF($AN$35="YES",1,IF(_xll.ELCOMPN(Server&amp;$C$24,C76)&lt;&gt;0,1,IF(OR(B76=$AT$35,B76="ALL"),1,0)))</f>
        <v>1</v>
      </c>
      <c r="B76" s="166" t="str">
        <f t="shared" si="0"/>
        <v>RD</v>
      </c>
      <c r="C76" s="137" t="s">
        <v>188</v>
      </c>
      <c r="E76" s="219" t="str">
        <f ca="1">_xll.DBRA(Server&amp;$C$24,$C76,$F$21)</f>
        <v>Location et entretien de matériel de bureau et informatique (RD)</v>
      </c>
      <c r="F76" s="219"/>
      <c r="G76" s="219"/>
      <c r="H76" s="40"/>
      <c r="I76" s="192">
        <f ca="1">_xll.DBRW(Server&amp;Cube1,$F$17,$F$18,$F$19,$F$16,$C$14,$F$15,$F$14,$F$20,I$2,I$1,$C76)</f>
        <v>0</v>
      </c>
      <c r="J76" s="192">
        <f ca="1">_xll.DBRW(Server&amp;Cube1,$F$17,$F$18,$F$19,$F$16,$C$14,$F$15,$F$14,$F$20,J$2,J$1,$C76)</f>
        <v>0</v>
      </c>
      <c r="K76" s="183"/>
      <c r="L76" s="185">
        <f ca="1">_xll.DBRW(Server&amp;Cube1,$F$17,$F$18,$F$19,$F$16,$C$14,$F$15,$F$14,$F$20,L$2,L$1,$C76)</f>
        <v>0</v>
      </c>
      <c r="M76" s="184"/>
      <c r="N76" s="185">
        <f ca="1">_xll.DBRW(Server&amp;Cube1,$F$17,$F$18,$F$19,$F$16,$C$14,$F$15,$F$14,$F$20,N$2,$N$1,$C76)</f>
        <v>0</v>
      </c>
      <c r="O76" s="185">
        <f ca="1">_xll.DBRW(Server&amp;Cube1,$F$17,$F$18,$F$19,$F$16,$C$14,$F$15,$F$14,$F$20,O$2,$N$1,$C76)</f>
        <v>0</v>
      </c>
      <c r="P76" s="185">
        <f ca="1">_xll.DBRW(Server&amp;Cube1,$F$17,$F$18,$F$19,$F$16,$C$14,$F$15,$F$14,$F$20,P$2,$N$1,$C76)</f>
        <v>0</v>
      </c>
      <c r="Q76" s="185">
        <f ca="1">_xll.DBRW(Server&amp;Cube1,$F$17,$F$18,$F$19,$F$16,$C$14,$F$15,$F$14,$F$20,Q$2,$N$1,$C76)</f>
        <v>0</v>
      </c>
      <c r="R76" s="185">
        <f ca="1">_xll.DBRW(Server&amp;Cube1,$F$17,$F$18,$F$19,$F$16,$C$14,$F$15,$F$14,$F$20,R$2,$N$1,$C76)</f>
        <v>0</v>
      </c>
      <c r="S76" s="185">
        <f ca="1">_xll.DBRW(Server&amp;Cube1,$F$17,$F$18,$F$19,$F$16,$C$14,$F$15,$F$14,$F$20,S$2,$N$1,$C76)</f>
        <v>0</v>
      </c>
      <c r="T76" s="185">
        <f ca="1">_xll.DBRW(Server&amp;Cube1,$F$17,$F$18,$F$19,$F$16,$C$14,$F$15,$F$14,$F$20,T$2,$N$1,$C76)</f>
        <v>0</v>
      </c>
      <c r="U76" s="185">
        <f ca="1">_xll.DBRW(Server&amp;Cube1,$F$17,$F$18,$F$19,$F$16,$C$14,$F$15,$F$14,$F$20,U$2,$N$1,$C76)</f>
        <v>0</v>
      </c>
      <c r="V76" s="185">
        <f ca="1">_xll.DBRW(Server&amp;Cube1,$F$17,$F$18,$F$19,$F$16,$C$14,$F$15,$F$14,$F$20,V$2,$N$1,$C76)</f>
        <v>0</v>
      </c>
      <c r="W76" s="185">
        <f ca="1">_xll.DBRW(Server&amp;Cube1,$F$17,$F$18,$F$19,$F$16,$C$14,$F$15,$F$14,$F$20,W$2,$N$1,$C76)</f>
        <v>0</v>
      </c>
      <c r="X76" s="185">
        <f ca="1">_xll.DBRW(Server&amp;Cube1,$F$17,$F$18,$F$19,$F$16,$C$14,$F$15,$F$14,$F$20,X$2,$N$1,$C76)</f>
        <v>0</v>
      </c>
      <c r="Y76" s="185">
        <f ca="1">_xll.DBRW(Server&amp;Cube1,$F$17,$F$18,$F$19,$F$16,$C$14,$F$15,$F$14,$F$20,Y$2,$N$1,$C76)</f>
        <v>0</v>
      </c>
      <c r="Z76" s="185">
        <f ca="1">_xll.DBRW(Server&amp;Cube1,$F$17,$F$18,$F$19,$F$16,$C$14,$F$15,$F$14,$F$20,Z$2,$N$1,$C76)</f>
        <v>0</v>
      </c>
      <c r="AA76" s="53"/>
      <c r="AB76" s="53"/>
      <c r="AC76" s="53"/>
      <c r="AD76" s="53"/>
      <c r="AE76" s="53"/>
      <c r="AF76" s="53"/>
      <c r="AG76" s="53"/>
      <c r="AH76" s="53"/>
      <c r="AI76" s="53"/>
      <c r="AJ76" s="62"/>
      <c r="AK76" s="53"/>
      <c r="AL76" s="210"/>
      <c r="AM76" s="159">
        <v>2100</v>
      </c>
      <c r="AN76" s="150" t="s">
        <v>492</v>
      </c>
      <c r="AO76" s="53"/>
      <c r="AP76" s="53"/>
      <c r="AQ76" s="53"/>
      <c r="AR76" s="53"/>
      <c r="AS76" s="53"/>
      <c r="AT76" s="53"/>
      <c r="AU76" s="53"/>
    </row>
    <row r="77" spans="1:51" ht="21" customHeight="1" collapsed="1" x14ac:dyDescent="0.3">
      <c r="A77" s="157">
        <f ca="1">IF($AN$35="YES",1,IF(_xll.ELCOMPN(Server&amp;$C$24,C77)&lt;&gt;0,1,IF(OR(B77=$AT$35,B77="ALL"),1,0)))</f>
        <v>1</v>
      </c>
      <c r="B77" s="139" t="str">
        <f t="shared" si="0"/>
        <v>re</v>
      </c>
      <c r="C77" s="111" t="s">
        <v>93</v>
      </c>
      <c r="D77" s="24"/>
      <c r="E77" s="221" t="str">
        <f ca="1">_xll.DBRA(Server&amp;$C$24,$C77,$F$21)</f>
        <v>Entretien et Réparation Immobilier</v>
      </c>
      <c r="F77" s="221"/>
      <c r="G77" s="221"/>
      <c r="H77" s="56"/>
      <c r="I77" s="192">
        <f ca="1">_xll.DBRW(Server&amp;Cube1,$F$17,$F$18,$F$19,$F$16,$C$14,$F$15,$F$14,$F$20,I$2,I$1,$C77)</f>
        <v>0</v>
      </c>
      <c r="J77" s="192">
        <f ca="1">_xll.DBRW(Server&amp;Cube1,$F$17,$F$18,$F$19,$F$16,$C$14,$F$15,$F$14,$F$20,J$2,J$1,$C77)</f>
        <v>0</v>
      </c>
      <c r="K77" s="183"/>
      <c r="L77" s="181">
        <f ca="1">_xll.DBRW(Server&amp;Cube1,$F$17,$F$18,$F$19,$F$16,$C$14,$F$15,$F$14,$F$20,L$2,L$1,$C77)</f>
        <v>0</v>
      </c>
      <c r="M77" s="181"/>
      <c r="N77" s="181">
        <f ca="1">_xll.DBRW(Server&amp;Cube1,$F$17,$F$18,$F$19,$F$16,$C$14,$F$15,$F$14,$F$20,N$2,$N$1,$C77)</f>
        <v>0</v>
      </c>
      <c r="O77" s="181">
        <f ca="1">_xll.DBRW(Server&amp;Cube1,$F$17,$F$18,$F$19,$F$16,$C$14,$F$15,$F$14,$F$20,O$2,$N$1,$C77)</f>
        <v>0</v>
      </c>
      <c r="P77" s="181">
        <f ca="1">_xll.DBRW(Server&amp;Cube1,$F$17,$F$18,$F$19,$F$16,$C$14,$F$15,$F$14,$F$20,P$2,$N$1,$C77)</f>
        <v>0</v>
      </c>
      <c r="Q77" s="181">
        <f ca="1">_xll.DBRW(Server&amp;Cube1,$F$17,$F$18,$F$19,$F$16,$C$14,$F$15,$F$14,$F$20,Q$2,$N$1,$C77)</f>
        <v>0</v>
      </c>
      <c r="R77" s="181">
        <f ca="1">_xll.DBRW(Server&amp;Cube1,$F$17,$F$18,$F$19,$F$16,$C$14,$F$15,$F$14,$F$20,R$2,$N$1,$C77)</f>
        <v>0</v>
      </c>
      <c r="S77" s="181">
        <f ca="1">_xll.DBRW(Server&amp;Cube1,$F$17,$F$18,$F$19,$F$16,$C$14,$F$15,$F$14,$F$20,S$2,$N$1,$C77)</f>
        <v>0</v>
      </c>
      <c r="T77" s="181">
        <f ca="1">_xll.DBRW(Server&amp;Cube1,$F$17,$F$18,$F$19,$F$16,$C$14,$F$15,$F$14,$F$20,T$2,$N$1,$C77)</f>
        <v>0</v>
      </c>
      <c r="U77" s="181">
        <f ca="1">_xll.DBRW(Server&amp;Cube1,$F$17,$F$18,$F$19,$F$16,$C$14,$F$15,$F$14,$F$20,U$2,$N$1,$C77)</f>
        <v>0</v>
      </c>
      <c r="V77" s="181">
        <f ca="1">_xll.DBRW(Server&amp;Cube1,$F$17,$F$18,$F$19,$F$16,$C$14,$F$15,$F$14,$F$20,V$2,$N$1,$C77)</f>
        <v>0</v>
      </c>
      <c r="W77" s="181">
        <f ca="1">_xll.DBRW(Server&amp;Cube1,$F$17,$F$18,$F$19,$F$16,$C$14,$F$15,$F$14,$F$20,W$2,$N$1,$C77)</f>
        <v>0</v>
      </c>
      <c r="X77" s="181">
        <f ca="1">_xll.DBRW(Server&amp;Cube1,$F$17,$F$18,$F$19,$F$16,$C$14,$F$15,$F$14,$F$20,X$2,$N$1,$C77)</f>
        <v>0</v>
      </c>
      <c r="Y77" s="181">
        <f ca="1">_xll.DBRW(Server&amp;Cube1,$F$17,$F$18,$F$19,$F$16,$C$14,$F$15,$F$14,$F$20,Y$2,$N$1,$C77)</f>
        <v>0</v>
      </c>
      <c r="Z77" s="181">
        <f ca="1">_xll.DBRW(Server&amp;Cube1,$F$17,$F$18,$F$19,$F$16,$C$14,$F$15,$F$14,$F$20,Z$2,$N$1,$C77)</f>
        <v>0</v>
      </c>
      <c r="AJ77" s="1"/>
      <c r="AL77" s="210"/>
      <c r="AM77" s="159">
        <v>2200</v>
      </c>
      <c r="AN77" s="150" t="s">
        <v>492</v>
      </c>
      <c r="AO77" s="53"/>
      <c r="AP77" s="53"/>
      <c r="AQ77" s="53"/>
      <c r="AR77" s="53"/>
      <c r="AS77" s="53"/>
      <c r="AT77" s="53"/>
      <c r="AU77" s="53"/>
      <c r="AV77" s="9"/>
      <c r="AW77" s="9"/>
      <c r="AX77" s="9"/>
      <c r="AY77" s="9"/>
    </row>
    <row r="78" spans="1:51" ht="21" customHeight="1" x14ac:dyDescent="0.3">
      <c r="A78" s="157">
        <f ca="1">IF($AN$35="YES",1,IF(_xll.ELCOMPN(Server&amp;$C$24,C78)&lt;&gt;0,1,IF(OR(B78=$AT$35,B78="ALL"),1,0)))</f>
        <v>1</v>
      </c>
      <c r="B78" s="139" t="str">
        <f t="shared" si="0"/>
        <v>DS</v>
      </c>
      <c r="C78" s="137" t="s">
        <v>189</v>
      </c>
      <c r="D78" s="24"/>
      <c r="E78" s="219" t="str">
        <f ca="1">_xll.DBRA(Server&amp;$C$24,$C78,$F$21)</f>
        <v>Entretien et Réparation Immobilier (SO)</v>
      </c>
      <c r="F78" s="219"/>
      <c r="G78" s="219"/>
      <c r="H78" s="43"/>
      <c r="I78" s="192">
        <f ca="1">_xll.DBRW(Server&amp;Cube1,$F$17,$F$18,$F$19,$F$16,$C$14,$F$15,$F$14,$F$20,I$2,I$1,$C78)</f>
        <v>0</v>
      </c>
      <c r="J78" s="192">
        <f ca="1">_xll.DBRW(Server&amp;Cube1,$F$17,$F$18,$F$19,$F$16,$C$14,$F$15,$F$14,$F$20,J$2,J$1,$C78)</f>
        <v>0</v>
      </c>
      <c r="K78" s="183"/>
      <c r="L78" s="185">
        <f ca="1">_xll.DBRW(Server&amp;Cube1,$F$17,$F$18,$F$19,$F$16,$C$14,$F$15,$F$14,$F$20,L$2,L$1,$C78)</f>
        <v>0</v>
      </c>
      <c r="M78" s="184"/>
      <c r="N78" s="185">
        <f ca="1">_xll.DBRW(Server&amp;Cube1,$F$17,$F$18,$F$19,$F$16,$C$14,$F$15,$F$14,$F$20,N$2,$N$1,$C78)</f>
        <v>0</v>
      </c>
      <c r="O78" s="185">
        <f ca="1">_xll.DBRW(Server&amp;Cube1,$F$17,$F$18,$F$19,$F$16,$C$14,$F$15,$F$14,$F$20,O$2,$N$1,$C78)</f>
        <v>0</v>
      </c>
      <c r="P78" s="185">
        <f ca="1">_xll.DBRW(Server&amp;Cube1,$F$17,$F$18,$F$19,$F$16,$C$14,$F$15,$F$14,$F$20,P$2,$N$1,$C78)</f>
        <v>0</v>
      </c>
      <c r="Q78" s="185">
        <f ca="1">_xll.DBRW(Server&amp;Cube1,$F$17,$F$18,$F$19,$F$16,$C$14,$F$15,$F$14,$F$20,Q$2,$N$1,$C78)</f>
        <v>0</v>
      </c>
      <c r="R78" s="185">
        <f ca="1">_xll.DBRW(Server&amp;Cube1,$F$17,$F$18,$F$19,$F$16,$C$14,$F$15,$F$14,$F$20,R$2,$N$1,$C78)</f>
        <v>0</v>
      </c>
      <c r="S78" s="185">
        <f ca="1">_xll.DBRW(Server&amp;Cube1,$F$17,$F$18,$F$19,$F$16,$C$14,$F$15,$F$14,$F$20,S$2,$N$1,$C78)</f>
        <v>0</v>
      </c>
      <c r="T78" s="185">
        <f ca="1">_xll.DBRW(Server&amp;Cube1,$F$17,$F$18,$F$19,$F$16,$C$14,$F$15,$F$14,$F$20,T$2,$N$1,$C78)</f>
        <v>0</v>
      </c>
      <c r="U78" s="185">
        <f ca="1">_xll.DBRW(Server&amp;Cube1,$F$17,$F$18,$F$19,$F$16,$C$14,$F$15,$F$14,$F$20,U$2,$N$1,$C78)</f>
        <v>0</v>
      </c>
      <c r="V78" s="185">
        <f ca="1">_xll.DBRW(Server&amp;Cube1,$F$17,$F$18,$F$19,$F$16,$C$14,$F$15,$F$14,$F$20,V$2,$N$1,$C78)</f>
        <v>0</v>
      </c>
      <c r="W78" s="185">
        <f ca="1">_xll.DBRW(Server&amp;Cube1,$F$17,$F$18,$F$19,$F$16,$C$14,$F$15,$F$14,$F$20,W$2,$N$1,$C78)</f>
        <v>0</v>
      </c>
      <c r="X78" s="185">
        <f ca="1">_xll.DBRW(Server&amp;Cube1,$F$17,$F$18,$F$19,$F$16,$C$14,$F$15,$F$14,$F$20,X$2,$N$1,$C78)</f>
        <v>0</v>
      </c>
      <c r="Y78" s="185">
        <f ca="1">_xll.DBRW(Server&amp;Cube1,$F$17,$F$18,$F$19,$F$16,$C$14,$F$15,$F$14,$F$20,Y$2,$N$1,$C78)</f>
        <v>0</v>
      </c>
      <c r="Z78" s="185">
        <f ca="1">_xll.DBRW(Server&amp;Cube1,$F$17,$F$18,$F$19,$F$16,$C$14,$F$15,$F$14,$F$20,Z$2,$N$1,$C78)</f>
        <v>0</v>
      </c>
      <c r="AA78" s="53"/>
      <c r="AB78" s="53"/>
      <c r="AC78" s="53"/>
      <c r="AD78" s="53"/>
      <c r="AE78" s="53"/>
      <c r="AF78" s="53"/>
      <c r="AG78" s="53"/>
      <c r="AH78" s="53"/>
      <c r="AI78" s="53"/>
      <c r="AJ78" s="1"/>
      <c r="AK78" s="53"/>
      <c r="AL78" s="210"/>
      <c r="AM78" s="159">
        <v>2300</v>
      </c>
      <c r="AN78" s="150" t="s">
        <v>492</v>
      </c>
      <c r="AO78" s="53"/>
      <c r="AP78" s="53"/>
      <c r="AQ78" s="53"/>
      <c r="AR78" s="53"/>
      <c r="AS78" s="53"/>
      <c r="AT78" s="53"/>
      <c r="AU78" s="53"/>
      <c r="AV78" s="9"/>
      <c r="AW78" s="9"/>
      <c r="AX78" s="9"/>
      <c r="AY78" s="9"/>
    </row>
    <row r="79" spans="1:51" ht="21" customHeight="1" x14ac:dyDescent="0.3">
      <c r="A79" s="157">
        <f ca="1">IF($AN$35="YES",1,IF(_xll.ELCOMPN(Server&amp;$C$24,C79)&lt;&gt;0,1,IF(OR(B79=$AT$35,B79="ALL"),1,0)))</f>
        <v>1</v>
      </c>
      <c r="B79" s="139" t="str">
        <f t="shared" si="0"/>
        <v>BD</v>
      </c>
      <c r="C79" s="137" t="s">
        <v>190</v>
      </c>
      <c r="D79" s="24"/>
      <c r="E79" s="219" t="str">
        <f ca="1">_xll.DBRA(Server&amp;$C$24,$C79,$F$21)</f>
        <v>Entretien et Réparation Immobilier (DC)</v>
      </c>
      <c r="F79" s="219"/>
      <c r="G79" s="219"/>
      <c r="H79" s="43"/>
      <c r="I79" s="192">
        <f ca="1">_xll.DBRW(Server&amp;Cube1,$F$17,$F$18,$F$19,$F$16,$C$14,$F$15,$F$14,$F$20,I$2,I$1,$C79)</f>
        <v>0</v>
      </c>
      <c r="J79" s="192">
        <f ca="1">_xll.DBRW(Server&amp;Cube1,$F$17,$F$18,$F$19,$F$16,$C$14,$F$15,$F$14,$F$20,J$2,J$1,$C79)</f>
        <v>0</v>
      </c>
      <c r="K79" s="183"/>
      <c r="L79" s="185">
        <f ca="1">_xll.DBRW(Server&amp;Cube1,$F$17,$F$18,$F$19,$F$16,$C$14,$F$15,$F$14,$F$20,L$2,L$1,$C79)</f>
        <v>0</v>
      </c>
      <c r="M79" s="184"/>
      <c r="N79" s="185">
        <f ca="1">_xll.DBRW(Server&amp;Cube1,$F$17,$F$18,$F$19,$F$16,$C$14,$F$15,$F$14,$F$20,N$2,$N$1,$C79)</f>
        <v>0</v>
      </c>
      <c r="O79" s="185">
        <f ca="1">_xll.DBRW(Server&amp;Cube1,$F$17,$F$18,$F$19,$F$16,$C$14,$F$15,$F$14,$F$20,O$2,$N$1,$C79)</f>
        <v>0</v>
      </c>
      <c r="P79" s="185">
        <f ca="1">_xll.DBRW(Server&amp;Cube1,$F$17,$F$18,$F$19,$F$16,$C$14,$F$15,$F$14,$F$20,P$2,$N$1,$C79)</f>
        <v>0</v>
      </c>
      <c r="Q79" s="185">
        <f ca="1">_xll.DBRW(Server&amp;Cube1,$F$17,$F$18,$F$19,$F$16,$C$14,$F$15,$F$14,$F$20,Q$2,$N$1,$C79)</f>
        <v>0</v>
      </c>
      <c r="R79" s="185">
        <f ca="1">_xll.DBRW(Server&amp;Cube1,$F$17,$F$18,$F$19,$F$16,$C$14,$F$15,$F$14,$F$20,R$2,$N$1,$C79)</f>
        <v>0</v>
      </c>
      <c r="S79" s="185">
        <f ca="1">_xll.DBRW(Server&amp;Cube1,$F$17,$F$18,$F$19,$F$16,$C$14,$F$15,$F$14,$F$20,S$2,$N$1,$C79)</f>
        <v>0</v>
      </c>
      <c r="T79" s="185">
        <f ca="1">_xll.DBRW(Server&amp;Cube1,$F$17,$F$18,$F$19,$F$16,$C$14,$F$15,$F$14,$F$20,T$2,$N$1,$C79)</f>
        <v>0</v>
      </c>
      <c r="U79" s="185">
        <f ca="1">_xll.DBRW(Server&amp;Cube1,$F$17,$F$18,$F$19,$F$16,$C$14,$F$15,$F$14,$F$20,U$2,$N$1,$C79)</f>
        <v>0</v>
      </c>
      <c r="V79" s="185">
        <f ca="1">_xll.DBRW(Server&amp;Cube1,$F$17,$F$18,$F$19,$F$16,$C$14,$F$15,$F$14,$F$20,V$2,$N$1,$C79)</f>
        <v>0</v>
      </c>
      <c r="W79" s="185">
        <f ca="1">_xll.DBRW(Server&amp;Cube1,$F$17,$F$18,$F$19,$F$16,$C$14,$F$15,$F$14,$F$20,W$2,$N$1,$C79)</f>
        <v>0</v>
      </c>
      <c r="X79" s="185">
        <f ca="1">_xll.DBRW(Server&amp;Cube1,$F$17,$F$18,$F$19,$F$16,$C$14,$F$15,$F$14,$F$20,X$2,$N$1,$C79)</f>
        <v>0</v>
      </c>
      <c r="Y79" s="185">
        <f ca="1">_xll.DBRW(Server&amp;Cube1,$F$17,$F$18,$F$19,$F$16,$C$14,$F$15,$F$14,$F$20,Y$2,$N$1,$C79)</f>
        <v>0</v>
      </c>
      <c r="Z79" s="185">
        <f ca="1">_xll.DBRW(Server&amp;Cube1,$F$17,$F$18,$F$19,$F$16,$C$14,$F$15,$F$14,$F$20,Z$2,$N$1,$C79)</f>
        <v>0</v>
      </c>
      <c r="AA79" s="53"/>
      <c r="AB79" s="53"/>
      <c r="AC79" s="53"/>
      <c r="AD79" s="53"/>
      <c r="AE79" s="53"/>
      <c r="AF79" s="53"/>
      <c r="AG79" s="53"/>
      <c r="AH79" s="53"/>
      <c r="AI79" s="53"/>
      <c r="AJ79" s="1"/>
      <c r="AK79" s="53"/>
      <c r="AL79" s="210"/>
      <c r="AM79" s="159">
        <v>2310</v>
      </c>
      <c r="AN79" s="150" t="s">
        <v>492</v>
      </c>
      <c r="AO79" s="53"/>
      <c r="AP79" s="53"/>
      <c r="AQ79" s="53"/>
      <c r="AR79" s="53"/>
      <c r="AS79" s="53"/>
      <c r="AT79" s="53"/>
      <c r="AU79" s="53"/>
      <c r="AV79" s="9"/>
      <c r="AW79" s="9"/>
      <c r="AX79" s="9"/>
      <c r="AY79" s="9"/>
    </row>
    <row r="80" spans="1:51" ht="21" customHeight="1" x14ac:dyDescent="0.3">
      <c r="A80" s="157">
        <f ca="1">IF($AN$35="YES",1,IF(_xll.ELCOMPN(Server&amp;$C$24,C80)&lt;&gt;0,1,IF(OR(B80=$AT$35,B80="ALL"),1,0)))</f>
        <v>1</v>
      </c>
      <c r="B80" s="139" t="str">
        <f t="shared" si="0"/>
        <v>FI</v>
      </c>
      <c r="C80" s="137" t="s">
        <v>191</v>
      </c>
      <c r="D80" s="24"/>
      <c r="E80" s="219" t="str">
        <f ca="1">_xll.DBRA(Server&amp;$C$24,$C80,$F$21)</f>
        <v>Entretien et Réparation Immobilier (DF)</v>
      </c>
      <c r="F80" s="219"/>
      <c r="G80" s="219"/>
      <c r="H80" s="43"/>
      <c r="I80" s="192">
        <f ca="1">_xll.DBRW(Server&amp;Cube1,$F$17,$F$18,$F$19,$F$16,$C$14,$F$15,$F$14,$F$20,I$2,I$1,$C80)</f>
        <v>0</v>
      </c>
      <c r="J80" s="192">
        <f ca="1">_xll.DBRW(Server&amp;Cube1,$F$17,$F$18,$F$19,$F$16,$C$14,$F$15,$F$14,$F$20,J$2,J$1,$C80)</f>
        <v>0</v>
      </c>
      <c r="K80" s="183"/>
      <c r="L80" s="185">
        <f ca="1">_xll.DBRW(Server&amp;Cube1,$F$17,$F$18,$F$19,$F$16,$C$14,$F$15,$F$14,$F$20,L$2,L$1,$C80)</f>
        <v>0</v>
      </c>
      <c r="M80" s="184"/>
      <c r="N80" s="185">
        <f ca="1">_xll.DBRW(Server&amp;Cube1,$F$17,$F$18,$F$19,$F$16,$C$14,$F$15,$F$14,$F$20,N$2,$N$1,$C80)</f>
        <v>0</v>
      </c>
      <c r="O80" s="185">
        <f ca="1">_xll.DBRW(Server&amp;Cube1,$F$17,$F$18,$F$19,$F$16,$C$14,$F$15,$F$14,$F$20,O$2,$N$1,$C80)</f>
        <v>0</v>
      </c>
      <c r="P80" s="185">
        <f ca="1">_xll.DBRW(Server&amp;Cube1,$F$17,$F$18,$F$19,$F$16,$C$14,$F$15,$F$14,$F$20,P$2,$N$1,$C80)</f>
        <v>0</v>
      </c>
      <c r="Q80" s="185">
        <f ca="1">_xll.DBRW(Server&amp;Cube1,$F$17,$F$18,$F$19,$F$16,$C$14,$F$15,$F$14,$F$20,Q$2,$N$1,$C80)</f>
        <v>0</v>
      </c>
      <c r="R80" s="185">
        <f ca="1">_xll.DBRW(Server&amp;Cube1,$F$17,$F$18,$F$19,$F$16,$C$14,$F$15,$F$14,$F$20,R$2,$N$1,$C80)</f>
        <v>0</v>
      </c>
      <c r="S80" s="185">
        <f ca="1">_xll.DBRW(Server&amp;Cube1,$F$17,$F$18,$F$19,$F$16,$C$14,$F$15,$F$14,$F$20,S$2,$N$1,$C80)</f>
        <v>0</v>
      </c>
      <c r="T80" s="185">
        <f ca="1">_xll.DBRW(Server&amp;Cube1,$F$17,$F$18,$F$19,$F$16,$C$14,$F$15,$F$14,$F$20,T$2,$N$1,$C80)</f>
        <v>0</v>
      </c>
      <c r="U80" s="185">
        <f ca="1">_xll.DBRW(Server&amp;Cube1,$F$17,$F$18,$F$19,$F$16,$C$14,$F$15,$F$14,$F$20,U$2,$N$1,$C80)</f>
        <v>0</v>
      </c>
      <c r="V80" s="185">
        <f ca="1">_xll.DBRW(Server&amp;Cube1,$F$17,$F$18,$F$19,$F$16,$C$14,$F$15,$F$14,$F$20,V$2,$N$1,$C80)</f>
        <v>0</v>
      </c>
      <c r="W80" s="185">
        <f ca="1">_xll.DBRW(Server&amp;Cube1,$F$17,$F$18,$F$19,$F$16,$C$14,$F$15,$F$14,$F$20,W$2,$N$1,$C80)</f>
        <v>0</v>
      </c>
      <c r="X80" s="185">
        <f ca="1">_xll.DBRW(Server&amp;Cube1,$F$17,$F$18,$F$19,$F$16,$C$14,$F$15,$F$14,$F$20,X$2,$N$1,$C80)</f>
        <v>0</v>
      </c>
      <c r="Y80" s="185">
        <f ca="1">_xll.DBRW(Server&amp;Cube1,$F$17,$F$18,$F$19,$F$16,$C$14,$F$15,$F$14,$F$20,Y$2,$N$1,$C80)</f>
        <v>0</v>
      </c>
      <c r="Z80" s="185">
        <f ca="1">_xll.DBRW(Server&amp;Cube1,$F$17,$F$18,$F$19,$F$16,$C$14,$F$15,$F$14,$F$20,Z$2,$N$1,$C80)</f>
        <v>0</v>
      </c>
      <c r="AA80" s="53"/>
      <c r="AB80" s="53"/>
      <c r="AC80" s="53"/>
      <c r="AD80" s="53"/>
      <c r="AE80" s="53"/>
      <c r="AF80" s="53"/>
      <c r="AG80" s="53"/>
      <c r="AH80" s="53"/>
      <c r="AI80" s="53"/>
      <c r="AJ80" s="1"/>
      <c r="AK80" s="53"/>
      <c r="AL80" s="210"/>
      <c r="AM80" s="159">
        <v>2330</v>
      </c>
      <c r="AN80" s="150" t="s">
        <v>492</v>
      </c>
      <c r="AO80" s="53"/>
      <c r="AP80" s="53"/>
      <c r="AQ80" s="53"/>
      <c r="AR80" s="53"/>
      <c r="AS80" s="53"/>
      <c r="AT80" s="53"/>
      <c r="AU80" s="53"/>
    </row>
    <row r="81" spans="1:47" ht="21" customHeight="1" x14ac:dyDescent="0.3">
      <c r="A81" s="157">
        <f ca="1">IF($AN$35="YES",1,IF(_xll.ELCOMPN(Server&amp;$C$24,C81)&lt;&gt;0,1,IF(OR(B81=$AT$35,B81="ALL"),1,0)))</f>
        <v>1</v>
      </c>
      <c r="B81" s="139" t="str">
        <f t="shared" si="0"/>
        <v>IT</v>
      </c>
      <c r="C81" s="137" t="s">
        <v>192</v>
      </c>
      <c r="D81" s="24"/>
      <c r="E81" s="219" t="str">
        <f ca="1">_xll.DBRA(Server&amp;$C$24,$C81,$F$21)</f>
        <v>Entretien et Réparation Immobilier (IT)</v>
      </c>
      <c r="F81" s="219"/>
      <c r="G81" s="219"/>
      <c r="H81" s="43"/>
      <c r="I81" s="192">
        <f ca="1">_xll.DBRW(Server&amp;Cube1,$F$17,$F$18,$F$19,$F$16,$C$14,$F$15,$F$14,$F$20,I$2,I$1,$C81)</f>
        <v>0</v>
      </c>
      <c r="J81" s="192">
        <f ca="1">_xll.DBRW(Server&amp;Cube1,$F$17,$F$18,$F$19,$F$16,$C$14,$F$15,$F$14,$F$20,J$2,J$1,$C81)</f>
        <v>0</v>
      </c>
      <c r="K81" s="183"/>
      <c r="L81" s="185">
        <f ca="1">_xll.DBRW(Server&amp;Cube1,$F$17,$F$18,$F$19,$F$16,$C$14,$F$15,$F$14,$F$20,L$2,L$1,$C81)</f>
        <v>0</v>
      </c>
      <c r="M81" s="184"/>
      <c r="N81" s="185">
        <f ca="1">_xll.DBRW(Server&amp;Cube1,$F$17,$F$18,$F$19,$F$16,$C$14,$F$15,$F$14,$F$20,N$2,$N$1,$C81)</f>
        <v>0</v>
      </c>
      <c r="O81" s="185">
        <f ca="1">_xll.DBRW(Server&amp;Cube1,$F$17,$F$18,$F$19,$F$16,$C$14,$F$15,$F$14,$F$20,O$2,$N$1,$C81)</f>
        <v>0</v>
      </c>
      <c r="P81" s="185">
        <f ca="1">_xll.DBRW(Server&amp;Cube1,$F$17,$F$18,$F$19,$F$16,$C$14,$F$15,$F$14,$F$20,P$2,$N$1,$C81)</f>
        <v>0</v>
      </c>
      <c r="Q81" s="185">
        <f ca="1">_xll.DBRW(Server&amp;Cube1,$F$17,$F$18,$F$19,$F$16,$C$14,$F$15,$F$14,$F$20,Q$2,$N$1,$C81)</f>
        <v>0</v>
      </c>
      <c r="R81" s="185">
        <f ca="1">_xll.DBRW(Server&amp;Cube1,$F$17,$F$18,$F$19,$F$16,$C$14,$F$15,$F$14,$F$20,R$2,$N$1,$C81)</f>
        <v>0</v>
      </c>
      <c r="S81" s="185">
        <f ca="1">_xll.DBRW(Server&amp;Cube1,$F$17,$F$18,$F$19,$F$16,$C$14,$F$15,$F$14,$F$20,S$2,$N$1,$C81)</f>
        <v>0</v>
      </c>
      <c r="T81" s="185">
        <f ca="1">_xll.DBRW(Server&amp;Cube1,$F$17,$F$18,$F$19,$F$16,$C$14,$F$15,$F$14,$F$20,T$2,$N$1,$C81)</f>
        <v>0</v>
      </c>
      <c r="U81" s="185">
        <f ca="1">_xll.DBRW(Server&amp;Cube1,$F$17,$F$18,$F$19,$F$16,$C$14,$F$15,$F$14,$F$20,U$2,$N$1,$C81)</f>
        <v>0</v>
      </c>
      <c r="V81" s="185">
        <f ca="1">_xll.DBRW(Server&amp;Cube1,$F$17,$F$18,$F$19,$F$16,$C$14,$F$15,$F$14,$F$20,V$2,$N$1,$C81)</f>
        <v>0</v>
      </c>
      <c r="W81" s="185">
        <f ca="1">_xll.DBRW(Server&amp;Cube1,$F$17,$F$18,$F$19,$F$16,$C$14,$F$15,$F$14,$F$20,W$2,$N$1,$C81)</f>
        <v>0</v>
      </c>
      <c r="X81" s="185">
        <f ca="1">_xll.DBRW(Server&amp;Cube1,$F$17,$F$18,$F$19,$F$16,$C$14,$F$15,$F$14,$F$20,X$2,$N$1,$C81)</f>
        <v>0</v>
      </c>
      <c r="Y81" s="185">
        <f ca="1">_xll.DBRW(Server&amp;Cube1,$F$17,$F$18,$F$19,$F$16,$C$14,$F$15,$F$14,$F$20,Y$2,$N$1,$C81)</f>
        <v>0</v>
      </c>
      <c r="Z81" s="185">
        <f ca="1">_xll.DBRW(Server&amp;Cube1,$F$17,$F$18,$F$19,$F$16,$C$14,$F$15,$F$14,$F$20,Z$2,$N$1,$C81)</f>
        <v>0</v>
      </c>
      <c r="AA81" s="53"/>
      <c r="AB81" s="53"/>
      <c r="AC81" s="53"/>
      <c r="AD81" s="53"/>
      <c r="AE81" s="53"/>
      <c r="AF81" s="53"/>
      <c r="AG81" s="53"/>
      <c r="AH81" s="53"/>
      <c r="AI81" s="53"/>
      <c r="AJ81" s="1"/>
      <c r="AK81" s="53"/>
      <c r="AL81" s="210"/>
      <c r="AM81" s="159">
        <v>2320</v>
      </c>
      <c r="AN81" s="150" t="s">
        <v>492</v>
      </c>
      <c r="AO81" s="53"/>
      <c r="AP81" s="53"/>
      <c r="AQ81" s="53"/>
      <c r="AR81" s="53"/>
      <c r="AS81" s="53"/>
      <c r="AT81" s="53"/>
      <c r="AU81" s="53"/>
    </row>
    <row r="82" spans="1:47" ht="21" customHeight="1" x14ac:dyDescent="0.3">
      <c r="A82" s="157">
        <f ca="1">IF($AN$35="YES",1,IF(_xll.ELCOMPN(Server&amp;$C$24,C82)&lt;&gt;0,1,IF(OR(B82=$AT$35,B82="ALL"),1,0)))</f>
        <v>1</v>
      </c>
      <c r="B82" s="139" t="str">
        <f t="shared" si="0"/>
        <v>HR</v>
      </c>
      <c r="C82" s="137" t="s">
        <v>193</v>
      </c>
      <c r="D82" s="24"/>
      <c r="E82" s="219" t="str">
        <f ca="1">_xll.DBRA(Server&amp;$C$24,$C82,$F$21)</f>
        <v>Entretien et Réparation Immobilier (RH)</v>
      </c>
      <c r="F82" s="219"/>
      <c r="G82" s="219"/>
      <c r="H82" s="43"/>
      <c r="I82" s="192">
        <f ca="1">_xll.DBRW(Server&amp;Cube1,$F$17,$F$18,$F$19,$F$16,$C$14,$F$15,$F$14,$F$20,I$2,I$1,$C82)</f>
        <v>0</v>
      </c>
      <c r="J82" s="192">
        <f ca="1">_xll.DBRW(Server&amp;Cube1,$F$17,$F$18,$F$19,$F$16,$C$14,$F$15,$F$14,$F$20,J$2,J$1,$C82)</f>
        <v>0</v>
      </c>
      <c r="K82" s="183"/>
      <c r="L82" s="185">
        <f ca="1">_xll.DBRW(Server&amp;Cube1,$F$17,$F$18,$F$19,$F$16,$C$14,$F$15,$F$14,$F$20,L$2,L$1,$C82)</f>
        <v>0</v>
      </c>
      <c r="M82" s="184"/>
      <c r="N82" s="185">
        <f ca="1">_xll.DBRW(Server&amp;Cube1,$F$17,$F$18,$F$19,$F$16,$C$14,$F$15,$F$14,$F$20,N$2,$N$1,$C82)</f>
        <v>0</v>
      </c>
      <c r="O82" s="185">
        <f ca="1">_xll.DBRW(Server&amp;Cube1,$F$17,$F$18,$F$19,$F$16,$C$14,$F$15,$F$14,$F$20,O$2,$N$1,$C82)</f>
        <v>0</v>
      </c>
      <c r="P82" s="185">
        <f ca="1">_xll.DBRW(Server&amp;Cube1,$F$17,$F$18,$F$19,$F$16,$C$14,$F$15,$F$14,$F$20,P$2,$N$1,$C82)</f>
        <v>0</v>
      </c>
      <c r="Q82" s="185">
        <f ca="1">_xll.DBRW(Server&amp;Cube1,$F$17,$F$18,$F$19,$F$16,$C$14,$F$15,$F$14,$F$20,Q$2,$N$1,$C82)</f>
        <v>0</v>
      </c>
      <c r="R82" s="185">
        <f ca="1">_xll.DBRW(Server&amp;Cube1,$F$17,$F$18,$F$19,$F$16,$C$14,$F$15,$F$14,$F$20,R$2,$N$1,$C82)</f>
        <v>0</v>
      </c>
      <c r="S82" s="185">
        <f ca="1">_xll.DBRW(Server&amp;Cube1,$F$17,$F$18,$F$19,$F$16,$C$14,$F$15,$F$14,$F$20,S$2,$N$1,$C82)</f>
        <v>0</v>
      </c>
      <c r="T82" s="185">
        <f ca="1">_xll.DBRW(Server&amp;Cube1,$F$17,$F$18,$F$19,$F$16,$C$14,$F$15,$F$14,$F$20,T$2,$N$1,$C82)</f>
        <v>0</v>
      </c>
      <c r="U82" s="185">
        <f ca="1">_xll.DBRW(Server&amp;Cube1,$F$17,$F$18,$F$19,$F$16,$C$14,$F$15,$F$14,$F$20,U$2,$N$1,$C82)</f>
        <v>0</v>
      </c>
      <c r="V82" s="185">
        <f ca="1">_xll.DBRW(Server&amp;Cube1,$F$17,$F$18,$F$19,$F$16,$C$14,$F$15,$F$14,$F$20,V$2,$N$1,$C82)</f>
        <v>0</v>
      </c>
      <c r="W82" s="185">
        <f ca="1">_xll.DBRW(Server&amp;Cube1,$F$17,$F$18,$F$19,$F$16,$C$14,$F$15,$F$14,$F$20,W$2,$N$1,$C82)</f>
        <v>0</v>
      </c>
      <c r="X82" s="185">
        <f ca="1">_xll.DBRW(Server&amp;Cube1,$F$17,$F$18,$F$19,$F$16,$C$14,$F$15,$F$14,$F$20,X$2,$N$1,$C82)</f>
        <v>0</v>
      </c>
      <c r="Y82" s="185">
        <f ca="1">_xll.DBRW(Server&amp;Cube1,$F$17,$F$18,$F$19,$F$16,$C$14,$F$15,$F$14,$F$20,Y$2,$N$1,$C82)</f>
        <v>0</v>
      </c>
      <c r="Z82" s="185">
        <f ca="1">_xll.DBRW(Server&amp;Cube1,$F$17,$F$18,$F$19,$F$16,$C$14,$F$15,$F$14,$F$20,Z$2,$N$1,$C82)</f>
        <v>0</v>
      </c>
      <c r="AA82" s="53"/>
      <c r="AB82" s="53"/>
      <c r="AC82" s="53"/>
      <c r="AD82" s="53"/>
      <c r="AE82" s="53"/>
      <c r="AF82" s="53"/>
      <c r="AG82" s="53"/>
      <c r="AH82" s="53"/>
      <c r="AI82" s="53"/>
      <c r="AJ82" s="1"/>
      <c r="AK82" s="53"/>
      <c r="AL82" s="210"/>
      <c r="AM82" s="159">
        <v>2400</v>
      </c>
      <c r="AN82" s="150" t="s">
        <v>492</v>
      </c>
      <c r="AO82" s="53"/>
      <c r="AP82" s="53"/>
      <c r="AQ82" s="53"/>
      <c r="AR82" s="53"/>
      <c r="AS82" s="53"/>
      <c r="AT82" s="53"/>
      <c r="AU82" s="53"/>
    </row>
    <row r="83" spans="1:47" ht="21" customHeight="1" thickBot="1" x14ac:dyDescent="0.35">
      <c r="A83" s="157">
        <f ca="1">IF($AN$35="YES",1,IF(_xll.ELCOMPN(Server&amp;$C$24,C83)&lt;&gt;0,1,IF(OR(B83=$AT$35,B83="ALL"),1,0)))</f>
        <v>1</v>
      </c>
      <c r="B83" s="139" t="str">
        <f t="shared" si="0"/>
        <v>GM</v>
      </c>
      <c r="C83" s="137" t="s">
        <v>194</v>
      </c>
      <c r="D83" s="24"/>
      <c r="E83" s="219" t="str">
        <f ca="1">_xll.DBRA(Server&amp;$C$24,$C83,$F$21)</f>
        <v>Entretien et Réparation Immobilier (DG)</v>
      </c>
      <c r="F83" s="219"/>
      <c r="G83" s="219"/>
      <c r="H83" s="43"/>
      <c r="I83" s="192">
        <f ca="1">_xll.DBRW(Server&amp;Cube1,$F$17,$F$18,$F$19,$F$16,$C$14,$F$15,$F$14,$F$20,I$2,I$1,$C83)</f>
        <v>0</v>
      </c>
      <c r="J83" s="192">
        <f ca="1">_xll.DBRW(Server&amp;Cube1,$F$17,$F$18,$F$19,$F$16,$C$14,$F$15,$F$14,$F$20,J$2,J$1,$C83)</f>
        <v>0</v>
      </c>
      <c r="K83" s="183"/>
      <c r="L83" s="185">
        <f ca="1">_xll.DBRW(Server&amp;Cube1,$F$17,$F$18,$F$19,$F$16,$C$14,$F$15,$F$14,$F$20,L$2,L$1,$C83)</f>
        <v>0</v>
      </c>
      <c r="M83" s="184"/>
      <c r="N83" s="185">
        <f ca="1">_xll.DBRW(Server&amp;Cube1,$F$17,$F$18,$F$19,$F$16,$C$14,$F$15,$F$14,$F$20,N$2,$N$1,$C83)</f>
        <v>0</v>
      </c>
      <c r="O83" s="185">
        <f ca="1">_xll.DBRW(Server&amp;Cube1,$F$17,$F$18,$F$19,$F$16,$C$14,$F$15,$F$14,$F$20,O$2,$N$1,$C83)</f>
        <v>0</v>
      </c>
      <c r="P83" s="185">
        <f ca="1">_xll.DBRW(Server&amp;Cube1,$F$17,$F$18,$F$19,$F$16,$C$14,$F$15,$F$14,$F$20,P$2,$N$1,$C83)</f>
        <v>0</v>
      </c>
      <c r="Q83" s="185">
        <f ca="1">_xll.DBRW(Server&amp;Cube1,$F$17,$F$18,$F$19,$F$16,$C$14,$F$15,$F$14,$F$20,Q$2,$N$1,$C83)</f>
        <v>0</v>
      </c>
      <c r="R83" s="185">
        <f ca="1">_xll.DBRW(Server&amp;Cube1,$F$17,$F$18,$F$19,$F$16,$C$14,$F$15,$F$14,$F$20,R$2,$N$1,$C83)</f>
        <v>0</v>
      </c>
      <c r="S83" s="185">
        <f ca="1">_xll.DBRW(Server&amp;Cube1,$F$17,$F$18,$F$19,$F$16,$C$14,$F$15,$F$14,$F$20,S$2,$N$1,$C83)</f>
        <v>0</v>
      </c>
      <c r="T83" s="185">
        <f ca="1">_xll.DBRW(Server&amp;Cube1,$F$17,$F$18,$F$19,$F$16,$C$14,$F$15,$F$14,$F$20,T$2,$N$1,$C83)</f>
        <v>0</v>
      </c>
      <c r="U83" s="185">
        <f ca="1">_xll.DBRW(Server&amp;Cube1,$F$17,$F$18,$F$19,$F$16,$C$14,$F$15,$F$14,$F$20,U$2,$N$1,$C83)</f>
        <v>0</v>
      </c>
      <c r="V83" s="185">
        <f ca="1">_xll.DBRW(Server&amp;Cube1,$F$17,$F$18,$F$19,$F$16,$C$14,$F$15,$F$14,$F$20,V$2,$N$1,$C83)</f>
        <v>0</v>
      </c>
      <c r="W83" s="185">
        <f ca="1">_xll.DBRW(Server&amp;Cube1,$F$17,$F$18,$F$19,$F$16,$C$14,$F$15,$F$14,$F$20,W$2,$N$1,$C83)</f>
        <v>0</v>
      </c>
      <c r="X83" s="185">
        <f ca="1">_xll.DBRW(Server&amp;Cube1,$F$17,$F$18,$F$19,$F$16,$C$14,$F$15,$F$14,$F$20,X$2,$N$1,$C83)</f>
        <v>0</v>
      </c>
      <c r="Y83" s="185">
        <f ca="1">_xll.DBRW(Server&amp;Cube1,$F$17,$F$18,$F$19,$F$16,$C$14,$F$15,$F$14,$F$20,Y$2,$N$1,$C83)</f>
        <v>0</v>
      </c>
      <c r="Z83" s="185">
        <f ca="1">_xll.DBRW(Server&amp;Cube1,$F$17,$F$18,$F$19,$F$16,$C$14,$F$15,$F$14,$F$20,Z$2,$N$1,$C83)</f>
        <v>0</v>
      </c>
      <c r="AA83" s="53"/>
      <c r="AB83" s="53"/>
      <c r="AC83" s="53"/>
      <c r="AD83" s="53"/>
      <c r="AE83" s="53"/>
      <c r="AF83" s="53"/>
      <c r="AG83" s="53"/>
      <c r="AH83" s="53"/>
      <c r="AI83" s="53"/>
      <c r="AJ83" s="1"/>
      <c r="AK83" s="53"/>
      <c r="AL83" s="211"/>
      <c r="AM83" s="162">
        <v>4360</v>
      </c>
      <c r="AN83" s="152" t="s">
        <v>492</v>
      </c>
      <c r="AO83" s="53"/>
      <c r="AP83" s="53"/>
      <c r="AQ83" s="53"/>
      <c r="AR83" s="53"/>
      <c r="AS83" s="53"/>
      <c r="AT83" s="53"/>
      <c r="AU83" s="53"/>
    </row>
    <row r="84" spans="1:47" ht="21" customHeight="1" x14ac:dyDescent="0.3">
      <c r="A84" s="157">
        <f ca="1">IF($AN$35="YES",1,IF(_xll.ELCOMPN(Server&amp;$C$24,C84)&lt;&gt;0,1,IF(OR(B84=$AT$35,B84="ALL"),1,0)))</f>
        <v>1</v>
      </c>
      <c r="B84" s="139" t="str">
        <f t="shared" si="0"/>
        <v>IA</v>
      </c>
      <c r="C84" s="137" t="s">
        <v>195</v>
      </c>
      <c r="D84" s="24"/>
      <c r="E84" s="219" t="str">
        <f ca="1">_xll.DBRA(Server&amp;$C$24,$C84,$F$21)</f>
        <v>Entretien et Réparation Immobilier (AI)</v>
      </c>
      <c r="F84" s="219"/>
      <c r="G84" s="219"/>
      <c r="H84" s="43"/>
      <c r="I84" s="192">
        <f ca="1">_xll.DBRW(Server&amp;Cube1,$F$17,$F$18,$F$19,$F$16,$C$14,$F$15,$F$14,$F$20,I$2,I$1,$C84)</f>
        <v>0</v>
      </c>
      <c r="J84" s="192">
        <f ca="1">_xll.DBRW(Server&amp;Cube1,$F$17,$F$18,$F$19,$F$16,$C$14,$F$15,$F$14,$F$20,J$2,J$1,$C84)</f>
        <v>0</v>
      </c>
      <c r="K84" s="183"/>
      <c r="L84" s="185">
        <f ca="1">_xll.DBRW(Server&amp;Cube1,$F$17,$F$18,$F$19,$F$16,$C$14,$F$15,$F$14,$F$20,L$2,L$1,$C84)</f>
        <v>0</v>
      </c>
      <c r="M84" s="184"/>
      <c r="N84" s="185">
        <f ca="1">_xll.DBRW(Server&amp;Cube1,$F$17,$F$18,$F$19,$F$16,$C$14,$F$15,$F$14,$F$20,N$2,$N$1,$C84)</f>
        <v>0</v>
      </c>
      <c r="O84" s="185">
        <f ca="1">_xll.DBRW(Server&amp;Cube1,$F$17,$F$18,$F$19,$F$16,$C$14,$F$15,$F$14,$F$20,O$2,$N$1,$C84)</f>
        <v>0</v>
      </c>
      <c r="P84" s="185">
        <f ca="1">_xll.DBRW(Server&amp;Cube1,$F$17,$F$18,$F$19,$F$16,$C$14,$F$15,$F$14,$F$20,P$2,$N$1,$C84)</f>
        <v>0</v>
      </c>
      <c r="Q84" s="185">
        <f ca="1">_xll.DBRW(Server&amp;Cube1,$F$17,$F$18,$F$19,$F$16,$C$14,$F$15,$F$14,$F$20,Q$2,$N$1,$C84)</f>
        <v>0</v>
      </c>
      <c r="R84" s="185">
        <f ca="1">_xll.DBRW(Server&amp;Cube1,$F$17,$F$18,$F$19,$F$16,$C$14,$F$15,$F$14,$F$20,R$2,$N$1,$C84)</f>
        <v>0</v>
      </c>
      <c r="S84" s="185">
        <f ca="1">_xll.DBRW(Server&amp;Cube1,$F$17,$F$18,$F$19,$F$16,$C$14,$F$15,$F$14,$F$20,S$2,$N$1,$C84)</f>
        <v>0</v>
      </c>
      <c r="T84" s="185">
        <f ca="1">_xll.DBRW(Server&amp;Cube1,$F$17,$F$18,$F$19,$F$16,$C$14,$F$15,$F$14,$F$20,T$2,$N$1,$C84)</f>
        <v>0</v>
      </c>
      <c r="U84" s="185">
        <f ca="1">_xll.DBRW(Server&amp;Cube1,$F$17,$F$18,$F$19,$F$16,$C$14,$F$15,$F$14,$F$20,U$2,$N$1,$C84)</f>
        <v>0</v>
      </c>
      <c r="V84" s="185">
        <f ca="1">_xll.DBRW(Server&amp;Cube1,$F$17,$F$18,$F$19,$F$16,$C$14,$F$15,$F$14,$F$20,V$2,$N$1,$C84)</f>
        <v>0</v>
      </c>
      <c r="W84" s="185">
        <f ca="1">_xll.DBRW(Server&amp;Cube1,$F$17,$F$18,$F$19,$F$16,$C$14,$F$15,$F$14,$F$20,W$2,$N$1,$C84)</f>
        <v>0</v>
      </c>
      <c r="X84" s="185">
        <f ca="1">_xll.DBRW(Server&amp;Cube1,$F$17,$F$18,$F$19,$F$16,$C$14,$F$15,$F$14,$F$20,X$2,$N$1,$C84)</f>
        <v>0</v>
      </c>
      <c r="Y84" s="185">
        <f ca="1">_xll.DBRW(Server&amp;Cube1,$F$17,$F$18,$F$19,$F$16,$C$14,$F$15,$F$14,$F$20,Y$2,$N$1,$C84)</f>
        <v>0</v>
      </c>
      <c r="Z84" s="185">
        <f ca="1">_xll.DBRW(Server&amp;Cube1,$F$17,$F$18,$F$19,$F$16,$C$14,$F$15,$F$14,$F$20,Z$2,$N$1,$C84)</f>
        <v>0</v>
      </c>
      <c r="AA84" s="53"/>
      <c r="AB84" s="53"/>
      <c r="AC84" s="53"/>
      <c r="AD84" s="53"/>
      <c r="AE84" s="53"/>
      <c r="AF84" s="53"/>
      <c r="AG84" s="53"/>
      <c r="AH84" s="53"/>
      <c r="AI84" s="53"/>
      <c r="AJ84" s="1"/>
      <c r="AK84" s="53"/>
      <c r="AL84" s="206" t="s">
        <v>481</v>
      </c>
      <c r="AM84" s="144">
        <v>4600</v>
      </c>
      <c r="AN84" s="151" t="s">
        <v>481</v>
      </c>
      <c r="AO84" s="53"/>
      <c r="AP84" s="53"/>
      <c r="AQ84" s="53"/>
      <c r="AR84" s="53"/>
      <c r="AS84" s="53"/>
      <c r="AT84" s="53"/>
      <c r="AU84" s="53"/>
    </row>
    <row r="85" spans="1:47" ht="21" customHeight="1" thickBot="1" x14ac:dyDescent="0.35">
      <c r="A85" s="157">
        <f ca="1">IF($AN$35="YES",1,IF(_xll.ELCOMPN(Server&amp;$C$24,C85)&lt;&gt;0,1,IF(OR(B85=$AT$35,B85="ALL"),1,0)))</f>
        <v>1</v>
      </c>
      <c r="B85" s="139" t="str">
        <f t="shared" si="0"/>
        <v>LE</v>
      </c>
      <c r="C85" s="137" t="s">
        <v>196</v>
      </c>
      <c r="D85" s="24"/>
      <c r="E85" s="219" t="str">
        <f ca="1">_xll.DBRA(Server&amp;$C$24,$C85,$F$21)</f>
        <v>Entretien et Réparation Immobilier (JU)</v>
      </c>
      <c r="F85" s="219"/>
      <c r="G85" s="219"/>
      <c r="H85" s="43"/>
      <c r="I85" s="192">
        <f ca="1">_xll.DBRW(Server&amp;Cube1,$F$17,$F$18,$F$19,$F$16,$C$14,$F$15,$F$14,$F$20,I$2,I$1,$C85)</f>
        <v>0</v>
      </c>
      <c r="J85" s="192">
        <f ca="1">_xll.DBRW(Server&amp;Cube1,$F$17,$F$18,$F$19,$F$16,$C$14,$F$15,$F$14,$F$20,J$2,J$1,$C85)</f>
        <v>0</v>
      </c>
      <c r="K85" s="183"/>
      <c r="L85" s="185">
        <f ca="1">_xll.DBRW(Server&amp;Cube1,$F$17,$F$18,$F$19,$F$16,$C$14,$F$15,$F$14,$F$20,L$2,L$1,$C85)</f>
        <v>0</v>
      </c>
      <c r="M85" s="184"/>
      <c r="N85" s="185">
        <f ca="1">_xll.DBRW(Server&amp;Cube1,$F$17,$F$18,$F$19,$F$16,$C$14,$F$15,$F$14,$F$20,N$2,$N$1,$C85)</f>
        <v>0</v>
      </c>
      <c r="O85" s="185">
        <f ca="1">_xll.DBRW(Server&amp;Cube1,$F$17,$F$18,$F$19,$F$16,$C$14,$F$15,$F$14,$F$20,O$2,$N$1,$C85)</f>
        <v>0</v>
      </c>
      <c r="P85" s="185">
        <f ca="1">_xll.DBRW(Server&amp;Cube1,$F$17,$F$18,$F$19,$F$16,$C$14,$F$15,$F$14,$F$20,P$2,$N$1,$C85)</f>
        <v>0</v>
      </c>
      <c r="Q85" s="185">
        <f ca="1">_xll.DBRW(Server&amp;Cube1,$F$17,$F$18,$F$19,$F$16,$C$14,$F$15,$F$14,$F$20,Q$2,$N$1,$C85)</f>
        <v>0</v>
      </c>
      <c r="R85" s="185">
        <f ca="1">_xll.DBRW(Server&amp;Cube1,$F$17,$F$18,$F$19,$F$16,$C$14,$F$15,$F$14,$F$20,R$2,$N$1,$C85)</f>
        <v>0</v>
      </c>
      <c r="S85" s="185">
        <f ca="1">_xll.DBRW(Server&amp;Cube1,$F$17,$F$18,$F$19,$F$16,$C$14,$F$15,$F$14,$F$20,S$2,$N$1,$C85)</f>
        <v>0</v>
      </c>
      <c r="T85" s="185">
        <f ca="1">_xll.DBRW(Server&amp;Cube1,$F$17,$F$18,$F$19,$F$16,$C$14,$F$15,$F$14,$F$20,T$2,$N$1,$C85)</f>
        <v>0</v>
      </c>
      <c r="U85" s="185">
        <f ca="1">_xll.DBRW(Server&amp;Cube1,$F$17,$F$18,$F$19,$F$16,$C$14,$F$15,$F$14,$F$20,U$2,$N$1,$C85)</f>
        <v>0</v>
      </c>
      <c r="V85" s="185">
        <f ca="1">_xll.DBRW(Server&amp;Cube1,$F$17,$F$18,$F$19,$F$16,$C$14,$F$15,$F$14,$F$20,V$2,$N$1,$C85)</f>
        <v>0</v>
      </c>
      <c r="W85" s="185">
        <f ca="1">_xll.DBRW(Server&amp;Cube1,$F$17,$F$18,$F$19,$F$16,$C$14,$F$15,$F$14,$F$20,W$2,$N$1,$C85)</f>
        <v>0</v>
      </c>
      <c r="X85" s="185">
        <f ca="1">_xll.DBRW(Server&amp;Cube1,$F$17,$F$18,$F$19,$F$16,$C$14,$F$15,$F$14,$F$20,X$2,$N$1,$C85)</f>
        <v>0</v>
      </c>
      <c r="Y85" s="185">
        <f ca="1">_xll.DBRW(Server&amp;Cube1,$F$17,$F$18,$F$19,$F$16,$C$14,$F$15,$F$14,$F$20,Y$2,$N$1,$C85)</f>
        <v>0</v>
      </c>
      <c r="Z85" s="185">
        <f ca="1">_xll.DBRW(Server&amp;Cube1,$F$17,$F$18,$F$19,$F$16,$C$14,$F$15,$F$14,$F$20,Z$2,$N$1,$C85)</f>
        <v>0</v>
      </c>
      <c r="AA85" s="53"/>
      <c r="AB85" s="53"/>
      <c r="AC85" s="53"/>
      <c r="AD85" s="53"/>
      <c r="AE85" s="53"/>
      <c r="AF85" s="53"/>
      <c r="AG85" s="53"/>
      <c r="AH85" s="53"/>
      <c r="AI85" s="53"/>
      <c r="AJ85" s="1"/>
      <c r="AK85" s="53"/>
      <c r="AL85" s="207"/>
      <c r="AM85" s="146">
        <v>4610</v>
      </c>
      <c r="AN85" s="152" t="s">
        <v>481</v>
      </c>
      <c r="AO85" s="53"/>
      <c r="AP85" s="53"/>
      <c r="AQ85" s="53"/>
      <c r="AR85" s="53"/>
      <c r="AS85" s="53"/>
      <c r="AT85" s="53"/>
      <c r="AU85" s="53"/>
    </row>
    <row r="86" spans="1:47" ht="21" customHeight="1" x14ac:dyDescent="0.3">
      <c r="A86" s="157">
        <f ca="1">IF($AN$35="YES",1,IF(_xll.ELCOMPN(Server&amp;$C$24,C86)&lt;&gt;0,1,IF(OR(B86=$AT$35,B86="ALL"),1,0)))</f>
        <v>1</v>
      </c>
      <c r="B86" s="139" t="str">
        <f t="shared" si="0"/>
        <v>RM</v>
      </c>
      <c r="C86" s="137" t="s">
        <v>197</v>
      </c>
      <c r="D86" s="24"/>
      <c r="E86" s="219" t="str">
        <f ca="1">_xll.DBRA(Server&amp;$C$24,$C86,$F$21)</f>
        <v>Entretien et Réparation Immobilier (GR)</v>
      </c>
      <c r="F86" s="219"/>
      <c r="G86" s="219"/>
      <c r="H86" s="43"/>
      <c r="I86" s="192">
        <f ca="1">_xll.DBRW(Server&amp;Cube1,$F$17,$F$18,$F$19,$F$16,$C$14,$F$15,$F$14,$F$20,I$2,I$1,$C86)</f>
        <v>0</v>
      </c>
      <c r="J86" s="192">
        <f ca="1">_xll.DBRW(Server&amp;Cube1,$F$17,$F$18,$F$19,$F$16,$C$14,$F$15,$F$14,$F$20,J$2,J$1,$C86)</f>
        <v>0</v>
      </c>
      <c r="K86" s="183"/>
      <c r="L86" s="185">
        <f ca="1">_xll.DBRW(Server&amp;Cube1,$F$17,$F$18,$F$19,$F$16,$C$14,$F$15,$F$14,$F$20,L$2,L$1,$C86)</f>
        <v>0</v>
      </c>
      <c r="M86" s="184"/>
      <c r="N86" s="185">
        <f ca="1">_xll.DBRW(Server&amp;Cube1,$F$17,$F$18,$F$19,$F$16,$C$14,$F$15,$F$14,$F$20,N$2,$N$1,$C86)</f>
        <v>0</v>
      </c>
      <c r="O86" s="185">
        <f ca="1">_xll.DBRW(Server&amp;Cube1,$F$17,$F$18,$F$19,$F$16,$C$14,$F$15,$F$14,$F$20,O$2,$N$1,$C86)</f>
        <v>0</v>
      </c>
      <c r="P86" s="185">
        <f ca="1">_xll.DBRW(Server&amp;Cube1,$F$17,$F$18,$F$19,$F$16,$C$14,$F$15,$F$14,$F$20,P$2,$N$1,$C86)</f>
        <v>0</v>
      </c>
      <c r="Q86" s="185">
        <f ca="1">_xll.DBRW(Server&amp;Cube1,$F$17,$F$18,$F$19,$F$16,$C$14,$F$15,$F$14,$F$20,Q$2,$N$1,$C86)</f>
        <v>0</v>
      </c>
      <c r="R86" s="185">
        <f ca="1">_xll.DBRW(Server&amp;Cube1,$F$17,$F$18,$F$19,$F$16,$C$14,$F$15,$F$14,$F$20,R$2,$N$1,$C86)</f>
        <v>0</v>
      </c>
      <c r="S86" s="185">
        <f ca="1">_xll.DBRW(Server&amp;Cube1,$F$17,$F$18,$F$19,$F$16,$C$14,$F$15,$F$14,$F$20,S$2,$N$1,$C86)</f>
        <v>0</v>
      </c>
      <c r="T86" s="185">
        <f ca="1">_xll.DBRW(Server&amp;Cube1,$F$17,$F$18,$F$19,$F$16,$C$14,$F$15,$F$14,$F$20,T$2,$N$1,$C86)</f>
        <v>0</v>
      </c>
      <c r="U86" s="185">
        <f ca="1">_xll.DBRW(Server&amp;Cube1,$F$17,$F$18,$F$19,$F$16,$C$14,$F$15,$F$14,$F$20,U$2,$N$1,$C86)</f>
        <v>0</v>
      </c>
      <c r="V86" s="185">
        <f ca="1">_xll.DBRW(Server&amp;Cube1,$F$17,$F$18,$F$19,$F$16,$C$14,$F$15,$F$14,$F$20,V$2,$N$1,$C86)</f>
        <v>0</v>
      </c>
      <c r="W86" s="185">
        <f ca="1">_xll.DBRW(Server&amp;Cube1,$F$17,$F$18,$F$19,$F$16,$C$14,$F$15,$F$14,$F$20,W$2,$N$1,$C86)</f>
        <v>0</v>
      </c>
      <c r="X86" s="185">
        <f ca="1">_xll.DBRW(Server&amp;Cube1,$F$17,$F$18,$F$19,$F$16,$C$14,$F$15,$F$14,$F$20,X$2,$N$1,$C86)</f>
        <v>0</v>
      </c>
      <c r="Y86" s="185">
        <f ca="1">_xll.DBRW(Server&amp;Cube1,$F$17,$F$18,$F$19,$F$16,$C$14,$F$15,$F$14,$F$20,Y$2,$N$1,$C86)</f>
        <v>0</v>
      </c>
      <c r="Z86" s="185">
        <f ca="1">_xll.DBRW(Server&amp;Cube1,$F$17,$F$18,$F$19,$F$16,$C$14,$F$15,$F$14,$F$20,Z$2,$N$1,$C86)</f>
        <v>0</v>
      </c>
      <c r="AA86" s="53"/>
      <c r="AB86" s="53"/>
      <c r="AC86" s="53"/>
      <c r="AD86" s="53"/>
      <c r="AE86" s="53"/>
      <c r="AF86" s="53"/>
      <c r="AG86" s="53"/>
      <c r="AH86" s="53"/>
      <c r="AI86" s="53"/>
      <c r="AJ86" s="1"/>
      <c r="AK86" s="53"/>
      <c r="AL86" s="206" t="s">
        <v>482</v>
      </c>
      <c r="AM86" s="158">
        <v>4000</v>
      </c>
      <c r="AN86" s="151" t="s">
        <v>495</v>
      </c>
      <c r="AO86" s="53"/>
      <c r="AP86" s="53"/>
      <c r="AQ86" s="53"/>
      <c r="AR86" s="53"/>
      <c r="AS86" s="53"/>
      <c r="AT86" s="53"/>
      <c r="AU86" s="53"/>
    </row>
    <row r="87" spans="1:47" ht="21" customHeight="1" x14ac:dyDescent="0.3">
      <c r="A87" s="157">
        <f ca="1">IF($AN$35="YES",1,IF(_xll.ELCOMPN(Server&amp;$C$24,C87)&lt;&gt;0,1,IF(OR(B87=$AT$35,B87="ALL"),1,0)))</f>
        <v>1</v>
      </c>
      <c r="B87" s="139" t="str">
        <f t="shared" si="0"/>
        <v>PU</v>
      </c>
      <c r="C87" s="137" t="s">
        <v>198</v>
      </c>
      <c r="D87" s="24"/>
      <c r="E87" s="219" t="str">
        <f ca="1">_xll.DBRA(Server&amp;$C$24,$C87,$F$21)</f>
        <v>Entretien et Réparation Immobilier (AC)</v>
      </c>
      <c r="F87" s="219"/>
      <c r="G87" s="219"/>
      <c r="H87" s="43"/>
      <c r="I87" s="192">
        <f ca="1">_xll.DBRW(Server&amp;Cube1,$F$17,$F$18,$F$19,$F$16,$C$14,$F$15,$F$14,$F$20,I$2,I$1,$C87)</f>
        <v>0</v>
      </c>
      <c r="J87" s="192">
        <f ca="1">_xll.DBRW(Server&amp;Cube1,$F$17,$F$18,$F$19,$F$16,$C$14,$F$15,$F$14,$F$20,J$2,J$1,$C87)</f>
        <v>0</v>
      </c>
      <c r="K87" s="183"/>
      <c r="L87" s="185">
        <f ca="1">_xll.DBRW(Server&amp;Cube1,$F$17,$F$18,$F$19,$F$16,$C$14,$F$15,$F$14,$F$20,L$2,L$1,$C87)</f>
        <v>0</v>
      </c>
      <c r="M87" s="184"/>
      <c r="N87" s="185">
        <f ca="1">_xll.DBRW(Server&amp;Cube1,$F$17,$F$18,$F$19,$F$16,$C$14,$F$15,$F$14,$F$20,N$2,$N$1,$C87)</f>
        <v>0</v>
      </c>
      <c r="O87" s="185">
        <f ca="1">_xll.DBRW(Server&amp;Cube1,$F$17,$F$18,$F$19,$F$16,$C$14,$F$15,$F$14,$F$20,O$2,$N$1,$C87)</f>
        <v>0</v>
      </c>
      <c r="P87" s="185">
        <f ca="1">_xll.DBRW(Server&amp;Cube1,$F$17,$F$18,$F$19,$F$16,$C$14,$F$15,$F$14,$F$20,P$2,$N$1,$C87)</f>
        <v>0</v>
      </c>
      <c r="Q87" s="185">
        <f ca="1">_xll.DBRW(Server&amp;Cube1,$F$17,$F$18,$F$19,$F$16,$C$14,$F$15,$F$14,$F$20,Q$2,$N$1,$C87)</f>
        <v>0</v>
      </c>
      <c r="R87" s="185">
        <f ca="1">_xll.DBRW(Server&amp;Cube1,$F$17,$F$18,$F$19,$F$16,$C$14,$F$15,$F$14,$F$20,R$2,$N$1,$C87)</f>
        <v>0</v>
      </c>
      <c r="S87" s="185">
        <f ca="1">_xll.DBRW(Server&amp;Cube1,$F$17,$F$18,$F$19,$F$16,$C$14,$F$15,$F$14,$F$20,S$2,$N$1,$C87)</f>
        <v>0</v>
      </c>
      <c r="T87" s="185">
        <f ca="1">_xll.DBRW(Server&amp;Cube1,$F$17,$F$18,$F$19,$F$16,$C$14,$F$15,$F$14,$F$20,T$2,$N$1,$C87)</f>
        <v>0</v>
      </c>
      <c r="U87" s="185">
        <f ca="1">_xll.DBRW(Server&amp;Cube1,$F$17,$F$18,$F$19,$F$16,$C$14,$F$15,$F$14,$F$20,U$2,$N$1,$C87)</f>
        <v>0</v>
      </c>
      <c r="V87" s="185">
        <f ca="1">_xll.DBRW(Server&amp;Cube1,$F$17,$F$18,$F$19,$F$16,$C$14,$F$15,$F$14,$F$20,V$2,$N$1,$C87)</f>
        <v>0</v>
      </c>
      <c r="W87" s="185">
        <f ca="1">_xll.DBRW(Server&amp;Cube1,$F$17,$F$18,$F$19,$F$16,$C$14,$F$15,$F$14,$F$20,W$2,$N$1,$C87)</f>
        <v>0</v>
      </c>
      <c r="X87" s="185">
        <f ca="1">_xll.DBRW(Server&amp;Cube1,$F$17,$F$18,$F$19,$F$16,$C$14,$F$15,$F$14,$F$20,X$2,$N$1,$C87)</f>
        <v>0</v>
      </c>
      <c r="Y87" s="185">
        <f ca="1">_xll.DBRW(Server&amp;Cube1,$F$17,$F$18,$F$19,$F$16,$C$14,$F$15,$F$14,$F$20,Y$2,$N$1,$C87)</f>
        <v>0</v>
      </c>
      <c r="Z87" s="185">
        <f ca="1">_xll.DBRW(Server&amp;Cube1,$F$17,$F$18,$F$19,$F$16,$C$14,$F$15,$F$14,$F$20,Z$2,$N$1,$C87)</f>
        <v>0</v>
      </c>
      <c r="AA87" s="53"/>
      <c r="AB87" s="53"/>
      <c r="AC87" s="53"/>
      <c r="AD87" s="53"/>
      <c r="AE87" s="53"/>
      <c r="AF87" s="53"/>
      <c r="AG87" s="53"/>
      <c r="AH87" s="53"/>
      <c r="AI87" s="53"/>
      <c r="AJ87" s="1"/>
      <c r="AK87" s="53"/>
      <c r="AL87" s="208"/>
      <c r="AM87" s="159">
        <v>4010</v>
      </c>
      <c r="AN87" s="150" t="s">
        <v>495</v>
      </c>
      <c r="AO87" s="53"/>
      <c r="AP87" s="53"/>
      <c r="AQ87" s="53"/>
      <c r="AR87" s="53"/>
      <c r="AS87" s="53"/>
      <c r="AT87" s="53"/>
      <c r="AU87" s="53"/>
    </row>
    <row r="88" spans="1:47" ht="21" customHeight="1" x14ac:dyDescent="0.3">
      <c r="A88" s="157">
        <f ca="1">IF($AN$35="YES",1,IF(_xll.ELCOMPN(Server&amp;$C$24,C88)&lt;&gt;0,1,IF(OR(B88=$AT$35,B88="ALL"),1,0)))</f>
        <v>1</v>
      </c>
      <c r="B88" s="139" t="str">
        <f t="shared" si="0"/>
        <v>CO</v>
      </c>
      <c r="C88" s="137" t="s">
        <v>199</v>
      </c>
      <c r="D88" s="24"/>
      <c r="E88" s="219" t="str">
        <f ca="1">_xll.DBRA(Server&amp;$C$24,$C88,$F$21)</f>
        <v>Entretien et Réparation Immobilier (CO)</v>
      </c>
      <c r="F88" s="219"/>
      <c r="G88" s="219"/>
      <c r="H88" s="43"/>
      <c r="I88" s="192">
        <f ca="1">_xll.DBRW(Server&amp;Cube1,$F$17,$F$18,$F$19,$F$16,$C$14,$F$15,$F$14,$F$20,I$2,I$1,$C88)</f>
        <v>0</v>
      </c>
      <c r="J88" s="192">
        <f ca="1">_xll.DBRW(Server&amp;Cube1,$F$17,$F$18,$F$19,$F$16,$C$14,$F$15,$F$14,$F$20,J$2,J$1,$C88)</f>
        <v>0</v>
      </c>
      <c r="K88" s="183"/>
      <c r="L88" s="185">
        <f ca="1">_xll.DBRW(Server&amp;Cube1,$F$17,$F$18,$F$19,$F$16,$C$14,$F$15,$F$14,$F$20,L$2,L$1,$C88)</f>
        <v>0</v>
      </c>
      <c r="M88" s="184"/>
      <c r="N88" s="185">
        <f ca="1">_xll.DBRW(Server&amp;Cube1,$F$17,$F$18,$F$19,$F$16,$C$14,$F$15,$F$14,$F$20,N$2,$N$1,$C88)</f>
        <v>0</v>
      </c>
      <c r="O88" s="185">
        <f ca="1">_xll.DBRW(Server&amp;Cube1,$F$17,$F$18,$F$19,$F$16,$C$14,$F$15,$F$14,$F$20,O$2,$N$1,$C88)</f>
        <v>0</v>
      </c>
      <c r="P88" s="185">
        <f ca="1">_xll.DBRW(Server&amp;Cube1,$F$17,$F$18,$F$19,$F$16,$C$14,$F$15,$F$14,$F$20,P$2,$N$1,$C88)</f>
        <v>0</v>
      </c>
      <c r="Q88" s="185">
        <f ca="1">_xll.DBRW(Server&amp;Cube1,$F$17,$F$18,$F$19,$F$16,$C$14,$F$15,$F$14,$F$20,Q$2,$N$1,$C88)</f>
        <v>0</v>
      </c>
      <c r="R88" s="185">
        <f ca="1">_xll.DBRW(Server&amp;Cube1,$F$17,$F$18,$F$19,$F$16,$C$14,$F$15,$F$14,$F$20,R$2,$N$1,$C88)</f>
        <v>0</v>
      </c>
      <c r="S88" s="185">
        <f ca="1">_xll.DBRW(Server&amp;Cube1,$F$17,$F$18,$F$19,$F$16,$C$14,$F$15,$F$14,$F$20,S$2,$N$1,$C88)</f>
        <v>0</v>
      </c>
      <c r="T88" s="185">
        <f ca="1">_xll.DBRW(Server&amp;Cube1,$F$17,$F$18,$F$19,$F$16,$C$14,$F$15,$F$14,$F$20,T$2,$N$1,$C88)</f>
        <v>0</v>
      </c>
      <c r="U88" s="185">
        <f ca="1">_xll.DBRW(Server&amp;Cube1,$F$17,$F$18,$F$19,$F$16,$C$14,$F$15,$F$14,$F$20,U$2,$N$1,$C88)</f>
        <v>0</v>
      </c>
      <c r="V88" s="185">
        <f ca="1">_xll.DBRW(Server&amp;Cube1,$F$17,$F$18,$F$19,$F$16,$C$14,$F$15,$F$14,$F$20,V$2,$N$1,$C88)</f>
        <v>0</v>
      </c>
      <c r="W88" s="185">
        <f ca="1">_xll.DBRW(Server&amp;Cube1,$F$17,$F$18,$F$19,$F$16,$C$14,$F$15,$F$14,$F$20,W$2,$N$1,$C88)</f>
        <v>0</v>
      </c>
      <c r="X88" s="185">
        <f ca="1">_xll.DBRW(Server&amp;Cube1,$F$17,$F$18,$F$19,$F$16,$C$14,$F$15,$F$14,$F$20,X$2,$N$1,$C88)</f>
        <v>0</v>
      </c>
      <c r="Y88" s="185">
        <f ca="1">_xll.DBRW(Server&amp;Cube1,$F$17,$F$18,$F$19,$F$16,$C$14,$F$15,$F$14,$F$20,Y$2,$N$1,$C88)</f>
        <v>0</v>
      </c>
      <c r="Z88" s="185">
        <f ca="1">_xll.DBRW(Server&amp;Cube1,$F$17,$F$18,$F$19,$F$16,$C$14,$F$15,$F$14,$F$20,Z$2,$N$1,$C88)</f>
        <v>0</v>
      </c>
      <c r="AA88" s="53"/>
      <c r="AB88" s="53"/>
      <c r="AC88" s="53"/>
      <c r="AD88" s="53"/>
      <c r="AE88" s="53"/>
      <c r="AF88" s="53"/>
      <c r="AG88" s="53"/>
      <c r="AH88" s="53"/>
      <c r="AI88" s="53"/>
      <c r="AJ88" s="1"/>
      <c r="AK88" s="53"/>
      <c r="AL88" s="208"/>
      <c r="AM88" s="159">
        <v>4300</v>
      </c>
      <c r="AN88" s="150" t="s">
        <v>495</v>
      </c>
      <c r="AO88" s="53"/>
      <c r="AP88" s="53"/>
      <c r="AQ88" s="53"/>
      <c r="AR88" s="53"/>
      <c r="AS88" s="53"/>
      <c r="AT88" s="53"/>
      <c r="AU88" s="53"/>
    </row>
    <row r="89" spans="1:47" ht="21" customHeight="1" x14ac:dyDescent="0.3">
      <c r="A89" s="157">
        <f ca="1">IF($AN$35="YES",1,IF(_xll.ELCOMPN(Server&amp;$C$24,C89)&lt;&gt;0,1,IF(OR(B89=$AT$35,B89="ALL"),1,0)))</f>
        <v>1</v>
      </c>
      <c r="B89" s="139" t="str">
        <f t="shared" si="0"/>
        <v>GS</v>
      </c>
      <c r="C89" s="137" t="s">
        <v>200</v>
      </c>
      <c r="D89" s="24"/>
      <c r="E89" s="219" t="str">
        <f ca="1">_xll.DBRA(Server&amp;$C$24,$C89,$F$21)</f>
        <v>Entretien et Réparation Immobilier (SG)</v>
      </c>
      <c r="F89" s="219"/>
      <c r="G89" s="219"/>
      <c r="H89" s="43"/>
      <c r="I89" s="192">
        <f ca="1">_xll.DBRW(Server&amp;Cube1,$F$17,$F$18,$F$19,$F$16,$C$14,$F$15,$F$14,$F$20,I$2,I$1,$C89)</f>
        <v>0</v>
      </c>
      <c r="J89" s="192">
        <f ca="1">_xll.DBRW(Server&amp;Cube1,$F$17,$F$18,$F$19,$F$16,$C$14,$F$15,$F$14,$F$20,J$2,J$1,$C89)</f>
        <v>0</v>
      </c>
      <c r="K89" s="183"/>
      <c r="L89" s="185">
        <f ca="1">_xll.DBRW(Server&amp;Cube1,$F$17,$F$18,$F$19,$F$16,$C$14,$F$15,$F$14,$F$20,L$2,L$1,$C89)</f>
        <v>0</v>
      </c>
      <c r="M89" s="184"/>
      <c r="N89" s="185">
        <f ca="1">_xll.DBRW(Server&amp;Cube1,$F$17,$F$18,$F$19,$F$16,$C$14,$F$15,$F$14,$F$20,N$2,$N$1,$C89)</f>
        <v>0</v>
      </c>
      <c r="O89" s="185">
        <f ca="1">_xll.DBRW(Server&amp;Cube1,$F$17,$F$18,$F$19,$F$16,$C$14,$F$15,$F$14,$F$20,O$2,$N$1,$C89)</f>
        <v>0</v>
      </c>
      <c r="P89" s="185">
        <f ca="1">_xll.DBRW(Server&amp;Cube1,$F$17,$F$18,$F$19,$F$16,$C$14,$F$15,$F$14,$F$20,P$2,$N$1,$C89)</f>
        <v>0</v>
      </c>
      <c r="Q89" s="185">
        <f ca="1">_xll.DBRW(Server&amp;Cube1,$F$17,$F$18,$F$19,$F$16,$C$14,$F$15,$F$14,$F$20,Q$2,$N$1,$C89)</f>
        <v>0</v>
      </c>
      <c r="R89" s="185">
        <f ca="1">_xll.DBRW(Server&amp;Cube1,$F$17,$F$18,$F$19,$F$16,$C$14,$F$15,$F$14,$F$20,R$2,$N$1,$C89)</f>
        <v>0</v>
      </c>
      <c r="S89" s="185">
        <f ca="1">_xll.DBRW(Server&amp;Cube1,$F$17,$F$18,$F$19,$F$16,$C$14,$F$15,$F$14,$F$20,S$2,$N$1,$C89)</f>
        <v>0</v>
      </c>
      <c r="T89" s="185">
        <f ca="1">_xll.DBRW(Server&amp;Cube1,$F$17,$F$18,$F$19,$F$16,$C$14,$F$15,$F$14,$F$20,T$2,$N$1,$C89)</f>
        <v>0</v>
      </c>
      <c r="U89" s="185">
        <f ca="1">_xll.DBRW(Server&amp;Cube1,$F$17,$F$18,$F$19,$F$16,$C$14,$F$15,$F$14,$F$20,U$2,$N$1,$C89)</f>
        <v>0</v>
      </c>
      <c r="V89" s="185">
        <f ca="1">_xll.DBRW(Server&amp;Cube1,$F$17,$F$18,$F$19,$F$16,$C$14,$F$15,$F$14,$F$20,V$2,$N$1,$C89)</f>
        <v>0</v>
      </c>
      <c r="W89" s="185">
        <f ca="1">_xll.DBRW(Server&amp;Cube1,$F$17,$F$18,$F$19,$F$16,$C$14,$F$15,$F$14,$F$20,W$2,$N$1,$C89)</f>
        <v>0</v>
      </c>
      <c r="X89" s="185">
        <f ca="1">_xll.DBRW(Server&amp;Cube1,$F$17,$F$18,$F$19,$F$16,$C$14,$F$15,$F$14,$F$20,X$2,$N$1,$C89)</f>
        <v>0</v>
      </c>
      <c r="Y89" s="185">
        <f ca="1">_xll.DBRW(Server&amp;Cube1,$F$17,$F$18,$F$19,$F$16,$C$14,$F$15,$F$14,$F$20,Y$2,$N$1,$C89)</f>
        <v>0</v>
      </c>
      <c r="Z89" s="185">
        <f ca="1">_xll.DBRW(Server&amp;Cube1,$F$17,$F$18,$F$19,$F$16,$C$14,$F$15,$F$14,$F$20,Z$2,$N$1,$C89)</f>
        <v>0</v>
      </c>
      <c r="AA89" s="53"/>
      <c r="AB89" s="53"/>
      <c r="AC89" s="53"/>
      <c r="AD89" s="53"/>
      <c r="AE89" s="53"/>
      <c r="AF89" s="53"/>
      <c r="AG89" s="53"/>
      <c r="AH89" s="53"/>
      <c r="AI89" s="53"/>
      <c r="AJ89" s="1"/>
      <c r="AK89" s="53"/>
      <c r="AL89" s="208"/>
      <c r="AM89" s="159">
        <v>4800</v>
      </c>
      <c r="AN89" s="150" t="s">
        <v>495</v>
      </c>
      <c r="AO89" s="53"/>
      <c r="AP89" s="53"/>
      <c r="AQ89" s="53"/>
      <c r="AR89" s="53"/>
      <c r="AS89" s="53"/>
      <c r="AT89" s="53"/>
      <c r="AU89" s="53"/>
    </row>
    <row r="90" spans="1:47" ht="21" customHeight="1" x14ac:dyDescent="0.3">
      <c r="A90" s="157">
        <f ca="1">IF($AN$35="YES",1,IF(_xll.ELCOMPN(Server&amp;$C$24,C90)&lt;&gt;0,1,IF(OR(B90=$AT$35,B90="ALL"),1,0)))</f>
        <v>1</v>
      </c>
      <c r="B90" s="139" t="str">
        <f t="shared" si="0"/>
        <v>RD</v>
      </c>
      <c r="C90" s="137" t="s">
        <v>201</v>
      </c>
      <c r="D90" s="24"/>
      <c r="E90" s="219" t="str">
        <f ca="1">_xll.DBRA(Server&amp;$C$24,$C90,$F$21)</f>
        <v>Entretien et Réparation Immobilier (RD)</v>
      </c>
      <c r="F90" s="219"/>
      <c r="G90" s="219"/>
      <c r="H90" s="43"/>
      <c r="I90" s="192">
        <f ca="1">_xll.DBRW(Server&amp;Cube1,$F$17,$F$18,$F$19,$F$16,$C$14,$F$15,$F$14,$F$20,I$2,I$1,$C90)</f>
        <v>0</v>
      </c>
      <c r="J90" s="192">
        <f ca="1">_xll.DBRW(Server&amp;Cube1,$F$17,$F$18,$F$19,$F$16,$C$14,$F$15,$F$14,$F$20,J$2,J$1,$C90)</f>
        <v>0</v>
      </c>
      <c r="K90" s="183"/>
      <c r="L90" s="185">
        <f ca="1">_xll.DBRW(Server&amp;Cube1,$F$17,$F$18,$F$19,$F$16,$C$14,$F$15,$F$14,$F$20,L$2,L$1,$C90)</f>
        <v>0</v>
      </c>
      <c r="M90" s="184"/>
      <c r="N90" s="185">
        <f ca="1">_xll.DBRW(Server&amp;Cube1,$F$17,$F$18,$F$19,$F$16,$C$14,$F$15,$F$14,$F$20,N$2,$N$1,$C90)</f>
        <v>0</v>
      </c>
      <c r="O90" s="185">
        <f ca="1">_xll.DBRW(Server&amp;Cube1,$F$17,$F$18,$F$19,$F$16,$C$14,$F$15,$F$14,$F$20,O$2,$N$1,$C90)</f>
        <v>0</v>
      </c>
      <c r="P90" s="185">
        <f ca="1">_xll.DBRW(Server&amp;Cube1,$F$17,$F$18,$F$19,$F$16,$C$14,$F$15,$F$14,$F$20,P$2,$N$1,$C90)</f>
        <v>0</v>
      </c>
      <c r="Q90" s="185">
        <f ca="1">_xll.DBRW(Server&amp;Cube1,$F$17,$F$18,$F$19,$F$16,$C$14,$F$15,$F$14,$F$20,Q$2,$N$1,$C90)</f>
        <v>0</v>
      </c>
      <c r="R90" s="185">
        <f ca="1">_xll.DBRW(Server&amp;Cube1,$F$17,$F$18,$F$19,$F$16,$C$14,$F$15,$F$14,$F$20,R$2,$N$1,$C90)</f>
        <v>0</v>
      </c>
      <c r="S90" s="185">
        <f ca="1">_xll.DBRW(Server&amp;Cube1,$F$17,$F$18,$F$19,$F$16,$C$14,$F$15,$F$14,$F$20,S$2,$N$1,$C90)</f>
        <v>0</v>
      </c>
      <c r="T90" s="185">
        <f ca="1">_xll.DBRW(Server&amp;Cube1,$F$17,$F$18,$F$19,$F$16,$C$14,$F$15,$F$14,$F$20,T$2,$N$1,$C90)</f>
        <v>0</v>
      </c>
      <c r="U90" s="185">
        <f ca="1">_xll.DBRW(Server&amp;Cube1,$F$17,$F$18,$F$19,$F$16,$C$14,$F$15,$F$14,$F$20,U$2,$N$1,$C90)</f>
        <v>0</v>
      </c>
      <c r="V90" s="185">
        <f ca="1">_xll.DBRW(Server&amp;Cube1,$F$17,$F$18,$F$19,$F$16,$C$14,$F$15,$F$14,$F$20,V$2,$N$1,$C90)</f>
        <v>0</v>
      </c>
      <c r="W90" s="185">
        <f ca="1">_xll.DBRW(Server&amp;Cube1,$F$17,$F$18,$F$19,$F$16,$C$14,$F$15,$F$14,$F$20,W$2,$N$1,$C90)</f>
        <v>0</v>
      </c>
      <c r="X90" s="185">
        <f ca="1">_xll.DBRW(Server&amp;Cube1,$F$17,$F$18,$F$19,$F$16,$C$14,$F$15,$F$14,$F$20,X$2,$N$1,$C90)</f>
        <v>0</v>
      </c>
      <c r="Y90" s="185">
        <f ca="1">_xll.DBRW(Server&amp;Cube1,$F$17,$F$18,$F$19,$F$16,$C$14,$F$15,$F$14,$F$20,Y$2,$N$1,$C90)</f>
        <v>0</v>
      </c>
      <c r="Z90" s="185">
        <f ca="1">_xll.DBRW(Server&amp;Cube1,$F$17,$F$18,$F$19,$F$16,$C$14,$F$15,$F$14,$F$20,Z$2,$N$1,$C90)</f>
        <v>0</v>
      </c>
      <c r="AA90" s="53"/>
      <c r="AB90" s="53"/>
      <c r="AC90" s="53"/>
      <c r="AD90" s="53"/>
      <c r="AE90" s="53"/>
      <c r="AF90" s="53"/>
      <c r="AG90" s="53"/>
      <c r="AH90" s="53"/>
      <c r="AI90" s="53"/>
      <c r="AJ90" s="1"/>
      <c r="AK90" s="53"/>
      <c r="AL90" s="208"/>
      <c r="AM90" s="159">
        <v>4900</v>
      </c>
      <c r="AN90" s="150" t="s">
        <v>495</v>
      </c>
      <c r="AO90" s="53"/>
      <c r="AP90" s="53"/>
      <c r="AQ90" s="53"/>
      <c r="AR90" s="53"/>
      <c r="AS90" s="53"/>
      <c r="AT90" s="53"/>
      <c r="AU90" s="53"/>
    </row>
    <row r="91" spans="1:47" ht="20.25" collapsed="1" thickBot="1" x14ac:dyDescent="0.35">
      <c r="A91" s="157">
        <f ca="1">IF($AN$35="YES",1,IF(_xll.ELCOMPN(Server&amp;$C$24,C91)&lt;&gt;0,1,IF(OR(B91=$AT$35,B91="ALL"),1,0)))</f>
        <v>1</v>
      </c>
      <c r="B91" s="139" t="str">
        <f t="shared" si="0"/>
        <v>po</v>
      </c>
      <c r="C91" s="111" t="s">
        <v>90</v>
      </c>
      <c r="D91" s="24"/>
      <c r="E91" s="221" t="str">
        <f ca="1">_xll.DBRA(Server&amp;$C$24,$C91,$F$21)</f>
        <v>Frais postaux</v>
      </c>
      <c r="F91" s="221"/>
      <c r="G91" s="221"/>
      <c r="H91" s="43"/>
      <c r="I91" s="192">
        <f ca="1">_xll.DBRW(Server&amp;Cube1,$F$17,$F$18,$F$19,$F$16,$C$14,$F$15,$F$14,$F$20,I$2,I$1,$C91)</f>
        <v>0</v>
      </c>
      <c r="J91" s="192">
        <f ca="1">_xll.DBRW(Server&amp;Cube1,$F$17,$F$18,$F$19,$F$16,$C$14,$F$15,$F$14,$F$20,J$2,J$1,$C91)</f>
        <v>0</v>
      </c>
      <c r="K91" s="183"/>
      <c r="L91" s="181">
        <f ca="1">_xll.DBRW(Server&amp;Cube1,$F$17,$F$18,$F$19,$F$16,$C$14,$F$15,$F$14,$F$20,L$2,L$1,$C91)</f>
        <v>0</v>
      </c>
      <c r="M91" s="181"/>
      <c r="N91" s="181">
        <f ca="1">_xll.DBRW(Server&amp;Cube1,$F$17,$F$18,$F$19,$F$16,$C$14,$F$15,$F$14,$F$20,N$2,$N$1,$C91)</f>
        <v>0</v>
      </c>
      <c r="O91" s="181">
        <f ca="1">_xll.DBRW(Server&amp;Cube1,$F$17,$F$18,$F$19,$F$16,$C$14,$F$15,$F$14,$F$20,O$2,$N$1,$C91)</f>
        <v>0</v>
      </c>
      <c r="P91" s="181">
        <f ca="1">_xll.DBRW(Server&amp;Cube1,$F$17,$F$18,$F$19,$F$16,$C$14,$F$15,$F$14,$F$20,P$2,$N$1,$C91)</f>
        <v>0</v>
      </c>
      <c r="Q91" s="181">
        <f ca="1">_xll.DBRW(Server&amp;Cube1,$F$17,$F$18,$F$19,$F$16,$C$14,$F$15,$F$14,$F$20,Q$2,$N$1,$C91)</f>
        <v>0</v>
      </c>
      <c r="R91" s="181">
        <f ca="1">_xll.DBRW(Server&amp;Cube1,$F$17,$F$18,$F$19,$F$16,$C$14,$F$15,$F$14,$F$20,R$2,$N$1,$C91)</f>
        <v>0</v>
      </c>
      <c r="S91" s="181">
        <f ca="1">_xll.DBRW(Server&amp;Cube1,$F$17,$F$18,$F$19,$F$16,$C$14,$F$15,$F$14,$F$20,S$2,$N$1,$C91)</f>
        <v>0</v>
      </c>
      <c r="T91" s="181">
        <f ca="1">_xll.DBRW(Server&amp;Cube1,$F$17,$F$18,$F$19,$F$16,$C$14,$F$15,$F$14,$F$20,T$2,$N$1,$C91)</f>
        <v>0</v>
      </c>
      <c r="U91" s="181">
        <f ca="1">_xll.DBRW(Server&amp;Cube1,$F$17,$F$18,$F$19,$F$16,$C$14,$F$15,$F$14,$F$20,U$2,$N$1,$C91)</f>
        <v>0</v>
      </c>
      <c r="V91" s="181">
        <f ca="1">_xll.DBRW(Server&amp;Cube1,$F$17,$F$18,$F$19,$F$16,$C$14,$F$15,$F$14,$F$20,V$2,$N$1,$C91)</f>
        <v>0</v>
      </c>
      <c r="W91" s="181">
        <f ca="1">_xll.DBRW(Server&amp;Cube1,$F$17,$F$18,$F$19,$F$16,$C$14,$F$15,$F$14,$F$20,W$2,$N$1,$C91)</f>
        <v>0</v>
      </c>
      <c r="X91" s="181">
        <f ca="1">_xll.DBRW(Server&amp;Cube1,$F$17,$F$18,$F$19,$F$16,$C$14,$F$15,$F$14,$F$20,X$2,$N$1,$C91)</f>
        <v>0</v>
      </c>
      <c r="Y91" s="181">
        <f ca="1">_xll.DBRW(Server&amp;Cube1,$F$17,$F$18,$F$19,$F$16,$C$14,$F$15,$F$14,$F$20,Y$2,$N$1,$C91)</f>
        <v>0</v>
      </c>
      <c r="Z91" s="181">
        <f ca="1">_xll.DBRW(Server&amp;Cube1,$F$17,$F$18,$F$19,$F$16,$C$14,$F$15,$F$14,$F$20,Z$2,$N$1,$C91)</f>
        <v>0</v>
      </c>
      <c r="AA91" s="53"/>
      <c r="AB91" s="53"/>
      <c r="AC91" s="53"/>
      <c r="AD91" s="53"/>
      <c r="AE91" s="53"/>
      <c r="AF91" s="53"/>
      <c r="AG91" s="53"/>
      <c r="AH91" s="53"/>
      <c r="AI91" s="53"/>
      <c r="AJ91" s="1"/>
      <c r="AK91" s="53"/>
      <c r="AL91" s="207"/>
      <c r="AM91" s="163">
        <v>660</v>
      </c>
      <c r="AN91" s="152" t="s">
        <v>495</v>
      </c>
      <c r="AO91" s="53"/>
      <c r="AP91" s="53"/>
      <c r="AQ91" s="53"/>
      <c r="AR91" s="53"/>
      <c r="AS91" s="53"/>
      <c r="AT91" s="53"/>
      <c r="AU91" s="53"/>
    </row>
    <row r="92" spans="1:47" ht="19.5" x14ac:dyDescent="0.3">
      <c r="A92" s="157">
        <f ca="1">IF($AN$35="YES",1,IF(_xll.ELCOMPN(Server&amp;$C$24,C92)&lt;&gt;0,1,IF(OR(B92=$AT$35,B92="ALL"),1,0)))</f>
        <v>1</v>
      </c>
      <c r="B92" s="139" t="str">
        <f t="shared" si="0"/>
        <v>DS</v>
      </c>
      <c r="C92" s="137" t="s">
        <v>202</v>
      </c>
      <c r="D92" s="24"/>
      <c r="E92" s="219" t="str">
        <f ca="1">_xll.DBRA(Server&amp;$C$24,$C92,$F$21)</f>
        <v>Frais postaux (SO)</v>
      </c>
      <c r="F92" s="219"/>
      <c r="G92" s="219"/>
      <c r="H92" s="43"/>
      <c r="I92" s="192">
        <f ca="1">_xll.DBRW(Server&amp;Cube1,$F$17,$F$18,$F$19,$F$16,$C$14,$F$15,$F$14,$F$20,I$2,I$1,$C92)</f>
        <v>0</v>
      </c>
      <c r="J92" s="192">
        <f ca="1">_xll.DBRW(Server&amp;Cube1,$F$17,$F$18,$F$19,$F$16,$C$14,$F$15,$F$14,$F$20,J$2,J$1,$C92)</f>
        <v>0</v>
      </c>
      <c r="K92" s="183"/>
      <c r="L92" s="185">
        <f ca="1">_xll.DBRW(Server&amp;Cube1,$F$17,$F$18,$F$19,$F$16,$C$14,$F$15,$F$14,$F$20,L$2,L$1,$C92)</f>
        <v>0</v>
      </c>
      <c r="M92" s="184"/>
      <c r="N92" s="185">
        <f ca="1">_xll.DBRW(Server&amp;Cube1,$F$17,$F$18,$F$19,$F$16,$C$14,$F$15,$F$14,$F$20,N$2,$N$1,$C92)</f>
        <v>0</v>
      </c>
      <c r="O92" s="185">
        <f ca="1">_xll.DBRW(Server&amp;Cube1,$F$17,$F$18,$F$19,$F$16,$C$14,$F$15,$F$14,$F$20,O$2,$N$1,$C92)</f>
        <v>0</v>
      </c>
      <c r="P92" s="185">
        <f ca="1">_xll.DBRW(Server&amp;Cube1,$F$17,$F$18,$F$19,$F$16,$C$14,$F$15,$F$14,$F$20,P$2,$N$1,$C92)</f>
        <v>0</v>
      </c>
      <c r="Q92" s="185">
        <f ca="1">_xll.DBRW(Server&amp;Cube1,$F$17,$F$18,$F$19,$F$16,$C$14,$F$15,$F$14,$F$20,Q$2,$N$1,$C92)</f>
        <v>0</v>
      </c>
      <c r="R92" s="185">
        <f ca="1">_xll.DBRW(Server&amp;Cube1,$F$17,$F$18,$F$19,$F$16,$C$14,$F$15,$F$14,$F$20,R$2,$N$1,$C92)</f>
        <v>0</v>
      </c>
      <c r="S92" s="185">
        <f ca="1">_xll.DBRW(Server&amp;Cube1,$F$17,$F$18,$F$19,$F$16,$C$14,$F$15,$F$14,$F$20,S$2,$N$1,$C92)</f>
        <v>0</v>
      </c>
      <c r="T92" s="185">
        <f ca="1">_xll.DBRW(Server&amp;Cube1,$F$17,$F$18,$F$19,$F$16,$C$14,$F$15,$F$14,$F$20,T$2,$N$1,$C92)</f>
        <v>0</v>
      </c>
      <c r="U92" s="185">
        <f ca="1">_xll.DBRW(Server&amp;Cube1,$F$17,$F$18,$F$19,$F$16,$C$14,$F$15,$F$14,$F$20,U$2,$N$1,$C92)</f>
        <v>0</v>
      </c>
      <c r="V92" s="185">
        <f ca="1">_xll.DBRW(Server&amp;Cube1,$F$17,$F$18,$F$19,$F$16,$C$14,$F$15,$F$14,$F$20,V$2,$N$1,$C92)</f>
        <v>0</v>
      </c>
      <c r="W92" s="185">
        <f ca="1">_xll.DBRW(Server&amp;Cube1,$F$17,$F$18,$F$19,$F$16,$C$14,$F$15,$F$14,$F$20,W$2,$N$1,$C92)</f>
        <v>0</v>
      </c>
      <c r="X92" s="185">
        <f ca="1">_xll.DBRW(Server&amp;Cube1,$F$17,$F$18,$F$19,$F$16,$C$14,$F$15,$F$14,$F$20,X$2,$N$1,$C92)</f>
        <v>0</v>
      </c>
      <c r="Y92" s="185">
        <f ca="1">_xll.DBRW(Server&amp;Cube1,$F$17,$F$18,$F$19,$F$16,$C$14,$F$15,$F$14,$F$20,Y$2,$N$1,$C92)</f>
        <v>0</v>
      </c>
      <c r="Z92" s="185">
        <f ca="1">_xll.DBRW(Server&amp;Cube1,$F$17,$F$18,$F$19,$F$16,$C$14,$F$15,$F$14,$F$20,Z$2,$N$1,$C92)</f>
        <v>0</v>
      </c>
      <c r="AA92" s="53"/>
      <c r="AB92" s="53"/>
      <c r="AC92" s="53"/>
      <c r="AD92" s="53"/>
      <c r="AE92" s="53"/>
      <c r="AF92" s="53"/>
      <c r="AG92" s="53"/>
      <c r="AH92" s="53"/>
      <c r="AI92" s="53"/>
      <c r="AJ92" s="1"/>
      <c r="AK92" s="53"/>
      <c r="AL92" s="206" t="s">
        <v>483</v>
      </c>
      <c r="AM92" s="144">
        <v>1010</v>
      </c>
      <c r="AN92" s="151" t="s">
        <v>491</v>
      </c>
      <c r="AO92" s="53"/>
      <c r="AP92" s="53"/>
      <c r="AQ92" s="53"/>
      <c r="AR92" s="53"/>
      <c r="AS92" s="53"/>
      <c r="AT92" s="53"/>
      <c r="AU92" s="53"/>
    </row>
    <row r="93" spans="1:47" ht="19.5" x14ac:dyDescent="0.3">
      <c r="A93" s="157">
        <f ca="1">IF($AN$35="YES",1,IF(_xll.ELCOMPN(Server&amp;$C$24,C93)&lt;&gt;0,1,IF(OR(B93=$AT$35,B93="ALL"),1,0)))</f>
        <v>1</v>
      </c>
      <c r="B93" s="139" t="str">
        <f t="shared" si="0"/>
        <v>BD</v>
      </c>
      <c r="C93" s="137" t="s">
        <v>203</v>
      </c>
      <c r="D93" s="24"/>
      <c r="E93" s="219" t="str">
        <f ca="1">_xll.DBRA(Server&amp;$C$24,$C93,$F$21)</f>
        <v>Frais postaux (DC)</v>
      </c>
      <c r="F93" s="219"/>
      <c r="G93" s="219"/>
      <c r="H93" s="43"/>
      <c r="I93" s="192">
        <f ca="1">_xll.DBRW(Server&amp;Cube1,$F$17,$F$18,$F$19,$F$16,$C$14,$F$15,$F$14,$F$20,I$2,I$1,$C93)</f>
        <v>0</v>
      </c>
      <c r="J93" s="192">
        <f ca="1">_xll.DBRW(Server&amp;Cube1,$F$17,$F$18,$F$19,$F$16,$C$14,$F$15,$F$14,$F$20,J$2,J$1,$C93)</f>
        <v>0</v>
      </c>
      <c r="K93" s="183"/>
      <c r="L93" s="185">
        <f ca="1">_xll.DBRW(Server&amp;Cube1,$F$17,$F$18,$F$19,$F$16,$C$14,$F$15,$F$14,$F$20,L$2,L$1,$C93)</f>
        <v>0</v>
      </c>
      <c r="M93" s="184"/>
      <c r="N93" s="185">
        <f ca="1">_xll.DBRW(Server&amp;Cube1,$F$17,$F$18,$F$19,$F$16,$C$14,$F$15,$F$14,$F$20,N$2,$N$1,$C93)</f>
        <v>0</v>
      </c>
      <c r="O93" s="185">
        <f ca="1">_xll.DBRW(Server&amp;Cube1,$F$17,$F$18,$F$19,$F$16,$C$14,$F$15,$F$14,$F$20,O$2,$N$1,$C93)</f>
        <v>0</v>
      </c>
      <c r="P93" s="185">
        <f ca="1">_xll.DBRW(Server&amp;Cube1,$F$17,$F$18,$F$19,$F$16,$C$14,$F$15,$F$14,$F$20,P$2,$N$1,$C93)</f>
        <v>0</v>
      </c>
      <c r="Q93" s="185">
        <f ca="1">_xll.DBRW(Server&amp;Cube1,$F$17,$F$18,$F$19,$F$16,$C$14,$F$15,$F$14,$F$20,Q$2,$N$1,$C93)</f>
        <v>0</v>
      </c>
      <c r="R93" s="185">
        <f ca="1">_xll.DBRW(Server&amp;Cube1,$F$17,$F$18,$F$19,$F$16,$C$14,$F$15,$F$14,$F$20,R$2,$N$1,$C93)</f>
        <v>0</v>
      </c>
      <c r="S93" s="185">
        <f ca="1">_xll.DBRW(Server&amp;Cube1,$F$17,$F$18,$F$19,$F$16,$C$14,$F$15,$F$14,$F$20,S$2,$N$1,$C93)</f>
        <v>0</v>
      </c>
      <c r="T93" s="185">
        <f ca="1">_xll.DBRW(Server&amp;Cube1,$F$17,$F$18,$F$19,$F$16,$C$14,$F$15,$F$14,$F$20,T$2,$N$1,$C93)</f>
        <v>0</v>
      </c>
      <c r="U93" s="185">
        <f ca="1">_xll.DBRW(Server&amp;Cube1,$F$17,$F$18,$F$19,$F$16,$C$14,$F$15,$F$14,$F$20,U$2,$N$1,$C93)</f>
        <v>0</v>
      </c>
      <c r="V93" s="185">
        <f ca="1">_xll.DBRW(Server&amp;Cube1,$F$17,$F$18,$F$19,$F$16,$C$14,$F$15,$F$14,$F$20,V$2,$N$1,$C93)</f>
        <v>0</v>
      </c>
      <c r="W93" s="185">
        <f ca="1">_xll.DBRW(Server&amp;Cube1,$F$17,$F$18,$F$19,$F$16,$C$14,$F$15,$F$14,$F$20,W$2,$N$1,$C93)</f>
        <v>0</v>
      </c>
      <c r="X93" s="185">
        <f ca="1">_xll.DBRW(Server&amp;Cube1,$F$17,$F$18,$F$19,$F$16,$C$14,$F$15,$F$14,$F$20,X$2,$N$1,$C93)</f>
        <v>0</v>
      </c>
      <c r="Y93" s="185">
        <f ca="1">_xll.DBRW(Server&amp;Cube1,$F$17,$F$18,$F$19,$F$16,$C$14,$F$15,$F$14,$F$20,Y$2,$N$1,$C93)</f>
        <v>0</v>
      </c>
      <c r="Z93" s="185">
        <f ca="1">_xll.DBRW(Server&amp;Cube1,$F$17,$F$18,$F$19,$F$16,$C$14,$F$15,$F$14,$F$20,Z$2,$N$1,$C93)</f>
        <v>0</v>
      </c>
      <c r="AA93" s="53"/>
      <c r="AB93" s="53"/>
      <c r="AC93" s="53"/>
      <c r="AD93" s="53"/>
      <c r="AE93" s="53"/>
      <c r="AF93" s="53"/>
      <c r="AG93" s="53"/>
      <c r="AH93" s="53"/>
      <c r="AI93" s="53"/>
      <c r="AJ93" s="1"/>
      <c r="AK93" s="53"/>
      <c r="AL93" s="208"/>
      <c r="AM93" s="145">
        <v>1020</v>
      </c>
      <c r="AN93" s="150" t="s">
        <v>491</v>
      </c>
      <c r="AO93" s="53"/>
      <c r="AP93" s="53"/>
      <c r="AQ93" s="53"/>
      <c r="AR93" s="53"/>
      <c r="AS93" s="53"/>
      <c r="AT93" s="53"/>
      <c r="AU93" s="53"/>
    </row>
    <row r="94" spans="1:47" ht="20.25" thickBot="1" x14ac:dyDescent="0.35">
      <c r="A94" s="157">
        <f ca="1">IF($AN$35="YES",1,IF(_xll.ELCOMPN(Server&amp;$C$24,C94)&lt;&gt;0,1,IF(OR(B94=$AT$35,B94="ALL"),1,0)))</f>
        <v>1</v>
      </c>
      <c r="B94" s="139" t="str">
        <f t="shared" si="0"/>
        <v>FI</v>
      </c>
      <c r="C94" s="137" t="s">
        <v>204</v>
      </c>
      <c r="D94" s="24"/>
      <c r="E94" s="219" t="str">
        <f ca="1">_xll.DBRA(Server&amp;$C$24,$C94,$F$21)</f>
        <v>Frais postaux (DF)</v>
      </c>
      <c r="F94" s="219"/>
      <c r="G94" s="219"/>
      <c r="H94" s="43"/>
      <c r="I94" s="192">
        <f ca="1">_xll.DBRW(Server&amp;Cube1,$F$17,$F$18,$F$19,$F$16,$C$14,$F$15,$F$14,$F$20,I$2,I$1,$C94)</f>
        <v>0</v>
      </c>
      <c r="J94" s="192">
        <f ca="1">_xll.DBRW(Server&amp;Cube1,$F$17,$F$18,$F$19,$F$16,$C$14,$F$15,$F$14,$F$20,J$2,J$1,$C94)</f>
        <v>0</v>
      </c>
      <c r="K94" s="183"/>
      <c r="L94" s="185">
        <f ca="1">_xll.DBRW(Server&amp;Cube1,$F$17,$F$18,$F$19,$F$16,$C$14,$F$15,$F$14,$F$20,L$2,L$1,$C94)</f>
        <v>0</v>
      </c>
      <c r="M94" s="184"/>
      <c r="N94" s="185">
        <f ca="1">_xll.DBRW(Server&amp;Cube1,$F$17,$F$18,$F$19,$F$16,$C$14,$F$15,$F$14,$F$20,N$2,$N$1,$C94)</f>
        <v>0</v>
      </c>
      <c r="O94" s="185">
        <f ca="1">_xll.DBRW(Server&amp;Cube1,$F$17,$F$18,$F$19,$F$16,$C$14,$F$15,$F$14,$F$20,O$2,$N$1,$C94)</f>
        <v>0</v>
      </c>
      <c r="P94" s="185">
        <f ca="1">_xll.DBRW(Server&amp;Cube1,$F$17,$F$18,$F$19,$F$16,$C$14,$F$15,$F$14,$F$20,P$2,$N$1,$C94)</f>
        <v>0</v>
      </c>
      <c r="Q94" s="185">
        <f ca="1">_xll.DBRW(Server&amp;Cube1,$F$17,$F$18,$F$19,$F$16,$C$14,$F$15,$F$14,$F$20,Q$2,$N$1,$C94)</f>
        <v>0</v>
      </c>
      <c r="R94" s="185">
        <f ca="1">_xll.DBRW(Server&amp;Cube1,$F$17,$F$18,$F$19,$F$16,$C$14,$F$15,$F$14,$F$20,R$2,$N$1,$C94)</f>
        <v>0</v>
      </c>
      <c r="S94" s="185">
        <f ca="1">_xll.DBRW(Server&amp;Cube1,$F$17,$F$18,$F$19,$F$16,$C$14,$F$15,$F$14,$F$20,S$2,$N$1,$C94)</f>
        <v>0</v>
      </c>
      <c r="T94" s="185">
        <f ca="1">_xll.DBRW(Server&amp;Cube1,$F$17,$F$18,$F$19,$F$16,$C$14,$F$15,$F$14,$F$20,T$2,$N$1,$C94)</f>
        <v>0</v>
      </c>
      <c r="U94" s="185">
        <f ca="1">_xll.DBRW(Server&amp;Cube1,$F$17,$F$18,$F$19,$F$16,$C$14,$F$15,$F$14,$F$20,U$2,$N$1,$C94)</f>
        <v>0</v>
      </c>
      <c r="V94" s="185">
        <f ca="1">_xll.DBRW(Server&amp;Cube1,$F$17,$F$18,$F$19,$F$16,$C$14,$F$15,$F$14,$F$20,V$2,$N$1,$C94)</f>
        <v>0</v>
      </c>
      <c r="W94" s="185">
        <f ca="1">_xll.DBRW(Server&amp;Cube1,$F$17,$F$18,$F$19,$F$16,$C$14,$F$15,$F$14,$F$20,W$2,$N$1,$C94)</f>
        <v>0</v>
      </c>
      <c r="X94" s="185">
        <f ca="1">_xll.DBRW(Server&amp;Cube1,$F$17,$F$18,$F$19,$F$16,$C$14,$F$15,$F$14,$F$20,X$2,$N$1,$C94)</f>
        <v>0</v>
      </c>
      <c r="Y94" s="185">
        <f ca="1">_xll.DBRW(Server&amp;Cube1,$F$17,$F$18,$F$19,$F$16,$C$14,$F$15,$F$14,$F$20,Y$2,$N$1,$C94)</f>
        <v>0</v>
      </c>
      <c r="Z94" s="185">
        <f ca="1">_xll.DBRW(Server&amp;Cube1,$F$17,$F$18,$F$19,$F$16,$C$14,$F$15,$F$14,$F$20,Z$2,$N$1,$C94)</f>
        <v>0</v>
      </c>
      <c r="AA94" s="53"/>
      <c r="AB94" s="53"/>
      <c r="AC94" s="53"/>
      <c r="AD94" s="53"/>
      <c r="AE94" s="53"/>
      <c r="AF94" s="53"/>
      <c r="AG94" s="53"/>
      <c r="AH94" s="53"/>
      <c r="AI94" s="53"/>
      <c r="AJ94" s="1"/>
      <c r="AK94" s="53"/>
      <c r="AL94" s="207"/>
      <c r="AM94" s="146">
        <v>1030</v>
      </c>
      <c r="AN94" s="152" t="s">
        <v>491</v>
      </c>
      <c r="AO94" s="53"/>
      <c r="AP94" s="53"/>
      <c r="AQ94" s="53"/>
      <c r="AR94" s="53"/>
      <c r="AS94" s="53"/>
      <c r="AT94" s="53"/>
      <c r="AU94" s="53"/>
    </row>
    <row r="95" spans="1:47" ht="19.5" x14ac:dyDescent="0.3">
      <c r="A95" s="157">
        <f ca="1">IF($AN$35="YES",1,IF(_xll.ELCOMPN(Server&amp;$C$24,C95)&lt;&gt;0,1,IF(OR(B95=$AT$35,B95="ALL"),1,0)))</f>
        <v>1</v>
      </c>
      <c r="B95" s="139" t="str">
        <f t="shared" si="0"/>
        <v>IT</v>
      </c>
      <c r="C95" s="137" t="s">
        <v>205</v>
      </c>
      <c r="D95" s="24"/>
      <c r="E95" s="219" t="str">
        <f ca="1">_xll.DBRA(Server&amp;$C$24,$C95,$F$21)</f>
        <v>Frais postaux (IT)</v>
      </c>
      <c r="F95" s="219"/>
      <c r="G95" s="219"/>
      <c r="H95" s="43"/>
      <c r="I95" s="192">
        <f ca="1">_xll.DBRW(Server&amp;Cube1,$F$17,$F$18,$F$19,$F$16,$C$14,$F$15,$F$14,$F$20,I$2,I$1,$C95)</f>
        <v>0</v>
      </c>
      <c r="J95" s="192">
        <f ca="1">_xll.DBRW(Server&amp;Cube1,$F$17,$F$18,$F$19,$F$16,$C$14,$F$15,$F$14,$F$20,J$2,J$1,$C95)</f>
        <v>0</v>
      </c>
      <c r="K95" s="183"/>
      <c r="L95" s="185">
        <f ca="1">_xll.DBRW(Server&amp;Cube1,$F$17,$F$18,$F$19,$F$16,$C$14,$F$15,$F$14,$F$20,L$2,L$1,$C95)</f>
        <v>0</v>
      </c>
      <c r="M95" s="184"/>
      <c r="N95" s="185">
        <f ca="1">_xll.DBRW(Server&amp;Cube1,$F$17,$F$18,$F$19,$F$16,$C$14,$F$15,$F$14,$F$20,N$2,$N$1,$C95)</f>
        <v>0</v>
      </c>
      <c r="O95" s="185">
        <f ca="1">_xll.DBRW(Server&amp;Cube1,$F$17,$F$18,$F$19,$F$16,$C$14,$F$15,$F$14,$F$20,O$2,$N$1,$C95)</f>
        <v>0</v>
      </c>
      <c r="P95" s="185">
        <f ca="1">_xll.DBRW(Server&amp;Cube1,$F$17,$F$18,$F$19,$F$16,$C$14,$F$15,$F$14,$F$20,P$2,$N$1,$C95)</f>
        <v>0</v>
      </c>
      <c r="Q95" s="185">
        <f ca="1">_xll.DBRW(Server&amp;Cube1,$F$17,$F$18,$F$19,$F$16,$C$14,$F$15,$F$14,$F$20,Q$2,$N$1,$C95)</f>
        <v>0</v>
      </c>
      <c r="R95" s="185">
        <f ca="1">_xll.DBRW(Server&amp;Cube1,$F$17,$F$18,$F$19,$F$16,$C$14,$F$15,$F$14,$F$20,R$2,$N$1,$C95)</f>
        <v>0</v>
      </c>
      <c r="S95" s="185">
        <f ca="1">_xll.DBRW(Server&amp;Cube1,$F$17,$F$18,$F$19,$F$16,$C$14,$F$15,$F$14,$F$20,S$2,$N$1,$C95)</f>
        <v>0</v>
      </c>
      <c r="T95" s="185">
        <f ca="1">_xll.DBRW(Server&amp;Cube1,$F$17,$F$18,$F$19,$F$16,$C$14,$F$15,$F$14,$F$20,T$2,$N$1,$C95)</f>
        <v>0</v>
      </c>
      <c r="U95" s="185">
        <f ca="1">_xll.DBRW(Server&amp;Cube1,$F$17,$F$18,$F$19,$F$16,$C$14,$F$15,$F$14,$F$20,U$2,$N$1,$C95)</f>
        <v>0</v>
      </c>
      <c r="V95" s="185">
        <f ca="1">_xll.DBRW(Server&amp;Cube1,$F$17,$F$18,$F$19,$F$16,$C$14,$F$15,$F$14,$F$20,V$2,$N$1,$C95)</f>
        <v>0</v>
      </c>
      <c r="W95" s="185">
        <f ca="1">_xll.DBRW(Server&amp;Cube1,$F$17,$F$18,$F$19,$F$16,$C$14,$F$15,$F$14,$F$20,W$2,$N$1,$C95)</f>
        <v>0</v>
      </c>
      <c r="X95" s="185">
        <f ca="1">_xll.DBRW(Server&amp;Cube1,$F$17,$F$18,$F$19,$F$16,$C$14,$F$15,$F$14,$F$20,X$2,$N$1,$C95)</f>
        <v>0</v>
      </c>
      <c r="Y95" s="185">
        <f ca="1">_xll.DBRW(Server&amp;Cube1,$F$17,$F$18,$F$19,$F$16,$C$14,$F$15,$F$14,$F$20,Y$2,$N$1,$C95)</f>
        <v>0</v>
      </c>
      <c r="Z95" s="185">
        <f ca="1">_xll.DBRW(Server&amp;Cube1,$F$17,$F$18,$F$19,$F$16,$C$14,$F$15,$F$14,$F$20,Z$2,$N$1,$C95)</f>
        <v>0</v>
      </c>
      <c r="AA95" s="53"/>
      <c r="AB95" s="53"/>
      <c r="AC95" s="53"/>
      <c r="AD95" s="53"/>
      <c r="AE95" s="53"/>
      <c r="AF95" s="53"/>
      <c r="AG95" s="53"/>
      <c r="AH95" s="53"/>
      <c r="AI95" s="53"/>
      <c r="AJ95" s="1"/>
      <c r="AK95" s="53"/>
      <c r="AL95" s="206" t="s">
        <v>488</v>
      </c>
      <c r="AM95" s="144">
        <v>400</v>
      </c>
      <c r="AN95" s="151" t="s">
        <v>488</v>
      </c>
      <c r="AO95" s="53"/>
      <c r="AP95" s="53"/>
      <c r="AQ95" s="53"/>
      <c r="AR95" s="53"/>
      <c r="AS95" s="53"/>
      <c r="AT95" s="53"/>
      <c r="AU95" s="53"/>
    </row>
    <row r="96" spans="1:47" ht="19.5" x14ac:dyDescent="0.3">
      <c r="A96" s="157">
        <f ca="1">IF($AN$35="YES",1,IF(_xll.ELCOMPN(Server&amp;$C$24,C96)&lt;&gt;0,1,IF(OR(B96=$AT$35,B96="ALL"),1,0)))</f>
        <v>1</v>
      </c>
      <c r="B96" s="139" t="str">
        <f t="shared" si="0"/>
        <v>HR</v>
      </c>
      <c r="C96" s="137" t="s">
        <v>206</v>
      </c>
      <c r="D96" s="24"/>
      <c r="E96" s="219" t="str">
        <f ca="1">_xll.DBRA(Server&amp;$C$24,$C96,$F$21)</f>
        <v>Frais postaux (RH)</v>
      </c>
      <c r="F96" s="219"/>
      <c r="G96" s="219"/>
      <c r="H96" s="43"/>
      <c r="I96" s="192">
        <f ca="1">_xll.DBRW(Server&amp;Cube1,$F$17,$F$18,$F$19,$F$16,$C$14,$F$15,$F$14,$F$20,I$2,I$1,$C96)</f>
        <v>0</v>
      </c>
      <c r="J96" s="192">
        <f ca="1">_xll.DBRW(Server&amp;Cube1,$F$17,$F$18,$F$19,$F$16,$C$14,$F$15,$F$14,$F$20,J$2,J$1,$C96)</f>
        <v>0</v>
      </c>
      <c r="K96" s="183"/>
      <c r="L96" s="185">
        <f ca="1">_xll.DBRW(Server&amp;Cube1,$F$17,$F$18,$F$19,$F$16,$C$14,$F$15,$F$14,$F$20,L$2,L$1,$C96)</f>
        <v>0</v>
      </c>
      <c r="M96" s="184"/>
      <c r="N96" s="185">
        <f ca="1">_xll.DBRW(Server&amp;Cube1,$F$17,$F$18,$F$19,$F$16,$C$14,$F$15,$F$14,$F$20,N$2,$N$1,$C96)</f>
        <v>0</v>
      </c>
      <c r="O96" s="185">
        <f ca="1">_xll.DBRW(Server&amp;Cube1,$F$17,$F$18,$F$19,$F$16,$C$14,$F$15,$F$14,$F$20,O$2,$N$1,$C96)</f>
        <v>0</v>
      </c>
      <c r="P96" s="185">
        <f ca="1">_xll.DBRW(Server&amp;Cube1,$F$17,$F$18,$F$19,$F$16,$C$14,$F$15,$F$14,$F$20,P$2,$N$1,$C96)</f>
        <v>0</v>
      </c>
      <c r="Q96" s="185">
        <f ca="1">_xll.DBRW(Server&amp;Cube1,$F$17,$F$18,$F$19,$F$16,$C$14,$F$15,$F$14,$F$20,Q$2,$N$1,$C96)</f>
        <v>0</v>
      </c>
      <c r="R96" s="185">
        <f ca="1">_xll.DBRW(Server&amp;Cube1,$F$17,$F$18,$F$19,$F$16,$C$14,$F$15,$F$14,$F$20,R$2,$N$1,$C96)</f>
        <v>0</v>
      </c>
      <c r="S96" s="185">
        <f ca="1">_xll.DBRW(Server&amp;Cube1,$F$17,$F$18,$F$19,$F$16,$C$14,$F$15,$F$14,$F$20,S$2,$N$1,$C96)</f>
        <v>0</v>
      </c>
      <c r="T96" s="185">
        <f ca="1">_xll.DBRW(Server&amp;Cube1,$F$17,$F$18,$F$19,$F$16,$C$14,$F$15,$F$14,$F$20,T$2,$N$1,$C96)</f>
        <v>0</v>
      </c>
      <c r="U96" s="185">
        <f ca="1">_xll.DBRW(Server&amp;Cube1,$F$17,$F$18,$F$19,$F$16,$C$14,$F$15,$F$14,$F$20,U$2,$N$1,$C96)</f>
        <v>0</v>
      </c>
      <c r="V96" s="185">
        <f ca="1">_xll.DBRW(Server&amp;Cube1,$F$17,$F$18,$F$19,$F$16,$C$14,$F$15,$F$14,$F$20,V$2,$N$1,$C96)</f>
        <v>0</v>
      </c>
      <c r="W96" s="185">
        <f ca="1">_xll.DBRW(Server&amp;Cube1,$F$17,$F$18,$F$19,$F$16,$C$14,$F$15,$F$14,$F$20,W$2,$N$1,$C96)</f>
        <v>0</v>
      </c>
      <c r="X96" s="185">
        <f ca="1">_xll.DBRW(Server&amp;Cube1,$F$17,$F$18,$F$19,$F$16,$C$14,$F$15,$F$14,$F$20,X$2,$N$1,$C96)</f>
        <v>0</v>
      </c>
      <c r="Y96" s="185">
        <f ca="1">_xll.DBRW(Server&amp;Cube1,$F$17,$F$18,$F$19,$F$16,$C$14,$F$15,$F$14,$F$20,Y$2,$N$1,$C96)</f>
        <v>0</v>
      </c>
      <c r="Z96" s="185">
        <f ca="1">_xll.DBRW(Server&amp;Cube1,$F$17,$F$18,$F$19,$F$16,$C$14,$F$15,$F$14,$F$20,Z$2,$N$1,$C96)</f>
        <v>0</v>
      </c>
      <c r="AA96" s="53"/>
      <c r="AB96" s="53"/>
      <c r="AC96" s="53"/>
      <c r="AD96" s="53"/>
      <c r="AE96" s="53"/>
      <c r="AF96" s="53"/>
      <c r="AG96" s="53"/>
      <c r="AH96" s="53"/>
      <c r="AI96" s="53"/>
      <c r="AJ96" s="1"/>
      <c r="AK96" s="53"/>
      <c r="AL96" s="208"/>
      <c r="AM96" s="145">
        <v>500</v>
      </c>
      <c r="AN96" s="150" t="s">
        <v>488</v>
      </c>
      <c r="AO96" s="53"/>
      <c r="AP96" s="53"/>
      <c r="AQ96" s="53"/>
      <c r="AR96" s="53"/>
      <c r="AS96" s="53"/>
      <c r="AT96" s="53"/>
      <c r="AU96" s="53"/>
    </row>
    <row r="97" spans="1:47" ht="19.5" x14ac:dyDescent="0.3">
      <c r="A97" s="157">
        <f ca="1">IF($AN$35="YES",1,IF(_xll.ELCOMPN(Server&amp;$C$24,C97)&lt;&gt;0,1,IF(OR(B97=$AT$35,B97="ALL"),1,0)))</f>
        <v>1</v>
      </c>
      <c r="B97" s="139" t="str">
        <f t="shared" si="0"/>
        <v>GM</v>
      </c>
      <c r="C97" s="137" t="s">
        <v>207</v>
      </c>
      <c r="D97" s="24"/>
      <c r="E97" s="219" t="str">
        <f ca="1">_xll.DBRA(Server&amp;$C$24,$C97,$F$21)</f>
        <v>Frais postaux (DG)</v>
      </c>
      <c r="F97" s="219"/>
      <c r="G97" s="219"/>
      <c r="H97" s="43"/>
      <c r="I97" s="192">
        <f ca="1">_xll.DBRW(Server&amp;Cube1,$F$17,$F$18,$F$19,$F$16,$C$14,$F$15,$F$14,$F$20,I$2,I$1,$C97)</f>
        <v>0</v>
      </c>
      <c r="J97" s="192">
        <f ca="1">_xll.DBRW(Server&amp;Cube1,$F$17,$F$18,$F$19,$F$16,$C$14,$F$15,$F$14,$F$20,J$2,J$1,$C97)</f>
        <v>0</v>
      </c>
      <c r="K97" s="183"/>
      <c r="L97" s="185">
        <f ca="1">_xll.DBRW(Server&amp;Cube1,$F$17,$F$18,$F$19,$F$16,$C$14,$F$15,$F$14,$F$20,L$2,L$1,$C97)</f>
        <v>0</v>
      </c>
      <c r="M97" s="184"/>
      <c r="N97" s="185">
        <f ca="1">_xll.DBRW(Server&amp;Cube1,$F$17,$F$18,$F$19,$F$16,$C$14,$F$15,$F$14,$F$20,N$2,$N$1,$C97)</f>
        <v>0</v>
      </c>
      <c r="O97" s="185">
        <f ca="1">_xll.DBRW(Server&amp;Cube1,$F$17,$F$18,$F$19,$F$16,$C$14,$F$15,$F$14,$F$20,O$2,$N$1,$C97)</f>
        <v>0</v>
      </c>
      <c r="P97" s="185">
        <f ca="1">_xll.DBRW(Server&amp;Cube1,$F$17,$F$18,$F$19,$F$16,$C$14,$F$15,$F$14,$F$20,P$2,$N$1,$C97)</f>
        <v>0</v>
      </c>
      <c r="Q97" s="185">
        <f ca="1">_xll.DBRW(Server&amp;Cube1,$F$17,$F$18,$F$19,$F$16,$C$14,$F$15,$F$14,$F$20,Q$2,$N$1,$C97)</f>
        <v>0</v>
      </c>
      <c r="R97" s="185">
        <f ca="1">_xll.DBRW(Server&amp;Cube1,$F$17,$F$18,$F$19,$F$16,$C$14,$F$15,$F$14,$F$20,R$2,$N$1,$C97)</f>
        <v>0</v>
      </c>
      <c r="S97" s="185">
        <f ca="1">_xll.DBRW(Server&amp;Cube1,$F$17,$F$18,$F$19,$F$16,$C$14,$F$15,$F$14,$F$20,S$2,$N$1,$C97)</f>
        <v>0</v>
      </c>
      <c r="T97" s="185">
        <f ca="1">_xll.DBRW(Server&amp;Cube1,$F$17,$F$18,$F$19,$F$16,$C$14,$F$15,$F$14,$F$20,T$2,$N$1,$C97)</f>
        <v>0</v>
      </c>
      <c r="U97" s="185">
        <f ca="1">_xll.DBRW(Server&amp;Cube1,$F$17,$F$18,$F$19,$F$16,$C$14,$F$15,$F$14,$F$20,U$2,$N$1,$C97)</f>
        <v>0</v>
      </c>
      <c r="V97" s="185">
        <f ca="1">_xll.DBRW(Server&amp;Cube1,$F$17,$F$18,$F$19,$F$16,$C$14,$F$15,$F$14,$F$20,V$2,$N$1,$C97)</f>
        <v>0</v>
      </c>
      <c r="W97" s="185">
        <f ca="1">_xll.DBRW(Server&amp;Cube1,$F$17,$F$18,$F$19,$F$16,$C$14,$F$15,$F$14,$F$20,W$2,$N$1,$C97)</f>
        <v>0</v>
      </c>
      <c r="X97" s="185">
        <f ca="1">_xll.DBRW(Server&amp;Cube1,$F$17,$F$18,$F$19,$F$16,$C$14,$F$15,$F$14,$F$20,X$2,$N$1,$C97)</f>
        <v>0</v>
      </c>
      <c r="Y97" s="185">
        <f ca="1">_xll.DBRW(Server&amp;Cube1,$F$17,$F$18,$F$19,$F$16,$C$14,$F$15,$F$14,$F$20,Y$2,$N$1,$C97)</f>
        <v>0</v>
      </c>
      <c r="Z97" s="185">
        <f ca="1">_xll.DBRW(Server&amp;Cube1,$F$17,$F$18,$F$19,$F$16,$C$14,$F$15,$F$14,$F$20,Z$2,$N$1,$C97)</f>
        <v>0</v>
      </c>
      <c r="AA97" s="53"/>
      <c r="AB97" s="53"/>
      <c r="AC97" s="53"/>
      <c r="AD97" s="53"/>
      <c r="AE97" s="53"/>
      <c r="AF97" s="53"/>
      <c r="AG97" s="53"/>
      <c r="AH97" s="53"/>
      <c r="AI97" s="53"/>
      <c r="AJ97" s="1"/>
      <c r="AK97" s="53"/>
      <c r="AL97" s="208"/>
      <c r="AM97" s="145">
        <v>800</v>
      </c>
      <c r="AN97" s="150" t="s">
        <v>488</v>
      </c>
      <c r="AO97" s="53"/>
      <c r="AP97" s="53"/>
      <c r="AQ97" s="53"/>
      <c r="AR97" s="53"/>
      <c r="AS97" s="53"/>
      <c r="AT97" s="53"/>
      <c r="AU97" s="53"/>
    </row>
    <row r="98" spans="1:47" ht="20.25" thickBot="1" x14ac:dyDescent="0.35">
      <c r="A98" s="157">
        <f ca="1">IF($AN$35="YES",1,IF(_xll.ELCOMPN(Server&amp;$C$24,C98)&lt;&gt;0,1,IF(OR(B98=$AT$35,B98="ALL"),1,0)))</f>
        <v>1</v>
      </c>
      <c r="B98" s="139" t="str">
        <f t="shared" si="0"/>
        <v>IA</v>
      </c>
      <c r="C98" s="137" t="s">
        <v>208</v>
      </c>
      <c r="D98" s="24"/>
      <c r="E98" s="219" t="str">
        <f ca="1">_xll.DBRA(Server&amp;$C$24,$C98,$F$21)</f>
        <v>Frais postaux (AI)</v>
      </c>
      <c r="F98" s="219"/>
      <c r="G98" s="219"/>
      <c r="H98" s="43"/>
      <c r="I98" s="192">
        <f ca="1">_xll.DBRW(Server&amp;Cube1,$F$17,$F$18,$F$19,$F$16,$C$14,$F$15,$F$14,$F$20,I$2,I$1,$C98)</f>
        <v>0</v>
      </c>
      <c r="J98" s="192">
        <f ca="1">_xll.DBRW(Server&amp;Cube1,$F$17,$F$18,$F$19,$F$16,$C$14,$F$15,$F$14,$F$20,J$2,J$1,$C98)</f>
        <v>0</v>
      </c>
      <c r="K98" s="183"/>
      <c r="L98" s="185">
        <f ca="1">_xll.DBRW(Server&amp;Cube1,$F$17,$F$18,$F$19,$F$16,$C$14,$F$15,$F$14,$F$20,L$2,L$1,$C98)</f>
        <v>0</v>
      </c>
      <c r="M98" s="184"/>
      <c r="N98" s="185">
        <f ca="1">_xll.DBRW(Server&amp;Cube1,$F$17,$F$18,$F$19,$F$16,$C$14,$F$15,$F$14,$F$20,N$2,$N$1,$C98)</f>
        <v>0</v>
      </c>
      <c r="O98" s="185">
        <f ca="1">_xll.DBRW(Server&amp;Cube1,$F$17,$F$18,$F$19,$F$16,$C$14,$F$15,$F$14,$F$20,O$2,$N$1,$C98)</f>
        <v>0</v>
      </c>
      <c r="P98" s="185">
        <f ca="1">_xll.DBRW(Server&amp;Cube1,$F$17,$F$18,$F$19,$F$16,$C$14,$F$15,$F$14,$F$20,P$2,$N$1,$C98)</f>
        <v>0</v>
      </c>
      <c r="Q98" s="185">
        <f ca="1">_xll.DBRW(Server&amp;Cube1,$F$17,$F$18,$F$19,$F$16,$C$14,$F$15,$F$14,$F$20,Q$2,$N$1,$C98)</f>
        <v>0</v>
      </c>
      <c r="R98" s="185">
        <f ca="1">_xll.DBRW(Server&amp;Cube1,$F$17,$F$18,$F$19,$F$16,$C$14,$F$15,$F$14,$F$20,R$2,$N$1,$C98)</f>
        <v>0</v>
      </c>
      <c r="S98" s="185">
        <f ca="1">_xll.DBRW(Server&amp;Cube1,$F$17,$F$18,$F$19,$F$16,$C$14,$F$15,$F$14,$F$20,S$2,$N$1,$C98)</f>
        <v>0</v>
      </c>
      <c r="T98" s="185">
        <f ca="1">_xll.DBRW(Server&amp;Cube1,$F$17,$F$18,$F$19,$F$16,$C$14,$F$15,$F$14,$F$20,T$2,$N$1,$C98)</f>
        <v>0</v>
      </c>
      <c r="U98" s="185">
        <f ca="1">_xll.DBRW(Server&amp;Cube1,$F$17,$F$18,$F$19,$F$16,$C$14,$F$15,$F$14,$F$20,U$2,$N$1,$C98)</f>
        <v>0</v>
      </c>
      <c r="V98" s="185">
        <f ca="1">_xll.DBRW(Server&amp;Cube1,$F$17,$F$18,$F$19,$F$16,$C$14,$F$15,$F$14,$F$20,V$2,$N$1,$C98)</f>
        <v>0</v>
      </c>
      <c r="W98" s="185">
        <f ca="1">_xll.DBRW(Server&amp;Cube1,$F$17,$F$18,$F$19,$F$16,$C$14,$F$15,$F$14,$F$20,W$2,$N$1,$C98)</f>
        <v>0</v>
      </c>
      <c r="X98" s="185">
        <f ca="1">_xll.DBRW(Server&amp;Cube1,$F$17,$F$18,$F$19,$F$16,$C$14,$F$15,$F$14,$F$20,X$2,$N$1,$C98)</f>
        <v>0</v>
      </c>
      <c r="Y98" s="185">
        <f ca="1">_xll.DBRW(Server&amp;Cube1,$F$17,$F$18,$F$19,$F$16,$C$14,$F$15,$F$14,$F$20,Y$2,$N$1,$C98)</f>
        <v>0</v>
      </c>
      <c r="Z98" s="185">
        <f ca="1">_xll.DBRW(Server&amp;Cube1,$F$17,$F$18,$F$19,$F$16,$C$14,$F$15,$F$14,$F$20,Z$2,$N$1,$C98)</f>
        <v>0</v>
      </c>
      <c r="AA98" s="53"/>
      <c r="AB98" s="53"/>
      <c r="AC98" s="53"/>
      <c r="AD98" s="53"/>
      <c r="AE98" s="53"/>
      <c r="AF98" s="53"/>
      <c r="AG98" s="53"/>
      <c r="AH98" s="53"/>
      <c r="AI98" s="53"/>
      <c r="AJ98" s="1"/>
      <c r="AK98" s="53"/>
      <c r="AL98" s="207"/>
      <c r="AM98" s="146">
        <v>700</v>
      </c>
      <c r="AN98" s="152" t="s">
        <v>488</v>
      </c>
      <c r="AO98" s="53"/>
      <c r="AP98" s="53"/>
      <c r="AQ98" s="53"/>
      <c r="AR98" s="53"/>
      <c r="AS98" s="53"/>
      <c r="AT98" s="53"/>
      <c r="AU98" s="53"/>
    </row>
    <row r="99" spans="1:47" ht="19.5" x14ac:dyDescent="0.3">
      <c r="A99" s="157">
        <f ca="1">IF($AN$35="YES",1,IF(_xll.ELCOMPN(Server&amp;$C$24,C99)&lt;&gt;0,1,IF(OR(B99=$AT$35,B99="ALL"),1,0)))</f>
        <v>1</v>
      </c>
      <c r="B99" s="139" t="str">
        <f t="shared" si="0"/>
        <v>LE</v>
      </c>
      <c r="C99" s="137" t="s">
        <v>209</v>
      </c>
      <c r="D99" s="24"/>
      <c r="E99" s="219" t="str">
        <f ca="1">_xll.DBRA(Server&amp;$C$24,$C99,$F$21)</f>
        <v>Frais postaux (JU)</v>
      </c>
      <c r="F99" s="219"/>
      <c r="G99" s="219"/>
      <c r="H99" s="43"/>
      <c r="I99" s="192">
        <f ca="1">_xll.DBRW(Server&amp;Cube1,$F$17,$F$18,$F$19,$F$16,$C$14,$F$15,$F$14,$F$20,I$2,I$1,$C99)</f>
        <v>0</v>
      </c>
      <c r="J99" s="192">
        <f ca="1">_xll.DBRW(Server&amp;Cube1,$F$17,$F$18,$F$19,$F$16,$C$14,$F$15,$F$14,$F$20,J$2,J$1,$C99)</f>
        <v>0</v>
      </c>
      <c r="K99" s="183"/>
      <c r="L99" s="185">
        <f ca="1">_xll.DBRW(Server&amp;Cube1,$F$17,$F$18,$F$19,$F$16,$C$14,$F$15,$F$14,$F$20,L$2,L$1,$C99)</f>
        <v>0</v>
      </c>
      <c r="M99" s="184"/>
      <c r="N99" s="185">
        <f ca="1">_xll.DBRW(Server&amp;Cube1,$F$17,$F$18,$F$19,$F$16,$C$14,$F$15,$F$14,$F$20,N$2,$N$1,$C99)</f>
        <v>0</v>
      </c>
      <c r="O99" s="185">
        <f ca="1">_xll.DBRW(Server&amp;Cube1,$F$17,$F$18,$F$19,$F$16,$C$14,$F$15,$F$14,$F$20,O$2,$N$1,$C99)</f>
        <v>0</v>
      </c>
      <c r="P99" s="185">
        <f ca="1">_xll.DBRW(Server&amp;Cube1,$F$17,$F$18,$F$19,$F$16,$C$14,$F$15,$F$14,$F$20,P$2,$N$1,$C99)</f>
        <v>0</v>
      </c>
      <c r="Q99" s="185">
        <f ca="1">_xll.DBRW(Server&amp;Cube1,$F$17,$F$18,$F$19,$F$16,$C$14,$F$15,$F$14,$F$20,Q$2,$N$1,$C99)</f>
        <v>0</v>
      </c>
      <c r="R99" s="185">
        <f ca="1">_xll.DBRW(Server&amp;Cube1,$F$17,$F$18,$F$19,$F$16,$C$14,$F$15,$F$14,$F$20,R$2,$N$1,$C99)</f>
        <v>0</v>
      </c>
      <c r="S99" s="185">
        <f ca="1">_xll.DBRW(Server&amp;Cube1,$F$17,$F$18,$F$19,$F$16,$C$14,$F$15,$F$14,$F$20,S$2,$N$1,$C99)</f>
        <v>0</v>
      </c>
      <c r="T99" s="185">
        <f ca="1">_xll.DBRW(Server&amp;Cube1,$F$17,$F$18,$F$19,$F$16,$C$14,$F$15,$F$14,$F$20,T$2,$N$1,$C99)</f>
        <v>0</v>
      </c>
      <c r="U99" s="185">
        <f ca="1">_xll.DBRW(Server&amp;Cube1,$F$17,$F$18,$F$19,$F$16,$C$14,$F$15,$F$14,$F$20,U$2,$N$1,$C99)</f>
        <v>0</v>
      </c>
      <c r="V99" s="185">
        <f ca="1">_xll.DBRW(Server&amp;Cube1,$F$17,$F$18,$F$19,$F$16,$C$14,$F$15,$F$14,$F$20,V$2,$N$1,$C99)</f>
        <v>0</v>
      </c>
      <c r="W99" s="185">
        <f ca="1">_xll.DBRW(Server&amp;Cube1,$F$17,$F$18,$F$19,$F$16,$C$14,$F$15,$F$14,$F$20,W$2,$N$1,$C99)</f>
        <v>0</v>
      </c>
      <c r="X99" s="185">
        <f ca="1">_xll.DBRW(Server&amp;Cube1,$F$17,$F$18,$F$19,$F$16,$C$14,$F$15,$F$14,$F$20,X$2,$N$1,$C99)</f>
        <v>0</v>
      </c>
      <c r="Y99" s="185">
        <f ca="1">_xll.DBRW(Server&amp;Cube1,$F$17,$F$18,$F$19,$F$16,$C$14,$F$15,$F$14,$F$20,Y$2,$N$1,$C99)</f>
        <v>0</v>
      </c>
      <c r="Z99" s="185">
        <f ca="1">_xll.DBRW(Server&amp;Cube1,$F$17,$F$18,$F$19,$F$16,$C$14,$F$15,$F$14,$F$20,Z$2,$N$1,$C99)</f>
        <v>0</v>
      </c>
      <c r="AA99" s="53"/>
      <c r="AB99" s="53"/>
      <c r="AC99" s="53"/>
      <c r="AD99" s="53"/>
      <c r="AE99" s="53"/>
      <c r="AF99" s="53"/>
      <c r="AG99" s="53"/>
      <c r="AH99" s="53"/>
      <c r="AI99" s="53"/>
      <c r="AJ99" s="1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</row>
    <row r="100" spans="1:47" ht="19.5" x14ac:dyDescent="0.3">
      <c r="A100" s="157">
        <f ca="1">IF($AN$35="YES",1,IF(_xll.ELCOMPN(Server&amp;$C$24,C100)&lt;&gt;0,1,IF(OR(B100=$AT$35,B100="ALL"),1,0)))</f>
        <v>1</v>
      </c>
      <c r="B100" s="139" t="str">
        <f t="shared" si="0"/>
        <v>RM</v>
      </c>
      <c r="C100" s="137" t="s">
        <v>210</v>
      </c>
      <c r="D100" s="24"/>
      <c r="E100" s="219" t="str">
        <f ca="1">_xll.DBRA(Server&amp;$C$24,$C100,$F$21)</f>
        <v>Frais postaux (GR)</v>
      </c>
      <c r="F100" s="219"/>
      <c r="G100" s="219"/>
      <c r="H100" s="43"/>
      <c r="I100" s="192">
        <f ca="1">_xll.DBRW(Server&amp;Cube1,$F$17,$F$18,$F$19,$F$16,$C$14,$F$15,$F$14,$F$20,I$2,I$1,$C100)</f>
        <v>0</v>
      </c>
      <c r="J100" s="192">
        <f ca="1">_xll.DBRW(Server&amp;Cube1,$F$17,$F$18,$F$19,$F$16,$C$14,$F$15,$F$14,$F$20,J$2,J$1,$C100)</f>
        <v>0</v>
      </c>
      <c r="K100" s="183"/>
      <c r="L100" s="185">
        <f ca="1">_xll.DBRW(Server&amp;Cube1,$F$17,$F$18,$F$19,$F$16,$C$14,$F$15,$F$14,$F$20,L$2,L$1,$C100)</f>
        <v>0</v>
      </c>
      <c r="M100" s="184"/>
      <c r="N100" s="185">
        <f ca="1">_xll.DBRW(Server&amp;Cube1,$F$17,$F$18,$F$19,$F$16,$C$14,$F$15,$F$14,$F$20,N$2,$N$1,$C100)</f>
        <v>0</v>
      </c>
      <c r="O100" s="185">
        <f ca="1">_xll.DBRW(Server&amp;Cube1,$F$17,$F$18,$F$19,$F$16,$C$14,$F$15,$F$14,$F$20,O$2,$N$1,$C100)</f>
        <v>0</v>
      </c>
      <c r="P100" s="185">
        <f ca="1">_xll.DBRW(Server&amp;Cube1,$F$17,$F$18,$F$19,$F$16,$C$14,$F$15,$F$14,$F$20,P$2,$N$1,$C100)</f>
        <v>0</v>
      </c>
      <c r="Q100" s="185">
        <f ca="1">_xll.DBRW(Server&amp;Cube1,$F$17,$F$18,$F$19,$F$16,$C$14,$F$15,$F$14,$F$20,Q$2,$N$1,$C100)</f>
        <v>0</v>
      </c>
      <c r="R100" s="185">
        <f ca="1">_xll.DBRW(Server&amp;Cube1,$F$17,$F$18,$F$19,$F$16,$C$14,$F$15,$F$14,$F$20,R$2,$N$1,$C100)</f>
        <v>0</v>
      </c>
      <c r="S100" s="185">
        <f ca="1">_xll.DBRW(Server&amp;Cube1,$F$17,$F$18,$F$19,$F$16,$C$14,$F$15,$F$14,$F$20,S$2,$N$1,$C100)</f>
        <v>0</v>
      </c>
      <c r="T100" s="185">
        <f ca="1">_xll.DBRW(Server&amp;Cube1,$F$17,$F$18,$F$19,$F$16,$C$14,$F$15,$F$14,$F$20,T$2,$N$1,$C100)</f>
        <v>0</v>
      </c>
      <c r="U100" s="185">
        <f ca="1">_xll.DBRW(Server&amp;Cube1,$F$17,$F$18,$F$19,$F$16,$C$14,$F$15,$F$14,$F$20,U$2,$N$1,$C100)</f>
        <v>0</v>
      </c>
      <c r="V100" s="185">
        <f ca="1">_xll.DBRW(Server&amp;Cube1,$F$17,$F$18,$F$19,$F$16,$C$14,$F$15,$F$14,$F$20,V$2,$N$1,$C100)</f>
        <v>0</v>
      </c>
      <c r="W100" s="185">
        <f ca="1">_xll.DBRW(Server&amp;Cube1,$F$17,$F$18,$F$19,$F$16,$C$14,$F$15,$F$14,$F$20,W$2,$N$1,$C100)</f>
        <v>0</v>
      </c>
      <c r="X100" s="185">
        <f ca="1">_xll.DBRW(Server&amp;Cube1,$F$17,$F$18,$F$19,$F$16,$C$14,$F$15,$F$14,$F$20,X$2,$N$1,$C100)</f>
        <v>0</v>
      </c>
      <c r="Y100" s="185">
        <f ca="1">_xll.DBRW(Server&amp;Cube1,$F$17,$F$18,$F$19,$F$16,$C$14,$F$15,$F$14,$F$20,Y$2,$N$1,$C100)</f>
        <v>0</v>
      </c>
      <c r="Z100" s="185">
        <f ca="1">_xll.DBRW(Server&amp;Cube1,$F$17,$F$18,$F$19,$F$16,$C$14,$F$15,$F$14,$F$20,Z$2,$N$1,$C100)</f>
        <v>0</v>
      </c>
      <c r="AA100" s="53"/>
      <c r="AB100" s="53"/>
      <c r="AC100" s="53"/>
      <c r="AD100" s="53"/>
      <c r="AE100" s="53"/>
      <c r="AF100" s="53"/>
      <c r="AG100" s="53"/>
      <c r="AH100" s="53"/>
      <c r="AI100" s="53"/>
      <c r="AJ100" s="1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</row>
    <row r="101" spans="1:47" ht="19.5" x14ac:dyDescent="0.3">
      <c r="A101" s="157">
        <f ca="1">IF($AN$35="YES",1,IF(_xll.ELCOMPN(Server&amp;$C$24,C101)&lt;&gt;0,1,IF(OR(B101=$AT$35,B101="ALL"),1,0)))</f>
        <v>1</v>
      </c>
      <c r="B101" s="139" t="str">
        <f t="shared" ref="B101:B164" si="1">IF(ISERROR(MID(C101,FIND("_",C101,1)+1,2)),MID(C101,FIND("(",C101,1)+1,2),MID(C101,FIND("_",C101,1)+1,2))</f>
        <v>PU</v>
      </c>
      <c r="C101" s="137" t="s">
        <v>211</v>
      </c>
      <c r="D101" s="24"/>
      <c r="E101" s="219" t="str">
        <f ca="1">_xll.DBRA(Server&amp;$C$24,$C101,$F$21)</f>
        <v>Frais postaux (AC)</v>
      </c>
      <c r="F101" s="219"/>
      <c r="G101" s="219"/>
      <c r="H101" s="43"/>
      <c r="I101" s="192">
        <f ca="1">_xll.DBRW(Server&amp;Cube1,$F$17,$F$18,$F$19,$F$16,$C$14,$F$15,$F$14,$F$20,I$2,I$1,$C101)</f>
        <v>0</v>
      </c>
      <c r="J101" s="192">
        <f ca="1">_xll.DBRW(Server&amp;Cube1,$F$17,$F$18,$F$19,$F$16,$C$14,$F$15,$F$14,$F$20,J$2,J$1,$C101)</f>
        <v>0</v>
      </c>
      <c r="K101" s="183"/>
      <c r="L101" s="185">
        <f ca="1">_xll.DBRW(Server&amp;Cube1,$F$17,$F$18,$F$19,$F$16,$C$14,$F$15,$F$14,$F$20,L$2,L$1,$C101)</f>
        <v>0</v>
      </c>
      <c r="M101" s="184"/>
      <c r="N101" s="185">
        <f ca="1">_xll.DBRW(Server&amp;Cube1,$F$17,$F$18,$F$19,$F$16,$C$14,$F$15,$F$14,$F$20,N$2,$N$1,$C101)</f>
        <v>0</v>
      </c>
      <c r="O101" s="185">
        <f ca="1">_xll.DBRW(Server&amp;Cube1,$F$17,$F$18,$F$19,$F$16,$C$14,$F$15,$F$14,$F$20,O$2,$N$1,$C101)</f>
        <v>0</v>
      </c>
      <c r="P101" s="185">
        <f ca="1">_xll.DBRW(Server&amp;Cube1,$F$17,$F$18,$F$19,$F$16,$C$14,$F$15,$F$14,$F$20,P$2,$N$1,$C101)</f>
        <v>0</v>
      </c>
      <c r="Q101" s="185">
        <f ca="1">_xll.DBRW(Server&amp;Cube1,$F$17,$F$18,$F$19,$F$16,$C$14,$F$15,$F$14,$F$20,Q$2,$N$1,$C101)</f>
        <v>0</v>
      </c>
      <c r="R101" s="185">
        <f ca="1">_xll.DBRW(Server&amp;Cube1,$F$17,$F$18,$F$19,$F$16,$C$14,$F$15,$F$14,$F$20,R$2,$N$1,$C101)</f>
        <v>0</v>
      </c>
      <c r="S101" s="185">
        <f ca="1">_xll.DBRW(Server&amp;Cube1,$F$17,$F$18,$F$19,$F$16,$C$14,$F$15,$F$14,$F$20,S$2,$N$1,$C101)</f>
        <v>0</v>
      </c>
      <c r="T101" s="185">
        <f ca="1">_xll.DBRW(Server&amp;Cube1,$F$17,$F$18,$F$19,$F$16,$C$14,$F$15,$F$14,$F$20,T$2,$N$1,$C101)</f>
        <v>0</v>
      </c>
      <c r="U101" s="185">
        <f ca="1">_xll.DBRW(Server&amp;Cube1,$F$17,$F$18,$F$19,$F$16,$C$14,$F$15,$F$14,$F$20,U$2,$N$1,$C101)</f>
        <v>0</v>
      </c>
      <c r="V101" s="185">
        <f ca="1">_xll.DBRW(Server&amp;Cube1,$F$17,$F$18,$F$19,$F$16,$C$14,$F$15,$F$14,$F$20,V$2,$N$1,$C101)</f>
        <v>0</v>
      </c>
      <c r="W101" s="185">
        <f ca="1">_xll.DBRW(Server&amp;Cube1,$F$17,$F$18,$F$19,$F$16,$C$14,$F$15,$F$14,$F$20,W$2,$N$1,$C101)</f>
        <v>0</v>
      </c>
      <c r="X101" s="185">
        <f ca="1">_xll.DBRW(Server&amp;Cube1,$F$17,$F$18,$F$19,$F$16,$C$14,$F$15,$F$14,$F$20,X$2,$N$1,$C101)</f>
        <v>0</v>
      </c>
      <c r="Y101" s="185">
        <f ca="1">_xll.DBRW(Server&amp;Cube1,$F$17,$F$18,$F$19,$F$16,$C$14,$F$15,$F$14,$F$20,Y$2,$N$1,$C101)</f>
        <v>0</v>
      </c>
      <c r="Z101" s="185">
        <f ca="1">_xll.DBRW(Server&amp;Cube1,$F$17,$F$18,$F$19,$F$16,$C$14,$F$15,$F$14,$F$20,Z$2,$N$1,$C101)</f>
        <v>0</v>
      </c>
      <c r="AA101" s="53"/>
      <c r="AB101" s="53"/>
      <c r="AC101" s="53"/>
      <c r="AD101" s="53"/>
      <c r="AE101" s="53"/>
      <c r="AF101" s="53"/>
      <c r="AG101" s="53"/>
      <c r="AH101" s="53"/>
      <c r="AI101" s="53"/>
      <c r="AJ101" s="1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</row>
    <row r="102" spans="1:47" ht="19.5" x14ac:dyDescent="0.3">
      <c r="A102" s="157">
        <f ca="1">IF($AN$35="YES",1,IF(_xll.ELCOMPN(Server&amp;$C$24,C102)&lt;&gt;0,1,IF(OR(B102=$AT$35,B102="ALL"),1,0)))</f>
        <v>1</v>
      </c>
      <c r="B102" s="139" t="str">
        <f t="shared" si="1"/>
        <v>CO</v>
      </c>
      <c r="C102" s="137" t="s">
        <v>212</v>
      </c>
      <c r="D102" s="24"/>
      <c r="E102" s="219" t="str">
        <f ca="1">_xll.DBRA(Server&amp;$C$24,$C102,$F$21)</f>
        <v>Frais postaux (CO)</v>
      </c>
      <c r="F102" s="219"/>
      <c r="G102" s="219"/>
      <c r="H102" s="43"/>
      <c r="I102" s="192">
        <f ca="1">_xll.DBRW(Server&amp;Cube1,$F$17,$F$18,$F$19,$F$16,$C$14,$F$15,$F$14,$F$20,I$2,I$1,$C102)</f>
        <v>0</v>
      </c>
      <c r="J102" s="192">
        <f ca="1">_xll.DBRW(Server&amp;Cube1,$F$17,$F$18,$F$19,$F$16,$C$14,$F$15,$F$14,$F$20,J$2,J$1,$C102)</f>
        <v>0</v>
      </c>
      <c r="K102" s="183"/>
      <c r="L102" s="185">
        <f ca="1">_xll.DBRW(Server&amp;Cube1,$F$17,$F$18,$F$19,$F$16,$C$14,$F$15,$F$14,$F$20,L$2,L$1,$C102)</f>
        <v>0</v>
      </c>
      <c r="M102" s="184"/>
      <c r="N102" s="185">
        <f ca="1">_xll.DBRW(Server&amp;Cube1,$F$17,$F$18,$F$19,$F$16,$C$14,$F$15,$F$14,$F$20,N$2,$N$1,$C102)</f>
        <v>0</v>
      </c>
      <c r="O102" s="185">
        <f ca="1">_xll.DBRW(Server&amp;Cube1,$F$17,$F$18,$F$19,$F$16,$C$14,$F$15,$F$14,$F$20,O$2,$N$1,$C102)</f>
        <v>0</v>
      </c>
      <c r="P102" s="185">
        <f ca="1">_xll.DBRW(Server&amp;Cube1,$F$17,$F$18,$F$19,$F$16,$C$14,$F$15,$F$14,$F$20,P$2,$N$1,$C102)</f>
        <v>0</v>
      </c>
      <c r="Q102" s="185">
        <f ca="1">_xll.DBRW(Server&amp;Cube1,$F$17,$F$18,$F$19,$F$16,$C$14,$F$15,$F$14,$F$20,Q$2,$N$1,$C102)</f>
        <v>0</v>
      </c>
      <c r="R102" s="185">
        <f ca="1">_xll.DBRW(Server&amp;Cube1,$F$17,$F$18,$F$19,$F$16,$C$14,$F$15,$F$14,$F$20,R$2,$N$1,$C102)</f>
        <v>0</v>
      </c>
      <c r="S102" s="185">
        <f ca="1">_xll.DBRW(Server&amp;Cube1,$F$17,$F$18,$F$19,$F$16,$C$14,$F$15,$F$14,$F$20,S$2,$N$1,$C102)</f>
        <v>0</v>
      </c>
      <c r="T102" s="185">
        <f ca="1">_xll.DBRW(Server&amp;Cube1,$F$17,$F$18,$F$19,$F$16,$C$14,$F$15,$F$14,$F$20,T$2,$N$1,$C102)</f>
        <v>0</v>
      </c>
      <c r="U102" s="185">
        <f ca="1">_xll.DBRW(Server&amp;Cube1,$F$17,$F$18,$F$19,$F$16,$C$14,$F$15,$F$14,$F$20,U$2,$N$1,$C102)</f>
        <v>0</v>
      </c>
      <c r="V102" s="185">
        <f ca="1">_xll.DBRW(Server&amp;Cube1,$F$17,$F$18,$F$19,$F$16,$C$14,$F$15,$F$14,$F$20,V$2,$N$1,$C102)</f>
        <v>0</v>
      </c>
      <c r="W102" s="185">
        <f ca="1">_xll.DBRW(Server&amp;Cube1,$F$17,$F$18,$F$19,$F$16,$C$14,$F$15,$F$14,$F$20,W$2,$N$1,$C102)</f>
        <v>0</v>
      </c>
      <c r="X102" s="185">
        <f ca="1">_xll.DBRW(Server&amp;Cube1,$F$17,$F$18,$F$19,$F$16,$C$14,$F$15,$F$14,$F$20,X$2,$N$1,$C102)</f>
        <v>0</v>
      </c>
      <c r="Y102" s="185">
        <f ca="1">_xll.DBRW(Server&amp;Cube1,$F$17,$F$18,$F$19,$F$16,$C$14,$F$15,$F$14,$F$20,Y$2,$N$1,$C102)</f>
        <v>0</v>
      </c>
      <c r="Z102" s="185">
        <f ca="1">_xll.DBRW(Server&amp;Cube1,$F$17,$F$18,$F$19,$F$16,$C$14,$F$15,$F$14,$F$20,Z$2,$N$1,$C102)</f>
        <v>0</v>
      </c>
      <c r="AA102" s="53"/>
      <c r="AB102" s="53"/>
      <c r="AC102" s="53"/>
      <c r="AD102" s="53"/>
      <c r="AE102" s="53"/>
      <c r="AF102" s="53"/>
      <c r="AG102" s="53"/>
      <c r="AH102" s="53"/>
      <c r="AI102" s="53"/>
      <c r="AJ102" s="1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</row>
    <row r="103" spans="1:47" ht="19.5" x14ac:dyDescent="0.3">
      <c r="A103" s="157">
        <f ca="1">IF($AN$35="YES",1,IF(_xll.ELCOMPN(Server&amp;$C$24,C103)&lt;&gt;0,1,IF(OR(B103=$AT$35,B103="ALL"),1,0)))</f>
        <v>1</v>
      </c>
      <c r="B103" s="139" t="str">
        <f t="shared" si="1"/>
        <v>GS</v>
      </c>
      <c r="C103" s="137" t="s">
        <v>213</v>
      </c>
      <c r="D103" s="24"/>
      <c r="E103" s="219" t="str">
        <f ca="1">_xll.DBRA(Server&amp;$C$24,$C103,$F$21)</f>
        <v>Frais postaux (SG)</v>
      </c>
      <c r="F103" s="219"/>
      <c r="G103" s="219"/>
      <c r="H103" s="43"/>
      <c r="I103" s="192">
        <f ca="1">_xll.DBRW(Server&amp;Cube1,$F$17,$F$18,$F$19,$F$16,$C$14,$F$15,$F$14,$F$20,I$2,I$1,$C103)</f>
        <v>0</v>
      </c>
      <c r="J103" s="192">
        <f ca="1">_xll.DBRW(Server&amp;Cube1,$F$17,$F$18,$F$19,$F$16,$C$14,$F$15,$F$14,$F$20,J$2,J$1,$C103)</f>
        <v>0</v>
      </c>
      <c r="K103" s="183"/>
      <c r="L103" s="185">
        <f ca="1">_xll.DBRW(Server&amp;Cube1,$F$17,$F$18,$F$19,$F$16,$C$14,$F$15,$F$14,$F$20,L$2,L$1,$C103)</f>
        <v>0</v>
      </c>
      <c r="M103" s="184"/>
      <c r="N103" s="185">
        <f ca="1">_xll.DBRW(Server&amp;Cube1,$F$17,$F$18,$F$19,$F$16,$C$14,$F$15,$F$14,$F$20,N$2,$N$1,$C103)</f>
        <v>0</v>
      </c>
      <c r="O103" s="185">
        <f ca="1">_xll.DBRW(Server&amp;Cube1,$F$17,$F$18,$F$19,$F$16,$C$14,$F$15,$F$14,$F$20,O$2,$N$1,$C103)</f>
        <v>0</v>
      </c>
      <c r="P103" s="185">
        <f ca="1">_xll.DBRW(Server&amp;Cube1,$F$17,$F$18,$F$19,$F$16,$C$14,$F$15,$F$14,$F$20,P$2,$N$1,$C103)</f>
        <v>0</v>
      </c>
      <c r="Q103" s="185">
        <f ca="1">_xll.DBRW(Server&amp;Cube1,$F$17,$F$18,$F$19,$F$16,$C$14,$F$15,$F$14,$F$20,Q$2,$N$1,$C103)</f>
        <v>0</v>
      </c>
      <c r="R103" s="185">
        <f ca="1">_xll.DBRW(Server&amp;Cube1,$F$17,$F$18,$F$19,$F$16,$C$14,$F$15,$F$14,$F$20,R$2,$N$1,$C103)</f>
        <v>0</v>
      </c>
      <c r="S103" s="185">
        <f ca="1">_xll.DBRW(Server&amp;Cube1,$F$17,$F$18,$F$19,$F$16,$C$14,$F$15,$F$14,$F$20,S$2,$N$1,$C103)</f>
        <v>0</v>
      </c>
      <c r="T103" s="185">
        <f ca="1">_xll.DBRW(Server&amp;Cube1,$F$17,$F$18,$F$19,$F$16,$C$14,$F$15,$F$14,$F$20,T$2,$N$1,$C103)</f>
        <v>0</v>
      </c>
      <c r="U103" s="185">
        <f ca="1">_xll.DBRW(Server&amp;Cube1,$F$17,$F$18,$F$19,$F$16,$C$14,$F$15,$F$14,$F$20,U$2,$N$1,$C103)</f>
        <v>0</v>
      </c>
      <c r="V103" s="185">
        <f ca="1">_xll.DBRW(Server&amp;Cube1,$F$17,$F$18,$F$19,$F$16,$C$14,$F$15,$F$14,$F$20,V$2,$N$1,$C103)</f>
        <v>0</v>
      </c>
      <c r="W103" s="185">
        <f ca="1">_xll.DBRW(Server&amp;Cube1,$F$17,$F$18,$F$19,$F$16,$C$14,$F$15,$F$14,$F$20,W$2,$N$1,$C103)</f>
        <v>0</v>
      </c>
      <c r="X103" s="185">
        <f ca="1">_xll.DBRW(Server&amp;Cube1,$F$17,$F$18,$F$19,$F$16,$C$14,$F$15,$F$14,$F$20,X$2,$N$1,$C103)</f>
        <v>0</v>
      </c>
      <c r="Y103" s="185">
        <f ca="1">_xll.DBRW(Server&amp;Cube1,$F$17,$F$18,$F$19,$F$16,$C$14,$F$15,$F$14,$F$20,Y$2,$N$1,$C103)</f>
        <v>0</v>
      </c>
      <c r="Z103" s="185">
        <f ca="1">_xll.DBRW(Server&amp;Cube1,$F$17,$F$18,$F$19,$F$16,$C$14,$F$15,$F$14,$F$20,Z$2,$N$1,$C103)</f>
        <v>0</v>
      </c>
      <c r="AA103" s="53"/>
      <c r="AB103" s="53"/>
      <c r="AC103" s="53"/>
      <c r="AD103" s="53"/>
      <c r="AE103" s="53"/>
      <c r="AF103" s="53"/>
      <c r="AG103" s="53"/>
      <c r="AH103" s="53"/>
      <c r="AI103" s="53"/>
      <c r="AJ103" s="1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</row>
    <row r="104" spans="1:47" ht="19.5" x14ac:dyDescent="0.3">
      <c r="A104" s="157">
        <f ca="1">IF($AN$35="YES",1,IF(_xll.ELCOMPN(Server&amp;$C$24,C104)&lt;&gt;0,1,IF(OR(B104=$AT$35,B104="ALL"),1,0)))</f>
        <v>1</v>
      </c>
      <c r="B104" s="139" t="str">
        <f t="shared" si="1"/>
        <v>RD</v>
      </c>
      <c r="C104" s="137" t="s">
        <v>214</v>
      </c>
      <c r="D104" s="24"/>
      <c r="E104" s="219" t="str">
        <f ca="1">_xll.DBRA(Server&amp;$C$24,$C104,$F$21)</f>
        <v>Frais postaux (RD)</v>
      </c>
      <c r="F104" s="219"/>
      <c r="G104" s="219"/>
      <c r="H104" s="43"/>
      <c r="I104" s="192">
        <f ca="1">_xll.DBRW(Server&amp;Cube1,$F$17,$F$18,$F$19,$F$16,$C$14,$F$15,$F$14,$F$20,I$2,I$1,$C104)</f>
        <v>0</v>
      </c>
      <c r="J104" s="192">
        <f ca="1">_xll.DBRW(Server&amp;Cube1,$F$17,$F$18,$F$19,$F$16,$C$14,$F$15,$F$14,$F$20,J$2,J$1,$C104)</f>
        <v>0</v>
      </c>
      <c r="K104" s="183"/>
      <c r="L104" s="185">
        <f ca="1">_xll.DBRW(Server&amp;Cube1,$F$17,$F$18,$F$19,$F$16,$C$14,$F$15,$F$14,$F$20,L$2,L$1,$C104)</f>
        <v>0</v>
      </c>
      <c r="M104" s="184"/>
      <c r="N104" s="185">
        <f ca="1">_xll.DBRW(Server&amp;Cube1,$F$17,$F$18,$F$19,$F$16,$C$14,$F$15,$F$14,$F$20,N$2,$N$1,$C104)</f>
        <v>0</v>
      </c>
      <c r="O104" s="185">
        <f ca="1">_xll.DBRW(Server&amp;Cube1,$F$17,$F$18,$F$19,$F$16,$C$14,$F$15,$F$14,$F$20,O$2,$N$1,$C104)</f>
        <v>0</v>
      </c>
      <c r="P104" s="185">
        <f ca="1">_xll.DBRW(Server&amp;Cube1,$F$17,$F$18,$F$19,$F$16,$C$14,$F$15,$F$14,$F$20,P$2,$N$1,$C104)</f>
        <v>0</v>
      </c>
      <c r="Q104" s="185">
        <f ca="1">_xll.DBRW(Server&amp;Cube1,$F$17,$F$18,$F$19,$F$16,$C$14,$F$15,$F$14,$F$20,Q$2,$N$1,$C104)</f>
        <v>0</v>
      </c>
      <c r="R104" s="185">
        <f ca="1">_xll.DBRW(Server&amp;Cube1,$F$17,$F$18,$F$19,$F$16,$C$14,$F$15,$F$14,$F$20,R$2,$N$1,$C104)</f>
        <v>0</v>
      </c>
      <c r="S104" s="185">
        <f ca="1">_xll.DBRW(Server&amp;Cube1,$F$17,$F$18,$F$19,$F$16,$C$14,$F$15,$F$14,$F$20,S$2,$N$1,$C104)</f>
        <v>0</v>
      </c>
      <c r="T104" s="185">
        <f ca="1">_xll.DBRW(Server&amp;Cube1,$F$17,$F$18,$F$19,$F$16,$C$14,$F$15,$F$14,$F$20,T$2,$N$1,$C104)</f>
        <v>0</v>
      </c>
      <c r="U104" s="185">
        <f ca="1">_xll.DBRW(Server&amp;Cube1,$F$17,$F$18,$F$19,$F$16,$C$14,$F$15,$F$14,$F$20,U$2,$N$1,$C104)</f>
        <v>0</v>
      </c>
      <c r="V104" s="185">
        <f ca="1">_xll.DBRW(Server&amp;Cube1,$F$17,$F$18,$F$19,$F$16,$C$14,$F$15,$F$14,$F$20,V$2,$N$1,$C104)</f>
        <v>0</v>
      </c>
      <c r="W104" s="185">
        <f ca="1">_xll.DBRW(Server&amp;Cube1,$F$17,$F$18,$F$19,$F$16,$C$14,$F$15,$F$14,$F$20,W$2,$N$1,$C104)</f>
        <v>0</v>
      </c>
      <c r="X104" s="185">
        <f ca="1">_xll.DBRW(Server&amp;Cube1,$F$17,$F$18,$F$19,$F$16,$C$14,$F$15,$F$14,$F$20,X$2,$N$1,$C104)</f>
        <v>0</v>
      </c>
      <c r="Y104" s="185">
        <f ca="1">_xll.DBRW(Server&amp;Cube1,$F$17,$F$18,$F$19,$F$16,$C$14,$F$15,$F$14,$F$20,Y$2,$N$1,$C104)</f>
        <v>0</v>
      </c>
      <c r="Z104" s="185">
        <f ca="1">_xll.DBRW(Server&amp;Cube1,$F$17,$F$18,$F$19,$F$16,$C$14,$F$15,$F$14,$F$20,Z$2,$N$1,$C104)</f>
        <v>0</v>
      </c>
      <c r="AA104" s="53"/>
      <c r="AB104" s="53"/>
      <c r="AC104" s="53"/>
      <c r="AD104" s="53"/>
      <c r="AE104" s="53"/>
      <c r="AF104" s="53"/>
      <c r="AG104" s="53"/>
      <c r="AH104" s="53"/>
      <c r="AI104" s="53"/>
      <c r="AJ104" s="1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</row>
    <row r="105" spans="1:47" s="9" customFormat="1" ht="24.95" customHeight="1" collapsed="1" x14ac:dyDescent="0.35">
      <c r="A105" s="157">
        <f ca="1">IF($AN$35="YES",1,IF(_xll.ELCOMPN(Server&amp;$C$24,C105)&lt;&gt;0,1,IF(OR(B105=$AT$35,B105="ALL"),1,0)))</f>
        <v>1</v>
      </c>
      <c r="B105" s="139" t="str">
        <f t="shared" si="1"/>
        <v>ex</v>
      </c>
      <c r="C105" s="110" t="s">
        <v>95</v>
      </c>
      <c r="E105" s="220" t="str">
        <f ca="1">_xll.DBRA(Server&amp;$C$24,$C105,$F$21)</f>
        <v>Coûts externes de la Direction</v>
      </c>
      <c r="F105" s="220"/>
      <c r="G105" s="220"/>
      <c r="H105" s="40"/>
      <c r="I105" s="190">
        <f ca="1">_xll.DBRW(Server&amp;Cube1,$F$17,$F$18,$F$19,$F$16,$C$14,$F$15,$F$14,$F$20,I$2,I$1,$C105)</f>
        <v>0</v>
      </c>
      <c r="J105" s="190">
        <f ca="1">_xll.DBRW(Server&amp;Cube1,$F$17,$F$18,$F$19,$F$16,$C$14,$F$15,$F$14,$F$20,J$2,J$1,$C105)</f>
        <v>0</v>
      </c>
      <c r="K105" s="180"/>
      <c r="L105" s="191">
        <f ca="1">_xll.DBRW(Server&amp;Cube1,$F$17,$F$18,$F$19,$F$16,$C$14,$F$15,$F$14,$F$20,L$2,L$1,$C105)</f>
        <v>0</v>
      </c>
      <c r="M105" s="181"/>
      <c r="N105" s="191">
        <f ca="1">_xll.DBRW(Server&amp;Cube1,$F$17,$F$18,$F$19,$F$16,$C$14,$F$15,$F$14,$F$20,N$2,$N$1,$C105)</f>
        <v>0</v>
      </c>
      <c r="O105" s="191">
        <f ca="1">_xll.DBRW(Server&amp;Cube1,$F$17,$F$18,$F$19,$F$16,$C$14,$F$15,$F$14,$F$20,O$2,$N$1,$C105)</f>
        <v>0</v>
      </c>
      <c r="P105" s="191">
        <f ca="1">_xll.DBRW(Server&amp;Cube1,$F$17,$F$18,$F$19,$F$16,$C$14,$F$15,$F$14,$F$20,P$2,$N$1,$C105)</f>
        <v>0</v>
      </c>
      <c r="Q105" s="191">
        <f ca="1">_xll.DBRW(Server&amp;Cube1,$F$17,$F$18,$F$19,$F$16,$C$14,$F$15,$F$14,$F$20,Q$2,$N$1,$C105)</f>
        <v>0</v>
      </c>
      <c r="R105" s="191">
        <f ca="1">_xll.DBRW(Server&amp;Cube1,$F$17,$F$18,$F$19,$F$16,$C$14,$F$15,$F$14,$F$20,R$2,$N$1,$C105)</f>
        <v>0</v>
      </c>
      <c r="S105" s="191">
        <f ca="1">_xll.DBRW(Server&amp;Cube1,$F$17,$F$18,$F$19,$F$16,$C$14,$F$15,$F$14,$F$20,S$2,$N$1,$C105)</f>
        <v>0</v>
      </c>
      <c r="T105" s="191">
        <f ca="1">_xll.DBRW(Server&amp;Cube1,$F$17,$F$18,$F$19,$F$16,$C$14,$F$15,$F$14,$F$20,T$2,$N$1,$C105)</f>
        <v>0</v>
      </c>
      <c r="U105" s="191">
        <f ca="1">_xll.DBRW(Server&amp;Cube1,$F$17,$F$18,$F$19,$F$16,$C$14,$F$15,$F$14,$F$20,U$2,$N$1,$C105)</f>
        <v>0</v>
      </c>
      <c r="V105" s="191">
        <f ca="1">_xll.DBRW(Server&amp;Cube1,$F$17,$F$18,$F$19,$F$16,$C$14,$F$15,$F$14,$F$20,V$2,$N$1,$C105)</f>
        <v>0</v>
      </c>
      <c r="W105" s="191">
        <f ca="1">_xll.DBRW(Server&amp;Cube1,$F$17,$F$18,$F$19,$F$16,$C$14,$F$15,$F$14,$F$20,W$2,$N$1,$C105)</f>
        <v>0</v>
      </c>
      <c r="X105" s="191">
        <f ca="1">_xll.DBRW(Server&amp;Cube1,$F$17,$F$18,$F$19,$F$16,$C$14,$F$15,$F$14,$F$20,X$2,$N$1,$C105)</f>
        <v>0</v>
      </c>
      <c r="Y105" s="191">
        <f ca="1">_xll.DBRW(Server&amp;Cube1,$F$17,$F$18,$F$19,$F$16,$C$14,$F$15,$F$14,$F$20,Y$2,$N$1,$C105)</f>
        <v>0</v>
      </c>
      <c r="Z105" s="191">
        <f ca="1">_xll.DBRW(Server&amp;Cube1,$F$17,$F$18,$F$19,$F$16,$C$14,$F$15,$F$14,$F$20,Z$2,$N$1,$C105)</f>
        <v>0</v>
      </c>
      <c r="AA105" s="53"/>
      <c r="AB105" s="53"/>
      <c r="AC105" s="53"/>
      <c r="AD105" s="53"/>
      <c r="AE105" s="53"/>
      <c r="AF105" s="53"/>
      <c r="AG105" s="53"/>
      <c r="AH105" s="53"/>
      <c r="AI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</row>
    <row r="106" spans="1:47" s="9" customFormat="1" ht="24.75" customHeight="1" x14ac:dyDescent="0.35">
      <c r="A106" s="157">
        <f ca="1">IF($AN$35="YES",1,IF(_xll.ELCOMPN(Server&amp;$C$24,C106)&lt;&gt;0,1,IF(OR(B106=$AT$35,B106="ALL"),1,0)))</f>
        <v>1</v>
      </c>
      <c r="B106" s="139" t="str">
        <f t="shared" si="1"/>
        <v>co</v>
      </c>
      <c r="C106" s="111" t="s">
        <v>96</v>
      </c>
      <c r="E106" s="221" t="str">
        <f ca="1">_xll.DBRA(Server&amp;$C$24,$C106,$F$21)</f>
        <v>Honoraires &amp; Conseil</v>
      </c>
      <c r="F106" s="221"/>
      <c r="G106" s="221"/>
      <c r="H106" s="40"/>
      <c r="I106" s="192">
        <f ca="1">_xll.DBRW(Server&amp;Cube1,$F$17,$F$18,$F$19,$F$16,$C$14,$F$15,$F$14,$F$20,I$2,I$1,$C106)</f>
        <v>0</v>
      </c>
      <c r="J106" s="192">
        <f ca="1">_xll.DBRW(Server&amp;Cube1,$F$17,$F$18,$F$19,$F$16,$C$14,$F$15,$F$14,$F$20,J$2,J$1,$C106)</f>
        <v>0</v>
      </c>
      <c r="K106" s="183"/>
      <c r="L106" s="181">
        <f ca="1">_xll.DBRW(Server&amp;Cube1,$F$17,$F$18,$F$19,$F$16,$C$14,$F$15,$F$14,$F$20,L$2,L$1,$C106)</f>
        <v>0</v>
      </c>
      <c r="M106" s="181"/>
      <c r="N106" s="181">
        <f ca="1">_xll.DBRW(Server&amp;Cube1,$F$17,$F$18,$F$19,$F$16,$C$14,$F$15,$F$14,$F$20,N$2,$N$1,$C106)</f>
        <v>0</v>
      </c>
      <c r="O106" s="181">
        <f ca="1">_xll.DBRW(Server&amp;Cube1,$F$17,$F$18,$F$19,$F$16,$C$14,$F$15,$F$14,$F$20,O$2,$N$1,$C106)</f>
        <v>0</v>
      </c>
      <c r="P106" s="181">
        <f ca="1">_xll.DBRW(Server&amp;Cube1,$F$17,$F$18,$F$19,$F$16,$C$14,$F$15,$F$14,$F$20,P$2,$N$1,$C106)</f>
        <v>0</v>
      </c>
      <c r="Q106" s="181">
        <f ca="1">_xll.DBRW(Server&amp;Cube1,$F$17,$F$18,$F$19,$F$16,$C$14,$F$15,$F$14,$F$20,Q$2,$N$1,$C106)</f>
        <v>0</v>
      </c>
      <c r="R106" s="181">
        <f ca="1">_xll.DBRW(Server&amp;Cube1,$F$17,$F$18,$F$19,$F$16,$C$14,$F$15,$F$14,$F$20,R$2,$N$1,$C106)</f>
        <v>0</v>
      </c>
      <c r="S106" s="181">
        <f ca="1">_xll.DBRW(Server&amp;Cube1,$F$17,$F$18,$F$19,$F$16,$C$14,$F$15,$F$14,$F$20,S$2,$N$1,$C106)</f>
        <v>0</v>
      </c>
      <c r="T106" s="181">
        <f ca="1">_xll.DBRW(Server&amp;Cube1,$F$17,$F$18,$F$19,$F$16,$C$14,$F$15,$F$14,$F$20,T$2,$N$1,$C106)</f>
        <v>0</v>
      </c>
      <c r="U106" s="181">
        <f ca="1">_xll.DBRW(Server&amp;Cube1,$F$17,$F$18,$F$19,$F$16,$C$14,$F$15,$F$14,$F$20,U$2,$N$1,$C106)</f>
        <v>0</v>
      </c>
      <c r="V106" s="181">
        <f ca="1">_xll.DBRW(Server&amp;Cube1,$F$17,$F$18,$F$19,$F$16,$C$14,$F$15,$F$14,$F$20,V$2,$N$1,$C106)</f>
        <v>0</v>
      </c>
      <c r="W106" s="181">
        <f ca="1">_xll.DBRW(Server&amp;Cube1,$F$17,$F$18,$F$19,$F$16,$C$14,$F$15,$F$14,$F$20,W$2,$N$1,$C106)</f>
        <v>0</v>
      </c>
      <c r="X106" s="181">
        <f ca="1">_xll.DBRW(Server&amp;Cube1,$F$17,$F$18,$F$19,$F$16,$C$14,$F$15,$F$14,$F$20,X$2,$N$1,$C106)</f>
        <v>0</v>
      </c>
      <c r="Y106" s="181">
        <f ca="1">_xll.DBRW(Server&amp;Cube1,$F$17,$F$18,$F$19,$F$16,$C$14,$F$15,$F$14,$F$20,Y$2,$N$1,$C106)</f>
        <v>0</v>
      </c>
      <c r="Z106" s="181">
        <f ca="1">_xll.DBRW(Server&amp;Cube1,$F$17,$F$18,$F$19,$F$16,$C$14,$F$15,$F$14,$F$20,Z$2,$N$1,$C106)</f>
        <v>0</v>
      </c>
      <c r="AA106" s="53"/>
      <c r="AB106" s="53"/>
      <c r="AC106" s="53"/>
      <c r="AD106" s="53"/>
      <c r="AE106" s="53"/>
      <c r="AF106" s="53"/>
      <c r="AG106" s="53"/>
      <c r="AH106" s="53"/>
      <c r="AI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</row>
    <row r="107" spans="1:47" s="9" customFormat="1" ht="24.75" customHeight="1" x14ac:dyDescent="0.35">
      <c r="A107" s="157">
        <f ca="1">IF($AN$35="YES",1,IF(_xll.ELCOMPN(Server&amp;$C$24,C107)&lt;&gt;0,1,IF(OR(B107=$AT$35,B107="ALL"),1,0)))</f>
        <v>1</v>
      </c>
      <c r="B107" s="139" t="str">
        <f t="shared" si="1"/>
        <v>DS</v>
      </c>
      <c r="C107" s="137" t="s">
        <v>215</v>
      </c>
      <c r="E107" s="219" t="str">
        <f ca="1">_xll.DBRA(Server&amp;$C$24,$C107,$F$21)</f>
        <v>Honoraires &amp; Conseil (SO)</v>
      </c>
      <c r="F107" s="219"/>
      <c r="G107" s="219"/>
      <c r="H107" s="40"/>
      <c r="I107" s="192">
        <f ca="1">_xll.DBRW(Server&amp;Cube1,$F$17,$F$18,$F$19,$F$16,$C$14,$F$15,$F$14,$F$20,I$2,I$1,$C107)</f>
        <v>0</v>
      </c>
      <c r="J107" s="192">
        <f ca="1">_xll.DBRW(Server&amp;Cube1,$F$17,$F$18,$F$19,$F$16,$C$14,$F$15,$F$14,$F$20,J$2,J$1,$C107)</f>
        <v>0</v>
      </c>
      <c r="K107" s="183"/>
      <c r="L107" s="185">
        <f ca="1">_xll.DBRW(Server&amp;Cube1,$F$17,$F$18,$F$19,$F$16,$C$14,$F$15,$F$14,$F$20,L$2,L$1,$C107)</f>
        <v>0</v>
      </c>
      <c r="M107" s="184"/>
      <c r="N107" s="185">
        <f ca="1">_xll.DBRW(Server&amp;Cube1,$F$17,$F$18,$F$19,$F$16,$C$14,$F$15,$F$14,$F$20,N$2,$N$1,$C107)</f>
        <v>0</v>
      </c>
      <c r="O107" s="185">
        <f ca="1">_xll.DBRW(Server&amp;Cube1,$F$17,$F$18,$F$19,$F$16,$C$14,$F$15,$F$14,$F$20,O$2,$N$1,$C107)</f>
        <v>0</v>
      </c>
      <c r="P107" s="185">
        <f ca="1">_xll.DBRW(Server&amp;Cube1,$F$17,$F$18,$F$19,$F$16,$C$14,$F$15,$F$14,$F$20,P$2,$N$1,$C107)</f>
        <v>0</v>
      </c>
      <c r="Q107" s="185">
        <f ca="1">_xll.DBRW(Server&amp;Cube1,$F$17,$F$18,$F$19,$F$16,$C$14,$F$15,$F$14,$F$20,Q$2,$N$1,$C107)</f>
        <v>0</v>
      </c>
      <c r="R107" s="185">
        <f ca="1">_xll.DBRW(Server&amp;Cube1,$F$17,$F$18,$F$19,$F$16,$C$14,$F$15,$F$14,$F$20,R$2,$N$1,$C107)</f>
        <v>0</v>
      </c>
      <c r="S107" s="185">
        <f ca="1">_xll.DBRW(Server&amp;Cube1,$F$17,$F$18,$F$19,$F$16,$C$14,$F$15,$F$14,$F$20,S$2,$N$1,$C107)</f>
        <v>0</v>
      </c>
      <c r="T107" s="185">
        <f ca="1">_xll.DBRW(Server&amp;Cube1,$F$17,$F$18,$F$19,$F$16,$C$14,$F$15,$F$14,$F$20,T$2,$N$1,$C107)</f>
        <v>0</v>
      </c>
      <c r="U107" s="185">
        <f ca="1">_xll.DBRW(Server&amp;Cube1,$F$17,$F$18,$F$19,$F$16,$C$14,$F$15,$F$14,$F$20,U$2,$N$1,$C107)</f>
        <v>0</v>
      </c>
      <c r="V107" s="185">
        <f ca="1">_xll.DBRW(Server&amp;Cube1,$F$17,$F$18,$F$19,$F$16,$C$14,$F$15,$F$14,$F$20,V$2,$N$1,$C107)</f>
        <v>0</v>
      </c>
      <c r="W107" s="185">
        <f ca="1">_xll.DBRW(Server&amp;Cube1,$F$17,$F$18,$F$19,$F$16,$C$14,$F$15,$F$14,$F$20,W$2,$N$1,$C107)</f>
        <v>0</v>
      </c>
      <c r="X107" s="185">
        <f ca="1">_xll.DBRW(Server&amp;Cube1,$F$17,$F$18,$F$19,$F$16,$C$14,$F$15,$F$14,$F$20,X$2,$N$1,$C107)</f>
        <v>0</v>
      </c>
      <c r="Y107" s="185">
        <f ca="1">_xll.DBRW(Server&amp;Cube1,$F$17,$F$18,$F$19,$F$16,$C$14,$F$15,$F$14,$F$20,Y$2,$N$1,$C107)</f>
        <v>0</v>
      </c>
      <c r="Z107" s="185">
        <f ca="1">_xll.DBRW(Server&amp;Cube1,$F$17,$F$18,$F$19,$F$16,$C$14,$F$15,$F$14,$F$20,Z$2,$N$1,$C107)</f>
        <v>0</v>
      </c>
      <c r="AA107" s="53"/>
      <c r="AB107" s="53"/>
      <c r="AC107" s="53"/>
      <c r="AD107" s="53"/>
      <c r="AE107" s="53"/>
      <c r="AF107" s="53"/>
      <c r="AG107" s="53"/>
      <c r="AH107" s="53"/>
      <c r="AI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</row>
    <row r="108" spans="1:47" s="9" customFormat="1" ht="24.75" customHeight="1" x14ac:dyDescent="0.35">
      <c r="A108" s="157">
        <f ca="1">IF($AN$35="YES",1,IF(_xll.ELCOMPN(Server&amp;$C$24,C108)&lt;&gt;0,1,IF(OR(B108=$AT$35,B108="ALL"),1,0)))</f>
        <v>1</v>
      </c>
      <c r="B108" s="139" t="str">
        <f t="shared" si="1"/>
        <v>BD</v>
      </c>
      <c r="C108" s="137" t="s">
        <v>216</v>
      </c>
      <c r="E108" s="219" t="str">
        <f ca="1">_xll.DBRA(Server&amp;$C$24,$C108,$F$21)</f>
        <v>Honoraires &amp; Conseil (DC)</v>
      </c>
      <c r="F108" s="219"/>
      <c r="G108" s="219"/>
      <c r="H108" s="40"/>
      <c r="I108" s="192">
        <f ca="1">_xll.DBRW(Server&amp;Cube1,$F$17,$F$18,$F$19,$F$16,$C$14,$F$15,$F$14,$F$20,I$2,I$1,$C108)</f>
        <v>0</v>
      </c>
      <c r="J108" s="192">
        <f ca="1">_xll.DBRW(Server&amp;Cube1,$F$17,$F$18,$F$19,$F$16,$C$14,$F$15,$F$14,$F$20,J$2,J$1,$C108)</f>
        <v>0</v>
      </c>
      <c r="K108" s="183"/>
      <c r="L108" s="185">
        <f ca="1">_xll.DBRW(Server&amp;Cube1,$F$17,$F$18,$F$19,$F$16,$C$14,$F$15,$F$14,$F$20,L$2,L$1,$C108)</f>
        <v>0</v>
      </c>
      <c r="M108" s="184"/>
      <c r="N108" s="185">
        <f ca="1">_xll.DBRW(Server&amp;Cube1,$F$17,$F$18,$F$19,$F$16,$C$14,$F$15,$F$14,$F$20,N$2,$N$1,$C108)</f>
        <v>0</v>
      </c>
      <c r="O108" s="185">
        <f ca="1">_xll.DBRW(Server&amp;Cube1,$F$17,$F$18,$F$19,$F$16,$C$14,$F$15,$F$14,$F$20,O$2,$N$1,$C108)</f>
        <v>0</v>
      </c>
      <c r="P108" s="185">
        <f ca="1">_xll.DBRW(Server&amp;Cube1,$F$17,$F$18,$F$19,$F$16,$C$14,$F$15,$F$14,$F$20,P$2,$N$1,$C108)</f>
        <v>0</v>
      </c>
      <c r="Q108" s="185">
        <f ca="1">_xll.DBRW(Server&amp;Cube1,$F$17,$F$18,$F$19,$F$16,$C$14,$F$15,$F$14,$F$20,Q$2,$N$1,$C108)</f>
        <v>0</v>
      </c>
      <c r="R108" s="185">
        <f ca="1">_xll.DBRW(Server&amp;Cube1,$F$17,$F$18,$F$19,$F$16,$C$14,$F$15,$F$14,$F$20,R$2,$N$1,$C108)</f>
        <v>0</v>
      </c>
      <c r="S108" s="185">
        <f ca="1">_xll.DBRW(Server&amp;Cube1,$F$17,$F$18,$F$19,$F$16,$C$14,$F$15,$F$14,$F$20,S$2,$N$1,$C108)</f>
        <v>0</v>
      </c>
      <c r="T108" s="185">
        <f ca="1">_xll.DBRW(Server&amp;Cube1,$F$17,$F$18,$F$19,$F$16,$C$14,$F$15,$F$14,$F$20,T$2,$N$1,$C108)</f>
        <v>0</v>
      </c>
      <c r="U108" s="185">
        <f ca="1">_xll.DBRW(Server&amp;Cube1,$F$17,$F$18,$F$19,$F$16,$C$14,$F$15,$F$14,$F$20,U$2,$N$1,$C108)</f>
        <v>0</v>
      </c>
      <c r="V108" s="185">
        <f ca="1">_xll.DBRW(Server&amp;Cube1,$F$17,$F$18,$F$19,$F$16,$C$14,$F$15,$F$14,$F$20,V$2,$N$1,$C108)</f>
        <v>0</v>
      </c>
      <c r="W108" s="185">
        <f ca="1">_xll.DBRW(Server&amp;Cube1,$F$17,$F$18,$F$19,$F$16,$C$14,$F$15,$F$14,$F$20,W$2,$N$1,$C108)</f>
        <v>0</v>
      </c>
      <c r="X108" s="185">
        <f ca="1">_xll.DBRW(Server&amp;Cube1,$F$17,$F$18,$F$19,$F$16,$C$14,$F$15,$F$14,$F$20,X$2,$N$1,$C108)</f>
        <v>0</v>
      </c>
      <c r="Y108" s="185">
        <f ca="1">_xll.DBRW(Server&amp;Cube1,$F$17,$F$18,$F$19,$F$16,$C$14,$F$15,$F$14,$F$20,Y$2,$N$1,$C108)</f>
        <v>0</v>
      </c>
      <c r="Z108" s="185">
        <f ca="1">_xll.DBRW(Server&amp;Cube1,$F$17,$F$18,$F$19,$F$16,$C$14,$F$15,$F$14,$F$20,Z$2,$N$1,$C108)</f>
        <v>0</v>
      </c>
      <c r="AA108" s="53"/>
      <c r="AB108" s="53"/>
      <c r="AC108" s="53"/>
      <c r="AD108" s="53"/>
      <c r="AE108" s="53"/>
      <c r="AF108" s="53"/>
      <c r="AG108" s="53"/>
      <c r="AH108" s="53"/>
      <c r="AI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</row>
    <row r="109" spans="1:47" s="9" customFormat="1" ht="24.75" customHeight="1" x14ac:dyDescent="0.35">
      <c r="A109" s="157">
        <f ca="1">IF($AN$35="YES",1,IF(_xll.ELCOMPN(Server&amp;$C$24,C109)&lt;&gt;0,1,IF(OR(B109=$AT$35,B109="ALL"),1,0)))</f>
        <v>1</v>
      </c>
      <c r="B109" s="139" t="str">
        <f t="shared" si="1"/>
        <v>FI</v>
      </c>
      <c r="C109" s="137" t="s">
        <v>217</v>
      </c>
      <c r="E109" s="219" t="str">
        <f ca="1">_xll.DBRA(Server&amp;$C$24,$C109,$F$21)</f>
        <v>Honoraires &amp; Conseil (DF)</v>
      </c>
      <c r="F109" s="219"/>
      <c r="G109" s="219"/>
      <c r="H109" s="40"/>
      <c r="I109" s="192">
        <f ca="1">_xll.DBRW(Server&amp;Cube1,$F$17,$F$18,$F$19,$F$16,$C$14,$F$15,$F$14,$F$20,I$2,I$1,$C109)</f>
        <v>0</v>
      </c>
      <c r="J109" s="192">
        <f ca="1">_xll.DBRW(Server&amp;Cube1,$F$17,$F$18,$F$19,$F$16,$C$14,$F$15,$F$14,$F$20,J$2,J$1,$C109)</f>
        <v>0</v>
      </c>
      <c r="K109" s="183"/>
      <c r="L109" s="185">
        <f ca="1">_xll.DBRW(Server&amp;Cube1,$F$17,$F$18,$F$19,$F$16,$C$14,$F$15,$F$14,$F$20,L$2,L$1,$C109)</f>
        <v>0</v>
      </c>
      <c r="M109" s="184"/>
      <c r="N109" s="185">
        <f ca="1">_xll.DBRW(Server&amp;Cube1,$F$17,$F$18,$F$19,$F$16,$C$14,$F$15,$F$14,$F$20,N$2,$N$1,$C109)</f>
        <v>0</v>
      </c>
      <c r="O109" s="185">
        <f ca="1">_xll.DBRW(Server&amp;Cube1,$F$17,$F$18,$F$19,$F$16,$C$14,$F$15,$F$14,$F$20,O$2,$N$1,$C109)</f>
        <v>0</v>
      </c>
      <c r="P109" s="185">
        <f ca="1">_xll.DBRW(Server&amp;Cube1,$F$17,$F$18,$F$19,$F$16,$C$14,$F$15,$F$14,$F$20,P$2,$N$1,$C109)</f>
        <v>0</v>
      </c>
      <c r="Q109" s="185">
        <f ca="1">_xll.DBRW(Server&amp;Cube1,$F$17,$F$18,$F$19,$F$16,$C$14,$F$15,$F$14,$F$20,Q$2,$N$1,$C109)</f>
        <v>0</v>
      </c>
      <c r="R109" s="185">
        <f ca="1">_xll.DBRW(Server&amp;Cube1,$F$17,$F$18,$F$19,$F$16,$C$14,$F$15,$F$14,$F$20,R$2,$N$1,$C109)</f>
        <v>0</v>
      </c>
      <c r="S109" s="185">
        <f ca="1">_xll.DBRW(Server&amp;Cube1,$F$17,$F$18,$F$19,$F$16,$C$14,$F$15,$F$14,$F$20,S$2,$N$1,$C109)</f>
        <v>0</v>
      </c>
      <c r="T109" s="185">
        <f ca="1">_xll.DBRW(Server&amp;Cube1,$F$17,$F$18,$F$19,$F$16,$C$14,$F$15,$F$14,$F$20,T$2,$N$1,$C109)</f>
        <v>0</v>
      </c>
      <c r="U109" s="185">
        <f ca="1">_xll.DBRW(Server&amp;Cube1,$F$17,$F$18,$F$19,$F$16,$C$14,$F$15,$F$14,$F$20,U$2,$N$1,$C109)</f>
        <v>0</v>
      </c>
      <c r="V109" s="185">
        <f ca="1">_xll.DBRW(Server&amp;Cube1,$F$17,$F$18,$F$19,$F$16,$C$14,$F$15,$F$14,$F$20,V$2,$N$1,$C109)</f>
        <v>0</v>
      </c>
      <c r="W109" s="185">
        <f ca="1">_xll.DBRW(Server&amp;Cube1,$F$17,$F$18,$F$19,$F$16,$C$14,$F$15,$F$14,$F$20,W$2,$N$1,$C109)</f>
        <v>0</v>
      </c>
      <c r="X109" s="185">
        <f ca="1">_xll.DBRW(Server&amp;Cube1,$F$17,$F$18,$F$19,$F$16,$C$14,$F$15,$F$14,$F$20,X$2,$N$1,$C109)</f>
        <v>0</v>
      </c>
      <c r="Y109" s="185">
        <f ca="1">_xll.DBRW(Server&amp;Cube1,$F$17,$F$18,$F$19,$F$16,$C$14,$F$15,$F$14,$F$20,Y$2,$N$1,$C109)</f>
        <v>0</v>
      </c>
      <c r="Z109" s="185">
        <f ca="1">_xll.DBRW(Server&amp;Cube1,$F$17,$F$18,$F$19,$F$16,$C$14,$F$15,$F$14,$F$20,Z$2,$N$1,$C109)</f>
        <v>0</v>
      </c>
      <c r="AA109" s="53"/>
      <c r="AB109" s="53"/>
      <c r="AC109" s="53"/>
      <c r="AD109" s="53"/>
      <c r="AE109" s="53"/>
      <c r="AF109" s="53"/>
      <c r="AG109" s="53"/>
      <c r="AH109" s="53"/>
      <c r="AI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</row>
    <row r="110" spans="1:47" s="9" customFormat="1" ht="24.75" customHeight="1" x14ac:dyDescent="0.35">
      <c r="A110" s="157">
        <f ca="1">IF($AN$35="YES",1,IF(_xll.ELCOMPN(Server&amp;$C$24,C110)&lt;&gt;0,1,IF(OR(B110=$AT$35,B110="ALL"),1,0)))</f>
        <v>1</v>
      </c>
      <c r="B110" s="139" t="str">
        <f t="shared" si="1"/>
        <v>IT</v>
      </c>
      <c r="C110" s="137" t="s">
        <v>218</v>
      </c>
      <c r="E110" s="219" t="str">
        <f ca="1">_xll.DBRA(Server&amp;$C$24,$C110,$F$21)</f>
        <v>Honoraires &amp; Conseil (IT)</v>
      </c>
      <c r="F110" s="219"/>
      <c r="G110" s="219"/>
      <c r="H110" s="40"/>
      <c r="I110" s="192">
        <f ca="1">_xll.DBRW(Server&amp;Cube1,$F$17,$F$18,$F$19,$F$16,$C$14,$F$15,$F$14,$F$20,I$2,I$1,$C110)</f>
        <v>0</v>
      </c>
      <c r="J110" s="192">
        <f ca="1">_xll.DBRW(Server&amp;Cube1,$F$17,$F$18,$F$19,$F$16,$C$14,$F$15,$F$14,$F$20,J$2,J$1,$C110)</f>
        <v>0</v>
      </c>
      <c r="K110" s="183"/>
      <c r="L110" s="185">
        <f ca="1">_xll.DBRW(Server&amp;Cube1,$F$17,$F$18,$F$19,$F$16,$C$14,$F$15,$F$14,$F$20,L$2,L$1,$C110)</f>
        <v>0</v>
      </c>
      <c r="M110" s="184"/>
      <c r="N110" s="185">
        <f ca="1">_xll.DBRW(Server&amp;Cube1,$F$17,$F$18,$F$19,$F$16,$C$14,$F$15,$F$14,$F$20,N$2,$N$1,$C110)</f>
        <v>0</v>
      </c>
      <c r="O110" s="185">
        <f ca="1">_xll.DBRW(Server&amp;Cube1,$F$17,$F$18,$F$19,$F$16,$C$14,$F$15,$F$14,$F$20,O$2,$N$1,$C110)</f>
        <v>0</v>
      </c>
      <c r="P110" s="185">
        <f ca="1">_xll.DBRW(Server&amp;Cube1,$F$17,$F$18,$F$19,$F$16,$C$14,$F$15,$F$14,$F$20,P$2,$N$1,$C110)</f>
        <v>0</v>
      </c>
      <c r="Q110" s="185">
        <f ca="1">_xll.DBRW(Server&amp;Cube1,$F$17,$F$18,$F$19,$F$16,$C$14,$F$15,$F$14,$F$20,Q$2,$N$1,$C110)</f>
        <v>0</v>
      </c>
      <c r="R110" s="185">
        <f ca="1">_xll.DBRW(Server&amp;Cube1,$F$17,$F$18,$F$19,$F$16,$C$14,$F$15,$F$14,$F$20,R$2,$N$1,$C110)</f>
        <v>0</v>
      </c>
      <c r="S110" s="185">
        <f ca="1">_xll.DBRW(Server&amp;Cube1,$F$17,$F$18,$F$19,$F$16,$C$14,$F$15,$F$14,$F$20,S$2,$N$1,$C110)</f>
        <v>0</v>
      </c>
      <c r="T110" s="185">
        <f ca="1">_xll.DBRW(Server&amp;Cube1,$F$17,$F$18,$F$19,$F$16,$C$14,$F$15,$F$14,$F$20,T$2,$N$1,$C110)</f>
        <v>0</v>
      </c>
      <c r="U110" s="185">
        <f ca="1">_xll.DBRW(Server&amp;Cube1,$F$17,$F$18,$F$19,$F$16,$C$14,$F$15,$F$14,$F$20,U$2,$N$1,$C110)</f>
        <v>0</v>
      </c>
      <c r="V110" s="185">
        <f ca="1">_xll.DBRW(Server&amp;Cube1,$F$17,$F$18,$F$19,$F$16,$C$14,$F$15,$F$14,$F$20,V$2,$N$1,$C110)</f>
        <v>0</v>
      </c>
      <c r="W110" s="185">
        <f ca="1">_xll.DBRW(Server&amp;Cube1,$F$17,$F$18,$F$19,$F$16,$C$14,$F$15,$F$14,$F$20,W$2,$N$1,$C110)</f>
        <v>0</v>
      </c>
      <c r="X110" s="185">
        <f ca="1">_xll.DBRW(Server&amp;Cube1,$F$17,$F$18,$F$19,$F$16,$C$14,$F$15,$F$14,$F$20,X$2,$N$1,$C110)</f>
        <v>0</v>
      </c>
      <c r="Y110" s="185">
        <f ca="1">_xll.DBRW(Server&amp;Cube1,$F$17,$F$18,$F$19,$F$16,$C$14,$F$15,$F$14,$F$20,Y$2,$N$1,$C110)</f>
        <v>0</v>
      </c>
      <c r="Z110" s="185">
        <f ca="1">_xll.DBRW(Server&amp;Cube1,$F$17,$F$18,$F$19,$F$16,$C$14,$F$15,$F$14,$F$20,Z$2,$N$1,$C110)</f>
        <v>0</v>
      </c>
      <c r="AA110" s="53"/>
      <c r="AB110" s="53"/>
      <c r="AC110" s="53"/>
      <c r="AD110" s="53"/>
      <c r="AE110" s="53"/>
      <c r="AF110" s="53"/>
      <c r="AG110" s="53"/>
      <c r="AH110" s="53"/>
      <c r="AI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</row>
    <row r="111" spans="1:47" s="9" customFormat="1" ht="24.75" customHeight="1" x14ac:dyDescent="0.35">
      <c r="A111" s="157">
        <f ca="1">IF($AN$35="YES",1,IF(_xll.ELCOMPN(Server&amp;$C$24,C111)&lt;&gt;0,1,IF(OR(B111=$AT$35,B111="ALL"),1,0)))</f>
        <v>1</v>
      </c>
      <c r="B111" s="139" t="str">
        <f t="shared" si="1"/>
        <v>HR</v>
      </c>
      <c r="C111" s="137" t="s">
        <v>219</v>
      </c>
      <c r="E111" s="219" t="str">
        <f ca="1">_xll.DBRA(Server&amp;$C$24,$C111,$F$21)</f>
        <v>Honoraires &amp; Conseil (RH)</v>
      </c>
      <c r="F111" s="219"/>
      <c r="G111" s="219"/>
      <c r="H111" s="40"/>
      <c r="I111" s="192">
        <f ca="1">_xll.DBRW(Server&amp;Cube1,$F$17,$F$18,$F$19,$F$16,$C$14,$F$15,$F$14,$F$20,I$2,I$1,$C111)</f>
        <v>0</v>
      </c>
      <c r="J111" s="192">
        <f ca="1">_xll.DBRW(Server&amp;Cube1,$F$17,$F$18,$F$19,$F$16,$C$14,$F$15,$F$14,$F$20,J$2,J$1,$C111)</f>
        <v>0</v>
      </c>
      <c r="K111" s="183"/>
      <c r="L111" s="185">
        <f ca="1">_xll.DBRW(Server&amp;Cube1,$F$17,$F$18,$F$19,$F$16,$C$14,$F$15,$F$14,$F$20,L$2,L$1,$C111)</f>
        <v>0</v>
      </c>
      <c r="M111" s="184"/>
      <c r="N111" s="185">
        <f ca="1">_xll.DBRW(Server&amp;Cube1,$F$17,$F$18,$F$19,$F$16,$C$14,$F$15,$F$14,$F$20,N$2,$N$1,$C111)</f>
        <v>0</v>
      </c>
      <c r="O111" s="185">
        <f ca="1">_xll.DBRW(Server&amp;Cube1,$F$17,$F$18,$F$19,$F$16,$C$14,$F$15,$F$14,$F$20,O$2,$N$1,$C111)</f>
        <v>0</v>
      </c>
      <c r="P111" s="185">
        <f ca="1">_xll.DBRW(Server&amp;Cube1,$F$17,$F$18,$F$19,$F$16,$C$14,$F$15,$F$14,$F$20,P$2,$N$1,$C111)</f>
        <v>0</v>
      </c>
      <c r="Q111" s="185">
        <f ca="1">_xll.DBRW(Server&amp;Cube1,$F$17,$F$18,$F$19,$F$16,$C$14,$F$15,$F$14,$F$20,Q$2,$N$1,$C111)</f>
        <v>0</v>
      </c>
      <c r="R111" s="185">
        <f ca="1">_xll.DBRW(Server&amp;Cube1,$F$17,$F$18,$F$19,$F$16,$C$14,$F$15,$F$14,$F$20,R$2,$N$1,$C111)</f>
        <v>0</v>
      </c>
      <c r="S111" s="185">
        <f ca="1">_xll.DBRW(Server&amp;Cube1,$F$17,$F$18,$F$19,$F$16,$C$14,$F$15,$F$14,$F$20,S$2,$N$1,$C111)</f>
        <v>0</v>
      </c>
      <c r="T111" s="185">
        <f ca="1">_xll.DBRW(Server&amp;Cube1,$F$17,$F$18,$F$19,$F$16,$C$14,$F$15,$F$14,$F$20,T$2,$N$1,$C111)</f>
        <v>0</v>
      </c>
      <c r="U111" s="185">
        <f ca="1">_xll.DBRW(Server&amp;Cube1,$F$17,$F$18,$F$19,$F$16,$C$14,$F$15,$F$14,$F$20,U$2,$N$1,$C111)</f>
        <v>0</v>
      </c>
      <c r="V111" s="185">
        <f ca="1">_xll.DBRW(Server&amp;Cube1,$F$17,$F$18,$F$19,$F$16,$C$14,$F$15,$F$14,$F$20,V$2,$N$1,$C111)</f>
        <v>0</v>
      </c>
      <c r="W111" s="185">
        <f ca="1">_xll.DBRW(Server&amp;Cube1,$F$17,$F$18,$F$19,$F$16,$C$14,$F$15,$F$14,$F$20,W$2,$N$1,$C111)</f>
        <v>0</v>
      </c>
      <c r="X111" s="185">
        <f ca="1">_xll.DBRW(Server&amp;Cube1,$F$17,$F$18,$F$19,$F$16,$C$14,$F$15,$F$14,$F$20,X$2,$N$1,$C111)</f>
        <v>0</v>
      </c>
      <c r="Y111" s="185">
        <f ca="1">_xll.DBRW(Server&amp;Cube1,$F$17,$F$18,$F$19,$F$16,$C$14,$F$15,$F$14,$F$20,Y$2,$N$1,$C111)</f>
        <v>0</v>
      </c>
      <c r="Z111" s="185">
        <f ca="1">_xll.DBRW(Server&amp;Cube1,$F$17,$F$18,$F$19,$F$16,$C$14,$F$15,$F$14,$F$20,Z$2,$N$1,$C111)</f>
        <v>0</v>
      </c>
      <c r="AA111" s="53"/>
      <c r="AB111" s="53"/>
      <c r="AC111" s="53"/>
      <c r="AD111" s="53"/>
      <c r="AE111" s="53"/>
      <c r="AF111" s="53"/>
      <c r="AG111" s="53"/>
      <c r="AH111" s="53"/>
      <c r="AI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</row>
    <row r="112" spans="1:47" s="9" customFormat="1" ht="24.75" customHeight="1" x14ac:dyDescent="0.35">
      <c r="A112" s="157">
        <f ca="1">IF($AN$35="YES",1,IF(_xll.ELCOMPN(Server&amp;$C$24,C112)&lt;&gt;0,1,IF(OR(B112=$AT$35,B112="ALL"),1,0)))</f>
        <v>1</v>
      </c>
      <c r="B112" s="139" t="str">
        <f t="shared" si="1"/>
        <v>GM</v>
      </c>
      <c r="C112" s="137" t="s">
        <v>220</v>
      </c>
      <c r="E112" s="219" t="str">
        <f ca="1">_xll.DBRA(Server&amp;$C$24,$C112,$F$21)</f>
        <v>Honoraires &amp; Conseil (DG)</v>
      </c>
      <c r="F112" s="219"/>
      <c r="G112" s="219"/>
      <c r="H112" s="40"/>
      <c r="I112" s="192">
        <f ca="1">_xll.DBRW(Server&amp;Cube1,$F$17,$F$18,$F$19,$F$16,$C$14,$F$15,$F$14,$F$20,I$2,I$1,$C112)</f>
        <v>0</v>
      </c>
      <c r="J112" s="192">
        <f ca="1">_xll.DBRW(Server&amp;Cube1,$F$17,$F$18,$F$19,$F$16,$C$14,$F$15,$F$14,$F$20,J$2,J$1,$C112)</f>
        <v>0</v>
      </c>
      <c r="K112" s="183"/>
      <c r="L112" s="185">
        <f ca="1">_xll.DBRW(Server&amp;Cube1,$F$17,$F$18,$F$19,$F$16,$C$14,$F$15,$F$14,$F$20,L$2,L$1,$C112)</f>
        <v>0</v>
      </c>
      <c r="M112" s="184"/>
      <c r="N112" s="185">
        <f ca="1">_xll.DBRW(Server&amp;Cube1,$F$17,$F$18,$F$19,$F$16,$C$14,$F$15,$F$14,$F$20,N$2,$N$1,$C112)</f>
        <v>0</v>
      </c>
      <c r="O112" s="185">
        <f ca="1">_xll.DBRW(Server&amp;Cube1,$F$17,$F$18,$F$19,$F$16,$C$14,$F$15,$F$14,$F$20,O$2,$N$1,$C112)</f>
        <v>0</v>
      </c>
      <c r="P112" s="185">
        <f ca="1">_xll.DBRW(Server&amp;Cube1,$F$17,$F$18,$F$19,$F$16,$C$14,$F$15,$F$14,$F$20,P$2,$N$1,$C112)</f>
        <v>0</v>
      </c>
      <c r="Q112" s="185">
        <f ca="1">_xll.DBRW(Server&amp;Cube1,$F$17,$F$18,$F$19,$F$16,$C$14,$F$15,$F$14,$F$20,Q$2,$N$1,$C112)</f>
        <v>0</v>
      </c>
      <c r="R112" s="185">
        <f ca="1">_xll.DBRW(Server&amp;Cube1,$F$17,$F$18,$F$19,$F$16,$C$14,$F$15,$F$14,$F$20,R$2,$N$1,$C112)</f>
        <v>0</v>
      </c>
      <c r="S112" s="185">
        <f ca="1">_xll.DBRW(Server&amp;Cube1,$F$17,$F$18,$F$19,$F$16,$C$14,$F$15,$F$14,$F$20,S$2,$N$1,$C112)</f>
        <v>0</v>
      </c>
      <c r="T112" s="185">
        <f ca="1">_xll.DBRW(Server&amp;Cube1,$F$17,$F$18,$F$19,$F$16,$C$14,$F$15,$F$14,$F$20,T$2,$N$1,$C112)</f>
        <v>0</v>
      </c>
      <c r="U112" s="185">
        <f ca="1">_xll.DBRW(Server&amp;Cube1,$F$17,$F$18,$F$19,$F$16,$C$14,$F$15,$F$14,$F$20,U$2,$N$1,$C112)</f>
        <v>0</v>
      </c>
      <c r="V112" s="185">
        <f ca="1">_xll.DBRW(Server&amp;Cube1,$F$17,$F$18,$F$19,$F$16,$C$14,$F$15,$F$14,$F$20,V$2,$N$1,$C112)</f>
        <v>0</v>
      </c>
      <c r="W112" s="185">
        <f ca="1">_xll.DBRW(Server&amp;Cube1,$F$17,$F$18,$F$19,$F$16,$C$14,$F$15,$F$14,$F$20,W$2,$N$1,$C112)</f>
        <v>0</v>
      </c>
      <c r="X112" s="185">
        <f ca="1">_xll.DBRW(Server&amp;Cube1,$F$17,$F$18,$F$19,$F$16,$C$14,$F$15,$F$14,$F$20,X$2,$N$1,$C112)</f>
        <v>0</v>
      </c>
      <c r="Y112" s="185">
        <f ca="1">_xll.DBRW(Server&amp;Cube1,$F$17,$F$18,$F$19,$F$16,$C$14,$F$15,$F$14,$F$20,Y$2,$N$1,$C112)</f>
        <v>0</v>
      </c>
      <c r="Z112" s="185">
        <f ca="1">_xll.DBRW(Server&amp;Cube1,$F$17,$F$18,$F$19,$F$16,$C$14,$F$15,$F$14,$F$20,Z$2,$N$1,$C112)</f>
        <v>0</v>
      </c>
      <c r="AA112" s="53"/>
      <c r="AB112" s="53"/>
      <c r="AC112" s="53"/>
      <c r="AD112" s="53"/>
      <c r="AE112" s="53"/>
      <c r="AF112" s="53"/>
      <c r="AG112" s="53"/>
      <c r="AH112" s="53"/>
      <c r="AI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</row>
    <row r="113" spans="1:47" s="9" customFormat="1" ht="24.75" customHeight="1" x14ac:dyDescent="0.35">
      <c r="A113" s="157">
        <f ca="1">IF($AN$35="YES",1,IF(_xll.ELCOMPN(Server&amp;$C$24,C113)&lt;&gt;0,1,IF(OR(B113=$AT$35,B113="ALL"),1,0)))</f>
        <v>1</v>
      </c>
      <c r="B113" s="139" t="str">
        <f t="shared" si="1"/>
        <v>IA</v>
      </c>
      <c r="C113" s="137" t="s">
        <v>221</v>
      </c>
      <c r="E113" s="219" t="str">
        <f ca="1">_xll.DBRA(Server&amp;$C$24,$C113,$F$21)</f>
        <v>Honoraires &amp; Conseil (AI)</v>
      </c>
      <c r="F113" s="219"/>
      <c r="G113" s="219"/>
      <c r="H113" s="40"/>
      <c r="I113" s="192">
        <f ca="1">_xll.DBRW(Server&amp;Cube1,$F$17,$F$18,$F$19,$F$16,$C$14,$F$15,$F$14,$F$20,I$2,I$1,$C113)</f>
        <v>0</v>
      </c>
      <c r="J113" s="192">
        <f ca="1">_xll.DBRW(Server&amp;Cube1,$F$17,$F$18,$F$19,$F$16,$C$14,$F$15,$F$14,$F$20,J$2,J$1,$C113)</f>
        <v>0</v>
      </c>
      <c r="K113" s="183"/>
      <c r="L113" s="185">
        <f ca="1">_xll.DBRW(Server&amp;Cube1,$F$17,$F$18,$F$19,$F$16,$C$14,$F$15,$F$14,$F$20,L$2,L$1,$C113)</f>
        <v>0</v>
      </c>
      <c r="M113" s="184"/>
      <c r="N113" s="185">
        <f ca="1">_xll.DBRW(Server&amp;Cube1,$F$17,$F$18,$F$19,$F$16,$C$14,$F$15,$F$14,$F$20,N$2,$N$1,$C113)</f>
        <v>0</v>
      </c>
      <c r="O113" s="185">
        <f ca="1">_xll.DBRW(Server&amp;Cube1,$F$17,$F$18,$F$19,$F$16,$C$14,$F$15,$F$14,$F$20,O$2,$N$1,$C113)</f>
        <v>0</v>
      </c>
      <c r="P113" s="185">
        <f ca="1">_xll.DBRW(Server&amp;Cube1,$F$17,$F$18,$F$19,$F$16,$C$14,$F$15,$F$14,$F$20,P$2,$N$1,$C113)</f>
        <v>0</v>
      </c>
      <c r="Q113" s="185">
        <f ca="1">_xll.DBRW(Server&amp;Cube1,$F$17,$F$18,$F$19,$F$16,$C$14,$F$15,$F$14,$F$20,Q$2,$N$1,$C113)</f>
        <v>0</v>
      </c>
      <c r="R113" s="185">
        <f ca="1">_xll.DBRW(Server&amp;Cube1,$F$17,$F$18,$F$19,$F$16,$C$14,$F$15,$F$14,$F$20,R$2,$N$1,$C113)</f>
        <v>0</v>
      </c>
      <c r="S113" s="185">
        <f ca="1">_xll.DBRW(Server&amp;Cube1,$F$17,$F$18,$F$19,$F$16,$C$14,$F$15,$F$14,$F$20,S$2,$N$1,$C113)</f>
        <v>0</v>
      </c>
      <c r="T113" s="185">
        <f ca="1">_xll.DBRW(Server&amp;Cube1,$F$17,$F$18,$F$19,$F$16,$C$14,$F$15,$F$14,$F$20,T$2,$N$1,$C113)</f>
        <v>0</v>
      </c>
      <c r="U113" s="185">
        <f ca="1">_xll.DBRW(Server&amp;Cube1,$F$17,$F$18,$F$19,$F$16,$C$14,$F$15,$F$14,$F$20,U$2,$N$1,$C113)</f>
        <v>0</v>
      </c>
      <c r="V113" s="185">
        <f ca="1">_xll.DBRW(Server&amp;Cube1,$F$17,$F$18,$F$19,$F$16,$C$14,$F$15,$F$14,$F$20,V$2,$N$1,$C113)</f>
        <v>0</v>
      </c>
      <c r="W113" s="185">
        <f ca="1">_xll.DBRW(Server&amp;Cube1,$F$17,$F$18,$F$19,$F$16,$C$14,$F$15,$F$14,$F$20,W$2,$N$1,$C113)</f>
        <v>0</v>
      </c>
      <c r="X113" s="185">
        <f ca="1">_xll.DBRW(Server&amp;Cube1,$F$17,$F$18,$F$19,$F$16,$C$14,$F$15,$F$14,$F$20,X$2,$N$1,$C113)</f>
        <v>0</v>
      </c>
      <c r="Y113" s="185">
        <f ca="1">_xll.DBRW(Server&amp;Cube1,$F$17,$F$18,$F$19,$F$16,$C$14,$F$15,$F$14,$F$20,Y$2,$N$1,$C113)</f>
        <v>0</v>
      </c>
      <c r="Z113" s="185">
        <f ca="1">_xll.DBRW(Server&amp;Cube1,$F$17,$F$18,$F$19,$F$16,$C$14,$F$15,$F$14,$F$20,Z$2,$N$1,$C113)</f>
        <v>0</v>
      </c>
      <c r="AA113" s="53"/>
      <c r="AB113" s="53"/>
      <c r="AC113" s="53"/>
      <c r="AD113" s="53"/>
      <c r="AE113" s="53"/>
      <c r="AF113" s="53"/>
      <c r="AG113" s="53"/>
      <c r="AH113" s="53"/>
      <c r="AI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</row>
    <row r="114" spans="1:47" s="9" customFormat="1" ht="24.75" customHeight="1" x14ac:dyDescent="0.35">
      <c r="A114" s="157">
        <f ca="1">IF($AN$35="YES",1,IF(_xll.ELCOMPN(Server&amp;$C$24,C114)&lt;&gt;0,1,IF(OR(B114=$AT$35,B114="ALL"),1,0)))</f>
        <v>1</v>
      </c>
      <c r="B114" s="139" t="str">
        <f t="shared" si="1"/>
        <v>LE</v>
      </c>
      <c r="C114" s="137" t="s">
        <v>222</v>
      </c>
      <c r="E114" s="219" t="str">
        <f ca="1">_xll.DBRA(Server&amp;$C$24,$C114,$F$21)</f>
        <v>Honoraires &amp; Conseil (JU)</v>
      </c>
      <c r="F114" s="219"/>
      <c r="G114" s="219"/>
      <c r="H114" s="40"/>
      <c r="I114" s="192">
        <f ca="1">_xll.DBRW(Server&amp;Cube1,$F$17,$F$18,$F$19,$F$16,$C$14,$F$15,$F$14,$F$20,I$2,I$1,$C114)</f>
        <v>0</v>
      </c>
      <c r="J114" s="192">
        <f ca="1">_xll.DBRW(Server&amp;Cube1,$F$17,$F$18,$F$19,$F$16,$C$14,$F$15,$F$14,$F$20,J$2,J$1,$C114)</f>
        <v>0</v>
      </c>
      <c r="K114" s="183"/>
      <c r="L114" s="185">
        <f ca="1">_xll.DBRW(Server&amp;Cube1,$F$17,$F$18,$F$19,$F$16,$C$14,$F$15,$F$14,$F$20,L$2,L$1,$C114)</f>
        <v>0</v>
      </c>
      <c r="M114" s="184"/>
      <c r="N114" s="185">
        <f ca="1">_xll.DBRW(Server&amp;Cube1,$F$17,$F$18,$F$19,$F$16,$C$14,$F$15,$F$14,$F$20,N$2,$N$1,$C114)</f>
        <v>0</v>
      </c>
      <c r="O114" s="185">
        <f ca="1">_xll.DBRW(Server&amp;Cube1,$F$17,$F$18,$F$19,$F$16,$C$14,$F$15,$F$14,$F$20,O$2,$N$1,$C114)</f>
        <v>0</v>
      </c>
      <c r="P114" s="185">
        <f ca="1">_xll.DBRW(Server&amp;Cube1,$F$17,$F$18,$F$19,$F$16,$C$14,$F$15,$F$14,$F$20,P$2,$N$1,$C114)</f>
        <v>0</v>
      </c>
      <c r="Q114" s="185">
        <f ca="1">_xll.DBRW(Server&amp;Cube1,$F$17,$F$18,$F$19,$F$16,$C$14,$F$15,$F$14,$F$20,Q$2,$N$1,$C114)</f>
        <v>0</v>
      </c>
      <c r="R114" s="185">
        <f ca="1">_xll.DBRW(Server&amp;Cube1,$F$17,$F$18,$F$19,$F$16,$C$14,$F$15,$F$14,$F$20,R$2,$N$1,$C114)</f>
        <v>0</v>
      </c>
      <c r="S114" s="185">
        <f ca="1">_xll.DBRW(Server&amp;Cube1,$F$17,$F$18,$F$19,$F$16,$C$14,$F$15,$F$14,$F$20,S$2,$N$1,$C114)</f>
        <v>0</v>
      </c>
      <c r="T114" s="185">
        <f ca="1">_xll.DBRW(Server&amp;Cube1,$F$17,$F$18,$F$19,$F$16,$C$14,$F$15,$F$14,$F$20,T$2,$N$1,$C114)</f>
        <v>0</v>
      </c>
      <c r="U114" s="185">
        <f ca="1">_xll.DBRW(Server&amp;Cube1,$F$17,$F$18,$F$19,$F$16,$C$14,$F$15,$F$14,$F$20,U$2,$N$1,$C114)</f>
        <v>0</v>
      </c>
      <c r="V114" s="185">
        <f ca="1">_xll.DBRW(Server&amp;Cube1,$F$17,$F$18,$F$19,$F$16,$C$14,$F$15,$F$14,$F$20,V$2,$N$1,$C114)</f>
        <v>0</v>
      </c>
      <c r="W114" s="185">
        <f ca="1">_xll.DBRW(Server&amp;Cube1,$F$17,$F$18,$F$19,$F$16,$C$14,$F$15,$F$14,$F$20,W$2,$N$1,$C114)</f>
        <v>0</v>
      </c>
      <c r="X114" s="185">
        <f ca="1">_xll.DBRW(Server&amp;Cube1,$F$17,$F$18,$F$19,$F$16,$C$14,$F$15,$F$14,$F$20,X$2,$N$1,$C114)</f>
        <v>0</v>
      </c>
      <c r="Y114" s="185">
        <f ca="1">_xll.DBRW(Server&amp;Cube1,$F$17,$F$18,$F$19,$F$16,$C$14,$F$15,$F$14,$F$20,Y$2,$N$1,$C114)</f>
        <v>0</v>
      </c>
      <c r="Z114" s="185">
        <f ca="1">_xll.DBRW(Server&amp;Cube1,$F$17,$F$18,$F$19,$F$16,$C$14,$F$15,$F$14,$F$20,Z$2,$N$1,$C114)</f>
        <v>0</v>
      </c>
      <c r="AA114" s="53"/>
      <c r="AB114" s="53"/>
      <c r="AC114" s="53"/>
      <c r="AD114" s="53"/>
      <c r="AE114" s="53"/>
      <c r="AF114" s="53"/>
      <c r="AG114" s="53"/>
      <c r="AH114" s="53"/>
      <c r="AI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</row>
    <row r="115" spans="1:47" s="9" customFormat="1" ht="24.75" customHeight="1" x14ac:dyDescent="0.35">
      <c r="A115" s="157">
        <f ca="1">IF($AN$35="YES",1,IF(_xll.ELCOMPN(Server&amp;$C$24,C115)&lt;&gt;0,1,IF(OR(B115=$AT$35,B115="ALL"),1,0)))</f>
        <v>1</v>
      </c>
      <c r="B115" s="139" t="str">
        <f t="shared" si="1"/>
        <v>RM</v>
      </c>
      <c r="C115" s="137" t="s">
        <v>223</v>
      </c>
      <c r="E115" s="219" t="str">
        <f ca="1">_xll.DBRA(Server&amp;$C$24,$C115,$F$21)</f>
        <v>Honoraires &amp; Conseil (GR)</v>
      </c>
      <c r="F115" s="219"/>
      <c r="G115" s="219"/>
      <c r="H115" s="40"/>
      <c r="I115" s="192">
        <f ca="1">_xll.DBRW(Server&amp;Cube1,$F$17,$F$18,$F$19,$F$16,$C$14,$F$15,$F$14,$F$20,I$2,I$1,$C115)</f>
        <v>0</v>
      </c>
      <c r="J115" s="192">
        <f ca="1">_xll.DBRW(Server&amp;Cube1,$F$17,$F$18,$F$19,$F$16,$C$14,$F$15,$F$14,$F$20,J$2,J$1,$C115)</f>
        <v>0</v>
      </c>
      <c r="K115" s="183"/>
      <c r="L115" s="185">
        <f ca="1">_xll.DBRW(Server&amp;Cube1,$F$17,$F$18,$F$19,$F$16,$C$14,$F$15,$F$14,$F$20,L$2,L$1,$C115)</f>
        <v>0</v>
      </c>
      <c r="M115" s="184"/>
      <c r="N115" s="185">
        <f ca="1">_xll.DBRW(Server&amp;Cube1,$F$17,$F$18,$F$19,$F$16,$C$14,$F$15,$F$14,$F$20,N$2,$N$1,$C115)</f>
        <v>0</v>
      </c>
      <c r="O115" s="185">
        <f ca="1">_xll.DBRW(Server&amp;Cube1,$F$17,$F$18,$F$19,$F$16,$C$14,$F$15,$F$14,$F$20,O$2,$N$1,$C115)</f>
        <v>0</v>
      </c>
      <c r="P115" s="185">
        <f ca="1">_xll.DBRW(Server&amp;Cube1,$F$17,$F$18,$F$19,$F$16,$C$14,$F$15,$F$14,$F$20,P$2,$N$1,$C115)</f>
        <v>0</v>
      </c>
      <c r="Q115" s="185">
        <f ca="1">_xll.DBRW(Server&amp;Cube1,$F$17,$F$18,$F$19,$F$16,$C$14,$F$15,$F$14,$F$20,Q$2,$N$1,$C115)</f>
        <v>0</v>
      </c>
      <c r="R115" s="185">
        <f ca="1">_xll.DBRW(Server&amp;Cube1,$F$17,$F$18,$F$19,$F$16,$C$14,$F$15,$F$14,$F$20,R$2,$N$1,$C115)</f>
        <v>0</v>
      </c>
      <c r="S115" s="185">
        <f ca="1">_xll.DBRW(Server&amp;Cube1,$F$17,$F$18,$F$19,$F$16,$C$14,$F$15,$F$14,$F$20,S$2,$N$1,$C115)</f>
        <v>0</v>
      </c>
      <c r="T115" s="185">
        <f ca="1">_xll.DBRW(Server&amp;Cube1,$F$17,$F$18,$F$19,$F$16,$C$14,$F$15,$F$14,$F$20,T$2,$N$1,$C115)</f>
        <v>0</v>
      </c>
      <c r="U115" s="185">
        <f ca="1">_xll.DBRW(Server&amp;Cube1,$F$17,$F$18,$F$19,$F$16,$C$14,$F$15,$F$14,$F$20,U$2,$N$1,$C115)</f>
        <v>0</v>
      </c>
      <c r="V115" s="185">
        <f ca="1">_xll.DBRW(Server&amp;Cube1,$F$17,$F$18,$F$19,$F$16,$C$14,$F$15,$F$14,$F$20,V$2,$N$1,$C115)</f>
        <v>0</v>
      </c>
      <c r="W115" s="185">
        <f ca="1">_xll.DBRW(Server&amp;Cube1,$F$17,$F$18,$F$19,$F$16,$C$14,$F$15,$F$14,$F$20,W$2,$N$1,$C115)</f>
        <v>0</v>
      </c>
      <c r="X115" s="185">
        <f ca="1">_xll.DBRW(Server&amp;Cube1,$F$17,$F$18,$F$19,$F$16,$C$14,$F$15,$F$14,$F$20,X$2,$N$1,$C115)</f>
        <v>0</v>
      </c>
      <c r="Y115" s="185">
        <f ca="1">_xll.DBRW(Server&amp;Cube1,$F$17,$F$18,$F$19,$F$16,$C$14,$F$15,$F$14,$F$20,Y$2,$N$1,$C115)</f>
        <v>0</v>
      </c>
      <c r="Z115" s="185">
        <f ca="1">_xll.DBRW(Server&amp;Cube1,$F$17,$F$18,$F$19,$F$16,$C$14,$F$15,$F$14,$F$20,Z$2,$N$1,$C115)</f>
        <v>0</v>
      </c>
      <c r="AA115" s="53"/>
      <c r="AB115" s="53"/>
      <c r="AC115" s="53"/>
      <c r="AD115" s="53"/>
      <c r="AE115" s="53"/>
      <c r="AF115" s="53"/>
      <c r="AG115" s="53"/>
      <c r="AH115" s="53"/>
      <c r="AI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</row>
    <row r="116" spans="1:47" s="9" customFormat="1" ht="24.75" customHeight="1" x14ac:dyDescent="0.35">
      <c r="A116" s="157">
        <f ca="1">IF($AN$35="YES",1,IF(_xll.ELCOMPN(Server&amp;$C$24,C116)&lt;&gt;0,1,IF(OR(B116=$AT$35,B116="ALL"),1,0)))</f>
        <v>1</v>
      </c>
      <c r="B116" s="139" t="str">
        <f t="shared" si="1"/>
        <v>PU</v>
      </c>
      <c r="C116" s="137" t="s">
        <v>224</v>
      </c>
      <c r="E116" s="219" t="str">
        <f ca="1">_xll.DBRA(Server&amp;$C$24,$C116,$F$21)</f>
        <v>Honoraires &amp; Conseil (AC)</v>
      </c>
      <c r="F116" s="219"/>
      <c r="G116" s="219"/>
      <c r="H116" s="40"/>
      <c r="I116" s="192">
        <f ca="1">_xll.DBRW(Server&amp;Cube1,$F$17,$F$18,$F$19,$F$16,$C$14,$F$15,$F$14,$F$20,I$2,I$1,$C116)</f>
        <v>0</v>
      </c>
      <c r="J116" s="192">
        <f ca="1">_xll.DBRW(Server&amp;Cube1,$F$17,$F$18,$F$19,$F$16,$C$14,$F$15,$F$14,$F$20,J$2,J$1,$C116)</f>
        <v>0</v>
      </c>
      <c r="K116" s="183"/>
      <c r="L116" s="185">
        <f ca="1">_xll.DBRW(Server&amp;Cube1,$F$17,$F$18,$F$19,$F$16,$C$14,$F$15,$F$14,$F$20,L$2,L$1,$C116)</f>
        <v>0</v>
      </c>
      <c r="M116" s="184"/>
      <c r="N116" s="185">
        <f ca="1">_xll.DBRW(Server&amp;Cube1,$F$17,$F$18,$F$19,$F$16,$C$14,$F$15,$F$14,$F$20,N$2,$N$1,$C116)</f>
        <v>0</v>
      </c>
      <c r="O116" s="185">
        <f ca="1">_xll.DBRW(Server&amp;Cube1,$F$17,$F$18,$F$19,$F$16,$C$14,$F$15,$F$14,$F$20,O$2,$N$1,$C116)</f>
        <v>0</v>
      </c>
      <c r="P116" s="185">
        <f ca="1">_xll.DBRW(Server&amp;Cube1,$F$17,$F$18,$F$19,$F$16,$C$14,$F$15,$F$14,$F$20,P$2,$N$1,$C116)</f>
        <v>0</v>
      </c>
      <c r="Q116" s="185">
        <f ca="1">_xll.DBRW(Server&amp;Cube1,$F$17,$F$18,$F$19,$F$16,$C$14,$F$15,$F$14,$F$20,Q$2,$N$1,$C116)</f>
        <v>0</v>
      </c>
      <c r="R116" s="185">
        <f ca="1">_xll.DBRW(Server&amp;Cube1,$F$17,$F$18,$F$19,$F$16,$C$14,$F$15,$F$14,$F$20,R$2,$N$1,$C116)</f>
        <v>0</v>
      </c>
      <c r="S116" s="185">
        <f ca="1">_xll.DBRW(Server&amp;Cube1,$F$17,$F$18,$F$19,$F$16,$C$14,$F$15,$F$14,$F$20,S$2,$N$1,$C116)</f>
        <v>0</v>
      </c>
      <c r="T116" s="185">
        <f ca="1">_xll.DBRW(Server&amp;Cube1,$F$17,$F$18,$F$19,$F$16,$C$14,$F$15,$F$14,$F$20,T$2,$N$1,$C116)</f>
        <v>0</v>
      </c>
      <c r="U116" s="185">
        <f ca="1">_xll.DBRW(Server&amp;Cube1,$F$17,$F$18,$F$19,$F$16,$C$14,$F$15,$F$14,$F$20,U$2,$N$1,$C116)</f>
        <v>0</v>
      </c>
      <c r="V116" s="185">
        <f ca="1">_xll.DBRW(Server&amp;Cube1,$F$17,$F$18,$F$19,$F$16,$C$14,$F$15,$F$14,$F$20,V$2,$N$1,$C116)</f>
        <v>0</v>
      </c>
      <c r="W116" s="185">
        <f ca="1">_xll.DBRW(Server&amp;Cube1,$F$17,$F$18,$F$19,$F$16,$C$14,$F$15,$F$14,$F$20,W$2,$N$1,$C116)</f>
        <v>0</v>
      </c>
      <c r="X116" s="185">
        <f ca="1">_xll.DBRW(Server&amp;Cube1,$F$17,$F$18,$F$19,$F$16,$C$14,$F$15,$F$14,$F$20,X$2,$N$1,$C116)</f>
        <v>0</v>
      </c>
      <c r="Y116" s="185">
        <f ca="1">_xll.DBRW(Server&amp;Cube1,$F$17,$F$18,$F$19,$F$16,$C$14,$F$15,$F$14,$F$20,Y$2,$N$1,$C116)</f>
        <v>0</v>
      </c>
      <c r="Z116" s="185">
        <f ca="1">_xll.DBRW(Server&amp;Cube1,$F$17,$F$18,$F$19,$F$16,$C$14,$F$15,$F$14,$F$20,Z$2,$N$1,$C116)</f>
        <v>0</v>
      </c>
      <c r="AA116" s="53"/>
      <c r="AB116" s="53"/>
      <c r="AC116" s="53"/>
      <c r="AD116" s="53"/>
      <c r="AE116" s="53"/>
      <c r="AF116" s="53"/>
      <c r="AG116" s="53"/>
      <c r="AH116" s="53"/>
      <c r="AI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</row>
    <row r="117" spans="1:47" s="9" customFormat="1" ht="24.75" customHeight="1" x14ac:dyDescent="0.35">
      <c r="A117" s="157">
        <f ca="1">IF($AN$35="YES",1,IF(_xll.ELCOMPN(Server&amp;$C$24,C117)&lt;&gt;0,1,IF(OR(B117=$AT$35,B117="ALL"),1,0)))</f>
        <v>1</v>
      </c>
      <c r="B117" s="139" t="str">
        <f t="shared" si="1"/>
        <v>CO</v>
      </c>
      <c r="C117" s="137" t="s">
        <v>225</v>
      </c>
      <c r="E117" s="219" t="str">
        <f ca="1">_xll.DBRA(Server&amp;$C$24,$C117,$F$21)</f>
        <v>Honoraires &amp; Conseil (CO)</v>
      </c>
      <c r="F117" s="219"/>
      <c r="G117" s="219"/>
      <c r="H117" s="40"/>
      <c r="I117" s="192">
        <f ca="1">_xll.DBRW(Server&amp;Cube1,$F$17,$F$18,$F$19,$F$16,$C$14,$F$15,$F$14,$F$20,I$2,I$1,$C117)</f>
        <v>0</v>
      </c>
      <c r="J117" s="192">
        <f ca="1">_xll.DBRW(Server&amp;Cube1,$F$17,$F$18,$F$19,$F$16,$C$14,$F$15,$F$14,$F$20,J$2,J$1,$C117)</f>
        <v>0</v>
      </c>
      <c r="K117" s="183"/>
      <c r="L117" s="185">
        <f ca="1">_xll.DBRW(Server&amp;Cube1,$F$17,$F$18,$F$19,$F$16,$C$14,$F$15,$F$14,$F$20,L$2,L$1,$C117)</f>
        <v>0</v>
      </c>
      <c r="M117" s="184"/>
      <c r="N117" s="185">
        <f ca="1">_xll.DBRW(Server&amp;Cube1,$F$17,$F$18,$F$19,$F$16,$C$14,$F$15,$F$14,$F$20,N$2,$N$1,$C117)</f>
        <v>0</v>
      </c>
      <c r="O117" s="185">
        <f ca="1">_xll.DBRW(Server&amp;Cube1,$F$17,$F$18,$F$19,$F$16,$C$14,$F$15,$F$14,$F$20,O$2,$N$1,$C117)</f>
        <v>0</v>
      </c>
      <c r="P117" s="185">
        <f ca="1">_xll.DBRW(Server&amp;Cube1,$F$17,$F$18,$F$19,$F$16,$C$14,$F$15,$F$14,$F$20,P$2,$N$1,$C117)</f>
        <v>0</v>
      </c>
      <c r="Q117" s="185">
        <f ca="1">_xll.DBRW(Server&amp;Cube1,$F$17,$F$18,$F$19,$F$16,$C$14,$F$15,$F$14,$F$20,Q$2,$N$1,$C117)</f>
        <v>0</v>
      </c>
      <c r="R117" s="185">
        <f ca="1">_xll.DBRW(Server&amp;Cube1,$F$17,$F$18,$F$19,$F$16,$C$14,$F$15,$F$14,$F$20,R$2,$N$1,$C117)</f>
        <v>0</v>
      </c>
      <c r="S117" s="185">
        <f ca="1">_xll.DBRW(Server&amp;Cube1,$F$17,$F$18,$F$19,$F$16,$C$14,$F$15,$F$14,$F$20,S$2,$N$1,$C117)</f>
        <v>0</v>
      </c>
      <c r="T117" s="185">
        <f ca="1">_xll.DBRW(Server&amp;Cube1,$F$17,$F$18,$F$19,$F$16,$C$14,$F$15,$F$14,$F$20,T$2,$N$1,$C117)</f>
        <v>0</v>
      </c>
      <c r="U117" s="185">
        <f ca="1">_xll.DBRW(Server&amp;Cube1,$F$17,$F$18,$F$19,$F$16,$C$14,$F$15,$F$14,$F$20,U$2,$N$1,$C117)</f>
        <v>0</v>
      </c>
      <c r="V117" s="185">
        <f ca="1">_xll.DBRW(Server&amp;Cube1,$F$17,$F$18,$F$19,$F$16,$C$14,$F$15,$F$14,$F$20,V$2,$N$1,$C117)</f>
        <v>0</v>
      </c>
      <c r="W117" s="185">
        <f ca="1">_xll.DBRW(Server&amp;Cube1,$F$17,$F$18,$F$19,$F$16,$C$14,$F$15,$F$14,$F$20,W$2,$N$1,$C117)</f>
        <v>0</v>
      </c>
      <c r="X117" s="185">
        <f ca="1">_xll.DBRW(Server&amp;Cube1,$F$17,$F$18,$F$19,$F$16,$C$14,$F$15,$F$14,$F$20,X$2,$N$1,$C117)</f>
        <v>0</v>
      </c>
      <c r="Y117" s="185">
        <f ca="1">_xll.DBRW(Server&amp;Cube1,$F$17,$F$18,$F$19,$F$16,$C$14,$F$15,$F$14,$F$20,Y$2,$N$1,$C117)</f>
        <v>0</v>
      </c>
      <c r="Z117" s="185">
        <f ca="1">_xll.DBRW(Server&amp;Cube1,$F$17,$F$18,$F$19,$F$16,$C$14,$F$15,$F$14,$F$20,Z$2,$N$1,$C117)</f>
        <v>0</v>
      </c>
      <c r="AA117" s="53"/>
      <c r="AB117" s="53"/>
      <c r="AC117" s="53"/>
      <c r="AD117" s="53"/>
      <c r="AE117" s="53"/>
      <c r="AF117" s="53"/>
      <c r="AG117" s="53"/>
      <c r="AH117" s="53"/>
      <c r="AI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</row>
    <row r="118" spans="1:47" s="9" customFormat="1" ht="24.75" customHeight="1" x14ac:dyDescent="0.35">
      <c r="A118" s="157">
        <f ca="1">IF($AN$35="YES",1,IF(_xll.ELCOMPN(Server&amp;$C$24,C118)&lt;&gt;0,1,IF(OR(B118=$AT$35,B118="ALL"),1,0)))</f>
        <v>1</v>
      </c>
      <c r="B118" s="139" t="str">
        <f t="shared" si="1"/>
        <v>GS</v>
      </c>
      <c r="C118" s="137" t="s">
        <v>226</v>
      </c>
      <c r="E118" s="219" t="str">
        <f ca="1">_xll.DBRA(Server&amp;$C$24,$C118,$F$21)</f>
        <v>Honoraires &amp; Conseil (SG)</v>
      </c>
      <c r="F118" s="219"/>
      <c r="G118" s="219"/>
      <c r="H118" s="40"/>
      <c r="I118" s="192">
        <f ca="1">_xll.DBRW(Server&amp;Cube1,$F$17,$F$18,$F$19,$F$16,$C$14,$F$15,$F$14,$F$20,I$2,I$1,$C118)</f>
        <v>0</v>
      </c>
      <c r="J118" s="192">
        <f ca="1">_xll.DBRW(Server&amp;Cube1,$F$17,$F$18,$F$19,$F$16,$C$14,$F$15,$F$14,$F$20,J$2,J$1,$C118)</f>
        <v>0</v>
      </c>
      <c r="K118" s="183"/>
      <c r="L118" s="185">
        <f ca="1">_xll.DBRW(Server&amp;Cube1,$F$17,$F$18,$F$19,$F$16,$C$14,$F$15,$F$14,$F$20,L$2,L$1,$C118)</f>
        <v>0</v>
      </c>
      <c r="M118" s="184"/>
      <c r="N118" s="185">
        <f ca="1">_xll.DBRW(Server&amp;Cube1,$F$17,$F$18,$F$19,$F$16,$C$14,$F$15,$F$14,$F$20,N$2,$N$1,$C118)</f>
        <v>0</v>
      </c>
      <c r="O118" s="185">
        <f ca="1">_xll.DBRW(Server&amp;Cube1,$F$17,$F$18,$F$19,$F$16,$C$14,$F$15,$F$14,$F$20,O$2,$N$1,$C118)</f>
        <v>0</v>
      </c>
      <c r="P118" s="185">
        <f ca="1">_xll.DBRW(Server&amp;Cube1,$F$17,$F$18,$F$19,$F$16,$C$14,$F$15,$F$14,$F$20,P$2,$N$1,$C118)</f>
        <v>0</v>
      </c>
      <c r="Q118" s="185">
        <f ca="1">_xll.DBRW(Server&amp;Cube1,$F$17,$F$18,$F$19,$F$16,$C$14,$F$15,$F$14,$F$20,Q$2,$N$1,$C118)</f>
        <v>0</v>
      </c>
      <c r="R118" s="185">
        <f ca="1">_xll.DBRW(Server&amp;Cube1,$F$17,$F$18,$F$19,$F$16,$C$14,$F$15,$F$14,$F$20,R$2,$N$1,$C118)</f>
        <v>0</v>
      </c>
      <c r="S118" s="185">
        <f ca="1">_xll.DBRW(Server&amp;Cube1,$F$17,$F$18,$F$19,$F$16,$C$14,$F$15,$F$14,$F$20,S$2,$N$1,$C118)</f>
        <v>0</v>
      </c>
      <c r="T118" s="185">
        <f ca="1">_xll.DBRW(Server&amp;Cube1,$F$17,$F$18,$F$19,$F$16,$C$14,$F$15,$F$14,$F$20,T$2,$N$1,$C118)</f>
        <v>0</v>
      </c>
      <c r="U118" s="185">
        <f ca="1">_xll.DBRW(Server&amp;Cube1,$F$17,$F$18,$F$19,$F$16,$C$14,$F$15,$F$14,$F$20,U$2,$N$1,$C118)</f>
        <v>0</v>
      </c>
      <c r="V118" s="185">
        <f ca="1">_xll.DBRW(Server&amp;Cube1,$F$17,$F$18,$F$19,$F$16,$C$14,$F$15,$F$14,$F$20,V$2,$N$1,$C118)</f>
        <v>0</v>
      </c>
      <c r="W118" s="185">
        <f ca="1">_xll.DBRW(Server&amp;Cube1,$F$17,$F$18,$F$19,$F$16,$C$14,$F$15,$F$14,$F$20,W$2,$N$1,$C118)</f>
        <v>0</v>
      </c>
      <c r="X118" s="185">
        <f ca="1">_xll.DBRW(Server&amp;Cube1,$F$17,$F$18,$F$19,$F$16,$C$14,$F$15,$F$14,$F$20,X$2,$N$1,$C118)</f>
        <v>0</v>
      </c>
      <c r="Y118" s="185">
        <f ca="1">_xll.DBRW(Server&amp;Cube1,$F$17,$F$18,$F$19,$F$16,$C$14,$F$15,$F$14,$F$20,Y$2,$N$1,$C118)</f>
        <v>0</v>
      </c>
      <c r="Z118" s="185">
        <f ca="1">_xll.DBRW(Server&amp;Cube1,$F$17,$F$18,$F$19,$F$16,$C$14,$F$15,$F$14,$F$20,Z$2,$N$1,$C118)</f>
        <v>0</v>
      </c>
      <c r="AA118" s="53"/>
      <c r="AB118" s="53"/>
      <c r="AC118" s="53"/>
      <c r="AD118" s="53"/>
      <c r="AE118" s="53"/>
      <c r="AF118" s="53"/>
      <c r="AG118" s="53"/>
      <c r="AH118" s="53"/>
      <c r="AI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</row>
    <row r="119" spans="1:47" s="9" customFormat="1" ht="24.75" customHeight="1" x14ac:dyDescent="0.35">
      <c r="A119" s="157">
        <f ca="1">IF($AN$35="YES",1,IF(_xll.ELCOMPN(Server&amp;$C$24,C119)&lt;&gt;0,1,IF(OR(B119=$AT$35,B119="ALL"),1,0)))</f>
        <v>1</v>
      </c>
      <c r="B119" s="139" t="str">
        <f t="shared" si="1"/>
        <v>RD</v>
      </c>
      <c r="C119" s="137" t="s">
        <v>227</v>
      </c>
      <c r="E119" s="219" t="str">
        <f ca="1">_xll.DBRA(Server&amp;$C$24,$C119,$F$21)</f>
        <v>Honoraires &amp; Conseil (RD)</v>
      </c>
      <c r="F119" s="219"/>
      <c r="G119" s="219"/>
      <c r="H119" s="40"/>
      <c r="I119" s="192">
        <f ca="1">_xll.DBRW(Server&amp;Cube1,$F$17,$F$18,$F$19,$F$16,$C$14,$F$15,$F$14,$F$20,I$2,I$1,$C119)</f>
        <v>0</v>
      </c>
      <c r="J119" s="192">
        <f ca="1">_xll.DBRW(Server&amp;Cube1,$F$17,$F$18,$F$19,$F$16,$C$14,$F$15,$F$14,$F$20,J$2,J$1,$C119)</f>
        <v>0</v>
      </c>
      <c r="K119" s="183"/>
      <c r="L119" s="185">
        <f ca="1">_xll.DBRW(Server&amp;Cube1,$F$17,$F$18,$F$19,$F$16,$C$14,$F$15,$F$14,$F$20,L$2,L$1,$C119)</f>
        <v>0</v>
      </c>
      <c r="M119" s="184"/>
      <c r="N119" s="185">
        <f ca="1">_xll.DBRW(Server&amp;Cube1,$F$17,$F$18,$F$19,$F$16,$C$14,$F$15,$F$14,$F$20,N$2,$N$1,$C119)</f>
        <v>0</v>
      </c>
      <c r="O119" s="185">
        <f ca="1">_xll.DBRW(Server&amp;Cube1,$F$17,$F$18,$F$19,$F$16,$C$14,$F$15,$F$14,$F$20,O$2,$N$1,$C119)</f>
        <v>0</v>
      </c>
      <c r="P119" s="185">
        <f ca="1">_xll.DBRW(Server&amp;Cube1,$F$17,$F$18,$F$19,$F$16,$C$14,$F$15,$F$14,$F$20,P$2,$N$1,$C119)</f>
        <v>0</v>
      </c>
      <c r="Q119" s="185">
        <f ca="1">_xll.DBRW(Server&amp;Cube1,$F$17,$F$18,$F$19,$F$16,$C$14,$F$15,$F$14,$F$20,Q$2,$N$1,$C119)</f>
        <v>0</v>
      </c>
      <c r="R119" s="185">
        <f ca="1">_xll.DBRW(Server&amp;Cube1,$F$17,$F$18,$F$19,$F$16,$C$14,$F$15,$F$14,$F$20,R$2,$N$1,$C119)</f>
        <v>0</v>
      </c>
      <c r="S119" s="185">
        <f ca="1">_xll.DBRW(Server&amp;Cube1,$F$17,$F$18,$F$19,$F$16,$C$14,$F$15,$F$14,$F$20,S$2,$N$1,$C119)</f>
        <v>0</v>
      </c>
      <c r="T119" s="185">
        <f ca="1">_xll.DBRW(Server&amp;Cube1,$F$17,$F$18,$F$19,$F$16,$C$14,$F$15,$F$14,$F$20,T$2,$N$1,$C119)</f>
        <v>0</v>
      </c>
      <c r="U119" s="185">
        <f ca="1">_xll.DBRW(Server&amp;Cube1,$F$17,$F$18,$F$19,$F$16,$C$14,$F$15,$F$14,$F$20,U$2,$N$1,$C119)</f>
        <v>0</v>
      </c>
      <c r="V119" s="185">
        <f ca="1">_xll.DBRW(Server&amp;Cube1,$F$17,$F$18,$F$19,$F$16,$C$14,$F$15,$F$14,$F$20,V$2,$N$1,$C119)</f>
        <v>0</v>
      </c>
      <c r="W119" s="185">
        <f ca="1">_xll.DBRW(Server&amp;Cube1,$F$17,$F$18,$F$19,$F$16,$C$14,$F$15,$F$14,$F$20,W$2,$N$1,$C119)</f>
        <v>0</v>
      </c>
      <c r="X119" s="185">
        <f ca="1">_xll.DBRW(Server&amp;Cube1,$F$17,$F$18,$F$19,$F$16,$C$14,$F$15,$F$14,$F$20,X$2,$N$1,$C119)</f>
        <v>0</v>
      </c>
      <c r="Y119" s="185">
        <f ca="1">_xll.DBRW(Server&amp;Cube1,$F$17,$F$18,$F$19,$F$16,$C$14,$F$15,$F$14,$F$20,Y$2,$N$1,$C119)</f>
        <v>0</v>
      </c>
      <c r="Z119" s="185">
        <f ca="1">_xll.DBRW(Server&amp;Cube1,$F$17,$F$18,$F$19,$F$16,$C$14,$F$15,$F$14,$F$20,Z$2,$N$1,$C119)</f>
        <v>0</v>
      </c>
      <c r="AA119" s="53"/>
      <c r="AB119" s="53"/>
      <c r="AC119" s="53"/>
      <c r="AD119" s="53"/>
      <c r="AE119" s="53"/>
      <c r="AF119" s="53"/>
      <c r="AG119" s="53"/>
      <c r="AH119" s="53"/>
      <c r="AI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</row>
    <row r="120" spans="1:47" s="9" customFormat="1" ht="24.95" customHeight="1" collapsed="1" x14ac:dyDescent="0.35">
      <c r="A120" s="157">
        <f ca="1">IF($AN$35="YES",1,IF(_xll.ELCOMPN(Server&amp;$C$24,C120)&lt;&gt;0,1,IF(OR(B120=$AT$35,B120="ALL"),1,0)))</f>
        <v>1</v>
      </c>
      <c r="B120" s="139" t="str">
        <f t="shared" si="1"/>
        <v>co</v>
      </c>
      <c r="C120" s="111" t="s">
        <v>97</v>
      </c>
      <c r="E120" s="221" t="str">
        <f ca="1">_xll.DBRA(Server&amp;$C$24,$C120,$F$21)</f>
        <v>Honoraires &amp; Conseil Abonnés</v>
      </c>
      <c r="F120" s="221"/>
      <c r="G120" s="221"/>
      <c r="H120" s="40"/>
      <c r="I120" s="192">
        <f ca="1">_xll.DBRW(Server&amp;Cube1,$F$17,$F$18,$F$19,$F$16,$C$14,$F$15,$F$14,$F$20,I$2,I$1,$C120)</f>
        <v>0</v>
      </c>
      <c r="J120" s="192">
        <f ca="1">_xll.DBRW(Server&amp;Cube1,$F$17,$F$18,$F$19,$F$16,$C$14,$F$15,$F$14,$F$20,J$2,J$1,$C120)</f>
        <v>0</v>
      </c>
      <c r="K120" s="183"/>
      <c r="L120" s="181">
        <f ca="1">_xll.DBRW(Server&amp;Cube1,$F$17,$F$18,$F$19,$F$16,$C$14,$F$15,$F$14,$F$20,L$2,L$1,$C120)</f>
        <v>0</v>
      </c>
      <c r="M120" s="181"/>
      <c r="N120" s="181">
        <f ca="1">_xll.DBRW(Server&amp;Cube1,$F$17,$F$18,$F$19,$F$16,$C$14,$F$15,$F$14,$F$20,N$2,$N$1,$C120)</f>
        <v>0</v>
      </c>
      <c r="O120" s="181">
        <f ca="1">_xll.DBRW(Server&amp;Cube1,$F$17,$F$18,$F$19,$F$16,$C$14,$F$15,$F$14,$F$20,O$2,$N$1,$C120)</f>
        <v>0</v>
      </c>
      <c r="P120" s="181">
        <f ca="1">_xll.DBRW(Server&amp;Cube1,$F$17,$F$18,$F$19,$F$16,$C$14,$F$15,$F$14,$F$20,P$2,$N$1,$C120)</f>
        <v>0</v>
      </c>
      <c r="Q120" s="181">
        <f ca="1">_xll.DBRW(Server&amp;Cube1,$F$17,$F$18,$F$19,$F$16,$C$14,$F$15,$F$14,$F$20,Q$2,$N$1,$C120)</f>
        <v>0</v>
      </c>
      <c r="R120" s="181">
        <f ca="1">_xll.DBRW(Server&amp;Cube1,$F$17,$F$18,$F$19,$F$16,$C$14,$F$15,$F$14,$F$20,R$2,$N$1,$C120)</f>
        <v>0</v>
      </c>
      <c r="S120" s="181">
        <f ca="1">_xll.DBRW(Server&amp;Cube1,$F$17,$F$18,$F$19,$F$16,$C$14,$F$15,$F$14,$F$20,S$2,$N$1,$C120)</f>
        <v>0</v>
      </c>
      <c r="T120" s="181">
        <f ca="1">_xll.DBRW(Server&amp;Cube1,$F$17,$F$18,$F$19,$F$16,$C$14,$F$15,$F$14,$F$20,T$2,$N$1,$C120)</f>
        <v>0</v>
      </c>
      <c r="U120" s="181">
        <f ca="1">_xll.DBRW(Server&amp;Cube1,$F$17,$F$18,$F$19,$F$16,$C$14,$F$15,$F$14,$F$20,U$2,$N$1,$C120)</f>
        <v>0</v>
      </c>
      <c r="V120" s="181">
        <f ca="1">_xll.DBRW(Server&amp;Cube1,$F$17,$F$18,$F$19,$F$16,$C$14,$F$15,$F$14,$F$20,V$2,$N$1,$C120)</f>
        <v>0</v>
      </c>
      <c r="W120" s="181">
        <f ca="1">_xll.DBRW(Server&amp;Cube1,$F$17,$F$18,$F$19,$F$16,$C$14,$F$15,$F$14,$F$20,W$2,$N$1,$C120)</f>
        <v>0</v>
      </c>
      <c r="X120" s="181">
        <f ca="1">_xll.DBRW(Server&amp;Cube1,$F$17,$F$18,$F$19,$F$16,$C$14,$F$15,$F$14,$F$20,X$2,$N$1,$C120)</f>
        <v>0</v>
      </c>
      <c r="Y120" s="181">
        <f ca="1">_xll.DBRW(Server&amp;Cube1,$F$17,$F$18,$F$19,$F$16,$C$14,$F$15,$F$14,$F$20,Y$2,$N$1,$C120)</f>
        <v>0</v>
      </c>
      <c r="Z120" s="181">
        <f ca="1">_xll.DBRW(Server&amp;Cube1,$F$17,$F$18,$F$19,$F$16,$C$14,$F$15,$F$14,$F$20,Z$2,$N$1,$C120)</f>
        <v>0</v>
      </c>
      <c r="AA120" s="53"/>
      <c r="AB120" s="53"/>
      <c r="AC120" s="53"/>
      <c r="AD120" s="53"/>
      <c r="AE120" s="53"/>
      <c r="AF120" s="53"/>
      <c r="AG120" s="53"/>
      <c r="AH120" s="53"/>
      <c r="AI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</row>
    <row r="121" spans="1:47" s="9" customFormat="1" ht="24.95" customHeight="1" x14ac:dyDescent="0.35">
      <c r="A121" s="157">
        <f ca="1">IF($AN$35="YES",1,IF(_xll.ELCOMPN(Server&amp;$C$24,C121)&lt;&gt;0,1,IF(OR(B121=$AT$35,B121="ALL"),1,0)))</f>
        <v>1</v>
      </c>
      <c r="B121" s="139" t="str">
        <f t="shared" si="1"/>
        <v>DS</v>
      </c>
      <c r="C121" s="137" t="s">
        <v>228</v>
      </c>
      <c r="E121" s="219" t="str">
        <f ca="1">_xll.DBRA(Server&amp;$C$24,$C121,$F$21)</f>
        <v>Honoraires &amp; Conseil Abonnés (SO)</v>
      </c>
      <c r="F121" s="219"/>
      <c r="G121" s="219"/>
      <c r="H121" s="40"/>
      <c r="I121" s="192">
        <f ca="1">_xll.DBRW(Server&amp;Cube1,$F$17,$F$18,$F$19,$F$16,$C$14,$F$15,$F$14,$F$20,I$2,I$1,$C121)</f>
        <v>0</v>
      </c>
      <c r="J121" s="192">
        <f ca="1">_xll.DBRW(Server&amp;Cube1,$F$17,$F$18,$F$19,$F$16,$C$14,$F$15,$F$14,$F$20,J$2,J$1,$C121)</f>
        <v>0</v>
      </c>
      <c r="K121" s="183"/>
      <c r="L121" s="185">
        <f ca="1">_xll.DBRW(Server&amp;Cube1,$F$17,$F$18,$F$19,$F$16,$C$14,$F$15,$F$14,$F$20,L$2,L$1,$C121)</f>
        <v>0</v>
      </c>
      <c r="M121" s="184"/>
      <c r="N121" s="185">
        <f ca="1">_xll.DBRW(Server&amp;Cube1,$F$17,$F$18,$F$19,$F$16,$C$14,$F$15,$F$14,$F$20,N$2,$N$1,$C121)</f>
        <v>0</v>
      </c>
      <c r="O121" s="185">
        <f ca="1">_xll.DBRW(Server&amp;Cube1,$F$17,$F$18,$F$19,$F$16,$C$14,$F$15,$F$14,$F$20,O$2,$N$1,$C121)</f>
        <v>0</v>
      </c>
      <c r="P121" s="185">
        <f ca="1">_xll.DBRW(Server&amp;Cube1,$F$17,$F$18,$F$19,$F$16,$C$14,$F$15,$F$14,$F$20,P$2,$N$1,$C121)</f>
        <v>0</v>
      </c>
      <c r="Q121" s="185">
        <f ca="1">_xll.DBRW(Server&amp;Cube1,$F$17,$F$18,$F$19,$F$16,$C$14,$F$15,$F$14,$F$20,Q$2,$N$1,$C121)</f>
        <v>0</v>
      </c>
      <c r="R121" s="185">
        <f ca="1">_xll.DBRW(Server&amp;Cube1,$F$17,$F$18,$F$19,$F$16,$C$14,$F$15,$F$14,$F$20,R$2,$N$1,$C121)</f>
        <v>0</v>
      </c>
      <c r="S121" s="185">
        <f ca="1">_xll.DBRW(Server&amp;Cube1,$F$17,$F$18,$F$19,$F$16,$C$14,$F$15,$F$14,$F$20,S$2,$N$1,$C121)</f>
        <v>0</v>
      </c>
      <c r="T121" s="185">
        <f ca="1">_xll.DBRW(Server&amp;Cube1,$F$17,$F$18,$F$19,$F$16,$C$14,$F$15,$F$14,$F$20,T$2,$N$1,$C121)</f>
        <v>0</v>
      </c>
      <c r="U121" s="185">
        <f ca="1">_xll.DBRW(Server&amp;Cube1,$F$17,$F$18,$F$19,$F$16,$C$14,$F$15,$F$14,$F$20,U$2,$N$1,$C121)</f>
        <v>0</v>
      </c>
      <c r="V121" s="185">
        <f ca="1">_xll.DBRW(Server&amp;Cube1,$F$17,$F$18,$F$19,$F$16,$C$14,$F$15,$F$14,$F$20,V$2,$N$1,$C121)</f>
        <v>0</v>
      </c>
      <c r="W121" s="185">
        <f ca="1">_xll.DBRW(Server&amp;Cube1,$F$17,$F$18,$F$19,$F$16,$C$14,$F$15,$F$14,$F$20,W$2,$N$1,$C121)</f>
        <v>0</v>
      </c>
      <c r="X121" s="185">
        <f ca="1">_xll.DBRW(Server&amp;Cube1,$F$17,$F$18,$F$19,$F$16,$C$14,$F$15,$F$14,$F$20,X$2,$N$1,$C121)</f>
        <v>0</v>
      </c>
      <c r="Y121" s="185">
        <f ca="1">_xll.DBRW(Server&amp;Cube1,$F$17,$F$18,$F$19,$F$16,$C$14,$F$15,$F$14,$F$20,Y$2,$N$1,$C121)</f>
        <v>0</v>
      </c>
      <c r="Z121" s="185">
        <f ca="1">_xll.DBRW(Server&amp;Cube1,$F$17,$F$18,$F$19,$F$16,$C$14,$F$15,$F$14,$F$20,Z$2,$N$1,$C121)</f>
        <v>0</v>
      </c>
      <c r="AA121" s="53"/>
      <c r="AB121" s="53"/>
      <c r="AC121" s="53"/>
      <c r="AD121" s="53"/>
      <c r="AE121" s="53"/>
      <c r="AF121" s="53"/>
      <c r="AG121" s="53"/>
      <c r="AH121" s="53"/>
      <c r="AI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</row>
    <row r="122" spans="1:47" s="9" customFormat="1" ht="24.95" customHeight="1" x14ac:dyDescent="0.35">
      <c r="A122" s="157">
        <f ca="1">IF($AN$35="YES",1,IF(_xll.ELCOMPN(Server&amp;$C$24,C122)&lt;&gt;0,1,IF(OR(B122=$AT$35,B122="ALL"),1,0)))</f>
        <v>1</v>
      </c>
      <c r="B122" s="139" t="str">
        <f t="shared" si="1"/>
        <v>BD</v>
      </c>
      <c r="C122" s="137" t="s">
        <v>229</v>
      </c>
      <c r="E122" s="219" t="str">
        <f ca="1">_xll.DBRA(Server&amp;$C$24,$C122,$F$21)</f>
        <v>Honoraires &amp; Conseil Abonnés (DC)</v>
      </c>
      <c r="F122" s="219"/>
      <c r="G122" s="219"/>
      <c r="H122" s="40"/>
      <c r="I122" s="192">
        <f ca="1">_xll.DBRW(Server&amp;Cube1,$F$17,$F$18,$F$19,$F$16,$C$14,$F$15,$F$14,$F$20,I$2,I$1,$C122)</f>
        <v>0</v>
      </c>
      <c r="J122" s="192">
        <f ca="1">_xll.DBRW(Server&amp;Cube1,$F$17,$F$18,$F$19,$F$16,$C$14,$F$15,$F$14,$F$20,J$2,J$1,$C122)</f>
        <v>0</v>
      </c>
      <c r="K122" s="183"/>
      <c r="L122" s="185">
        <f ca="1">_xll.DBRW(Server&amp;Cube1,$F$17,$F$18,$F$19,$F$16,$C$14,$F$15,$F$14,$F$20,L$2,L$1,$C122)</f>
        <v>0</v>
      </c>
      <c r="M122" s="184"/>
      <c r="N122" s="185">
        <f ca="1">_xll.DBRW(Server&amp;Cube1,$F$17,$F$18,$F$19,$F$16,$C$14,$F$15,$F$14,$F$20,N$2,$N$1,$C122)</f>
        <v>0</v>
      </c>
      <c r="O122" s="185">
        <f ca="1">_xll.DBRW(Server&amp;Cube1,$F$17,$F$18,$F$19,$F$16,$C$14,$F$15,$F$14,$F$20,O$2,$N$1,$C122)</f>
        <v>0</v>
      </c>
      <c r="P122" s="185">
        <f ca="1">_xll.DBRW(Server&amp;Cube1,$F$17,$F$18,$F$19,$F$16,$C$14,$F$15,$F$14,$F$20,P$2,$N$1,$C122)</f>
        <v>0</v>
      </c>
      <c r="Q122" s="185">
        <f ca="1">_xll.DBRW(Server&amp;Cube1,$F$17,$F$18,$F$19,$F$16,$C$14,$F$15,$F$14,$F$20,Q$2,$N$1,$C122)</f>
        <v>0</v>
      </c>
      <c r="R122" s="185">
        <f ca="1">_xll.DBRW(Server&amp;Cube1,$F$17,$F$18,$F$19,$F$16,$C$14,$F$15,$F$14,$F$20,R$2,$N$1,$C122)</f>
        <v>0</v>
      </c>
      <c r="S122" s="185">
        <f ca="1">_xll.DBRW(Server&amp;Cube1,$F$17,$F$18,$F$19,$F$16,$C$14,$F$15,$F$14,$F$20,S$2,$N$1,$C122)</f>
        <v>0</v>
      </c>
      <c r="T122" s="185">
        <f ca="1">_xll.DBRW(Server&amp;Cube1,$F$17,$F$18,$F$19,$F$16,$C$14,$F$15,$F$14,$F$20,T$2,$N$1,$C122)</f>
        <v>0</v>
      </c>
      <c r="U122" s="185">
        <f ca="1">_xll.DBRW(Server&amp;Cube1,$F$17,$F$18,$F$19,$F$16,$C$14,$F$15,$F$14,$F$20,U$2,$N$1,$C122)</f>
        <v>0</v>
      </c>
      <c r="V122" s="185">
        <f ca="1">_xll.DBRW(Server&amp;Cube1,$F$17,$F$18,$F$19,$F$16,$C$14,$F$15,$F$14,$F$20,V$2,$N$1,$C122)</f>
        <v>0</v>
      </c>
      <c r="W122" s="185">
        <f ca="1">_xll.DBRW(Server&amp;Cube1,$F$17,$F$18,$F$19,$F$16,$C$14,$F$15,$F$14,$F$20,W$2,$N$1,$C122)</f>
        <v>0</v>
      </c>
      <c r="X122" s="185">
        <f ca="1">_xll.DBRW(Server&amp;Cube1,$F$17,$F$18,$F$19,$F$16,$C$14,$F$15,$F$14,$F$20,X$2,$N$1,$C122)</f>
        <v>0</v>
      </c>
      <c r="Y122" s="185">
        <f ca="1">_xll.DBRW(Server&amp;Cube1,$F$17,$F$18,$F$19,$F$16,$C$14,$F$15,$F$14,$F$20,Y$2,$N$1,$C122)</f>
        <v>0</v>
      </c>
      <c r="Z122" s="185">
        <f ca="1">_xll.DBRW(Server&amp;Cube1,$F$17,$F$18,$F$19,$F$16,$C$14,$F$15,$F$14,$F$20,Z$2,$N$1,$C122)</f>
        <v>0</v>
      </c>
      <c r="AA122" s="53"/>
      <c r="AB122" s="53"/>
      <c r="AC122" s="53"/>
      <c r="AD122" s="53"/>
      <c r="AE122" s="53"/>
      <c r="AF122" s="53"/>
      <c r="AG122" s="53"/>
      <c r="AH122" s="53"/>
      <c r="AI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</row>
    <row r="123" spans="1:47" s="9" customFormat="1" ht="24.95" customHeight="1" x14ac:dyDescent="0.35">
      <c r="A123" s="157">
        <f ca="1">IF($AN$35="YES",1,IF(_xll.ELCOMPN(Server&amp;$C$24,C123)&lt;&gt;0,1,IF(OR(B123=$AT$35,B123="ALL"),1,0)))</f>
        <v>1</v>
      </c>
      <c r="B123" s="139" t="str">
        <f t="shared" si="1"/>
        <v>FI</v>
      </c>
      <c r="C123" s="137" t="s">
        <v>230</v>
      </c>
      <c r="E123" s="219" t="str">
        <f ca="1">_xll.DBRA(Server&amp;$C$24,$C123,$F$21)</f>
        <v>Honoraires &amp; Conseil Abonnés (DF)</v>
      </c>
      <c r="F123" s="219"/>
      <c r="G123" s="219"/>
      <c r="H123" s="40"/>
      <c r="I123" s="192">
        <f ca="1">_xll.DBRW(Server&amp;Cube1,$F$17,$F$18,$F$19,$F$16,$C$14,$F$15,$F$14,$F$20,I$2,I$1,$C123)</f>
        <v>0</v>
      </c>
      <c r="J123" s="192">
        <f ca="1">_xll.DBRW(Server&amp;Cube1,$F$17,$F$18,$F$19,$F$16,$C$14,$F$15,$F$14,$F$20,J$2,J$1,$C123)</f>
        <v>0</v>
      </c>
      <c r="K123" s="183"/>
      <c r="L123" s="185">
        <f ca="1">_xll.DBRW(Server&amp;Cube1,$F$17,$F$18,$F$19,$F$16,$C$14,$F$15,$F$14,$F$20,L$2,L$1,$C123)</f>
        <v>0</v>
      </c>
      <c r="M123" s="184"/>
      <c r="N123" s="185">
        <f ca="1">_xll.DBRW(Server&amp;Cube1,$F$17,$F$18,$F$19,$F$16,$C$14,$F$15,$F$14,$F$20,N$2,$N$1,$C123)</f>
        <v>0</v>
      </c>
      <c r="O123" s="185">
        <f ca="1">_xll.DBRW(Server&amp;Cube1,$F$17,$F$18,$F$19,$F$16,$C$14,$F$15,$F$14,$F$20,O$2,$N$1,$C123)</f>
        <v>0</v>
      </c>
      <c r="P123" s="185">
        <f ca="1">_xll.DBRW(Server&amp;Cube1,$F$17,$F$18,$F$19,$F$16,$C$14,$F$15,$F$14,$F$20,P$2,$N$1,$C123)</f>
        <v>0</v>
      </c>
      <c r="Q123" s="185">
        <f ca="1">_xll.DBRW(Server&amp;Cube1,$F$17,$F$18,$F$19,$F$16,$C$14,$F$15,$F$14,$F$20,Q$2,$N$1,$C123)</f>
        <v>0</v>
      </c>
      <c r="R123" s="185">
        <f ca="1">_xll.DBRW(Server&amp;Cube1,$F$17,$F$18,$F$19,$F$16,$C$14,$F$15,$F$14,$F$20,R$2,$N$1,$C123)</f>
        <v>0</v>
      </c>
      <c r="S123" s="185">
        <f ca="1">_xll.DBRW(Server&amp;Cube1,$F$17,$F$18,$F$19,$F$16,$C$14,$F$15,$F$14,$F$20,S$2,$N$1,$C123)</f>
        <v>0</v>
      </c>
      <c r="T123" s="185">
        <f ca="1">_xll.DBRW(Server&amp;Cube1,$F$17,$F$18,$F$19,$F$16,$C$14,$F$15,$F$14,$F$20,T$2,$N$1,$C123)</f>
        <v>0</v>
      </c>
      <c r="U123" s="185">
        <f ca="1">_xll.DBRW(Server&amp;Cube1,$F$17,$F$18,$F$19,$F$16,$C$14,$F$15,$F$14,$F$20,U$2,$N$1,$C123)</f>
        <v>0</v>
      </c>
      <c r="V123" s="185">
        <f ca="1">_xll.DBRW(Server&amp;Cube1,$F$17,$F$18,$F$19,$F$16,$C$14,$F$15,$F$14,$F$20,V$2,$N$1,$C123)</f>
        <v>0</v>
      </c>
      <c r="W123" s="185">
        <f ca="1">_xll.DBRW(Server&amp;Cube1,$F$17,$F$18,$F$19,$F$16,$C$14,$F$15,$F$14,$F$20,W$2,$N$1,$C123)</f>
        <v>0</v>
      </c>
      <c r="X123" s="185">
        <f ca="1">_xll.DBRW(Server&amp;Cube1,$F$17,$F$18,$F$19,$F$16,$C$14,$F$15,$F$14,$F$20,X$2,$N$1,$C123)</f>
        <v>0</v>
      </c>
      <c r="Y123" s="185">
        <f ca="1">_xll.DBRW(Server&amp;Cube1,$F$17,$F$18,$F$19,$F$16,$C$14,$F$15,$F$14,$F$20,Y$2,$N$1,$C123)</f>
        <v>0</v>
      </c>
      <c r="Z123" s="185">
        <f ca="1">_xll.DBRW(Server&amp;Cube1,$F$17,$F$18,$F$19,$F$16,$C$14,$F$15,$F$14,$F$20,Z$2,$N$1,$C123)</f>
        <v>0</v>
      </c>
      <c r="AA123" s="53"/>
      <c r="AB123" s="53"/>
      <c r="AC123" s="53"/>
      <c r="AD123" s="53"/>
      <c r="AE123" s="53"/>
      <c r="AF123" s="53"/>
      <c r="AG123" s="53"/>
      <c r="AH123" s="53"/>
      <c r="AI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</row>
    <row r="124" spans="1:47" s="9" customFormat="1" ht="24.95" customHeight="1" x14ac:dyDescent="0.35">
      <c r="A124" s="157">
        <f ca="1">IF($AN$35="YES",1,IF(_xll.ELCOMPN(Server&amp;$C$24,C124)&lt;&gt;0,1,IF(OR(B124=$AT$35,B124="ALL"),1,0)))</f>
        <v>1</v>
      </c>
      <c r="B124" s="139" t="str">
        <f t="shared" si="1"/>
        <v>IT</v>
      </c>
      <c r="C124" s="137" t="s">
        <v>231</v>
      </c>
      <c r="E124" s="219" t="str">
        <f ca="1">_xll.DBRA(Server&amp;$C$24,$C124,$F$21)</f>
        <v>Honoraires &amp; Conseil Abonnés (IT)</v>
      </c>
      <c r="F124" s="219"/>
      <c r="G124" s="219"/>
      <c r="H124" s="40"/>
      <c r="I124" s="192">
        <f ca="1">_xll.DBRW(Server&amp;Cube1,$F$17,$F$18,$F$19,$F$16,$C$14,$F$15,$F$14,$F$20,I$2,I$1,$C124)</f>
        <v>0</v>
      </c>
      <c r="J124" s="192">
        <f ca="1">_xll.DBRW(Server&amp;Cube1,$F$17,$F$18,$F$19,$F$16,$C$14,$F$15,$F$14,$F$20,J$2,J$1,$C124)</f>
        <v>0</v>
      </c>
      <c r="K124" s="183"/>
      <c r="L124" s="185">
        <f ca="1">_xll.DBRW(Server&amp;Cube1,$F$17,$F$18,$F$19,$F$16,$C$14,$F$15,$F$14,$F$20,L$2,L$1,$C124)</f>
        <v>0</v>
      </c>
      <c r="M124" s="184"/>
      <c r="N124" s="185">
        <f ca="1">_xll.DBRW(Server&amp;Cube1,$F$17,$F$18,$F$19,$F$16,$C$14,$F$15,$F$14,$F$20,N$2,$N$1,$C124)</f>
        <v>0</v>
      </c>
      <c r="O124" s="185">
        <f ca="1">_xll.DBRW(Server&amp;Cube1,$F$17,$F$18,$F$19,$F$16,$C$14,$F$15,$F$14,$F$20,O$2,$N$1,$C124)</f>
        <v>0</v>
      </c>
      <c r="P124" s="185">
        <f ca="1">_xll.DBRW(Server&amp;Cube1,$F$17,$F$18,$F$19,$F$16,$C$14,$F$15,$F$14,$F$20,P$2,$N$1,$C124)</f>
        <v>0</v>
      </c>
      <c r="Q124" s="185">
        <f ca="1">_xll.DBRW(Server&amp;Cube1,$F$17,$F$18,$F$19,$F$16,$C$14,$F$15,$F$14,$F$20,Q$2,$N$1,$C124)</f>
        <v>0</v>
      </c>
      <c r="R124" s="185">
        <f ca="1">_xll.DBRW(Server&amp;Cube1,$F$17,$F$18,$F$19,$F$16,$C$14,$F$15,$F$14,$F$20,R$2,$N$1,$C124)</f>
        <v>0</v>
      </c>
      <c r="S124" s="185">
        <f ca="1">_xll.DBRW(Server&amp;Cube1,$F$17,$F$18,$F$19,$F$16,$C$14,$F$15,$F$14,$F$20,S$2,$N$1,$C124)</f>
        <v>0</v>
      </c>
      <c r="T124" s="185">
        <f ca="1">_xll.DBRW(Server&amp;Cube1,$F$17,$F$18,$F$19,$F$16,$C$14,$F$15,$F$14,$F$20,T$2,$N$1,$C124)</f>
        <v>0</v>
      </c>
      <c r="U124" s="185">
        <f ca="1">_xll.DBRW(Server&amp;Cube1,$F$17,$F$18,$F$19,$F$16,$C$14,$F$15,$F$14,$F$20,U$2,$N$1,$C124)</f>
        <v>0</v>
      </c>
      <c r="V124" s="185">
        <f ca="1">_xll.DBRW(Server&amp;Cube1,$F$17,$F$18,$F$19,$F$16,$C$14,$F$15,$F$14,$F$20,V$2,$N$1,$C124)</f>
        <v>0</v>
      </c>
      <c r="W124" s="185">
        <f ca="1">_xll.DBRW(Server&amp;Cube1,$F$17,$F$18,$F$19,$F$16,$C$14,$F$15,$F$14,$F$20,W$2,$N$1,$C124)</f>
        <v>0</v>
      </c>
      <c r="X124" s="185">
        <f ca="1">_xll.DBRW(Server&amp;Cube1,$F$17,$F$18,$F$19,$F$16,$C$14,$F$15,$F$14,$F$20,X$2,$N$1,$C124)</f>
        <v>0</v>
      </c>
      <c r="Y124" s="185">
        <f ca="1">_xll.DBRW(Server&amp;Cube1,$F$17,$F$18,$F$19,$F$16,$C$14,$F$15,$F$14,$F$20,Y$2,$N$1,$C124)</f>
        <v>0</v>
      </c>
      <c r="Z124" s="185">
        <f ca="1">_xll.DBRW(Server&amp;Cube1,$F$17,$F$18,$F$19,$F$16,$C$14,$F$15,$F$14,$F$20,Z$2,$N$1,$C124)</f>
        <v>0</v>
      </c>
      <c r="AA124" s="53"/>
      <c r="AB124" s="53"/>
      <c r="AC124" s="53"/>
      <c r="AD124" s="53"/>
      <c r="AE124" s="53"/>
      <c r="AF124" s="53"/>
      <c r="AG124" s="53"/>
      <c r="AH124" s="53"/>
      <c r="AI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</row>
    <row r="125" spans="1:47" s="9" customFormat="1" ht="24.95" customHeight="1" x14ac:dyDescent="0.35">
      <c r="A125" s="157">
        <f ca="1">IF($AN$35="YES",1,IF(_xll.ELCOMPN(Server&amp;$C$24,C125)&lt;&gt;0,1,IF(OR(B125=$AT$35,B125="ALL"),1,0)))</f>
        <v>1</v>
      </c>
      <c r="B125" s="139" t="str">
        <f t="shared" si="1"/>
        <v>HR</v>
      </c>
      <c r="C125" s="137" t="s">
        <v>232</v>
      </c>
      <c r="E125" s="219" t="str">
        <f ca="1">_xll.DBRA(Server&amp;$C$24,$C125,$F$21)</f>
        <v>Honoraires &amp; Conseil Abonnés (RH)</v>
      </c>
      <c r="F125" s="219"/>
      <c r="G125" s="219"/>
      <c r="H125" s="40"/>
      <c r="I125" s="192">
        <f ca="1">_xll.DBRW(Server&amp;Cube1,$F$17,$F$18,$F$19,$F$16,$C$14,$F$15,$F$14,$F$20,I$2,I$1,$C125)</f>
        <v>0</v>
      </c>
      <c r="J125" s="192">
        <f ca="1">_xll.DBRW(Server&amp;Cube1,$F$17,$F$18,$F$19,$F$16,$C$14,$F$15,$F$14,$F$20,J$2,J$1,$C125)</f>
        <v>0</v>
      </c>
      <c r="K125" s="183"/>
      <c r="L125" s="185">
        <f ca="1">_xll.DBRW(Server&amp;Cube1,$F$17,$F$18,$F$19,$F$16,$C$14,$F$15,$F$14,$F$20,L$2,L$1,$C125)</f>
        <v>0</v>
      </c>
      <c r="M125" s="184"/>
      <c r="N125" s="185">
        <f ca="1">_xll.DBRW(Server&amp;Cube1,$F$17,$F$18,$F$19,$F$16,$C$14,$F$15,$F$14,$F$20,N$2,$N$1,$C125)</f>
        <v>0</v>
      </c>
      <c r="O125" s="185">
        <f ca="1">_xll.DBRW(Server&amp;Cube1,$F$17,$F$18,$F$19,$F$16,$C$14,$F$15,$F$14,$F$20,O$2,$N$1,$C125)</f>
        <v>0</v>
      </c>
      <c r="P125" s="185">
        <f ca="1">_xll.DBRW(Server&amp;Cube1,$F$17,$F$18,$F$19,$F$16,$C$14,$F$15,$F$14,$F$20,P$2,$N$1,$C125)</f>
        <v>0</v>
      </c>
      <c r="Q125" s="185">
        <f ca="1">_xll.DBRW(Server&amp;Cube1,$F$17,$F$18,$F$19,$F$16,$C$14,$F$15,$F$14,$F$20,Q$2,$N$1,$C125)</f>
        <v>0</v>
      </c>
      <c r="R125" s="185">
        <f ca="1">_xll.DBRW(Server&amp;Cube1,$F$17,$F$18,$F$19,$F$16,$C$14,$F$15,$F$14,$F$20,R$2,$N$1,$C125)</f>
        <v>0</v>
      </c>
      <c r="S125" s="185">
        <f ca="1">_xll.DBRW(Server&amp;Cube1,$F$17,$F$18,$F$19,$F$16,$C$14,$F$15,$F$14,$F$20,S$2,$N$1,$C125)</f>
        <v>0</v>
      </c>
      <c r="T125" s="185">
        <f ca="1">_xll.DBRW(Server&amp;Cube1,$F$17,$F$18,$F$19,$F$16,$C$14,$F$15,$F$14,$F$20,T$2,$N$1,$C125)</f>
        <v>0</v>
      </c>
      <c r="U125" s="185">
        <f ca="1">_xll.DBRW(Server&amp;Cube1,$F$17,$F$18,$F$19,$F$16,$C$14,$F$15,$F$14,$F$20,U$2,$N$1,$C125)</f>
        <v>0</v>
      </c>
      <c r="V125" s="185">
        <f ca="1">_xll.DBRW(Server&amp;Cube1,$F$17,$F$18,$F$19,$F$16,$C$14,$F$15,$F$14,$F$20,V$2,$N$1,$C125)</f>
        <v>0</v>
      </c>
      <c r="W125" s="185">
        <f ca="1">_xll.DBRW(Server&amp;Cube1,$F$17,$F$18,$F$19,$F$16,$C$14,$F$15,$F$14,$F$20,W$2,$N$1,$C125)</f>
        <v>0</v>
      </c>
      <c r="X125" s="185">
        <f ca="1">_xll.DBRW(Server&amp;Cube1,$F$17,$F$18,$F$19,$F$16,$C$14,$F$15,$F$14,$F$20,X$2,$N$1,$C125)</f>
        <v>0</v>
      </c>
      <c r="Y125" s="185">
        <f ca="1">_xll.DBRW(Server&amp;Cube1,$F$17,$F$18,$F$19,$F$16,$C$14,$F$15,$F$14,$F$20,Y$2,$N$1,$C125)</f>
        <v>0</v>
      </c>
      <c r="Z125" s="185">
        <f ca="1">_xll.DBRW(Server&amp;Cube1,$F$17,$F$18,$F$19,$F$16,$C$14,$F$15,$F$14,$F$20,Z$2,$N$1,$C125)</f>
        <v>0</v>
      </c>
      <c r="AA125" s="53"/>
      <c r="AB125" s="53"/>
      <c r="AC125" s="53"/>
      <c r="AD125" s="53"/>
      <c r="AE125" s="53"/>
      <c r="AF125" s="53"/>
      <c r="AG125" s="53"/>
      <c r="AH125" s="53"/>
      <c r="AI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</row>
    <row r="126" spans="1:47" s="9" customFormat="1" ht="24.95" customHeight="1" x14ac:dyDescent="0.35">
      <c r="A126" s="157">
        <f ca="1">IF($AN$35="YES",1,IF(_xll.ELCOMPN(Server&amp;$C$24,C126)&lt;&gt;0,1,IF(OR(B126=$AT$35,B126="ALL"),1,0)))</f>
        <v>1</v>
      </c>
      <c r="B126" s="139" t="str">
        <f t="shared" si="1"/>
        <v>GM</v>
      </c>
      <c r="C126" s="137" t="s">
        <v>233</v>
      </c>
      <c r="E126" s="219" t="str">
        <f ca="1">_xll.DBRA(Server&amp;$C$24,$C126,$F$21)</f>
        <v>Honoraires &amp; Conseil Abonnés (DG)</v>
      </c>
      <c r="F126" s="219"/>
      <c r="G126" s="219"/>
      <c r="H126" s="40"/>
      <c r="I126" s="192">
        <f ca="1">_xll.DBRW(Server&amp;Cube1,$F$17,$F$18,$F$19,$F$16,$C$14,$F$15,$F$14,$F$20,I$2,I$1,$C126)</f>
        <v>0</v>
      </c>
      <c r="J126" s="192">
        <f ca="1">_xll.DBRW(Server&amp;Cube1,$F$17,$F$18,$F$19,$F$16,$C$14,$F$15,$F$14,$F$20,J$2,J$1,$C126)</f>
        <v>0</v>
      </c>
      <c r="K126" s="183"/>
      <c r="L126" s="185">
        <f ca="1">_xll.DBRW(Server&amp;Cube1,$F$17,$F$18,$F$19,$F$16,$C$14,$F$15,$F$14,$F$20,L$2,L$1,$C126)</f>
        <v>0</v>
      </c>
      <c r="M126" s="184"/>
      <c r="N126" s="185">
        <f ca="1">_xll.DBRW(Server&amp;Cube1,$F$17,$F$18,$F$19,$F$16,$C$14,$F$15,$F$14,$F$20,N$2,$N$1,$C126)</f>
        <v>0</v>
      </c>
      <c r="O126" s="185">
        <f ca="1">_xll.DBRW(Server&amp;Cube1,$F$17,$F$18,$F$19,$F$16,$C$14,$F$15,$F$14,$F$20,O$2,$N$1,$C126)</f>
        <v>0</v>
      </c>
      <c r="P126" s="185">
        <f ca="1">_xll.DBRW(Server&amp;Cube1,$F$17,$F$18,$F$19,$F$16,$C$14,$F$15,$F$14,$F$20,P$2,$N$1,$C126)</f>
        <v>0</v>
      </c>
      <c r="Q126" s="185">
        <f ca="1">_xll.DBRW(Server&amp;Cube1,$F$17,$F$18,$F$19,$F$16,$C$14,$F$15,$F$14,$F$20,Q$2,$N$1,$C126)</f>
        <v>0</v>
      </c>
      <c r="R126" s="185">
        <f ca="1">_xll.DBRW(Server&amp;Cube1,$F$17,$F$18,$F$19,$F$16,$C$14,$F$15,$F$14,$F$20,R$2,$N$1,$C126)</f>
        <v>0</v>
      </c>
      <c r="S126" s="185">
        <f ca="1">_xll.DBRW(Server&amp;Cube1,$F$17,$F$18,$F$19,$F$16,$C$14,$F$15,$F$14,$F$20,S$2,$N$1,$C126)</f>
        <v>0</v>
      </c>
      <c r="T126" s="185">
        <f ca="1">_xll.DBRW(Server&amp;Cube1,$F$17,$F$18,$F$19,$F$16,$C$14,$F$15,$F$14,$F$20,T$2,$N$1,$C126)</f>
        <v>0</v>
      </c>
      <c r="U126" s="185">
        <f ca="1">_xll.DBRW(Server&amp;Cube1,$F$17,$F$18,$F$19,$F$16,$C$14,$F$15,$F$14,$F$20,U$2,$N$1,$C126)</f>
        <v>0</v>
      </c>
      <c r="V126" s="185">
        <f ca="1">_xll.DBRW(Server&amp;Cube1,$F$17,$F$18,$F$19,$F$16,$C$14,$F$15,$F$14,$F$20,V$2,$N$1,$C126)</f>
        <v>0</v>
      </c>
      <c r="W126" s="185">
        <f ca="1">_xll.DBRW(Server&amp;Cube1,$F$17,$F$18,$F$19,$F$16,$C$14,$F$15,$F$14,$F$20,W$2,$N$1,$C126)</f>
        <v>0</v>
      </c>
      <c r="X126" s="185">
        <f ca="1">_xll.DBRW(Server&amp;Cube1,$F$17,$F$18,$F$19,$F$16,$C$14,$F$15,$F$14,$F$20,X$2,$N$1,$C126)</f>
        <v>0</v>
      </c>
      <c r="Y126" s="185">
        <f ca="1">_xll.DBRW(Server&amp;Cube1,$F$17,$F$18,$F$19,$F$16,$C$14,$F$15,$F$14,$F$20,Y$2,$N$1,$C126)</f>
        <v>0</v>
      </c>
      <c r="Z126" s="185">
        <f ca="1">_xll.DBRW(Server&amp;Cube1,$F$17,$F$18,$F$19,$F$16,$C$14,$F$15,$F$14,$F$20,Z$2,$N$1,$C126)</f>
        <v>0</v>
      </c>
      <c r="AA126" s="53"/>
      <c r="AB126" s="53"/>
      <c r="AC126" s="53"/>
      <c r="AD126" s="53"/>
      <c r="AE126" s="53"/>
      <c r="AF126" s="53"/>
      <c r="AG126" s="53"/>
      <c r="AH126" s="53"/>
      <c r="AI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</row>
    <row r="127" spans="1:47" s="9" customFormat="1" ht="24.95" customHeight="1" x14ac:dyDescent="0.35">
      <c r="A127" s="157">
        <f ca="1">IF($AN$35="YES",1,IF(_xll.ELCOMPN(Server&amp;$C$24,C127)&lt;&gt;0,1,IF(OR(B127=$AT$35,B127="ALL"),1,0)))</f>
        <v>1</v>
      </c>
      <c r="B127" s="139" t="str">
        <f t="shared" si="1"/>
        <v>IA</v>
      </c>
      <c r="C127" s="137" t="s">
        <v>234</v>
      </c>
      <c r="E127" s="219" t="str">
        <f ca="1">_xll.DBRA(Server&amp;$C$24,$C127,$F$21)</f>
        <v>Honoraires &amp; Conseil Abonnés (AI)</v>
      </c>
      <c r="F127" s="219"/>
      <c r="G127" s="219"/>
      <c r="H127" s="40"/>
      <c r="I127" s="192">
        <f ca="1">_xll.DBRW(Server&amp;Cube1,$F$17,$F$18,$F$19,$F$16,$C$14,$F$15,$F$14,$F$20,I$2,I$1,$C127)</f>
        <v>0</v>
      </c>
      <c r="J127" s="192">
        <f ca="1">_xll.DBRW(Server&amp;Cube1,$F$17,$F$18,$F$19,$F$16,$C$14,$F$15,$F$14,$F$20,J$2,J$1,$C127)</f>
        <v>0</v>
      </c>
      <c r="K127" s="183"/>
      <c r="L127" s="185">
        <f ca="1">_xll.DBRW(Server&amp;Cube1,$F$17,$F$18,$F$19,$F$16,$C$14,$F$15,$F$14,$F$20,L$2,L$1,$C127)</f>
        <v>0</v>
      </c>
      <c r="M127" s="184"/>
      <c r="N127" s="185">
        <f ca="1">_xll.DBRW(Server&amp;Cube1,$F$17,$F$18,$F$19,$F$16,$C$14,$F$15,$F$14,$F$20,N$2,$N$1,$C127)</f>
        <v>0</v>
      </c>
      <c r="O127" s="185">
        <f ca="1">_xll.DBRW(Server&amp;Cube1,$F$17,$F$18,$F$19,$F$16,$C$14,$F$15,$F$14,$F$20,O$2,$N$1,$C127)</f>
        <v>0</v>
      </c>
      <c r="P127" s="185">
        <f ca="1">_xll.DBRW(Server&amp;Cube1,$F$17,$F$18,$F$19,$F$16,$C$14,$F$15,$F$14,$F$20,P$2,$N$1,$C127)</f>
        <v>0</v>
      </c>
      <c r="Q127" s="185">
        <f ca="1">_xll.DBRW(Server&amp;Cube1,$F$17,$F$18,$F$19,$F$16,$C$14,$F$15,$F$14,$F$20,Q$2,$N$1,$C127)</f>
        <v>0</v>
      </c>
      <c r="R127" s="185">
        <f ca="1">_xll.DBRW(Server&amp;Cube1,$F$17,$F$18,$F$19,$F$16,$C$14,$F$15,$F$14,$F$20,R$2,$N$1,$C127)</f>
        <v>0</v>
      </c>
      <c r="S127" s="185">
        <f ca="1">_xll.DBRW(Server&amp;Cube1,$F$17,$F$18,$F$19,$F$16,$C$14,$F$15,$F$14,$F$20,S$2,$N$1,$C127)</f>
        <v>0</v>
      </c>
      <c r="T127" s="185">
        <f ca="1">_xll.DBRW(Server&amp;Cube1,$F$17,$F$18,$F$19,$F$16,$C$14,$F$15,$F$14,$F$20,T$2,$N$1,$C127)</f>
        <v>0</v>
      </c>
      <c r="U127" s="185">
        <f ca="1">_xll.DBRW(Server&amp;Cube1,$F$17,$F$18,$F$19,$F$16,$C$14,$F$15,$F$14,$F$20,U$2,$N$1,$C127)</f>
        <v>0</v>
      </c>
      <c r="V127" s="185">
        <f ca="1">_xll.DBRW(Server&amp;Cube1,$F$17,$F$18,$F$19,$F$16,$C$14,$F$15,$F$14,$F$20,V$2,$N$1,$C127)</f>
        <v>0</v>
      </c>
      <c r="W127" s="185">
        <f ca="1">_xll.DBRW(Server&amp;Cube1,$F$17,$F$18,$F$19,$F$16,$C$14,$F$15,$F$14,$F$20,W$2,$N$1,$C127)</f>
        <v>0</v>
      </c>
      <c r="X127" s="185">
        <f ca="1">_xll.DBRW(Server&amp;Cube1,$F$17,$F$18,$F$19,$F$16,$C$14,$F$15,$F$14,$F$20,X$2,$N$1,$C127)</f>
        <v>0</v>
      </c>
      <c r="Y127" s="185">
        <f ca="1">_xll.DBRW(Server&amp;Cube1,$F$17,$F$18,$F$19,$F$16,$C$14,$F$15,$F$14,$F$20,Y$2,$N$1,$C127)</f>
        <v>0</v>
      </c>
      <c r="Z127" s="185">
        <f ca="1">_xll.DBRW(Server&amp;Cube1,$F$17,$F$18,$F$19,$F$16,$C$14,$F$15,$F$14,$F$20,Z$2,$N$1,$C127)</f>
        <v>0</v>
      </c>
      <c r="AA127" s="53"/>
      <c r="AB127" s="53"/>
      <c r="AC127" s="53"/>
      <c r="AD127" s="53"/>
      <c r="AE127" s="53"/>
      <c r="AF127" s="53"/>
      <c r="AG127" s="53"/>
      <c r="AH127" s="53"/>
      <c r="AI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</row>
    <row r="128" spans="1:47" s="9" customFormat="1" ht="24.95" customHeight="1" x14ac:dyDescent="0.35">
      <c r="A128" s="157">
        <f ca="1">IF($AN$35="YES",1,IF(_xll.ELCOMPN(Server&amp;$C$24,C128)&lt;&gt;0,1,IF(OR(B128=$AT$35,B128="ALL"),1,0)))</f>
        <v>1</v>
      </c>
      <c r="B128" s="139" t="str">
        <f t="shared" si="1"/>
        <v>LE</v>
      </c>
      <c r="C128" s="137" t="s">
        <v>235</v>
      </c>
      <c r="E128" s="219" t="str">
        <f ca="1">_xll.DBRA(Server&amp;$C$24,$C128,$F$21)</f>
        <v>Honoraires &amp; Conseil Abonnés (JU)</v>
      </c>
      <c r="F128" s="219"/>
      <c r="G128" s="219"/>
      <c r="H128" s="40"/>
      <c r="I128" s="192">
        <f ca="1">_xll.DBRW(Server&amp;Cube1,$F$17,$F$18,$F$19,$F$16,$C$14,$F$15,$F$14,$F$20,I$2,I$1,$C128)</f>
        <v>0</v>
      </c>
      <c r="J128" s="192">
        <f ca="1">_xll.DBRW(Server&amp;Cube1,$F$17,$F$18,$F$19,$F$16,$C$14,$F$15,$F$14,$F$20,J$2,J$1,$C128)</f>
        <v>0</v>
      </c>
      <c r="K128" s="183"/>
      <c r="L128" s="185">
        <f ca="1">_xll.DBRW(Server&amp;Cube1,$F$17,$F$18,$F$19,$F$16,$C$14,$F$15,$F$14,$F$20,L$2,L$1,$C128)</f>
        <v>0</v>
      </c>
      <c r="M128" s="184"/>
      <c r="N128" s="185">
        <f ca="1">_xll.DBRW(Server&amp;Cube1,$F$17,$F$18,$F$19,$F$16,$C$14,$F$15,$F$14,$F$20,N$2,$N$1,$C128)</f>
        <v>0</v>
      </c>
      <c r="O128" s="185">
        <f ca="1">_xll.DBRW(Server&amp;Cube1,$F$17,$F$18,$F$19,$F$16,$C$14,$F$15,$F$14,$F$20,O$2,$N$1,$C128)</f>
        <v>0</v>
      </c>
      <c r="P128" s="185">
        <f ca="1">_xll.DBRW(Server&amp;Cube1,$F$17,$F$18,$F$19,$F$16,$C$14,$F$15,$F$14,$F$20,P$2,$N$1,$C128)</f>
        <v>0</v>
      </c>
      <c r="Q128" s="185">
        <f ca="1">_xll.DBRW(Server&amp;Cube1,$F$17,$F$18,$F$19,$F$16,$C$14,$F$15,$F$14,$F$20,Q$2,$N$1,$C128)</f>
        <v>0</v>
      </c>
      <c r="R128" s="185">
        <f ca="1">_xll.DBRW(Server&amp;Cube1,$F$17,$F$18,$F$19,$F$16,$C$14,$F$15,$F$14,$F$20,R$2,$N$1,$C128)</f>
        <v>0</v>
      </c>
      <c r="S128" s="185">
        <f ca="1">_xll.DBRW(Server&amp;Cube1,$F$17,$F$18,$F$19,$F$16,$C$14,$F$15,$F$14,$F$20,S$2,$N$1,$C128)</f>
        <v>0</v>
      </c>
      <c r="T128" s="185">
        <f ca="1">_xll.DBRW(Server&amp;Cube1,$F$17,$F$18,$F$19,$F$16,$C$14,$F$15,$F$14,$F$20,T$2,$N$1,$C128)</f>
        <v>0</v>
      </c>
      <c r="U128" s="185">
        <f ca="1">_xll.DBRW(Server&amp;Cube1,$F$17,$F$18,$F$19,$F$16,$C$14,$F$15,$F$14,$F$20,U$2,$N$1,$C128)</f>
        <v>0</v>
      </c>
      <c r="V128" s="185">
        <f ca="1">_xll.DBRW(Server&amp;Cube1,$F$17,$F$18,$F$19,$F$16,$C$14,$F$15,$F$14,$F$20,V$2,$N$1,$C128)</f>
        <v>0</v>
      </c>
      <c r="W128" s="185">
        <f ca="1">_xll.DBRW(Server&amp;Cube1,$F$17,$F$18,$F$19,$F$16,$C$14,$F$15,$F$14,$F$20,W$2,$N$1,$C128)</f>
        <v>0</v>
      </c>
      <c r="X128" s="185">
        <f ca="1">_xll.DBRW(Server&amp;Cube1,$F$17,$F$18,$F$19,$F$16,$C$14,$F$15,$F$14,$F$20,X$2,$N$1,$C128)</f>
        <v>0</v>
      </c>
      <c r="Y128" s="185">
        <f ca="1">_xll.DBRW(Server&amp;Cube1,$F$17,$F$18,$F$19,$F$16,$C$14,$F$15,$F$14,$F$20,Y$2,$N$1,$C128)</f>
        <v>0</v>
      </c>
      <c r="Z128" s="185">
        <f ca="1">_xll.DBRW(Server&amp;Cube1,$F$17,$F$18,$F$19,$F$16,$C$14,$F$15,$F$14,$F$20,Z$2,$N$1,$C128)</f>
        <v>0</v>
      </c>
      <c r="AA128" s="53"/>
      <c r="AB128" s="53"/>
      <c r="AC128" s="53"/>
      <c r="AD128" s="53"/>
      <c r="AE128" s="53"/>
      <c r="AF128" s="53"/>
      <c r="AG128" s="53"/>
      <c r="AH128" s="53"/>
      <c r="AI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</row>
    <row r="129" spans="1:47" s="9" customFormat="1" ht="24.95" customHeight="1" x14ac:dyDescent="0.35">
      <c r="A129" s="157">
        <f ca="1">IF($AN$35="YES",1,IF(_xll.ELCOMPN(Server&amp;$C$24,C129)&lt;&gt;0,1,IF(OR(B129=$AT$35,B129="ALL"),1,0)))</f>
        <v>1</v>
      </c>
      <c r="B129" s="139" t="str">
        <f t="shared" si="1"/>
        <v>RM</v>
      </c>
      <c r="C129" s="137" t="s">
        <v>236</v>
      </c>
      <c r="E129" s="219" t="str">
        <f ca="1">_xll.DBRA(Server&amp;$C$24,$C129,$F$21)</f>
        <v>Honoraires &amp; Conseil Abonnés (GR)</v>
      </c>
      <c r="F129" s="219"/>
      <c r="G129" s="219"/>
      <c r="H129" s="40"/>
      <c r="I129" s="192">
        <f ca="1">_xll.DBRW(Server&amp;Cube1,$F$17,$F$18,$F$19,$F$16,$C$14,$F$15,$F$14,$F$20,I$2,I$1,$C129)</f>
        <v>0</v>
      </c>
      <c r="J129" s="192">
        <f ca="1">_xll.DBRW(Server&amp;Cube1,$F$17,$F$18,$F$19,$F$16,$C$14,$F$15,$F$14,$F$20,J$2,J$1,$C129)</f>
        <v>0</v>
      </c>
      <c r="K129" s="183"/>
      <c r="L129" s="185">
        <f ca="1">_xll.DBRW(Server&amp;Cube1,$F$17,$F$18,$F$19,$F$16,$C$14,$F$15,$F$14,$F$20,L$2,L$1,$C129)</f>
        <v>0</v>
      </c>
      <c r="M129" s="184"/>
      <c r="N129" s="185">
        <f ca="1">_xll.DBRW(Server&amp;Cube1,$F$17,$F$18,$F$19,$F$16,$C$14,$F$15,$F$14,$F$20,N$2,$N$1,$C129)</f>
        <v>0</v>
      </c>
      <c r="O129" s="185">
        <f ca="1">_xll.DBRW(Server&amp;Cube1,$F$17,$F$18,$F$19,$F$16,$C$14,$F$15,$F$14,$F$20,O$2,$N$1,$C129)</f>
        <v>0</v>
      </c>
      <c r="P129" s="185">
        <f ca="1">_xll.DBRW(Server&amp;Cube1,$F$17,$F$18,$F$19,$F$16,$C$14,$F$15,$F$14,$F$20,P$2,$N$1,$C129)</f>
        <v>0</v>
      </c>
      <c r="Q129" s="185">
        <f ca="1">_xll.DBRW(Server&amp;Cube1,$F$17,$F$18,$F$19,$F$16,$C$14,$F$15,$F$14,$F$20,Q$2,$N$1,$C129)</f>
        <v>0</v>
      </c>
      <c r="R129" s="185">
        <f ca="1">_xll.DBRW(Server&amp;Cube1,$F$17,$F$18,$F$19,$F$16,$C$14,$F$15,$F$14,$F$20,R$2,$N$1,$C129)</f>
        <v>0</v>
      </c>
      <c r="S129" s="185">
        <f ca="1">_xll.DBRW(Server&amp;Cube1,$F$17,$F$18,$F$19,$F$16,$C$14,$F$15,$F$14,$F$20,S$2,$N$1,$C129)</f>
        <v>0</v>
      </c>
      <c r="T129" s="185">
        <f ca="1">_xll.DBRW(Server&amp;Cube1,$F$17,$F$18,$F$19,$F$16,$C$14,$F$15,$F$14,$F$20,T$2,$N$1,$C129)</f>
        <v>0</v>
      </c>
      <c r="U129" s="185">
        <f ca="1">_xll.DBRW(Server&amp;Cube1,$F$17,$F$18,$F$19,$F$16,$C$14,$F$15,$F$14,$F$20,U$2,$N$1,$C129)</f>
        <v>0</v>
      </c>
      <c r="V129" s="185">
        <f ca="1">_xll.DBRW(Server&amp;Cube1,$F$17,$F$18,$F$19,$F$16,$C$14,$F$15,$F$14,$F$20,V$2,$N$1,$C129)</f>
        <v>0</v>
      </c>
      <c r="W129" s="185">
        <f ca="1">_xll.DBRW(Server&amp;Cube1,$F$17,$F$18,$F$19,$F$16,$C$14,$F$15,$F$14,$F$20,W$2,$N$1,$C129)</f>
        <v>0</v>
      </c>
      <c r="X129" s="185">
        <f ca="1">_xll.DBRW(Server&amp;Cube1,$F$17,$F$18,$F$19,$F$16,$C$14,$F$15,$F$14,$F$20,X$2,$N$1,$C129)</f>
        <v>0</v>
      </c>
      <c r="Y129" s="185">
        <f ca="1">_xll.DBRW(Server&amp;Cube1,$F$17,$F$18,$F$19,$F$16,$C$14,$F$15,$F$14,$F$20,Y$2,$N$1,$C129)</f>
        <v>0</v>
      </c>
      <c r="Z129" s="185">
        <f ca="1">_xll.DBRW(Server&amp;Cube1,$F$17,$F$18,$F$19,$F$16,$C$14,$F$15,$F$14,$F$20,Z$2,$N$1,$C129)</f>
        <v>0</v>
      </c>
      <c r="AA129" s="53"/>
      <c r="AB129" s="53"/>
      <c r="AC129" s="53"/>
      <c r="AD129" s="53"/>
      <c r="AE129" s="53"/>
      <c r="AF129" s="53"/>
      <c r="AG129" s="53"/>
      <c r="AH129" s="53"/>
      <c r="AI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</row>
    <row r="130" spans="1:47" s="9" customFormat="1" ht="24.95" customHeight="1" x14ac:dyDescent="0.35">
      <c r="A130" s="157">
        <f ca="1">IF($AN$35="YES",1,IF(_xll.ELCOMPN(Server&amp;$C$24,C130)&lt;&gt;0,1,IF(OR(B130=$AT$35,B130="ALL"),1,0)))</f>
        <v>1</v>
      </c>
      <c r="B130" s="139" t="str">
        <f t="shared" si="1"/>
        <v>PU</v>
      </c>
      <c r="C130" s="137" t="s">
        <v>237</v>
      </c>
      <c r="E130" s="219" t="str">
        <f ca="1">_xll.DBRA(Server&amp;$C$24,$C130,$F$21)</f>
        <v>Honoraires &amp; Conseil Abonnés (AC)</v>
      </c>
      <c r="F130" s="219"/>
      <c r="G130" s="219"/>
      <c r="H130" s="40"/>
      <c r="I130" s="192">
        <f ca="1">_xll.DBRW(Server&amp;Cube1,$F$17,$F$18,$F$19,$F$16,$C$14,$F$15,$F$14,$F$20,I$2,I$1,$C130)</f>
        <v>0</v>
      </c>
      <c r="J130" s="192">
        <f ca="1">_xll.DBRW(Server&amp;Cube1,$F$17,$F$18,$F$19,$F$16,$C$14,$F$15,$F$14,$F$20,J$2,J$1,$C130)</f>
        <v>0</v>
      </c>
      <c r="K130" s="183"/>
      <c r="L130" s="185">
        <f ca="1">_xll.DBRW(Server&amp;Cube1,$F$17,$F$18,$F$19,$F$16,$C$14,$F$15,$F$14,$F$20,L$2,L$1,$C130)</f>
        <v>0</v>
      </c>
      <c r="M130" s="184"/>
      <c r="N130" s="185">
        <f ca="1">_xll.DBRW(Server&amp;Cube1,$F$17,$F$18,$F$19,$F$16,$C$14,$F$15,$F$14,$F$20,N$2,$N$1,$C130)</f>
        <v>0</v>
      </c>
      <c r="O130" s="185">
        <f ca="1">_xll.DBRW(Server&amp;Cube1,$F$17,$F$18,$F$19,$F$16,$C$14,$F$15,$F$14,$F$20,O$2,$N$1,$C130)</f>
        <v>0</v>
      </c>
      <c r="P130" s="185">
        <f ca="1">_xll.DBRW(Server&amp;Cube1,$F$17,$F$18,$F$19,$F$16,$C$14,$F$15,$F$14,$F$20,P$2,$N$1,$C130)</f>
        <v>0</v>
      </c>
      <c r="Q130" s="185">
        <f ca="1">_xll.DBRW(Server&amp;Cube1,$F$17,$F$18,$F$19,$F$16,$C$14,$F$15,$F$14,$F$20,Q$2,$N$1,$C130)</f>
        <v>0</v>
      </c>
      <c r="R130" s="185">
        <f ca="1">_xll.DBRW(Server&amp;Cube1,$F$17,$F$18,$F$19,$F$16,$C$14,$F$15,$F$14,$F$20,R$2,$N$1,$C130)</f>
        <v>0</v>
      </c>
      <c r="S130" s="185">
        <f ca="1">_xll.DBRW(Server&amp;Cube1,$F$17,$F$18,$F$19,$F$16,$C$14,$F$15,$F$14,$F$20,S$2,$N$1,$C130)</f>
        <v>0</v>
      </c>
      <c r="T130" s="185">
        <f ca="1">_xll.DBRW(Server&amp;Cube1,$F$17,$F$18,$F$19,$F$16,$C$14,$F$15,$F$14,$F$20,T$2,$N$1,$C130)</f>
        <v>0</v>
      </c>
      <c r="U130" s="185">
        <f ca="1">_xll.DBRW(Server&amp;Cube1,$F$17,$F$18,$F$19,$F$16,$C$14,$F$15,$F$14,$F$20,U$2,$N$1,$C130)</f>
        <v>0</v>
      </c>
      <c r="V130" s="185">
        <f ca="1">_xll.DBRW(Server&amp;Cube1,$F$17,$F$18,$F$19,$F$16,$C$14,$F$15,$F$14,$F$20,V$2,$N$1,$C130)</f>
        <v>0</v>
      </c>
      <c r="W130" s="185">
        <f ca="1">_xll.DBRW(Server&amp;Cube1,$F$17,$F$18,$F$19,$F$16,$C$14,$F$15,$F$14,$F$20,W$2,$N$1,$C130)</f>
        <v>0</v>
      </c>
      <c r="X130" s="185">
        <f ca="1">_xll.DBRW(Server&amp;Cube1,$F$17,$F$18,$F$19,$F$16,$C$14,$F$15,$F$14,$F$20,X$2,$N$1,$C130)</f>
        <v>0</v>
      </c>
      <c r="Y130" s="185">
        <f ca="1">_xll.DBRW(Server&amp;Cube1,$F$17,$F$18,$F$19,$F$16,$C$14,$F$15,$F$14,$F$20,Y$2,$N$1,$C130)</f>
        <v>0</v>
      </c>
      <c r="Z130" s="185">
        <f ca="1">_xll.DBRW(Server&amp;Cube1,$F$17,$F$18,$F$19,$F$16,$C$14,$F$15,$F$14,$F$20,Z$2,$N$1,$C130)</f>
        <v>0</v>
      </c>
      <c r="AA130" s="53"/>
      <c r="AB130" s="53"/>
      <c r="AC130" s="53"/>
      <c r="AD130" s="53"/>
      <c r="AE130" s="53"/>
      <c r="AF130" s="53"/>
      <c r="AG130" s="53"/>
      <c r="AH130" s="53"/>
      <c r="AI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</row>
    <row r="131" spans="1:47" s="9" customFormat="1" ht="24.95" customHeight="1" x14ac:dyDescent="0.35">
      <c r="A131" s="157">
        <f ca="1">IF($AN$35="YES",1,IF(_xll.ELCOMPN(Server&amp;$C$24,C131)&lt;&gt;0,1,IF(OR(B131=$AT$35,B131="ALL"),1,0)))</f>
        <v>1</v>
      </c>
      <c r="B131" s="139" t="str">
        <f t="shared" si="1"/>
        <v>CO</v>
      </c>
      <c r="C131" s="137" t="s">
        <v>238</v>
      </c>
      <c r="E131" s="219" t="str">
        <f ca="1">_xll.DBRA(Server&amp;$C$24,$C131,$F$21)</f>
        <v>Honoraires &amp; Conseil Abonnés (CO)</v>
      </c>
      <c r="F131" s="219"/>
      <c r="G131" s="219"/>
      <c r="H131" s="40"/>
      <c r="I131" s="192">
        <f ca="1">_xll.DBRW(Server&amp;Cube1,$F$17,$F$18,$F$19,$F$16,$C$14,$F$15,$F$14,$F$20,I$2,I$1,$C131)</f>
        <v>0</v>
      </c>
      <c r="J131" s="192">
        <f ca="1">_xll.DBRW(Server&amp;Cube1,$F$17,$F$18,$F$19,$F$16,$C$14,$F$15,$F$14,$F$20,J$2,J$1,$C131)</f>
        <v>0</v>
      </c>
      <c r="K131" s="183"/>
      <c r="L131" s="185">
        <f ca="1">_xll.DBRW(Server&amp;Cube1,$F$17,$F$18,$F$19,$F$16,$C$14,$F$15,$F$14,$F$20,L$2,L$1,$C131)</f>
        <v>0</v>
      </c>
      <c r="M131" s="184"/>
      <c r="N131" s="185">
        <f ca="1">_xll.DBRW(Server&amp;Cube1,$F$17,$F$18,$F$19,$F$16,$C$14,$F$15,$F$14,$F$20,N$2,$N$1,$C131)</f>
        <v>0</v>
      </c>
      <c r="O131" s="185">
        <f ca="1">_xll.DBRW(Server&amp;Cube1,$F$17,$F$18,$F$19,$F$16,$C$14,$F$15,$F$14,$F$20,O$2,$N$1,$C131)</f>
        <v>0</v>
      </c>
      <c r="P131" s="185">
        <f ca="1">_xll.DBRW(Server&amp;Cube1,$F$17,$F$18,$F$19,$F$16,$C$14,$F$15,$F$14,$F$20,P$2,$N$1,$C131)</f>
        <v>0</v>
      </c>
      <c r="Q131" s="185">
        <f ca="1">_xll.DBRW(Server&amp;Cube1,$F$17,$F$18,$F$19,$F$16,$C$14,$F$15,$F$14,$F$20,Q$2,$N$1,$C131)</f>
        <v>0</v>
      </c>
      <c r="R131" s="185">
        <f ca="1">_xll.DBRW(Server&amp;Cube1,$F$17,$F$18,$F$19,$F$16,$C$14,$F$15,$F$14,$F$20,R$2,$N$1,$C131)</f>
        <v>0</v>
      </c>
      <c r="S131" s="185">
        <f ca="1">_xll.DBRW(Server&amp;Cube1,$F$17,$F$18,$F$19,$F$16,$C$14,$F$15,$F$14,$F$20,S$2,$N$1,$C131)</f>
        <v>0</v>
      </c>
      <c r="T131" s="185">
        <f ca="1">_xll.DBRW(Server&amp;Cube1,$F$17,$F$18,$F$19,$F$16,$C$14,$F$15,$F$14,$F$20,T$2,$N$1,$C131)</f>
        <v>0</v>
      </c>
      <c r="U131" s="185">
        <f ca="1">_xll.DBRW(Server&amp;Cube1,$F$17,$F$18,$F$19,$F$16,$C$14,$F$15,$F$14,$F$20,U$2,$N$1,$C131)</f>
        <v>0</v>
      </c>
      <c r="V131" s="185">
        <f ca="1">_xll.DBRW(Server&amp;Cube1,$F$17,$F$18,$F$19,$F$16,$C$14,$F$15,$F$14,$F$20,V$2,$N$1,$C131)</f>
        <v>0</v>
      </c>
      <c r="W131" s="185">
        <f ca="1">_xll.DBRW(Server&amp;Cube1,$F$17,$F$18,$F$19,$F$16,$C$14,$F$15,$F$14,$F$20,W$2,$N$1,$C131)</f>
        <v>0</v>
      </c>
      <c r="X131" s="185">
        <f ca="1">_xll.DBRW(Server&amp;Cube1,$F$17,$F$18,$F$19,$F$16,$C$14,$F$15,$F$14,$F$20,X$2,$N$1,$C131)</f>
        <v>0</v>
      </c>
      <c r="Y131" s="185">
        <f ca="1">_xll.DBRW(Server&amp;Cube1,$F$17,$F$18,$F$19,$F$16,$C$14,$F$15,$F$14,$F$20,Y$2,$N$1,$C131)</f>
        <v>0</v>
      </c>
      <c r="Z131" s="185">
        <f ca="1">_xll.DBRW(Server&amp;Cube1,$F$17,$F$18,$F$19,$F$16,$C$14,$F$15,$F$14,$F$20,Z$2,$N$1,$C131)</f>
        <v>0</v>
      </c>
      <c r="AA131" s="53"/>
      <c r="AB131" s="53"/>
      <c r="AC131" s="53"/>
      <c r="AD131" s="53"/>
      <c r="AE131" s="53"/>
      <c r="AF131" s="53"/>
      <c r="AG131" s="53"/>
      <c r="AH131" s="53"/>
      <c r="AI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</row>
    <row r="132" spans="1:47" s="9" customFormat="1" ht="24.95" customHeight="1" x14ac:dyDescent="0.35">
      <c r="A132" s="157">
        <f ca="1">IF($AN$35="YES",1,IF(_xll.ELCOMPN(Server&amp;$C$24,C132)&lt;&gt;0,1,IF(OR(B132=$AT$35,B132="ALL"),1,0)))</f>
        <v>1</v>
      </c>
      <c r="B132" s="139" t="str">
        <f t="shared" si="1"/>
        <v>GS</v>
      </c>
      <c r="C132" s="137" t="s">
        <v>239</v>
      </c>
      <c r="E132" s="219" t="str">
        <f ca="1">_xll.DBRA(Server&amp;$C$24,$C132,$F$21)</f>
        <v>Honoraires &amp; Conseil Abonnés (SG)</v>
      </c>
      <c r="F132" s="219"/>
      <c r="G132" s="219"/>
      <c r="H132" s="40"/>
      <c r="I132" s="192">
        <f ca="1">_xll.DBRW(Server&amp;Cube1,$F$17,$F$18,$F$19,$F$16,$C$14,$F$15,$F$14,$F$20,I$2,I$1,$C132)</f>
        <v>0</v>
      </c>
      <c r="J132" s="192">
        <f ca="1">_xll.DBRW(Server&amp;Cube1,$F$17,$F$18,$F$19,$F$16,$C$14,$F$15,$F$14,$F$20,J$2,J$1,$C132)</f>
        <v>0</v>
      </c>
      <c r="K132" s="183"/>
      <c r="L132" s="185">
        <f ca="1">_xll.DBRW(Server&amp;Cube1,$F$17,$F$18,$F$19,$F$16,$C$14,$F$15,$F$14,$F$20,L$2,L$1,$C132)</f>
        <v>0</v>
      </c>
      <c r="M132" s="184"/>
      <c r="N132" s="185">
        <f ca="1">_xll.DBRW(Server&amp;Cube1,$F$17,$F$18,$F$19,$F$16,$C$14,$F$15,$F$14,$F$20,N$2,$N$1,$C132)</f>
        <v>0</v>
      </c>
      <c r="O132" s="185">
        <f ca="1">_xll.DBRW(Server&amp;Cube1,$F$17,$F$18,$F$19,$F$16,$C$14,$F$15,$F$14,$F$20,O$2,$N$1,$C132)</f>
        <v>0</v>
      </c>
      <c r="P132" s="185">
        <f ca="1">_xll.DBRW(Server&amp;Cube1,$F$17,$F$18,$F$19,$F$16,$C$14,$F$15,$F$14,$F$20,P$2,$N$1,$C132)</f>
        <v>0</v>
      </c>
      <c r="Q132" s="185">
        <f ca="1">_xll.DBRW(Server&amp;Cube1,$F$17,$F$18,$F$19,$F$16,$C$14,$F$15,$F$14,$F$20,Q$2,$N$1,$C132)</f>
        <v>0</v>
      </c>
      <c r="R132" s="185">
        <f ca="1">_xll.DBRW(Server&amp;Cube1,$F$17,$F$18,$F$19,$F$16,$C$14,$F$15,$F$14,$F$20,R$2,$N$1,$C132)</f>
        <v>0</v>
      </c>
      <c r="S132" s="185">
        <f ca="1">_xll.DBRW(Server&amp;Cube1,$F$17,$F$18,$F$19,$F$16,$C$14,$F$15,$F$14,$F$20,S$2,$N$1,$C132)</f>
        <v>0</v>
      </c>
      <c r="T132" s="185">
        <f ca="1">_xll.DBRW(Server&amp;Cube1,$F$17,$F$18,$F$19,$F$16,$C$14,$F$15,$F$14,$F$20,T$2,$N$1,$C132)</f>
        <v>0</v>
      </c>
      <c r="U132" s="185">
        <f ca="1">_xll.DBRW(Server&amp;Cube1,$F$17,$F$18,$F$19,$F$16,$C$14,$F$15,$F$14,$F$20,U$2,$N$1,$C132)</f>
        <v>0</v>
      </c>
      <c r="V132" s="185">
        <f ca="1">_xll.DBRW(Server&amp;Cube1,$F$17,$F$18,$F$19,$F$16,$C$14,$F$15,$F$14,$F$20,V$2,$N$1,$C132)</f>
        <v>0</v>
      </c>
      <c r="W132" s="185">
        <f ca="1">_xll.DBRW(Server&amp;Cube1,$F$17,$F$18,$F$19,$F$16,$C$14,$F$15,$F$14,$F$20,W$2,$N$1,$C132)</f>
        <v>0</v>
      </c>
      <c r="X132" s="185">
        <f ca="1">_xll.DBRW(Server&amp;Cube1,$F$17,$F$18,$F$19,$F$16,$C$14,$F$15,$F$14,$F$20,X$2,$N$1,$C132)</f>
        <v>0</v>
      </c>
      <c r="Y132" s="185">
        <f ca="1">_xll.DBRW(Server&amp;Cube1,$F$17,$F$18,$F$19,$F$16,$C$14,$F$15,$F$14,$F$20,Y$2,$N$1,$C132)</f>
        <v>0</v>
      </c>
      <c r="Z132" s="185">
        <f ca="1">_xll.DBRW(Server&amp;Cube1,$F$17,$F$18,$F$19,$F$16,$C$14,$F$15,$F$14,$F$20,Z$2,$N$1,$C132)</f>
        <v>0</v>
      </c>
      <c r="AA132" s="53"/>
      <c r="AB132" s="53"/>
      <c r="AC132" s="53"/>
      <c r="AD132" s="53"/>
      <c r="AE132" s="53"/>
      <c r="AF132" s="53"/>
      <c r="AG132" s="53"/>
      <c r="AH132" s="53"/>
      <c r="AI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</row>
    <row r="133" spans="1:47" s="9" customFormat="1" ht="24.95" customHeight="1" x14ac:dyDescent="0.35">
      <c r="A133" s="157">
        <f ca="1">IF($AN$35="YES",1,IF(_xll.ELCOMPN(Server&amp;$C$24,C133)&lt;&gt;0,1,IF(OR(B133=$AT$35,B133="ALL"),1,0)))</f>
        <v>1</v>
      </c>
      <c r="B133" s="139" t="str">
        <f t="shared" si="1"/>
        <v>RD</v>
      </c>
      <c r="C133" s="137" t="s">
        <v>240</v>
      </c>
      <c r="E133" s="219" t="str">
        <f ca="1">_xll.DBRA(Server&amp;$C$24,$C133,$F$21)</f>
        <v>Honoraires &amp; Conseil Abonnés (RD)</v>
      </c>
      <c r="F133" s="219"/>
      <c r="G133" s="219"/>
      <c r="H133" s="40"/>
      <c r="I133" s="192">
        <f ca="1">_xll.DBRW(Server&amp;Cube1,$F$17,$F$18,$F$19,$F$16,$C$14,$F$15,$F$14,$F$20,I$2,I$1,$C133)</f>
        <v>0</v>
      </c>
      <c r="J133" s="192">
        <f ca="1">_xll.DBRW(Server&amp;Cube1,$F$17,$F$18,$F$19,$F$16,$C$14,$F$15,$F$14,$F$20,J$2,J$1,$C133)</f>
        <v>0</v>
      </c>
      <c r="K133" s="183"/>
      <c r="L133" s="185">
        <f ca="1">_xll.DBRW(Server&amp;Cube1,$F$17,$F$18,$F$19,$F$16,$C$14,$F$15,$F$14,$F$20,L$2,L$1,$C133)</f>
        <v>0</v>
      </c>
      <c r="M133" s="184"/>
      <c r="N133" s="185">
        <f ca="1">_xll.DBRW(Server&amp;Cube1,$F$17,$F$18,$F$19,$F$16,$C$14,$F$15,$F$14,$F$20,N$2,$N$1,$C133)</f>
        <v>0</v>
      </c>
      <c r="O133" s="185">
        <f ca="1">_xll.DBRW(Server&amp;Cube1,$F$17,$F$18,$F$19,$F$16,$C$14,$F$15,$F$14,$F$20,O$2,$N$1,$C133)</f>
        <v>0</v>
      </c>
      <c r="P133" s="185">
        <f ca="1">_xll.DBRW(Server&amp;Cube1,$F$17,$F$18,$F$19,$F$16,$C$14,$F$15,$F$14,$F$20,P$2,$N$1,$C133)</f>
        <v>0</v>
      </c>
      <c r="Q133" s="185">
        <f ca="1">_xll.DBRW(Server&amp;Cube1,$F$17,$F$18,$F$19,$F$16,$C$14,$F$15,$F$14,$F$20,Q$2,$N$1,$C133)</f>
        <v>0</v>
      </c>
      <c r="R133" s="185">
        <f ca="1">_xll.DBRW(Server&amp;Cube1,$F$17,$F$18,$F$19,$F$16,$C$14,$F$15,$F$14,$F$20,R$2,$N$1,$C133)</f>
        <v>0</v>
      </c>
      <c r="S133" s="185">
        <f ca="1">_xll.DBRW(Server&amp;Cube1,$F$17,$F$18,$F$19,$F$16,$C$14,$F$15,$F$14,$F$20,S$2,$N$1,$C133)</f>
        <v>0</v>
      </c>
      <c r="T133" s="185">
        <f ca="1">_xll.DBRW(Server&amp;Cube1,$F$17,$F$18,$F$19,$F$16,$C$14,$F$15,$F$14,$F$20,T$2,$N$1,$C133)</f>
        <v>0</v>
      </c>
      <c r="U133" s="185">
        <f ca="1">_xll.DBRW(Server&amp;Cube1,$F$17,$F$18,$F$19,$F$16,$C$14,$F$15,$F$14,$F$20,U$2,$N$1,$C133)</f>
        <v>0</v>
      </c>
      <c r="V133" s="185">
        <f ca="1">_xll.DBRW(Server&amp;Cube1,$F$17,$F$18,$F$19,$F$16,$C$14,$F$15,$F$14,$F$20,V$2,$N$1,$C133)</f>
        <v>0</v>
      </c>
      <c r="W133" s="185">
        <f ca="1">_xll.DBRW(Server&amp;Cube1,$F$17,$F$18,$F$19,$F$16,$C$14,$F$15,$F$14,$F$20,W$2,$N$1,$C133)</f>
        <v>0</v>
      </c>
      <c r="X133" s="185">
        <f ca="1">_xll.DBRW(Server&amp;Cube1,$F$17,$F$18,$F$19,$F$16,$C$14,$F$15,$F$14,$F$20,X$2,$N$1,$C133)</f>
        <v>0</v>
      </c>
      <c r="Y133" s="185">
        <f ca="1">_xll.DBRW(Server&amp;Cube1,$F$17,$F$18,$F$19,$F$16,$C$14,$F$15,$F$14,$F$20,Y$2,$N$1,$C133)</f>
        <v>0</v>
      </c>
      <c r="Z133" s="185">
        <f ca="1">_xll.DBRW(Server&amp;Cube1,$F$17,$F$18,$F$19,$F$16,$C$14,$F$15,$F$14,$F$20,Z$2,$N$1,$C133)</f>
        <v>0</v>
      </c>
      <c r="AA133" s="53"/>
      <c r="AB133" s="53"/>
      <c r="AC133" s="53"/>
      <c r="AD133" s="53"/>
      <c r="AE133" s="53"/>
      <c r="AF133" s="53"/>
      <c r="AG133" s="53"/>
      <c r="AH133" s="53"/>
      <c r="AI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</row>
    <row r="134" spans="1:47" s="9" customFormat="1" ht="24.95" customHeight="1" collapsed="1" x14ac:dyDescent="0.35">
      <c r="A134" s="157">
        <f ca="1">IF($AN$35="YES",1,IF(_xll.ELCOMPN(Server&amp;$C$24,C134)&lt;&gt;0,1,IF(OR(B134=$AT$35,B134="ALL"),1,0)))</f>
        <v>1</v>
      </c>
      <c r="B134" s="139" t="str">
        <f t="shared" si="1"/>
        <v>sp</v>
      </c>
      <c r="C134" s="111" t="s">
        <v>98</v>
      </c>
      <c r="E134" s="221" t="str">
        <f ca="1">_xll.DBRA(Server&amp;$C$24,$C134,$F$21)</f>
        <v>Publication, Sponsoring, cadeaux, Publicité et promotion</v>
      </c>
      <c r="F134" s="221"/>
      <c r="G134" s="221"/>
      <c r="H134" s="40"/>
      <c r="I134" s="192">
        <f ca="1">_xll.DBRW(Server&amp;Cube1,$F$17,$F$18,$F$19,$F$16,$C$14,$F$15,$F$14,$F$20,I$2,I$1,$C134)</f>
        <v>0</v>
      </c>
      <c r="J134" s="192">
        <f ca="1">_xll.DBRW(Server&amp;Cube1,$F$17,$F$18,$F$19,$F$16,$C$14,$F$15,$F$14,$F$20,J$2,J$1,$C134)</f>
        <v>0</v>
      </c>
      <c r="K134" s="183"/>
      <c r="L134" s="181">
        <f ca="1">_xll.DBRW(Server&amp;Cube1,$F$17,$F$18,$F$19,$F$16,$C$14,$F$15,$F$14,$F$20,L$2,L$1,$C134)</f>
        <v>0</v>
      </c>
      <c r="M134" s="181"/>
      <c r="N134" s="181">
        <f ca="1">_xll.DBRW(Server&amp;Cube1,$F$17,$F$18,$F$19,$F$16,$C$14,$F$15,$F$14,$F$20,N$2,$N$1,$C134)</f>
        <v>0</v>
      </c>
      <c r="O134" s="181">
        <f ca="1">_xll.DBRW(Server&amp;Cube1,$F$17,$F$18,$F$19,$F$16,$C$14,$F$15,$F$14,$F$20,O$2,$N$1,$C134)</f>
        <v>0</v>
      </c>
      <c r="P134" s="181">
        <f ca="1">_xll.DBRW(Server&amp;Cube1,$F$17,$F$18,$F$19,$F$16,$C$14,$F$15,$F$14,$F$20,P$2,$N$1,$C134)</f>
        <v>0</v>
      </c>
      <c r="Q134" s="181">
        <f ca="1">_xll.DBRW(Server&amp;Cube1,$F$17,$F$18,$F$19,$F$16,$C$14,$F$15,$F$14,$F$20,Q$2,$N$1,$C134)</f>
        <v>0</v>
      </c>
      <c r="R134" s="181">
        <f ca="1">_xll.DBRW(Server&amp;Cube1,$F$17,$F$18,$F$19,$F$16,$C$14,$F$15,$F$14,$F$20,R$2,$N$1,$C134)</f>
        <v>0</v>
      </c>
      <c r="S134" s="181">
        <f ca="1">_xll.DBRW(Server&amp;Cube1,$F$17,$F$18,$F$19,$F$16,$C$14,$F$15,$F$14,$F$20,S$2,$N$1,$C134)</f>
        <v>0</v>
      </c>
      <c r="T134" s="181">
        <f ca="1">_xll.DBRW(Server&amp;Cube1,$F$17,$F$18,$F$19,$F$16,$C$14,$F$15,$F$14,$F$20,T$2,$N$1,$C134)</f>
        <v>0</v>
      </c>
      <c r="U134" s="181">
        <f ca="1">_xll.DBRW(Server&amp;Cube1,$F$17,$F$18,$F$19,$F$16,$C$14,$F$15,$F$14,$F$20,U$2,$N$1,$C134)</f>
        <v>0</v>
      </c>
      <c r="V134" s="181">
        <f ca="1">_xll.DBRW(Server&amp;Cube1,$F$17,$F$18,$F$19,$F$16,$C$14,$F$15,$F$14,$F$20,V$2,$N$1,$C134)</f>
        <v>0</v>
      </c>
      <c r="W134" s="181">
        <f ca="1">_xll.DBRW(Server&amp;Cube1,$F$17,$F$18,$F$19,$F$16,$C$14,$F$15,$F$14,$F$20,W$2,$N$1,$C134)</f>
        <v>0</v>
      </c>
      <c r="X134" s="181">
        <f ca="1">_xll.DBRW(Server&amp;Cube1,$F$17,$F$18,$F$19,$F$16,$C$14,$F$15,$F$14,$F$20,X$2,$N$1,$C134)</f>
        <v>0</v>
      </c>
      <c r="Y134" s="181">
        <f ca="1">_xll.DBRW(Server&amp;Cube1,$F$17,$F$18,$F$19,$F$16,$C$14,$F$15,$F$14,$F$20,Y$2,$N$1,$C134)</f>
        <v>0</v>
      </c>
      <c r="Z134" s="181">
        <f ca="1">_xll.DBRW(Server&amp;Cube1,$F$17,$F$18,$F$19,$F$16,$C$14,$F$15,$F$14,$F$20,Z$2,$N$1,$C134)</f>
        <v>0</v>
      </c>
      <c r="AA134" s="53"/>
      <c r="AB134" s="53"/>
      <c r="AC134" s="53"/>
      <c r="AD134" s="53"/>
      <c r="AE134" s="53"/>
      <c r="AF134" s="53"/>
      <c r="AG134" s="53"/>
      <c r="AH134" s="53"/>
      <c r="AI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</row>
    <row r="135" spans="1:47" s="9" customFormat="1" ht="24.95" customHeight="1" x14ac:dyDescent="0.35">
      <c r="A135" s="157">
        <f ca="1">IF($AN$35="YES",1,IF(_xll.ELCOMPN(Server&amp;$C$24,C135)&lt;&gt;0,1,IF(OR(B135=$AT$35,B135="ALL"),1,0)))</f>
        <v>1</v>
      </c>
      <c r="B135" s="139" t="str">
        <f t="shared" si="1"/>
        <v>DS</v>
      </c>
      <c r="C135" s="137" t="s">
        <v>241</v>
      </c>
      <c r="E135" s="219" t="str">
        <f ca="1">_xll.DBRA(Server&amp;$C$24,$C135,$F$21)</f>
        <v>Publication, Sponsoring, cadeaux, Publicité et promotion (SO)</v>
      </c>
      <c r="F135" s="219"/>
      <c r="G135" s="219"/>
      <c r="H135" s="40"/>
      <c r="I135" s="192">
        <f ca="1">_xll.DBRW(Server&amp;Cube1,$F$17,$F$18,$F$19,$F$16,$C$14,$F$15,$F$14,$F$20,I$2,I$1,$C135)</f>
        <v>0</v>
      </c>
      <c r="J135" s="192">
        <f ca="1">_xll.DBRW(Server&amp;Cube1,$F$17,$F$18,$F$19,$F$16,$C$14,$F$15,$F$14,$F$20,J$2,J$1,$C135)</f>
        <v>0</v>
      </c>
      <c r="K135" s="183"/>
      <c r="L135" s="185">
        <f ca="1">_xll.DBRW(Server&amp;Cube1,$F$17,$F$18,$F$19,$F$16,$C$14,$F$15,$F$14,$F$20,L$2,L$1,$C135)</f>
        <v>0</v>
      </c>
      <c r="M135" s="184"/>
      <c r="N135" s="185">
        <f ca="1">_xll.DBRW(Server&amp;Cube1,$F$17,$F$18,$F$19,$F$16,$C$14,$F$15,$F$14,$F$20,N$2,$N$1,$C135)</f>
        <v>0</v>
      </c>
      <c r="O135" s="185">
        <f ca="1">_xll.DBRW(Server&amp;Cube1,$F$17,$F$18,$F$19,$F$16,$C$14,$F$15,$F$14,$F$20,O$2,$N$1,$C135)</f>
        <v>0</v>
      </c>
      <c r="P135" s="185">
        <f ca="1">_xll.DBRW(Server&amp;Cube1,$F$17,$F$18,$F$19,$F$16,$C$14,$F$15,$F$14,$F$20,P$2,$N$1,$C135)</f>
        <v>0</v>
      </c>
      <c r="Q135" s="185">
        <f ca="1">_xll.DBRW(Server&amp;Cube1,$F$17,$F$18,$F$19,$F$16,$C$14,$F$15,$F$14,$F$20,Q$2,$N$1,$C135)</f>
        <v>0</v>
      </c>
      <c r="R135" s="185">
        <f ca="1">_xll.DBRW(Server&amp;Cube1,$F$17,$F$18,$F$19,$F$16,$C$14,$F$15,$F$14,$F$20,R$2,$N$1,$C135)</f>
        <v>0</v>
      </c>
      <c r="S135" s="185">
        <f ca="1">_xll.DBRW(Server&amp;Cube1,$F$17,$F$18,$F$19,$F$16,$C$14,$F$15,$F$14,$F$20,S$2,$N$1,$C135)</f>
        <v>0</v>
      </c>
      <c r="T135" s="185">
        <f ca="1">_xll.DBRW(Server&amp;Cube1,$F$17,$F$18,$F$19,$F$16,$C$14,$F$15,$F$14,$F$20,T$2,$N$1,$C135)</f>
        <v>0</v>
      </c>
      <c r="U135" s="185">
        <f ca="1">_xll.DBRW(Server&amp;Cube1,$F$17,$F$18,$F$19,$F$16,$C$14,$F$15,$F$14,$F$20,U$2,$N$1,$C135)</f>
        <v>0</v>
      </c>
      <c r="V135" s="185">
        <f ca="1">_xll.DBRW(Server&amp;Cube1,$F$17,$F$18,$F$19,$F$16,$C$14,$F$15,$F$14,$F$20,V$2,$N$1,$C135)</f>
        <v>0</v>
      </c>
      <c r="W135" s="185">
        <f ca="1">_xll.DBRW(Server&amp;Cube1,$F$17,$F$18,$F$19,$F$16,$C$14,$F$15,$F$14,$F$20,W$2,$N$1,$C135)</f>
        <v>0</v>
      </c>
      <c r="X135" s="185">
        <f ca="1">_xll.DBRW(Server&amp;Cube1,$F$17,$F$18,$F$19,$F$16,$C$14,$F$15,$F$14,$F$20,X$2,$N$1,$C135)</f>
        <v>0</v>
      </c>
      <c r="Y135" s="185">
        <f ca="1">_xll.DBRW(Server&amp;Cube1,$F$17,$F$18,$F$19,$F$16,$C$14,$F$15,$F$14,$F$20,Y$2,$N$1,$C135)</f>
        <v>0</v>
      </c>
      <c r="Z135" s="185">
        <f ca="1">_xll.DBRW(Server&amp;Cube1,$F$17,$F$18,$F$19,$F$16,$C$14,$F$15,$F$14,$F$20,Z$2,$N$1,$C135)</f>
        <v>0</v>
      </c>
      <c r="AA135" s="53"/>
      <c r="AB135" s="53"/>
      <c r="AC135" s="53"/>
      <c r="AD135" s="53"/>
      <c r="AE135" s="53"/>
      <c r="AF135" s="53"/>
      <c r="AG135" s="53"/>
      <c r="AH135" s="53"/>
      <c r="AI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</row>
    <row r="136" spans="1:47" s="9" customFormat="1" ht="24.95" customHeight="1" x14ac:dyDescent="0.35">
      <c r="A136" s="157">
        <f ca="1">IF($AN$35="YES",1,IF(_xll.ELCOMPN(Server&amp;$C$24,C136)&lt;&gt;0,1,IF(OR(B136=$AT$35,B136="ALL"),1,0)))</f>
        <v>1</v>
      </c>
      <c r="B136" s="139" t="str">
        <f t="shared" si="1"/>
        <v>BD</v>
      </c>
      <c r="C136" s="137" t="s">
        <v>242</v>
      </c>
      <c r="E136" s="219" t="str">
        <f ca="1">_xll.DBRA(Server&amp;$C$24,$C136,$F$21)</f>
        <v>Publication, Sponsoring, cadeaux, Publicité et promotion (DC)</v>
      </c>
      <c r="F136" s="219"/>
      <c r="G136" s="219"/>
      <c r="H136" s="40"/>
      <c r="I136" s="192">
        <f ca="1">_xll.DBRW(Server&amp;Cube1,$F$17,$F$18,$F$19,$F$16,$C$14,$F$15,$F$14,$F$20,I$2,I$1,$C136)</f>
        <v>0</v>
      </c>
      <c r="J136" s="192">
        <f ca="1">_xll.DBRW(Server&amp;Cube1,$F$17,$F$18,$F$19,$F$16,$C$14,$F$15,$F$14,$F$20,J$2,J$1,$C136)</f>
        <v>0</v>
      </c>
      <c r="K136" s="183"/>
      <c r="L136" s="185">
        <f ca="1">_xll.DBRW(Server&amp;Cube1,$F$17,$F$18,$F$19,$F$16,$C$14,$F$15,$F$14,$F$20,L$2,L$1,$C136)</f>
        <v>0</v>
      </c>
      <c r="M136" s="184"/>
      <c r="N136" s="185">
        <f ca="1">_xll.DBRW(Server&amp;Cube1,$F$17,$F$18,$F$19,$F$16,$C$14,$F$15,$F$14,$F$20,N$2,$N$1,$C136)</f>
        <v>0</v>
      </c>
      <c r="O136" s="185">
        <f ca="1">_xll.DBRW(Server&amp;Cube1,$F$17,$F$18,$F$19,$F$16,$C$14,$F$15,$F$14,$F$20,O$2,$N$1,$C136)</f>
        <v>0</v>
      </c>
      <c r="P136" s="185">
        <f ca="1">_xll.DBRW(Server&amp;Cube1,$F$17,$F$18,$F$19,$F$16,$C$14,$F$15,$F$14,$F$20,P$2,$N$1,$C136)</f>
        <v>0</v>
      </c>
      <c r="Q136" s="185">
        <f ca="1">_xll.DBRW(Server&amp;Cube1,$F$17,$F$18,$F$19,$F$16,$C$14,$F$15,$F$14,$F$20,Q$2,$N$1,$C136)</f>
        <v>0</v>
      </c>
      <c r="R136" s="185">
        <f ca="1">_xll.DBRW(Server&amp;Cube1,$F$17,$F$18,$F$19,$F$16,$C$14,$F$15,$F$14,$F$20,R$2,$N$1,$C136)</f>
        <v>0</v>
      </c>
      <c r="S136" s="185">
        <f ca="1">_xll.DBRW(Server&amp;Cube1,$F$17,$F$18,$F$19,$F$16,$C$14,$F$15,$F$14,$F$20,S$2,$N$1,$C136)</f>
        <v>0</v>
      </c>
      <c r="T136" s="185">
        <f ca="1">_xll.DBRW(Server&amp;Cube1,$F$17,$F$18,$F$19,$F$16,$C$14,$F$15,$F$14,$F$20,T$2,$N$1,$C136)</f>
        <v>0</v>
      </c>
      <c r="U136" s="185">
        <f ca="1">_xll.DBRW(Server&amp;Cube1,$F$17,$F$18,$F$19,$F$16,$C$14,$F$15,$F$14,$F$20,U$2,$N$1,$C136)</f>
        <v>0</v>
      </c>
      <c r="V136" s="185">
        <f ca="1">_xll.DBRW(Server&amp;Cube1,$F$17,$F$18,$F$19,$F$16,$C$14,$F$15,$F$14,$F$20,V$2,$N$1,$C136)</f>
        <v>0</v>
      </c>
      <c r="W136" s="185">
        <f ca="1">_xll.DBRW(Server&amp;Cube1,$F$17,$F$18,$F$19,$F$16,$C$14,$F$15,$F$14,$F$20,W$2,$N$1,$C136)</f>
        <v>0</v>
      </c>
      <c r="X136" s="185">
        <f ca="1">_xll.DBRW(Server&amp;Cube1,$F$17,$F$18,$F$19,$F$16,$C$14,$F$15,$F$14,$F$20,X$2,$N$1,$C136)</f>
        <v>0</v>
      </c>
      <c r="Y136" s="185">
        <f ca="1">_xll.DBRW(Server&amp;Cube1,$F$17,$F$18,$F$19,$F$16,$C$14,$F$15,$F$14,$F$20,Y$2,$N$1,$C136)</f>
        <v>0</v>
      </c>
      <c r="Z136" s="185">
        <f ca="1">_xll.DBRW(Server&amp;Cube1,$F$17,$F$18,$F$19,$F$16,$C$14,$F$15,$F$14,$F$20,Z$2,$N$1,$C136)</f>
        <v>0</v>
      </c>
      <c r="AA136" s="53"/>
      <c r="AB136" s="53"/>
      <c r="AC136" s="53"/>
      <c r="AD136" s="53"/>
      <c r="AE136" s="53"/>
      <c r="AF136" s="53"/>
      <c r="AG136" s="53"/>
      <c r="AH136" s="53"/>
      <c r="AI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</row>
    <row r="137" spans="1:47" s="9" customFormat="1" ht="24.95" customHeight="1" x14ac:dyDescent="0.35">
      <c r="A137" s="157">
        <f ca="1">IF($AN$35="YES",1,IF(_xll.ELCOMPN(Server&amp;$C$24,C137)&lt;&gt;0,1,IF(OR(B137=$AT$35,B137="ALL"),1,0)))</f>
        <v>1</v>
      </c>
      <c r="B137" s="139" t="str">
        <f t="shared" si="1"/>
        <v>FI</v>
      </c>
      <c r="C137" s="137" t="s">
        <v>243</v>
      </c>
      <c r="E137" s="219" t="str">
        <f ca="1">_xll.DBRA(Server&amp;$C$24,$C137,$F$21)</f>
        <v>Publication, Sponsoring, cadeaux, Publicité et promotion (DF)</v>
      </c>
      <c r="F137" s="219"/>
      <c r="G137" s="219"/>
      <c r="H137" s="40"/>
      <c r="I137" s="192">
        <f ca="1">_xll.DBRW(Server&amp;Cube1,$F$17,$F$18,$F$19,$F$16,$C$14,$F$15,$F$14,$F$20,I$2,I$1,$C137)</f>
        <v>0</v>
      </c>
      <c r="J137" s="192">
        <f ca="1">_xll.DBRW(Server&amp;Cube1,$F$17,$F$18,$F$19,$F$16,$C$14,$F$15,$F$14,$F$20,J$2,J$1,$C137)</f>
        <v>0</v>
      </c>
      <c r="K137" s="183"/>
      <c r="L137" s="185">
        <f ca="1">_xll.DBRW(Server&amp;Cube1,$F$17,$F$18,$F$19,$F$16,$C$14,$F$15,$F$14,$F$20,L$2,L$1,$C137)</f>
        <v>0</v>
      </c>
      <c r="M137" s="184"/>
      <c r="N137" s="185">
        <f ca="1">_xll.DBRW(Server&amp;Cube1,$F$17,$F$18,$F$19,$F$16,$C$14,$F$15,$F$14,$F$20,N$2,$N$1,$C137)</f>
        <v>0</v>
      </c>
      <c r="O137" s="185">
        <f ca="1">_xll.DBRW(Server&amp;Cube1,$F$17,$F$18,$F$19,$F$16,$C$14,$F$15,$F$14,$F$20,O$2,$N$1,$C137)</f>
        <v>0</v>
      </c>
      <c r="P137" s="185">
        <f ca="1">_xll.DBRW(Server&amp;Cube1,$F$17,$F$18,$F$19,$F$16,$C$14,$F$15,$F$14,$F$20,P$2,$N$1,$C137)</f>
        <v>0</v>
      </c>
      <c r="Q137" s="185">
        <f ca="1">_xll.DBRW(Server&amp;Cube1,$F$17,$F$18,$F$19,$F$16,$C$14,$F$15,$F$14,$F$20,Q$2,$N$1,$C137)</f>
        <v>0</v>
      </c>
      <c r="R137" s="185">
        <f ca="1">_xll.DBRW(Server&amp;Cube1,$F$17,$F$18,$F$19,$F$16,$C$14,$F$15,$F$14,$F$20,R$2,$N$1,$C137)</f>
        <v>0</v>
      </c>
      <c r="S137" s="185">
        <f ca="1">_xll.DBRW(Server&amp;Cube1,$F$17,$F$18,$F$19,$F$16,$C$14,$F$15,$F$14,$F$20,S$2,$N$1,$C137)</f>
        <v>0</v>
      </c>
      <c r="T137" s="185">
        <f ca="1">_xll.DBRW(Server&amp;Cube1,$F$17,$F$18,$F$19,$F$16,$C$14,$F$15,$F$14,$F$20,T$2,$N$1,$C137)</f>
        <v>0</v>
      </c>
      <c r="U137" s="185">
        <f ca="1">_xll.DBRW(Server&amp;Cube1,$F$17,$F$18,$F$19,$F$16,$C$14,$F$15,$F$14,$F$20,U$2,$N$1,$C137)</f>
        <v>0</v>
      </c>
      <c r="V137" s="185">
        <f ca="1">_xll.DBRW(Server&amp;Cube1,$F$17,$F$18,$F$19,$F$16,$C$14,$F$15,$F$14,$F$20,V$2,$N$1,$C137)</f>
        <v>0</v>
      </c>
      <c r="W137" s="185">
        <f ca="1">_xll.DBRW(Server&amp;Cube1,$F$17,$F$18,$F$19,$F$16,$C$14,$F$15,$F$14,$F$20,W$2,$N$1,$C137)</f>
        <v>0</v>
      </c>
      <c r="X137" s="185">
        <f ca="1">_xll.DBRW(Server&amp;Cube1,$F$17,$F$18,$F$19,$F$16,$C$14,$F$15,$F$14,$F$20,X$2,$N$1,$C137)</f>
        <v>0</v>
      </c>
      <c r="Y137" s="185">
        <f ca="1">_xll.DBRW(Server&amp;Cube1,$F$17,$F$18,$F$19,$F$16,$C$14,$F$15,$F$14,$F$20,Y$2,$N$1,$C137)</f>
        <v>0</v>
      </c>
      <c r="Z137" s="185">
        <f ca="1">_xll.DBRW(Server&amp;Cube1,$F$17,$F$18,$F$19,$F$16,$C$14,$F$15,$F$14,$F$20,Z$2,$N$1,$C137)</f>
        <v>0</v>
      </c>
      <c r="AA137" s="53"/>
      <c r="AB137" s="53"/>
      <c r="AC137" s="53"/>
      <c r="AD137" s="53"/>
      <c r="AE137" s="53"/>
      <c r="AF137" s="53"/>
      <c r="AG137" s="53"/>
      <c r="AH137" s="53"/>
      <c r="AI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</row>
    <row r="138" spans="1:47" s="9" customFormat="1" ht="24.95" customHeight="1" x14ac:dyDescent="0.35">
      <c r="A138" s="157">
        <f ca="1">IF($AN$35="YES",1,IF(_xll.ELCOMPN(Server&amp;$C$24,C138)&lt;&gt;0,1,IF(OR(B138=$AT$35,B138="ALL"),1,0)))</f>
        <v>1</v>
      </c>
      <c r="B138" s="139" t="str">
        <f t="shared" si="1"/>
        <v>IT</v>
      </c>
      <c r="C138" s="137" t="s">
        <v>244</v>
      </c>
      <c r="E138" s="219" t="str">
        <f ca="1">_xll.DBRA(Server&amp;$C$24,$C138,$F$21)</f>
        <v>Publication, Sponsoring, cadeaux, Publicité et promotion (IT)</v>
      </c>
      <c r="F138" s="219"/>
      <c r="G138" s="219"/>
      <c r="H138" s="40"/>
      <c r="I138" s="192">
        <f ca="1">_xll.DBRW(Server&amp;Cube1,$F$17,$F$18,$F$19,$F$16,$C$14,$F$15,$F$14,$F$20,I$2,I$1,$C138)</f>
        <v>0</v>
      </c>
      <c r="J138" s="192">
        <f ca="1">_xll.DBRW(Server&amp;Cube1,$F$17,$F$18,$F$19,$F$16,$C$14,$F$15,$F$14,$F$20,J$2,J$1,$C138)</f>
        <v>0</v>
      </c>
      <c r="K138" s="183"/>
      <c r="L138" s="185">
        <f ca="1">_xll.DBRW(Server&amp;Cube1,$F$17,$F$18,$F$19,$F$16,$C$14,$F$15,$F$14,$F$20,L$2,L$1,$C138)</f>
        <v>0</v>
      </c>
      <c r="M138" s="184"/>
      <c r="N138" s="185">
        <f ca="1">_xll.DBRW(Server&amp;Cube1,$F$17,$F$18,$F$19,$F$16,$C$14,$F$15,$F$14,$F$20,N$2,$N$1,$C138)</f>
        <v>0</v>
      </c>
      <c r="O138" s="185">
        <f ca="1">_xll.DBRW(Server&amp;Cube1,$F$17,$F$18,$F$19,$F$16,$C$14,$F$15,$F$14,$F$20,O$2,$N$1,$C138)</f>
        <v>0</v>
      </c>
      <c r="P138" s="185">
        <f ca="1">_xll.DBRW(Server&amp;Cube1,$F$17,$F$18,$F$19,$F$16,$C$14,$F$15,$F$14,$F$20,P$2,$N$1,$C138)</f>
        <v>0</v>
      </c>
      <c r="Q138" s="185">
        <f ca="1">_xll.DBRW(Server&amp;Cube1,$F$17,$F$18,$F$19,$F$16,$C$14,$F$15,$F$14,$F$20,Q$2,$N$1,$C138)</f>
        <v>0</v>
      </c>
      <c r="R138" s="185">
        <f ca="1">_xll.DBRW(Server&amp;Cube1,$F$17,$F$18,$F$19,$F$16,$C$14,$F$15,$F$14,$F$20,R$2,$N$1,$C138)</f>
        <v>0</v>
      </c>
      <c r="S138" s="185">
        <f ca="1">_xll.DBRW(Server&amp;Cube1,$F$17,$F$18,$F$19,$F$16,$C$14,$F$15,$F$14,$F$20,S$2,$N$1,$C138)</f>
        <v>0</v>
      </c>
      <c r="T138" s="185">
        <f ca="1">_xll.DBRW(Server&amp;Cube1,$F$17,$F$18,$F$19,$F$16,$C$14,$F$15,$F$14,$F$20,T$2,$N$1,$C138)</f>
        <v>0</v>
      </c>
      <c r="U138" s="185">
        <f ca="1">_xll.DBRW(Server&amp;Cube1,$F$17,$F$18,$F$19,$F$16,$C$14,$F$15,$F$14,$F$20,U$2,$N$1,$C138)</f>
        <v>0</v>
      </c>
      <c r="V138" s="185">
        <f ca="1">_xll.DBRW(Server&amp;Cube1,$F$17,$F$18,$F$19,$F$16,$C$14,$F$15,$F$14,$F$20,V$2,$N$1,$C138)</f>
        <v>0</v>
      </c>
      <c r="W138" s="185">
        <f ca="1">_xll.DBRW(Server&amp;Cube1,$F$17,$F$18,$F$19,$F$16,$C$14,$F$15,$F$14,$F$20,W$2,$N$1,$C138)</f>
        <v>0</v>
      </c>
      <c r="X138" s="185">
        <f ca="1">_xll.DBRW(Server&amp;Cube1,$F$17,$F$18,$F$19,$F$16,$C$14,$F$15,$F$14,$F$20,X$2,$N$1,$C138)</f>
        <v>0</v>
      </c>
      <c r="Y138" s="185">
        <f ca="1">_xll.DBRW(Server&amp;Cube1,$F$17,$F$18,$F$19,$F$16,$C$14,$F$15,$F$14,$F$20,Y$2,$N$1,$C138)</f>
        <v>0</v>
      </c>
      <c r="Z138" s="185">
        <f ca="1">_xll.DBRW(Server&amp;Cube1,$F$17,$F$18,$F$19,$F$16,$C$14,$F$15,$F$14,$F$20,Z$2,$N$1,$C138)</f>
        <v>0</v>
      </c>
      <c r="AA138" s="53"/>
      <c r="AB138" s="53"/>
      <c r="AC138" s="53"/>
      <c r="AD138" s="53"/>
      <c r="AE138" s="53"/>
      <c r="AF138" s="53"/>
      <c r="AG138" s="53"/>
      <c r="AH138" s="53"/>
      <c r="AI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</row>
    <row r="139" spans="1:47" s="9" customFormat="1" ht="24.95" customHeight="1" x14ac:dyDescent="0.35">
      <c r="A139" s="157">
        <f ca="1">IF($AN$35="YES",1,IF(_xll.ELCOMPN(Server&amp;$C$24,C139)&lt;&gt;0,1,IF(OR(B139=$AT$35,B139="ALL"),1,0)))</f>
        <v>1</v>
      </c>
      <c r="B139" s="139" t="str">
        <f t="shared" si="1"/>
        <v>HR</v>
      </c>
      <c r="C139" s="137" t="s">
        <v>245</v>
      </c>
      <c r="E139" s="219" t="str">
        <f ca="1">_xll.DBRA(Server&amp;$C$24,$C139,$F$21)</f>
        <v>Publication, Sponsoring, cadeaux, Publicité et promotion (RH)</v>
      </c>
      <c r="F139" s="219"/>
      <c r="G139" s="219"/>
      <c r="H139" s="40"/>
      <c r="I139" s="192">
        <f ca="1">_xll.DBRW(Server&amp;Cube1,$F$17,$F$18,$F$19,$F$16,$C$14,$F$15,$F$14,$F$20,I$2,I$1,$C139)</f>
        <v>0</v>
      </c>
      <c r="J139" s="192">
        <f ca="1">_xll.DBRW(Server&amp;Cube1,$F$17,$F$18,$F$19,$F$16,$C$14,$F$15,$F$14,$F$20,J$2,J$1,$C139)</f>
        <v>0</v>
      </c>
      <c r="K139" s="183"/>
      <c r="L139" s="185">
        <f ca="1">_xll.DBRW(Server&amp;Cube1,$F$17,$F$18,$F$19,$F$16,$C$14,$F$15,$F$14,$F$20,L$2,L$1,$C139)</f>
        <v>0</v>
      </c>
      <c r="M139" s="184"/>
      <c r="N139" s="185">
        <f ca="1">_xll.DBRW(Server&amp;Cube1,$F$17,$F$18,$F$19,$F$16,$C$14,$F$15,$F$14,$F$20,N$2,$N$1,$C139)</f>
        <v>0</v>
      </c>
      <c r="O139" s="185">
        <f ca="1">_xll.DBRW(Server&amp;Cube1,$F$17,$F$18,$F$19,$F$16,$C$14,$F$15,$F$14,$F$20,O$2,$N$1,$C139)</f>
        <v>0</v>
      </c>
      <c r="P139" s="185">
        <f ca="1">_xll.DBRW(Server&amp;Cube1,$F$17,$F$18,$F$19,$F$16,$C$14,$F$15,$F$14,$F$20,P$2,$N$1,$C139)</f>
        <v>0</v>
      </c>
      <c r="Q139" s="185">
        <f ca="1">_xll.DBRW(Server&amp;Cube1,$F$17,$F$18,$F$19,$F$16,$C$14,$F$15,$F$14,$F$20,Q$2,$N$1,$C139)</f>
        <v>0</v>
      </c>
      <c r="R139" s="185">
        <f ca="1">_xll.DBRW(Server&amp;Cube1,$F$17,$F$18,$F$19,$F$16,$C$14,$F$15,$F$14,$F$20,R$2,$N$1,$C139)</f>
        <v>0</v>
      </c>
      <c r="S139" s="185">
        <f ca="1">_xll.DBRW(Server&amp;Cube1,$F$17,$F$18,$F$19,$F$16,$C$14,$F$15,$F$14,$F$20,S$2,$N$1,$C139)</f>
        <v>0</v>
      </c>
      <c r="T139" s="185">
        <f ca="1">_xll.DBRW(Server&amp;Cube1,$F$17,$F$18,$F$19,$F$16,$C$14,$F$15,$F$14,$F$20,T$2,$N$1,$C139)</f>
        <v>0</v>
      </c>
      <c r="U139" s="185">
        <f ca="1">_xll.DBRW(Server&amp;Cube1,$F$17,$F$18,$F$19,$F$16,$C$14,$F$15,$F$14,$F$20,U$2,$N$1,$C139)</f>
        <v>0</v>
      </c>
      <c r="V139" s="185">
        <f ca="1">_xll.DBRW(Server&amp;Cube1,$F$17,$F$18,$F$19,$F$16,$C$14,$F$15,$F$14,$F$20,V$2,$N$1,$C139)</f>
        <v>0</v>
      </c>
      <c r="W139" s="185">
        <f ca="1">_xll.DBRW(Server&amp;Cube1,$F$17,$F$18,$F$19,$F$16,$C$14,$F$15,$F$14,$F$20,W$2,$N$1,$C139)</f>
        <v>0</v>
      </c>
      <c r="X139" s="185">
        <f ca="1">_xll.DBRW(Server&amp;Cube1,$F$17,$F$18,$F$19,$F$16,$C$14,$F$15,$F$14,$F$20,X$2,$N$1,$C139)</f>
        <v>0</v>
      </c>
      <c r="Y139" s="185">
        <f ca="1">_xll.DBRW(Server&amp;Cube1,$F$17,$F$18,$F$19,$F$16,$C$14,$F$15,$F$14,$F$20,Y$2,$N$1,$C139)</f>
        <v>0</v>
      </c>
      <c r="Z139" s="185">
        <f ca="1">_xll.DBRW(Server&amp;Cube1,$F$17,$F$18,$F$19,$F$16,$C$14,$F$15,$F$14,$F$20,Z$2,$N$1,$C139)</f>
        <v>0</v>
      </c>
      <c r="AA139" s="53"/>
      <c r="AB139" s="53"/>
      <c r="AC139" s="53"/>
      <c r="AD139" s="53"/>
      <c r="AE139" s="53"/>
      <c r="AF139" s="53"/>
      <c r="AG139" s="53"/>
      <c r="AH139" s="53"/>
      <c r="AI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</row>
    <row r="140" spans="1:47" s="9" customFormat="1" ht="24.95" customHeight="1" x14ac:dyDescent="0.35">
      <c r="A140" s="157">
        <f ca="1">IF($AN$35="YES",1,IF(_xll.ELCOMPN(Server&amp;$C$24,C140)&lt;&gt;0,1,IF(OR(B140=$AT$35,B140="ALL"),1,0)))</f>
        <v>1</v>
      </c>
      <c r="B140" s="139" t="str">
        <f t="shared" si="1"/>
        <v>GM</v>
      </c>
      <c r="C140" s="137" t="s">
        <v>246</v>
      </c>
      <c r="E140" s="219" t="str">
        <f ca="1">_xll.DBRA(Server&amp;$C$24,$C140,$F$21)</f>
        <v>Publication, Sponsoring, cadeaux, Publicité et promotion (DG)</v>
      </c>
      <c r="F140" s="219"/>
      <c r="G140" s="219"/>
      <c r="H140" s="40"/>
      <c r="I140" s="192">
        <f ca="1">_xll.DBRW(Server&amp;Cube1,$F$17,$F$18,$F$19,$F$16,$C$14,$F$15,$F$14,$F$20,I$2,I$1,$C140)</f>
        <v>0</v>
      </c>
      <c r="J140" s="192">
        <f ca="1">_xll.DBRW(Server&amp;Cube1,$F$17,$F$18,$F$19,$F$16,$C$14,$F$15,$F$14,$F$20,J$2,J$1,$C140)</f>
        <v>0</v>
      </c>
      <c r="K140" s="183"/>
      <c r="L140" s="185">
        <f ca="1">_xll.DBRW(Server&amp;Cube1,$F$17,$F$18,$F$19,$F$16,$C$14,$F$15,$F$14,$F$20,L$2,L$1,$C140)</f>
        <v>0</v>
      </c>
      <c r="M140" s="184"/>
      <c r="N140" s="185">
        <f ca="1">_xll.DBRW(Server&amp;Cube1,$F$17,$F$18,$F$19,$F$16,$C$14,$F$15,$F$14,$F$20,N$2,$N$1,$C140)</f>
        <v>0</v>
      </c>
      <c r="O140" s="185">
        <f ca="1">_xll.DBRW(Server&amp;Cube1,$F$17,$F$18,$F$19,$F$16,$C$14,$F$15,$F$14,$F$20,O$2,$N$1,$C140)</f>
        <v>0</v>
      </c>
      <c r="P140" s="185">
        <f ca="1">_xll.DBRW(Server&amp;Cube1,$F$17,$F$18,$F$19,$F$16,$C$14,$F$15,$F$14,$F$20,P$2,$N$1,$C140)</f>
        <v>0</v>
      </c>
      <c r="Q140" s="185">
        <f ca="1">_xll.DBRW(Server&amp;Cube1,$F$17,$F$18,$F$19,$F$16,$C$14,$F$15,$F$14,$F$20,Q$2,$N$1,$C140)</f>
        <v>0</v>
      </c>
      <c r="R140" s="185">
        <f ca="1">_xll.DBRW(Server&amp;Cube1,$F$17,$F$18,$F$19,$F$16,$C$14,$F$15,$F$14,$F$20,R$2,$N$1,$C140)</f>
        <v>0</v>
      </c>
      <c r="S140" s="185">
        <f ca="1">_xll.DBRW(Server&amp;Cube1,$F$17,$F$18,$F$19,$F$16,$C$14,$F$15,$F$14,$F$20,S$2,$N$1,$C140)</f>
        <v>0</v>
      </c>
      <c r="T140" s="185">
        <f ca="1">_xll.DBRW(Server&amp;Cube1,$F$17,$F$18,$F$19,$F$16,$C$14,$F$15,$F$14,$F$20,T$2,$N$1,$C140)</f>
        <v>0</v>
      </c>
      <c r="U140" s="185">
        <f ca="1">_xll.DBRW(Server&amp;Cube1,$F$17,$F$18,$F$19,$F$16,$C$14,$F$15,$F$14,$F$20,U$2,$N$1,$C140)</f>
        <v>0</v>
      </c>
      <c r="V140" s="185">
        <f ca="1">_xll.DBRW(Server&amp;Cube1,$F$17,$F$18,$F$19,$F$16,$C$14,$F$15,$F$14,$F$20,V$2,$N$1,$C140)</f>
        <v>0</v>
      </c>
      <c r="W140" s="185">
        <f ca="1">_xll.DBRW(Server&amp;Cube1,$F$17,$F$18,$F$19,$F$16,$C$14,$F$15,$F$14,$F$20,W$2,$N$1,$C140)</f>
        <v>0</v>
      </c>
      <c r="X140" s="185">
        <f ca="1">_xll.DBRW(Server&amp;Cube1,$F$17,$F$18,$F$19,$F$16,$C$14,$F$15,$F$14,$F$20,X$2,$N$1,$C140)</f>
        <v>0</v>
      </c>
      <c r="Y140" s="185">
        <f ca="1">_xll.DBRW(Server&amp;Cube1,$F$17,$F$18,$F$19,$F$16,$C$14,$F$15,$F$14,$F$20,Y$2,$N$1,$C140)</f>
        <v>0</v>
      </c>
      <c r="Z140" s="185">
        <f ca="1">_xll.DBRW(Server&amp;Cube1,$F$17,$F$18,$F$19,$F$16,$C$14,$F$15,$F$14,$F$20,Z$2,$N$1,$C140)</f>
        <v>0</v>
      </c>
      <c r="AA140" s="53"/>
      <c r="AB140" s="53"/>
      <c r="AC140" s="53"/>
      <c r="AD140" s="53"/>
      <c r="AE140" s="53"/>
      <c r="AF140" s="53"/>
      <c r="AG140" s="53"/>
      <c r="AH140" s="53"/>
      <c r="AI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</row>
    <row r="141" spans="1:47" s="9" customFormat="1" ht="24.95" customHeight="1" x14ac:dyDescent="0.35">
      <c r="A141" s="157">
        <f ca="1">IF($AN$35="YES",1,IF(_xll.ELCOMPN(Server&amp;$C$24,C141)&lt;&gt;0,1,IF(OR(B141=$AT$35,B141="ALL"),1,0)))</f>
        <v>1</v>
      </c>
      <c r="B141" s="139" t="str">
        <f t="shared" si="1"/>
        <v>IA</v>
      </c>
      <c r="C141" s="137" t="s">
        <v>247</v>
      </c>
      <c r="E141" s="219" t="str">
        <f ca="1">_xll.DBRA(Server&amp;$C$24,$C141,$F$21)</f>
        <v>Publication, Sponsoring, cadeaux, Publicité et promotion (AI)</v>
      </c>
      <c r="F141" s="219"/>
      <c r="G141" s="219"/>
      <c r="H141" s="40"/>
      <c r="I141" s="192">
        <f ca="1">_xll.DBRW(Server&amp;Cube1,$F$17,$F$18,$F$19,$F$16,$C$14,$F$15,$F$14,$F$20,I$2,I$1,$C141)</f>
        <v>0</v>
      </c>
      <c r="J141" s="192">
        <f ca="1">_xll.DBRW(Server&amp;Cube1,$F$17,$F$18,$F$19,$F$16,$C$14,$F$15,$F$14,$F$20,J$2,J$1,$C141)</f>
        <v>0</v>
      </c>
      <c r="K141" s="183"/>
      <c r="L141" s="185">
        <f ca="1">_xll.DBRW(Server&amp;Cube1,$F$17,$F$18,$F$19,$F$16,$C$14,$F$15,$F$14,$F$20,L$2,L$1,$C141)</f>
        <v>0</v>
      </c>
      <c r="M141" s="184"/>
      <c r="N141" s="185">
        <f ca="1">_xll.DBRW(Server&amp;Cube1,$F$17,$F$18,$F$19,$F$16,$C$14,$F$15,$F$14,$F$20,N$2,$N$1,$C141)</f>
        <v>0</v>
      </c>
      <c r="O141" s="185">
        <f ca="1">_xll.DBRW(Server&amp;Cube1,$F$17,$F$18,$F$19,$F$16,$C$14,$F$15,$F$14,$F$20,O$2,$N$1,$C141)</f>
        <v>0</v>
      </c>
      <c r="P141" s="185">
        <f ca="1">_xll.DBRW(Server&amp;Cube1,$F$17,$F$18,$F$19,$F$16,$C$14,$F$15,$F$14,$F$20,P$2,$N$1,$C141)</f>
        <v>0</v>
      </c>
      <c r="Q141" s="185">
        <f ca="1">_xll.DBRW(Server&amp;Cube1,$F$17,$F$18,$F$19,$F$16,$C$14,$F$15,$F$14,$F$20,Q$2,$N$1,$C141)</f>
        <v>0</v>
      </c>
      <c r="R141" s="185">
        <f ca="1">_xll.DBRW(Server&amp;Cube1,$F$17,$F$18,$F$19,$F$16,$C$14,$F$15,$F$14,$F$20,R$2,$N$1,$C141)</f>
        <v>0</v>
      </c>
      <c r="S141" s="185">
        <f ca="1">_xll.DBRW(Server&amp;Cube1,$F$17,$F$18,$F$19,$F$16,$C$14,$F$15,$F$14,$F$20,S$2,$N$1,$C141)</f>
        <v>0</v>
      </c>
      <c r="T141" s="185">
        <f ca="1">_xll.DBRW(Server&amp;Cube1,$F$17,$F$18,$F$19,$F$16,$C$14,$F$15,$F$14,$F$20,T$2,$N$1,$C141)</f>
        <v>0</v>
      </c>
      <c r="U141" s="185">
        <f ca="1">_xll.DBRW(Server&amp;Cube1,$F$17,$F$18,$F$19,$F$16,$C$14,$F$15,$F$14,$F$20,U$2,$N$1,$C141)</f>
        <v>0</v>
      </c>
      <c r="V141" s="185">
        <f ca="1">_xll.DBRW(Server&amp;Cube1,$F$17,$F$18,$F$19,$F$16,$C$14,$F$15,$F$14,$F$20,V$2,$N$1,$C141)</f>
        <v>0</v>
      </c>
      <c r="W141" s="185">
        <f ca="1">_xll.DBRW(Server&amp;Cube1,$F$17,$F$18,$F$19,$F$16,$C$14,$F$15,$F$14,$F$20,W$2,$N$1,$C141)</f>
        <v>0</v>
      </c>
      <c r="X141" s="185">
        <f ca="1">_xll.DBRW(Server&amp;Cube1,$F$17,$F$18,$F$19,$F$16,$C$14,$F$15,$F$14,$F$20,X$2,$N$1,$C141)</f>
        <v>0</v>
      </c>
      <c r="Y141" s="185">
        <f ca="1">_xll.DBRW(Server&amp;Cube1,$F$17,$F$18,$F$19,$F$16,$C$14,$F$15,$F$14,$F$20,Y$2,$N$1,$C141)</f>
        <v>0</v>
      </c>
      <c r="Z141" s="185">
        <f ca="1">_xll.DBRW(Server&amp;Cube1,$F$17,$F$18,$F$19,$F$16,$C$14,$F$15,$F$14,$F$20,Z$2,$N$1,$C141)</f>
        <v>0</v>
      </c>
      <c r="AA141" s="53"/>
      <c r="AB141" s="53"/>
      <c r="AC141" s="53"/>
      <c r="AD141" s="53"/>
      <c r="AE141" s="53"/>
      <c r="AF141" s="53"/>
      <c r="AG141" s="53"/>
      <c r="AH141" s="53"/>
      <c r="AI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</row>
    <row r="142" spans="1:47" s="9" customFormat="1" ht="24.95" customHeight="1" x14ac:dyDescent="0.35">
      <c r="A142" s="157">
        <f ca="1">IF($AN$35="YES",1,IF(_xll.ELCOMPN(Server&amp;$C$24,C142)&lt;&gt;0,1,IF(OR(B142=$AT$35,B142="ALL"),1,0)))</f>
        <v>1</v>
      </c>
      <c r="B142" s="139" t="str">
        <f t="shared" si="1"/>
        <v>LE</v>
      </c>
      <c r="C142" s="137" t="s">
        <v>248</v>
      </c>
      <c r="E142" s="219" t="str">
        <f ca="1">_xll.DBRA(Server&amp;$C$24,$C142,$F$21)</f>
        <v>Publication, Sponsoring, cadeaux, Publicité et promotion (JU)</v>
      </c>
      <c r="F142" s="219"/>
      <c r="G142" s="219"/>
      <c r="H142" s="40"/>
      <c r="I142" s="192">
        <f ca="1">_xll.DBRW(Server&amp;Cube1,$F$17,$F$18,$F$19,$F$16,$C$14,$F$15,$F$14,$F$20,I$2,I$1,$C142)</f>
        <v>0</v>
      </c>
      <c r="J142" s="192">
        <f ca="1">_xll.DBRW(Server&amp;Cube1,$F$17,$F$18,$F$19,$F$16,$C$14,$F$15,$F$14,$F$20,J$2,J$1,$C142)</f>
        <v>0</v>
      </c>
      <c r="K142" s="183"/>
      <c r="L142" s="185">
        <f ca="1">_xll.DBRW(Server&amp;Cube1,$F$17,$F$18,$F$19,$F$16,$C$14,$F$15,$F$14,$F$20,L$2,L$1,$C142)</f>
        <v>0</v>
      </c>
      <c r="M142" s="184"/>
      <c r="N142" s="185">
        <f ca="1">_xll.DBRW(Server&amp;Cube1,$F$17,$F$18,$F$19,$F$16,$C$14,$F$15,$F$14,$F$20,N$2,$N$1,$C142)</f>
        <v>0</v>
      </c>
      <c r="O142" s="185">
        <f ca="1">_xll.DBRW(Server&amp;Cube1,$F$17,$F$18,$F$19,$F$16,$C$14,$F$15,$F$14,$F$20,O$2,$N$1,$C142)</f>
        <v>0</v>
      </c>
      <c r="P142" s="185">
        <f ca="1">_xll.DBRW(Server&amp;Cube1,$F$17,$F$18,$F$19,$F$16,$C$14,$F$15,$F$14,$F$20,P$2,$N$1,$C142)</f>
        <v>0</v>
      </c>
      <c r="Q142" s="185">
        <f ca="1">_xll.DBRW(Server&amp;Cube1,$F$17,$F$18,$F$19,$F$16,$C$14,$F$15,$F$14,$F$20,Q$2,$N$1,$C142)</f>
        <v>0</v>
      </c>
      <c r="R142" s="185">
        <f ca="1">_xll.DBRW(Server&amp;Cube1,$F$17,$F$18,$F$19,$F$16,$C$14,$F$15,$F$14,$F$20,R$2,$N$1,$C142)</f>
        <v>0</v>
      </c>
      <c r="S142" s="185">
        <f ca="1">_xll.DBRW(Server&amp;Cube1,$F$17,$F$18,$F$19,$F$16,$C$14,$F$15,$F$14,$F$20,S$2,$N$1,$C142)</f>
        <v>0</v>
      </c>
      <c r="T142" s="185">
        <f ca="1">_xll.DBRW(Server&amp;Cube1,$F$17,$F$18,$F$19,$F$16,$C$14,$F$15,$F$14,$F$20,T$2,$N$1,$C142)</f>
        <v>0</v>
      </c>
      <c r="U142" s="185">
        <f ca="1">_xll.DBRW(Server&amp;Cube1,$F$17,$F$18,$F$19,$F$16,$C$14,$F$15,$F$14,$F$20,U$2,$N$1,$C142)</f>
        <v>0</v>
      </c>
      <c r="V142" s="185">
        <f ca="1">_xll.DBRW(Server&amp;Cube1,$F$17,$F$18,$F$19,$F$16,$C$14,$F$15,$F$14,$F$20,V$2,$N$1,$C142)</f>
        <v>0</v>
      </c>
      <c r="W142" s="185">
        <f ca="1">_xll.DBRW(Server&amp;Cube1,$F$17,$F$18,$F$19,$F$16,$C$14,$F$15,$F$14,$F$20,W$2,$N$1,$C142)</f>
        <v>0</v>
      </c>
      <c r="X142" s="185">
        <f ca="1">_xll.DBRW(Server&amp;Cube1,$F$17,$F$18,$F$19,$F$16,$C$14,$F$15,$F$14,$F$20,X$2,$N$1,$C142)</f>
        <v>0</v>
      </c>
      <c r="Y142" s="185">
        <f ca="1">_xll.DBRW(Server&amp;Cube1,$F$17,$F$18,$F$19,$F$16,$C$14,$F$15,$F$14,$F$20,Y$2,$N$1,$C142)</f>
        <v>0</v>
      </c>
      <c r="Z142" s="185">
        <f ca="1">_xll.DBRW(Server&amp;Cube1,$F$17,$F$18,$F$19,$F$16,$C$14,$F$15,$F$14,$F$20,Z$2,$N$1,$C142)</f>
        <v>0</v>
      </c>
      <c r="AA142" s="53"/>
      <c r="AB142" s="53"/>
      <c r="AC142" s="53"/>
      <c r="AD142" s="53"/>
      <c r="AE142" s="53"/>
      <c r="AF142" s="53"/>
      <c r="AG142" s="53"/>
      <c r="AH142" s="53"/>
      <c r="AI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</row>
    <row r="143" spans="1:47" s="9" customFormat="1" ht="24.95" customHeight="1" x14ac:dyDescent="0.35">
      <c r="A143" s="157">
        <f ca="1">IF($AN$35="YES",1,IF(_xll.ELCOMPN(Server&amp;$C$24,C143)&lt;&gt;0,1,IF(OR(B143=$AT$35,B143="ALL"),1,0)))</f>
        <v>1</v>
      </c>
      <c r="B143" s="139" t="str">
        <f t="shared" si="1"/>
        <v>RM</v>
      </c>
      <c r="C143" s="137" t="s">
        <v>249</v>
      </c>
      <c r="E143" s="219" t="str">
        <f ca="1">_xll.DBRA(Server&amp;$C$24,$C143,$F$21)</f>
        <v>Publication, Sponsoring, cadeaux, Publicité et promotion (GR)</v>
      </c>
      <c r="F143" s="219"/>
      <c r="G143" s="219"/>
      <c r="H143" s="40"/>
      <c r="I143" s="192">
        <f ca="1">_xll.DBRW(Server&amp;Cube1,$F$17,$F$18,$F$19,$F$16,$C$14,$F$15,$F$14,$F$20,I$2,I$1,$C143)</f>
        <v>0</v>
      </c>
      <c r="J143" s="192">
        <f ca="1">_xll.DBRW(Server&amp;Cube1,$F$17,$F$18,$F$19,$F$16,$C$14,$F$15,$F$14,$F$20,J$2,J$1,$C143)</f>
        <v>0</v>
      </c>
      <c r="K143" s="183"/>
      <c r="L143" s="185">
        <f ca="1">_xll.DBRW(Server&amp;Cube1,$F$17,$F$18,$F$19,$F$16,$C$14,$F$15,$F$14,$F$20,L$2,L$1,$C143)</f>
        <v>0</v>
      </c>
      <c r="M143" s="184"/>
      <c r="N143" s="185">
        <f ca="1">_xll.DBRW(Server&amp;Cube1,$F$17,$F$18,$F$19,$F$16,$C$14,$F$15,$F$14,$F$20,N$2,$N$1,$C143)</f>
        <v>0</v>
      </c>
      <c r="O143" s="185">
        <f ca="1">_xll.DBRW(Server&amp;Cube1,$F$17,$F$18,$F$19,$F$16,$C$14,$F$15,$F$14,$F$20,O$2,$N$1,$C143)</f>
        <v>0</v>
      </c>
      <c r="P143" s="185">
        <f ca="1">_xll.DBRW(Server&amp;Cube1,$F$17,$F$18,$F$19,$F$16,$C$14,$F$15,$F$14,$F$20,P$2,$N$1,$C143)</f>
        <v>0</v>
      </c>
      <c r="Q143" s="185">
        <f ca="1">_xll.DBRW(Server&amp;Cube1,$F$17,$F$18,$F$19,$F$16,$C$14,$F$15,$F$14,$F$20,Q$2,$N$1,$C143)</f>
        <v>0</v>
      </c>
      <c r="R143" s="185">
        <f ca="1">_xll.DBRW(Server&amp;Cube1,$F$17,$F$18,$F$19,$F$16,$C$14,$F$15,$F$14,$F$20,R$2,$N$1,$C143)</f>
        <v>0</v>
      </c>
      <c r="S143" s="185">
        <f ca="1">_xll.DBRW(Server&amp;Cube1,$F$17,$F$18,$F$19,$F$16,$C$14,$F$15,$F$14,$F$20,S$2,$N$1,$C143)</f>
        <v>0</v>
      </c>
      <c r="T143" s="185">
        <f ca="1">_xll.DBRW(Server&amp;Cube1,$F$17,$F$18,$F$19,$F$16,$C$14,$F$15,$F$14,$F$20,T$2,$N$1,$C143)</f>
        <v>0</v>
      </c>
      <c r="U143" s="185">
        <f ca="1">_xll.DBRW(Server&amp;Cube1,$F$17,$F$18,$F$19,$F$16,$C$14,$F$15,$F$14,$F$20,U$2,$N$1,$C143)</f>
        <v>0</v>
      </c>
      <c r="V143" s="185">
        <f ca="1">_xll.DBRW(Server&amp;Cube1,$F$17,$F$18,$F$19,$F$16,$C$14,$F$15,$F$14,$F$20,V$2,$N$1,$C143)</f>
        <v>0</v>
      </c>
      <c r="W143" s="185">
        <f ca="1">_xll.DBRW(Server&amp;Cube1,$F$17,$F$18,$F$19,$F$16,$C$14,$F$15,$F$14,$F$20,W$2,$N$1,$C143)</f>
        <v>0</v>
      </c>
      <c r="X143" s="185">
        <f ca="1">_xll.DBRW(Server&amp;Cube1,$F$17,$F$18,$F$19,$F$16,$C$14,$F$15,$F$14,$F$20,X$2,$N$1,$C143)</f>
        <v>0</v>
      </c>
      <c r="Y143" s="185">
        <f ca="1">_xll.DBRW(Server&amp;Cube1,$F$17,$F$18,$F$19,$F$16,$C$14,$F$15,$F$14,$F$20,Y$2,$N$1,$C143)</f>
        <v>0</v>
      </c>
      <c r="Z143" s="185">
        <f ca="1">_xll.DBRW(Server&amp;Cube1,$F$17,$F$18,$F$19,$F$16,$C$14,$F$15,$F$14,$F$20,Z$2,$N$1,$C143)</f>
        <v>0</v>
      </c>
      <c r="AA143" s="53"/>
      <c r="AB143" s="53"/>
      <c r="AC143" s="53"/>
      <c r="AD143" s="53"/>
      <c r="AE143" s="53"/>
      <c r="AF143" s="53"/>
      <c r="AG143" s="53"/>
      <c r="AH143" s="53"/>
      <c r="AI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</row>
    <row r="144" spans="1:47" s="9" customFormat="1" ht="24.95" customHeight="1" x14ac:dyDescent="0.35">
      <c r="A144" s="157">
        <f ca="1">IF($AN$35="YES",1,IF(_xll.ELCOMPN(Server&amp;$C$24,C144)&lt;&gt;0,1,IF(OR(B144=$AT$35,B144="ALL"),1,0)))</f>
        <v>1</v>
      </c>
      <c r="B144" s="139" t="str">
        <f t="shared" si="1"/>
        <v>PU</v>
      </c>
      <c r="C144" s="137" t="s">
        <v>250</v>
      </c>
      <c r="E144" s="219" t="str">
        <f ca="1">_xll.DBRA(Server&amp;$C$24,$C144,$F$21)</f>
        <v>Publication, Sponsoring, cadeaux, Publicité et promotion (AC)</v>
      </c>
      <c r="F144" s="219"/>
      <c r="G144" s="219"/>
      <c r="H144" s="40"/>
      <c r="I144" s="192">
        <f ca="1">_xll.DBRW(Server&amp;Cube1,$F$17,$F$18,$F$19,$F$16,$C$14,$F$15,$F$14,$F$20,I$2,I$1,$C144)</f>
        <v>0</v>
      </c>
      <c r="J144" s="192">
        <f ca="1">_xll.DBRW(Server&amp;Cube1,$F$17,$F$18,$F$19,$F$16,$C$14,$F$15,$F$14,$F$20,J$2,J$1,$C144)</f>
        <v>0</v>
      </c>
      <c r="K144" s="183"/>
      <c r="L144" s="185">
        <f ca="1">_xll.DBRW(Server&amp;Cube1,$F$17,$F$18,$F$19,$F$16,$C$14,$F$15,$F$14,$F$20,L$2,L$1,$C144)</f>
        <v>0</v>
      </c>
      <c r="M144" s="184"/>
      <c r="N144" s="185">
        <f ca="1">_xll.DBRW(Server&amp;Cube1,$F$17,$F$18,$F$19,$F$16,$C$14,$F$15,$F$14,$F$20,N$2,$N$1,$C144)</f>
        <v>0</v>
      </c>
      <c r="O144" s="185">
        <f ca="1">_xll.DBRW(Server&amp;Cube1,$F$17,$F$18,$F$19,$F$16,$C$14,$F$15,$F$14,$F$20,O$2,$N$1,$C144)</f>
        <v>0</v>
      </c>
      <c r="P144" s="185">
        <f ca="1">_xll.DBRW(Server&amp;Cube1,$F$17,$F$18,$F$19,$F$16,$C$14,$F$15,$F$14,$F$20,P$2,$N$1,$C144)</f>
        <v>0</v>
      </c>
      <c r="Q144" s="185">
        <f ca="1">_xll.DBRW(Server&amp;Cube1,$F$17,$F$18,$F$19,$F$16,$C$14,$F$15,$F$14,$F$20,Q$2,$N$1,$C144)</f>
        <v>0</v>
      </c>
      <c r="R144" s="185">
        <f ca="1">_xll.DBRW(Server&amp;Cube1,$F$17,$F$18,$F$19,$F$16,$C$14,$F$15,$F$14,$F$20,R$2,$N$1,$C144)</f>
        <v>0</v>
      </c>
      <c r="S144" s="185">
        <f ca="1">_xll.DBRW(Server&amp;Cube1,$F$17,$F$18,$F$19,$F$16,$C$14,$F$15,$F$14,$F$20,S$2,$N$1,$C144)</f>
        <v>0</v>
      </c>
      <c r="T144" s="185">
        <f ca="1">_xll.DBRW(Server&amp;Cube1,$F$17,$F$18,$F$19,$F$16,$C$14,$F$15,$F$14,$F$20,T$2,$N$1,$C144)</f>
        <v>0</v>
      </c>
      <c r="U144" s="185">
        <f ca="1">_xll.DBRW(Server&amp;Cube1,$F$17,$F$18,$F$19,$F$16,$C$14,$F$15,$F$14,$F$20,U$2,$N$1,$C144)</f>
        <v>0</v>
      </c>
      <c r="V144" s="185">
        <f ca="1">_xll.DBRW(Server&amp;Cube1,$F$17,$F$18,$F$19,$F$16,$C$14,$F$15,$F$14,$F$20,V$2,$N$1,$C144)</f>
        <v>0</v>
      </c>
      <c r="W144" s="185">
        <f ca="1">_xll.DBRW(Server&amp;Cube1,$F$17,$F$18,$F$19,$F$16,$C$14,$F$15,$F$14,$F$20,W$2,$N$1,$C144)</f>
        <v>0</v>
      </c>
      <c r="X144" s="185">
        <f ca="1">_xll.DBRW(Server&amp;Cube1,$F$17,$F$18,$F$19,$F$16,$C$14,$F$15,$F$14,$F$20,X$2,$N$1,$C144)</f>
        <v>0</v>
      </c>
      <c r="Y144" s="185">
        <f ca="1">_xll.DBRW(Server&amp;Cube1,$F$17,$F$18,$F$19,$F$16,$C$14,$F$15,$F$14,$F$20,Y$2,$N$1,$C144)</f>
        <v>0</v>
      </c>
      <c r="Z144" s="185">
        <f ca="1">_xll.DBRW(Server&amp;Cube1,$F$17,$F$18,$F$19,$F$16,$C$14,$F$15,$F$14,$F$20,Z$2,$N$1,$C144)</f>
        <v>0</v>
      </c>
      <c r="AA144" s="53"/>
      <c r="AB144" s="53"/>
      <c r="AC144" s="53"/>
      <c r="AD144" s="53"/>
      <c r="AE144" s="53"/>
      <c r="AF144" s="53"/>
      <c r="AG144" s="53"/>
      <c r="AH144" s="53"/>
      <c r="AI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</row>
    <row r="145" spans="1:47" s="9" customFormat="1" ht="24.95" customHeight="1" x14ac:dyDescent="0.35">
      <c r="A145" s="157">
        <f ca="1">IF($AN$35="YES",1,IF(_xll.ELCOMPN(Server&amp;$C$24,C145)&lt;&gt;0,1,IF(OR(B145=$AT$35,B145="ALL"),1,0)))</f>
        <v>1</v>
      </c>
      <c r="B145" s="139" t="str">
        <f t="shared" si="1"/>
        <v>CO</v>
      </c>
      <c r="C145" s="137" t="s">
        <v>251</v>
      </c>
      <c r="E145" s="219" t="str">
        <f ca="1">_xll.DBRA(Server&amp;$C$24,$C145,$F$21)</f>
        <v>Publication, Sponsoring, cadeaux, Publicité et promotion (CO)</v>
      </c>
      <c r="F145" s="219"/>
      <c r="G145" s="219"/>
      <c r="H145" s="40"/>
      <c r="I145" s="192">
        <f ca="1">_xll.DBRW(Server&amp;Cube1,$F$17,$F$18,$F$19,$F$16,$C$14,$F$15,$F$14,$F$20,I$2,I$1,$C145)</f>
        <v>0</v>
      </c>
      <c r="J145" s="192">
        <f ca="1">_xll.DBRW(Server&amp;Cube1,$F$17,$F$18,$F$19,$F$16,$C$14,$F$15,$F$14,$F$20,J$2,J$1,$C145)</f>
        <v>0</v>
      </c>
      <c r="K145" s="183"/>
      <c r="L145" s="185">
        <f ca="1">_xll.DBRW(Server&amp;Cube1,$F$17,$F$18,$F$19,$F$16,$C$14,$F$15,$F$14,$F$20,L$2,L$1,$C145)</f>
        <v>0</v>
      </c>
      <c r="M145" s="184"/>
      <c r="N145" s="185">
        <f ca="1">_xll.DBRW(Server&amp;Cube1,$F$17,$F$18,$F$19,$F$16,$C$14,$F$15,$F$14,$F$20,N$2,$N$1,$C145)</f>
        <v>0</v>
      </c>
      <c r="O145" s="185">
        <f ca="1">_xll.DBRW(Server&amp;Cube1,$F$17,$F$18,$F$19,$F$16,$C$14,$F$15,$F$14,$F$20,O$2,$N$1,$C145)</f>
        <v>0</v>
      </c>
      <c r="P145" s="185">
        <f ca="1">_xll.DBRW(Server&amp;Cube1,$F$17,$F$18,$F$19,$F$16,$C$14,$F$15,$F$14,$F$20,P$2,$N$1,$C145)</f>
        <v>0</v>
      </c>
      <c r="Q145" s="185">
        <f ca="1">_xll.DBRW(Server&amp;Cube1,$F$17,$F$18,$F$19,$F$16,$C$14,$F$15,$F$14,$F$20,Q$2,$N$1,$C145)</f>
        <v>0</v>
      </c>
      <c r="R145" s="185">
        <f ca="1">_xll.DBRW(Server&amp;Cube1,$F$17,$F$18,$F$19,$F$16,$C$14,$F$15,$F$14,$F$20,R$2,$N$1,$C145)</f>
        <v>0</v>
      </c>
      <c r="S145" s="185">
        <f ca="1">_xll.DBRW(Server&amp;Cube1,$F$17,$F$18,$F$19,$F$16,$C$14,$F$15,$F$14,$F$20,S$2,$N$1,$C145)</f>
        <v>0</v>
      </c>
      <c r="T145" s="185">
        <f ca="1">_xll.DBRW(Server&amp;Cube1,$F$17,$F$18,$F$19,$F$16,$C$14,$F$15,$F$14,$F$20,T$2,$N$1,$C145)</f>
        <v>0</v>
      </c>
      <c r="U145" s="185">
        <f ca="1">_xll.DBRW(Server&amp;Cube1,$F$17,$F$18,$F$19,$F$16,$C$14,$F$15,$F$14,$F$20,U$2,$N$1,$C145)</f>
        <v>0</v>
      </c>
      <c r="V145" s="185">
        <f ca="1">_xll.DBRW(Server&amp;Cube1,$F$17,$F$18,$F$19,$F$16,$C$14,$F$15,$F$14,$F$20,V$2,$N$1,$C145)</f>
        <v>0</v>
      </c>
      <c r="W145" s="185">
        <f ca="1">_xll.DBRW(Server&amp;Cube1,$F$17,$F$18,$F$19,$F$16,$C$14,$F$15,$F$14,$F$20,W$2,$N$1,$C145)</f>
        <v>0</v>
      </c>
      <c r="X145" s="185">
        <f ca="1">_xll.DBRW(Server&amp;Cube1,$F$17,$F$18,$F$19,$F$16,$C$14,$F$15,$F$14,$F$20,X$2,$N$1,$C145)</f>
        <v>0</v>
      </c>
      <c r="Y145" s="185">
        <f ca="1">_xll.DBRW(Server&amp;Cube1,$F$17,$F$18,$F$19,$F$16,$C$14,$F$15,$F$14,$F$20,Y$2,$N$1,$C145)</f>
        <v>0</v>
      </c>
      <c r="Z145" s="185">
        <f ca="1">_xll.DBRW(Server&amp;Cube1,$F$17,$F$18,$F$19,$F$16,$C$14,$F$15,$F$14,$F$20,Z$2,$N$1,$C145)</f>
        <v>0</v>
      </c>
      <c r="AA145" s="53"/>
      <c r="AB145" s="53"/>
      <c r="AC145" s="53"/>
      <c r="AD145" s="53"/>
      <c r="AE145" s="53"/>
      <c r="AF145" s="53"/>
      <c r="AG145" s="53"/>
      <c r="AH145" s="53"/>
      <c r="AI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</row>
    <row r="146" spans="1:47" s="9" customFormat="1" ht="24.95" customHeight="1" x14ac:dyDescent="0.35">
      <c r="A146" s="157">
        <f ca="1">IF($AN$35="YES",1,IF(_xll.ELCOMPN(Server&amp;$C$24,C146)&lt;&gt;0,1,IF(OR(B146=$AT$35,B146="ALL"),1,0)))</f>
        <v>1</v>
      </c>
      <c r="B146" s="139" t="str">
        <f t="shared" si="1"/>
        <v>GS</v>
      </c>
      <c r="C146" s="137" t="s">
        <v>252</v>
      </c>
      <c r="E146" s="219" t="str">
        <f ca="1">_xll.DBRA(Server&amp;$C$24,$C146,$F$21)</f>
        <v>Publication, Sponsoring, cadeaux, Publicité et promotion (SG)</v>
      </c>
      <c r="F146" s="219"/>
      <c r="G146" s="219"/>
      <c r="H146" s="40"/>
      <c r="I146" s="192">
        <f ca="1">_xll.DBRW(Server&amp;Cube1,$F$17,$F$18,$F$19,$F$16,$C$14,$F$15,$F$14,$F$20,I$2,I$1,$C146)</f>
        <v>0</v>
      </c>
      <c r="J146" s="192">
        <f ca="1">_xll.DBRW(Server&amp;Cube1,$F$17,$F$18,$F$19,$F$16,$C$14,$F$15,$F$14,$F$20,J$2,J$1,$C146)</f>
        <v>0</v>
      </c>
      <c r="K146" s="183"/>
      <c r="L146" s="185">
        <f ca="1">_xll.DBRW(Server&amp;Cube1,$F$17,$F$18,$F$19,$F$16,$C$14,$F$15,$F$14,$F$20,L$2,L$1,$C146)</f>
        <v>0</v>
      </c>
      <c r="M146" s="184"/>
      <c r="N146" s="185">
        <f ca="1">_xll.DBRW(Server&amp;Cube1,$F$17,$F$18,$F$19,$F$16,$C$14,$F$15,$F$14,$F$20,N$2,$N$1,$C146)</f>
        <v>0</v>
      </c>
      <c r="O146" s="185">
        <f ca="1">_xll.DBRW(Server&amp;Cube1,$F$17,$F$18,$F$19,$F$16,$C$14,$F$15,$F$14,$F$20,O$2,$N$1,$C146)</f>
        <v>0</v>
      </c>
      <c r="P146" s="185">
        <f ca="1">_xll.DBRW(Server&amp;Cube1,$F$17,$F$18,$F$19,$F$16,$C$14,$F$15,$F$14,$F$20,P$2,$N$1,$C146)</f>
        <v>0</v>
      </c>
      <c r="Q146" s="185">
        <f ca="1">_xll.DBRW(Server&amp;Cube1,$F$17,$F$18,$F$19,$F$16,$C$14,$F$15,$F$14,$F$20,Q$2,$N$1,$C146)</f>
        <v>0</v>
      </c>
      <c r="R146" s="185">
        <f ca="1">_xll.DBRW(Server&amp;Cube1,$F$17,$F$18,$F$19,$F$16,$C$14,$F$15,$F$14,$F$20,R$2,$N$1,$C146)</f>
        <v>0</v>
      </c>
      <c r="S146" s="185">
        <f ca="1">_xll.DBRW(Server&amp;Cube1,$F$17,$F$18,$F$19,$F$16,$C$14,$F$15,$F$14,$F$20,S$2,$N$1,$C146)</f>
        <v>0</v>
      </c>
      <c r="T146" s="185">
        <f ca="1">_xll.DBRW(Server&amp;Cube1,$F$17,$F$18,$F$19,$F$16,$C$14,$F$15,$F$14,$F$20,T$2,$N$1,$C146)</f>
        <v>0</v>
      </c>
      <c r="U146" s="185">
        <f ca="1">_xll.DBRW(Server&amp;Cube1,$F$17,$F$18,$F$19,$F$16,$C$14,$F$15,$F$14,$F$20,U$2,$N$1,$C146)</f>
        <v>0</v>
      </c>
      <c r="V146" s="185">
        <f ca="1">_xll.DBRW(Server&amp;Cube1,$F$17,$F$18,$F$19,$F$16,$C$14,$F$15,$F$14,$F$20,V$2,$N$1,$C146)</f>
        <v>0</v>
      </c>
      <c r="W146" s="185">
        <f ca="1">_xll.DBRW(Server&amp;Cube1,$F$17,$F$18,$F$19,$F$16,$C$14,$F$15,$F$14,$F$20,W$2,$N$1,$C146)</f>
        <v>0</v>
      </c>
      <c r="X146" s="185">
        <f ca="1">_xll.DBRW(Server&amp;Cube1,$F$17,$F$18,$F$19,$F$16,$C$14,$F$15,$F$14,$F$20,X$2,$N$1,$C146)</f>
        <v>0</v>
      </c>
      <c r="Y146" s="185">
        <f ca="1">_xll.DBRW(Server&amp;Cube1,$F$17,$F$18,$F$19,$F$16,$C$14,$F$15,$F$14,$F$20,Y$2,$N$1,$C146)</f>
        <v>0</v>
      </c>
      <c r="Z146" s="185">
        <f ca="1">_xll.DBRW(Server&amp;Cube1,$F$17,$F$18,$F$19,$F$16,$C$14,$F$15,$F$14,$F$20,Z$2,$N$1,$C146)</f>
        <v>0</v>
      </c>
      <c r="AA146" s="53"/>
      <c r="AB146" s="53"/>
      <c r="AC146" s="53"/>
      <c r="AD146" s="53"/>
      <c r="AE146" s="53"/>
      <c r="AF146" s="53"/>
      <c r="AG146" s="53"/>
      <c r="AH146" s="53"/>
      <c r="AI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</row>
    <row r="147" spans="1:47" s="9" customFormat="1" ht="24.95" customHeight="1" x14ac:dyDescent="0.35">
      <c r="A147" s="157">
        <f ca="1">IF($AN$35="YES",1,IF(_xll.ELCOMPN(Server&amp;$C$24,C147)&lt;&gt;0,1,IF(OR(B147=$AT$35,B147="ALL"),1,0)))</f>
        <v>1</v>
      </c>
      <c r="B147" s="139" t="str">
        <f t="shared" si="1"/>
        <v>RD</v>
      </c>
      <c r="C147" s="137" t="s">
        <v>253</v>
      </c>
      <c r="E147" s="219" t="str">
        <f ca="1">_xll.DBRA(Server&amp;$C$24,$C147,$F$21)</f>
        <v>Publication, Sponsoring, cadeaux, Publicité et promotion (RD)</v>
      </c>
      <c r="F147" s="219"/>
      <c r="G147" s="219"/>
      <c r="H147" s="40"/>
      <c r="I147" s="192">
        <f ca="1">_xll.DBRW(Server&amp;Cube1,$F$17,$F$18,$F$19,$F$16,$C$14,$F$15,$F$14,$F$20,I$2,I$1,$C147)</f>
        <v>0</v>
      </c>
      <c r="J147" s="192">
        <f ca="1">_xll.DBRW(Server&amp;Cube1,$F$17,$F$18,$F$19,$F$16,$C$14,$F$15,$F$14,$F$20,J$2,J$1,$C147)</f>
        <v>0</v>
      </c>
      <c r="K147" s="183"/>
      <c r="L147" s="185">
        <f ca="1">_xll.DBRW(Server&amp;Cube1,$F$17,$F$18,$F$19,$F$16,$C$14,$F$15,$F$14,$F$20,L$2,L$1,$C147)</f>
        <v>0</v>
      </c>
      <c r="M147" s="184"/>
      <c r="N147" s="185">
        <f ca="1">_xll.DBRW(Server&amp;Cube1,$F$17,$F$18,$F$19,$F$16,$C$14,$F$15,$F$14,$F$20,N$2,$N$1,$C147)</f>
        <v>0</v>
      </c>
      <c r="O147" s="185">
        <f ca="1">_xll.DBRW(Server&amp;Cube1,$F$17,$F$18,$F$19,$F$16,$C$14,$F$15,$F$14,$F$20,O$2,$N$1,$C147)</f>
        <v>0</v>
      </c>
      <c r="P147" s="185">
        <f ca="1">_xll.DBRW(Server&amp;Cube1,$F$17,$F$18,$F$19,$F$16,$C$14,$F$15,$F$14,$F$20,P$2,$N$1,$C147)</f>
        <v>0</v>
      </c>
      <c r="Q147" s="185">
        <f ca="1">_xll.DBRW(Server&amp;Cube1,$F$17,$F$18,$F$19,$F$16,$C$14,$F$15,$F$14,$F$20,Q$2,$N$1,$C147)</f>
        <v>0</v>
      </c>
      <c r="R147" s="185">
        <f ca="1">_xll.DBRW(Server&amp;Cube1,$F$17,$F$18,$F$19,$F$16,$C$14,$F$15,$F$14,$F$20,R$2,$N$1,$C147)</f>
        <v>0</v>
      </c>
      <c r="S147" s="185">
        <f ca="1">_xll.DBRW(Server&amp;Cube1,$F$17,$F$18,$F$19,$F$16,$C$14,$F$15,$F$14,$F$20,S$2,$N$1,$C147)</f>
        <v>0</v>
      </c>
      <c r="T147" s="185">
        <f ca="1">_xll.DBRW(Server&amp;Cube1,$F$17,$F$18,$F$19,$F$16,$C$14,$F$15,$F$14,$F$20,T$2,$N$1,$C147)</f>
        <v>0</v>
      </c>
      <c r="U147" s="185">
        <f ca="1">_xll.DBRW(Server&amp;Cube1,$F$17,$F$18,$F$19,$F$16,$C$14,$F$15,$F$14,$F$20,U$2,$N$1,$C147)</f>
        <v>0</v>
      </c>
      <c r="V147" s="185">
        <f ca="1">_xll.DBRW(Server&amp;Cube1,$F$17,$F$18,$F$19,$F$16,$C$14,$F$15,$F$14,$F$20,V$2,$N$1,$C147)</f>
        <v>0</v>
      </c>
      <c r="W147" s="185">
        <f ca="1">_xll.DBRW(Server&amp;Cube1,$F$17,$F$18,$F$19,$F$16,$C$14,$F$15,$F$14,$F$20,W$2,$N$1,$C147)</f>
        <v>0</v>
      </c>
      <c r="X147" s="185">
        <f ca="1">_xll.DBRW(Server&amp;Cube1,$F$17,$F$18,$F$19,$F$16,$C$14,$F$15,$F$14,$F$20,X$2,$N$1,$C147)</f>
        <v>0</v>
      </c>
      <c r="Y147" s="185">
        <f ca="1">_xll.DBRW(Server&amp;Cube1,$F$17,$F$18,$F$19,$F$16,$C$14,$F$15,$F$14,$F$20,Y$2,$N$1,$C147)</f>
        <v>0</v>
      </c>
      <c r="Z147" s="185">
        <f ca="1">_xll.DBRW(Server&amp;Cube1,$F$17,$F$18,$F$19,$F$16,$C$14,$F$15,$F$14,$F$20,Z$2,$N$1,$C147)</f>
        <v>0</v>
      </c>
      <c r="AA147" s="53"/>
      <c r="AB147" s="53"/>
      <c r="AC147" s="53"/>
      <c r="AD147" s="53"/>
      <c r="AE147" s="53"/>
      <c r="AF147" s="53"/>
      <c r="AG147" s="53"/>
      <c r="AH147" s="53"/>
      <c r="AI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</row>
    <row r="148" spans="1:47" ht="18.75" customHeight="1" collapsed="1" x14ac:dyDescent="0.3">
      <c r="A148" s="157">
        <f ca="1">IF($AN$35="YES",1,IF(_xll.ELCOMPN(Server&amp;$C$24,C148)&lt;&gt;0,1,IF(OR(B148=$AT$35,B148="ALL"),1,0)))</f>
        <v>1</v>
      </c>
      <c r="B148" s="139" t="str">
        <f t="shared" si="1"/>
        <v>se</v>
      </c>
      <c r="C148" s="111" t="s">
        <v>99</v>
      </c>
      <c r="D148" s="24"/>
      <c r="E148" s="221" t="str">
        <f ca="1">_xll.DBRA(Server&amp;$C$24,$C148,$F$21)</f>
        <v>Réception, Séminaires</v>
      </c>
      <c r="F148" s="221"/>
      <c r="G148" s="221"/>
      <c r="H148" s="43"/>
      <c r="I148" s="192">
        <f ca="1">_xll.DBRW(Server&amp;Cube1,$F$17,$F$18,$F$19,$F$16,$C$14,$F$15,$F$14,$F$20,I$2,I$1,$C148)</f>
        <v>0</v>
      </c>
      <c r="J148" s="192">
        <f ca="1">_xll.DBRW(Server&amp;Cube1,$F$17,$F$18,$F$19,$F$16,$C$14,$F$15,$F$14,$F$20,J$2,J$1,$C148)</f>
        <v>0</v>
      </c>
      <c r="K148" s="183"/>
      <c r="L148" s="181">
        <f ca="1">_xll.DBRW(Server&amp;Cube1,$F$17,$F$18,$F$19,$F$16,$C$14,$F$15,$F$14,$F$20,L$2,L$1,$C148)</f>
        <v>0</v>
      </c>
      <c r="M148" s="181"/>
      <c r="N148" s="181">
        <f ca="1">_xll.DBRW(Server&amp;Cube1,$F$17,$F$18,$F$19,$F$16,$C$14,$F$15,$F$14,$F$20,N$2,$N$1,$C148)</f>
        <v>0</v>
      </c>
      <c r="O148" s="181">
        <f ca="1">_xll.DBRW(Server&amp;Cube1,$F$17,$F$18,$F$19,$F$16,$C$14,$F$15,$F$14,$F$20,O$2,$N$1,$C148)</f>
        <v>0</v>
      </c>
      <c r="P148" s="181">
        <f ca="1">_xll.DBRW(Server&amp;Cube1,$F$17,$F$18,$F$19,$F$16,$C$14,$F$15,$F$14,$F$20,P$2,$N$1,$C148)</f>
        <v>0</v>
      </c>
      <c r="Q148" s="181">
        <f ca="1">_xll.DBRW(Server&amp;Cube1,$F$17,$F$18,$F$19,$F$16,$C$14,$F$15,$F$14,$F$20,Q$2,$N$1,$C148)</f>
        <v>0</v>
      </c>
      <c r="R148" s="181">
        <f ca="1">_xll.DBRW(Server&amp;Cube1,$F$17,$F$18,$F$19,$F$16,$C$14,$F$15,$F$14,$F$20,R$2,$N$1,$C148)</f>
        <v>0</v>
      </c>
      <c r="S148" s="181">
        <f ca="1">_xll.DBRW(Server&amp;Cube1,$F$17,$F$18,$F$19,$F$16,$C$14,$F$15,$F$14,$F$20,S$2,$N$1,$C148)</f>
        <v>0</v>
      </c>
      <c r="T148" s="181">
        <f ca="1">_xll.DBRW(Server&amp;Cube1,$F$17,$F$18,$F$19,$F$16,$C$14,$F$15,$F$14,$F$20,T$2,$N$1,$C148)</f>
        <v>0</v>
      </c>
      <c r="U148" s="181">
        <f ca="1">_xll.DBRW(Server&amp;Cube1,$F$17,$F$18,$F$19,$F$16,$C$14,$F$15,$F$14,$F$20,U$2,$N$1,$C148)</f>
        <v>0</v>
      </c>
      <c r="V148" s="181">
        <f ca="1">_xll.DBRW(Server&amp;Cube1,$F$17,$F$18,$F$19,$F$16,$C$14,$F$15,$F$14,$F$20,V$2,$N$1,$C148)</f>
        <v>0</v>
      </c>
      <c r="W148" s="181">
        <f ca="1">_xll.DBRW(Server&amp;Cube1,$F$17,$F$18,$F$19,$F$16,$C$14,$F$15,$F$14,$F$20,W$2,$N$1,$C148)</f>
        <v>0</v>
      </c>
      <c r="X148" s="181">
        <f ca="1">_xll.DBRW(Server&amp;Cube1,$F$17,$F$18,$F$19,$F$16,$C$14,$F$15,$F$14,$F$20,X$2,$N$1,$C148)</f>
        <v>0</v>
      </c>
      <c r="Y148" s="181">
        <f ca="1">_xll.DBRW(Server&amp;Cube1,$F$17,$F$18,$F$19,$F$16,$C$14,$F$15,$F$14,$F$20,Y$2,$N$1,$C148)</f>
        <v>0</v>
      </c>
      <c r="Z148" s="181">
        <f ca="1">_xll.DBRW(Server&amp;Cube1,$F$17,$F$18,$F$19,$F$16,$C$14,$F$15,$F$14,$F$20,Z$2,$N$1,$C148)</f>
        <v>0</v>
      </c>
      <c r="AJ148" s="1"/>
    </row>
    <row r="149" spans="1:47" ht="18.75" customHeight="1" x14ac:dyDescent="0.3">
      <c r="A149" s="157">
        <f ca="1">IF($AN$35="YES",1,IF(_xll.ELCOMPN(Server&amp;$C$24,C149)&lt;&gt;0,1,IF(OR(B149=$AT$35,B149="ALL"),1,0)))</f>
        <v>1</v>
      </c>
      <c r="B149" s="139" t="str">
        <f t="shared" si="1"/>
        <v>DS</v>
      </c>
      <c r="C149" s="137" t="s">
        <v>254</v>
      </c>
      <c r="D149" s="24"/>
      <c r="E149" s="219" t="str">
        <f ca="1">_xll.DBRA(Server&amp;$C$24,$C149,$F$21)</f>
        <v>Réception, Séminaires (SO)</v>
      </c>
      <c r="F149" s="219"/>
      <c r="G149" s="219"/>
      <c r="H149" s="43"/>
      <c r="I149" s="192">
        <f ca="1">_xll.DBRW(Server&amp;Cube1,$F$17,$F$18,$F$19,$F$16,$C$14,$F$15,$F$14,$F$20,I$2,I$1,$C149)</f>
        <v>0</v>
      </c>
      <c r="J149" s="192">
        <f ca="1">_xll.DBRW(Server&amp;Cube1,$F$17,$F$18,$F$19,$F$16,$C$14,$F$15,$F$14,$F$20,J$2,J$1,$C149)</f>
        <v>0</v>
      </c>
      <c r="K149" s="183"/>
      <c r="L149" s="185">
        <f ca="1">_xll.DBRW(Server&amp;Cube1,$F$17,$F$18,$F$19,$F$16,$C$14,$F$15,$F$14,$F$20,L$2,L$1,$C149)</f>
        <v>0</v>
      </c>
      <c r="M149" s="184"/>
      <c r="N149" s="185">
        <f ca="1">_xll.DBRW(Server&amp;Cube1,$F$17,$F$18,$F$19,$F$16,$C$14,$F$15,$F$14,$F$20,N$2,$N$1,$C149)</f>
        <v>0</v>
      </c>
      <c r="O149" s="185">
        <f ca="1">_xll.DBRW(Server&amp;Cube1,$F$17,$F$18,$F$19,$F$16,$C$14,$F$15,$F$14,$F$20,O$2,$N$1,$C149)</f>
        <v>0</v>
      </c>
      <c r="P149" s="185">
        <f ca="1">_xll.DBRW(Server&amp;Cube1,$F$17,$F$18,$F$19,$F$16,$C$14,$F$15,$F$14,$F$20,P$2,$N$1,$C149)</f>
        <v>0</v>
      </c>
      <c r="Q149" s="185">
        <f ca="1">_xll.DBRW(Server&amp;Cube1,$F$17,$F$18,$F$19,$F$16,$C$14,$F$15,$F$14,$F$20,Q$2,$N$1,$C149)</f>
        <v>0</v>
      </c>
      <c r="R149" s="185">
        <f ca="1">_xll.DBRW(Server&amp;Cube1,$F$17,$F$18,$F$19,$F$16,$C$14,$F$15,$F$14,$F$20,R$2,$N$1,$C149)</f>
        <v>0</v>
      </c>
      <c r="S149" s="185">
        <f ca="1">_xll.DBRW(Server&amp;Cube1,$F$17,$F$18,$F$19,$F$16,$C$14,$F$15,$F$14,$F$20,S$2,$N$1,$C149)</f>
        <v>0</v>
      </c>
      <c r="T149" s="185">
        <f ca="1">_xll.DBRW(Server&amp;Cube1,$F$17,$F$18,$F$19,$F$16,$C$14,$F$15,$F$14,$F$20,T$2,$N$1,$C149)</f>
        <v>0</v>
      </c>
      <c r="U149" s="185">
        <f ca="1">_xll.DBRW(Server&amp;Cube1,$F$17,$F$18,$F$19,$F$16,$C$14,$F$15,$F$14,$F$20,U$2,$N$1,$C149)</f>
        <v>0</v>
      </c>
      <c r="V149" s="185">
        <f ca="1">_xll.DBRW(Server&amp;Cube1,$F$17,$F$18,$F$19,$F$16,$C$14,$F$15,$F$14,$F$20,V$2,$N$1,$C149)</f>
        <v>0</v>
      </c>
      <c r="W149" s="185">
        <f ca="1">_xll.DBRW(Server&amp;Cube1,$F$17,$F$18,$F$19,$F$16,$C$14,$F$15,$F$14,$F$20,W$2,$N$1,$C149)</f>
        <v>0</v>
      </c>
      <c r="X149" s="185">
        <f ca="1">_xll.DBRW(Server&amp;Cube1,$F$17,$F$18,$F$19,$F$16,$C$14,$F$15,$F$14,$F$20,X$2,$N$1,$C149)</f>
        <v>0</v>
      </c>
      <c r="Y149" s="185">
        <f ca="1">_xll.DBRW(Server&amp;Cube1,$F$17,$F$18,$F$19,$F$16,$C$14,$F$15,$F$14,$F$20,Y$2,$N$1,$C149)</f>
        <v>0</v>
      </c>
      <c r="Z149" s="185">
        <f ca="1">_xll.DBRW(Server&amp;Cube1,$F$17,$F$18,$F$19,$F$16,$C$14,$F$15,$F$14,$F$20,Z$2,$N$1,$C149)</f>
        <v>0</v>
      </c>
      <c r="AA149" s="53"/>
      <c r="AB149" s="53"/>
      <c r="AC149" s="53"/>
      <c r="AD149" s="53"/>
      <c r="AE149" s="53"/>
      <c r="AF149" s="53"/>
      <c r="AG149" s="53"/>
      <c r="AH149" s="53"/>
      <c r="AI149" s="53"/>
      <c r="AJ149" s="1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</row>
    <row r="150" spans="1:47" ht="18.75" customHeight="1" x14ac:dyDescent="0.3">
      <c r="A150" s="157">
        <f ca="1">IF($AN$35="YES",1,IF(_xll.ELCOMPN(Server&amp;$C$24,C150)&lt;&gt;0,1,IF(OR(B150=$AT$35,B150="ALL"),1,0)))</f>
        <v>1</v>
      </c>
      <c r="B150" s="139" t="str">
        <f t="shared" si="1"/>
        <v>BD</v>
      </c>
      <c r="C150" s="137" t="s">
        <v>255</v>
      </c>
      <c r="D150" s="24"/>
      <c r="E150" s="219" t="str">
        <f ca="1">_xll.DBRA(Server&amp;$C$24,$C150,$F$21)</f>
        <v>Réception, Séminaires (DC)</v>
      </c>
      <c r="F150" s="219"/>
      <c r="G150" s="219"/>
      <c r="H150" s="43"/>
      <c r="I150" s="192">
        <f ca="1">_xll.DBRW(Server&amp;Cube1,$F$17,$F$18,$F$19,$F$16,$C$14,$F$15,$F$14,$F$20,I$2,I$1,$C150)</f>
        <v>0</v>
      </c>
      <c r="J150" s="192">
        <f ca="1">_xll.DBRW(Server&amp;Cube1,$F$17,$F$18,$F$19,$F$16,$C$14,$F$15,$F$14,$F$20,J$2,J$1,$C150)</f>
        <v>0</v>
      </c>
      <c r="K150" s="183"/>
      <c r="L150" s="185">
        <f ca="1">_xll.DBRW(Server&amp;Cube1,$F$17,$F$18,$F$19,$F$16,$C$14,$F$15,$F$14,$F$20,L$2,L$1,$C150)</f>
        <v>0</v>
      </c>
      <c r="M150" s="184"/>
      <c r="N150" s="185">
        <f ca="1">_xll.DBRW(Server&amp;Cube1,$F$17,$F$18,$F$19,$F$16,$C$14,$F$15,$F$14,$F$20,N$2,$N$1,$C150)</f>
        <v>0</v>
      </c>
      <c r="O150" s="185">
        <f ca="1">_xll.DBRW(Server&amp;Cube1,$F$17,$F$18,$F$19,$F$16,$C$14,$F$15,$F$14,$F$20,O$2,$N$1,$C150)</f>
        <v>0</v>
      </c>
      <c r="P150" s="185">
        <f ca="1">_xll.DBRW(Server&amp;Cube1,$F$17,$F$18,$F$19,$F$16,$C$14,$F$15,$F$14,$F$20,P$2,$N$1,$C150)</f>
        <v>0</v>
      </c>
      <c r="Q150" s="185">
        <f ca="1">_xll.DBRW(Server&amp;Cube1,$F$17,$F$18,$F$19,$F$16,$C$14,$F$15,$F$14,$F$20,Q$2,$N$1,$C150)</f>
        <v>0</v>
      </c>
      <c r="R150" s="185">
        <f ca="1">_xll.DBRW(Server&amp;Cube1,$F$17,$F$18,$F$19,$F$16,$C$14,$F$15,$F$14,$F$20,R$2,$N$1,$C150)</f>
        <v>0</v>
      </c>
      <c r="S150" s="185">
        <f ca="1">_xll.DBRW(Server&amp;Cube1,$F$17,$F$18,$F$19,$F$16,$C$14,$F$15,$F$14,$F$20,S$2,$N$1,$C150)</f>
        <v>0</v>
      </c>
      <c r="T150" s="185">
        <f ca="1">_xll.DBRW(Server&amp;Cube1,$F$17,$F$18,$F$19,$F$16,$C$14,$F$15,$F$14,$F$20,T$2,$N$1,$C150)</f>
        <v>0</v>
      </c>
      <c r="U150" s="185">
        <f ca="1">_xll.DBRW(Server&amp;Cube1,$F$17,$F$18,$F$19,$F$16,$C$14,$F$15,$F$14,$F$20,U$2,$N$1,$C150)</f>
        <v>0</v>
      </c>
      <c r="V150" s="185">
        <f ca="1">_xll.DBRW(Server&amp;Cube1,$F$17,$F$18,$F$19,$F$16,$C$14,$F$15,$F$14,$F$20,V$2,$N$1,$C150)</f>
        <v>0</v>
      </c>
      <c r="W150" s="185">
        <f ca="1">_xll.DBRW(Server&amp;Cube1,$F$17,$F$18,$F$19,$F$16,$C$14,$F$15,$F$14,$F$20,W$2,$N$1,$C150)</f>
        <v>0</v>
      </c>
      <c r="X150" s="185">
        <f ca="1">_xll.DBRW(Server&amp;Cube1,$F$17,$F$18,$F$19,$F$16,$C$14,$F$15,$F$14,$F$20,X$2,$N$1,$C150)</f>
        <v>0</v>
      </c>
      <c r="Y150" s="185">
        <f ca="1">_xll.DBRW(Server&amp;Cube1,$F$17,$F$18,$F$19,$F$16,$C$14,$F$15,$F$14,$F$20,Y$2,$N$1,$C150)</f>
        <v>0</v>
      </c>
      <c r="Z150" s="185">
        <f ca="1">_xll.DBRW(Server&amp;Cube1,$F$17,$F$18,$F$19,$F$16,$C$14,$F$15,$F$14,$F$20,Z$2,$N$1,$C150)</f>
        <v>0</v>
      </c>
      <c r="AA150" s="53"/>
      <c r="AB150" s="53"/>
      <c r="AC150" s="53"/>
      <c r="AD150" s="53"/>
      <c r="AE150" s="53"/>
      <c r="AF150" s="53"/>
      <c r="AG150" s="53"/>
      <c r="AH150" s="53"/>
      <c r="AI150" s="53"/>
      <c r="AJ150" s="1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</row>
    <row r="151" spans="1:47" ht="18.75" customHeight="1" x14ac:dyDescent="0.3">
      <c r="A151" s="157">
        <f ca="1">IF($AN$35="YES",1,IF(_xll.ELCOMPN(Server&amp;$C$24,C151)&lt;&gt;0,1,IF(OR(B151=$AT$35,B151="ALL"),1,0)))</f>
        <v>1</v>
      </c>
      <c r="B151" s="139" t="str">
        <f t="shared" si="1"/>
        <v>FI</v>
      </c>
      <c r="C151" s="137" t="s">
        <v>256</v>
      </c>
      <c r="D151" s="24"/>
      <c r="E151" s="219" t="str">
        <f ca="1">_xll.DBRA(Server&amp;$C$24,$C151,$F$21)</f>
        <v>Réception, Séminaires (DF)</v>
      </c>
      <c r="F151" s="219"/>
      <c r="G151" s="219"/>
      <c r="H151" s="43"/>
      <c r="I151" s="192">
        <f ca="1">_xll.DBRW(Server&amp;Cube1,$F$17,$F$18,$F$19,$F$16,$C$14,$F$15,$F$14,$F$20,I$2,I$1,$C151)</f>
        <v>0</v>
      </c>
      <c r="J151" s="192">
        <f ca="1">_xll.DBRW(Server&amp;Cube1,$F$17,$F$18,$F$19,$F$16,$C$14,$F$15,$F$14,$F$20,J$2,J$1,$C151)</f>
        <v>0</v>
      </c>
      <c r="K151" s="183"/>
      <c r="L151" s="185">
        <f ca="1">_xll.DBRW(Server&amp;Cube1,$F$17,$F$18,$F$19,$F$16,$C$14,$F$15,$F$14,$F$20,L$2,L$1,$C151)</f>
        <v>0</v>
      </c>
      <c r="M151" s="184"/>
      <c r="N151" s="185">
        <f ca="1">_xll.DBRW(Server&amp;Cube1,$F$17,$F$18,$F$19,$F$16,$C$14,$F$15,$F$14,$F$20,N$2,$N$1,$C151)</f>
        <v>0</v>
      </c>
      <c r="O151" s="185">
        <f ca="1">_xll.DBRW(Server&amp;Cube1,$F$17,$F$18,$F$19,$F$16,$C$14,$F$15,$F$14,$F$20,O$2,$N$1,$C151)</f>
        <v>0</v>
      </c>
      <c r="P151" s="185">
        <f ca="1">_xll.DBRW(Server&amp;Cube1,$F$17,$F$18,$F$19,$F$16,$C$14,$F$15,$F$14,$F$20,P$2,$N$1,$C151)</f>
        <v>0</v>
      </c>
      <c r="Q151" s="185">
        <f ca="1">_xll.DBRW(Server&amp;Cube1,$F$17,$F$18,$F$19,$F$16,$C$14,$F$15,$F$14,$F$20,Q$2,$N$1,$C151)</f>
        <v>0</v>
      </c>
      <c r="R151" s="185">
        <f ca="1">_xll.DBRW(Server&amp;Cube1,$F$17,$F$18,$F$19,$F$16,$C$14,$F$15,$F$14,$F$20,R$2,$N$1,$C151)</f>
        <v>0</v>
      </c>
      <c r="S151" s="185">
        <f ca="1">_xll.DBRW(Server&amp;Cube1,$F$17,$F$18,$F$19,$F$16,$C$14,$F$15,$F$14,$F$20,S$2,$N$1,$C151)</f>
        <v>0</v>
      </c>
      <c r="T151" s="185">
        <f ca="1">_xll.DBRW(Server&amp;Cube1,$F$17,$F$18,$F$19,$F$16,$C$14,$F$15,$F$14,$F$20,T$2,$N$1,$C151)</f>
        <v>0</v>
      </c>
      <c r="U151" s="185">
        <f ca="1">_xll.DBRW(Server&amp;Cube1,$F$17,$F$18,$F$19,$F$16,$C$14,$F$15,$F$14,$F$20,U$2,$N$1,$C151)</f>
        <v>0</v>
      </c>
      <c r="V151" s="185">
        <f ca="1">_xll.DBRW(Server&amp;Cube1,$F$17,$F$18,$F$19,$F$16,$C$14,$F$15,$F$14,$F$20,V$2,$N$1,$C151)</f>
        <v>0</v>
      </c>
      <c r="W151" s="185">
        <f ca="1">_xll.DBRW(Server&amp;Cube1,$F$17,$F$18,$F$19,$F$16,$C$14,$F$15,$F$14,$F$20,W$2,$N$1,$C151)</f>
        <v>0</v>
      </c>
      <c r="X151" s="185">
        <f ca="1">_xll.DBRW(Server&amp;Cube1,$F$17,$F$18,$F$19,$F$16,$C$14,$F$15,$F$14,$F$20,X$2,$N$1,$C151)</f>
        <v>0</v>
      </c>
      <c r="Y151" s="185">
        <f ca="1">_xll.DBRW(Server&amp;Cube1,$F$17,$F$18,$F$19,$F$16,$C$14,$F$15,$F$14,$F$20,Y$2,$N$1,$C151)</f>
        <v>0</v>
      </c>
      <c r="Z151" s="185">
        <f ca="1">_xll.DBRW(Server&amp;Cube1,$F$17,$F$18,$F$19,$F$16,$C$14,$F$15,$F$14,$F$20,Z$2,$N$1,$C151)</f>
        <v>0</v>
      </c>
      <c r="AA151" s="53"/>
      <c r="AB151" s="53"/>
      <c r="AC151" s="53"/>
      <c r="AD151" s="53"/>
      <c r="AE151" s="53"/>
      <c r="AF151" s="53"/>
      <c r="AG151" s="53"/>
      <c r="AH151" s="53"/>
      <c r="AI151" s="53"/>
      <c r="AJ151" s="1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</row>
    <row r="152" spans="1:47" ht="18.75" customHeight="1" x14ac:dyDescent="0.3">
      <c r="A152" s="157">
        <f ca="1">IF($AN$35="YES",1,IF(_xll.ELCOMPN(Server&amp;$C$24,C152)&lt;&gt;0,1,IF(OR(B152=$AT$35,B152="ALL"),1,0)))</f>
        <v>1</v>
      </c>
      <c r="B152" s="139" t="str">
        <f t="shared" si="1"/>
        <v>IT</v>
      </c>
      <c r="C152" s="137" t="s">
        <v>257</v>
      </c>
      <c r="D152" s="24"/>
      <c r="E152" s="219" t="str">
        <f ca="1">_xll.DBRA(Server&amp;$C$24,$C152,$F$21)</f>
        <v>Réception, Séminaires (IT)</v>
      </c>
      <c r="F152" s="219"/>
      <c r="G152" s="219"/>
      <c r="H152" s="43"/>
      <c r="I152" s="192">
        <f ca="1">_xll.DBRW(Server&amp;Cube1,$F$17,$F$18,$F$19,$F$16,$C$14,$F$15,$F$14,$F$20,I$2,I$1,$C152)</f>
        <v>0</v>
      </c>
      <c r="J152" s="192">
        <f ca="1">_xll.DBRW(Server&amp;Cube1,$F$17,$F$18,$F$19,$F$16,$C$14,$F$15,$F$14,$F$20,J$2,J$1,$C152)</f>
        <v>0</v>
      </c>
      <c r="K152" s="183"/>
      <c r="L152" s="185">
        <f ca="1">_xll.DBRW(Server&amp;Cube1,$F$17,$F$18,$F$19,$F$16,$C$14,$F$15,$F$14,$F$20,L$2,L$1,$C152)</f>
        <v>0</v>
      </c>
      <c r="M152" s="184"/>
      <c r="N152" s="185">
        <f ca="1">_xll.DBRW(Server&amp;Cube1,$F$17,$F$18,$F$19,$F$16,$C$14,$F$15,$F$14,$F$20,N$2,$N$1,$C152)</f>
        <v>0</v>
      </c>
      <c r="O152" s="185">
        <f ca="1">_xll.DBRW(Server&amp;Cube1,$F$17,$F$18,$F$19,$F$16,$C$14,$F$15,$F$14,$F$20,O$2,$N$1,$C152)</f>
        <v>0</v>
      </c>
      <c r="P152" s="185">
        <f ca="1">_xll.DBRW(Server&amp;Cube1,$F$17,$F$18,$F$19,$F$16,$C$14,$F$15,$F$14,$F$20,P$2,$N$1,$C152)</f>
        <v>0</v>
      </c>
      <c r="Q152" s="185">
        <f ca="1">_xll.DBRW(Server&amp;Cube1,$F$17,$F$18,$F$19,$F$16,$C$14,$F$15,$F$14,$F$20,Q$2,$N$1,$C152)</f>
        <v>0</v>
      </c>
      <c r="R152" s="185">
        <f ca="1">_xll.DBRW(Server&amp;Cube1,$F$17,$F$18,$F$19,$F$16,$C$14,$F$15,$F$14,$F$20,R$2,$N$1,$C152)</f>
        <v>0</v>
      </c>
      <c r="S152" s="185">
        <f ca="1">_xll.DBRW(Server&amp;Cube1,$F$17,$F$18,$F$19,$F$16,$C$14,$F$15,$F$14,$F$20,S$2,$N$1,$C152)</f>
        <v>0</v>
      </c>
      <c r="T152" s="185">
        <f ca="1">_xll.DBRW(Server&amp;Cube1,$F$17,$F$18,$F$19,$F$16,$C$14,$F$15,$F$14,$F$20,T$2,$N$1,$C152)</f>
        <v>0</v>
      </c>
      <c r="U152" s="185">
        <f ca="1">_xll.DBRW(Server&amp;Cube1,$F$17,$F$18,$F$19,$F$16,$C$14,$F$15,$F$14,$F$20,U$2,$N$1,$C152)</f>
        <v>0</v>
      </c>
      <c r="V152" s="185">
        <f ca="1">_xll.DBRW(Server&amp;Cube1,$F$17,$F$18,$F$19,$F$16,$C$14,$F$15,$F$14,$F$20,V$2,$N$1,$C152)</f>
        <v>0</v>
      </c>
      <c r="W152" s="185">
        <f ca="1">_xll.DBRW(Server&amp;Cube1,$F$17,$F$18,$F$19,$F$16,$C$14,$F$15,$F$14,$F$20,W$2,$N$1,$C152)</f>
        <v>0</v>
      </c>
      <c r="X152" s="185">
        <f ca="1">_xll.DBRW(Server&amp;Cube1,$F$17,$F$18,$F$19,$F$16,$C$14,$F$15,$F$14,$F$20,X$2,$N$1,$C152)</f>
        <v>0</v>
      </c>
      <c r="Y152" s="185">
        <f ca="1">_xll.DBRW(Server&amp;Cube1,$F$17,$F$18,$F$19,$F$16,$C$14,$F$15,$F$14,$F$20,Y$2,$N$1,$C152)</f>
        <v>0</v>
      </c>
      <c r="Z152" s="185">
        <f ca="1">_xll.DBRW(Server&amp;Cube1,$F$17,$F$18,$F$19,$F$16,$C$14,$F$15,$F$14,$F$20,Z$2,$N$1,$C152)</f>
        <v>0</v>
      </c>
      <c r="AA152" s="53"/>
      <c r="AB152" s="53"/>
      <c r="AC152" s="53"/>
      <c r="AD152" s="53"/>
      <c r="AE152" s="53"/>
      <c r="AF152" s="53"/>
      <c r="AG152" s="53"/>
      <c r="AH152" s="53"/>
      <c r="AI152" s="53"/>
      <c r="AJ152" s="1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</row>
    <row r="153" spans="1:47" ht="18.75" customHeight="1" x14ac:dyDescent="0.3">
      <c r="A153" s="157">
        <f ca="1">IF($AN$35="YES",1,IF(_xll.ELCOMPN(Server&amp;$C$24,C153)&lt;&gt;0,1,IF(OR(B153=$AT$35,B153="ALL"),1,0)))</f>
        <v>1</v>
      </c>
      <c r="B153" s="139" t="str">
        <f t="shared" si="1"/>
        <v>HR</v>
      </c>
      <c r="C153" s="137" t="s">
        <v>258</v>
      </c>
      <c r="D153" s="24"/>
      <c r="E153" s="219" t="str">
        <f ca="1">_xll.DBRA(Server&amp;$C$24,$C153,$F$21)</f>
        <v>Réception, Séminaires (RH)</v>
      </c>
      <c r="F153" s="219"/>
      <c r="G153" s="219"/>
      <c r="H153" s="43"/>
      <c r="I153" s="192">
        <f ca="1">_xll.DBRW(Server&amp;Cube1,$F$17,$F$18,$F$19,$F$16,$C$14,$F$15,$F$14,$F$20,I$2,I$1,$C153)</f>
        <v>0</v>
      </c>
      <c r="J153" s="192">
        <f ca="1">_xll.DBRW(Server&amp;Cube1,$F$17,$F$18,$F$19,$F$16,$C$14,$F$15,$F$14,$F$20,J$2,J$1,$C153)</f>
        <v>0</v>
      </c>
      <c r="K153" s="183"/>
      <c r="L153" s="185">
        <f ca="1">_xll.DBRW(Server&amp;Cube1,$F$17,$F$18,$F$19,$F$16,$C$14,$F$15,$F$14,$F$20,L$2,L$1,$C153)</f>
        <v>0</v>
      </c>
      <c r="M153" s="184"/>
      <c r="N153" s="185">
        <f ca="1">_xll.DBRW(Server&amp;Cube1,$F$17,$F$18,$F$19,$F$16,$C$14,$F$15,$F$14,$F$20,N$2,$N$1,$C153)</f>
        <v>0</v>
      </c>
      <c r="O153" s="185">
        <f ca="1">_xll.DBRW(Server&amp;Cube1,$F$17,$F$18,$F$19,$F$16,$C$14,$F$15,$F$14,$F$20,O$2,$N$1,$C153)</f>
        <v>0</v>
      </c>
      <c r="P153" s="185">
        <f ca="1">_xll.DBRW(Server&amp;Cube1,$F$17,$F$18,$F$19,$F$16,$C$14,$F$15,$F$14,$F$20,P$2,$N$1,$C153)</f>
        <v>0</v>
      </c>
      <c r="Q153" s="185">
        <f ca="1">_xll.DBRW(Server&amp;Cube1,$F$17,$F$18,$F$19,$F$16,$C$14,$F$15,$F$14,$F$20,Q$2,$N$1,$C153)</f>
        <v>0</v>
      </c>
      <c r="R153" s="185">
        <f ca="1">_xll.DBRW(Server&amp;Cube1,$F$17,$F$18,$F$19,$F$16,$C$14,$F$15,$F$14,$F$20,R$2,$N$1,$C153)</f>
        <v>0</v>
      </c>
      <c r="S153" s="185">
        <f ca="1">_xll.DBRW(Server&amp;Cube1,$F$17,$F$18,$F$19,$F$16,$C$14,$F$15,$F$14,$F$20,S$2,$N$1,$C153)</f>
        <v>0</v>
      </c>
      <c r="T153" s="185">
        <f ca="1">_xll.DBRW(Server&amp;Cube1,$F$17,$F$18,$F$19,$F$16,$C$14,$F$15,$F$14,$F$20,T$2,$N$1,$C153)</f>
        <v>0</v>
      </c>
      <c r="U153" s="185">
        <f ca="1">_xll.DBRW(Server&amp;Cube1,$F$17,$F$18,$F$19,$F$16,$C$14,$F$15,$F$14,$F$20,U$2,$N$1,$C153)</f>
        <v>0</v>
      </c>
      <c r="V153" s="185">
        <f ca="1">_xll.DBRW(Server&amp;Cube1,$F$17,$F$18,$F$19,$F$16,$C$14,$F$15,$F$14,$F$20,V$2,$N$1,$C153)</f>
        <v>0</v>
      </c>
      <c r="W153" s="185">
        <f ca="1">_xll.DBRW(Server&amp;Cube1,$F$17,$F$18,$F$19,$F$16,$C$14,$F$15,$F$14,$F$20,W$2,$N$1,$C153)</f>
        <v>0</v>
      </c>
      <c r="X153" s="185">
        <f ca="1">_xll.DBRW(Server&amp;Cube1,$F$17,$F$18,$F$19,$F$16,$C$14,$F$15,$F$14,$F$20,X$2,$N$1,$C153)</f>
        <v>0</v>
      </c>
      <c r="Y153" s="185">
        <f ca="1">_xll.DBRW(Server&amp;Cube1,$F$17,$F$18,$F$19,$F$16,$C$14,$F$15,$F$14,$F$20,Y$2,$N$1,$C153)</f>
        <v>0</v>
      </c>
      <c r="Z153" s="185">
        <f ca="1">_xll.DBRW(Server&amp;Cube1,$F$17,$F$18,$F$19,$F$16,$C$14,$F$15,$F$14,$F$20,Z$2,$N$1,$C153)</f>
        <v>0</v>
      </c>
      <c r="AA153" s="53"/>
      <c r="AB153" s="53"/>
      <c r="AC153" s="53"/>
      <c r="AD153" s="53"/>
      <c r="AE153" s="53"/>
      <c r="AF153" s="53"/>
      <c r="AG153" s="53"/>
      <c r="AH153" s="53"/>
      <c r="AI153" s="53"/>
      <c r="AJ153" s="1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</row>
    <row r="154" spans="1:47" ht="18.75" customHeight="1" x14ac:dyDescent="0.3">
      <c r="A154" s="157">
        <f ca="1">IF($AN$35="YES",1,IF(_xll.ELCOMPN(Server&amp;$C$24,C154)&lt;&gt;0,1,IF(OR(B154=$AT$35,B154="ALL"),1,0)))</f>
        <v>1</v>
      </c>
      <c r="B154" s="139" t="str">
        <f t="shared" si="1"/>
        <v>GM</v>
      </c>
      <c r="C154" s="137" t="s">
        <v>259</v>
      </c>
      <c r="D154" s="24"/>
      <c r="E154" s="219" t="str">
        <f ca="1">_xll.DBRA(Server&amp;$C$24,$C154,$F$21)</f>
        <v>Réception, Séminaires (DG)</v>
      </c>
      <c r="F154" s="219"/>
      <c r="G154" s="219"/>
      <c r="H154" s="43"/>
      <c r="I154" s="192">
        <f ca="1">_xll.DBRW(Server&amp;Cube1,$F$17,$F$18,$F$19,$F$16,$C$14,$F$15,$F$14,$F$20,I$2,I$1,$C154)</f>
        <v>0</v>
      </c>
      <c r="J154" s="192">
        <f ca="1">_xll.DBRW(Server&amp;Cube1,$F$17,$F$18,$F$19,$F$16,$C$14,$F$15,$F$14,$F$20,J$2,J$1,$C154)</f>
        <v>0</v>
      </c>
      <c r="K154" s="183"/>
      <c r="L154" s="185">
        <f ca="1">_xll.DBRW(Server&amp;Cube1,$F$17,$F$18,$F$19,$F$16,$C$14,$F$15,$F$14,$F$20,L$2,L$1,$C154)</f>
        <v>0</v>
      </c>
      <c r="M154" s="184"/>
      <c r="N154" s="185">
        <f ca="1">_xll.DBRW(Server&amp;Cube1,$F$17,$F$18,$F$19,$F$16,$C$14,$F$15,$F$14,$F$20,N$2,$N$1,$C154)</f>
        <v>0</v>
      </c>
      <c r="O154" s="185">
        <f ca="1">_xll.DBRW(Server&amp;Cube1,$F$17,$F$18,$F$19,$F$16,$C$14,$F$15,$F$14,$F$20,O$2,$N$1,$C154)</f>
        <v>0</v>
      </c>
      <c r="P154" s="185">
        <f ca="1">_xll.DBRW(Server&amp;Cube1,$F$17,$F$18,$F$19,$F$16,$C$14,$F$15,$F$14,$F$20,P$2,$N$1,$C154)</f>
        <v>0</v>
      </c>
      <c r="Q154" s="185">
        <f ca="1">_xll.DBRW(Server&amp;Cube1,$F$17,$F$18,$F$19,$F$16,$C$14,$F$15,$F$14,$F$20,Q$2,$N$1,$C154)</f>
        <v>0</v>
      </c>
      <c r="R154" s="185">
        <f ca="1">_xll.DBRW(Server&amp;Cube1,$F$17,$F$18,$F$19,$F$16,$C$14,$F$15,$F$14,$F$20,R$2,$N$1,$C154)</f>
        <v>0</v>
      </c>
      <c r="S154" s="185">
        <f ca="1">_xll.DBRW(Server&amp;Cube1,$F$17,$F$18,$F$19,$F$16,$C$14,$F$15,$F$14,$F$20,S$2,$N$1,$C154)</f>
        <v>0</v>
      </c>
      <c r="T154" s="185">
        <f ca="1">_xll.DBRW(Server&amp;Cube1,$F$17,$F$18,$F$19,$F$16,$C$14,$F$15,$F$14,$F$20,T$2,$N$1,$C154)</f>
        <v>0</v>
      </c>
      <c r="U154" s="185">
        <f ca="1">_xll.DBRW(Server&amp;Cube1,$F$17,$F$18,$F$19,$F$16,$C$14,$F$15,$F$14,$F$20,U$2,$N$1,$C154)</f>
        <v>0</v>
      </c>
      <c r="V154" s="185">
        <f ca="1">_xll.DBRW(Server&amp;Cube1,$F$17,$F$18,$F$19,$F$16,$C$14,$F$15,$F$14,$F$20,V$2,$N$1,$C154)</f>
        <v>0</v>
      </c>
      <c r="W154" s="185">
        <f ca="1">_xll.DBRW(Server&amp;Cube1,$F$17,$F$18,$F$19,$F$16,$C$14,$F$15,$F$14,$F$20,W$2,$N$1,$C154)</f>
        <v>0</v>
      </c>
      <c r="X154" s="185">
        <f ca="1">_xll.DBRW(Server&amp;Cube1,$F$17,$F$18,$F$19,$F$16,$C$14,$F$15,$F$14,$F$20,X$2,$N$1,$C154)</f>
        <v>0</v>
      </c>
      <c r="Y154" s="185">
        <f ca="1">_xll.DBRW(Server&amp;Cube1,$F$17,$F$18,$F$19,$F$16,$C$14,$F$15,$F$14,$F$20,Y$2,$N$1,$C154)</f>
        <v>0</v>
      </c>
      <c r="Z154" s="185">
        <f ca="1">_xll.DBRW(Server&amp;Cube1,$F$17,$F$18,$F$19,$F$16,$C$14,$F$15,$F$14,$F$20,Z$2,$N$1,$C154)</f>
        <v>0</v>
      </c>
      <c r="AA154" s="53"/>
      <c r="AB154" s="53"/>
      <c r="AC154" s="53"/>
      <c r="AD154" s="53"/>
      <c r="AE154" s="53"/>
      <c r="AF154" s="53"/>
      <c r="AG154" s="53"/>
      <c r="AH154" s="53"/>
      <c r="AI154" s="53"/>
      <c r="AJ154" s="1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</row>
    <row r="155" spans="1:47" ht="18.75" customHeight="1" x14ac:dyDescent="0.3">
      <c r="A155" s="157">
        <f ca="1">IF($AN$35="YES",1,IF(_xll.ELCOMPN(Server&amp;$C$24,C155)&lt;&gt;0,1,IF(OR(B155=$AT$35,B155="ALL"),1,0)))</f>
        <v>1</v>
      </c>
      <c r="B155" s="139" t="str">
        <f t="shared" si="1"/>
        <v>IA</v>
      </c>
      <c r="C155" s="137" t="s">
        <v>260</v>
      </c>
      <c r="D155" s="24"/>
      <c r="E155" s="219" t="str">
        <f ca="1">_xll.DBRA(Server&amp;$C$24,$C155,$F$21)</f>
        <v>Réception, Séminaires (AI)</v>
      </c>
      <c r="F155" s="219"/>
      <c r="G155" s="219"/>
      <c r="H155" s="43"/>
      <c r="I155" s="192">
        <f ca="1">_xll.DBRW(Server&amp;Cube1,$F$17,$F$18,$F$19,$F$16,$C$14,$F$15,$F$14,$F$20,I$2,I$1,$C155)</f>
        <v>0</v>
      </c>
      <c r="J155" s="192">
        <f ca="1">_xll.DBRW(Server&amp;Cube1,$F$17,$F$18,$F$19,$F$16,$C$14,$F$15,$F$14,$F$20,J$2,J$1,$C155)</f>
        <v>0</v>
      </c>
      <c r="K155" s="183"/>
      <c r="L155" s="185">
        <f ca="1">_xll.DBRW(Server&amp;Cube1,$F$17,$F$18,$F$19,$F$16,$C$14,$F$15,$F$14,$F$20,L$2,L$1,$C155)</f>
        <v>0</v>
      </c>
      <c r="M155" s="184"/>
      <c r="N155" s="185">
        <f ca="1">_xll.DBRW(Server&amp;Cube1,$F$17,$F$18,$F$19,$F$16,$C$14,$F$15,$F$14,$F$20,N$2,$N$1,$C155)</f>
        <v>0</v>
      </c>
      <c r="O155" s="185">
        <f ca="1">_xll.DBRW(Server&amp;Cube1,$F$17,$F$18,$F$19,$F$16,$C$14,$F$15,$F$14,$F$20,O$2,$N$1,$C155)</f>
        <v>0</v>
      </c>
      <c r="P155" s="185">
        <f ca="1">_xll.DBRW(Server&amp;Cube1,$F$17,$F$18,$F$19,$F$16,$C$14,$F$15,$F$14,$F$20,P$2,$N$1,$C155)</f>
        <v>0</v>
      </c>
      <c r="Q155" s="185">
        <f ca="1">_xll.DBRW(Server&amp;Cube1,$F$17,$F$18,$F$19,$F$16,$C$14,$F$15,$F$14,$F$20,Q$2,$N$1,$C155)</f>
        <v>0</v>
      </c>
      <c r="R155" s="185">
        <f ca="1">_xll.DBRW(Server&amp;Cube1,$F$17,$F$18,$F$19,$F$16,$C$14,$F$15,$F$14,$F$20,R$2,$N$1,$C155)</f>
        <v>0</v>
      </c>
      <c r="S155" s="185">
        <f ca="1">_xll.DBRW(Server&amp;Cube1,$F$17,$F$18,$F$19,$F$16,$C$14,$F$15,$F$14,$F$20,S$2,$N$1,$C155)</f>
        <v>0</v>
      </c>
      <c r="T155" s="185">
        <f ca="1">_xll.DBRW(Server&amp;Cube1,$F$17,$F$18,$F$19,$F$16,$C$14,$F$15,$F$14,$F$20,T$2,$N$1,$C155)</f>
        <v>0</v>
      </c>
      <c r="U155" s="185">
        <f ca="1">_xll.DBRW(Server&amp;Cube1,$F$17,$F$18,$F$19,$F$16,$C$14,$F$15,$F$14,$F$20,U$2,$N$1,$C155)</f>
        <v>0</v>
      </c>
      <c r="V155" s="185">
        <f ca="1">_xll.DBRW(Server&amp;Cube1,$F$17,$F$18,$F$19,$F$16,$C$14,$F$15,$F$14,$F$20,V$2,$N$1,$C155)</f>
        <v>0</v>
      </c>
      <c r="W155" s="185">
        <f ca="1">_xll.DBRW(Server&amp;Cube1,$F$17,$F$18,$F$19,$F$16,$C$14,$F$15,$F$14,$F$20,W$2,$N$1,$C155)</f>
        <v>0</v>
      </c>
      <c r="X155" s="185">
        <f ca="1">_xll.DBRW(Server&amp;Cube1,$F$17,$F$18,$F$19,$F$16,$C$14,$F$15,$F$14,$F$20,X$2,$N$1,$C155)</f>
        <v>0</v>
      </c>
      <c r="Y155" s="185">
        <f ca="1">_xll.DBRW(Server&amp;Cube1,$F$17,$F$18,$F$19,$F$16,$C$14,$F$15,$F$14,$F$20,Y$2,$N$1,$C155)</f>
        <v>0</v>
      </c>
      <c r="Z155" s="185">
        <f ca="1">_xll.DBRW(Server&amp;Cube1,$F$17,$F$18,$F$19,$F$16,$C$14,$F$15,$F$14,$F$20,Z$2,$N$1,$C155)</f>
        <v>0</v>
      </c>
      <c r="AA155" s="53"/>
      <c r="AB155" s="53"/>
      <c r="AC155" s="53"/>
      <c r="AD155" s="53"/>
      <c r="AE155" s="53"/>
      <c r="AF155" s="53"/>
      <c r="AG155" s="53"/>
      <c r="AH155" s="53"/>
      <c r="AI155" s="53"/>
      <c r="AJ155" s="1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</row>
    <row r="156" spans="1:47" ht="18.75" customHeight="1" x14ac:dyDescent="0.3">
      <c r="A156" s="157">
        <f ca="1">IF($AN$35="YES",1,IF(_xll.ELCOMPN(Server&amp;$C$24,C156)&lt;&gt;0,1,IF(OR(B156=$AT$35,B156="ALL"),1,0)))</f>
        <v>1</v>
      </c>
      <c r="B156" s="139" t="str">
        <f t="shared" si="1"/>
        <v>LE</v>
      </c>
      <c r="C156" s="137" t="s">
        <v>261</v>
      </c>
      <c r="D156" s="24"/>
      <c r="E156" s="219" t="str">
        <f ca="1">_xll.DBRA(Server&amp;$C$24,$C156,$F$21)</f>
        <v>Réception, Séminaires (JU)</v>
      </c>
      <c r="F156" s="219"/>
      <c r="G156" s="219"/>
      <c r="H156" s="43"/>
      <c r="I156" s="192">
        <f ca="1">_xll.DBRW(Server&amp;Cube1,$F$17,$F$18,$F$19,$F$16,$C$14,$F$15,$F$14,$F$20,I$2,I$1,$C156)</f>
        <v>0</v>
      </c>
      <c r="J156" s="192">
        <f ca="1">_xll.DBRW(Server&amp;Cube1,$F$17,$F$18,$F$19,$F$16,$C$14,$F$15,$F$14,$F$20,J$2,J$1,$C156)</f>
        <v>0</v>
      </c>
      <c r="K156" s="183"/>
      <c r="L156" s="185">
        <f ca="1">_xll.DBRW(Server&amp;Cube1,$F$17,$F$18,$F$19,$F$16,$C$14,$F$15,$F$14,$F$20,L$2,L$1,$C156)</f>
        <v>0</v>
      </c>
      <c r="M156" s="184"/>
      <c r="N156" s="185">
        <f ca="1">_xll.DBRW(Server&amp;Cube1,$F$17,$F$18,$F$19,$F$16,$C$14,$F$15,$F$14,$F$20,N$2,$N$1,$C156)</f>
        <v>0</v>
      </c>
      <c r="O156" s="185">
        <f ca="1">_xll.DBRW(Server&amp;Cube1,$F$17,$F$18,$F$19,$F$16,$C$14,$F$15,$F$14,$F$20,O$2,$N$1,$C156)</f>
        <v>0</v>
      </c>
      <c r="P156" s="185">
        <f ca="1">_xll.DBRW(Server&amp;Cube1,$F$17,$F$18,$F$19,$F$16,$C$14,$F$15,$F$14,$F$20,P$2,$N$1,$C156)</f>
        <v>0</v>
      </c>
      <c r="Q156" s="185">
        <f ca="1">_xll.DBRW(Server&amp;Cube1,$F$17,$F$18,$F$19,$F$16,$C$14,$F$15,$F$14,$F$20,Q$2,$N$1,$C156)</f>
        <v>0</v>
      </c>
      <c r="R156" s="185">
        <f ca="1">_xll.DBRW(Server&amp;Cube1,$F$17,$F$18,$F$19,$F$16,$C$14,$F$15,$F$14,$F$20,R$2,$N$1,$C156)</f>
        <v>0</v>
      </c>
      <c r="S156" s="185">
        <f ca="1">_xll.DBRW(Server&amp;Cube1,$F$17,$F$18,$F$19,$F$16,$C$14,$F$15,$F$14,$F$20,S$2,$N$1,$C156)</f>
        <v>0</v>
      </c>
      <c r="T156" s="185">
        <f ca="1">_xll.DBRW(Server&amp;Cube1,$F$17,$F$18,$F$19,$F$16,$C$14,$F$15,$F$14,$F$20,T$2,$N$1,$C156)</f>
        <v>0</v>
      </c>
      <c r="U156" s="185">
        <f ca="1">_xll.DBRW(Server&amp;Cube1,$F$17,$F$18,$F$19,$F$16,$C$14,$F$15,$F$14,$F$20,U$2,$N$1,$C156)</f>
        <v>0</v>
      </c>
      <c r="V156" s="185">
        <f ca="1">_xll.DBRW(Server&amp;Cube1,$F$17,$F$18,$F$19,$F$16,$C$14,$F$15,$F$14,$F$20,V$2,$N$1,$C156)</f>
        <v>0</v>
      </c>
      <c r="W156" s="185">
        <f ca="1">_xll.DBRW(Server&amp;Cube1,$F$17,$F$18,$F$19,$F$16,$C$14,$F$15,$F$14,$F$20,W$2,$N$1,$C156)</f>
        <v>0</v>
      </c>
      <c r="X156" s="185">
        <f ca="1">_xll.DBRW(Server&amp;Cube1,$F$17,$F$18,$F$19,$F$16,$C$14,$F$15,$F$14,$F$20,X$2,$N$1,$C156)</f>
        <v>0</v>
      </c>
      <c r="Y156" s="185">
        <f ca="1">_xll.DBRW(Server&amp;Cube1,$F$17,$F$18,$F$19,$F$16,$C$14,$F$15,$F$14,$F$20,Y$2,$N$1,$C156)</f>
        <v>0</v>
      </c>
      <c r="Z156" s="185">
        <f ca="1">_xll.DBRW(Server&amp;Cube1,$F$17,$F$18,$F$19,$F$16,$C$14,$F$15,$F$14,$F$20,Z$2,$N$1,$C156)</f>
        <v>0</v>
      </c>
      <c r="AA156" s="53"/>
      <c r="AB156" s="53"/>
      <c r="AC156" s="53"/>
      <c r="AD156" s="53"/>
      <c r="AE156" s="53"/>
      <c r="AF156" s="53"/>
      <c r="AG156" s="53"/>
      <c r="AH156" s="53"/>
      <c r="AI156" s="53"/>
      <c r="AJ156" s="1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</row>
    <row r="157" spans="1:47" ht="18.75" customHeight="1" x14ac:dyDescent="0.3">
      <c r="A157" s="157">
        <f ca="1">IF($AN$35="YES",1,IF(_xll.ELCOMPN(Server&amp;$C$24,C157)&lt;&gt;0,1,IF(OR(B157=$AT$35,B157="ALL"),1,0)))</f>
        <v>1</v>
      </c>
      <c r="B157" s="139" t="str">
        <f t="shared" si="1"/>
        <v>RM</v>
      </c>
      <c r="C157" s="137" t="s">
        <v>262</v>
      </c>
      <c r="D157" s="24"/>
      <c r="E157" s="219" t="str">
        <f ca="1">_xll.DBRA(Server&amp;$C$24,$C157,$F$21)</f>
        <v>Réception, Séminaires (GR)</v>
      </c>
      <c r="F157" s="219"/>
      <c r="G157" s="219"/>
      <c r="H157" s="43"/>
      <c r="I157" s="192">
        <f ca="1">_xll.DBRW(Server&amp;Cube1,$F$17,$F$18,$F$19,$F$16,$C$14,$F$15,$F$14,$F$20,I$2,I$1,$C157)</f>
        <v>0</v>
      </c>
      <c r="J157" s="192">
        <f ca="1">_xll.DBRW(Server&amp;Cube1,$F$17,$F$18,$F$19,$F$16,$C$14,$F$15,$F$14,$F$20,J$2,J$1,$C157)</f>
        <v>0</v>
      </c>
      <c r="K157" s="183"/>
      <c r="L157" s="185">
        <f ca="1">_xll.DBRW(Server&amp;Cube1,$F$17,$F$18,$F$19,$F$16,$C$14,$F$15,$F$14,$F$20,L$2,L$1,$C157)</f>
        <v>0</v>
      </c>
      <c r="M157" s="184"/>
      <c r="N157" s="185">
        <f ca="1">_xll.DBRW(Server&amp;Cube1,$F$17,$F$18,$F$19,$F$16,$C$14,$F$15,$F$14,$F$20,N$2,$N$1,$C157)</f>
        <v>0</v>
      </c>
      <c r="O157" s="185">
        <f ca="1">_xll.DBRW(Server&amp;Cube1,$F$17,$F$18,$F$19,$F$16,$C$14,$F$15,$F$14,$F$20,O$2,$N$1,$C157)</f>
        <v>0</v>
      </c>
      <c r="P157" s="185">
        <f ca="1">_xll.DBRW(Server&amp;Cube1,$F$17,$F$18,$F$19,$F$16,$C$14,$F$15,$F$14,$F$20,P$2,$N$1,$C157)</f>
        <v>0</v>
      </c>
      <c r="Q157" s="185">
        <f ca="1">_xll.DBRW(Server&amp;Cube1,$F$17,$F$18,$F$19,$F$16,$C$14,$F$15,$F$14,$F$20,Q$2,$N$1,$C157)</f>
        <v>0</v>
      </c>
      <c r="R157" s="185">
        <f ca="1">_xll.DBRW(Server&amp;Cube1,$F$17,$F$18,$F$19,$F$16,$C$14,$F$15,$F$14,$F$20,R$2,$N$1,$C157)</f>
        <v>0</v>
      </c>
      <c r="S157" s="185">
        <f ca="1">_xll.DBRW(Server&amp;Cube1,$F$17,$F$18,$F$19,$F$16,$C$14,$F$15,$F$14,$F$20,S$2,$N$1,$C157)</f>
        <v>0</v>
      </c>
      <c r="T157" s="185">
        <f ca="1">_xll.DBRW(Server&amp;Cube1,$F$17,$F$18,$F$19,$F$16,$C$14,$F$15,$F$14,$F$20,T$2,$N$1,$C157)</f>
        <v>0</v>
      </c>
      <c r="U157" s="185">
        <f ca="1">_xll.DBRW(Server&amp;Cube1,$F$17,$F$18,$F$19,$F$16,$C$14,$F$15,$F$14,$F$20,U$2,$N$1,$C157)</f>
        <v>0</v>
      </c>
      <c r="V157" s="185">
        <f ca="1">_xll.DBRW(Server&amp;Cube1,$F$17,$F$18,$F$19,$F$16,$C$14,$F$15,$F$14,$F$20,V$2,$N$1,$C157)</f>
        <v>0</v>
      </c>
      <c r="W157" s="185">
        <f ca="1">_xll.DBRW(Server&amp;Cube1,$F$17,$F$18,$F$19,$F$16,$C$14,$F$15,$F$14,$F$20,W$2,$N$1,$C157)</f>
        <v>0</v>
      </c>
      <c r="X157" s="185">
        <f ca="1">_xll.DBRW(Server&amp;Cube1,$F$17,$F$18,$F$19,$F$16,$C$14,$F$15,$F$14,$F$20,X$2,$N$1,$C157)</f>
        <v>0</v>
      </c>
      <c r="Y157" s="185">
        <f ca="1">_xll.DBRW(Server&amp;Cube1,$F$17,$F$18,$F$19,$F$16,$C$14,$F$15,$F$14,$F$20,Y$2,$N$1,$C157)</f>
        <v>0</v>
      </c>
      <c r="Z157" s="185">
        <f ca="1">_xll.DBRW(Server&amp;Cube1,$F$17,$F$18,$F$19,$F$16,$C$14,$F$15,$F$14,$F$20,Z$2,$N$1,$C157)</f>
        <v>0</v>
      </c>
      <c r="AA157" s="53"/>
      <c r="AB157" s="53"/>
      <c r="AC157" s="53"/>
      <c r="AD157" s="53"/>
      <c r="AE157" s="53"/>
      <c r="AF157" s="53"/>
      <c r="AG157" s="53"/>
      <c r="AH157" s="53"/>
      <c r="AI157" s="53"/>
      <c r="AJ157" s="1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</row>
    <row r="158" spans="1:47" ht="18.75" customHeight="1" x14ac:dyDescent="0.3">
      <c r="A158" s="157">
        <f ca="1">IF($AN$35="YES",1,IF(_xll.ELCOMPN(Server&amp;$C$24,C158)&lt;&gt;0,1,IF(OR(B158=$AT$35,B158="ALL"),1,0)))</f>
        <v>1</v>
      </c>
      <c r="B158" s="139" t="str">
        <f t="shared" si="1"/>
        <v>PU</v>
      </c>
      <c r="C158" s="137" t="s">
        <v>263</v>
      </c>
      <c r="D158" s="24"/>
      <c r="E158" s="219" t="str">
        <f ca="1">_xll.DBRA(Server&amp;$C$24,$C158,$F$21)</f>
        <v>Réception, Séminaires (AC)</v>
      </c>
      <c r="F158" s="219"/>
      <c r="G158" s="219"/>
      <c r="H158" s="43"/>
      <c r="I158" s="192">
        <f ca="1">_xll.DBRW(Server&amp;Cube1,$F$17,$F$18,$F$19,$F$16,$C$14,$F$15,$F$14,$F$20,I$2,I$1,$C158)</f>
        <v>0</v>
      </c>
      <c r="J158" s="192">
        <f ca="1">_xll.DBRW(Server&amp;Cube1,$F$17,$F$18,$F$19,$F$16,$C$14,$F$15,$F$14,$F$20,J$2,J$1,$C158)</f>
        <v>0</v>
      </c>
      <c r="K158" s="183"/>
      <c r="L158" s="185">
        <f ca="1">_xll.DBRW(Server&amp;Cube1,$F$17,$F$18,$F$19,$F$16,$C$14,$F$15,$F$14,$F$20,L$2,L$1,$C158)</f>
        <v>0</v>
      </c>
      <c r="M158" s="184"/>
      <c r="N158" s="185">
        <f ca="1">_xll.DBRW(Server&amp;Cube1,$F$17,$F$18,$F$19,$F$16,$C$14,$F$15,$F$14,$F$20,N$2,$N$1,$C158)</f>
        <v>0</v>
      </c>
      <c r="O158" s="185">
        <f ca="1">_xll.DBRW(Server&amp;Cube1,$F$17,$F$18,$F$19,$F$16,$C$14,$F$15,$F$14,$F$20,O$2,$N$1,$C158)</f>
        <v>0</v>
      </c>
      <c r="P158" s="185">
        <f ca="1">_xll.DBRW(Server&amp;Cube1,$F$17,$F$18,$F$19,$F$16,$C$14,$F$15,$F$14,$F$20,P$2,$N$1,$C158)</f>
        <v>0</v>
      </c>
      <c r="Q158" s="185">
        <f ca="1">_xll.DBRW(Server&amp;Cube1,$F$17,$F$18,$F$19,$F$16,$C$14,$F$15,$F$14,$F$20,Q$2,$N$1,$C158)</f>
        <v>0</v>
      </c>
      <c r="R158" s="185">
        <f ca="1">_xll.DBRW(Server&amp;Cube1,$F$17,$F$18,$F$19,$F$16,$C$14,$F$15,$F$14,$F$20,R$2,$N$1,$C158)</f>
        <v>0</v>
      </c>
      <c r="S158" s="185">
        <f ca="1">_xll.DBRW(Server&amp;Cube1,$F$17,$F$18,$F$19,$F$16,$C$14,$F$15,$F$14,$F$20,S$2,$N$1,$C158)</f>
        <v>0</v>
      </c>
      <c r="T158" s="185">
        <f ca="1">_xll.DBRW(Server&amp;Cube1,$F$17,$F$18,$F$19,$F$16,$C$14,$F$15,$F$14,$F$20,T$2,$N$1,$C158)</f>
        <v>0</v>
      </c>
      <c r="U158" s="185">
        <f ca="1">_xll.DBRW(Server&amp;Cube1,$F$17,$F$18,$F$19,$F$16,$C$14,$F$15,$F$14,$F$20,U$2,$N$1,$C158)</f>
        <v>0</v>
      </c>
      <c r="V158" s="185">
        <f ca="1">_xll.DBRW(Server&amp;Cube1,$F$17,$F$18,$F$19,$F$16,$C$14,$F$15,$F$14,$F$20,V$2,$N$1,$C158)</f>
        <v>0</v>
      </c>
      <c r="W158" s="185">
        <f ca="1">_xll.DBRW(Server&amp;Cube1,$F$17,$F$18,$F$19,$F$16,$C$14,$F$15,$F$14,$F$20,W$2,$N$1,$C158)</f>
        <v>0</v>
      </c>
      <c r="X158" s="185">
        <f ca="1">_xll.DBRW(Server&amp;Cube1,$F$17,$F$18,$F$19,$F$16,$C$14,$F$15,$F$14,$F$20,X$2,$N$1,$C158)</f>
        <v>0</v>
      </c>
      <c r="Y158" s="185">
        <f ca="1">_xll.DBRW(Server&amp;Cube1,$F$17,$F$18,$F$19,$F$16,$C$14,$F$15,$F$14,$F$20,Y$2,$N$1,$C158)</f>
        <v>0</v>
      </c>
      <c r="Z158" s="185">
        <f ca="1">_xll.DBRW(Server&amp;Cube1,$F$17,$F$18,$F$19,$F$16,$C$14,$F$15,$F$14,$F$20,Z$2,$N$1,$C158)</f>
        <v>0</v>
      </c>
      <c r="AA158" s="53"/>
      <c r="AB158" s="53"/>
      <c r="AC158" s="53"/>
      <c r="AD158" s="53"/>
      <c r="AE158" s="53"/>
      <c r="AF158" s="53"/>
      <c r="AG158" s="53"/>
      <c r="AH158" s="53"/>
      <c r="AI158" s="53"/>
      <c r="AJ158" s="1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</row>
    <row r="159" spans="1:47" ht="18.75" customHeight="1" x14ac:dyDescent="0.3">
      <c r="A159" s="157">
        <f ca="1">IF($AN$35="YES",1,IF(_xll.ELCOMPN(Server&amp;$C$24,C159)&lt;&gt;0,1,IF(OR(B159=$AT$35,B159="ALL"),1,0)))</f>
        <v>1</v>
      </c>
      <c r="B159" s="139" t="str">
        <f t="shared" si="1"/>
        <v>CO</v>
      </c>
      <c r="C159" s="137" t="s">
        <v>264</v>
      </c>
      <c r="D159" s="24"/>
      <c r="E159" s="219" t="str">
        <f ca="1">_xll.DBRA(Server&amp;$C$24,$C159,$F$21)</f>
        <v>Réception, Séminaires (CO)</v>
      </c>
      <c r="F159" s="219"/>
      <c r="G159" s="219"/>
      <c r="H159" s="43"/>
      <c r="I159" s="192">
        <f ca="1">_xll.DBRW(Server&amp;Cube1,$F$17,$F$18,$F$19,$F$16,$C$14,$F$15,$F$14,$F$20,I$2,I$1,$C159)</f>
        <v>0</v>
      </c>
      <c r="J159" s="192">
        <f ca="1">_xll.DBRW(Server&amp;Cube1,$F$17,$F$18,$F$19,$F$16,$C$14,$F$15,$F$14,$F$20,J$2,J$1,$C159)</f>
        <v>0</v>
      </c>
      <c r="K159" s="183"/>
      <c r="L159" s="185">
        <f ca="1">_xll.DBRW(Server&amp;Cube1,$F$17,$F$18,$F$19,$F$16,$C$14,$F$15,$F$14,$F$20,L$2,L$1,$C159)</f>
        <v>0</v>
      </c>
      <c r="M159" s="184"/>
      <c r="N159" s="185">
        <f ca="1">_xll.DBRW(Server&amp;Cube1,$F$17,$F$18,$F$19,$F$16,$C$14,$F$15,$F$14,$F$20,N$2,$N$1,$C159)</f>
        <v>0</v>
      </c>
      <c r="O159" s="185">
        <f ca="1">_xll.DBRW(Server&amp;Cube1,$F$17,$F$18,$F$19,$F$16,$C$14,$F$15,$F$14,$F$20,O$2,$N$1,$C159)</f>
        <v>0</v>
      </c>
      <c r="P159" s="185">
        <f ca="1">_xll.DBRW(Server&amp;Cube1,$F$17,$F$18,$F$19,$F$16,$C$14,$F$15,$F$14,$F$20,P$2,$N$1,$C159)</f>
        <v>0</v>
      </c>
      <c r="Q159" s="185">
        <f ca="1">_xll.DBRW(Server&amp;Cube1,$F$17,$F$18,$F$19,$F$16,$C$14,$F$15,$F$14,$F$20,Q$2,$N$1,$C159)</f>
        <v>0</v>
      </c>
      <c r="R159" s="185">
        <f ca="1">_xll.DBRW(Server&amp;Cube1,$F$17,$F$18,$F$19,$F$16,$C$14,$F$15,$F$14,$F$20,R$2,$N$1,$C159)</f>
        <v>0</v>
      </c>
      <c r="S159" s="185">
        <f ca="1">_xll.DBRW(Server&amp;Cube1,$F$17,$F$18,$F$19,$F$16,$C$14,$F$15,$F$14,$F$20,S$2,$N$1,$C159)</f>
        <v>0</v>
      </c>
      <c r="T159" s="185">
        <f ca="1">_xll.DBRW(Server&amp;Cube1,$F$17,$F$18,$F$19,$F$16,$C$14,$F$15,$F$14,$F$20,T$2,$N$1,$C159)</f>
        <v>0</v>
      </c>
      <c r="U159" s="185">
        <f ca="1">_xll.DBRW(Server&amp;Cube1,$F$17,$F$18,$F$19,$F$16,$C$14,$F$15,$F$14,$F$20,U$2,$N$1,$C159)</f>
        <v>0</v>
      </c>
      <c r="V159" s="185">
        <f ca="1">_xll.DBRW(Server&amp;Cube1,$F$17,$F$18,$F$19,$F$16,$C$14,$F$15,$F$14,$F$20,V$2,$N$1,$C159)</f>
        <v>0</v>
      </c>
      <c r="W159" s="185">
        <f ca="1">_xll.DBRW(Server&amp;Cube1,$F$17,$F$18,$F$19,$F$16,$C$14,$F$15,$F$14,$F$20,W$2,$N$1,$C159)</f>
        <v>0</v>
      </c>
      <c r="X159" s="185">
        <f ca="1">_xll.DBRW(Server&amp;Cube1,$F$17,$F$18,$F$19,$F$16,$C$14,$F$15,$F$14,$F$20,X$2,$N$1,$C159)</f>
        <v>0</v>
      </c>
      <c r="Y159" s="185">
        <f ca="1">_xll.DBRW(Server&amp;Cube1,$F$17,$F$18,$F$19,$F$16,$C$14,$F$15,$F$14,$F$20,Y$2,$N$1,$C159)</f>
        <v>0</v>
      </c>
      <c r="Z159" s="185">
        <f ca="1">_xll.DBRW(Server&amp;Cube1,$F$17,$F$18,$F$19,$F$16,$C$14,$F$15,$F$14,$F$20,Z$2,$N$1,$C159)</f>
        <v>0</v>
      </c>
      <c r="AA159" s="53"/>
      <c r="AB159" s="53"/>
      <c r="AC159" s="53"/>
      <c r="AD159" s="53"/>
      <c r="AE159" s="53"/>
      <c r="AF159" s="53"/>
      <c r="AG159" s="53"/>
      <c r="AH159" s="53"/>
      <c r="AI159" s="53"/>
      <c r="AJ159" s="1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</row>
    <row r="160" spans="1:47" ht="18.75" customHeight="1" x14ac:dyDescent="0.3">
      <c r="A160" s="157">
        <f ca="1">IF($AN$35="YES",1,IF(_xll.ELCOMPN(Server&amp;$C$24,C160)&lt;&gt;0,1,IF(OR(B160=$AT$35,B160="ALL"),1,0)))</f>
        <v>1</v>
      </c>
      <c r="B160" s="139" t="str">
        <f t="shared" si="1"/>
        <v>GS</v>
      </c>
      <c r="C160" s="137" t="s">
        <v>265</v>
      </c>
      <c r="D160" s="24"/>
      <c r="E160" s="219" t="str">
        <f ca="1">_xll.DBRA(Server&amp;$C$24,$C160,$F$21)</f>
        <v>Réception, Séminaires (SG)</v>
      </c>
      <c r="F160" s="219"/>
      <c r="G160" s="219"/>
      <c r="H160" s="43"/>
      <c r="I160" s="192">
        <f ca="1">_xll.DBRW(Server&amp;Cube1,$F$17,$F$18,$F$19,$F$16,$C$14,$F$15,$F$14,$F$20,I$2,I$1,$C160)</f>
        <v>0</v>
      </c>
      <c r="J160" s="192">
        <f ca="1">_xll.DBRW(Server&amp;Cube1,$F$17,$F$18,$F$19,$F$16,$C$14,$F$15,$F$14,$F$20,J$2,J$1,$C160)</f>
        <v>0</v>
      </c>
      <c r="K160" s="183"/>
      <c r="L160" s="185">
        <f ca="1">_xll.DBRW(Server&amp;Cube1,$F$17,$F$18,$F$19,$F$16,$C$14,$F$15,$F$14,$F$20,L$2,L$1,$C160)</f>
        <v>0</v>
      </c>
      <c r="M160" s="184"/>
      <c r="N160" s="185">
        <f ca="1">_xll.DBRW(Server&amp;Cube1,$F$17,$F$18,$F$19,$F$16,$C$14,$F$15,$F$14,$F$20,N$2,$N$1,$C160)</f>
        <v>0</v>
      </c>
      <c r="O160" s="185">
        <f ca="1">_xll.DBRW(Server&amp;Cube1,$F$17,$F$18,$F$19,$F$16,$C$14,$F$15,$F$14,$F$20,O$2,$N$1,$C160)</f>
        <v>0</v>
      </c>
      <c r="P160" s="185">
        <f ca="1">_xll.DBRW(Server&amp;Cube1,$F$17,$F$18,$F$19,$F$16,$C$14,$F$15,$F$14,$F$20,P$2,$N$1,$C160)</f>
        <v>0</v>
      </c>
      <c r="Q160" s="185">
        <f ca="1">_xll.DBRW(Server&amp;Cube1,$F$17,$F$18,$F$19,$F$16,$C$14,$F$15,$F$14,$F$20,Q$2,$N$1,$C160)</f>
        <v>0</v>
      </c>
      <c r="R160" s="185">
        <f ca="1">_xll.DBRW(Server&amp;Cube1,$F$17,$F$18,$F$19,$F$16,$C$14,$F$15,$F$14,$F$20,R$2,$N$1,$C160)</f>
        <v>0</v>
      </c>
      <c r="S160" s="185">
        <f ca="1">_xll.DBRW(Server&amp;Cube1,$F$17,$F$18,$F$19,$F$16,$C$14,$F$15,$F$14,$F$20,S$2,$N$1,$C160)</f>
        <v>0</v>
      </c>
      <c r="T160" s="185">
        <f ca="1">_xll.DBRW(Server&amp;Cube1,$F$17,$F$18,$F$19,$F$16,$C$14,$F$15,$F$14,$F$20,T$2,$N$1,$C160)</f>
        <v>0</v>
      </c>
      <c r="U160" s="185">
        <f ca="1">_xll.DBRW(Server&amp;Cube1,$F$17,$F$18,$F$19,$F$16,$C$14,$F$15,$F$14,$F$20,U$2,$N$1,$C160)</f>
        <v>0</v>
      </c>
      <c r="V160" s="185">
        <f ca="1">_xll.DBRW(Server&amp;Cube1,$F$17,$F$18,$F$19,$F$16,$C$14,$F$15,$F$14,$F$20,V$2,$N$1,$C160)</f>
        <v>0</v>
      </c>
      <c r="W160" s="185">
        <f ca="1">_xll.DBRW(Server&amp;Cube1,$F$17,$F$18,$F$19,$F$16,$C$14,$F$15,$F$14,$F$20,W$2,$N$1,$C160)</f>
        <v>0</v>
      </c>
      <c r="X160" s="185">
        <f ca="1">_xll.DBRW(Server&amp;Cube1,$F$17,$F$18,$F$19,$F$16,$C$14,$F$15,$F$14,$F$20,X$2,$N$1,$C160)</f>
        <v>0</v>
      </c>
      <c r="Y160" s="185">
        <f ca="1">_xll.DBRW(Server&amp;Cube1,$F$17,$F$18,$F$19,$F$16,$C$14,$F$15,$F$14,$F$20,Y$2,$N$1,$C160)</f>
        <v>0</v>
      </c>
      <c r="Z160" s="185">
        <f ca="1">_xll.DBRW(Server&amp;Cube1,$F$17,$F$18,$F$19,$F$16,$C$14,$F$15,$F$14,$F$20,Z$2,$N$1,$C160)</f>
        <v>0</v>
      </c>
      <c r="AA160" s="53"/>
      <c r="AB160" s="53"/>
      <c r="AC160" s="53"/>
      <c r="AD160" s="53"/>
      <c r="AE160" s="53"/>
      <c r="AF160" s="53"/>
      <c r="AG160" s="53"/>
      <c r="AH160" s="53"/>
      <c r="AI160" s="53"/>
      <c r="AJ160" s="1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</row>
    <row r="161" spans="1:47" ht="18.75" customHeight="1" x14ac:dyDescent="0.3">
      <c r="A161" s="157">
        <f ca="1">IF($AN$35="YES",1,IF(_xll.ELCOMPN(Server&amp;$C$24,C161)&lt;&gt;0,1,IF(OR(B161=$AT$35,B161="ALL"),1,0)))</f>
        <v>1</v>
      </c>
      <c r="B161" s="139" t="str">
        <f t="shared" si="1"/>
        <v>RD</v>
      </c>
      <c r="C161" s="137" t="s">
        <v>266</v>
      </c>
      <c r="D161" s="24"/>
      <c r="E161" s="219" t="str">
        <f ca="1">_xll.DBRA(Server&amp;$C$24,$C161,$F$21)</f>
        <v>Réception, Séminaires (RD)</v>
      </c>
      <c r="F161" s="219"/>
      <c r="G161" s="219"/>
      <c r="H161" s="43"/>
      <c r="I161" s="192">
        <f ca="1">_xll.DBRW(Server&amp;Cube1,$F$17,$F$18,$F$19,$F$16,$C$14,$F$15,$F$14,$F$20,I$2,I$1,$C161)</f>
        <v>0</v>
      </c>
      <c r="J161" s="192">
        <f ca="1">_xll.DBRW(Server&amp;Cube1,$F$17,$F$18,$F$19,$F$16,$C$14,$F$15,$F$14,$F$20,J$2,J$1,$C161)</f>
        <v>0</v>
      </c>
      <c r="K161" s="183"/>
      <c r="L161" s="185">
        <f ca="1">_xll.DBRW(Server&amp;Cube1,$F$17,$F$18,$F$19,$F$16,$C$14,$F$15,$F$14,$F$20,L$2,L$1,$C161)</f>
        <v>0</v>
      </c>
      <c r="M161" s="184"/>
      <c r="N161" s="185">
        <f ca="1">_xll.DBRW(Server&amp;Cube1,$F$17,$F$18,$F$19,$F$16,$C$14,$F$15,$F$14,$F$20,N$2,$N$1,$C161)</f>
        <v>0</v>
      </c>
      <c r="O161" s="185">
        <f ca="1">_xll.DBRW(Server&amp;Cube1,$F$17,$F$18,$F$19,$F$16,$C$14,$F$15,$F$14,$F$20,O$2,$N$1,$C161)</f>
        <v>0</v>
      </c>
      <c r="P161" s="185">
        <f ca="1">_xll.DBRW(Server&amp;Cube1,$F$17,$F$18,$F$19,$F$16,$C$14,$F$15,$F$14,$F$20,P$2,$N$1,$C161)</f>
        <v>0</v>
      </c>
      <c r="Q161" s="185">
        <f ca="1">_xll.DBRW(Server&amp;Cube1,$F$17,$F$18,$F$19,$F$16,$C$14,$F$15,$F$14,$F$20,Q$2,$N$1,$C161)</f>
        <v>0</v>
      </c>
      <c r="R161" s="185">
        <f ca="1">_xll.DBRW(Server&amp;Cube1,$F$17,$F$18,$F$19,$F$16,$C$14,$F$15,$F$14,$F$20,R$2,$N$1,$C161)</f>
        <v>0</v>
      </c>
      <c r="S161" s="185">
        <f ca="1">_xll.DBRW(Server&amp;Cube1,$F$17,$F$18,$F$19,$F$16,$C$14,$F$15,$F$14,$F$20,S$2,$N$1,$C161)</f>
        <v>0</v>
      </c>
      <c r="T161" s="185">
        <f ca="1">_xll.DBRW(Server&amp;Cube1,$F$17,$F$18,$F$19,$F$16,$C$14,$F$15,$F$14,$F$20,T$2,$N$1,$C161)</f>
        <v>0</v>
      </c>
      <c r="U161" s="185">
        <f ca="1">_xll.DBRW(Server&amp;Cube1,$F$17,$F$18,$F$19,$F$16,$C$14,$F$15,$F$14,$F$20,U$2,$N$1,$C161)</f>
        <v>0</v>
      </c>
      <c r="V161" s="185">
        <f ca="1">_xll.DBRW(Server&amp;Cube1,$F$17,$F$18,$F$19,$F$16,$C$14,$F$15,$F$14,$F$20,V$2,$N$1,$C161)</f>
        <v>0</v>
      </c>
      <c r="W161" s="185">
        <f ca="1">_xll.DBRW(Server&amp;Cube1,$F$17,$F$18,$F$19,$F$16,$C$14,$F$15,$F$14,$F$20,W$2,$N$1,$C161)</f>
        <v>0</v>
      </c>
      <c r="X161" s="185">
        <f ca="1">_xll.DBRW(Server&amp;Cube1,$F$17,$F$18,$F$19,$F$16,$C$14,$F$15,$F$14,$F$20,X$2,$N$1,$C161)</f>
        <v>0</v>
      </c>
      <c r="Y161" s="185">
        <f ca="1">_xll.DBRW(Server&amp;Cube1,$F$17,$F$18,$F$19,$F$16,$C$14,$F$15,$F$14,$F$20,Y$2,$N$1,$C161)</f>
        <v>0</v>
      </c>
      <c r="Z161" s="185">
        <f ca="1">_xll.DBRW(Server&amp;Cube1,$F$17,$F$18,$F$19,$F$16,$C$14,$F$15,$F$14,$F$20,Z$2,$N$1,$C161)</f>
        <v>0</v>
      </c>
      <c r="AA161" s="53"/>
      <c r="AB161" s="53"/>
      <c r="AC161" s="53"/>
      <c r="AD161" s="53"/>
      <c r="AE161" s="53"/>
      <c r="AF161" s="53"/>
      <c r="AG161" s="53"/>
      <c r="AH161" s="53"/>
      <c r="AI161" s="53"/>
      <c r="AJ161" s="1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</row>
    <row r="162" spans="1:47" s="9" customFormat="1" ht="24.95" customHeight="1" collapsed="1" x14ac:dyDescent="0.35">
      <c r="A162" s="157">
        <f ca="1">IF($AN$35="YES",1,IF(_xll.ELCOMPN(Server&amp;$C$24,C162)&lt;&gt;0,1,IF(OR(B162=$AT$35,B162="ALL"),1,0)))</f>
        <v>1</v>
      </c>
      <c r="B162" s="139" t="str">
        <f t="shared" si="1"/>
        <v>as</v>
      </c>
      <c r="C162" s="111" t="s">
        <v>100</v>
      </c>
      <c r="E162" s="221" t="str">
        <f ca="1">_xll.DBRA(Server&amp;$C$24,$C162,$F$21)</f>
        <v>Autres assistance externe</v>
      </c>
      <c r="F162" s="221"/>
      <c r="G162" s="221"/>
      <c r="H162" s="40"/>
      <c r="I162" s="192">
        <f ca="1">_xll.DBRW(Server&amp;Cube1,$F$17,$F$18,$F$19,$F$16,$C$14,$F$15,$F$14,$F$20,I$2,I$1,$C162)</f>
        <v>0</v>
      </c>
      <c r="J162" s="192">
        <f ca="1">_xll.DBRW(Server&amp;Cube1,$F$17,$F$18,$F$19,$F$16,$C$14,$F$15,$F$14,$F$20,J$2,J$1,$C162)</f>
        <v>0</v>
      </c>
      <c r="K162" s="183"/>
      <c r="L162" s="181">
        <f ca="1">_xll.DBRW(Server&amp;Cube1,$F$17,$F$18,$F$19,$F$16,$C$14,$F$15,$F$14,$F$20,L$2,L$1,$C162)</f>
        <v>0</v>
      </c>
      <c r="M162" s="181"/>
      <c r="N162" s="181">
        <f ca="1">_xll.DBRW(Server&amp;Cube1,$F$17,$F$18,$F$19,$F$16,$C$14,$F$15,$F$14,$F$20,N$2,$N$1,$C162)</f>
        <v>0</v>
      </c>
      <c r="O162" s="181">
        <f ca="1">_xll.DBRW(Server&amp;Cube1,$F$17,$F$18,$F$19,$F$16,$C$14,$F$15,$F$14,$F$20,O$2,$N$1,$C162)</f>
        <v>0</v>
      </c>
      <c r="P162" s="181">
        <f ca="1">_xll.DBRW(Server&amp;Cube1,$F$17,$F$18,$F$19,$F$16,$C$14,$F$15,$F$14,$F$20,P$2,$N$1,$C162)</f>
        <v>0</v>
      </c>
      <c r="Q162" s="181">
        <f ca="1">_xll.DBRW(Server&amp;Cube1,$F$17,$F$18,$F$19,$F$16,$C$14,$F$15,$F$14,$F$20,Q$2,$N$1,$C162)</f>
        <v>0</v>
      </c>
      <c r="R162" s="181">
        <f ca="1">_xll.DBRW(Server&amp;Cube1,$F$17,$F$18,$F$19,$F$16,$C$14,$F$15,$F$14,$F$20,R$2,$N$1,$C162)</f>
        <v>0</v>
      </c>
      <c r="S162" s="181">
        <f ca="1">_xll.DBRW(Server&amp;Cube1,$F$17,$F$18,$F$19,$F$16,$C$14,$F$15,$F$14,$F$20,S$2,$N$1,$C162)</f>
        <v>0</v>
      </c>
      <c r="T162" s="181">
        <f ca="1">_xll.DBRW(Server&amp;Cube1,$F$17,$F$18,$F$19,$F$16,$C$14,$F$15,$F$14,$F$20,T$2,$N$1,$C162)</f>
        <v>0</v>
      </c>
      <c r="U162" s="181">
        <f ca="1">_xll.DBRW(Server&amp;Cube1,$F$17,$F$18,$F$19,$F$16,$C$14,$F$15,$F$14,$F$20,U$2,$N$1,$C162)</f>
        <v>0</v>
      </c>
      <c r="V162" s="181">
        <f ca="1">_xll.DBRW(Server&amp;Cube1,$F$17,$F$18,$F$19,$F$16,$C$14,$F$15,$F$14,$F$20,V$2,$N$1,$C162)</f>
        <v>0</v>
      </c>
      <c r="W162" s="181">
        <f ca="1">_xll.DBRW(Server&amp;Cube1,$F$17,$F$18,$F$19,$F$16,$C$14,$F$15,$F$14,$F$20,W$2,$N$1,$C162)</f>
        <v>0</v>
      </c>
      <c r="X162" s="181">
        <f ca="1">_xll.DBRW(Server&amp;Cube1,$F$17,$F$18,$F$19,$F$16,$C$14,$F$15,$F$14,$F$20,X$2,$N$1,$C162)</f>
        <v>0</v>
      </c>
      <c r="Y162" s="181">
        <f ca="1">_xll.DBRW(Server&amp;Cube1,$F$17,$F$18,$F$19,$F$16,$C$14,$F$15,$F$14,$F$20,Y$2,$N$1,$C162)</f>
        <v>0</v>
      </c>
      <c r="Z162" s="181">
        <f ca="1">_xll.DBRW(Server&amp;Cube1,$F$17,$F$18,$F$19,$F$16,$C$14,$F$15,$F$14,$F$20,Z$2,$N$1,$C162)</f>
        <v>0</v>
      </c>
      <c r="AA162" s="53"/>
      <c r="AB162" s="53"/>
      <c r="AC162" s="53"/>
      <c r="AD162" s="53"/>
      <c r="AE162" s="53"/>
      <c r="AF162" s="53"/>
      <c r="AG162" s="53"/>
      <c r="AH162" s="53"/>
      <c r="AI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</row>
    <row r="163" spans="1:47" s="9" customFormat="1" ht="24.95" customHeight="1" x14ac:dyDescent="0.35">
      <c r="A163" s="157">
        <f ca="1">IF($AN$35="YES",1,IF(_xll.ELCOMPN(Server&amp;$C$24,C163)&lt;&gt;0,1,IF(OR(B163=$AT$35,B163="ALL"),1,0)))</f>
        <v>1</v>
      </c>
      <c r="B163" s="139" t="str">
        <f t="shared" si="1"/>
        <v>DS</v>
      </c>
      <c r="C163" s="137" t="s">
        <v>267</v>
      </c>
      <c r="E163" s="219" t="str">
        <f ca="1">_xll.DBRA(Server&amp;$C$24,$C163,$F$21)</f>
        <v>Autres assistance externe (SO)</v>
      </c>
      <c r="F163" s="219"/>
      <c r="G163" s="219"/>
      <c r="H163" s="40"/>
      <c r="I163" s="192">
        <f ca="1">_xll.DBRW(Server&amp;Cube1,$F$17,$F$18,$F$19,$F$16,$C$14,$F$15,$F$14,$F$20,I$2,I$1,$C163)</f>
        <v>0</v>
      </c>
      <c r="J163" s="192">
        <f ca="1">_xll.DBRW(Server&amp;Cube1,$F$17,$F$18,$F$19,$F$16,$C$14,$F$15,$F$14,$F$20,J$2,J$1,$C163)</f>
        <v>0</v>
      </c>
      <c r="K163" s="183"/>
      <c r="L163" s="185">
        <f ca="1">_xll.DBRW(Server&amp;Cube1,$F$17,$F$18,$F$19,$F$16,$C$14,$F$15,$F$14,$F$20,L$2,L$1,$C163)</f>
        <v>0</v>
      </c>
      <c r="M163" s="184"/>
      <c r="N163" s="185">
        <f ca="1">_xll.DBRW(Server&amp;Cube1,$F$17,$F$18,$F$19,$F$16,$C$14,$F$15,$F$14,$F$20,N$2,$N$1,$C163)</f>
        <v>0</v>
      </c>
      <c r="O163" s="185">
        <f ca="1">_xll.DBRW(Server&amp;Cube1,$F$17,$F$18,$F$19,$F$16,$C$14,$F$15,$F$14,$F$20,O$2,$N$1,$C163)</f>
        <v>0</v>
      </c>
      <c r="P163" s="185">
        <f ca="1">_xll.DBRW(Server&amp;Cube1,$F$17,$F$18,$F$19,$F$16,$C$14,$F$15,$F$14,$F$20,P$2,$N$1,$C163)</f>
        <v>0</v>
      </c>
      <c r="Q163" s="185">
        <f ca="1">_xll.DBRW(Server&amp;Cube1,$F$17,$F$18,$F$19,$F$16,$C$14,$F$15,$F$14,$F$20,Q$2,$N$1,$C163)</f>
        <v>0</v>
      </c>
      <c r="R163" s="185">
        <f ca="1">_xll.DBRW(Server&amp;Cube1,$F$17,$F$18,$F$19,$F$16,$C$14,$F$15,$F$14,$F$20,R$2,$N$1,$C163)</f>
        <v>0</v>
      </c>
      <c r="S163" s="185">
        <f ca="1">_xll.DBRW(Server&amp;Cube1,$F$17,$F$18,$F$19,$F$16,$C$14,$F$15,$F$14,$F$20,S$2,$N$1,$C163)</f>
        <v>0</v>
      </c>
      <c r="T163" s="185">
        <f ca="1">_xll.DBRW(Server&amp;Cube1,$F$17,$F$18,$F$19,$F$16,$C$14,$F$15,$F$14,$F$20,T$2,$N$1,$C163)</f>
        <v>0</v>
      </c>
      <c r="U163" s="185">
        <f ca="1">_xll.DBRW(Server&amp;Cube1,$F$17,$F$18,$F$19,$F$16,$C$14,$F$15,$F$14,$F$20,U$2,$N$1,$C163)</f>
        <v>0</v>
      </c>
      <c r="V163" s="185">
        <f ca="1">_xll.DBRW(Server&amp;Cube1,$F$17,$F$18,$F$19,$F$16,$C$14,$F$15,$F$14,$F$20,V$2,$N$1,$C163)</f>
        <v>0</v>
      </c>
      <c r="W163" s="185">
        <f ca="1">_xll.DBRW(Server&amp;Cube1,$F$17,$F$18,$F$19,$F$16,$C$14,$F$15,$F$14,$F$20,W$2,$N$1,$C163)</f>
        <v>0</v>
      </c>
      <c r="X163" s="185">
        <f ca="1">_xll.DBRW(Server&amp;Cube1,$F$17,$F$18,$F$19,$F$16,$C$14,$F$15,$F$14,$F$20,X$2,$N$1,$C163)</f>
        <v>0</v>
      </c>
      <c r="Y163" s="185">
        <f ca="1">_xll.DBRW(Server&amp;Cube1,$F$17,$F$18,$F$19,$F$16,$C$14,$F$15,$F$14,$F$20,Y$2,$N$1,$C163)</f>
        <v>0</v>
      </c>
      <c r="Z163" s="185">
        <f ca="1">_xll.DBRW(Server&amp;Cube1,$F$17,$F$18,$F$19,$F$16,$C$14,$F$15,$F$14,$F$20,Z$2,$N$1,$C163)</f>
        <v>0</v>
      </c>
      <c r="AA163" s="53"/>
      <c r="AB163" s="53"/>
      <c r="AC163" s="53"/>
      <c r="AD163" s="53"/>
      <c r="AE163" s="53"/>
      <c r="AF163" s="53"/>
      <c r="AG163" s="53"/>
      <c r="AH163" s="53"/>
      <c r="AI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</row>
    <row r="164" spans="1:47" s="9" customFormat="1" ht="24.95" customHeight="1" x14ac:dyDescent="0.35">
      <c r="A164" s="157">
        <f ca="1">IF($AN$35="YES",1,IF(_xll.ELCOMPN(Server&amp;$C$24,C164)&lt;&gt;0,1,IF(OR(B164=$AT$35,B164="ALL"),1,0)))</f>
        <v>1</v>
      </c>
      <c r="B164" s="139" t="str">
        <f t="shared" si="1"/>
        <v>BD</v>
      </c>
      <c r="C164" s="137" t="s">
        <v>268</v>
      </c>
      <c r="E164" s="219" t="str">
        <f ca="1">_xll.DBRA(Server&amp;$C$24,$C164,$F$21)</f>
        <v>Autres assistance externe (DC)</v>
      </c>
      <c r="F164" s="219"/>
      <c r="G164" s="219"/>
      <c r="H164" s="40"/>
      <c r="I164" s="192">
        <f ca="1">_xll.DBRW(Server&amp;Cube1,$F$17,$F$18,$F$19,$F$16,$C$14,$F$15,$F$14,$F$20,I$2,I$1,$C164)</f>
        <v>0</v>
      </c>
      <c r="J164" s="192">
        <f ca="1">_xll.DBRW(Server&amp;Cube1,$F$17,$F$18,$F$19,$F$16,$C$14,$F$15,$F$14,$F$20,J$2,J$1,$C164)</f>
        <v>0</v>
      </c>
      <c r="K164" s="183"/>
      <c r="L164" s="185">
        <f ca="1">_xll.DBRW(Server&amp;Cube1,$F$17,$F$18,$F$19,$F$16,$C$14,$F$15,$F$14,$F$20,L$2,L$1,$C164)</f>
        <v>0</v>
      </c>
      <c r="M164" s="184"/>
      <c r="N164" s="185">
        <f ca="1">_xll.DBRW(Server&amp;Cube1,$F$17,$F$18,$F$19,$F$16,$C$14,$F$15,$F$14,$F$20,N$2,$N$1,$C164)</f>
        <v>0</v>
      </c>
      <c r="O164" s="185">
        <f ca="1">_xll.DBRW(Server&amp;Cube1,$F$17,$F$18,$F$19,$F$16,$C$14,$F$15,$F$14,$F$20,O$2,$N$1,$C164)</f>
        <v>0</v>
      </c>
      <c r="P164" s="185">
        <f ca="1">_xll.DBRW(Server&amp;Cube1,$F$17,$F$18,$F$19,$F$16,$C$14,$F$15,$F$14,$F$20,P$2,$N$1,$C164)</f>
        <v>0</v>
      </c>
      <c r="Q164" s="185">
        <f ca="1">_xll.DBRW(Server&amp;Cube1,$F$17,$F$18,$F$19,$F$16,$C$14,$F$15,$F$14,$F$20,Q$2,$N$1,$C164)</f>
        <v>0</v>
      </c>
      <c r="R164" s="185">
        <f ca="1">_xll.DBRW(Server&amp;Cube1,$F$17,$F$18,$F$19,$F$16,$C$14,$F$15,$F$14,$F$20,R$2,$N$1,$C164)</f>
        <v>0</v>
      </c>
      <c r="S164" s="185">
        <f ca="1">_xll.DBRW(Server&amp;Cube1,$F$17,$F$18,$F$19,$F$16,$C$14,$F$15,$F$14,$F$20,S$2,$N$1,$C164)</f>
        <v>0</v>
      </c>
      <c r="T164" s="185">
        <f ca="1">_xll.DBRW(Server&amp;Cube1,$F$17,$F$18,$F$19,$F$16,$C$14,$F$15,$F$14,$F$20,T$2,$N$1,$C164)</f>
        <v>0</v>
      </c>
      <c r="U164" s="185">
        <f ca="1">_xll.DBRW(Server&amp;Cube1,$F$17,$F$18,$F$19,$F$16,$C$14,$F$15,$F$14,$F$20,U$2,$N$1,$C164)</f>
        <v>0</v>
      </c>
      <c r="V164" s="185">
        <f ca="1">_xll.DBRW(Server&amp;Cube1,$F$17,$F$18,$F$19,$F$16,$C$14,$F$15,$F$14,$F$20,V$2,$N$1,$C164)</f>
        <v>0</v>
      </c>
      <c r="W164" s="185">
        <f ca="1">_xll.DBRW(Server&amp;Cube1,$F$17,$F$18,$F$19,$F$16,$C$14,$F$15,$F$14,$F$20,W$2,$N$1,$C164)</f>
        <v>0</v>
      </c>
      <c r="X164" s="185">
        <f ca="1">_xll.DBRW(Server&amp;Cube1,$F$17,$F$18,$F$19,$F$16,$C$14,$F$15,$F$14,$F$20,X$2,$N$1,$C164)</f>
        <v>0</v>
      </c>
      <c r="Y164" s="185">
        <f ca="1">_xll.DBRW(Server&amp;Cube1,$F$17,$F$18,$F$19,$F$16,$C$14,$F$15,$F$14,$F$20,Y$2,$N$1,$C164)</f>
        <v>0</v>
      </c>
      <c r="Z164" s="185">
        <f ca="1">_xll.DBRW(Server&amp;Cube1,$F$17,$F$18,$F$19,$F$16,$C$14,$F$15,$F$14,$F$20,Z$2,$N$1,$C164)</f>
        <v>0</v>
      </c>
      <c r="AA164" s="53"/>
      <c r="AB164" s="53"/>
      <c r="AC164" s="53"/>
      <c r="AD164" s="53"/>
      <c r="AE164" s="53"/>
      <c r="AF164" s="53"/>
      <c r="AG164" s="53"/>
      <c r="AH164" s="53"/>
      <c r="AI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</row>
    <row r="165" spans="1:47" s="9" customFormat="1" ht="24.95" customHeight="1" x14ac:dyDescent="0.35">
      <c r="A165" s="157">
        <f ca="1">IF($AN$35="YES",1,IF(_xll.ELCOMPN(Server&amp;$C$24,C165)&lt;&gt;0,1,IF(OR(B165=$AT$35,B165="ALL"),1,0)))</f>
        <v>1</v>
      </c>
      <c r="B165" s="139" t="str">
        <f t="shared" ref="B165:B228" si="2">IF(ISERROR(MID(C165,FIND("_",C165,1)+1,2)),MID(C165,FIND("(",C165,1)+1,2),MID(C165,FIND("_",C165,1)+1,2))</f>
        <v>FI</v>
      </c>
      <c r="C165" s="137" t="s">
        <v>269</v>
      </c>
      <c r="E165" s="219" t="str">
        <f ca="1">_xll.DBRA(Server&amp;$C$24,$C165,$F$21)</f>
        <v>Autres assistance externe (DF)</v>
      </c>
      <c r="F165" s="219"/>
      <c r="G165" s="219"/>
      <c r="H165" s="40"/>
      <c r="I165" s="192">
        <f ca="1">_xll.DBRW(Server&amp;Cube1,$F$17,$F$18,$F$19,$F$16,$C$14,$F$15,$F$14,$F$20,I$2,I$1,$C165)</f>
        <v>0</v>
      </c>
      <c r="J165" s="192">
        <f ca="1">_xll.DBRW(Server&amp;Cube1,$F$17,$F$18,$F$19,$F$16,$C$14,$F$15,$F$14,$F$20,J$2,J$1,$C165)</f>
        <v>0</v>
      </c>
      <c r="K165" s="183"/>
      <c r="L165" s="185">
        <f ca="1">_xll.DBRW(Server&amp;Cube1,$F$17,$F$18,$F$19,$F$16,$C$14,$F$15,$F$14,$F$20,L$2,L$1,$C165)</f>
        <v>0</v>
      </c>
      <c r="M165" s="184"/>
      <c r="N165" s="185">
        <f ca="1">_xll.DBRW(Server&amp;Cube1,$F$17,$F$18,$F$19,$F$16,$C$14,$F$15,$F$14,$F$20,N$2,$N$1,$C165)</f>
        <v>0</v>
      </c>
      <c r="O165" s="185">
        <f ca="1">_xll.DBRW(Server&amp;Cube1,$F$17,$F$18,$F$19,$F$16,$C$14,$F$15,$F$14,$F$20,O$2,$N$1,$C165)</f>
        <v>0</v>
      </c>
      <c r="P165" s="185">
        <f ca="1">_xll.DBRW(Server&amp;Cube1,$F$17,$F$18,$F$19,$F$16,$C$14,$F$15,$F$14,$F$20,P$2,$N$1,$C165)</f>
        <v>0</v>
      </c>
      <c r="Q165" s="185">
        <f ca="1">_xll.DBRW(Server&amp;Cube1,$F$17,$F$18,$F$19,$F$16,$C$14,$F$15,$F$14,$F$20,Q$2,$N$1,$C165)</f>
        <v>0</v>
      </c>
      <c r="R165" s="185">
        <f ca="1">_xll.DBRW(Server&amp;Cube1,$F$17,$F$18,$F$19,$F$16,$C$14,$F$15,$F$14,$F$20,R$2,$N$1,$C165)</f>
        <v>0</v>
      </c>
      <c r="S165" s="185">
        <f ca="1">_xll.DBRW(Server&amp;Cube1,$F$17,$F$18,$F$19,$F$16,$C$14,$F$15,$F$14,$F$20,S$2,$N$1,$C165)</f>
        <v>0</v>
      </c>
      <c r="T165" s="185">
        <f ca="1">_xll.DBRW(Server&amp;Cube1,$F$17,$F$18,$F$19,$F$16,$C$14,$F$15,$F$14,$F$20,T$2,$N$1,$C165)</f>
        <v>0</v>
      </c>
      <c r="U165" s="185">
        <f ca="1">_xll.DBRW(Server&amp;Cube1,$F$17,$F$18,$F$19,$F$16,$C$14,$F$15,$F$14,$F$20,U$2,$N$1,$C165)</f>
        <v>0</v>
      </c>
      <c r="V165" s="185">
        <f ca="1">_xll.DBRW(Server&amp;Cube1,$F$17,$F$18,$F$19,$F$16,$C$14,$F$15,$F$14,$F$20,V$2,$N$1,$C165)</f>
        <v>0</v>
      </c>
      <c r="W165" s="185">
        <f ca="1">_xll.DBRW(Server&amp;Cube1,$F$17,$F$18,$F$19,$F$16,$C$14,$F$15,$F$14,$F$20,W$2,$N$1,$C165)</f>
        <v>0</v>
      </c>
      <c r="X165" s="185">
        <f ca="1">_xll.DBRW(Server&amp;Cube1,$F$17,$F$18,$F$19,$F$16,$C$14,$F$15,$F$14,$F$20,X$2,$N$1,$C165)</f>
        <v>0</v>
      </c>
      <c r="Y165" s="185">
        <f ca="1">_xll.DBRW(Server&amp;Cube1,$F$17,$F$18,$F$19,$F$16,$C$14,$F$15,$F$14,$F$20,Y$2,$N$1,$C165)</f>
        <v>0</v>
      </c>
      <c r="Z165" s="185">
        <f ca="1">_xll.DBRW(Server&amp;Cube1,$F$17,$F$18,$F$19,$F$16,$C$14,$F$15,$F$14,$F$20,Z$2,$N$1,$C165)</f>
        <v>0</v>
      </c>
      <c r="AA165" s="53"/>
      <c r="AB165" s="53"/>
      <c r="AC165" s="53"/>
      <c r="AD165" s="53"/>
      <c r="AE165" s="53"/>
      <c r="AF165" s="53"/>
      <c r="AG165" s="53"/>
      <c r="AH165" s="53"/>
      <c r="AI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</row>
    <row r="166" spans="1:47" s="9" customFormat="1" ht="24.95" customHeight="1" x14ac:dyDescent="0.35">
      <c r="A166" s="157">
        <f ca="1">IF($AN$35="YES",1,IF(_xll.ELCOMPN(Server&amp;$C$24,C166)&lt;&gt;0,1,IF(OR(B166=$AT$35,B166="ALL"),1,0)))</f>
        <v>1</v>
      </c>
      <c r="B166" s="139" t="str">
        <f t="shared" si="2"/>
        <v>IT</v>
      </c>
      <c r="C166" s="137" t="s">
        <v>270</v>
      </c>
      <c r="E166" s="219" t="str">
        <f ca="1">_xll.DBRA(Server&amp;$C$24,$C166,$F$21)</f>
        <v>Autres assistance externe (IT)</v>
      </c>
      <c r="F166" s="219"/>
      <c r="G166" s="219"/>
      <c r="H166" s="40"/>
      <c r="I166" s="192">
        <f ca="1">_xll.DBRW(Server&amp;Cube1,$F$17,$F$18,$F$19,$F$16,$C$14,$F$15,$F$14,$F$20,I$2,I$1,$C166)</f>
        <v>0</v>
      </c>
      <c r="J166" s="192">
        <f ca="1">_xll.DBRW(Server&amp;Cube1,$F$17,$F$18,$F$19,$F$16,$C$14,$F$15,$F$14,$F$20,J$2,J$1,$C166)</f>
        <v>0</v>
      </c>
      <c r="K166" s="183"/>
      <c r="L166" s="185">
        <f ca="1">_xll.DBRW(Server&amp;Cube1,$F$17,$F$18,$F$19,$F$16,$C$14,$F$15,$F$14,$F$20,L$2,L$1,$C166)</f>
        <v>0</v>
      </c>
      <c r="M166" s="184"/>
      <c r="N166" s="185">
        <f ca="1">_xll.DBRW(Server&amp;Cube1,$F$17,$F$18,$F$19,$F$16,$C$14,$F$15,$F$14,$F$20,N$2,$N$1,$C166)</f>
        <v>0</v>
      </c>
      <c r="O166" s="185">
        <f ca="1">_xll.DBRW(Server&amp;Cube1,$F$17,$F$18,$F$19,$F$16,$C$14,$F$15,$F$14,$F$20,O$2,$N$1,$C166)</f>
        <v>0</v>
      </c>
      <c r="P166" s="185">
        <f ca="1">_xll.DBRW(Server&amp;Cube1,$F$17,$F$18,$F$19,$F$16,$C$14,$F$15,$F$14,$F$20,P$2,$N$1,$C166)</f>
        <v>0</v>
      </c>
      <c r="Q166" s="185">
        <f ca="1">_xll.DBRW(Server&amp;Cube1,$F$17,$F$18,$F$19,$F$16,$C$14,$F$15,$F$14,$F$20,Q$2,$N$1,$C166)</f>
        <v>0</v>
      </c>
      <c r="R166" s="185">
        <f ca="1">_xll.DBRW(Server&amp;Cube1,$F$17,$F$18,$F$19,$F$16,$C$14,$F$15,$F$14,$F$20,R$2,$N$1,$C166)</f>
        <v>0</v>
      </c>
      <c r="S166" s="185">
        <f ca="1">_xll.DBRW(Server&amp;Cube1,$F$17,$F$18,$F$19,$F$16,$C$14,$F$15,$F$14,$F$20,S$2,$N$1,$C166)</f>
        <v>0</v>
      </c>
      <c r="T166" s="185">
        <f ca="1">_xll.DBRW(Server&amp;Cube1,$F$17,$F$18,$F$19,$F$16,$C$14,$F$15,$F$14,$F$20,T$2,$N$1,$C166)</f>
        <v>0</v>
      </c>
      <c r="U166" s="185">
        <f ca="1">_xll.DBRW(Server&amp;Cube1,$F$17,$F$18,$F$19,$F$16,$C$14,$F$15,$F$14,$F$20,U$2,$N$1,$C166)</f>
        <v>0</v>
      </c>
      <c r="V166" s="185">
        <f ca="1">_xll.DBRW(Server&amp;Cube1,$F$17,$F$18,$F$19,$F$16,$C$14,$F$15,$F$14,$F$20,V$2,$N$1,$C166)</f>
        <v>0</v>
      </c>
      <c r="W166" s="185">
        <f ca="1">_xll.DBRW(Server&amp;Cube1,$F$17,$F$18,$F$19,$F$16,$C$14,$F$15,$F$14,$F$20,W$2,$N$1,$C166)</f>
        <v>0</v>
      </c>
      <c r="X166" s="185">
        <f ca="1">_xll.DBRW(Server&amp;Cube1,$F$17,$F$18,$F$19,$F$16,$C$14,$F$15,$F$14,$F$20,X$2,$N$1,$C166)</f>
        <v>0</v>
      </c>
      <c r="Y166" s="185">
        <f ca="1">_xll.DBRW(Server&amp;Cube1,$F$17,$F$18,$F$19,$F$16,$C$14,$F$15,$F$14,$F$20,Y$2,$N$1,$C166)</f>
        <v>0</v>
      </c>
      <c r="Z166" s="185">
        <f ca="1">_xll.DBRW(Server&amp;Cube1,$F$17,$F$18,$F$19,$F$16,$C$14,$F$15,$F$14,$F$20,Z$2,$N$1,$C166)</f>
        <v>0</v>
      </c>
      <c r="AA166" s="53"/>
      <c r="AB166" s="53"/>
      <c r="AC166" s="53"/>
      <c r="AD166" s="53"/>
      <c r="AE166" s="53"/>
      <c r="AF166" s="53"/>
      <c r="AG166" s="53"/>
      <c r="AH166" s="53"/>
      <c r="AI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</row>
    <row r="167" spans="1:47" s="9" customFormat="1" ht="24.95" customHeight="1" x14ac:dyDescent="0.35">
      <c r="A167" s="157">
        <f ca="1">IF($AN$35="YES",1,IF(_xll.ELCOMPN(Server&amp;$C$24,C167)&lt;&gt;0,1,IF(OR(B167=$AT$35,B167="ALL"),1,0)))</f>
        <v>1</v>
      </c>
      <c r="B167" s="139" t="str">
        <f t="shared" si="2"/>
        <v>HR</v>
      </c>
      <c r="C167" s="137" t="s">
        <v>271</v>
      </c>
      <c r="E167" s="219" t="str">
        <f ca="1">_xll.DBRA(Server&amp;$C$24,$C167,$F$21)</f>
        <v>Autres assistance externe (RH)</v>
      </c>
      <c r="F167" s="219"/>
      <c r="G167" s="219"/>
      <c r="H167" s="40"/>
      <c r="I167" s="192">
        <f ca="1">_xll.DBRW(Server&amp;Cube1,$F$17,$F$18,$F$19,$F$16,$C$14,$F$15,$F$14,$F$20,I$2,I$1,$C167)</f>
        <v>0</v>
      </c>
      <c r="J167" s="192">
        <f ca="1">_xll.DBRW(Server&amp;Cube1,$F$17,$F$18,$F$19,$F$16,$C$14,$F$15,$F$14,$F$20,J$2,J$1,$C167)</f>
        <v>0</v>
      </c>
      <c r="K167" s="183"/>
      <c r="L167" s="185">
        <f ca="1">_xll.DBRW(Server&amp;Cube1,$F$17,$F$18,$F$19,$F$16,$C$14,$F$15,$F$14,$F$20,L$2,L$1,$C167)</f>
        <v>0</v>
      </c>
      <c r="M167" s="184"/>
      <c r="N167" s="185">
        <f ca="1">_xll.DBRW(Server&amp;Cube1,$F$17,$F$18,$F$19,$F$16,$C$14,$F$15,$F$14,$F$20,N$2,$N$1,$C167)</f>
        <v>0</v>
      </c>
      <c r="O167" s="185">
        <f ca="1">_xll.DBRW(Server&amp;Cube1,$F$17,$F$18,$F$19,$F$16,$C$14,$F$15,$F$14,$F$20,O$2,$N$1,$C167)</f>
        <v>0</v>
      </c>
      <c r="P167" s="185">
        <f ca="1">_xll.DBRW(Server&amp;Cube1,$F$17,$F$18,$F$19,$F$16,$C$14,$F$15,$F$14,$F$20,P$2,$N$1,$C167)</f>
        <v>0</v>
      </c>
      <c r="Q167" s="185">
        <f ca="1">_xll.DBRW(Server&amp;Cube1,$F$17,$F$18,$F$19,$F$16,$C$14,$F$15,$F$14,$F$20,Q$2,$N$1,$C167)</f>
        <v>0</v>
      </c>
      <c r="R167" s="185">
        <f ca="1">_xll.DBRW(Server&amp;Cube1,$F$17,$F$18,$F$19,$F$16,$C$14,$F$15,$F$14,$F$20,R$2,$N$1,$C167)</f>
        <v>0</v>
      </c>
      <c r="S167" s="185">
        <f ca="1">_xll.DBRW(Server&amp;Cube1,$F$17,$F$18,$F$19,$F$16,$C$14,$F$15,$F$14,$F$20,S$2,$N$1,$C167)</f>
        <v>0</v>
      </c>
      <c r="T167" s="185">
        <f ca="1">_xll.DBRW(Server&amp;Cube1,$F$17,$F$18,$F$19,$F$16,$C$14,$F$15,$F$14,$F$20,T$2,$N$1,$C167)</f>
        <v>0</v>
      </c>
      <c r="U167" s="185">
        <f ca="1">_xll.DBRW(Server&amp;Cube1,$F$17,$F$18,$F$19,$F$16,$C$14,$F$15,$F$14,$F$20,U$2,$N$1,$C167)</f>
        <v>0</v>
      </c>
      <c r="V167" s="185">
        <f ca="1">_xll.DBRW(Server&amp;Cube1,$F$17,$F$18,$F$19,$F$16,$C$14,$F$15,$F$14,$F$20,V$2,$N$1,$C167)</f>
        <v>0</v>
      </c>
      <c r="W167" s="185">
        <f ca="1">_xll.DBRW(Server&amp;Cube1,$F$17,$F$18,$F$19,$F$16,$C$14,$F$15,$F$14,$F$20,W$2,$N$1,$C167)</f>
        <v>0</v>
      </c>
      <c r="X167" s="185">
        <f ca="1">_xll.DBRW(Server&amp;Cube1,$F$17,$F$18,$F$19,$F$16,$C$14,$F$15,$F$14,$F$20,X$2,$N$1,$C167)</f>
        <v>0</v>
      </c>
      <c r="Y167" s="185">
        <f ca="1">_xll.DBRW(Server&amp;Cube1,$F$17,$F$18,$F$19,$F$16,$C$14,$F$15,$F$14,$F$20,Y$2,$N$1,$C167)</f>
        <v>0</v>
      </c>
      <c r="Z167" s="185">
        <f ca="1">_xll.DBRW(Server&amp;Cube1,$F$17,$F$18,$F$19,$F$16,$C$14,$F$15,$F$14,$F$20,Z$2,$N$1,$C167)</f>
        <v>0</v>
      </c>
      <c r="AA167" s="53"/>
      <c r="AB167" s="53"/>
      <c r="AC167" s="53"/>
      <c r="AD167" s="53"/>
      <c r="AE167" s="53"/>
      <c r="AF167" s="53"/>
      <c r="AG167" s="53"/>
      <c r="AH167" s="53"/>
      <c r="AI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</row>
    <row r="168" spans="1:47" s="9" customFormat="1" ht="24.95" customHeight="1" x14ac:dyDescent="0.35">
      <c r="A168" s="157">
        <f ca="1">IF($AN$35="YES",1,IF(_xll.ELCOMPN(Server&amp;$C$24,C168)&lt;&gt;0,1,IF(OR(B168=$AT$35,B168="ALL"),1,0)))</f>
        <v>1</v>
      </c>
      <c r="B168" s="139" t="str">
        <f t="shared" si="2"/>
        <v>GM</v>
      </c>
      <c r="C168" s="137" t="s">
        <v>272</v>
      </c>
      <c r="E168" s="219" t="str">
        <f ca="1">_xll.DBRA(Server&amp;$C$24,$C168,$F$21)</f>
        <v>Autres assistance externe (DG)</v>
      </c>
      <c r="F168" s="219"/>
      <c r="G168" s="219"/>
      <c r="H168" s="40"/>
      <c r="I168" s="192">
        <f ca="1">_xll.DBRW(Server&amp;Cube1,$F$17,$F$18,$F$19,$F$16,$C$14,$F$15,$F$14,$F$20,I$2,I$1,$C168)</f>
        <v>0</v>
      </c>
      <c r="J168" s="192">
        <f ca="1">_xll.DBRW(Server&amp;Cube1,$F$17,$F$18,$F$19,$F$16,$C$14,$F$15,$F$14,$F$20,J$2,J$1,$C168)</f>
        <v>0</v>
      </c>
      <c r="K168" s="183"/>
      <c r="L168" s="185">
        <f ca="1">_xll.DBRW(Server&amp;Cube1,$F$17,$F$18,$F$19,$F$16,$C$14,$F$15,$F$14,$F$20,L$2,L$1,$C168)</f>
        <v>0</v>
      </c>
      <c r="M168" s="184"/>
      <c r="N168" s="185">
        <f ca="1">_xll.DBRW(Server&amp;Cube1,$F$17,$F$18,$F$19,$F$16,$C$14,$F$15,$F$14,$F$20,N$2,$N$1,$C168)</f>
        <v>0</v>
      </c>
      <c r="O168" s="185">
        <f ca="1">_xll.DBRW(Server&amp;Cube1,$F$17,$F$18,$F$19,$F$16,$C$14,$F$15,$F$14,$F$20,O$2,$N$1,$C168)</f>
        <v>0</v>
      </c>
      <c r="P168" s="185">
        <f ca="1">_xll.DBRW(Server&amp;Cube1,$F$17,$F$18,$F$19,$F$16,$C$14,$F$15,$F$14,$F$20,P$2,$N$1,$C168)</f>
        <v>0</v>
      </c>
      <c r="Q168" s="185">
        <f ca="1">_xll.DBRW(Server&amp;Cube1,$F$17,$F$18,$F$19,$F$16,$C$14,$F$15,$F$14,$F$20,Q$2,$N$1,$C168)</f>
        <v>0</v>
      </c>
      <c r="R168" s="185">
        <f ca="1">_xll.DBRW(Server&amp;Cube1,$F$17,$F$18,$F$19,$F$16,$C$14,$F$15,$F$14,$F$20,R$2,$N$1,$C168)</f>
        <v>0</v>
      </c>
      <c r="S168" s="185">
        <f ca="1">_xll.DBRW(Server&amp;Cube1,$F$17,$F$18,$F$19,$F$16,$C$14,$F$15,$F$14,$F$20,S$2,$N$1,$C168)</f>
        <v>0</v>
      </c>
      <c r="T168" s="185">
        <f ca="1">_xll.DBRW(Server&amp;Cube1,$F$17,$F$18,$F$19,$F$16,$C$14,$F$15,$F$14,$F$20,T$2,$N$1,$C168)</f>
        <v>0</v>
      </c>
      <c r="U168" s="185">
        <f ca="1">_xll.DBRW(Server&amp;Cube1,$F$17,$F$18,$F$19,$F$16,$C$14,$F$15,$F$14,$F$20,U$2,$N$1,$C168)</f>
        <v>0</v>
      </c>
      <c r="V168" s="185">
        <f ca="1">_xll.DBRW(Server&amp;Cube1,$F$17,$F$18,$F$19,$F$16,$C$14,$F$15,$F$14,$F$20,V$2,$N$1,$C168)</f>
        <v>0</v>
      </c>
      <c r="W168" s="185">
        <f ca="1">_xll.DBRW(Server&amp;Cube1,$F$17,$F$18,$F$19,$F$16,$C$14,$F$15,$F$14,$F$20,W$2,$N$1,$C168)</f>
        <v>0</v>
      </c>
      <c r="X168" s="185">
        <f ca="1">_xll.DBRW(Server&amp;Cube1,$F$17,$F$18,$F$19,$F$16,$C$14,$F$15,$F$14,$F$20,X$2,$N$1,$C168)</f>
        <v>0</v>
      </c>
      <c r="Y168" s="185">
        <f ca="1">_xll.DBRW(Server&amp;Cube1,$F$17,$F$18,$F$19,$F$16,$C$14,$F$15,$F$14,$F$20,Y$2,$N$1,$C168)</f>
        <v>0</v>
      </c>
      <c r="Z168" s="185">
        <f ca="1">_xll.DBRW(Server&amp;Cube1,$F$17,$F$18,$F$19,$F$16,$C$14,$F$15,$F$14,$F$20,Z$2,$N$1,$C168)</f>
        <v>0</v>
      </c>
      <c r="AA168" s="53"/>
      <c r="AB168" s="53"/>
      <c r="AC168" s="53"/>
      <c r="AD168" s="53"/>
      <c r="AE168" s="53"/>
      <c r="AF168" s="53"/>
      <c r="AG168" s="53"/>
      <c r="AH168" s="53"/>
      <c r="AI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</row>
    <row r="169" spans="1:47" s="9" customFormat="1" ht="24.95" customHeight="1" x14ac:dyDescent="0.35">
      <c r="A169" s="157">
        <f ca="1">IF($AN$35="YES",1,IF(_xll.ELCOMPN(Server&amp;$C$24,C169)&lt;&gt;0,1,IF(OR(B169=$AT$35,B169="ALL"),1,0)))</f>
        <v>1</v>
      </c>
      <c r="B169" s="139" t="str">
        <f t="shared" si="2"/>
        <v>IA</v>
      </c>
      <c r="C169" s="137" t="s">
        <v>273</v>
      </c>
      <c r="E169" s="219" t="str">
        <f ca="1">_xll.DBRA(Server&amp;$C$24,$C169,$F$21)</f>
        <v>Autres assistance externe (AI)</v>
      </c>
      <c r="F169" s="219"/>
      <c r="G169" s="219"/>
      <c r="H169" s="40"/>
      <c r="I169" s="192">
        <f ca="1">_xll.DBRW(Server&amp;Cube1,$F$17,$F$18,$F$19,$F$16,$C$14,$F$15,$F$14,$F$20,I$2,I$1,$C169)</f>
        <v>0</v>
      </c>
      <c r="J169" s="192">
        <f ca="1">_xll.DBRW(Server&amp;Cube1,$F$17,$F$18,$F$19,$F$16,$C$14,$F$15,$F$14,$F$20,J$2,J$1,$C169)</f>
        <v>0</v>
      </c>
      <c r="K169" s="183"/>
      <c r="L169" s="185">
        <f ca="1">_xll.DBRW(Server&amp;Cube1,$F$17,$F$18,$F$19,$F$16,$C$14,$F$15,$F$14,$F$20,L$2,L$1,$C169)</f>
        <v>0</v>
      </c>
      <c r="M169" s="184"/>
      <c r="N169" s="185">
        <f ca="1">_xll.DBRW(Server&amp;Cube1,$F$17,$F$18,$F$19,$F$16,$C$14,$F$15,$F$14,$F$20,N$2,$N$1,$C169)</f>
        <v>0</v>
      </c>
      <c r="O169" s="185">
        <f ca="1">_xll.DBRW(Server&amp;Cube1,$F$17,$F$18,$F$19,$F$16,$C$14,$F$15,$F$14,$F$20,O$2,$N$1,$C169)</f>
        <v>0</v>
      </c>
      <c r="P169" s="185">
        <f ca="1">_xll.DBRW(Server&amp;Cube1,$F$17,$F$18,$F$19,$F$16,$C$14,$F$15,$F$14,$F$20,P$2,$N$1,$C169)</f>
        <v>0</v>
      </c>
      <c r="Q169" s="185">
        <f ca="1">_xll.DBRW(Server&amp;Cube1,$F$17,$F$18,$F$19,$F$16,$C$14,$F$15,$F$14,$F$20,Q$2,$N$1,$C169)</f>
        <v>0</v>
      </c>
      <c r="R169" s="185">
        <f ca="1">_xll.DBRW(Server&amp;Cube1,$F$17,$F$18,$F$19,$F$16,$C$14,$F$15,$F$14,$F$20,R$2,$N$1,$C169)</f>
        <v>0</v>
      </c>
      <c r="S169" s="185">
        <f ca="1">_xll.DBRW(Server&amp;Cube1,$F$17,$F$18,$F$19,$F$16,$C$14,$F$15,$F$14,$F$20,S$2,$N$1,$C169)</f>
        <v>0</v>
      </c>
      <c r="T169" s="185">
        <f ca="1">_xll.DBRW(Server&amp;Cube1,$F$17,$F$18,$F$19,$F$16,$C$14,$F$15,$F$14,$F$20,T$2,$N$1,$C169)</f>
        <v>0</v>
      </c>
      <c r="U169" s="185">
        <f ca="1">_xll.DBRW(Server&amp;Cube1,$F$17,$F$18,$F$19,$F$16,$C$14,$F$15,$F$14,$F$20,U$2,$N$1,$C169)</f>
        <v>0</v>
      </c>
      <c r="V169" s="185">
        <f ca="1">_xll.DBRW(Server&amp;Cube1,$F$17,$F$18,$F$19,$F$16,$C$14,$F$15,$F$14,$F$20,V$2,$N$1,$C169)</f>
        <v>0</v>
      </c>
      <c r="W169" s="185">
        <f ca="1">_xll.DBRW(Server&amp;Cube1,$F$17,$F$18,$F$19,$F$16,$C$14,$F$15,$F$14,$F$20,W$2,$N$1,$C169)</f>
        <v>0</v>
      </c>
      <c r="X169" s="185">
        <f ca="1">_xll.DBRW(Server&amp;Cube1,$F$17,$F$18,$F$19,$F$16,$C$14,$F$15,$F$14,$F$20,X$2,$N$1,$C169)</f>
        <v>0</v>
      </c>
      <c r="Y169" s="185">
        <f ca="1">_xll.DBRW(Server&amp;Cube1,$F$17,$F$18,$F$19,$F$16,$C$14,$F$15,$F$14,$F$20,Y$2,$N$1,$C169)</f>
        <v>0</v>
      </c>
      <c r="Z169" s="185">
        <f ca="1">_xll.DBRW(Server&amp;Cube1,$F$17,$F$18,$F$19,$F$16,$C$14,$F$15,$F$14,$F$20,Z$2,$N$1,$C169)</f>
        <v>0</v>
      </c>
      <c r="AA169" s="53"/>
      <c r="AB169" s="53"/>
      <c r="AC169" s="53"/>
      <c r="AD169" s="53"/>
      <c r="AE169" s="53"/>
      <c r="AF169" s="53"/>
      <c r="AG169" s="53"/>
      <c r="AH169" s="53"/>
      <c r="AI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</row>
    <row r="170" spans="1:47" s="9" customFormat="1" ht="24.95" customHeight="1" x14ac:dyDescent="0.35">
      <c r="A170" s="157">
        <f ca="1">IF($AN$35="YES",1,IF(_xll.ELCOMPN(Server&amp;$C$24,C170)&lt;&gt;0,1,IF(OR(B170=$AT$35,B170="ALL"),1,0)))</f>
        <v>1</v>
      </c>
      <c r="B170" s="139" t="str">
        <f t="shared" si="2"/>
        <v>LE</v>
      </c>
      <c r="C170" s="137" t="s">
        <v>274</v>
      </c>
      <c r="E170" s="219" t="str">
        <f ca="1">_xll.DBRA(Server&amp;$C$24,$C170,$F$21)</f>
        <v>Autres assistance externe (JU)</v>
      </c>
      <c r="F170" s="219"/>
      <c r="G170" s="219"/>
      <c r="H170" s="40"/>
      <c r="I170" s="192">
        <f ca="1">_xll.DBRW(Server&amp;Cube1,$F$17,$F$18,$F$19,$F$16,$C$14,$F$15,$F$14,$F$20,I$2,I$1,$C170)</f>
        <v>0</v>
      </c>
      <c r="J170" s="192">
        <f ca="1">_xll.DBRW(Server&amp;Cube1,$F$17,$F$18,$F$19,$F$16,$C$14,$F$15,$F$14,$F$20,J$2,J$1,$C170)</f>
        <v>0</v>
      </c>
      <c r="K170" s="183"/>
      <c r="L170" s="185">
        <f ca="1">_xll.DBRW(Server&amp;Cube1,$F$17,$F$18,$F$19,$F$16,$C$14,$F$15,$F$14,$F$20,L$2,L$1,$C170)</f>
        <v>0</v>
      </c>
      <c r="M170" s="184"/>
      <c r="N170" s="185">
        <f ca="1">_xll.DBRW(Server&amp;Cube1,$F$17,$F$18,$F$19,$F$16,$C$14,$F$15,$F$14,$F$20,N$2,$N$1,$C170)</f>
        <v>0</v>
      </c>
      <c r="O170" s="185">
        <f ca="1">_xll.DBRW(Server&amp;Cube1,$F$17,$F$18,$F$19,$F$16,$C$14,$F$15,$F$14,$F$20,O$2,$N$1,$C170)</f>
        <v>0</v>
      </c>
      <c r="P170" s="185">
        <f ca="1">_xll.DBRW(Server&amp;Cube1,$F$17,$F$18,$F$19,$F$16,$C$14,$F$15,$F$14,$F$20,P$2,$N$1,$C170)</f>
        <v>0</v>
      </c>
      <c r="Q170" s="185">
        <f ca="1">_xll.DBRW(Server&amp;Cube1,$F$17,$F$18,$F$19,$F$16,$C$14,$F$15,$F$14,$F$20,Q$2,$N$1,$C170)</f>
        <v>0</v>
      </c>
      <c r="R170" s="185">
        <f ca="1">_xll.DBRW(Server&amp;Cube1,$F$17,$F$18,$F$19,$F$16,$C$14,$F$15,$F$14,$F$20,R$2,$N$1,$C170)</f>
        <v>0</v>
      </c>
      <c r="S170" s="185">
        <f ca="1">_xll.DBRW(Server&amp;Cube1,$F$17,$F$18,$F$19,$F$16,$C$14,$F$15,$F$14,$F$20,S$2,$N$1,$C170)</f>
        <v>0</v>
      </c>
      <c r="T170" s="185">
        <f ca="1">_xll.DBRW(Server&amp;Cube1,$F$17,$F$18,$F$19,$F$16,$C$14,$F$15,$F$14,$F$20,T$2,$N$1,$C170)</f>
        <v>0</v>
      </c>
      <c r="U170" s="185">
        <f ca="1">_xll.DBRW(Server&amp;Cube1,$F$17,$F$18,$F$19,$F$16,$C$14,$F$15,$F$14,$F$20,U$2,$N$1,$C170)</f>
        <v>0</v>
      </c>
      <c r="V170" s="185">
        <f ca="1">_xll.DBRW(Server&amp;Cube1,$F$17,$F$18,$F$19,$F$16,$C$14,$F$15,$F$14,$F$20,V$2,$N$1,$C170)</f>
        <v>0</v>
      </c>
      <c r="W170" s="185">
        <f ca="1">_xll.DBRW(Server&amp;Cube1,$F$17,$F$18,$F$19,$F$16,$C$14,$F$15,$F$14,$F$20,W$2,$N$1,$C170)</f>
        <v>0</v>
      </c>
      <c r="X170" s="185">
        <f ca="1">_xll.DBRW(Server&amp;Cube1,$F$17,$F$18,$F$19,$F$16,$C$14,$F$15,$F$14,$F$20,X$2,$N$1,$C170)</f>
        <v>0</v>
      </c>
      <c r="Y170" s="185">
        <f ca="1">_xll.DBRW(Server&amp;Cube1,$F$17,$F$18,$F$19,$F$16,$C$14,$F$15,$F$14,$F$20,Y$2,$N$1,$C170)</f>
        <v>0</v>
      </c>
      <c r="Z170" s="185">
        <f ca="1">_xll.DBRW(Server&amp;Cube1,$F$17,$F$18,$F$19,$F$16,$C$14,$F$15,$F$14,$F$20,Z$2,$N$1,$C170)</f>
        <v>0</v>
      </c>
      <c r="AA170" s="53"/>
      <c r="AB170" s="53"/>
      <c r="AC170" s="53"/>
      <c r="AD170" s="53"/>
      <c r="AE170" s="53"/>
      <c r="AF170" s="53"/>
      <c r="AG170" s="53"/>
      <c r="AH170" s="53"/>
      <c r="AI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</row>
    <row r="171" spans="1:47" s="9" customFormat="1" ht="24.95" customHeight="1" x14ac:dyDescent="0.35">
      <c r="A171" s="157">
        <f ca="1">IF($AN$35="YES",1,IF(_xll.ELCOMPN(Server&amp;$C$24,C171)&lt;&gt;0,1,IF(OR(B171=$AT$35,B171="ALL"),1,0)))</f>
        <v>1</v>
      </c>
      <c r="B171" s="139" t="str">
        <f t="shared" si="2"/>
        <v>RM</v>
      </c>
      <c r="C171" s="137" t="s">
        <v>275</v>
      </c>
      <c r="E171" s="219" t="str">
        <f ca="1">_xll.DBRA(Server&amp;$C$24,$C171,$F$21)</f>
        <v>Autres assistance externe (GR)</v>
      </c>
      <c r="F171" s="219"/>
      <c r="G171" s="219"/>
      <c r="H171" s="40"/>
      <c r="I171" s="192">
        <f ca="1">_xll.DBRW(Server&amp;Cube1,$F$17,$F$18,$F$19,$F$16,$C$14,$F$15,$F$14,$F$20,I$2,I$1,$C171)</f>
        <v>0</v>
      </c>
      <c r="J171" s="192">
        <f ca="1">_xll.DBRW(Server&amp;Cube1,$F$17,$F$18,$F$19,$F$16,$C$14,$F$15,$F$14,$F$20,J$2,J$1,$C171)</f>
        <v>0</v>
      </c>
      <c r="K171" s="183"/>
      <c r="L171" s="185">
        <f ca="1">_xll.DBRW(Server&amp;Cube1,$F$17,$F$18,$F$19,$F$16,$C$14,$F$15,$F$14,$F$20,L$2,L$1,$C171)</f>
        <v>0</v>
      </c>
      <c r="M171" s="184"/>
      <c r="N171" s="185">
        <f ca="1">_xll.DBRW(Server&amp;Cube1,$F$17,$F$18,$F$19,$F$16,$C$14,$F$15,$F$14,$F$20,N$2,$N$1,$C171)</f>
        <v>0</v>
      </c>
      <c r="O171" s="185">
        <f ca="1">_xll.DBRW(Server&amp;Cube1,$F$17,$F$18,$F$19,$F$16,$C$14,$F$15,$F$14,$F$20,O$2,$N$1,$C171)</f>
        <v>0</v>
      </c>
      <c r="P171" s="185">
        <f ca="1">_xll.DBRW(Server&amp;Cube1,$F$17,$F$18,$F$19,$F$16,$C$14,$F$15,$F$14,$F$20,P$2,$N$1,$C171)</f>
        <v>0</v>
      </c>
      <c r="Q171" s="185">
        <f ca="1">_xll.DBRW(Server&amp;Cube1,$F$17,$F$18,$F$19,$F$16,$C$14,$F$15,$F$14,$F$20,Q$2,$N$1,$C171)</f>
        <v>0</v>
      </c>
      <c r="R171" s="185">
        <f ca="1">_xll.DBRW(Server&amp;Cube1,$F$17,$F$18,$F$19,$F$16,$C$14,$F$15,$F$14,$F$20,R$2,$N$1,$C171)</f>
        <v>0</v>
      </c>
      <c r="S171" s="185">
        <f ca="1">_xll.DBRW(Server&amp;Cube1,$F$17,$F$18,$F$19,$F$16,$C$14,$F$15,$F$14,$F$20,S$2,$N$1,$C171)</f>
        <v>0</v>
      </c>
      <c r="T171" s="185">
        <f ca="1">_xll.DBRW(Server&amp;Cube1,$F$17,$F$18,$F$19,$F$16,$C$14,$F$15,$F$14,$F$20,T$2,$N$1,$C171)</f>
        <v>0</v>
      </c>
      <c r="U171" s="185">
        <f ca="1">_xll.DBRW(Server&amp;Cube1,$F$17,$F$18,$F$19,$F$16,$C$14,$F$15,$F$14,$F$20,U$2,$N$1,$C171)</f>
        <v>0</v>
      </c>
      <c r="V171" s="185">
        <f ca="1">_xll.DBRW(Server&amp;Cube1,$F$17,$F$18,$F$19,$F$16,$C$14,$F$15,$F$14,$F$20,V$2,$N$1,$C171)</f>
        <v>0</v>
      </c>
      <c r="W171" s="185">
        <f ca="1">_xll.DBRW(Server&amp;Cube1,$F$17,$F$18,$F$19,$F$16,$C$14,$F$15,$F$14,$F$20,W$2,$N$1,$C171)</f>
        <v>0</v>
      </c>
      <c r="X171" s="185">
        <f ca="1">_xll.DBRW(Server&amp;Cube1,$F$17,$F$18,$F$19,$F$16,$C$14,$F$15,$F$14,$F$20,X$2,$N$1,$C171)</f>
        <v>0</v>
      </c>
      <c r="Y171" s="185">
        <f ca="1">_xll.DBRW(Server&amp;Cube1,$F$17,$F$18,$F$19,$F$16,$C$14,$F$15,$F$14,$F$20,Y$2,$N$1,$C171)</f>
        <v>0</v>
      </c>
      <c r="Z171" s="185">
        <f ca="1">_xll.DBRW(Server&amp;Cube1,$F$17,$F$18,$F$19,$F$16,$C$14,$F$15,$F$14,$F$20,Z$2,$N$1,$C171)</f>
        <v>0</v>
      </c>
      <c r="AA171" s="53"/>
      <c r="AB171" s="53"/>
      <c r="AC171" s="53"/>
      <c r="AD171" s="53"/>
      <c r="AE171" s="53"/>
      <c r="AF171" s="53"/>
      <c r="AG171" s="53"/>
      <c r="AH171" s="53"/>
      <c r="AI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</row>
    <row r="172" spans="1:47" s="9" customFormat="1" ht="24.95" customHeight="1" x14ac:dyDescent="0.35">
      <c r="A172" s="157">
        <f ca="1">IF($AN$35="YES",1,IF(_xll.ELCOMPN(Server&amp;$C$24,C172)&lt;&gt;0,1,IF(OR(B172=$AT$35,B172="ALL"),1,0)))</f>
        <v>1</v>
      </c>
      <c r="B172" s="139" t="str">
        <f t="shared" si="2"/>
        <v>PU</v>
      </c>
      <c r="C172" s="137" t="s">
        <v>276</v>
      </c>
      <c r="E172" s="219" t="str">
        <f ca="1">_xll.DBRA(Server&amp;$C$24,$C172,$F$21)</f>
        <v>Autres assistance externe (AC)</v>
      </c>
      <c r="F172" s="219"/>
      <c r="G172" s="219"/>
      <c r="H172" s="40"/>
      <c r="I172" s="192">
        <f ca="1">_xll.DBRW(Server&amp;Cube1,$F$17,$F$18,$F$19,$F$16,$C$14,$F$15,$F$14,$F$20,I$2,I$1,$C172)</f>
        <v>0</v>
      </c>
      <c r="J172" s="192">
        <f ca="1">_xll.DBRW(Server&amp;Cube1,$F$17,$F$18,$F$19,$F$16,$C$14,$F$15,$F$14,$F$20,J$2,J$1,$C172)</f>
        <v>0</v>
      </c>
      <c r="K172" s="183"/>
      <c r="L172" s="185">
        <f ca="1">_xll.DBRW(Server&amp;Cube1,$F$17,$F$18,$F$19,$F$16,$C$14,$F$15,$F$14,$F$20,L$2,L$1,$C172)</f>
        <v>0</v>
      </c>
      <c r="M172" s="184"/>
      <c r="N172" s="185">
        <f ca="1">_xll.DBRW(Server&amp;Cube1,$F$17,$F$18,$F$19,$F$16,$C$14,$F$15,$F$14,$F$20,N$2,$N$1,$C172)</f>
        <v>0</v>
      </c>
      <c r="O172" s="185">
        <f ca="1">_xll.DBRW(Server&amp;Cube1,$F$17,$F$18,$F$19,$F$16,$C$14,$F$15,$F$14,$F$20,O$2,$N$1,$C172)</f>
        <v>0</v>
      </c>
      <c r="P172" s="185">
        <f ca="1">_xll.DBRW(Server&amp;Cube1,$F$17,$F$18,$F$19,$F$16,$C$14,$F$15,$F$14,$F$20,P$2,$N$1,$C172)</f>
        <v>0</v>
      </c>
      <c r="Q172" s="185">
        <f ca="1">_xll.DBRW(Server&amp;Cube1,$F$17,$F$18,$F$19,$F$16,$C$14,$F$15,$F$14,$F$20,Q$2,$N$1,$C172)</f>
        <v>0</v>
      </c>
      <c r="R172" s="185">
        <f ca="1">_xll.DBRW(Server&amp;Cube1,$F$17,$F$18,$F$19,$F$16,$C$14,$F$15,$F$14,$F$20,R$2,$N$1,$C172)</f>
        <v>0</v>
      </c>
      <c r="S172" s="185">
        <f ca="1">_xll.DBRW(Server&amp;Cube1,$F$17,$F$18,$F$19,$F$16,$C$14,$F$15,$F$14,$F$20,S$2,$N$1,$C172)</f>
        <v>0</v>
      </c>
      <c r="T172" s="185">
        <f ca="1">_xll.DBRW(Server&amp;Cube1,$F$17,$F$18,$F$19,$F$16,$C$14,$F$15,$F$14,$F$20,T$2,$N$1,$C172)</f>
        <v>0</v>
      </c>
      <c r="U172" s="185">
        <f ca="1">_xll.DBRW(Server&amp;Cube1,$F$17,$F$18,$F$19,$F$16,$C$14,$F$15,$F$14,$F$20,U$2,$N$1,$C172)</f>
        <v>0</v>
      </c>
      <c r="V172" s="185">
        <f ca="1">_xll.DBRW(Server&amp;Cube1,$F$17,$F$18,$F$19,$F$16,$C$14,$F$15,$F$14,$F$20,V$2,$N$1,$C172)</f>
        <v>0</v>
      </c>
      <c r="W172" s="185">
        <f ca="1">_xll.DBRW(Server&amp;Cube1,$F$17,$F$18,$F$19,$F$16,$C$14,$F$15,$F$14,$F$20,W$2,$N$1,$C172)</f>
        <v>0</v>
      </c>
      <c r="X172" s="185">
        <f ca="1">_xll.DBRW(Server&amp;Cube1,$F$17,$F$18,$F$19,$F$16,$C$14,$F$15,$F$14,$F$20,X$2,$N$1,$C172)</f>
        <v>0</v>
      </c>
      <c r="Y172" s="185">
        <f ca="1">_xll.DBRW(Server&amp;Cube1,$F$17,$F$18,$F$19,$F$16,$C$14,$F$15,$F$14,$F$20,Y$2,$N$1,$C172)</f>
        <v>0</v>
      </c>
      <c r="Z172" s="185">
        <f ca="1">_xll.DBRW(Server&amp;Cube1,$F$17,$F$18,$F$19,$F$16,$C$14,$F$15,$F$14,$F$20,Z$2,$N$1,$C172)</f>
        <v>0</v>
      </c>
      <c r="AA172" s="53"/>
      <c r="AB172" s="53"/>
      <c r="AC172" s="53"/>
      <c r="AD172" s="53"/>
      <c r="AE172" s="53"/>
      <c r="AF172" s="53"/>
      <c r="AG172" s="53"/>
      <c r="AH172" s="53"/>
      <c r="AI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</row>
    <row r="173" spans="1:47" s="9" customFormat="1" ht="24.95" customHeight="1" x14ac:dyDescent="0.35">
      <c r="A173" s="157">
        <f ca="1">IF($AN$35="YES",1,IF(_xll.ELCOMPN(Server&amp;$C$24,C173)&lt;&gt;0,1,IF(OR(B173=$AT$35,B173="ALL"),1,0)))</f>
        <v>1</v>
      </c>
      <c r="B173" s="139" t="str">
        <f t="shared" si="2"/>
        <v>CO</v>
      </c>
      <c r="C173" s="137" t="s">
        <v>277</v>
      </c>
      <c r="E173" s="219" t="str">
        <f ca="1">_xll.DBRA(Server&amp;$C$24,$C173,$F$21)</f>
        <v>Autres assistance externe (CO)</v>
      </c>
      <c r="F173" s="219"/>
      <c r="G173" s="219"/>
      <c r="H173" s="40"/>
      <c r="I173" s="192">
        <f ca="1">_xll.DBRW(Server&amp;Cube1,$F$17,$F$18,$F$19,$F$16,$C$14,$F$15,$F$14,$F$20,I$2,I$1,$C173)</f>
        <v>0</v>
      </c>
      <c r="J173" s="192">
        <f ca="1">_xll.DBRW(Server&amp;Cube1,$F$17,$F$18,$F$19,$F$16,$C$14,$F$15,$F$14,$F$20,J$2,J$1,$C173)</f>
        <v>0</v>
      </c>
      <c r="K173" s="183"/>
      <c r="L173" s="185">
        <f ca="1">_xll.DBRW(Server&amp;Cube1,$F$17,$F$18,$F$19,$F$16,$C$14,$F$15,$F$14,$F$20,L$2,L$1,$C173)</f>
        <v>0</v>
      </c>
      <c r="M173" s="184"/>
      <c r="N173" s="185">
        <f ca="1">_xll.DBRW(Server&amp;Cube1,$F$17,$F$18,$F$19,$F$16,$C$14,$F$15,$F$14,$F$20,N$2,$N$1,$C173)</f>
        <v>0</v>
      </c>
      <c r="O173" s="185">
        <f ca="1">_xll.DBRW(Server&amp;Cube1,$F$17,$F$18,$F$19,$F$16,$C$14,$F$15,$F$14,$F$20,O$2,$N$1,$C173)</f>
        <v>0</v>
      </c>
      <c r="P173" s="185">
        <f ca="1">_xll.DBRW(Server&amp;Cube1,$F$17,$F$18,$F$19,$F$16,$C$14,$F$15,$F$14,$F$20,P$2,$N$1,$C173)</f>
        <v>0</v>
      </c>
      <c r="Q173" s="185">
        <f ca="1">_xll.DBRW(Server&amp;Cube1,$F$17,$F$18,$F$19,$F$16,$C$14,$F$15,$F$14,$F$20,Q$2,$N$1,$C173)</f>
        <v>0</v>
      </c>
      <c r="R173" s="185">
        <f ca="1">_xll.DBRW(Server&amp;Cube1,$F$17,$F$18,$F$19,$F$16,$C$14,$F$15,$F$14,$F$20,R$2,$N$1,$C173)</f>
        <v>0</v>
      </c>
      <c r="S173" s="185">
        <f ca="1">_xll.DBRW(Server&amp;Cube1,$F$17,$F$18,$F$19,$F$16,$C$14,$F$15,$F$14,$F$20,S$2,$N$1,$C173)</f>
        <v>0</v>
      </c>
      <c r="T173" s="185">
        <f ca="1">_xll.DBRW(Server&amp;Cube1,$F$17,$F$18,$F$19,$F$16,$C$14,$F$15,$F$14,$F$20,T$2,$N$1,$C173)</f>
        <v>0</v>
      </c>
      <c r="U173" s="185">
        <f ca="1">_xll.DBRW(Server&amp;Cube1,$F$17,$F$18,$F$19,$F$16,$C$14,$F$15,$F$14,$F$20,U$2,$N$1,$C173)</f>
        <v>0</v>
      </c>
      <c r="V173" s="185">
        <f ca="1">_xll.DBRW(Server&amp;Cube1,$F$17,$F$18,$F$19,$F$16,$C$14,$F$15,$F$14,$F$20,V$2,$N$1,$C173)</f>
        <v>0</v>
      </c>
      <c r="W173" s="185">
        <f ca="1">_xll.DBRW(Server&amp;Cube1,$F$17,$F$18,$F$19,$F$16,$C$14,$F$15,$F$14,$F$20,W$2,$N$1,$C173)</f>
        <v>0</v>
      </c>
      <c r="X173" s="185">
        <f ca="1">_xll.DBRW(Server&amp;Cube1,$F$17,$F$18,$F$19,$F$16,$C$14,$F$15,$F$14,$F$20,X$2,$N$1,$C173)</f>
        <v>0</v>
      </c>
      <c r="Y173" s="185">
        <f ca="1">_xll.DBRW(Server&amp;Cube1,$F$17,$F$18,$F$19,$F$16,$C$14,$F$15,$F$14,$F$20,Y$2,$N$1,$C173)</f>
        <v>0</v>
      </c>
      <c r="Z173" s="185">
        <f ca="1">_xll.DBRW(Server&amp;Cube1,$F$17,$F$18,$F$19,$F$16,$C$14,$F$15,$F$14,$F$20,Z$2,$N$1,$C173)</f>
        <v>0</v>
      </c>
      <c r="AA173" s="53"/>
      <c r="AB173" s="53"/>
      <c r="AC173" s="53"/>
      <c r="AD173" s="53"/>
      <c r="AE173" s="53"/>
      <c r="AF173" s="53"/>
      <c r="AG173" s="53"/>
      <c r="AH173" s="53"/>
      <c r="AI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</row>
    <row r="174" spans="1:47" s="9" customFormat="1" ht="24.95" customHeight="1" x14ac:dyDescent="0.35">
      <c r="A174" s="157">
        <f ca="1">IF($AN$35="YES",1,IF(_xll.ELCOMPN(Server&amp;$C$24,C174)&lt;&gt;0,1,IF(OR(B174=$AT$35,B174="ALL"),1,0)))</f>
        <v>1</v>
      </c>
      <c r="B174" s="139" t="str">
        <f t="shared" si="2"/>
        <v>GS</v>
      </c>
      <c r="C174" s="137" t="s">
        <v>278</v>
      </c>
      <c r="E174" s="219" t="str">
        <f ca="1">_xll.DBRA(Server&amp;$C$24,$C174,$F$21)</f>
        <v>Autres assistance externe (SG)</v>
      </c>
      <c r="F174" s="219"/>
      <c r="G174" s="219"/>
      <c r="H174" s="40"/>
      <c r="I174" s="192">
        <f ca="1">_xll.DBRW(Server&amp;Cube1,$F$17,$F$18,$F$19,$F$16,$C$14,$F$15,$F$14,$F$20,I$2,I$1,$C174)</f>
        <v>0</v>
      </c>
      <c r="J174" s="192">
        <f ca="1">_xll.DBRW(Server&amp;Cube1,$F$17,$F$18,$F$19,$F$16,$C$14,$F$15,$F$14,$F$20,J$2,J$1,$C174)</f>
        <v>0</v>
      </c>
      <c r="K174" s="183"/>
      <c r="L174" s="185">
        <f ca="1">_xll.DBRW(Server&amp;Cube1,$F$17,$F$18,$F$19,$F$16,$C$14,$F$15,$F$14,$F$20,L$2,L$1,$C174)</f>
        <v>0</v>
      </c>
      <c r="M174" s="184"/>
      <c r="N174" s="185">
        <f ca="1">_xll.DBRW(Server&amp;Cube1,$F$17,$F$18,$F$19,$F$16,$C$14,$F$15,$F$14,$F$20,N$2,$N$1,$C174)</f>
        <v>0</v>
      </c>
      <c r="O174" s="185">
        <f ca="1">_xll.DBRW(Server&amp;Cube1,$F$17,$F$18,$F$19,$F$16,$C$14,$F$15,$F$14,$F$20,O$2,$N$1,$C174)</f>
        <v>0</v>
      </c>
      <c r="P174" s="185">
        <f ca="1">_xll.DBRW(Server&amp;Cube1,$F$17,$F$18,$F$19,$F$16,$C$14,$F$15,$F$14,$F$20,P$2,$N$1,$C174)</f>
        <v>0</v>
      </c>
      <c r="Q174" s="185">
        <f ca="1">_xll.DBRW(Server&amp;Cube1,$F$17,$F$18,$F$19,$F$16,$C$14,$F$15,$F$14,$F$20,Q$2,$N$1,$C174)</f>
        <v>0</v>
      </c>
      <c r="R174" s="185">
        <f ca="1">_xll.DBRW(Server&amp;Cube1,$F$17,$F$18,$F$19,$F$16,$C$14,$F$15,$F$14,$F$20,R$2,$N$1,$C174)</f>
        <v>0</v>
      </c>
      <c r="S174" s="185">
        <f ca="1">_xll.DBRW(Server&amp;Cube1,$F$17,$F$18,$F$19,$F$16,$C$14,$F$15,$F$14,$F$20,S$2,$N$1,$C174)</f>
        <v>0</v>
      </c>
      <c r="T174" s="185">
        <f ca="1">_xll.DBRW(Server&amp;Cube1,$F$17,$F$18,$F$19,$F$16,$C$14,$F$15,$F$14,$F$20,T$2,$N$1,$C174)</f>
        <v>0</v>
      </c>
      <c r="U174" s="185">
        <f ca="1">_xll.DBRW(Server&amp;Cube1,$F$17,$F$18,$F$19,$F$16,$C$14,$F$15,$F$14,$F$20,U$2,$N$1,$C174)</f>
        <v>0</v>
      </c>
      <c r="V174" s="185">
        <f ca="1">_xll.DBRW(Server&amp;Cube1,$F$17,$F$18,$F$19,$F$16,$C$14,$F$15,$F$14,$F$20,V$2,$N$1,$C174)</f>
        <v>0</v>
      </c>
      <c r="W174" s="185">
        <f ca="1">_xll.DBRW(Server&amp;Cube1,$F$17,$F$18,$F$19,$F$16,$C$14,$F$15,$F$14,$F$20,W$2,$N$1,$C174)</f>
        <v>0</v>
      </c>
      <c r="X174" s="185">
        <f ca="1">_xll.DBRW(Server&amp;Cube1,$F$17,$F$18,$F$19,$F$16,$C$14,$F$15,$F$14,$F$20,X$2,$N$1,$C174)</f>
        <v>0</v>
      </c>
      <c r="Y174" s="185">
        <f ca="1">_xll.DBRW(Server&amp;Cube1,$F$17,$F$18,$F$19,$F$16,$C$14,$F$15,$F$14,$F$20,Y$2,$N$1,$C174)</f>
        <v>0</v>
      </c>
      <c r="Z174" s="185">
        <f ca="1">_xll.DBRW(Server&amp;Cube1,$F$17,$F$18,$F$19,$F$16,$C$14,$F$15,$F$14,$F$20,Z$2,$N$1,$C174)</f>
        <v>0</v>
      </c>
      <c r="AA174" s="53"/>
      <c r="AB174" s="53"/>
      <c r="AC174" s="53"/>
      <c r="AD174" s="53"/>
      <c r="AE174" s="53"/>
      <c r="AF174" s="53"/>
      <c r="AG174" s="53"/>
      <c r="AH174" s="53"/>
      <c r="AI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</row>
    <row r="175" spans="1:47" s="9" customFormat="1" ht="24.95" customHeight="1" x14ac:dyDescent="0.35">
      <c r="A175" s="157">
        <f ca="1">IF($AN$35="YES",1,IF(_xll.ELCOMPN(Server&amp;$C$24,C175)&lt;&gt;0,1,IF(OR(B175=$AT$35,B175="ALL"),1,0)))</f>
        <v>1</v>
      </c>
      <c r="B175" s="139" t="str">
        <f t="shared" si="2"/>
        <v>RD</v>
      </c>
      <c r="C175" s="137" t="s">
        <v>279</v>
      </c>
      <c r="E175" s="219" t="str">
        <f ca="1">_xll.DBRA(Server&amp;$C$24,$C175,$F$21)</f>
        <v>Autres assistance externe (RD)</v>
      </c>
      <c r="F175" s="219"/>
      <c r="G175" s="219"/>
      <c r="H175" s="40"/>
      <c r="I175" s="192">
        <f ca="1">_xll.DBRW(Server&amp;Cube1,$F$17,$F$18,$F$19,$F$16,$C$14,$F$15,$F$14,$F$20,I$2,I$1,$C175)</f>
        <v>0</v>
      </c>
      <c r="J175" s="192">
        <f ca="1">_xll.DBRW(Server&amp;Cube1,$F$17,$F$18,$F$19,$F$16,$C$14,$F$15,$F$14,$F$20,J$2,J$1,$C175)</f>
        <v>0</v>
      </c>
      <c r="K175" s="183"/>
      <c r="L175" s="185">
        <f ca="1">_xll.DBRW(Server&amp;Cube1,$F$17,$F$18,$F$19,$F$16,$C$14,$F$15,$F$14,$F$20,L$2,L$1,$C175)</f>
        <v>0</v>
      </c>
      <c r="M175" s="184"/>
      <c r="N175" s="185">
        <f ca="1">_xll.DBRW(Server&amp;Cube1,$F$17,$F$18,$F$19,$F$16,$C$14,$F$15,$F$14,$F$20,N$2,$N$1,$C175)</f>
        <v>0</v>
      </c>
      <c r="O175" s="185">
        <f ca="1">_xll.DBRW(Server&amp;Cube1,$F$17,$F$18,$F$19,$F$16,$C$14,$F$15,$F$14,$F$20,O$2,$N$1,$C175)</f>
        <v>0</v>
      </c>
      <c r="P175" s="185">
        <f ca="1">_xll.DBRW(Server&amp;Cube1,$F$17,$F$18,$F$19,$F$16,$C$14,$F$15,$F$14,$F$20,P$2,$N$1,$C175)</f>
        <v>0</v>
      </c>
      <c r="Q175" s="185">
        <f ca="1">_xll.DBRW(Server&amp;Cube1,$F$17,$F$18,$F$19,$F$16,$C$14,$F$15,$F$14,$F$20,Q$2,$N$1,$C175)</f>
        <v>0</v>
      </c>
      <c r="R175" s="185">
        <f ca="1">_xll.DBRW(Server&amp;Cube1,$F$17,$F$18,$F$19,$F$16,$C$14,$F$15,$F$14,$F$20,R$2,$N$1,$C175)</f>
        <v>0</v>
      </c>
      <c r="S175" s="185">
        <f ca="1">_xll.DBRW(Server&amp;Cube1,$F$17,$F$18,$F$19,$F$16,$C$14,$F$15,$F$14,$F$20,S$2,$N$1,$C175)</f>
        <v>0</v>
      </c>
      <c r="T175" s="185">
        <f ca="1">_xll.DBRW(Server&amp;Cube1,$F$17,$F$18,$F$19,$F$16,$C$14,$F$15,$F$14,$F$20,T$2,$N$1,$C175)</f>
        <v>0</v>
      </c>
      <c r="U175" s="185">
        <f ca="1">_xll.DBRW(Server&amp;Cube1,$F$17,$F$18,$F$19,$F$16,$C$14,$F$15,$F$14,$F$20,U$2,$N$1,$C175)</f>
        <v>0</v>
      </c>
      <c r="V175" s="185">
        <f ca="1">_xll.DBRW(Server&amp;Cube1,$F$17,$F$18,$F$19,$F$16,$C$14,$F$15,$F$14,$F$20,V$2,$N$1,$C175)</f>
        <v>0</v>
      </c>
      <c r="W175" s="185">
        <f ca="1">_xll.DBRW(Server&amp;Cube1,$F$17,$F$18,$F$19,$F$16,$C$14,$F$15,$F$14,$F$20,W$2,$N$1,$C175)</f>
        <v>0</v>
      </c>
      <c r="X175" s="185">
        <f ca="1">_xll.DBRW(Server&amp;Cube1,$F$17,$F$18,$F$19,$F$16,$C$14,$F$15,$F$14,$F$20,X$2,$N$1,$C175)</f>
        <v>0</v>
      </c>
      <c r="Y175" s="185">
        <f ca="1">_xll.DBRW(Server&amp;Cube1,$F$17,$F$18,$F$19,$F$16,$C$14,$F$15,$F$14,$F$20,Y$2,$N$1,$C175)</f>
        <v>0</v>
      </c>
      <c r="Z175" s="185">
        <f ca="1">_xll.DBRW(Server&amp;Cube1,$F$17,$F$18,$F$19,$F$16,$C$14,$F$15,$F$14,$F$20,Z$2,$N$1,$C175)</f>
        <v>0</v>
      </c>
      <c r="AA175" s="53"/>
      <c r="AB175" s="53"/>
      <c r="AC175" s="53"/>
      <c r="AD175" s="53"/>
      <c r="AE175" s="53"/>
      <c r="AF175" s="53"/>
      <c r="AG175" s="53"/>
      <c r="AH175" s="53"/>
      <c r="AI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</row>
    <row r="176" spans="1:47" s="9" customFormat="1" ht="24.75" customHeight="1" collapsed="1" x14ac:dyDescent="0.35">
      <c r="A176" s="157">
        <f ca="1">IF($AN$35="YES",1,IF(_xll.ELCOMPN(Server&amp;$C$24,C176)&lt;&gt;0,1,IF(OR(B176=$AT$35,B176="ALL"),1,0)))</f>
        <v>1</v>
      </c>
      <c r="B176" s="139" t="str">
        <f t="shared" si="2"/>
        <v>fo</v>
      </c>
      <c r="C176" s="111" t="s">
        <v>101</v>
      </c>
      <c r="E176" s="221" t="str">
        <f ca="1">_xll.DBRA(Server&amp;$C$24,$C176,$F$21)</f>
        <v>Dépenses de formation</v>
      </c>
      <c r="F176" s="221"/>
      <c r="G176" s="221"/>
      <c r="H176" s="40"/>
      <c r="I176" s="192">
        <f ca="1">_xll.DBRW(Server&amp;Cube1,$F$17,$F$18,$F$19,$F$16,$C$14,$F$15,$F$14,$F$20,I$2,I$1,$C176)</f>
        <v>0</v>
      </c>
      <c r="J176" s="192">
        <f ca="1">_xll.DBRW(Server&amp;Cube1,$F$17,$F$18,$F$19,$F$16,$C$14,$F$15,$F$14,$F$20,J$2,J$1,$C176)</f>
        <v>0</v>
      </c>
      <c r="K176" s="183"/>
      <c r="L176" s="181">
        <f ca="1">_xll.DBRW(Server&amp;Cube1,$F$17,$F$18,$F$19,$F$16,$C$14,$F$15,$F$14,$F$20,L$2,L$1,$C176)</f>
        <v>0</v>
      </c>
      <c r="M176" s="181"/>
      <c r="N176" s="181">
        <f ca="1">_xll.DBRW(Server&amp;Cube1,$F$17,$F$18,$F$19,$F$16,$C$14,$F$15,$F$14,$F$20,N$2,$N$1,$C176)</f>
        <v>0</v>
      </c>
      <c r="O176" s="181">
        <f ca="1">_xll.DBRW(Server&amp;Cube1,$F$17,$F$18,$F$19,$F$16,$C$14,$F$15,$F$14,$F$20,O$2,$N$1,$C176)</f>
        <v>0</v>
      </c>
      <c r="P176" s="181">
        <f ca="1">_xll.DBRW(Server&amp;Cube1,$F$17,$F$18,$F$19,$F$16,$C$14,$F$15,$F$14,$F$20,P$2,$N$1,$C176)</f>
        <v>0</v>
      </c>
      <c r="Q176" s="181">
        <f ca="1">_xll.DBRW(Server&amp;Cube1,$F$17,$F$18,$F$19,$F$16,$C$14,$F$15,$F$14,$F$20,Q$2,$N$1,$C176)</f>
        <v>0</v>
      </c>
      <c r="R176" s="181">
        <f ca="1">_xll.DBRW(Server&amp;Cube1,$F$17,$F$18,$F$19,$F$16,$C$14,$F$15,$F$14,$F$20,R$2,$N$1,$C176)</f>
        <v>0</v>
      </c>
      <c r="S176" s="181">
        <f ca="1">_xll.DBRW(Server&amp;Cube1,$F$17,$F$18,$F$19,$F$16,$C$14,$F$15,$F$14,$F$20,S$2,$N$1,$C176)</f>
        <v>0</v>
      </c>
      <c r="T176" s="181">
        <f ca="1">_xll.DBRW(Server&amp;Cube1,$F$17,$F$18,$F$19,$F$16,$C$14,$F$15,$F$14,$F$20,T$2,$N$1,$C176)</f>
        <v>0</v>
      </c>
      <c r="U176" s="181">
        <f ca="1">_xll.DBRW(Server&amp;Cube1,$F$17,$F$18,$F$19,$F$16,$C$14,$F$15,$F$14,$F$20,U$2,$N$1,$C176)</f>
        <v>0</v>
      </c>
      <c r="V176" s="181">
        <f ca="1">_xll.DBRW(Server&amp;Cube1,$F$17,$F$18,$F$19,$F$16,$C$14,$F$15,$F$14,$F$20,V$2,$N$1,$C176)</f>
        <v>0</v>
      </c>
      <c r="W176" s="181">
        <f ca="1">_xll.DBRW(Server&amp;Cube1,$F$17,$F$18,$F$19,$F$16,$C$14,$F$15,$F$14,$F$20,W$2,$N$1,$C176)</f>
        <v>0</v>
      </c>
      <c r="X176" s="181">
        <f ca="1">_xll.DBRW(Server&amp;Cube1,$F$17,$F$18,$F$19,$F$16,$C$14,$F$15,$F$14,$F$20,X$2,$N$1,$C176)</f>
        <v>0</v>
      </c>
      <c r="Y176" s="181">
        <f ca="1">_xll.DBRW(Server&amp;Cube1,$F$17,$F$18,$F$19,$F$16,$C$14,$F$15,$F$14,$F$20,Y$2,$N$1,$C176)</f>
        <v>0</v>
      </c>
      <c r="Z176" s="181">
        <f ca="1">_xll.DBRW(Server&amp;Cube1,$F$17,$F$18,$F$19,$F$16,$C$14,$F$15,$F$14,$F$20,Z$2,$N$1,$C176)</f>
        <v>0</v>
      </c>
      <c r="AA176" s="53"/>
      <c r="AB176" s="53"/>
      <c r="AC176" s="53"/>
      <c r="AD176" s="53"/>
      <c r="AE176" s="53"/>
      <c r="AF176" s="53"/>
      <c r="AG176" s="53"/>
      <c r="AH176" s="53"/>
      <c r="AI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</row>
    <row r="177" spans="1:47" s="9" customFormat="1" ht="24.75" customHeight="1" x14ac:dyDescent="0.35">
      <c r="A177" s="157">
        <f ca="1">IF($AN$35="YES",1,IF(_xll.ELCOMPN(Server&amp;$C$24,C177)&lt;&gt;0,1,IF(OR(B177=$AT$35,B177="ALL"),1,0)))</f>
        <v>1</v>
      </c>
      <c r="B177" s="139" t="str">
        <f t="shared" si="2"/>
        <v>DS</v>
      </c>
      <c r="C177" s="137" t="s">
        <v>280</v>
      </c>
      <c r="E177" s="219" t="str">
        <f ca="1">_xll.DBRA(Server&amp;$C$24,$C177,$F$21)</f>
        <v>Dépenses de formation (SO)</v>
      </c>
      <c r="F177" s="219"/>
      <c r="G177" s="219"/>
      <c r="H177" s="40"/>
      <c r="I177" s="192">
        <f ca="1">_xll.DBRW(Server&amp;Cube1,$F$17,$F$18,$F$19,$F$16,$C$14,$F$15,$F$14,$F$20,I$2,I$1,$C177)</f>
        <v>0</v>
      </c>
      <c r="J177" s="192">
        <f ca="1">_xll.DBRW(Server&amp;Cube1,$F$17,$F$18,$F$19,$F$16,$C$14,$F$15,$F$14,$F$20,J$2,J$1,$C177)</f>
        <v>0</v>
      </c>
      <c r="K177" s="183"/>
      <c r="L177" s="185">
        <f ca="1">_xll.DBRW(Server&amp;Cube1,$F$17,$F$18,$F$19,$F$16,$C$14,$F$15,$F$14,$F$20,L$2,L$1,$C177)</f>
        <v>0</v>
      </c>
      <c r="M177" s="184"/>
      <c r="N177" s="185">
        <f ca="1">_xll.DBRW(Server&amp;Cube1,$F$17,$F$18,$F$19,$F$16,$C$14,$F$15,$F$14,$F$20,N$2,$N$1,$C177)</f>
        <v>0</v>
      </c>
      <c r="O177" s="185">
        <f ca="1">_xll.DBRW(Server&amp;Cube1,$F$17,$F$18,$F$19,$F$16,$C$14,$F$15,$F$14,$F$20,O$2,$N$1,$C177)</f>
        <v>0</v>
      </c>
      <c r="P177" s="185">
        <f ca="1">_xll.DBRW(Server&amp;Cube1,$F$17,$F$18,$F$19,$F$16,$C$14,$F$15,$F$14,$F$20,P$2,$N$1,$C177)</f>
        <v>0</v>
      </c>
      <c r="Q177" s="185">
        <f ca="1">_xll.DBRW(Server&amp;Cube1,$F$17,$F$18,$F$19,$F$16,$C$14,$F$15,$F$14,$F$20,Q$2,$N$1,$C177)</f>
        <v>0</v>
      </c>
      <c r="R177" s="185">
        <f ca="1">_xll.DBRW(Server&amp;Cube1,$F$17,$F$18,$F$19,$F$16,$C$14,$F$15,$F$14,$F$20,R$2,$N$1,$C177)</f>
        <v>0</v>
      </c>
      <c r="S177" s="185">
        <f ca="1">_xll.DBRW(Server&amp;Cube1,$F$17,$F$18,$F$19,$F$16,$C$14,$F$15,$F$14,$F$20,S$2,$N$1,$C177)</f>
        <v>0</v>
      </c>
      <c r="T177" s="185">
        <f ca="1">_xll.DBRW(Server&amp;Cube1,$F$17,$F$18,$F$19,$F$16,$C$14,$F$15,$F$14,$F$20,T$2,$N$1,$C177)</f>
        <v>0</v>
      </c>
      <c r="U177" s="185">
        <f ca="1">_xll.DBRW(Server&amp;Cube1,$F$17,$F$18,$F$19,$F$16,$C$14,$F$15,$F$14,$F$20,U$2,$N$1,$C177)</f>
        <v>0</v>
      </c>
      <c r="V177" s="185">
        <f ca="1">_xll.DBRW(Server&amp;Cube1,$F$17,$F$18,$F$19,$F$16,$C$14,$F$15,$F$14,$F$20,V$2,$N$1,$C177)</f>
        <v>0</v>
      </c>
      <c r="W177" s="185">
        <f ca="1">_xll.DBRW(Server&amp;Cube1,$F$17,$F$18,$F$19,$F$16,$C$14,$F$15,$F$14,$F$20,W$2,$N$1,$C177)</f>
        <v>0</v>
      </c>
      <c r="X177" s="185">
        <f ca="1">_xll.DBRW(Server&amp;Cube1,$F$17,$F$18,$F$19,$F$16,$C$14,$F$15,$F$14,$F$20,X$2,$N$1,$C177)</f>
        <v>0</v>
      </c>
      <c r="Y177" s="185">
        <f ca="1">_xll.DBRW(Server&amp;Cube1,$F$17,$F$18,$F$19,$F$16,$C$14,$F$15,$F$14,$F$20,Y$2,$N$1,$C177)</f>
        <v>0</v>
      </c>
      <c r="Z177" s="185">
        <f ca="1">_xll.DBRW(Server&amp;Cube1,$F$17,$F$18,$F$19,$F$16,$C$14,$F$15,$F$14,$F$20,Z$2,$N$1,$C177)</f>
        <v>0</v>
      </c>
      <c r="AA177" s="53"/>
      <c r="AB177" s="53"/>
      <c r="AC177" s="53"/>
      <c r="AD177" s="53"/>
      <c r="AE177" s="53"/>
      <c r="AF177" s="53"/>
      <c r="AG177" s="53"/>
      <c r="AH177" s="53"/>
      <c r="AI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</row>
    <row r="178" spans="1:47" s="9" customFormat="1" ht="24.75" customHeight="1" x14ac:dyDescent="0.35">
      <c r="A178" s="157">
        <f ca="1">IF($AN$35="YES",1,IF(_xll.ELCOMPN(Server&amp;$C$24,C178)&lt;&gt;0,1,IF(OR(B178=$AT$35,B178="ALL"),1,0)))</f>
        <v>1</v>
      </c>
      <c r="B178" s="139" t="str">
        <f t="shared" si="2"/>
        <v>BD</v>
      </c>
      <c r="C178" s="137" t="s">
        <v>281</v>
      </c>
      <c r="E178" s="219" t="str">
        <f ca="1">_xll.DBRA(Server&amp;$C$24,$C178,$F$21)</f>
        <v>Dépenses de formation (DC)</v>
      </c>
      <c r="F178" s="219"/>
      <c r="G178" s="219"/>
      <c r="H178" s="40"/>
      <c r="I178" s="192">
        <f ca="1">_xll.DBRW(Server&amp;Cube1,$F$17,$F$18,$F$19,$F$16,$C$14,$F$15,$F$14,$F$20,I$2,I$1,$C178)</f>
        <v>0</v>
      </c>
      <c r="J178" s="192">
        <f ca="1">_xll.DBRW(Server&amp;Cube1,$F$17,$F$18,$F$19,$F$16,$C$14,$F$15,$F$14,$F$20,J$2,J$1,$C178)</f>
        <v>0</v>
      </c>
      <c r="K178" s="183"/>
      <c r="L178" s="185">
        <f ca="1">_xll.DBRW(Server&amp;Cube1,$F$17,$F$18,$F$19,$F$16,$C$14,$F$15,$F$14,$F$20,L$2,L$1,$C178)</f>
        <v>0</v>
      </c>
      <c r="M178" s="184"/>
      <c r="N178" s="185">
        <f ca="1">_xll.DBRW(Server&amp;Cube1,$F$17,$F$18,$F$19,$F$16,$C$14,$F$15,$F$14,$F$20,N$2,$N$1,$C178)</f>
        <v>0</v>
      </c>
      <c r="O178" s="185">
        <f ca="1">_xll.DBRW(Server&amp;Cube1,$F$17,$F$18,$F$19,$F$16,$C$14,$F$15,$F$14,$F$20,O$2,$N$1,$C178)</f>
        <v>0</v>
      </c>
      <c r="P178" s="185">
        <f ca="1">_xll.DBRW(Server&amp;Cube1,$F$17,$F$18,$F$19,$F$16,$C$14,$F$15,$F$14,$F$20,P$2,$N$1,$C178)</f>
        <v>0</v>
      </c>
      <c r="Q178" s="185">
        <f ca="1">_xll.DBRW(Server&amp;Cube1,$F$17,$F$18,$F$19,$F$16,$C$14,$F$15,$F$14,$F$20,Q$2,$N$1,$C178)</f>
        <v>0</v>
      </c>
      <c r="R178" s="185">
        <f ca="1">_xll.DBRW(Server&amp;Cube1,$F$17,$F$18,$F$19,$F$16,$C$14,$F$15,$F$14,$F$20,R$2,$N$1,$C178)</f>
        <v>0</v>
      </c>
      <c r="S178" s="185">
        <f ca="1">_xll.DBRW(Server&amp;Cube1,$F$17,$F$18,$F$19,$F$16,$C$14,$F$15,$F$14,$F$20,S$2,$N$1,$C178)</f>
        <v>0</v>
      </c>
      <c r="T178" s="185">
        <f ca="1">_xll.DBRW(Server&amp;Cube1,$F$17,$F$18,$F$19,$F$16,$C$14,$F$15,$F$14,$F$20,T$2,$N$1,$C178)</f>
        <v>0</v>
      </c>
      <c r="U178" s="185">
        <f ca="1">_xll.DBRW(Server&amp;Cube1,$F$17,$F$18,$F$19,$F$16,$C$14,$F$15,$F$14,$F$20,U$2,$N$1,$C178)</f>
        <v>0</v>
      </c>
      <c r="V178" s="185">
        <f ca="1">_xll.DBRW(Server&amp;Cube1,$F$17,$F$18,$F$19,$F$16,$C$14,$F$15,$F$14,$F$20,V$2,$N$1,$C178)</f>
        <v>0</v>
      </c>
      <c r="W178" s="185">
        <f ca="1">_xll.DBRW(Server&amp;Cube1,$F$17,$F$18,$F$19,$F$16,$C$14,$F$15,$F$14,$F$20,W$2,$N$1,$C178)</f>
        <v>0</v>
      </c>
      <c r="X178" s="185">
        <f ca="1">_xll.DBRW(Server&amp;Cube1,$F$17,$F$18,$F$19,$F$16,$C$14,$F$15,$F$14,$F$20,X$2,$N$1,$C178)</f>
        <v>0</v>
      </c>
      <c r="Y178" s="185">
        <f ca="1">_xll.DBRW(Server&amp;Cube1,$F$17,$F$18,$F$19,$F$16,$C$14,$F$15,$F$14,$F$20,Y$2,$N$1,$C178)</f>
        <v>0</v>
      </c>
      <c r="Z178" s="185">
        <f ca="1">_xll.DBRW(Server&amp;Cube1,$F$17,$F$18,$F$19,$F$16,$C$14,$F$15,$F$14,$F$20,Z$2,$N$1,$C178)</f>
        <v>0</v>
      </c>
      <c r="AA178" s="53"/>
      <c r="AB178" s="53"/>
      <c r="AC178" s="53"/>
      <c r="AD178" s="53"/>
      <c r="AE178" s="53"/>
      <c r="AF178" s="53"/>
      <c r="AG178" s="53"/>
      <c r="AH178" s="53"/>
      <c r="AI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</row>
    <row r="179" spans="1:47" s="9" customFormat="1" ht="24.75" customHeight="1" x14ac:dyDescent="0.35">
      <c r="A179" s="157">
        <f ca="1">IF($AN$35="YES",1,IF(_xll.ELCOMPN(Server&amp;$C$24,C179)&lt;&gt;0,1,IF(OR(B179=$AT$35,B179="ALL"),1,0)))</f>
        <v>1</v>
      </c>
      <c r="B179" s="139" t="str">
        <f t="shared" si="2"/>
        <v>FI</v>
      </c>
      <c r="C179" s="137" t="s">
        <v>282</v>
      </c>
      <c r="E179" s="219" t="str">
        <f ca="1">_xll.DBRA(Server&amp;$C$24,$C179,$F$21)</f>
        <v>Dépenses de formation (DF)</v>
      </c>
      <c r="F179" s="219"/>
      <c r="G179" s="219"/>
      <c r="H179" s="40"/>
      <c r="I179" s="192">
        <f ca="1">_xll.DBRW(Server&amp;Cube1,$F$17,$F$18,$F$19,$F$16,$C$14,$F$15,$F$14,$F$20,I$2,I$1,$C179)</f>
        <v>0</v>
      </c>
      <c r="J179" s="192">
        <f ca="1">_xll.DBRW(Server&amp;Cube1,$F$17,$F$18,$F$19,$F$16,$C$14,$F$15,$F$14,$F$20,J$2,J$1,$C179)</f>
        <v>0</v>
      </c>
      <c r="K179" s="183"/>
      <c r="L179" s="185">
        <f ca="1">_xll.DBRW(Server&amp;Cube1,$F$17,$F$18,$F$19,$F$16,$C$14,$F$15,$F$14,$F$20,L$2,L$1,$C179)</f>
        <v>0</v>
      </c>
      <c r="M179" s="184"/>
      <c r="N179" s="185">
        <f ca="1">_xll.DBRW(Server&amp;Cube1,$F$17,$F$18,$F$19,$F$16,$C$14,$F$15,$F$14,$F$20,N$2,$N$1,$C179)</f>
        <v>0</v>
      </c>
      <c r="O179" s="185">
        <f ca="1">_xll.DBRW(Server&amp;Cube1,$F$17,$F$18,$F$19,$F$16,$C$14,$F$15,$F$14,$F$20,O$2,$N$1,$C179)</f>
        <v>0</v>
      </c>
      <c r="P179" s="185">
        <f ca="1">_xll.DBRW(Server&amp;Cube1,$F$17,$F$18,$F$19,$F$16,$C$14,$F$15,$F$14,$F$20,P$2,$N$1,$C179)</f>
        <v>0</v>
      </c>
      <c r="Q179" s="185">
        <f ca="1">_xll.DBRW(Server&amp;Cube1,$F$17,$F$18,$F$19,$F$16,$C$14,$F$15,$F$14,$F$20,Q$2,$N$1,$C179)</f>
        <v>0</v>
      </c>
      <c r="R179" s="185">
        <f ca="1">_xll.DBRW(Server&amp;Cube1,$F$17,$F$18,$F$19,$F$16,$C$14,$F$15,$F$14,$F$20,R$2,$N$1,$C179)</f>
        <v>0</v>
      </c>
      <c r="S179" s="185">
        <f ca="1">_xll.DBRW(Server&amp;Cube1,$F$17,$F$18,$F$19,$F$16,$C$14,$F$15,$F$14,$F$20,S$2,$N$1,$C179)</f>
        <v>0</v>
      </c>
      <c r="T179" s="185">
        <f ca="1">_xll.DBRW(Server&amp;Cube1,$F$17,$F$18,$F$19,$F$16,$C$14,$F$15,$F$14,$F$20,T$2,$N$1,$C179)</f>
        <v>0</v>
      </c>
      <c r="U179" s="185">
        <f ca="1">_xll.DBRW(Server&amp;Cube1,$F$17,$F$18,$F$19,$F$16,$C$14,$F$15,$F$14,$F$20,U$2,$N$1,$C179)</f>
        <v>0</v>
      </c>
      <c r="V179" s="185">
        <f ca="1">_xll.DBRW(Server&amp;Cube1,$F$17,$F$18,$F$19,$F$16,$C$14,$F$15,$F$14,$F$20,V$2,$N$1,$C179)</f>
        <v>0</v>
      </c>
      <c r="W179" s="185">
        <f ca="1">_xll.DBRW(Server&amp;Cube1,$F$17,$F$18,$F$19,$F$16,$C$14,$F$15,$F$14,$F$20,W$2,$N$1,$C179)</f>
        <v>0</v>
      </c>
      <c r="X179" s="185">
        <f ca="1">_xll.DBRW(Server&amp;Cube1,$F$17,$F$18,$F$19,$F$16,$C$14,$F$15,$F$14,$F$20,X$2,$N$1,$C179)</f>
        <v>0</v>
      </c>
      <c r="Y179" s="185">
        <f ca="1">_xll.DBRW(Server&amp;Cube1,$F$17,$F$18,$F$19,$F$16,$C$14,$F$15,$F$14,$F$20,Y$2,$N$1,$C179)</f>
        <v>0</v>
      </c>
      <c r="Z179" s="185">
        <f ca="1">_xll.DBRW(Server&amp;Cube1,$F$17,$F$18,$F$19,$F$16,$C$14,$F$15,$F$14,$F$20,Z$2,$N$1,$C179)</f>
        <v>0</v>
      </c>
      <c r="AA179" s="53"/>
      <c r="AB179" s="53"/>
      <c r="AC179" s="53"/>
      <c r="AD179" s="53"/>
      <c r="AE179" s="53"/>
      <c r="AF179" s="53"/>
      <c r="AG179" s="53"/>
      <c r="AH179" s="53"/>
      <c r="AI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</row>
    <row r="180" spans="1:47" s="9" customFormat="1" ht="24.75" customHeight="1" x14ac:dyDescent="0.35">
      <c r="A180" s="157">
        <f ca="1">IF($AN$35="YES",1,IF(_xll.ELCOMPN(Server&amp;$C$24,C180)&lt;&gt;0,1,IF(OR(B180=$AT$35,B180="ALL"),1,0)))</f>
        <v>1</v>
      </c>
      <c r="B180" s="139" t="str">
        <f t="shared" si="2"/>
        <v>IT</v>
      </c>
      <c r="C180" s="137" t="s">
        <v>283</v>
      </c>
      <c r="E180" s="219" t="str">
        <f ca="1">_xll.DBRA(Server&amp;$C$24,$C180,$F$21)</f>
        <v>Dépenses de formation (IT)</v>
      </c>
      <c r="F180" s="219"/>
      <c r="G180" s="219"/>
      <c r="H180" s="40"/>
      <c r="I180" s="192">
        <f ca="1">_xll.DBRW(Server&amp;Cube1,$F$17,$F$18,$F$19,$F$16,$C$14,$F$15,$F$14,$F$20,I$2,I$1,$C180)</f>
        <v>0</v>
      </c>
      <c r="J180" s="192">
        <f ca="1">_xll.DBRW(Server&amp;Cube1,$F$17,$F$18,$F$19,$F$16,$C$14,$F$15,$F$14,$F$20,J$2,J$1,$C180)</f>
        <v>0</v>
      </c>
      <c r="K180" s="183"/>
      <c r="L180" s="185">
        <f ca="1">_xll.DBRW(Server&amp;Cube1,$F$17,$F$18,$F$19,$F$16,$C$14,$F$15,$F$14,$F$20,L$2,L$1,$C180)</f>
        <v>0</v>
      </c>
      <c r="M180" s="184"/>
      <c r="N180" s="185">
        <f ca="1">_xll.DBRW(Server&amp;Cube1,$F$17,$F$18,$F$19,$F$16,$C$14,$F$15,$F$14,$F$20,N$2,$N$1,$C180)</f>
        <v>0</v>
      </c>
      <c r="O180" s="185">
        <f ca="1">_xll.DBRW(Server&amp;Cube1,$F$17,$F$18,$F$19,$F$16,$C$14,$F$15,$F$14,$F$20,O$2,$N$1,$C180)</f>
        <v>0</v>
      </c>
      <c r="P180" s="185">
        <f ca="1">_xll.DBRW(Server&amp;Cube1,$F$17,$F$18,$F$19,$F$16,$C$14,$F$15,$F$14,$F$20,P$2,$N$1,$C180)</f>
        <v>0</v>
      </c>
      <c r="Q180" s="185">
        <f ca="1">_xll.DBRW(Server&amp;Cube1,$F$17,$F$18,$F$19,$F$16,$C$14,$F$15,$F$14,$F$20,Q$2,$N$1,$C180)</f>
        <v>0</v>
      </c>
      <c r="R180" s="185">
        <f ca="1">_xll.DBRW(Server&amp;Cube1,$F$17,$F$18,$F$19,$F$16,$C$14,$F$15,$F$14,$F$20,R$2,$N$1,$C180)</f>
        <v>0</v>
      </c>
      <c r="S180" s="185">
        <f ca="1">_xll.DBRW(Server&amp;Cube1,$F$17,$F$18,$F$19,$F$16,$C$14,$F$15,$F$14,$F$20,S$2,$N$1,$C180)</f>
        <v>0</v>
      </c>
      <c r="T180" s="185">
        <f ca="1">_xll.DBRW(Server&amp;Cube1,$F$17,$F$18,$F$19,$F$16,$C$14,$F$15,$F$14,$F$20,T$2,$N$1,$C180)</f>
        <v>0</v>
      </c>
      <c r="U180" s="185">
        <f ca="1">_xll.DBRW(Server&amp;Cube1,$F$17,$F$18,$F$19,$F$16,$C$14,$F$15,$F$14,$F$20,U$2,$N$1,$C180)</f>
        <v>0</v>
      </c>
      <c r="V180" s="185">
        <f ca="1">_xll.DBRW(Server&amp;Cube1,$F$17,$F$18,$F$19,$F$16,$C$14,$F$15,$F$14,$F$20,V$2,$N$1,$C180)</f>
        <v>0</v>
      </c>
      <c r="W180" s="185">
        <f ca="1">_xll.DBRW(Server&amp;Cube1,$F$17,$F$18,$F$19,$F$16,$C$14,$F$15,$F$14,$F$20,W$2,$N$1,$C180)</f>
        <v>0</v>
      </c>
      <c r="X180" s="185">
        <f ca="1">_xll.DBRW(Server&amp;Cube1,$F$17,$F$18,$F$19,$F$16,$C$14,$F$15,$F$14,$F$20,X$2,$N$1,$C180)</f>
        <v>0</v>
      </c>
      <c r="Y180" s="185">
        <f ca="1">_xll.DBRW(Server&amp;Cube1,$F$17,$F$18,$F$19,$F$16,$C$14,$F$15,$F$14,$F$20,Y$2,$N$1,$C180)</f>
        <v>0</v>
      </c>
      <c r="Z180" s="185">
        <f ca="1">_xll.DBRW(Server&amp;Cube1,$F$17,$F$18,$F$19,$F$16,$C$14,$F$15,$F$14,$F$20,Z$2,$N$1,$C180)</f>
        <v>0</v>
      </c>
      <c r="AA180" s="53"/>
      <c r="AB180" s="53"/>
      <c r="AC180" s="53"/>
      <c r="AD180" s="53"/>
      <c r="AE180" s="53"/>
      <c r="AF180" s="53"/>
      <c r="AG180" s="53"/>
      <c r="AH180" s="53"/>
      <c r="AI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</row>
    <row r="181" spans="1:47" s="9" customFormat="1" ht="24.75" customHeight="1" x14ac:dyDescent="0.35">
      <c r="A181" s="157">
        <f ca="1">IF($AN$35="YES",1,IF(_xll.ELCOMPN(Server&amp;$C$24,C181)&lt;&gt;0,1,IF(OR(B181=$AT$35,B181="ALL"),1,0)))</f>
        <v>1</v>
      </c>
      <c r="B181" s="139" t="str">
        <f t="shared" si="2"/>
        <v>HR</v>
      </c>
      <c r="C181" s="137" t="s">
        <v>284</v>
      </c>
      <c r="E181" s="219" t="str">
        <f ca="1">_xll.DBRA(Server&amp;$C$24,$C181,$F$21)</f>
        <v>Dépenses de formation (RH)</v>
      </c>
      <c r="F181" s="219"/>
      <c r="G181" s="219"/>
      <c r="H181" s="40"/>
      <c r="I181" s="192">
        <f ca="1">_xll.DBRW(Server&amp;Cube1,$F$17,$F$18,$F$19,$F$16,$C$14,$F$15,$F$14,$F$20,I$2,I$1,$C181)</f>
        <v>0</v>
      </c>
      <c r="J181" s="192">
        <f ca="1">_xll.DBRW(Server&amp;Cube1,$F$17,$F$18,$F$19,$F$16,$C$14,$F$15,$F$14,$F$20,J$2,J$1,$C181)</f>
        <v>0</v>
      </c>
      <c r="K181" s="183"/>
      <c r="L181" s="185">
        <f ca="1">_xll.DBRW(Server&amp;Cube1,$F$17,$F$18,$F$19,$F$16,$C$14,$F$15,$F$14,$F$20,L$2,L$1,$C181)</f>
        <v>0</v>
      </c>
      <c r="M181" s="184"/>
      <c r="N181" s="185">
        <f ca="1">_xll.DBRW(Server&amp;Cube1,$F$17,$F$18,$F$19,$F$16,$C$14,$F$15,$F$14,$F$20,N$2,$N$1,$C181)</f>
        <v>0</v>
      </c>
      <c r="O181" s="185">
        <f ca="1">_xll.DBRW(Server&amp;Cube1,$F$17,$F$18,$F$19,$F$16,$C$14,$F$15,$F$14,$F$20,O$2,$N$1,$C181)</f>
        <v>0</v>
      </c>
      <c r="P181" s="185">
        <f ca="1">_xll.DBRW(Server&amp;Cube1,$F$17,$F$18,$F$19,$F$16,$C$14,$F$15,$F$14,$F$20,P$2,$N$1,$C181)</f>
        <v>0</v>
      </c>
      <c r="Q181" s="185">
        <f ca="1">_xll.DBRW(Server&amp;Cube1,$F$17,$F$18,$F$19,$F$16,$C$14,$F$15,$F$14,$F$20,Q$2,$N$1,$C181)</f>
        <v>0</v>
      </c>
      <c r="R181" s="185">
        <f ca="1">_xll.DBRW(Server&amp;Cube1,$F$17,$F$18,$F$19,$F$16,$C$14,$F$15,$F$14,$F$20,R$2,$N$1,$C181)</f>
        <v>0</v>
      </c>
      <c r="S181" s="185">
        <f ca="1">_xll.DBRW(Server&amp;Cube1,$F$17,$F$18,$F$19,$F$16,$C$14,$F$15,$F$14,$F$20,S$2,$N$1,$C181)</f>
        <v>0</v>
      </c>
      <c r="T181" s="185">
        <f ca="1">_xll.DBRW(Server&amp;Cube1,$F$17,$F$18,$F$19,$F$16,$C$14,$F$15,$F$14,$F$20,T$2,$N$1,$C181)</f>
        <v>0</v>
      </c>
      <c r="U181" s="185">
        <f ca="1">_xll.DBRW(Server&amp;Cube1,$F$17,$F$18,$F$19,$F$16,$C$14,$F$15,$F$14,$F$20,U$2,$N$1,$C181)</f>
        <v>0</v>
      </c>
      <c r="V181" s="185">
        <f ca="1">_xll.DBRW(Server&amp;Cube1,$F$17,$F$18,$F$19,$F$16,$C$14,$F$15,$F$14,$F$20,V$2,$N$1,$C181)</f>
        <v>0</v>
      </c>
      <c r="W181" s="185">
        <f ca="1">_xll.DBRW(Server&amp;Cube1,$F$17,$F$18,$F$19,$F$16,$C$14,$F$15,$F$14,$F$20,W$2,$N$1,$C181)</f>
        <v>0</v>
      </c>
      <c r="X181" s="185">
        <f ca="1">_xll.DBRW(Server&amp;Cube1,$F$17,$F$18,$F$19,$F$16,$C$14,$F$15,$F$14,$F$20,X$2,$N$1,$C181)</f>
        <v>0</v>
      </c>
      <c r="Y181" s="185">
        <f ca="1">_xll.DBRW(Server&amp;Cube1,$F$17,$F$18,$F$19,$F$16,$C$14,$F$15,$F$14,$F$20,Y$2,$N$1,$C181)</f>
        <v>0</v>
      </c>
      <c r="Z181" s="185">
        <f ca="1">_xll.DBRW(Server&amp;Cube1,$F$17,$F$18,$F$19,$F$16,$C$14,$F$15,$F$14,$F$20,Z$2,$N$1,$C181)</f>
        <v>0</v>
      </c>
      <c r="AA181" s="53"/>
      <c r="AB181" s="53"/>
      <c r="AC181" s="53"/>
      <c r="AD181" s="53"/>
      <c r="AE181" s="53"/>
      <c r="AF181" s="53"/>
      <c r="AG181" s="53"/>
      <c r="AH181" s="53"/>
      <c r="AI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</row>
    <row r="182" spans="1:47" s="9" customFormat="1" ht="24.75" customHeight="1" x14ac:dyDescent="0.35">
      <c r="A182" s="157">
        <f ca="1">IF($AN$35="YES",1,IF(_xll.ELCOMPN(Server&amp;$C$24,C182)&lt;&gt;0,1,IF(OR(B182=$AT$35,B182="ALL"),1,0)))</f>
        <v>1</v>
      </c>
      <c r="B182" s="139" t="str">
        <f t="shared" si="2"/>
        <v>GM</v>
      </c>
      <c r="C182" s="137" t="s">
        <v>285</v>
      </c>
      <c r="E182" s="219" t="str">
        <f ca="1">_xll.DBRA(Server&amp;$C$24,$C182,$F$21)</f>
        <v>Dépenses de formation (DG)</v>
      </c>
      <c r="F182" s="219"/>
      <c r="G182" s="219"/>
      <c r="H182" s="40"/>
      <c r="I182" s="192">
        <f ca="1">_xll.DBRW(Server&amp;Cube1,$F$17,$F$18,$F$19,$F$16,$C$14,$F$15,$F$14,$F$20,I$2,I$1,$C182)</f>
        <v>0</v>
      </c>
      <c r="J182" s="192">
        <f ca="1">_xll.DBRW(Server&amp;Cube1,$F$17,$F$18,$F$19,$F$16,$C$14,$F$15,$F$14,$F$20,J$2,J$1,$C182)</f>
        <v>0</v>
      </c>
      <c r="K182" s="183"/>
      <c r="L182" s="185">
        <f ca="1">_xll.DBRW(Server&amp;Cube1,$F$17,$F$18,$F$19,$F$16,$C$14,$F$15,$F$14,$F$20,L$2,L$1,$C182)</f>
        <v>0</v>
      </c>
      <c r="M182" s="184"/>
      <c r="N182" s="185">
        <f ca="1">_xll.DBRW(Server&amp;Cube1,$F$17,$F$18,$F$19,$F$16,$C$14,$F$15,$F$14,$F$20,N$2,$N$1,$C182)</f>
        <v>0</v>
      </c>
      <c r="O182" s="185">
        <f ca="1">_xll.DBRW(Server&amp;Cube1,$F$17,$F$18,$F$19,$F$16,$C$14,$F$15,$F$14,$F$20,O$2,$N$1,$C182)</f>
        <v>0</v>
      </c>
      <c r="P182" s="185">
        <f ca="1">_xll.DBRW(Server&amp;Cube1,$F$17,$F$18,$F$19,$F$16,$C$14,$F$15,$F$14,$F$20,P$2,$N$1,$C182)</f>
        <v>0</v>
      </c>
      <c r="Q182" s="185">
        <f ca="1">_xll.DBRW(Server&amp;Cube1,$F$17,$F$18,$F$19,$F$16,$C$14,$F$15,$F$14,$F$20,Q$2,$N$1,$C182)</f>
        <v>0</v>
      </c>
      <c r="R182" s="185">
        <f ca="1">_xll.DBRW(Server&amp;Cube1,$F$17,$F$18,$F$19,$F$16,$C$14,$F$15,$F$14,$F$20,R$2,$N$1,$C182)</f>
        <v>0</v>
      </c>
      <c r="S182" s="185">
        <f ca="1">_xll.DBRW(Server&amp;Cube1,$F$17,$F$18,$F$19,$F$16,$C$14,$F$15,$F$14,$F$20,S$2,$N$1,$C182)</f>
        <v>0</v>
      </c>
      <c r="T182" s="185">
        <f ca="1">_xll.DBRW(Server&amp;Cube1,$F$17,$F$18,$F$19,$F$16,$C$14,$F$15,$F$14,$F$20,T$2,$N$1,$C182)</f>
        <v>0</v>
      </c>
      <c r="U182" s="185">
        <f ca="1">_xll.DBRW(Server&amp;Cube1,$F$17,$F$18,$F$19,$F$16,$C$14,$F$15,$F$14,$F$20,U$2,$N$1,$C182)</f>
        <v>0</v>
      </c>
      <c r="V182" s="185">
        <f ca="1">_xll.DBRW(Server&amp;Cube1,$F$17,$F$18,$F$19,$F$16,$C$14,$F$15,$F$14,$F$20,V$2,$N$1,$C182)</f>
        <v>0</v>
      </c>
      <c r="W182" s="185">
        <f ca="1">_xll.DBRW(Server&amp;Cube1,$F$17,$F$18,$F$19,$F$16,$C$14,$F$15,$F$14,$F$20,W$2,$N$1,$C182)</f>
        <v>0</v>
      </c>
      <c r="X182" s="185">
        <f ca="1">_xll.DBRW(Server&amp;Cube1,$F$17,$F$18,$F$19,$F$16,$C$14,$F$15,$F$14,$F$20,X$2,$N$1,$C182)</f>
        <v>0</v>
      </c>
      <c r="Y182" s="185">
        <f ca="1">_xll.DBRW(Server&amp;Cube1,$F$17,$F$18,$F$19,$F$16,$C$14,$F$15,$F$14,$F$20,Y$2,$N$1,$C182)</f>
        <v>0</v>
      </c>
      <c r="Z182" s="185">
        <f ca="1">_xll.DBRW(Server&amp;Cube1,$F$17,$F$18,$F$19,$F$16,$C$14,$F$15,$F$14,$F$20,Z$2,$N$1,$C182)</f>
        <v>0</v>
      </c>
      <c r="AA182" s="53"/>
      <c r="AB182" s="53"/>
      <c r="AC182" s="53"/>
      <c r="AD182" s="53"/>
      <c r="AE182" s="53"/>
      <c r="AF182" s="53"/>
      <c r="AG182" s="53"/>
      <c r="AH182" s="53"/>
      <c r="AI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</row>
    <row r="183" spans="1:47" s="9" customFormat="1" ht="24.75" customHeight="1" x14ac:dyDescent="0.35">
      <c r="A183" s="157">
        <f ca="1">IF($AN$35="YES",1,IF(_xll.ELCOMPN(Server&amp;$C$24,C183)&lt;&gt;0,1,IF(OR(B183=$AT$35,B183="ALL"),1,0)))</f>
        <v>1</v>
      </c>
      <c r="B183" s="139" t="str">
        <f t="shared" si="2"/>
        <v>IA</v>
      </c>
      <c r="C183" s="137" t="s">
        <v>286</v>
      </c>
      <c r="E183" s="219" t="str">
        <f ca="1">_xll.DBRA(Server&amp;$C$24,$C183,$F$21)</f>
        <v>Dépenses de formation (AI)</v>
      </c>
      <c r="F183" s="219"/>
      <c r="G183" s="219"/>
      <c r="H183" s="40"/>
      <c r="I183" s="192">
        <f ca="1">_xll.DBRW(Server&amp;Cube1,$F$17,$F$18,$F$19,$F$16,$C$14,$F$15,$F$14,$F$20,I$2,I$1,$C183)</f>
        <v>0</v>
      </c>
      <c r="J183" s="192">
        <f ca="1">_xll.DBRW(Server&amp;Cube1,$F$17,$F$18,$F$19,$F$16,$C$14,$F$15,$F$14,$F$20,J$2,J$1,$C183)</f>
        <v>0</v>
      </c>
      <c r="K183" s="183"/>
      <c r="L183" s="185">
        <f ca="1">_xll.DBRW(Server&amp;Cube1,$F$17,$F$18,$F$19,$F$16,$C$14,$F$15,$F$14,$F$20,L$2,L$1,$C183)</f>
        <v>0</v>
      </c>
      <c r="M183" s="184"/>
      <c r="N183" s="185">
        <f ca="1">_xll.DBRW(Server&amp;Cube1,$F$17,$F$18,$F$19,$F$16,$C$14,$F$15,$F$14,$F$20,N$2,$N$1,$C183)</f>
        <v>0</v>
      </c>
      <c r="O183" s="185">
        <f ca="1">_xll.DBRW(Server&amp;Cube1,$F$17,$F$18,$F$19,$F$16,$C$14,$F$15,$F$14,$F$20,O$2,$N$1,$C183)</f>
        <v>0</v>
      </c>
      <c r="P183" s="185">
        <f ca="1">_xll.DBRW(Server&amp;Cube1,$F$17,$F$18,$F$19,$F$16,$C$14,$F$15,$F$14,$F$20,P$2,$N$1,$C183)</f>
        <v>0</v>
      </c>
      <c r="Q183" s="185">
        <f ca="1">_xll.DBRW(Server&amp;Cube1,$F$17,$F$18,$F$19,$F$16,$C$14,$F$15,$F$14,$F$20,Q$2,$N$1,$C183)</f>
        <v>0</v>
      </c>
      <c r="R183" s="185">
        <f ca="1">_xll.DBRW(Server&amp;Cube1,$F$17,$F$18,$F$19,$F$16,$C$14,$F$15,$F$14,$F$20,R$2,$N$1,$C183)</f>
        <v>0</v>
      </c>
      <c r="S183" s="185">
        <f ca="1">_xll.DBRW(Server&amp;Cube1,$F$17,$F$18,$F$19,$F$16,$C$14,$F$15,$F$14,$F$20,S$2,$N$1,$C183)</f>
        <v>0</v>
      </c>
      <c r="T183" s="185">
        <f ca="1">_xll.DBRW(Server&amp;Cube1,$F$17,$F$18,$F$19,$F$16,$C$14,$F$15,$F$14,$F$20,T$2,$N$1,$C183)</f>
        <v>0</v>
      </c>
      <c r="U183" s="185">
        <f ca="1">_xll.DBRW(Server&amp;Cube1,$F$17,$F$18,$F$19,$F$16,$C$14,$F$15,$F$14,$F$20,U$2,$N$1,$C183)</f>
        <v>0</v>
      </c>
      <c r="V183" s="185">
        <f ca="1">_xll.DBRW(Server&amp;Cube1,$F$17,$F$18,$F$19,$F$16,$C$14,$F$15,$F$14,$F$20,V$2,$N$1,$C183)</f>
        <v>0</v>
      </c>
      <c r="W183" s="185">
        <f ca="1">_xll.DBRW(Server&amp;Cube1,$F$17,$F$18,$F$19,$F$16,$C$14,$F$15,$F$14,$F$20,W$2,$N$1,$C183)</f>
        <v>0</v>
      </c>
      <c r="X183" s="185">
        <f ca="1">_xll.DBRW(Server&amp;Cube1,$F$17,$F$18,$F$19,$F$16,$C$14,$F$15,$F$14,$F$20,X$2,$N$1,$C183)</f>
        <v>0</v>
      </c>
      <c r="Y183" s="185">
        <f ca="1">_xll.DBRW(Server&amp;Cube1,$F$17,$F$18,$F$19,$F$16,$C$14,$F$15,$F$14,$F$20,Y$2,$N$1,$C183)</f>
        <v>0</v>
      </c>
      <c r="Z183" s="185">
        <f ca="1">_xll.DBRW(Server&amp;Cube1,$F$17,$F$18,$F$19,$F$16,$C$14,$F$15,$F$14,$F$20,Z$2,$N$1,$C183)</f>
        <v>0</v>
      </c>
      <c r="AA183" s="53"/>
      <c r="AB183" s="53"/>
      <c r="AC183" s="53"/>
      <c r="AD183" s="53"/>
      <c r="AE183" s="53"/>
      <c r="AF183" s="53"/>
      <c r="AG183" s="53"/>
      <c r="AH183" s="53"/>
      <c r="AI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</row>
    <row r="184" spans="1:47" s="9" customFormat="1" ht="24.75" customHeight="1" x14ac:dyDescent="0.35">
      <c r="A184" s="157">
        <f ca="1">IF($AN$35="YES",1,IF(_xll.ELCOMPN(Server&amp;$C$24,C184)&lt;&gt;0,1,IF(OR(B184=$AT$35,B184="ALL"),1,0)))</f>
        <v>1</v>
      </c>
      <c r="B184" s="139" t="str">
        <f t="shared" si="2"/>
        <v>LE</v>
      </c>
      <c r="C184" s="137" t="s">
        <v>287</v>
      </c>
      <c r="E184" s="219" t="str">
        <f ca="1">_xll.DBRA(Server&amp;$C$24,$C184,$F$21)</f>
        <v>Dépenses de formation (JU)</v>
      </c>
      <c r="F184" s="219"/>
      <c r="G184" s="219"/>
      <c r="H184" s="40"/>
      <c r="I184" s="192">
        <f ca="1">_xll.DBRW(Server&amp;Cube1,$F$17,$F$18,$F$19,$F$16,$C$14,$F$15,$F$14,$F$20,I$2,I$1,$C184)</f>
        <v>0</v>
      </c>
      <c r="J184" s="192">
        <f ca="1">_xll.DBRW(Server&amp;Cube1,$F$17,$F$18,$F$19,$F$16,$C$14,$F$15,$F$14,$F$20,J$2,J$1,$C184)</f>
        <v>0</v>
      </c>
      <c r="K184" s="183"/>
      <c r="L184" s="185">
        <f ca="1">_xll.DBRW(Server&amp;Cube1,$F$17,$F$18,$F$19,$F$16,$C$14,$F$15,$F$14,$F$20,L$2,L$1,$C184)</f>
        <v>0</v>
      </c>
      <c r="M184" s="184"/>
      <c r="N184" s="185">
        <f ca="1">_xll.DBRW(Server&amp;Cube1,$F$17,$F$18,$F$19,$F$16,$C$14,$F$15,$F$14,$F$20,N$2,$N$1,$C184)</f>
        <v>0</v>
      </c>
      <c r="O184" s="185">
        <f ca="1">_xll.DBRW(Server&amp;Cube1,$F$17,$F$18,$F$19,$F$16,$C$14,$F$15,$F$14,$F$20,O$2,$N$1,$C184)</f>
        <v>0</v>
      </c>
      <c r="P184" s="185">
        <f ca="1">_xll.DBRW(Server&amp;Cube1,$F$17,$F$18,$F$19,$F$16,$C$14,$F$15,$F$14,$F$20,P$2,$N$1,$C184)</f>
        <v>0</v>
      </c>
      <c r="Q184" s="185">
        <f ca="1">_xll.DBRW(Server&amp;Cube1,$F$17,$F$18,$F$19,$F$16,$C$14,$F$15,$F$14,$F$20,Q$2,$N$1,$C184)</f>
        <v>0</v>
      </c>
      <c r="R184" s="185">
        <f ca="1">_xll.DBRW(Server&amp;Cube1,$F$17,$F$18,$F$19,$F$16,$C$14,$F$15,$F$14,$F$20,R$2,$N$1,$C184)</f>
        <v>0</v>
      </c>
      <c r="S184" s="185">
        <f ca="1">_xll.DBRW(Server&amp;Cube1,$F$17,$F$18,$F$19,$F$16,$C$14,$F$15,$F$14,$F$20,S$2,$N$1,$C184)</f>
        <v>0</v>
      </c>
      <c r="T184" s="185">
        <f ca="1">_xll.DBRW(Server&amp;Cube1,$F$17,$F$18,$F$19,$F$16,$C$14,$F$15,$F$14,$F$20,T$2,$N$1,$C184)</f>
        <v>0</v>
      </c>
      <c r="U184" s="185">
        <f ca="1">_xll.DBRW(Server&amp;Cube1,$F$17,$F$18,$F$19,$F$16,$C$14,$F$15,$F$14,$F$20,U$2,$N$1,$C184)</f>
        <v>0</v>
      </c>
      <c r="V184" s="185">
        <f ca="1">_xll.DBRW(Server&amp;Cube1,$F$17,$F$18,$F$19,$F$16,$C$14,$F$15,$F$14,$F$20,V$2,$N$1,$C184)</f>
        <v>0</v>
      </c>
      <c r="W184" s="185">
        <f ca="1">_xll.DBRW(Server&amp;Cube1,$F$17,$F$18,$F$19,$F$16,$C$14,$F$15,$F$14,$F$20,W$2,$N$1,$C184)</f>
        <v>0</v>
      </c>
      <c r="X184" s="185">
        <f ca="1">_xll.DBRW(Server&amp;Cube1,$F$17,$F$18,$F$19,$F$16,$C$14,$F$15,$F$14,$F$20,X$2,$N$1,$C184)</f>
        <v>0</v>
      </c>
      <c r="Y184" s="185">
        <f ca="1">_xll.DBRW(Server&amp;Cube1,$F$17,$F$18,$F$19,$F$16,$C$14,$F$15,$F$14,$F$20,Y$2,$N$1,$C184)</f>
        <v>0</v>
      </c>
      <c r="Z184" s="185">
        <f ca="1">_xll.DBRW(Server&amp;Cube1,$F$17,$F$18,$F$19,$F$16,$C$14,$F$15,$F$14,$F$20,Z$2,$N$1,$C184)</f>
        <v>0</v>
      </c>
      <c r="AA184" s="53"/>
      <c r="AB184" s="53"/>
      <c r="AC184" s="53"/>
      <c r="AD184" s="53"/>
      <c r="AE184" s="53"/>
      <c r="AF184" s="53"/>
      <c r="AG184" s="53"/>
      <c r="AH184" s="53"/>
      <c r="AI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</row>
    <row r="185" spans="1:47" s="9" customFormat="1" ht="24.75" customHeight="1" x14ac:dyDescent="0.35">
      <c r="A185" s="157">
        <f ca="1">IF($AN$35="YES",1,IF(_xll.ELCOMPN(Server&amp;$C$24,C185)&lt;&gt;0,1,IF(OR(B185=$AT$35,B185="ALL"),1,0)))</f>
        <v>1</v>
      </c>
      <c r="B185" s="139" t="str">
        <f t="shared" si="2"/>
        <v>RM</v>
      </c>
      <c r="C185" s="137" t="s">
        <v>288</v>
      </c>
      <c r="E185" s="219" t="str">
        <f ca="1">_xll.DBRA(Server&amp;$C$24,$C185,$F$21)</f>
        <v>Dépenses de formation (GR)</v>
      </c>
      <c r="F185" s="219"/>
      <c r="G185" s="219"/>
      <c r="H185" s="40"/>
      <c r="I185" s="192">
        <f ca="1">_xll.DBRW(Server&amp;Cube1,$F$17,$F$18,$F$19,$F$16,$C$14,$F$15,$F$14,$F$20,I$2,I$1,$C185)</f>
        <v>0</v>
      </c>
      <c r="J185" s="192">
        <f ca="1">_xll.DBRW(Server&amp;Cube1,$F$17,$F$18,$F$19,$F$16,$C$14,$F$15,$F$14,$F$20,J$2,J$1,$C185)</f>
        <v>0</v>
      </c>
      <c r="K185" s="183"/>
      <c r="L185" s="185">
        <f ca="1">_xll.DBRW(Server&amp;Cube1,$F$17,$F$18,$F$19,$F$16,$C$14,$F$15,$F$14,$F$20,L$2,L$1,$C185)</f>
        <v>0</v>
      </c>
      <c r="M185" s="184"/>
      <c r="N185" s="185">
        <f ca="1">_xll.DBRW(Server&amp;Cube1,$F$17,$F$18,$F$19,$F$16,$C$14,$F$15,$F$14,$F$20,N$2,$N$1,$C185)</f>
        <v>0</v>
      </c>
      <c r="O185" s="185">
        <f ca="1">_xll.DBRW(Server&amp;Cube1,$F$17,$F$18,$F$19,$F$16,$C$14,$F$15,$F$14,$F$20,O$2,$N$1,$C185)</f>
        <v>0</v>
      </c>
      <c r="P185" s="185">
        <f ca="1">_xll.DBRW(Server&amp;Cube1,$F$17,$F$18,$F$19,$F$16,$C$14,$F$15,$F$14,$F$20,P$2,$N$1,$C185)</f>
        <v>0</v>
      </c>
      <c r="Q185" s="185">
        <f ca="1">_xll.DBRW(Server&amp;Cube1,$F$17,$F$18,$F$19,$F$16,$C$14,$F$15,$F$14,$F$20,Q$2,$N$1,$C185)</f>
        <v>0</v>
      </c>
      <c r="R185" s="185">
        <f ca="1">_xll.DBRW(Server&amp;Cube1,$F$17,$F$18,$F$19,$F$16,$C$14,$F$15,$F$14,$F$20,R$2,$N$1,$C185)</f>
        <v>0</v>
      </c>
      <c r="S185" s="185">
        <f ca="1">_xll.DBRW(Server&amp;Cube1,$F$17,$F$18,$F$19,$F$16,$C$14,$F$15,$F$14,$F$20,S$2,$N$1,$C185)</f>
        <v>0</v>
      </c>
      <c r="T185" s="185">
        <f ca="1">_xll.DBRW(Server&amp;Cube1,$F$17,$F$18,$F$19,$F$16,$C$14,$F$15,$F$14,$F$20,T$2,$N$1,$C185)</f>
        <v>0</v>
      </c>
      <c r="U185" s="185">
        <f ca="1">_xll.DBRW(Server&amp;Cube1,$F$17,$F$18,$F$19,$F$16,$C$14,$F$15,$F$14,$F$20,U$2,$N$1,$C185)</f>
        <v>0</v>
      </c>
      <c r="V185" s="185">
        <f ca="1">_xll.DBRW(Server&amp;Cube1,$F$17,$F$18,$F$19,$F$16,$C$14,$F$15,$F$14,$F$20,V$2,$N$1,$C185)</f>
        <v>0</v>
      </c>
      <c r="W185" s="185">
        <f ca="1">_xll.DBRW(Server&amp;Cube1,$F$17,$F$18,$F$19,$F$16,$C$14,$F$15,$F$14,$F$20,W$2,$N$1,$C185)</f>
        <v>0</v>
      </c>
      <c r="X185" s="185">
        <f ca="1">_xll.DBRW(Server&amp;Cube1,$F$17,$F$18,$F$19,$F$16,$C$14,$F$15,$F$14,$F$20,X$2,$N$1,$C185)</f>
        <v>0</v>
      </c>
      <c r="Y185" s="185">
        <f ca="1">_xll.DBRW(Server&amp;Cube1,$F$17,$F$18,$F$19,$F$16,$C$14,$F$15,$F$14,$F$20,Y$2,$N$1,$C185)</f>
        <v>0</v>
      </c>
      <c r="Z185" s="185">
        <f ca="1">_xll.DBRW(Server&amp;Cube1,$F$17,$F$18,$F$19,$F$16,$C$14,$F$15,$F$14,$F$20,Z$2,$N$1,$C185)</f>
        <v>0</v>
      </c>
      <c r="AA185" s="53"/>
      <c r="AB185" s="53"/>
      <c r="AC185" s="53"/>
      <c r="AD185" s="53"/>
      <c r="AE185" s="53"/>
      <c r="AF185" s="53"/>
      <c r="AG185" s="53"/>
      <c r="AH185" s="53"/>
      <c r="AI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</row>
    <row r="186" spans="1:47" s="9" customFormat="1" ht="24.75" customHeight="1" x14ac:dyDescent="0.35">
      <c r="A186" s="157">
        <f ca="1">IF($AN$35="YES",1,IF(_xll.ELCOMPN(Server&amp;$C$24,C186)&lt;&gt;0,1,IF(OR(B186=$AT$35,B186="ALL"),1,0)))</f>
        <v>1</v>
      </c>
      <c r="B186" s="139" t="str">
        <f t="shared" si="2"/>
        <v>PU</v>
      </c>
      <c r="C186" s="137" t="s">
        <v>289</v>
      </c>
      <c r="E186" s="219" t="str">
        <f ca="1">_xll.DBRA(Server&amp;$C$24,$C186,$F$21)</f>
        <v>Dépenses de formation (AC)</v>
      </c>
      <c r="F186" s="219"/>
      <c r="G186" s="219"/>
      <c r="H186" s="40"/>
      <c r="I186" s="192">
        <f ca="1">_xll.DBRW(Server&amp;Cube1,$F$17,$F$18,$F$19,$F$16,$C$14,$F$15,$F$14,$F$20,I$2,I$1,$C186)</f>
        <v>0</v>
      </c>
      <c r="J186" s="192">
        <f ca="1">_xll.DBRW(Server&amp;Cube1,$F$17,$F$18,$F$19,$F$16,$C$14,$F$15,$F$14,$F$20,J$2,J$1,$C186)</f>
        <v>0</v>
      </c>
      <c r="K186" s="183"/>
      <c r="L186" s="185">
        <f ca="1">_xll.DBRW(Server&amp;Cube1,$F$17,$F$18,$F$19,$F$16,$C$14,$F$15,$F$14,$F$20,L$2,L$1,$C186)</f>
        <v>0</v>
      </c>
      <c r="M186" s="184"/>
      <c r="N186" s="185">
        <f ca="1">_xll.DBRW(Server&amp;Cube1,$F$17,$F$18,$F$19,$F$16,$C$14,$F$15,$F$14,$F$20,N$2,$N$1,$C186)</f>
        <v>0</v>
      </c>
      <c r="O186" s="185">
        <f ca="1">_xll.DBRW(Server&amp;Cube1,$F$17,$F$18,$F$19,$F$16,$C$14,$F$15,$F$14,$F$20,O$2,$N$1,$C186)</f>
        <v>0</v>
      </c>
      <c r="P186" s="185">
        <f ca="1">_xll.DBRW(Server&amp;Cube1,$F$17,$F$18,$F$19,$F$16,$C$14,$F$15,$F$14,$F$20,P$2,$N$1,$C186)</f>
        <v>0</v>
      </c>
      <c r="Q186" s="185">
        <f ca="1">_xll.DBRW(Server&amp;Cube1,$F$17,$F$18,$F$19,$F$16,$C$14,$F$15,$F$14,$F$20,Q$2,$N$1,$C186)</f>
        <v>0</v>
      </c>
      <c r="R186" s="185">
        <f ca="1">_xll.DBRW(Server&amp;Cube1,$F$17,$F$18,$F$19,$F$16,$C$14,$F$15,$F$14,$F$20,R$2,$N$1,$C186)</f>
        <v>0</v>
      </c>
      <c r="S186" s="185">
        <f ca="1">_xll.DBRW(Server&amp;Cube1,$F$17,$F$18,$F$19,$F$16,$C$14,$F$15,$F$14,$F$20,S$2,$N$1,$C186)</f>
        <v>0</v>
      </c>
      <c r="T186" s="185">
        <f ca="1">_xll.DBRW(Server&amp;Cube1,$F$17,$F$18,$F$19,$F$16,$C$14,$F$15,$F$14,$F$20,T$2,$N$1,$C186)</f>
        <v>0</v>
      </c>
      <c r="U186" s="185">
        <f ca="1">_xll.DBRW(Server&amp;Cube1,$F$17,$F$18,$F$19,$F$16,$C$14,$F$15,$F$14,$F$20,U$2,$N$1,$C186)</f>
        <v>0</v>
      </c>
      <c r="V186" s="185">
        <f ca="1">_xll.DBRW(Server&amp;Cube1,$F$17,$F$18,$F$19,$F$16,$C$14,$F$15,$F$14,$F$20,V$2,$N$1,$C186)</f>
        <v>0</v>
      </c>
      <c r="W186" s="185">
        <f ca="1">_xll.DBRW(Server&amp;Cube1,$F$17,$F$18,$F$19,$F$16,$C$14,$F$15,$F$14,$F$20,W$2,$N$1,$C186)</f>
        <v>0</v>
      </c>
      <c r="X186" s="185">
        <f ca="1">_xll.DBRW(Server&amp;Cube1,$F$17,$F$18,$F$19,$F$16,$C$14,$F$15,$F$14,$F$20,X$2,$N$1,$C186)</f>
        <v>0</v>
      </c>
      <c r="Y186" s="185">
        <f ca="1">_xll.DBRW(Server&amp;Cube1,$F$17,$F$18,$F$19,$F$16,$C$14,$F$15,$F$14,$F$20,Y$2,$N$1,$C186)</f>
        <v>0</v>
      </c>
      <c r="Z186" s="185">
        <f ca="1">_xll.DBRW(Server&amp;Cube1,$F$17,$F$18,$F$19,$F$16,$C$14,$F$15,$F$14,$F$20,Z$2,$N$1,$C186)</f>
        <v>0</v>
      </c>
      <c r="AA186" s="53"/>
      <c r="AB186" s="53"/>
      <c r="AC186" s="53"/>
      <c r="AD186" s="53"/>
      <c r="AE186" s="53"/>
      <c r="AF186" s="53"/>
      <c r="AG186" s="53"/>
      <c r="AH186" s="53"/>
      <c r="AI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</row>
    <row r="187" spans="1:47" s="9" customFormat="1" ht="24.75" customHeight="1" x14ac:dyDescent="0.35">
      <c r="A187" s="157">
        <f ca="1">IF($AN$35="YES",1,IF(_xll.ELCOMPN(Server&amp;$C$24,C187)&lt;&gt;0,1,IF(OR(B187=$AT$35,B187="ALL"),1,0)))</f>
        <v>1</v>
      </c>
      <c r="B187" s="139" t="str">
        <f t="shared" si="2"/>
        <v>CO</v>
      </c>
      <c r="C187" s="137" t="s">
        <v>290</v>
      </c>
      <c r="E187" s="219" t="str">
        <f ca="1">_xll.DBRA(Server&amp;$C$24,$C187,$F$21)</f>
        <v>Dépenses de formation (CO)</v>
      </c>
      <c r="F187" s="219"/>
      <c r="G187" s="219"/>
      <c r="H187" s="40"/>
      <c r="I187" s="192">
        <f ca="1">_xll.DBRW(Server&amp;Cube1,$F$17,$F$18,$F$19,$F$16,$C$14,$F$15,$F$14,$F$20,I$2,I$1,$C187)</f>
        <v>0</v>
      </c>
      <c r="J187" s="192">
        <f ca="1">_xll.DBRW(Server&amp;Cube1,$F$17,$F$18,$F$19,$F$16,$C$14,$F$15,$F$14,$F$20,J$2,J$1,$C187)</f>
        <v>0</v>
      </c>
      <c r="K187" s="183"/>
      <c r="L187" s="185">
        <f ca="1">_xll.DBRW(Server&amp;Cube1,$F$17,$F$18,$F$19,$F$16,$C$14,$F$15,$F$14,$F$20,L$2,L$1,$C187)</f>
        <v>0</v>
      </c>
      <c r="M187" s="184"/>
      <c r="N187" s="185">
        <f ca="1">_xll.DBRW(Server&amp;Cube1,$F$17,$F$18,$F$19,$F$16,$C$14,$F$15,$F$14,$F$20,N$2,$N$1,$C187)</f>
        <v>0</v>
      </c>
      <c r="O187" s="185">
        <f ca="1">_xll.DBRW(Server&amp;Cube1,$F$17,$F$18,$F$19,$F$16,$C$14,$F$15,$F$14,$F$20,O$2,$N$1,$C187)</f>
        <v>0</v>
      </c>
      <c r="P187" s="185">
        <f ca="1">_xll.DBRW(Server&amp;Cube1,$F$17,$F$18,$F$19,$F$16,$C$14,$F$15,$F$14,$F$20,P$2,$N$1,$C187)</f>
        <v>0</v>
      </c>
      <c r="Q187" s="185">
        <f ca="1">_xll.DBRW(Server&amp;Cube1,$F$17,$F$18,$F$19,$F$16,$C$14,$F$15,$F$14,$F$20,Q$2,$N$1,$C187)</f>
        <v>0</v>
      </c>
      <c r="R187" s="185">
        <f ca="1">_xll.DBRW(Server&amp;Cube1,$F$17,$F$18,$F$19,$F$16,$C$14,$F$15,$F$14,$F$20,R$2,$N$1,$C187)</f>
        <v>0</v>
      </c>
      <c r="S187" s="185">
        <f ca="1">_xll.DBRW(Server&amp;Cube1,$F$17,$F$18,$F$19,$F$16,$C$14,$F$15,$F$14,$F$20,S$2,$N$1,$C187)</f>
        <v>0</v>
      </c>
      <c r="T187" s="185">
        <f ca="1">_xll.DBRW(Server&amp;Cube1,$F$17,$F$18,$F$19,$F$16,$C$14,$F$15,$F$14,$F$20,T$2,$N$1,$C187)</f>
        <v>0</v>
      </c>
      <c r="U187" s="185">
        <f ca="1">_xll.DBRW(Server&amp;Cube1,$F$17,$F$18,$F$19,$F$16,$C$14,$F$15,$F$14,$F$20,U$2,$N$1,$C187)</f>
        <v>0</v>
      </c>
      <c r="V187" s="185">
        <f ca="1">_xll.DBRW(Server&amp;Cube1,$F$17,$F$18,$F$19,$F$16,$C$14,$F$15,$F$14,$F$20,V$2,$N$1,$C187)</f>
        <v>0</v>
      </c>
      <c r="W187" s="185">
        <f ca="1">_xll.DBRW(Server&amp;Cube1,$F$17,$F$18,$F$19,$F$16,$C$14,$F$15,$F$14,$F$20,W$2,$N$1,$C187)</f>
        <v>0</v>
      </c>
      <c r="X187" s="185">
        <f ca="1">_xll.DBRW(Server&amp;Cube1,$F$17,$F$18,$F$19,$F$16,$C$14,$F$15,$F$14,$F$20,X$2,$N$1,$C187)</f>
        <v>0</v>
      </c>
      <c r="Y187" s="185">
        <f ca="1">_xll.DBRW(Server&amp;Cube1,$F$17,$F$18,$F$19,$F$16,$C$14,$F$15,$F$14,$F$20,Y$2,$N$1,$C187)</f>
        <v>0</v>
      </c>
      <c r="Z187" s="185">
        <f ca="1">_xll.DBRW(Server&amp;Cube1,$F$17,$F$18,$F$19,$F$16,$C$14,$F$15,$F$14,$F$20,Z$2,$N$1,$C187)</f>
        <v>0</v>
      </c>
      <c r="AA187" s="53"/>
      <c r="AB187" s="53"/>
      <c r="AC187" s="53"/>
      <c r="AD187" s="53"/>
      <c r="AE187" s="53"/>
      <c r="AF187" s="53"/>
      <c r="AG187" s="53"/>
      <c r="AH187" s="53"/>
      <c r="AI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</row>
    <row r="188" spans="1:47" s="9" customFormat="1" ht="24.75" customHeight="1" x14ac:dyDescent="0.35">
      <c r="A188" s="157">
        <f ca="1">IF($AN$35="YES",1,IF(_xll.ELCOMPN(Server&amp;$C$24,C188)&lt;&gt;0,1,IF(OR(B188=$AT$35,B188="ALL"),1,0)))</f>
        <v>1</v>
      </c>
      <c r="B188" s="139" t="str">
        <f t="shared" si="2"/>
        <v>GS</v>
      </c>
      <c r="C188" s="137" t="s">
        <v>291</v>
      </c>
      <c r="E188" s="219" t="str">
        <f ca="1">_xll.DBRA(Server&amp;$C$24,$C188,$F$21)</f>
        <v>Dépenses de formation (SG)</v>
      </c>
      <c r="F188" s="219"/>
      <c r="G188" s="219"/>
      <c r="H188" s="40"/>
      <c r="I188" s="192">
        <f ca="1">_xll.DBRW(Server&amp;Cube1,$F$17,$F$18,$F$19,$F$16,$C$14,$F$15,$F$14,$F$20,I$2,I$1,$C188)</f>
        <v>0</v>
      </c>
      <c r="J188" s="192">
        <f ca="1">_xll.DBRW(Server&amp;Cube1,$F$17,$F$18,$F$19,$F$16,$C$14,$F$15,$F$14,$F$20,J$2,J$1,$C188)</f>
        <v>0</v>
      </c>
      <c r="K188" s="183"/>
      <c r="L188" s="185">
        <f ca="1">_xll.DBRW(Server&amp;Cube1,$F$17,$F$18,$F$19,$F$16,$C$14,$F$15,$F$14,$F$20,L$2,L$1,$C188)</f>
        <v>0</v>
      </c>
      <c r="M188" s="184"/>
      <c r="N188" s="185">
        <f ca="1">_xll.DBRW(Server&amp;Cube1,$F$17,$F$18,$F$19,$F$16,$C$14,$F$15,$F$14,$F$20,N$2,$N$1,$C188)</f>
        <v>0</v>
      </c>
      <c r="O188" s="185">
        <f ca="1">_xll.DBRW(Server&amp;Cube1,$F$17,$F$18,$F$19,$F$16,$C$14,$F$15,$F$14,$F$20,O$2,$N$1,$C188)</f>
        <v>0</v>
      </c>
      <c r="P188" s="185">
        <f ca="1">_xll.DBRW(Server&amp;Cube1,$F$17,$F$18,$F$19,$F$16,$C$14,$F$15,$F$14,$F$20,P$2,$N$1,$C188)</f>
        <v>0</v>
      </c>
      <c r="Q188" s="185">
        <f ca="1">_xll.DBRW(Server&amp;Cube1,$F$17,$F$18,$F$19,$F$16,$C$14,$F$15,$F$14,$F$20,Q$2,$N$1,$C188)</f>
        <v>0</v>
      </c>
      <c r="R188" s="185">
        <f ca="1">_xll.DBRW(Server&amp;Cube1,$F$17,$F$18,$F$19,$F$16,$C$14,$F$15,$F$14,$F$20,R$2,$N$1,$C188)</f>
        <v>0</v>
      </c>
      <c r="S188" s="185">
        <f ca="1">_xll.DBRW(Server&amp;Cube1,$F$17,$F$18,$F$19,$F$16,$C$14,$F$15,$F$14,$F$20,S$2,$N$1,$C188)</f>
        <v>0</v>
      </c>
      <c r="T188" s="185">
        <f ca="1">_xll.DBRW(Server&amp;Cube1,$F$17,$F$18,$F$19,$F$16,$C$14,$F$15,$F$14,$F$20,T$2,$N$1,$C188)</f>
        <v>0</v>
      </c>
      <c r="U188" s="185">
        <f ca="1">_xll.DBRW(Server&amp;Cube1,$F$17,$F$18,$F$19,$F$16,$C$14,$F$15,$F$14,$F$20,U$2,$N$1,$C188)</f>
        <v>0</v>
      </c>
      <c r="V188" s="185">
        <f ca="1">_xll.DBRW(Server&amp;Cube1,$F$17,$F$18,$F$19,$F$16,$C$14,$F$15,$F$14,$F$20,V$2,$N$1,$C188)</f>
        <v>0</v>
      </c>
      <c r="W188" s="185">
        <f ca="1">_xll.DBRW(Server&amp;Cube1,$F$17,$F$18,$F$19,$F$16,$C$14,$F$15,$F$14,$F$20,W$2,$N$1,$C188)</f>
        <v>0</v>
      </c>
      <c r="X188" s="185">
        <f ca="1">_xll.DBRW(Server&amp;Cube1,$F$17,$F$18,$F$19,$F$16,$C$14,$F$15,$F$14,$F$20,X$2,$N$1,$C188)</f>
        <v>0</v>
      </c>
      <c r="Y188" s="185">
        <f ca="1">_xll.DBRW(Server&amp;Cube1,$F$17,$F$18,$F$19,$F$16,$C$14,$F$15,$F$14,$F$20,Y$2,$N$1,$C188)</f>
        <v>0</v>
      </c>
      <c r="Z188" s="185">
        <f ca="1">_xll.DBRW(Server&amp;Cube1,$F$17,$F$18,$F$19,$F$16,$C$14,$F$15,$F$14,$F$20,Z$2,$N$1,$C188)</f>
        <v>0</v>
      </c>
      <c r="AA188" s="53"/>
      <c r="AB188" s="53"/>
      <c r="AC188" s="53"/>
      <c r="AD188" s="53"/>
      <c r="AE188" s="53"/>
      <c r="AF188" s="53"/>
      <c r="AG188" s="53"/>
      <c r="AH188" s="53"/>
      <c r="AI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</row>
    <row r="189" spans="1:47" s="9" customFormat="1" ht="24.75" customHeight="1" x14ac:dyDescent="0.35">
      <c r="A189" s="157">
        <f ca="1">IF($AN$35="YES",1,IF(_xll.ELCOMPN(Server&amp;$C$24,C189)&lt;&gt;0,1,IF(OR(B189=$AT$35,B189="ALL"),1,0)))</f>
        <v>1</v>
      </c>
      <c r="B189" s="139" t="str">
        <f t="shared" si="2"/>
        <v>RD</v>
      </c>
      <c r="C189" s="137" t="s">
        <v>292</v>
      </c>
      <c r="E189" s="219" t="str">
        <f ca="1">_xll.DBRA(Server&amp;$C$24,$C189,$F$21)</f>
        <v>Dépenses de formation (RD)</v>
      </c>
      <c r="F189" s="219"/>
      <c r="G189" s="219"/>
      <c r="H189" s="40"/>
      <c r="I189" s="192">
        <f ca="1">_xll.DBRW(Server&amp;Cube1,$F$17,$F$18,$F$19,$F$16,$C$14,$F$15,$F$14,$F$20,I$2,I$1,$C189)</f>
        <v>0</v>
      </c>
      <c r="J189" s="192">
        <f ca="1">_xll.DBRW(Server&amp;Cube1,$F$17,$F$18,$F$19,$F$16,$C$14,$F$15,$F$14,$F$20,J$2,J$1,$C189)</f>
        <v>0</v>
      </c>
      <c r="K189" s="183"/>
      <c r="L189" s="185">
        <f ca="1">_xll.DBRW(Server&amp;Cube1,$F$17,$F$18,$F$19,$F$16,$C$14,$F$15,$F$14,$F$20,L$2,L$1,$C189)</f>
        <v>0</v>
      </c>
      <c r="M189" s="184"/>
      <c r="N189" s="185">
        <f ca="1">_xll.DBRW(Server&amp;Cube1,$F$17,$F$18,$F$19,$F$16,$C$14,$F$15,$F$14,$F$20,N$2,$N$1,$C189)</f>
        <v>0</v>
      </c>
      <c r="O189" s="185">
        <f ca="1">_xll.DBRW(Server&amp;Cube1,$F$17,$F$18,$F$19,$F$16,$C$14,$F$15,$F$14,$F$20,O$2,$N$1,$C189)</f>
        <v>0</v>
      </c>
      <c r="P189" s="185">
        <f ca="1">_xll.DBRW(Server&amp;Cube1,$F$17,$F$18,$F$19,$F$16,$C$14,$F$15,$F$14,$F$20,P$2,$N$1,$C189)</f>
        <v>0</v>
      </c>
      <c r="Q189" s="185">
        <f ca="1">_xll.DBRW(Server&amp;Cube1,$F$17,$F$18,$F$19,$F$16,$C$14,$F$15,$F$14,$F$20,Q$2,$N$1,$C189)</f>
        <v>0</v>
      </c>
      <c r="R189" s="185">
        <f ca="1">_xll.DBRW(Server&amp;Cube1,$F$17,$F$18,$F$19,$F$16,$C$14,$F$15,$F$14,$F$20,R$2,$N$1,$C189)</f>
        <v>0</v>
      </c>
      <c r="S189" s="185">
        <f ca="1">_xll.DBRW(Server&amp;Cube1,$F$17,$F$18,$F$19,$F$16,$C$14,$F$15,$F$14,$F$20,S$2,$N$1,$C189)</f>
        <v>0</v>
      </c>
      <c r="T189" s="185">
        <f ca="1">_xll.DBRW(Server&amp;Cube1,$F$17,$F$18,$F$19,$F$16,$C$14,$F$15,$F$14,$F$20,T$2,$N$1,$C189)</f>
        <v>0</v>
      </c>
      <c r="U189" s="185">
        <f ca="1">_xll.DBRW(Server&amp;Cube1,$F$17,$F$18,$F$19,$F$16,$C$14,$F$15,$F$14,$F$20,U$2,$N$1,$C189)</f>
        <v>0</v>
      </c>
      <c r="V189" s="185">
        <f ca="1">_xll.DBRW(Server&amp;Cube1,$F$17,$F$18,$F$19,$F$16,$C$14,$F$15,$F$14,$F$20,V$2,$N$1,$C189)</f>
        <v>0</v>
      </c>
      <c r="W189" s="185">
        <f ca="1">_xll.DBRW(Server&amp;Cube1,$F$17,$F$18,$F$19,$F$16,$C$14,$F$15,$F$14,$F$20,W$2,$N$1,$C189)</f>
        <v>0</v>
      </c>
      <c r="X189" s="185">
        <f ca="1">_xll.DBRW(Server&amp;Cube1,$F$17,$F$18,$F$19,$F$16,$C$14,$F$15,$F$14,$F$20,X$2,$N$1,$C189)</f>
        <v>0</v>
      </c>
      <c r="Y189" s="185">
        <f ca="1">_xll.DBRW(Server&amp;Cube1,$F$17,$F$18,$F$19,$F$16,$C$14,$F$15,$F$14,$F$20,Y$2,$N$1,$C189)</f>
        <v>0</v>
      </c>
      <c r="Z189" s="185">
        <f ca="1">_xll.DBRW(Server&amp;Cube1,$F$17,$F$18,$F$19,$F$16,$C$14,$F$15,$F$14,$F$20,Z$2,$N$1,$C189)</f>
        <v>0</v>
      </c>
      <c r="AA189" s="53"/>
      <c r="AB189" s="53"/>
      <c r="AC189" s="53"/>
      <c r="AD189" s="53"/>
      <c r="AE189" s="53"/>
      <c r="AF189" s="53"/>
      <c r="AG189" s="53"/>
      <c r="AH189" s="53"/>
      <c r="AI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</row>
    <row r="190" spans="1:47" s="9" customFormat="1" ht="24.95" customHeight="1" collapsed="1" x14ac:dyDescent="0.35">
      <c r="A190" s="157">
        <f ca="1">IF($AN$35="YES",1,IF(_xll.ELCOMPN(Server&amp;$C$24,C190)&lt;&gt;0,1,IF(OR(B190=$AT$35,B190="ALL"),1,0)))</f>
        <v>1</v>
      </c>
      <c r="B190" s="139" t="e">
        <f t="shared" si="2"/>
        <v>#VALUE!</v>
      </c>
      <c r="C190" s="111" t="s">
        <v>102</v>
      </c>
      <c r="E190" s="221" t="str">
        <f ca="1">_xll.DBRA(Server&amp;$C$24,$C190,$F$21)</f>
        <v>Assurances</v>
      </c>
      <c r="F190" s="221"/>
      <c r="G190" s="221"/>
      <c r="H190" s="40"/>
      <c r="I190" s="192">
        <f ca="1">_xll.DBRW(Server&amp;Cube1,$F$17,$F$18,$F$19,$F$16,$C$14,$F$15,$F$14,$F$20,I$2,I$1,$C190)</f>
        <v>0</v>
      </c>
      <c r="J190" s="192">
        <f ca="1">_xll.DBRW(Server&amp;Cube1,$F$17,$F$18,$F$19,$F$16,$C$14,$F$15,$F$14,$F$20,J$2,J$1,$C190)</f>
        <v>0</v>
      </c>
      <c r="K190" s="183"/>
      <c r="L190" s="181">
        <f ca="1">_xll.DBRW(Server&amp;Cube1,$F$17,$F$18,$F$19,$F$16,$C$14,$F$15,$F$14,$F$20,L$2,L$1,$C190)</f>
        <v>0</v>
      </c>
      <c r="M190" s="181"/>
      <c r="N190" s="181">
        <f ca="1">_xll.DBRW(Server&amp;Cube1,$F$17,$F$18,$F$19,$F$16,$C$14,$F$15,$F$14,$F$20,N$2,$N$1,$C190)</f>
        <v>0</v>
      </c>
      <c r="O190" s="181">
        <f ca="1">_xll.DBRW(Server&amp;Cube1,$F$17,$F$18,$F$19,$F$16,$C$14,$F$15,$F$14,$F$20,O$2,$N$1,$C190)</f>
        <v>0</v>
      </c>
      <c r="P190" s="181">
        <f ca="1">_xll.DBRW(Server&amp;Cube1,$F$17,$F$18,$F$19,$F$16,$C$14,$F$15,$F$14,$F$20,P$2,$N$1,$C190)</f>
        <v>0</v>
      </c>
      <c r="Q190" s="181">
        <f ca="1">_xll.DBRW(Server&amp;Cube1,$F$17,$F$18,$F$19,$F$16,$C$14,$F$15,$F$14,$F$20,Q$2,$N$1,$C190)</f>
        <v>0</v>
      </c>
      <c r="R190" s="181">
        <f ca="1">_xll.DBRW(Server&amp;Cube1,$F$17,$F$18,$F$19,$F$16,$C$14,$F$15,$F$14,$F$20,R$2,$N$1,$C190)</f>
        <v>0</v>
      </c>
      <c r="S190" s="181">
        <f ca="1">_xll.DBRW(Server&amp;Cube1,$F$17,$F$18,$F$19,$F$16,$C$14,$F$15,$F$14,$F$20,S$2,$N$1,$C190)</f>
        <v>0</v>
      </c>
      <c r="T190" s="181">
        <f ca="1">_xll.DBRW(Server&amp;Cube1,$F$17,$F$18,$F$19,$F$16,$C$14,$F$15,$F$14,$F$20,T$2,$N$1,$C190)</f>
        <v>0</v>
      </c>
      <c r="U190" s="181">
        <f ca="1">_xll.DBRW(Server&amp;Cube1,$F$17,$F$18,$F$19,$F$16,$C$14,$F$15,$F$14,$F$20,U$2,$N$1,$C190)</f>
        <v>0</v>
      </c>
      <c r="V190" s="181">
        <f ca="1">_xll.DBRW(Server&amp;Cube1,$F$17,$F$18,$F$19,$F$16,$C$14,$F$15,$F$14,$F$20,V$2,$N$1,$C190)</f>
        <v>0</v>
      </c>
      <c r="W190" s="181">
        <f ca="1">_xll.DBRW(Server&amp;Cube1,$F$17,$F$18,$F$19,$F$16,$C$14,$F$15,$F$14,$F$20,W$2,$N$1,$C190)</f>
        <v>0</v>
      </c>
      <c r="X190" s="181">
        <f ca="1">_xll.DBRW(Server&amp;Cube1,$F$17,$F$18,$F$19,$F$16,$C$14,$F$15,$F$14,$F$20,X$2,$N$1,$C190)</f>
        <v>0</v>
      </c>
      <c r="Y190" s="181">
        <f ca="1">_xll.DBRW(Server&amp;Cube1,$F$17,$F$18,$F$19,$F$16,$C$14,$F$15,$F$14,$F$20,Y$2,$N$1,$C190)</f>
        <v>0</v>
      </c>
      <c r="Z190" s="181">
        <f ca="1">_xll.DBRW(Server&amp;Cube1,$F$17,$F$18,$F$19,$F$16,$C$14,$F$15,$F$14,$F$20,Z$2,$N$1,$C190)</f>
        <v>0</v>
      </c>
      <c r="AA190" s="53"/>
      <c r="AB190" s="53"/>
      <c r="AC190" s="53"/>
      <c r="AD190" s="53"/>
      <c r="AE190" s="53"/>
      <c r="AF190" s="53"/>
      <c r="AG190" s="53"/>
      <c r="AH190" s="53"/>
      <c r="AI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</row>
    <row r="191" spans="1:47" s="9" customFormat="1" ht="24.95" customHeight="1" x14ac:dyDescent="0.35">
      <c r="A191" s="157">
        <f ca="1">IF($AN$35="YES",1,IF(_xll.ELCOMPN(Server&amp;$C$24,C191)&lt;&gt;0,1,IF(OR(B191=$AT$35,B191="ALL"),1,0)))</f>
        <v>1</v>
      </c>
      <c r="B191" s="139" t="str">
        <f t="shared" si="2"/>
        <v>DS</v>
      </c>
      <c r="C191" s="137" t="s">
        <v>293</v>
      </c>
      <c r="E191" s="219" t="str">
        <f ca="1">_xll.DBRA(Server&amp;$C$24,$C191,$F$21)</f>
        <v>Assurances (SO)</v>
      </c>
      <c r="F191" s="219"/>
      <c r="G191" s="219"/>
      <c r="H191" s="40"/>
      <c r="I191" s="192">
        <f ca="1">_xll.DBRW(Server&amp;Cube1,$F$17,$F$18,$F$19,$F$16,$C$14,$F$15,$F$14,$F$20,I$2,I$1,$C191)</f>
        <v>0</v>
      </c>
      <c r="J191" s="192">
        <f ca="1">_xll.DBRW(Server&amp;Cube1,$F$17,$F$18,$F$19,$F$16,$C$14,$F$15,$F$14,$F$20,J$2,J$1,$C191)</f>
        <v>0</v>
      </c>
      <c r="K191" s="183"/>
      <c r="L191" s="185">
        <f ca="1">_xll.DBRW(Server&amp;Cube1,$F$17,$F$18,$F$19,$F$16,$C$14,$F$15,$F$14,$F$20,L$2,L$1,$C191)</f>
        <v>0</v>
      </c>
      <c r="M191" s="184"/>
      <c r="N191" s="185">
        <f ca="1">_xll.DBRW(Server&amp;Cube1,$F$17,$F$18,$F$19,$F$16,$C$14,$F$15,$F$14,$F$20,N$2,$N$1,$C191)</f>
        <v>0</v>
      </c>
      <c r="O191" s="185">
        <f ca="1">_xll.DBRW(Server&amp;Cube1,$F$17,$F$18,$F$19,$F$16,$C$14,$F$15,$F$14,$F$20,O$2,$N$1,$C191)</f>
        <v>0</v>
      </c>
      <c r="P191" s="185">
        <f ca="1">_xll.DBRW(Server&amp;Cube1,$F$17,$F$18,$F$19,$F$16,$C$14,$F$15,$F$14,$F$20,P$2,$N$1,$C191)</f>
        <v>0</v>
      </c>
      <c r="Q191" s="185">
        <f ca="1">_xll.DBRW(Server&amp;Cube1,$F$17,$F$18,$F$19,$F$16,$C$14,$F$15,$F$14,$F$20,Q$2,$N$1,$C191)</f>
        <v>0</v>
      </c>
      <c r="R191" s="185">
        <f ca="1">_xll.DBRW(Server&amp;Cube1,$F$17,$F$18,$F$19,$F$16,$C$14,$F$15,$F$14,$F$20,R$2,$N$1,$C191)</f>
        <v>0</v>
      </c>
      <c r="S191" s="185">
        <f ca="1">_xll.DBRW(Server&amp;Cube1,$F$17,$F$18,$F$19,$F$16,$C$14,$F$15,$F$14,$F$20,S$2,$N$1,$C191)</f>
        <v>0</v>
      </c>
      <c r="T191" s="185">
        <f ca="1">_xll.DBRW(Server&amp;Cube1,$F$17,$F$18,$F$19,$F$16,$C$14,$F$15,$F$14,$F$20,T$2,$N$1,$C191)</f>
        <v>0</v>
      </c>
      <c r="U191" s="185">
        <f ca="1">_xll.DBRW(Server&amp;Cube1,$F$17,$F$18,$F$19,$F$16,$C$14,$F$15,$F$14,$F$20,U$2,$N$1,$C191)</f>
        <v>0</v>
      </c>
      <c r="V191" s="185">
        <f ca="1">_xll.DBRW(Server&amp;Cube1,$F$17,$F$18,$F$19,$F$16,$C$14,$F$15,$F$14,$F$20,V$2,$N$1,$C191)</f>
        <v>0</v>
      </c>
      <c r="W191" s="185">
        <f ca="1">_xll.DBRW(Server&amp;Cube1,$F$17,$F$18,$F$19,$F$16,$C$14,$F$15,$F$14,$F$20,W$2,$N$1,$C191)</f>
        <v>0</v>
      </c>
      <c r="X191" s="185">
        <f ca="1">_xll.DBRW(Server&amp;Cube1,$F$17,$F$18,$F$19,$F$16,$C$14,$F$15,$F$14,$F$20,X$2,$N$1,$C191)</f>
        <v>0</v>
      </c>
      <c r="Y191" s="185">
        <f ca="1">_xll.DBRW(Server&amp;Cube1,$F$17,$F$18,$F$19,$F$16,$C$14,$F$15,$F$14,$F$20,Y$2,$N$1,$C191)</f>
        <v>0</v>
      </c>
      <c r="Z191" s="185">
        <f ca="1">_xll.DBRW(Server&amp;Cube1,$F$17,$F$18,$F$19,$F$16,$C$14,$F$15,$F$14,$F$20,Z$2,$N$1,$C191)</f>
        <v>0</v>
      </c>
      <c r="AA191" s="53"/>
      <c r="AB191" s="53"/>
      <c r="AC191" s="53"/>
      <c r="AD191" s="53"/>
      <c r="AE191" s="53"/>
      <c r="AF191" s="53"/>
      <c r="AG191" s="53"/>
      <c r="AH191" s="53"/>
      <c r="AI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</row>
    <row r="192" spans="1:47" s="9" customFormat="1" ht="24.95" customHeight="1" x14ac:dyDescent="0.35">
      <c r="A192" s="157">
        <f ca="1">IF($AN$35="YES",1,IF(_xll.ELCOMPN(Server&amp;$C$24,C192)&lt;&gt;0,1,IF(OR(B192=$AT$35,B192="ALL"),1,0)))</f>
        <v>1</v>
      </c>
      <c r="B192" s="139" t="str">
        <f t="shared" si="2"/>
        <v>BD</v>
      </c>
      <c r="C192" s="137" t="s">
        <v>294</v>
      </c>
      <c r="E192" s="219" t="str">
        <f ca="1">_xll.DBRA(Server&amp;$C$24,$C192,$F$21)</f>
        <v>Assurances (DC)</v>
      </c>
      <c r="F192" s="219"/>
      <c r="G192" s="219"/>
      <c r="H192" s="40"/>
      <c r="I192" s="192">
        <f ca="1">_xll.DBRW(Server&amp;Cube1,$F$17,$F$18,$F$19,$F$16,$C$14,$F$15,$F$14,$F$20,I$2,I$1,$C192)</f>
        <v>0</v>
      </c>
      <c r="J192" s="192">
        <f ca="1">_xll.DBRW(Server&amp;Cube1,$F$17,$F$18,$F$19,$F$16,$C$14,$F$15,$F$14,$F$20,J$2,J$1,$C192)</f>
        <v>0</v>
      </c>
      <c r="K192" s="183"/>
      <c r="L192" s="185">
        <f ca="1">_xll.DBRW(Server&amp;Cube1,$F$17,$F$18,$F$19,$F$16,$C$14,$F$15,$F$14,$F$20,L$2,L$1,$C192)</f>
        <v>0</v>
      </c>
      <c r="M192" s="184"/>
      <c r="N192" s="185">
        <f ca="1">_xll.DBRW(Server&amp;Cube1,$F$17,$F$18,$F$19,$F$16,$C$14,$F$15,$F$14,$F$20,N$2,$N$1,$C192)</f>
        <v>0</v>
      </c>
      <c r="O192" s="185">
        <f ca="1">_xll.DBRW(Server&amp;Cube1,$F$17,$F$18,$F$19,$F$16,$C$14,$F$15,$F$14,$F$20,O$2,$N$1,$C192)</f>
        <v>0</v>
      </c>
      <c r="P192" s="185">
        <f ca="1">_xll.DBRW(Server&amp;Cube1,$F$17,$F$18,$F$19,$F$16,$C$14,$F$15,$F$14,$F$20,P$2,$N$1,$C192)</f>
        <v>0</v>
      </c>
      <c r="Q192" s="185">
        <f ca="1">_xll.DBRW(Server&amp;Cube1,$F$17,$F$18,$F$19,$F$16,$C$14,$F$15,$F$14,$F$20,Q$2,$N$1,$C192)</f>
        <v>0</v>
      </c>
      <c r="R192" s="185">
        <f ca="1">_xll.DBRW(Server&amp;Cube1,$F$17,$F$18,$F$19,$F$16,$C$14,$F$15,$F$14,$F$20,R$2,$N$1,$C192)</f>
        <v>0</v>
      </c>
      <c r="S192" s="185">
        <f ca="1">_xll.DBRW(Server&amp;Cube1,$F$17,$F$18,$F$19,$F$16,$C$14,$F$15,$F$14,$F$20,S$2,$N$1,$C192)</f>
        <v>0</v>
      </c>
      <c r="T192" s="185">
        <f ca="1">_xll.DBRW(Server&amp;Cube1,$F$17,$F$18,$F$19,$F$16,$C$14,$F$15,$F$14,$F$20,T$2,$N$1,$C192)</f>
        <v>0</v>
      </c>
      <c r="U192" s="185">
        <f ca="1">_xll.DBRW(Server&amp;Cube1,$F$17,$F$18,$F$19,$F$16,$C$14,$F$15,$F$14,$F$20,U$2,$N$1,$C192)</f>
        <v>0</v>
      </c>
      <c r="V192" s="185">
        <f ca="1">_xll.DBRW(Server&amp;Cube1,$F$17,$F$18,$F$19,$F$16,$C$14,$F$15,$F$14,$F$20,V$2,$N$1,$C192)</f>
        <v>0</v>
      </c>
      <c r="W192" s="185">
        <f ca="1">_xll.DBRW(Server&amp;Cube1,$F$17,$F$18,$F$19,$F$16,$C$14,$F$15,$F$14,$F$20,W$2,$N$1,$C192)</f>
        <v>0</v>
      </c>
      <c r="X192" s="185">
        <f ca="1">_xll.DBRW(Server&amp;Cube1,$F$17,$F$18,$F$19,$F$16,$C$14,$F$15,$F$14,$F$20,X$2,$N$1,$C192)</f>
        <v>0</v>
      </c>
      <c r="Y192" s="185">
        <f ca="1">_xll.DBRW(Server&amp;Cube1,$F$17,$F$18,$F$19,$F$16,$C$14,$F$15,$F$14,$F$20,Y$2,$N$1,$C192)</f>
        <v>0</v>
      </c>
      <c r="Z192" s="185">
        <f ca="1">_xll.DBRW(Server&amp;Cube1,$F$17,$F$18,$F$19,$F$16,$C$14,$F$15,$F$14,$F$20,Z$2,$N$1,$C192)</f>
        <v>0</v>
      </c>
      <c r="AA192" s="53"/>
      <c r="AB192" s="53"/>
      <c r="AC192" s="53"/>
      <c r="AD192" s="53"/>
      <c r="AE192" s="53"/>
      <c r="AF192" s="53"/>
      <c r="AG192" s="53"/>
      <c r="AH192" s="53"/>
      <c r="AI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</row>
    <row r="193" spans="1:47" s="9" customFormat="1" ht="24.95" customHeight="1" x14ac:dyDescent="0.35">
      <c r="A193" s="157">
        <f ca="1">IF($AN$35="YES",1,IF(_xll.ELCOMPN(Server&amp;$C$24,C193)&lt;&gt;0,1,IF(OR(B193=$AT$35,B193="ALL"),1,0)))</f>
        <v>1</v>
      </c>
      <c r="B193" s="139" t="str">
        <f t="shared" si="2"/>
        <v>FI</v>
      </c>
      <c r="C193" s="137" t="s">
        <v>295</v>
      </c>
      <c r="E193" s="219" t="str">
        <f ca="1">_xll.DBRA(Server&amp;$C$24,$C193,$F$21)</f>
        <v>Assurances (DF)</v>
      </c>
      <c r="F193" s="219"/>
      <c r="G193" s="219"/>
      <c r="H193" s="40"/>
      <c r="I193" s="192">
        <f ca="1">_xll.DBRW(Server&amp;Cube1,$F$17,$F$18,$F$19,$F$16,$C$14,$F$15,$F$14,$F$20,I$2,I$1,$C193)</f>
        <v>0</v>
      </c>
      <c r="J193" s="192">
        <f ca="1">_xll.DBRW(Server&amp;Cube1,$F$17,$F$18,$F$19,$F$16,$C$14,$F$15,$F$14,$F$20,J$2,J$1,$C193)</f>
        <v>0</v>
      </c>
      <c r="K193" s="183"/>
      <c r="L193" s="185">
        <f ca="1">_xll.DBRW(Server&amp;Cube1,$F$17,$F$18,$F$19,$F$16,$C$14,$F$15,$F$14,$F$20,L$2,L$1,$C193)</f>
        <v>0</v>
      </c>
      <c r="M193" s="184"/>
      <c r="N193" s="185">
        <f ca="1">_xll.DBRW(Server&amp;Cube1,$F$17,$F$18,$F$19,$F$16,$C$14,$F$15,$F$14,$F$20,N$2,$N$1,$C193)</f>
        <v>0</v>
      </c>
      <c r="O193" s="185">
        <f ca="1">_xll.DBRW(Server&amp;Cube1,$F$17,$F$18,$F$19,$F$16,$C$14,$F$15,$F$14,$F$20,O$2,$N$1,$C193)</f>
        <v>0</v>
      </c>
      <c r="P193" s="185">
        <f ca="1">_xll.DBRW(Server&amp;Cube1,$F$17,$F$18,$F$19,$F$16,$C$14,$F$15,$F$14,$F$20,P$2,$N$1,$C193)</f>
        <v>0</v>
      </c>
      <c r="Q193" s="185">
        <f ca="1">_xll.DBRW(Server&amp;Cube1,$F$17,$F$18,$F$19,$F$16,$C$14,$F$15,$F$14,$F$20,Q$2,$N$1,$C193)</f>
        <v>0</v>
      </c>
      <c r="R193" s="185">
        <f ca="1">_xll.DBRW(Server&amp;Cube1,$F$17,$F$18,$F$19,$F$16,$C$14,$F$15,$F$14,$F$20,R$2,$N$1,$C193)</f>
        <v>0</v>
      </c>
      <c r="S193" s="185">
        <f ca="1">_xll.DBRW(Server&amp;Cube1,$F$17,$F$18,$F$19,$F$16,$C$14,$F$15,$F$14,$F$20,S$2,$N$1,$C193)</f>
        <v>0</v>
      </c>
      <c r="T193" s="185">
        <f ca="1">_xll.DBRW(Server&amp;Cube1,$F$17,$F$18,$F$19,$F$16,$C$14,$F$15,$F$14,$F$20,T$2,$N$1,$C193)</f>
        <v>0</v>
      </c>
      <c r="U193" s="185">
        <f ca="1">_xll.DBRW(Server&amp;Cube1,$F$17,$F$18,$F$19,$F$16,$C$14,$F$15,$F$14,$F$20,U$2,$N$1,$C193)</f>
        <v>0</v>
      </c>
      <c r="V193" s="185">
        <f ca="1">_xll.DBRW(Server&amp;Cube1,$F$17,$F$18,$F$19,$F$16,$C$14,$F$15,$F$14,$F$20,V$2,$N$1,$C193)</f>
        <v>0</v>
      </c>
      <c r="W193" s="185">
        <f ca="1">_xll.DBRW(Server&amp;Cube1,$F$17,$F$18,$F$19,$F$16,$C$14,$F$15,$F$14,$F$20,W$2,$N$1,$C193)</f>
        <v>0</v>
      </c>
      <c r="X193" s="185">
        <f ca="1">_xll.DBRW(Server&amp;Cube1,$F$17,$F$18,$F$19,$F$16,$C$14,$F$15,$F$14,$F$20,X$2,$N$1,$C193)</f>
        <v>0</v>
      </c>
      <c r="Y193" s="185">
        <f ca="1">_xll.DBRW(Server&amp;Cube1,$F$17,$F$18,$F$19,$F$16,$C$14,$F$15,$F$14,$F$20,Y$2,$N$1,$C193)</f>
        <v>0</v>
      </c>
      <c r="Z193" s="185">
        <f ca="1">_xll.DBRW(Server&amp;Cube1,$F$17,$F$18,$F$19,$F$16,$C$14,$F$15,$F$14,$F$20,Z$2,$N$1,$C193)</f>
        <v>0</v>
      </c>
      <c r="AA193" s="53"/>
      <c r="AB193" s="53"/>
      <c r="AC193" s="53"/>
      <c r="AD193" s="53"/>
      <c r="AE193" s="53"/>
      <c r="AF193" s="53"/>
      <c r="AG193" s="53"/>
      <c r="AH193" s="53"/>
      <c r="AI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</row>
    <row r="194" spans="1:47" s="9" customFormat="1" ht="24.95" customHeight="1" x14ac:dyDescent="0.35">
      <c r="A194" s="157">
        <f ca="1">IF($AN$35="YES",1,IF(_xll.ELCOMPN(Server&amp;$C$24,C194)&lt;&gt;0,1,IF(OR(B194=$AT$35,B194="ALL"),1,0)))</f>
        <v>1</v>
      </c>
      <c r="B194" s="139" t="str">
        <f t="shared" si="2"/>
        <v>IT</v>
      </c>
      <c r="C194" s="137" t="s">
        <v>296</v>
      </c>
      <c r="E194" s="219" t="str">
        <f ca="1">_xll.DBRA(Server&amp;$C$24,$C194,$F$21)</f>
        <v>Assurances (IT)</v>
      </c>
      <c r="F194" s="219"/>
      <c r="G194" s="219"/>
      <c r="H194" s="40"/>
      <c r="I194" s="192">
        <f ca="1">_xll.DBRW(Server&amp;Cube1,$F$17,$F$18,$F$19,$F$16,$C$14,$F$15,$F$14,$F$20,I$2,I$1,$C194)</f>
        <v>0</v>
      </c>
      <c r="J194" s="192">
        <f ca="1">_xll.DBRW(Server&amp;Cube1,$F$17,$F$18,$F$19,$F$16,$C$14,$F$15,$F$14,$F$20,J$2,J$1,$C194)</f>
        <v>0</v>
      </c>
      <c r="K194" s="183"/>
      <c r="L194" s="185">
        <f ca="1">_xll.DBRW(Server&amp;Cube1,$F$17,$F$18,$F$19,$F$16,$C$14,$F$15,$F$14,$F$20,L$2,L$1,$C194)</f>
        <v>0</v>
      </c>
      <c r="M194" s="184"/>
      <c r="N194" s="185">
        <f ca="1">_xll.DBRW(Server&amp;Cube1,$F$17,$F$18,$F$19,$F$16,$C$14,$F$15,$F$14,$F$20,N$2,$N$1,$C194)</f>
        <v>0</v>
      </c>
      <c r="O194" s="185">
        <f ca="1">_xll.DBRW(Server&amp;Cube1,$F$17,$F$18,$F$19,$F$16,$C$14,$F$15,$F$14,$F$20,O$2,$N$1,$C194)</f>
        <v>0</v>
      </c>
      <c r="P194" s="185">
        <f ca="1">_xll.DBRW(Server&amp;Cube1,$F$17,$F$18,$F$19,$F$16,$C$14,$F$15,$F$14,$F$20,P$2,$N$1,$C194)</f>
        <v>0</v>
      </c>
      <c r="Q194" s="185">
        <f ca="1">_xll.DBRW(Server&amp;Cube1,$F$17,$F$18,$F$19,$F$16,$C$14,$F$15,$F$14,$F$20,Q$2,$N$1,$C194)</f>
        <v>0</v>
      </c>
      <c r="R194" s="185">
        <f ca="1">_xll.DBRW(Server&amp;Cube1,$F$17,$F$18,$F$19,$F$16,$C$14,$F$15,$F$14,$F$20,R$2,$N$1,$C194)</f>
        <v>0</v>
      </c>
      <c r="S194" s="185">
        <f ca="1">_xll.DBRW(Server&amp;Cube1,$F$17,$F$18,$F$19,$F$16,$C$14,$F$15,$F$14,$F$20,S$2,$N$1,$C194)</f>
        <v>0</v>
      </c>
      <c r="T194" s="185">
        <f ca="1">_xll.DBRW(Server&amp;Cube1,$F$17,$F$18,$F$19,$F$16,$C$14,$F$15,$F$14,$F$20,T$2,$N$1,$C194)</f>
        <v>0</v>
      </c>
      <c r="U194" s="185">
        <f ca="1">_xll.DBRW(Server&amp;Cube1,$F$17,$F$18,$F$19,$F$16,$C$14,$F$15,$F$14,$F$20,U$2,$N$1,$C194)</f>
        <v>0</v>
      </c>
      <c r="V194" s="185">
        <f ca="1">_xll.DBRW(Server&amp;Cube1,$F$17,$F$18,$F$19,$F$16,$C$14,$F$15,$F$14,$F$20,V$2,$N$1,$C194)</f>
        <v>0</v>
      </c>
      <c r="W194" s="185">
        <f ca="1">_xll.DBRW(Server&amp;Cube1,$F$17,$F$18,$F$19,$F$16,$C$14,$F$15,$F$14,$F$20,W$2,$N$1,$C194)</f>
        <v>0</v>
      </c>
      <c r="X194" s="185">
        <f ca="1">_xll.DBRW(Server&amp;Cube1,$F$17,$F$18,$F$19,$F$16,$C$14,$F$15,$F$14,$F$20,X$2,$N$1,$C194)</f>
        <v>0</v>
      </c>
      <c r="Y194" s="185">
        <f ca="1">_xll.DBRW(Server&amp;Cube1,$F$17,$F$18,$F$19,$F$16,$C$14,$F$15,$F$14,$F$20,Y$2,$N$1,$C194)</f>
        <v>0</v>
      </c>
      <c r="Z194" s="185">
        <f ca="1">_xll.DBRW(Server&amp;Cube1,$F$17,$F$18,$F$19,$F$16,$C$14,$F$15,$F$14,$F$20,Z$2,$N$1,$C194)</f>
        <v>0</v>
      </c>
      <c r="AA194" s="53"/>
      <c r="AB194" s="53"/>
      <c r="AC194" s="53"/>
      <c r="AD194" s="53"/>
      <c r="AE194" s="53"/>
      <c r="AF194" s="53"/>
      <c r="AG194" s="53"/>
      <c r="AH194" s="53"/>
      <c r="AI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</row>
    <row r="195" spans="1:47" s="9" customFormat="1" ht="24.95" customHeight="1" x14ac:dyDescent="0.35">
      <c r="A195" s="157">
        <f ca="1">IF($AN$35="YES",1,IF(_xll.ELCOMPN(Server&amp;$C$24,C195)&lt;&gt;0,1,IF(OR(B195=$AT$35,B195="ALL"),1,0)))</f>
        <v>1</v>
      </c>
      <c r="B195" s="139" t="str">
        <f t="shared" si="2"/>
        <v>HR</v>
      </c>
      <c r="C195" s="137" t="s">
        <v>297</v>
      </c>
      <c r="E195" s="219" t="str">
        <f ca="1">_xll.DBRA(Server&amp;$C$24,$C195,$F$21)</f>
        <v>Assurances (RH)</v>
      </c>
      <c r="F195" s="219"/>
      <c r="G195" s="219"/>
      <c r="H195" s="40"/>
      <c r="I195" s="192">
        <f ca="1">_xll.DBRW(Server&amp;Cube1,$F$17,$F$18,$F$19,$F$16,$C$14,$F$15,$F$14,$F$20,I$2,I$1,$C195)</f>
        <v>0</v>
      </c>
      <c r="J195" s="192">
        <f ca="1">_xll.DBRW(Server&amp;Cube1,$F$17,$F$18,$F$19,$F$16,$C$14,$F$15,$F$14,$F$20,J$2,J$1,$C195)</f>
        <v>0</v>
      </c>
      <c r="K195" s="183"/>
      <c r="L195" s="185">
        <f ca="1">_xll.DBRW(Server&amp;Cube1,$F$17,$F$18,$F$19,$F$16,$C$14,$F$15,$F$14,$F$20,L$2,L$1,$C195)</f>
        <v>0</v>
      </c>
      <c r="M195" s="184"/>
      <c r="N195" s="185">
        <f ca="1">_xll.DBRW(Server&amp;Cube1,$F$17,$F$18,$F$19,$F$16,$C$14,$F$15,$F$14,$F$20,N$2,$N$1,$C195)</f>
        <v>0</v>
      </c>
      <c r="O195" s="185">
        <f ca="1">_xll.DBRW(Server&amp;Cube1,$F$17,$F$18,$F$19,$F$16,$C$14,$F$15,$F$14,$F$20,O$2,$N$1,$C195)</f>
        <v>0</v>
      </c>
      <c r="P195" s="185">
        <f ca="1">_xll.DBRW(Server&amp;Cube1,$F$17,$F$18,$F$19,$F$16,$C$14,$F$15,$F$14,$F$20,P$2,$N$1,$C195)</f>
        <v>0</v>
      </c>
      <c r="Q195" s="185">
        <f ca="1">_xll.DBRW(Server&amp;Cube1,$F$17,$F$18,$F$19,$F$16,$C$14,$F$15,$F$14,$F$20,Q$2,$N$1,$C195)</f>
        <v>0</v>
      </c>
      <c r="R195" s="185">
        <f ca="1">_xll.DBRW(Server&amp;Cube1,$F$17,$F$18,$F$19,$F$16,$C$14,$F$15,$F$14,$F$20,R$2,$N$1,$C195)</f>
        <v>0</v>
      </c>
      <c r="S195" s="185">
        <f ca="1">_xll.DBRW(Server&amp;Cube1,$F$17,$F$18,$F$19,$F$16,$C$14,$F$15,$F$14,$F$20,S$2,$N$1,$C195)</f>
        <v>0</v>
      </c>
      <c r="T195" s="185">
        <f ca="1">_xll.DBRW(Server&amp;Cube1,$F$17,$F$18,$F$19,$F$16,$C$14,$F$15,$F$14,$F$20,T$2,$N$1,$C195)</f>
        <v>0</v>
      </c>
      <c r="U195" s="185">
        <f ca="1">_xll.DBRW(Server&amp;Cube1,$F$17,$F$18,$F$19,$F$16,$C$14,$F$15,$F$14,$F$20,U$2,$N$1,$C195)</f>
        <v>0</v>
      </c>
      <c r="V195" s="185">
        <f ca="1">_xll.DBRW(Server&amp;Cube1,$F$17,$F$18,$F$19,$F$16,$C$14,$F$15,$F$14,$F$20,V$2,$N$1,$C195)</f>
        <v>0</v>
      </c>
      <c r="W195" s="185">
        <f ca="1">_xll.DBRW(Server&amp;Cube1,$F$17,$F$18,$F$19,$F$16,$C$14,$F$15,$F$14,$F$20,W$2,$N$1,$C195)</f>
        <v>0</v>
      </c>
      <c r="X195" s="185">
        <f ca="1">_xll.DBRW(Server&amp;Cube1,$F$17,$F$18,$F$19,$F$16,$C$14,$F$15,$F$14,$F$20,X$2,$N$1,$C195)</f>
        <v>0</v>
      </c>
      <c r="Y195" s="185">
        <f ca="1">_xll.DBRW(Server&amp;Cube1,$F$17,$F$18,$F$19,$F$16,$C$14,$F$15,$F$14,$F$20,Y$2,$N$1,$C195)</f>
        <v>0</v>
      </c>
      <c r="Z195" s="185">
        <f ca="1">_xll.DBRW(Server&amp;Cube1,$F$17,$F$18,$F$19,$F$16,$C$14,$F$15,$F$14,$F$20,Z$2,$N$1,$C195)</f>
        <v>0</v>
      </c>
      <c r="AA195" s="53"/>
      <c r="AB195" s="53"/>
      <c r="AC195" s="53"/>
      <c r="AD195" s="53"/>
      <c r="AE195" s="53"/>
      <c r="AF195" s="53"/>
      <c r="AG195" s="53"/>
      <c r="AH195" s="53"/>
      <c r="AI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</row>
    <row r="196" spans="1:47" s="9" customFormat="1" ht="24.95" customHeight="1" x14ac:dyDescent="0.35">
      <c r="A196" s="157">
        <f ca="1">IF($AN$35="YES",1,IF(_xll.ELCOMPN(Server&amp;$C$24,C196)&lt;&gt;0,1,IF(OR(B196=$AT$35,B196="ALL"),1,0)))</f>
        <v>1</v>
      </c>
      <c r="B196" s="139" t="str">
        <f t="shared" si="2"/>
        <v>GM</v>
      </c>
      <c r="C196" s="137" t="s">
        <v>298</v>
      </c>
      <c r="E196" s="219" t="str">
        <f ca="1">_xll.DBRA(Server&amp;$C$24,$C196,$F$21)</f>
        <v>Assurances (DG)</v>
      </c>
      <c r="F196" s="219"/>
      <c r="G196" s="219"/>
      <c r="H196" s="40"/>
      <c r="I196" s="192">
        <f ca="1">_xll.DBRW(Server&amp;Cube1,$F$17,$F$18,$F$19,$F$16,$C$14,$F$15,$F$14,$F$20,I$2,I$1,$C196)</f>
        <v>0</v>
      </c>
      <c r="J196" s="192">
        <f ca="1">_xll.DBRW(Server&amp;Cube1,$F$17,$F$18,$F$19,$F$16,$C$14,$F$15,$F$14,$F$20,J$2,J$1,$C196)</f>
        <v>0</v>
      </c>
      <c r="K196" s="183"/>
      <c r="L196" s="185">
        <f ca="1">_xll.DBRW(Server&amp;Cube1,$F$17,$F$18,$F$19,$F$16,$C$14,$F$15,$F$14,$F$20,L$2,L$1,$C196)</f>
        <v>0</v>
      </c>
      <c r="M196" s="184"/>
      <c r="N196" s="185">
        <f ca="1">_xll.DBRW(Server&amp;Cube1,$F$17,$F$18,$F$19,$F$16,$C$14,$F$15,$F$14,$F$20,N$2,$N$1,$C196)</f>
        <v>0</v>
      </c>
      <c r="O196" s="185">
        <f ca="1">_xll.DBRW(Server&amp;Cube1,$F$17,$F$18,$F$19,$F$16,$C$14,$F$15,$F$14,$F$20,O$2,$N$1,$C196)</f>
        <v>0</v>
      </c>
      <c r="P196" s="185">
        <f ca="1">_xll.DBRW(Server&amp;Cube1,$F$17,$F$18,$F$19,$F$16,$C$14,$F$15,$F$14,$F$20,P$2,$N$1,$C196)</f>
        <v>0</v>
      </c>
      <c r="Q196" s="185">
        <f ca="1">_xll.DBRW(Server&amp;Cube1,$F$17,$F$18,$F$19,$F$16,$C$14,$F$15,$F$14,$F$20,Q$2,$N$1,$C196)</f>
        <v>0</v>
      </c>
      <c r="R196" s="185">
        <f ca="1">_xll.DBRW(Server&amp;Cube1,$F$17,$F$18,$F$19,$F$16,$C$14,$F$15,$F$14,$F$20,R$2,$N$1,$C196)</f>
        <v>0</v>
      </c>
      <c r="S196" s="185">
        <f ca="1">_xll.DBRW(Server&amp;Cube1,$F$17,$F$18,$F$19,$F$16,$C$14,$F$15,$F$14,$F$20,S$2,$N$1,$C196)</f>
        <v>0</v>
      </c>
      <c r="T196" s="185">
        <f ca="1">_xll.DBRW(Server&amp;Cube1,$F$17,$F$18,$F$19,$F$16,$C$14,$F$15,$F$14,$F$20,T$2,$N$1,$C196)</f>
        <v>0</v>
      </c>
      <c r="U196" s="185">
        <f ca="1">_xll.DBRW(Server&amp;Cube1,$F$17,$F$18,$F$19,$F$16,$C$14,$F$15,$F$14,$F$20,U$2,$N$1,$C196)</f>
        <v>0</v>
      </c>
      <c r="V196" s="185">
        <f ca="1">_xll.DBRW(Server&amp;Cube1,$F$17,$F$18,$F$19,$F$16,$C$14,$F$15,$F$14,$F$20,V$2,$N$1,$C196)</f>
        <v>0</v>
      </c>
      <c r="W196" s="185">
        <f ca="1">_xll.DBRW(Server&amp;Cube1,$F$17,$F$18,$F$19,$F$16,$C$14,$F$15,$F$14,$F$20,W$2,$N$1,$C196)</f>
        <v>0</v>
      </c>
      <c r="X196" s="185">
        <f ca="1">_xll.DBRW(Server&amp;Cube1,$F$17,$F$18,$F$19,$F$16,$C$14,$F$15,$F$14,$F$20,X$2,$N$1,$C196)</f>
        <v>0</v>
      </c>
      <c r="Y196" s="185">
        <f ca="1">_xll.DBRW(Server&amp;Cube1,$F$17,$F$18,$F$19,$F$16,$C$14,$F$15,$F$14,$F$20,Y$2,$N$1,$C196)</f>
        <v>0</v>
      </c>
      <c r="Z196" s="185">
        <f ca="1">_xll.DBRW(Server&amp;Cube1,$F$17,$F$18,$F$19,$F$16,$C$14,$F$15,$F$14,$F$20,Z$2,$N$1,$C196)</f>
        <v>0</v>
      </c>
      <c r="AA196" s="53"/>
      <c r="AB196" s="53"/>
      <c r="AC196" s="53"/>
      <c r="AD196" s="53"/>
      <c r="AE196" s="53"/>
      <c r="AF196" s="53"/>
      <c r="AG196" s="53"/>
      <c r="AH196" s="53"/>
      <c r="AI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</row>
    <row r="197" spans="1:47" s="9" customFormat="1" ht="24.95" customHeight="1" x14ac:dyDescent="0.35">
      <c r="A197" s="157">
        <f ca="1">IF($AN$35="YES",1,IF(_xll.ELCOMPN(Server&amp;$C$24,C197)&lt;&gt;0,1,IF(OR(B197=$AT$35,B197="ALL"),1,0)))</f>
        <v>1</v>
      </c>
      <c r="B197" s="139" t="str">
        <f t="shared" si="2"/>
        <v>IA</v>
      </c>
      <c r="C197" s="137" t="s">
        <v>299</v>
      </c>
      <c r="E197" s="219" t="str">
        <f ca="1">_xll.DBRA(Server&amp;$C$24,$C197,$F$21)</f>
        <v>Assurances (AI)</v>
      </c>
      <c r="F197" s="219"/>
      <c r="G197" s="219"/>
      <c r="H197" s="40"/>
      <c r="I197" s="192">
        <f ca="1">_xll.DBRW(Server&amp;Cube1,$F$17,$F$18,$F$19,$F$16,$C$14,$F$15,$F$14,$F$20,I$2,I$1,$C197)</f>
        <v>0</v>
      </c>
      <c r="J197" s="192">
        <f ca="1">_xll.DBRW(Server&amp;Cube1,$F$17,$F$18,$F$19,$F$16,$C$14,$F$15,$F$14,$F$20,J$2,J$1,$C197)</f>
        <v>0</v>
      </c>
      <c r="K197" s="183"/>
      <c r="L197" s="185">
        <f ca="1">_xll.DBRW(Server&amp;Cube1,$F$17,$F$18,$F$19,$F$16,$C$14,$F$15,$F$14,$F$20,L$2,L$1,$C197)</f>
        <v>0</v>
      </c>
      <c r="M197" s="184"/>
      <c r="N197" s="185">
        <f ca="1">_xll.DBRW(Server&amp;Cube1,$F$17,$F$18,$F$19,$F$16,$C$14,$F$15,$F$14,$F$20,N$2,$N$1,$C197)</f>
        <v>0</v>
      </c>
      <c r="O197" s="185">
        <f ca="1">_xll.DBRW(Server&amp;Cube1,$F$17,$F$18,$F$19,$F$16,$C$14,$F$15,$F$14,$F$20,O$2,$N$1,$C197)</f>
        <v>0</v>
      </c>
      <c r="P197" s="185">
        <f ca="1">_xll.DBRW(Server&amp;Cube1,$F$17,$F$18,$F$19,$F$16,$C$14,$F$15,$F$14,$F$20,P$2,$N$1,$C197)</f>
        <v>0</v>
      </c>
      <c r="Q197" s="185">
        <f ca="1">_xll.DBRW(Server&amp;Cube1,$F$17,$F$18,$F$19,$F$16,$C$14,$F$15,$F$14,$F$20,Q$2,$N$1,$C197)</f>
        <v>0</v>
      </c>
      <c r="R197" s="185">
        <f ca="1">_xll.DBRW(Server&amp;Cube1,$F$17,$F$18,$F$19,$F$16,$C$14,$F$15,$F$14,$F$20,R$2,$N$1,$C197)</f>
        <v>0</v>
      </c>
      <c r="S197" s="185">
        <f ca="1">_xll.DBRW(Server&amp;Cube1,$F$17,$F$18,$F$19,$F$16,$C$14,$F$15,$F$14,$F$20,S$2,$N$1,$C197)</f>
        <v>0</v>
      </c>
      <c r="T197" s="185">
        <f ca="1">_xll.DBRW(Server&amp;Cube1,$F$17,$F$18,$F$19,$F$16,$C$14,$F$15,$F$14,$F$20,T$2,$N$1,$C197)</f>
        <v>0</v>
      </c>
      <c r="U197" s="185">
        <f ca="1">_xll.DBRW(Server&amp;Cube1,$F$17,$F$18,$F$19,$F$16,$C$14,$F$15,$F$14,$F$20,U$2,$N$1,$C197)</f>
        <v>0</v>
      </c>
      <c r="V197" s="185">
        <f ca="1">_xll.DBRW(Server&amp;Cube1,$F$17,$F$18,$F$19,$F$16,$C$14,$F$15,$F$14,$F$20,V$2,$N$1,$C197)</f>
        <v>0</v>
      </c>
      <c r="W197" s="185">
        <f ca="1">_xll.DBRW(Server&amp;Cube1,$F$17,$F$18,$F$19,$F$16,$C$14,$F$15,$F$14,$F$20,W$2,$N$1,$C197)</f>
        <v>0</v>
      </c>
      <c r="X197" s="185">
        <f ca="1">_xll.DBRW(Server&amp;Cube1,$F$17,$F$18,$F$19,$F$16,$C$14,$F$15,$F$14,$F$20,X$2,$N$1,$C197)</f>
        <v>0</v>
      </c>
      <c r="Y197" s="185">
        <f ca="1">_xll.DBRW(Server&amp;Cube1,$F$17,$F$18,$F$19,$F$16,$C$14,$F$15,$F$14,$F$20,Y$2,$N$1,$C197)</f>
        <v>0</v>
      </c>
      <c r="Z197" s="185">
        <f ca="1">_xll.DBRW(Server&amp;Cube1,$F$17,$F$18,$F$19,$F$16,$C$14,$F$15,$F$14,$F$20,Z$2,$N$1,$C197)</f>
        <v>0</v>
      </c>
      <c r="AA197" s="53"/>
      <c r="AB197" s="53"/>
      <c r="AC197" s="53"/>
      <c r="AD197" s="53"/>
      <c r="AE197" s="53"/>
      <c r="AF197" s="53"/>
      <c r="AG197" s="53"/>
      <c r="AH197" s="53"/>
      <c r="AI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</row>
    <row r="198" spans="1:47" s="9" customFormat="1" ht="24.95" customHeight="1" x14ac:dyDescent="0.35">
      <c r="A198" s="157">
        <f ca="1">IF($AN$35="YES",1,IF(_xll.ELCOMPN(Server&amp;$C$24,C198)&lt;&gt;0,1,IF(OR(B198=$AT$35,B198="ALL"),1,0)))</f>
        <v>1</v>
      </c>
      <c r="B198" s="139" t="str">
        <f t="shared" si="2"/>
        <v>LE</v>
      </c>
      <c r="C198" s="137" t="s">
        <v>300</v>
      </c>
      <c r="E198" s="219" t="str">
        <f ca="1">_xll.DBRA(Server&amp;$C$24,$C198,$F$21)</f>
        <v>Assurances (JU)</v>
      </c>
      <c r="F198" s="219"/>
      <c r="G198" s="219"/>
      <c r="H198" s="40"/>
      <c r="I198" s="192">
        <f ca="1">_xll.DBRW(Server&amp;Cube1,$F$17,$F$18,$F$19,$F$16,$C$14,$F$15,$F$14,$F$20,I$2,I$1,$C198)</f>
        <v>0</v>
      </c>
      <c r="J198" s="192">
        <f ca="1">_xll.DBRW(Server&amp;Cube1,$F$17,$F$18,$F$19,$F$16,$C$14,$F$15,$F$14,$F$20,J$2,J$1,$C198)</f>
        <v>0</v>
      </c>
      <c r="K198" s="183"/>
      <c r="L198" s="185">
        <f ca="1">_xll.DBRW(Server&amp;Cube1,$F$17,$F$18,$F$19,$F$16,$C$14,$F$15,$F$14,$F$20,L$2,L$1,$C198)</f>
        <v>0</v>
      </c>
      <c r="M198" s="184"/>
      <c r="N198" s="185">
        <f ca="1">_xll.DBRW(Server&amp;Cube1,$F$17,$F$18,$F$19,$F$16,$C$14,$F$15,$F$14,$F$20,N$2,$N$1,$C198)</f>
        <v>0</v>
      </c>
      <c r="O198" s="185">
        <f ca="1">_xll.DBRW(Server&amp;Cube1,$F$17,$F$18,$F$19,$F$16,$C$14,$F$15,$F$14,$F$20,O$2,$N$1,$C198)</f>
        <v>0</v>
      </c>
      <c r="P198" s="185">
        <f ca="1">_xll.DBRW(Server&amp;Cube1,$F$17,$F$18,$F$19,$F$16,$C$14,$F$15,$F$14,$F$20,P$2,$N$1,$C198)</f>
        <v>0</v>
      </c>
      <c r="Q198" s="185">
        <f ca="1">_xll.DBRW(Server&amp;Cube1,$F$17,$F$18,$F$19,$F$16,$C$14,$F$15,$F$14,$F$20,Q$2,$N$1,$C198)</f>
        <v>0</v>
      </c>
      <c r="R198" s="185">
        <f ca="1">_xll.DBRW(Server&amp;Cube1,$F$17,$F$18,$F$19,$F$16,$C$14,$F$15,$F$14,$F$20,R$2,$N$1,$C198)</f>
        <v>0</v>
      </c>
      <c r="S198" s="185">
        <f ca="1">_xll.DBRW(Server&amp;Cube1,$F$17,$F$18,$F$19,$F$16,$C$14,$F$15,$F$14,$F$20,S$2,$N$1,$C198)</f>
        <v>0</v>
      </c>
      <c r="T198" s="185">
        <f ca="1">_xll.DBRW(Server&amp;Cube1,$F$17,$F$18,$F$19,$F$16,$C$14,$F$15,$F$14,$F$20,T$2,$N$1,$C198)</f>
        <v>0</v>
      </c>
      <c r="U198" s="185">
        <f ca="1">_xll.DBRW(Server&amp;Cube1,$F$17,$F$18,$F$19,$F$16,$C$14,$F$15,$F$14,$F$20,U$2,$N$1,$C198)</f>
        <v>0</v>
      </c>
      <c r="V198" s="185">
        <f ca="1">_xll.DBRW(Server&amp;Cube1,$F$17,$F$18,$F$19,$F$16,$C$14,$F$15,$F$14,$F$20,V$2,$N$1,$C198)</f>
        <v>0</v>
      </c>
      <c r="W198" s="185">
        <f ca="1">_xll.DBRW(Server&amp;Cube1,$F$17,$F$18,$F$19,$F$16,$C$14,$F$15,$F$14,$F$20,W$2,$N$1,$C198)</f>
        <v>0</v>
      </c>
      <c r="X198" s="185">
        <f ca="1">_xll.DBRW(Server&amp;Cube1,$F$17,$F$18,$F$19,$F$16,$C$14,$F$15,$F$14,$F$20,X$2,$N$1,$C198)</f>
        <v>0</v>
      </c>
      <c r="Y198" s="185">
        <f ca="1">_xll.DBRW(Server&amp;Cube1,$F$17,$F$18,$F$19,$F$16,$C$14,$F$15,$F$14,$F$20,Y$2,$N$1,$C198)</f>
        <v>0</v>
      </c>
      <c r="Z198" s="185">
        <f ca="1">_xll.DBRW(Server&amp;Cube1,$F$17,$F$18,$F$19,$F$16,$C$14,$F$15,$F$14,$F$20,Z$2,$N$1,$C198)</f>
        <v>0</v>
      </c>
      <c r="AA198" s="53"/>
      <c r="AB198" s="53"/>
      <c r="AC198" s="53"/>
      <c r="AD198" s="53"/>
      <c r="AE198" s="53"/>
      <c r="AF198" s="53"/>
      <c r="AG198" s="53"/>
      <c r="AH198" s="53"/>
      <c r="AI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</row>
    <row r="199" spans="1:47" s="9" customFormat="1" ht="24.95" customHeight="1" x14ac:dyDescent="0.35">
      <c r="A199" s="157">
        <f ca="1">IF($AN$35="YES",1,IF(_xll.ELCOMPN(Server&amp;$C$24,C199)&lt;&gt;0,1,IF(OR(B199=$AT$35,B199="ALL"),1,0)))</f>
        <v>1</v>
      </c>
      <c r="B199" s="139" t="str">
        <f t="shared" si="2"/>
        <v>RM</v>
      </c>
      <c r="C199" s="137" t="s">
        <v>301</v>
      </c>
      <c r="E199" s="219" t="str">
        <f ca="1">_xll.DBRA(Server&amp;$C$24,$C199,$F$21)</f>
        <v>Assurances (GR)</v>
      </c>
      <c r="F199" s="219"/>
      <c r="G199" s="219"/>
      <c r="H199" s="40"/>
      <c r="I199" s="192">
        <f ca="1">_xll.DBRW(Server&amp;Cube1,$F$17,$F$18,$F$19,$F$16,$C$14,$F$15,$F$14,$F$20,I$2,I$1,$C199)</f>
        <v>0</v>
      </c>
      <c r="J199" s="192">
        <f ca="1">_xll.DBRW(Server&amp;Cube1,$F$17,$F$18,$F$19,$F$16,$C$14,$F$15,$F$14,$F$20,J$2,J$1,$C199)</f>
        <v>0</v>
      </c>
      <c r="K199" s="183"/>
      <c r="L199" s="185">
        <f ca="1">_xll.DBRW(Server&amp;Cube1,$F$17,$F$18,$F$19,$F$16,$C$14,$F$15,$F$14,$F$20,L$2,L$1,$C199)</f>
        <v>0</v>
      </c>
      <c r="M199" s="184"/>
      <c r="N199" s="185">
        <f ca="1">_xll.DBRW(Server&amp;Cube1,$F$17,$F$18,$F$19,$F$16,$C$14,$F$15,$F$14,$F$20,N$2,$N$1,$C199)</f>
        <v>0</v>
      </c>
      <c r="O199" s="185">
        <f ca="1">_xll.DBRW(Server&amp;Cube1,$F$17,$F$18,$F$19,$F$16,$C$14,$F$15,$F$14,$F$20,O$2,$N$1,$C199)</f>
        <v>0</v>
      </c>
      <c r="P199" s="185">
        <f ca="1">_xll.DBRW(Server&amp;Cube1,$F$17,$F$18,$F$19,$F$16,$C$14,$F$15,$F$14,$F$20,P$2,$N$1,$C199)</f>
        <v>0</v>
      </c>
      <c r="Q199" s="185">
        <f ca="1">_xll.DBRW(Server&amp;Cube1,$F$17,$F$18,$F$19,$F$16,$C$14,$F$15,$F$14,$F$20,Q$2,$N$1,$C199)</f>
        <v>0</v>
      </c>
      <c r="R199" s="185">
        <f ca="1">_xll.DBRW(Server&amp;Cube1,$F$17,$F$18,$F$19,$F$16,$C$14,$F$15,$F$14,$F$20,R$2,$N$1,$C199)</f>
        <v>0</v>
      </c>
      <c r="S199" s="185">
        <f ca="1">_xll.DBRW(Server&amp;Cube1,$F$17,$F$18,$F$19,$F$16,$C$14,$F$15,$F$14,$F$20,S$2,$N$1,$C199)</f>
        <v>0</v>
      </c>
      <c r="T199" s="185">
        <f ca="1">_xll.DBRW(Server&amp;Cube1,$F$17,$F$18,$F$19,$F$16,$C$14,$F$15,$F$14,$F$20,T$2,$N$1,$C199)</f>
        <v>0</v>
      </c>
      <c r="U199" s="185">
        <f ca="1">_xll.DBRW(Server&amp;Cube1,$F$17,$F$18,$F$19,$F$16,$C$14,$F$15,$F$14,$F$20,U$2,$N$1,$C199)</f>
        <v>0</v>
      </c>
      <c r="V199" s="185">
        <f ca="1">_xll.DBRW(Server&amp;Cube1,$F$17,$F$18,$F$19,$F$16,$C$14,$F$15,$F$14,$F$20,V$2,$N$1,$C199)</f>
        <v>0</v>
      </c>
      <c r="W199" s="185">
        <f ca="1">_xll.DBRW(Server&amp;Cube1,$F$17,$F$18,$F$19,$F$16,$C$14,$F$15,$F$14,$F$20,W$2,$N$1,$C199)</f>
        <v>0</v>
      </c>
      <c r="X199" s="185">
        <f ca="1">_xll.DBRW(Server&amp;Cube1,$F$17,$F$18,$F$19,$F$16,$C$14,$F$15,$F$14,$F$20,X$2,$N$1,$C199)</f>
        <v>0</v>
      </c>
      <c r="Y199" s="185">
        <f ca="1">_xll.DBRW(Server&amp;Cube1,$F$17,$F$18,$F$19,$F$16,$C$14,$F$15,$F$14,$F$20,Y$2,$N$1,$C199)</f>
        <v>0</v>
      </c>
      <c r="Z199" s="185">
        <f ca="1">_xll.DBRW(Server&amp;Cube1,$F$17,$F$18,$F$19,$F$16,$C$14,$F$15,$F$14,$F$20,Z$2,$N$1,$C199)</f>
        <v>0</v>
      </c>
      <c r="AA199" s="53"/>
      <c r="AB199" s="53"/>
      <c r="AC199" s="53"/>
      <c r="AD199" s="53"/>
      <c r="AE199" s="53"/>
      <c r="AF199" s="53"/>
      <c r="AG199" s="53"/>
      <c r="AH199" s="53"/>
      <c r="AI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</row>
    <row r="200" spans="1:47" s="9" customFormat="1" ht="24.95" customHeight="1" x14ac:dyDescent="0.35">
      <c r="A200" s="157">
        <f ca="1">IF($AN$35="YES",1,IF(_xll.ELCOMPN(Server&amp;$C$24,C200)&lt;&gt;0,1,IF(OR(B200=$AT$35,B200="ALL"),1,0)))</f>
        <v>1</v>
      </c>
      <c r="B200" s="139" t="str">
        <f t="shared" si="2"/>
        <v>PU</v>
      </c>
      <c r="C200" s="137" t="s">
        <v>302</v>
      </c>
      <c r="E200" s="219" t="str">
        <f ca="1">_xll.DBRA(Server&amp;$C$24,$C200,$F$21)</f>
        <v>Assurances (AC)</v>
      </c>
      <c r="F200" s="219"/>
      <c r="G200" s="219"/>
      <c r="H200" s="40"/>
      <c r="I200" s="192">
        <f ca="1">_xll.DBRW(Server&amp;Cube1,$F$17,$F$18,$F$19,$F$16,$C$14,$F$15,$F$14,$F$20,I$2,I$1,$C200)</f>
        <v>0</v>
      </c>
      <c r="J200" s="192">
        <f ca="1">_xll.DBRW(Server&amp;Cube1,$F$17,$F$18,$F$19,$F$16,$C$14,$F$15,$F$14,$F$20,J$2,J$1,$C200)</f>
        <v>0</v>
      </c>
      <c r="K200" s="183"/>
      <c r="L200" s="185">
        <f ca="1">_xll.DBRW(Server&amp;Cube1,$F$17,$F$18,$F$19,$F$16,$C$14,$F$15,$F$14,$F$20,L$2,L$1,$C200)</f>
        <v>0</v>
      </c>
      <c r="M200" s="184"/>
      <c r="N200" s="185">
        <f ca="1">_xll.DBRW(Server&amp;Cube1,$F$17,$F$18,$F$19,$F$16,$C$14,$F$15,$F$14,$F$20,N$2,$N$1,$C200)</f>
        <v>0</v>
      </c>
      <c r="O200" s="185">
        <f ca="1">_xll.DBRW(Server&amp;Cube1,$F$17,$F$18,$F$19,$F$16,$C$14,$F$15,$F$14,$F$20,O$2,$N$1,$C200)</f>
        <v>0</v>
      </c>
      <c r="P200" s="185">
        <f ca="1">_xll.DBRW(Server&amp;Cube1,$F$17,$F$18,$F$19,$F$16,$C$14,$F$15,$F$14,$F$20,P$2,$N$1,$C200)</f>
        <v>0</v>
      </c>
      <c r="Q200" s="185">
        <f ca="1">_xll.DBRW(Server&amp;Cube1,$F$17,$F$18,$F$19,$F$16,$C$14,$F$15,$F$14,$F$20,Q$2,$N$1,$C200)</f>
        <v>0</v>
      </c>
      <c r="R200" s="185">
        <f ca="1">_xll.DBRW(Server&amp;Cube1,$F$17,$F$18,$F$19,$F$16,$C$14,$F$15,$F$14,$F$20,R$2,$N$1,$C200)</f>
        <v>0</v>
      </c>
      <c r="S200" s="185">
        <f ca="1">_xll.DBRW(Server&amp;Cube1,$F$17,$F$18,$F$19,$F$16,$C$14,$F$15,$F$14,$F$20,S$2,$N$1,$C200)</f>
        <v>0</v>
      </c>
      <c r="T200" s="185">
        <f ca="1">_xll.DBRW(Server&amp;Cube1,$F$17,$F$18,$F$19,$F$16,$C$14,$F$15,$F$14,$F$20,T$2,$N$1,$C200)</f>
        <v>0</v>
      </c>
      <c r="U200" s="185">
        <f ca="1">_xll.DBRW(Server&amp;Cube1,$F$17,$F$18,$F$19,$F$16,$C$14,$F$15,$F$14,$F$20,U$2,$N$1,$C200)</f>
        <v>0</v>
      </c>
      <c r="V200" s="185">
        <f ca="1">_xll.DBRW(Server&amp;Cube1,$F$17,$F$18,$F$19,$F$16,$C$14,$F$15,$F$14,$F$20,V$2,$N$1,$C200)</f>
        <v>0</v>
      </c>
      <c r="W200" s="185">
        <f ca="1">_xll.DBRW(Server&amp;Cube1,$F$17,$F$18,$F$19,$F$16,$C$14,$F$15,$F$14,$F$20,W$2,$N$1,$C200)</f>
        <v>0</v>
      </c>
      <c r="X200" s="185">
        <f ca="1">_xll.DBRW(Server&amp;Cube1,$F$17,$F$18,$F$19,$F$16,$C$14,$F$15,$F$14,$F$20,X$2,$N$1,$C200)</f>
        <v>0</v>
      </c>
      <c r="Y200" s="185">
        <f ca="1">_xll.DBRW(Server&amp;Cube1,$F$17,$F$18,$F$19,$F$16,$C$14,$F$15,$F$14,$F$20,Y$2,$N$1,$C200)</f>
        <v>0</v>
      </c>
      <c r="Z200" s="185">
        <f ca="1">_xll.DBRW(Server&amp;Cube1,$F$17,$F$18,$F$19,$F$16,$C$14,$F$15,$F$14,$F$20,Z$2,$N$1,$C200)</f>
        <v>0</v>
      </c>
      <c r="AA200" s="53"/>
      <c r="AB200" s="53"/>
      <c r="AC200" s="53"/>
      <c r="AD200" s="53"/>
      <c r="AE200" s="53"/>
      <c r="AF200" s="53"/>
      <c r="AG200" s="53"/>
      <c r="AH200" s="53"/>
      <c r="AI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</row>
    <row r="201" spans="1:47" s="9" customFormat="1" ht="24.95" customHeight="1" x14ac:dyDescent="0.35">
      <c r="A201" s="157">
        <f ca="1">IF($AN$35="YES",1,IF(_xll.ELCOMPN(Server&amp;$C$24,C201)&lt;&gt;0,1,IF(OR(B201=$AT$35,B201="ALL"),1,0)))</f>
        <v>1</v>
      </c>
      <c r="B201" s="139" t="str">
        <f t="shared" si="2"/>
        <v>CO</v>
      </c>
      <c r="C201" s="137" t="s">
        <v>303</v>
      </c>
      <c r="E201" s="219" t="str">
        <f ca="1">_xll.DBRA(Server&amp;$C$24,$C201,$F$21)</f>
        <v>Assurances (CO)</v>
      </c>
      <c r="F201" s="219"/>
      <c r="G201" s="219"/>
      <c r="H201" s="40"/>
      <c r="I201" s="192">
        <f ca="1">_xll.DBRW(Server&amp;Cube1,$F$17,$F$18,$F$19,$F$16,$C$14,$F$15,$F$14,$F$20,I$2,I$1,$C201)</f>
        <v>0</v>
      </c>
      <c r="J201" s="192">
        <f ca="1">_xll.DBRW(Server&amp;Cube1,$F$17,$F$18,$F$19,$F$16,$C$14,$F$15,$F$14,$F$20,J$2,J$1,$C201)</f>
        <v>0</v>
      </c>
      <c r="K201" s="183"/>
      <c r="L201" s="185">
        <f ca="1">_xll.DBRW(Server&amp;Cube1,$F$17,$F$18,$F$19,$F$16,$C$14,$F$15,$F$14,$F$20,L$2,L$1,$C201)</f>
        <v>0</v>
      </c>
      <c r="M201" s="184"/>
      <c r="N201" s="185">
        <f ca="1">_xll.DBRW(Server&amp;Cube1,$F$17,$F$18,$F$19,$F$16,$C$14,$F$15,$F$14,$F$20,N$2,$N$1,$C201)</f>
        <v>0</v>
      </c>
      <c r="O201" s="185">
        <f ca="1">_xll.DBRW(Server&amp;Cube1,$F$17,$F$18,$F$19,$F$16,$C$14,$F$15,$F$14,$F$20,O$2,$N$1,$C201)</f>
        <v>0</v>
      </c>
      <c r="P201" s="185">
        <f ca="1">_xll.DBRW(Server&amp;Cube1,$F$17,$F$18,$F$19,$F$16,$C$14,$F$15,$F$14,$F$20,P$2,$N$1,$C201)</f>
        <v>0</v>
      </c>
      <c r="Q201" s="185">
        <f ca="1">_xll.DBRW(Server&amp;Cube1,$F$17,$F$18,$F$19,$F$16,$C$14,$F$15,$F$14,$F$20,Q$2,$N$1,$C201)</f>
        <v>0</v>
      </c>
      <c r="R201" s="185">
        <f ca="1">_xll.DBRW(Server&amp;Cube1,$F$17,$F$18,$F$19,$F$16,$C$14,$F$15,$F$14,$F$20,R$2,$N$1,$C201)</f>
        <v>0</v>
      </c>
      <c r="S201" s="185">
        <f ca="1">_xll.DBRW(Server&amp;Cube1,$F$17,$F$18,$F$19,$F$16,$C$14,$F$15,$F$14,$F$20,S$2,$N$1,$C201)</f>
        <v>0</v>
      </c>
      <c r="T201" s="185">
        <f ca="1">_xll.DBRW(Server&amp;Cube1,$F$17,$F$18,$F$19,$F$16,$C$14,$F$15,$F$14,$F$20,T$2,$N$1,$C201)</f>
        <v>0</v>
      </c>
      <c r="U201" s="185">
        <f ca="1">_xll.DBRW(Server&amp;Cube1,$F$17,$F$18,$F$19,$F$16,$C$14,$F$15,$F$14,$F$20,U$2,$N$1,$C201)</f>
        <v>0</v>
      </c>
      <c r="V201" s="185">
        <f ca="1">_xll.DBRW(Server&amp;Cube1,$F$17,$F$18,$F$19,$F$16,$C$14,$F$15,$F$14,$F$20,V$2,$N$1,$C201)</f>
        <v>0</v>
      </c>
      <c r="W201" s="185">
        <f ca="1">_xll.DBRW(Server&amp;Cube1,$F$17,$F$18,$F$19,$F$16,$C$14,$F$15,$F$14,$F$20,W$2,$N$1,$C201)</f>
        <v>0</v>
      </c>
      <c r="X201" s="185">
        <f ca="1">_xll.DBRW(Server&amp;Cube1,$F$17,$F$18,$F$19,$F$16,$C$14,$F$15,$F$14,$F$20,X$2,$N$1,$C201)</f>
        <v>0</v>
      </c>
      <c r="Y201" s="185">
        <f ca="1">_xll.DBRW(Server&amp;Cube1,$F$17,$F$18,$F$19,$F$16,$C$14,$F$15,$F$14,$F$20,Y$2,$N$1,$C201)</f>
        <v>0</v>
      </c>
      <c r="Z201" s="185">
        <f ca="1">_xll.DBRW(Server&amp;Cube1,$F$17,$F$18,$F$19,$F$16,$C$14,$F$15,$F$14,$F$20,Z$2,$N$1,$C201)</f>
        <v>0</v>
      </c>
      <c r="AA201" s="53"/>
      <c r="AB201" s="53"/>
      <c r="AC201" s="53"/>
      <c r="AD201" s="53"/>
      <c r="AE201" s="53"/>
      <c r="AF201" s="53"/>
      <c r="AG201" s="53"/>
      <c r="AH201" s="53"/>
      <c r="AI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</row>
    <row r="202" spans="1:47" s="9" customFormat="1" ht="24.95" customHeight="1" x14ac:dyDescent="0.35">
      <c r="A202" s="157">
        <f ca="1">IF($AN$35="YES",1,IF(_xll.ELCOMPN(Server&amp;$C$24,C202)&lt;&gt;0,1,IF(OR(B202=$AT$35,B202="ALL"),1,0)))</f>
        <v>1</v>
      </c>
      <c r="B202" s="139" t="str">
        <f t="shared" si="2"/>
        <v>GS</v>
      </c>
      <c r="C202" s="137" t="s">
        <v>304</v>
      </c>
      <c r="E202" s="219" t="str">
        <f ca="1">_xll.DBRA(Server&amp;$C$24,$C202,$F$21)</f>
        <v>Assurances (SG)</v>
      </c>
      <c r="F202" s="219"/>
      <c r="G202" s="219"/>
      <c r="H202" s="40"/>
      <c r="I202" s="192">
        <f ca="1">_xll.DBRW(Server&amp;Cube1,$F$17,$F$18,$F$19,$F$16,$C$14,$F$15,$F$14,$F$20,I$2,I$1,$C202)</f>
        <v>0</v>
      </c>
      <c r="J202" s="192">
        <f ca="1">_xll.DBRW(Server&amp;Cube1,$F$17,$F$18,$F$19,$F$16,$C$14,$F$15,$F$14,$F$20,J$2,J$1,$C202)</f>
        <v>0</v>
      </c>
      <c r="K202" s="183"/>
      <c r="L202" s="185">
        <f ca="1">_xll.DBRW(Server&amp;Cube1,$F$17,$F$18,$F$19,$F$16,$C$14,$F$15,$F$14,$F$20,L$2,L$1,$C202)</f>
        <v>0</v>
      </c>
      <c r="M202" s="184"/>
      <c r="N202" s="185">
        <f ca="1">_xll.DBRW(Server&amp;Cube1,$F$17,$F$18,$F$19,$F$16,$C$14,$F$15,$F$14,$F$20,N$2,$N$1,$C202)</f>
        <v>0</v>
      </c>
      <c r="O202" s="185">
        <f ca="1">_xll.DBRW(Server&amp;Cube1,$F$17,$F$18,$F$19,$F$16,$C$14,$F$15,$F$14,$F$20,O$2,$N$1,$C202)</f>
        <v>0</v>
      </c>
      <c r="P202" s="185">
        <f ca="1">_xll.DBRW(Server&amp;Cube1,$F$17,$F$18,$F$19,$F$16,$C$14,$F$15,$F$14,$F$20,P$2,$N$1,$C202)</f>
        <v>0</v>
      </c>
      <c r="Q202" s="185">
        <f ca="1">_xll.DBRW(Server&amp;Cube1,$F$17,$F$18,$F$19,$F$16,$C$14,$F$15,$F$14,$F$20,Q$2,$N$1,$C202)</f>
        <v>0</v>
      </c>
      <c r="R202" s="185">
        <f ca="1">_xll.DBRW(Server&amp;Cube1,$F$17,$F$18,$F$19,$F$16,$C$14,$F$15,$F$14,$F$20,R$2,$N$1,$C202)</f>
        <v>0</v>
      </c>
      <c r="S202" s="185">
        <f ca="1">_xll.DBRW(Server&amp;Cube1,$F$17,$F$18,$F$19,$F$16,$C$14,$F$15,$F$14,$F$20,S$2,$N$1,$C202)</f>
        <v>0</v>
      </c>
      <c r="T202" s="185">
        <f ca="1">_xll.DBRW(Server&amp;Cube1,$F$17,$F$18,$F$19,$F$16,$C$14,$F$15,$F$14,$F$20,T$2,$N$1,$C202)</f>
        <v>0</v>
      </c>
      <c r="U202" s="185">
        <f ca="1">_xll.DBRW(Server&amp;Cube1,$F$17,$F$18,$F$19,$F$16,$C$14,$F$15,$F$14,$F$20,U$2,$N$1,$C202)</f>
        <v>0</v>
      </c>
      <c r="V202" s="185">
        <f ca="1">_xll.DBRW(Server&amp;Cube1,$F$17,$F$18,$F$19,$F$16,$C$14,$F$15,$F$14,$F$20,V$2,$N$1,$C202)</f>
        <v>0</v>
      </c>
      <c r="W202" s="185">
        <f ca="1">_xll.DBRW(Server&amp;Cube1,$F$17,$F$18,$F$19,$F$16,$C$14,$F$15,$F$14,$F$20,W$2,$N$1,$C202)</f>
        <v>0</v>
      </c>
      <c r="X202" s="185">
        <f ca="1">_xll.DBRW(Server&amp;Cube1,$F$17,$F$18,$F$19,$F$16,$C$14,$F$15,$F$14,$F$20,X$2,$N$1,$C202)</f>
        <v>0</v>
      </c>
      <c r="Y202" s="185">
        <f ca="1">_xll.DBRW(Server&amp;Cube1,$F$17,$F$18,$F$19,$F$16,$C$14,$F$15,$F$14,$F$20,Y$2,$N$1,$C202)</f>
        <v>0</v>
      </c>
      <c r="Z202" s="185">
        <f ca="1">_xll.DBRW(Server&amp;Cube1,$F$17,$F$18,$F$19,$F$16,$C$14,$F$15,$F$14,$F$20,Z$2,$N$1,$C202)</f>
        <v>0</v>
      </c>
      <c r="AA202" s="53"/>
      <c r="AB202" s="53"/>
      <c r="AC202" s="53"/>
      <c r="AD202" s="53"/>
      <c r="AE202" s="53"/>
      <c r="AF202" s="53"/>
      <c r="AG202" s="53"/>
      <c r="AH202" s="53"/>
      <c r="AI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</row>
    <row r="203" spans="1:47" s="9" customFormat="1" ht="24.95" customHeight="1" x14ac:dyDescent="0.35">
      <c r="A203" s="157">
        <f ca="1">IF($AN$35="YES",1,IF(_xll.ELCOMPN(Server&amp;$C$24,C203)&lt;&gt;0,1,IF(OR(B203=$AT$35,B203="ALL"),1,0)))</f>
        <v>1</v>
      </c>
      <c r="B203" s="139" t="str">
        <f t="shared" si="2"/>
        <v>RD</v>
      </c>
      <c r="C203" s="137" t="s">
        <v>305</v>
      </c>
      <c r="E203" s="219" t="str">
        <f ca="1">_xll.DBRA(Server&amp;$C$24,$C203,$F$21)</f>
        <v>Assurances (RD)</v>
      </c>
      <c r="F203" s="219"/>
      <c r="G203" s="219"/>
      <c r="H203" s="40"/>
      <c r="I203" s="192">
        <f ca="1">_xll.DBRW(Server&amp;Cube1,$F$17,$F$18,$F$19,$F$16,$C$14,$F$15,$F$14,$F$20,I$2,I$1,$C203)</f>
        <v>0</v>
      </c>
      <c r="J203" s="192">
        <f ca="1">_xll.DBRW(Server&amp;Cube1,$F$17,$F$18,$F$19,$F$16,$C$14,$F$15,$F$14,$F$20,J$2,J$1,$C203)</f>
        <v>0</v>
      </c>
      <c r="K203" s="183"/>
      <c r="L203" s="185">
        <f ca="1">_xll.DBRW(Server&amp;Cube1,$F$17,$F$18,$F$19,$F$16,$C$14,$F$15,$F$14,$F$20,L$2,L$1,$C203)</f>
        <v>0</v>
      </c>
      <c r="M203" s="184"/>
      <c r="N203" s="185">
        <f ca="1">_xll.DBRW(Server&amp;Cube1,$F$17,$F$18,$F$19,$F$16,$C$14,$F$15,$F$14,$F$20,N$2,$N$1,$C203)</f>
        <v>0</v>
      </c>
      <c r="O203" s="185">
        <f ca="1">_xll.DBRW(Server&amp;Cube1,$F$17,$F$18,$F$19,$F$16,$C$14,$F$15,$F$14,$F$20,O$2,$N$1,$C203)</f>
        <v>0</v>
      </c>
      <c r="P203" s="185">
        <f ca="1">_xll.DBRW(Server&amp;Cube1,$F$17,$F$18,$F$19,$F$16,$C$14,$F$15,$F$14,$F$20,P$2,$N$1,$C203)</f>
        <v>0</v>
      </c>
      <c r="Q203" s="185">
        <f ca="1">_xll.DBRW(Server&amp;Cube1,$F$17,$F$18,$F$19,$F$16,$C$14,$F$15,$F$14,$F$20,Q$2,$N$1,$C203)</f>
        <v>0</v>
      </c>
      <c r="R203" s="185">
        <f ca="1">_xll.DBRW(Server&amp;Cube1,$F$17,$F$18,$F$19,$F$16,$C$14,$F$15,$F$14,$F$20,R$2,$N$1,$C203)</f>
        <v>0</v>
      </c>
      <c r="S203" s="185">
        <f ca="1">_xll.DBRW(Server&amp;Cube1,$F$17,$F$18,$F$19,$F$16,$C$14,$F$15,$F$14,$F$20,S$2,$N$1,$C203)</f>
        <v>0</v>
      </c>
      <c r="T203" s="185">
        <f ca="1">_xll.DBRW(Server&amp;Cube1,$F$17,$F$18,$F$19,$F$16,$C$14,$F$15,$F$14,$F$20,T$2,$N$1,$C203)</f>
        <v>0</v>
      </c>
      <c r="U203" s="185">
        <f ca="1">_xll.DBRW(Server&amp;Cube1,$F$17,$F$18,$F$19,$F$16,$C$14,$F$15,$F$14,$F$20,U$2,$N$1,$C203)</f>
        <v>0</v>
      </c>
      <c r="V203" s="185">
        <f ca="1">_xll.DBRW(Server&amp;Cube1,$F$17,$F$18,$F$19,$F$16,$C$14,$F$15,$F$14,$F$20,V$2,$N$1,$C203)</f>
        <v>0</v>
      </c>
      <c r="W203" s="185">
        <f ca="1">_xll.DBRW(Server&amp;Cube1,$F$17,$F$18,$F$19,$F$16,$C$14,$F$15,$F$14,$F$20,W$2,$N$1,$C203)</f>
        <v>0</v>
      </c>
      <c r="X203" s="185">
        <f ca="1">_xll.DBRW(Server&amp;Cube1,$F$17,$F$18,$F$19,$F$16,$C$14,$F$15,$F$14,$F$20,X$2,$N$1,$C203)</f>
        <v>0</v>
      </c>
      <c r="Y203" s="185">
        <f ca="1">_xll.DBRW(Server&amp;Cube1,$F$17,$F$18,$F$19,$F$16,$C$14,$F$15,$F$14,$F$20,Y$2,$N$1,$C203)</f>
        <v>0</v>
      </c>
      <c r="Z203" s="185">
        <f ca="1">_xll.DBRW(Server&amp;Cube1,$F$17,$F$18,$F$19,$F$16,$C$14,$F$15,$F$14,$F$20,Z$2,$N$1,$C203)</f>
        <v>0</v>
      </c>
      <c r="AA203" s="53"/>
      <c r="AB203" s="53"/>
      <c r="AC203" s="53"/>
      <c r="AD203" s="53"/>
      <c r="AE203" s="53"/>
      <c r="AF203" s="53"/>
      <c r="AG203" s="53"/>
      <c r="AH203" s="53"/>
      <c r="AI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</row>
    <row r="204" spans="1:47" s="9" customFormat="1" ht="24.95" customHeight="1" collapsed="1" x14ac:dyDescent="0.35">
      <c r="A204" s="157">
        <f ca="1">IF($AN$35="YES",1,IF(_xll.ELCOMPN(Server&amp;$C$24,C204)&lt;&gt;0,1,IF(OR(B204=$AT$35,B204="ALL"),1,0)))</f>
        <v>1</v>
      </c>
      <c r="B204" s="139" t="str">
        <f t="shared" si="2"/>
        <v>ba</v>
      </c>
      <c r="C204" s="111" t="s">
        <v>103</v>
      </c>
      <c r="E204" s="221" t="str">
        <f ca="1">_xll.DBRA(Server&amp;$C$24,$C204,$F$21)</f>
        <v>Services bancaires</v>
      </c>
      <c r="F204" s="221"/>
      <c r="G204" s="221"/>
      <c r="H204" s="40"/>
      <c r="I204" s="192">
        <f ca="1">_xll.DBRW(Server&amp;Cube1,$F$17,$F$18,$F$19,$F$16,$C$14,$F$15,$F$14,$F$20,I$2,I$1,$C204)</f>
        <v>0</v>
      </c>
      <c r="J204" s="192">
        <f ca="1">_xll.DBRW(Server&amp;Cube1,$F$17,$F$18,$F$19,$F$16,$C$14,$F$15,$F$14,$F$20,J$2,J$1,$C204)</f>
        <v>0</v>
      </c>
      <c r="K204" s="183"/>
      <c r="L204" s="181">
        <f ca="1">_xll.DBRW(Server&amp;Cube1,$F$17,$F$18,$F$19,$F$16,$C$14,$F$15,$F$14,$F$20,L$2,L$1,$C204)</f>
        <v>0</v>
      </c>
      <c r="M204" s="181"/>
      <c r="N204" s="181">
        <f ca="1">_xll.DBRW(Server&amp;Cube1,$F$17,$F$18,$F$19,$F$16,$C$14,$F$15,$F$14,$F$20,N$2,$N$1,$C204)</f>
        <v>0</v>
      </c>
      <c r="O204" s="181">
        <f ca="1">_xll.DBRW(Server&amp;Cube1,$F$17,$F$18,$F$19,$F$16,$C$14,$F$15,$F$14,$F$20,O$2,$N$1,$C204)</f>
        <v>0</v>
      </c>
      <c r="P204" s="181">
        <f ca="1">_xll.DBRW(Server&amp;Cube1,$F$17,$F$18,$F$19,$F$16,$C$14,$F$15,$F$14,$F$20,P$2,$N$1,$C204)</f>
        <v>0</v>
      </c>
      <c r="Q204" s="181">
        <f ca="1">_xll.DBRW(Server&amp;Cube1,$F$17,$F$18,$F$19,$F$16,$C$14,$F$15,$F$14,$F$20,Q$2,$N$1,$C204)</f>
        <v>0</v>
      </c>
      <c r="R204" s="181">
        <f ca="1">_xll.DBRW(Server&amp;Cube1,$F$17,$F$18,$F$19,$F$16,$C$14,$F$15,$F$14,$F$20,R$2,$N$1,$C204)</f>
        <v>0</v>
      </c>
      <c r="S204" s="181">
        <f ca="1">_xll.DBRW(Server&amp;Cube1,$F$17,$F$18,$F$19,$F$16,$C$14,$F$15,$F$14,$F$20,S$2,$N$1,$C204)</f>
        <v>0</v>
      </c>
      <c r="T204" s="181">
        <f ca="1">_xll.DBRW(Server&amp;Cube1,$F$17,$F$18,$F$19,$F$16,$C$14,$F$15,$F$14,$F$20,T$2,$N$1,$C204)</f>
        <v>0</v>
      </c>
      <c r="U204" s="181">
        <f ca="1">_xll.DBRW(Server&amp;Cube1,$F$17,$F$18,$F$19,$F$16,$C$14,$F$15,$F$14,$F$20,U$2,$N$1,$C204)</f>
        <v>0</v>
      </c>
      <c r="V204" s="181">
        <f ca="1">_xll.DBRW(Server&amp;Cube1,$F$17,$F$18,$F$19,$F$16,$C$14,$F$15,$F$14,$F$20,V$2,$N$1,$C204)</f>
        <v>0</v>
      </c>
      <c r="W204" s="181">
        <f ca="1">_xll.DBRW(Server&amp;Cube1,$F$17,$F$18,$F$19,$F$16,$C$14,$F$15,$F$14,$F$20,W$2,$N$1,$C204)</f>
        <v>0</v>
      </c>
      <c r="X204" s="181">
        <f ca="1">_xll.DBRW(Server&amp;Cube1,$F$17,$F$18,$F$19,$F$16,$C$14,$F$15,$F$14,$F$20,X$2,$N$1,$C204)</f>
        <v>0</v>
      </c>
      <c r="Y204" s="181">
        <f ca="1">_xll.DBRW(Server&amp;Cube1,$F$17,$F$18,$F$19,$F$16,$C$14,$F$15,$F$14,$F$20,Y$2,$N$1,$C204)</f>
        <v>0</v>
      </c>
      <c r="Z204" s="181">
        <f ca="1">_xll.DBRW(Server&amp;Cube1,$F$17,$F$18,$F$19,$F$16,$C$14,$F$15,$F$14,$F$20,Z$2,$N$1,$C204)</f>
        <v>0</v>
      </c>
      <c r="AA204" s="53"/>
      <c r="AB204" s="53"/>
      <c r="AC204" s="53"/>
      <c r="AD204" s="53"/>
      <c r="AE204" s="53"/>
      <c r="AF204" s="53"/>
      <c r="AG204" s="53"/>
      <c r="AH204" s="53"/>
      <c r="AI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</row>
    <row r="205" spans="1:47" s="9" customFormat="1" ht="24.95" customHeight="1" x14ac:dyDescent="0.35">
      <c r="A205" s="157">
        <f ca="1">IF($AN$35="YES",1,IF(_xll.ELCOMPN(Server&amp;$C$24,C205)&lt;&gt;0,1,IF(OR(B205=$AT$35,B205="ALL"),1,0)))</f>
        <v>1</v>
      </c>
      <c r="B205" s="139" t="str">
        <f t="shared" si="2"/>
        <v>DS</v>
      </c>
      <c r="C205" s="137" t="s">
        <v>306</v>
      </c>
      <c r="E205" s="219" t="str">
        <f ca="1">_xll.DBRA(Server&amp;$C$24,$C205,$F$21)</f>
        <v>Services bancaires (SO)</v>
      </c>
      <c r="F205" s="219"/>
      <c r="G205" s="219"/>
      <c r="H205" s="40"/>
      <c r="I205" s="192">
        <f ca="1">_xll.DBRW(Server&amp;Cube1,$F$17,$F$18,$F$19,$F$16,$C$14,$F$15,$F$14,$F$20,I$2,I$1,$C205)</f>
        <v>0</v>
      </c>
      <c r="J205" s="192">
        <f ca="1">_xll.DBRW(Server&amp;Cube1,$F$17,$F$18,$F$19,$F$16,$C$14,$F$15,$F$14,$F$20,J$2,J$1,$C205)</f>
        <v>0</v>
      </c>
      <c r="K205" s="183"/>
      <c r="L205" s="185">
        <f ca="1">_xll.DBRW(Server&amp;Cube1,$F$17,$F$18,$F$19,$F$16,$C$14,$F$15,$F$14,$F$20,L$2,L$1,$C205)</f>
        <v>0</v>
      </c>
      <c r="M205" s="184"/>
      <c r="N205" s="185">
        <f ca="1">_xll.DBRW(Server&amp;Cube1,$F$17,$F$18,$F$19,$F$16,$C$14,$F$15,$F$14,$F$20,N$2,$N$1,$C205)</f>
        <v>0</v>
      </c>
      <c r="O205" s="185">
        <f ca="1">_xll.DBRW(Server&amp;Cube1,$F$17,$F$18,$F$19,$F$16,$C$14,$F$15,$F$14,$F$20,O$2,$N$1,$C205)</f>
        <v>0</v>
      </c>
      <c r="P205" s="185">
        <f ca="1">_xll.DBRW(Server&amp;Cube1,$F$17,$F$18,$F$19,$F$16,$C$14,$F$15,$F$14,$F$20,P$2,$N$1,$C205)</f>
        <v>0</v>
      </c>
      <c r="Q205" s="185">
        <f ca="1">_xll.DBRW(Server&amp;Cube1,$F$17,$F$18,$F$19,$F$16,$C$14,$F$15,$F$14,$F$20,Q$2,$N$1,$C205)</f>
        <v>0</v>
      </c>
      <c r="R205" s="185">
        <f ca="1">_xll.DBRW(Server&amp;Cube1,$F$17,$F$18,$F$19,$F$16,$C$14,$F$15,$F$14,$F$20,R$2,$N$1,$C205)</f>
        <v>0</v>
      </c>
      <c r="S205" s="185">
        <f ca="1">_xll.DBRW(Server&amp;Cube1,$F$17,$F$18,$F$19,$F$16,$C$14,$F$15,$F$14,$F$20,S$2,$N$1,$C205)</f>
        <v>0</v>
      </c>
      <c r="T205" s="185">
        <f ca="1">_xll.DBRW(Server&amp;Cube1,$F$17,$F$18,$F$19,$F$16,$C$14,$F$15,$F$14,$F$20,T$2,$N$1,$C205)</f>
        <v>0</v>
      </c>
      <c r="U205" s="185">
        <f ca="1">_xll.DBRW(Server&amp;Cube1,$F$17,$F$18,$F$19,$F$16,$C$14,$F$15,$F$14,$F$20,U$2,$N$1,$C205)</f>
        <v>0</v>
      </c>
      <c r="V205" s="185">
        <f ca="1">_xll.DBRW(Server&amp;Cube1,$F$17,$F$18,$F$19,$F$16,$C$14,$F$15,$F$14,$F$20,V$2,$N$1,$C205)</f>
        <v>0</v>
      </c>
      <c r="W205" s="185">
        <f ca="1">_xll.DBRW(Server&amp;Cube1,$F$17,$F$18,$F$19,$F$16,$C$14,$F$15,$F$14,$F$20,W$2,$N$1,$C205)</f>
        <v>0</v>
      </c>
      <c r="X205" s="185">
        <f ca="1">_xll.DBRW(Server&amp;Cube1,$F$17,$F$18,$F$19,$F$16,$C$14,$F$15,$F$14,$F$20,X$2,$N$1,$C205)</f>
        <v>0</v>
      </c>
      <c r="Y205" s="185">
        <f ca="1">_xll.DBRW(Server&amp;Cube1,$F$17,$F$18,$F$19,$F$16,$C$14,$F$15,$F$14,$F$20,Y$2,$N$1,$C205)</f>
        <v>0</v>
      </c>
      <c r="Z205" s="185">
        <f ca="1">_xll.DBRW(Server&amp;Cube1,$F$17,$F$18,$F$19,$F$16,$C$14,$F$15,$F$14,$F$20,Z$2,$N$1,$C205)</f>
        <v>0</v>
      </c>
      <c r="AA205" s="53"/>
      <c r="AB205" s="53"/>
      <c r="AC205" s="53"/>
      <c r="AD205" s="53"/>
      <c r="AE205" s="53"/>
      <c r="AF205" s="53"/>
      <c r="AG205" s="53"/>
      <c r="AH205" s="53"/>
      <c r="AI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</row>
    <row r="206" spans="1:47" s="9" customFormat="1" ht="24.95" customHeight="1" x14ac:dyDescent="0.35">
      <c r="A206" s="157">
        <f ca="1">IF($AN$35="YES",1,IF(_xll.ELCOMPN(Server&amp;$C$24,C206)&lt;&gt;0,1,IF(OR(B206=$AT$35,B206="ALL"),1,0)))</f>
        <v>1</v>
      </c>
      <c r="B206" s="139" t="str">
        <f t="shared" si="2"/>
        <v>BD</v>
      </c>
      <c r="C206" s="137" t="s">
        <v>307</v>
      </c>
      <c r="E206" s="219" t="str">
        <f ca="1">_xll.DBRA(Server&amp;$C$24,$C206,$F$21)</f>
        <v>Services bancaires (DC)</v>
      </c>
      <c r="F206" s="219"/>
      <c r="G206" s="219"/>
      <c r="H206" s="40"/>
      <c r="I206" s="192">
        <f ca="1">_xll.DBRW(Server&amp;Cube1,$F$17,$F$18,$F$19,$F$16,$C$14,$F$15,$F$14,$F$20,I$2,I$1,$C206)</f>
        <v>0</v>
      </c>
      <c r="J206" s="192">
        <f ca="1">_xll.DBRW(Server&amp;Cube1,$F$17,$F$18,$F$19,$F$16,$C$14,$F$15,$F$14,$F$20,J$2,J$1,$C206)</f>
        <v>0</v>
      </c>
      <c r="K206" s="183"/>
      <c r="L206" s="185">
        <f ca="1">_xll.DBRW(Server&amp;Cube1,$F$17,$F$18,$F$19,$F$16,$C$14,$F$15,$F$14,$F$20,L$2,L$1,$C206)</f>
        <v>0</v>
      </c>
      <c r="M206" s="184"/>
      <c r="N206" s="185">
        <f ca="1">_xll.DBRW(Server&amp;Cube1,$F$17,$F$18,$F$19,$F$16,$C$14,$F$15,$F$14,$F$20,N$2,$N$1,$C206)</f>
        <v>0</v>
      </c>
      <c r="O206" s="185">
        <f ca="1">_xll.DBRW(Server&amp;Cube1,$F$17,$F$18,$F$19,$F$16,$C$14,$F$15,$F$14,$F$20,O$2,$N$1,$C206)</f>
        <v>0</v>
      </c>
      <c r="P206" s="185">
        <f ca="1">_xll.DBRW(Server&amp;Cube1,$F$17,$F$18,$F$19,$F$16,$C$14,$F$15,$F$14,$F$20,P$2,$N$1,$C206)</f>
        <v>0</v>
      </c>
      <c r="Q206" s="185">
        <f ca="1">_xll.DBRW(Server&amp;Cube1,$F$17,$F$18,$F$19,$F$16,$C$14,$F$15,$F$14,$F$20,Q$2,$N$1,$C206)</f>
        <v>0</v>
      </c>
      <c r="R206" s="185">
        <f ca="1">_xll.DBRW(Server&amp;Cube1,$F$17,$F$18,$F$19,$F$16,$C$14,$F$15,$F$14,$F$20,R$2,$N$1,$C206)</f>
        <v>0</v>
      </c>
      <c r="S206" s="185">
        <f ca="1">_xll.DBRW(Server&amp;Cube1,$F$17,$F$18,$F$19,$F$16,$C$14,$F$15,$F$14,$F$20,S$2,$N$1,$C206)</f>
        <v>0</v>
      </c>
      <c r="T206" s="185">
        <f ca="1">_xll.DBRW(Server&amp;Cube1,$F$17,$F$18,$F$19,$F$16,$C$14,$F$15,$F$14,$F$20,T$2,$N$1,$C206)</f>
        <v>0</v>
      </c>
      <c r="U206" s="185">
        <f ca="1">_xll.DBRW(Server&amp;Cube1,$F$17,$F$18,$F$19,$F$16,$C$14,$F$15,$F$14,$F$20,U$2,$N$1,$C206)</f>
        <v>0</v>
      </c>
      <c r="V206" s="185">
        <f ca="1">_xll.DBRW(Server&amp;Cube1,$F$17,$F$18,$F$19,$F$16,$C$14,$F$15,$F$14,$F$20,V$2,$N$1,$C206)</f>
        <v>0</v>
      </c>
      <c r="W206" s="185">
        <f ca="1">_xll.DBRW(Server&amp;Cube1,$F$17,$F$18,$F$19,$F$16,$C$14,$F$15,$F$14,$F$20,W$2,$N$1,$C206)</f>
        <v>0</v>
      </c>
      <c r="X206" s="185">
        <f ca="1">_xll.DBRW(Server&amp;Cube1,$F$17,$F$18,$F$19,$F$16,$C$14,$F$15,$F$14,$F$20,X$2,$N$1,$C206)</f>
        <v>0</v>
      </c>
      <c r="Y206" s="185">
        <f ca="1">_xll.DBRW(Server&amp;Cube1,$F$17,$F$18,$F$19,$F$16,$C$14,$F$15,$F$14,$F$20,Y$2,$N$1,$C206)</f>
        <v>0</v>
      </c>
      <c r="Z206" s="185">
        <f ca="1">_xll.DBRW(Server&amp;Cube1,$F$17,$F$18,$F$19,$F$16,$C$14,$F$15,$F$14,$F$20,Z$2,$N$1,$C206)</f>
        <v>0</v>
      </c>
      <c r="AA206" s="53"/>
      <c r="AB206" s="53"/>
      <c r="AC206" s="53"/>
      <c r="AD206" s="53"/>
      <c r="AE206" s="53"/>
      <c r="AF206" s="53"/>
      <c r="AG206" s="53"/>
      <c r="AH206" s="53"/>
      <c r="AI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</row>
    <row r="207" spans="1:47" s="9" customFormat="1" ht="24.95" customHeight="1" x14ac:dyDescent="0.35">
      <c r="A207" s="157">
        <f ca="1">IF($AN$35="YES",1,IF(_xll.ELCOMPN(Server&amp;$C$24,C207)&lt;&gt;0,1,IF(OR(B207=$AT$35,B207="ALL"),1,0)))</f>
        <v>1</v>
      </c>
      <c r="B207" s="139" t="str">
        <f t="shared" si="2"/>
        <v>FI</v>
      </c>
      <c r="C207" s="137" t="s">
        <v>308</v>
      </c>
      <c r="E207" s="219" t="str">
        <f ca="1">_xll.DBRA(Server&amp;$C$24,$C207,$F$21)</f>
        <v>Services bancaires (DF)</v>
      </c>
      <c r="F207" s="219"/>
      <c r="G207" s="219"/>
      <c r="H207" s="40"/>
      <c r="I207" s="192">
        <f ca="1">_xll.DBRW(Server&amp;Cube1,$F$17,$F$18,$F$19,$F$16,$C$14,$F$15,$F$14,$F$20,I$2,I$1,$C207)</f>
        <v>0</v>
      </c>
      <c r="J207" s="192">
        <f ca="1">_xll.DBRW(Server&amp;Cube1,$F$17,$F$18,$F$19,$F$16,$C$14,$F$15,$F$14,$F$20,J$2,J$1,$C207)</f>
        <v>0</v>
      </c>
      <c r="K207" s="183"/>
      <c r="L207" s="185">
        <f ca="1">_xll.DBRW(Server&amp;Cube1,$F$17,$F$18,$F$19,$F$16,$C$14,$F$15,$F$14,$F$20,L$2,L$1,$C207)</f>
        <v>0</v>
      </c>
      <c r="M207" s="184"/>
      <c r="N207" s="185">
        <f ca="1">_xll.DBRW(Server&amp;Cube1,$F$17,$F$18,$F$19,$F$16,$C$14,$F$15,$F$14,$F$20,N$2,$N$1,$C207)</f>
        <v>0</v>
      </c>
      <c r="O207" s="185">
        <f ca="1">_xll.DBRW(Server&amp;Cube1,$F$17,$F$18,$F$19,$F$16,$C$14,$F$15,$F$14,$F$20,O$2,$N$1,$C207)</f>
        <v>0</v>
      </c>
      <c r="P207" s="185">
        <f ca="1">_xll.DBRW(Server&amp;Cube1,$F$17,$F$18,$F$19,$F$16,$C$14,$F$15,$F$14,$F$20,P$2,$N$1,$C207)</f>
        <v>0</v>
      </c>
      <c r="Q207" s="185">
        <f ca="1">_xll.DBRW(Server&amp;Cube1,$F$17,$F$18,$F$19,$F$16,$C$14,$F$15,$F$14,$F$20,Q$2,$N$1,$C207)</f>
        <v>0</v>
      </c>
      <c r="R207" s="185">
        <f ca="1">_xll.DBRW(Server&amp;Cube1,$F$17,$F$18,$F$19,$F$16,$C$14,$F$15,$F$14,$F$20,R$2,$N$1,$C207)</f>
        <v>0</v>
      </c>
      <c r="S207" s="185">
        <f ca="1">_xll.DBRW(Server&amp;Cube1,$F$17,$F$18,$F$19,$F$16,$C$14,$F$15,$F$14,$F$20,S$2,$N$1,$C207)</f>
        <v>0</v>
      </c>
      <c r="T207" s="185">
        <f ca="1">_xll.DBRW(Server&amp;Cube1,$F$17,$F$18,$F$19,$F$16,$C$14,$F$15,$F$14,$F$20,T$2,$N$1,$C207)</f>
        <v>0</v>
      </c>
      <c r="U207" s="185">
        <f ca="1">_xll.DBRW(Server&amp;Cube1,$F$17,$F$18,$F$19,$F$16,$C$14,$F$15,$F$14,$F$20,U$2,$N$1,$C207)</f>
        <v>0</v>
      </c>
      <c r="V207" s="185">
        <f ca="1">_xll.DBRW(Server&amp;Cube1,$F$17,$F$18,$F$19,$F$16,$C$14,$F$15,$F$14,$F$20,V$2,$N$1,$C207)</f>
        <v>0</v>
      </c>
      <c r="W207" s="185">
        <f ca="1">_xll.DBRW(Server&amp;Cube1,$F$17,$F$18,$F$19,$F$16,$C$14,$F$15,$F$14,$F$20,W$2,$N$1,$C207)</f>
        <v>0</v>
      </c>
      <c r="X207" s="185">
        <f ca="1">_xll.DBRW(Server&amp;Cube1,$F$17,$F$18,$F$19,$F$16,$C$14,$F$15,$F$14,$F$20,X$2,$N$1,$C207)</f>
        <v>0</v>
      </c>
      <c r="Y207" s="185">
        <f ca="1">_xll.DBRW(Server&amp;Cube1,$F$17,$F$18,$F$19,$F$16,$C$14,$F$15,$F$14,$F$20,Y$2,$N$1,$C207)</f>
        <v>0</v>
      </c>
      <c r="Z207" s="185">
        <f ca="1">_xll.DBRW(Server&amp;Cube1,$F$17,$F$18,$F$19,$F$16,$C$14,$F$15,$F$14,$F$20,Z$2,$N$1,$C207)</f>
        <v>0</v>
      </c>
      <c r="AA207" s="53"/>
      <c r="AB207" s="53"/>
      <c r="AC207" s="53"/>
      <c r="AD207" s="53"/>
      <c r="AE207" s="53"/>
      <c r="AF207" s="53"/>
      <c r="AG207" s="53"/>
      <c r="AH207" s="53"/>
      <c r="AI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</row>
    <row r="208" spans="1:47" s="9" customFormat="1" ht="24.95" customHeight="1" x14ac:dyDescent="0.35">
      <c r="A208" s="157">
        <f ca="1">IF($AN$35="YES",1,IF(_xll.ELCOMPN(Server&amp;$C$24,C208)&lt;&gt;0,1,IF(OR(B208=$AT$35,B208="ALL"),1,0)))</f>
        <v>1</v>
      </c>
      <c r="B208" s="139" t="str">
        <f t="shared" si="2"/>
        <v>IT</v>
      </c>
      <c r="C208" s="137" t="s">
        <v>309</v>
      </c>
      <c r="E208" s="219" t="str">
        <f ca="1">_xll.DBRA(Server&amp;$C$24,$C208,$F$21)</f>
        <v>Services bancaires (IT)</v>
      </c>
      <c r="F208" s="219"/>
      <c r="G208" s="219"/>
      <c r="H208" s="40"/>
      <c r="I208" s="192">
        <f ca="1">_xll.DBRW(Server&amp;Cube1,$F$17,$F$18,$F$19,$F$16,$C$14,$F$15,$F$14,$F$20,I$2,I$1,$C208)</f>
        <v>0</v>
      </c>
      <c r="J208" s="192">
        <f ca="1">_xll.DBRW(Server&amp;Cube1,$F$17,$F$18,$F$19,$F$16,$C$14,$F$15,$F$14,$F$20,J$2,J$1,$C208)</f>
        <v>0</v>
      </c>
      <c r="K208" s="183"/>
      <c r="L208" s="185">
        <f ca="1">_xll.DBRW(Server&amp;Cube1,$F$17,$F$18,$F$19,$F$16,$C$14,$F$15,$F$14,$F$20,L$2,L$1,$C208)</f>
        <v>0</v>
      </c>
      <c r="M208" s="184"/>
      <c r="N208" s="185">
        <f ca="1">_xll.DBRW(Server&amp;Cube1,$F$17,$F$18,$F$19,$F$16,$C$14,$F$15,$F$14,$F$20,N$2,$N$1,$C208)</f>
        <v>0</v>
      </c>
      <c r="O208" s="185">
        <f ca="1">_xll.DBRW(Server&amp;Cube1,$F$17,$F$18,$F$19,$F$16,$C$14,$F$15,$F$14,$F$20,O$2,$N$1,$C208)</f>
        <v>0</v>
      </c>
      <c r="P208" s="185">
        <f ca="1">_xll.DBRW(Server&amp;Cube1,$F$17,$F$18,$F$19,$F$16,$C$14,$F$15,$F$14,$F$20,P$2,$N$1,$C208)</f>
        <v>0</v>
      </c>
      <c r="Q208" s="185">
        <f ca="1">_xll.DBRW(Server&amp;Cube1,$F$17,$F$18,$F$19,$F$16,$C$14,$F$15,$F$14,$F$20,Q$2,$N$1,$C208)</f>
        <v>0</v>
      </c>
      <c r="R208" s="185">
        <f ca="1">_xll.DBRW(Server&amp;Cube1,$F$17,$F$18,$F$19,$F$16,$C$14,$F$15,$F$14,$F$20,R$2,$N$1,$C208)</f>
        <v>0</v>
      </c>
      <c r="S208" s="185">
        <f ca="1">_xll.DBRW(Server&amp;Cube1,$F$17,$F$18,$F$19,$F$16,$C$14,$F$15,$F$14,$F$20,S$2,$N$1,$C208)</f>
        <v>0</v>
      </c>
      <c r="T208" s="185">
        <f ca="1">_xll.DBRW(Server&amp;Cube1,$F$17,$F$18,$F$19,$F$16,$C$14,$F$15,$F$14,$F$20,T$2,$N$1,$C208)</f>
        <v>0</v>
      </c>
      <c r="U208" s="185">
        <f ca="1">_xll.DBRW(Server&amp;Cube1,$F$17,$F$18,$F$19,$F$16,$C$14,$F$15,$F$14,$F$20,U$2,$N$1,$C208)</f>
        <v>0</v>
      </c>
      <c r="V208" s="185">
        <f ca="1">_xll.DBRW(Server&amp;Cube1,$F$17,$F$18,$F$19,$F$16,$C$14,$F$15,$F$14,$F$20,V$2,$N$1,$C208)</f>
        <v>0</v>
      </c>
      <c r="W208" s="185">
        <f ca="1">_xll.DBRW(Server&amp;Cube1,$F$17,$F$18,$F$19,$F$16,$C$14,$F$15,$F$14,$F$20,W$2,$N$1,$C208)</f>
        <v>0</v>
      </c>
      <c r="X208" s="185">
        <f ca="1">_xll.DBRW(Server&amp;Cube1,$F$17,$F$18,$F$19,$F$16,$C$14,$F$15,$F$14,$F$20,X$2,$N$1,$C208)</f>
        <v>0</v>
      </c>
      <c r="Y208" s="185">
        <f ca="1">_xll.DBRW(Server&amp;Cube1,$F$17,$F$18,$F$19,$F$16,$C$14,$F$15,$F$14,$F$20,Y$2,$N$1,$C208)</f>
        <v>0</v>
      </c>
      <c r="Z208" s="185">
        <f ca="1">_xll.DBRW(Server&amp;Cube1,$F$17,$F$18,$F$19,$F$16,$C$14,$F$15,$F$14,$F$20,Z$2,$N$1,$C208)</f>
        <v>0</v>
      </c>
      <c r="AA208" s="53"/>
      <c r="AB208" s="53"/>
      <c r="AC208" s="53"/>
      <c r="AD208" s="53"/>
      <c r="AE208" s="53"/>
      <c r="AF208" s="53"/>
      <c r="AG208" s="53"/>
      <c r="AH208" s="53"/>
      <c r="AI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</row>
    <row r="209" spans="1:47" s="9" customFormat="1" ht="24.95" customHeight="1" x14ac:dyDescent="0.35">
      <c r="A209" s="157">
        <f ca="1">IF($AN$35="YES",1,IF(_xll.ELCOMPN(Server&amp;$C$24,C209)&lt;&gt;0,1,IF(OR(B209=$AT$35,B209="ALL"),1,0)))</f>
        <v>1</v>
      </c>
      <c r="B209" s="139" t="str">
        <f t="shared" si="2"/>
        <v>HR</v>
      </c>
      <c r="C209" s="137" t="s">
        <v>310</v>
      </c>
      <c r="E209" s="219" t="str">
        <f ca="1">_xll.DBRA(Server&amp;$C$24,$C209,$F$21)</f>
        <v>Services bancaires (RH)</v>
      </c>
      <c r="F209" s="219"/>
      <c r="G209" s="219"/>
      <c r="H209" s="40"/>
      <c r="I209" s="192">
        <f ca="1">_xll.DBRW(Server&amp;Cube1,$F$17,$F$18,$F$19,$F$16,$C$14,$F$15,$F$14,$F$20,I$2,I$1,$C209)</f>
        <v>0</v>
      </c>
      <c r="J209" s="192">
        <f ca="1">_xll.DBRW(Server&amp;Cube1,$F$17,$F$18,$F$19,$F$16,$C$14,$F$15,$F$14,$F$20,J$2,J$1,$C209)</f>
        <v>0</v>
      </c>
      <c r="K209" s="183"/>
      <c r="L209" s="185">
        <f ca="1">_xll.DBRW(Server&amp;Cube1,$F$17,$F$18,$F$19,$F$16,$C$14,$F$15,$F$14,$F$20,L$2,L$1,$C209)</f>
        <v>0</v>
      </c>
      <c r="M209" s="184"/>
      <c r="N209" s="185">
        <f ca="1">_xll.DBRW(Server&amp;Cube1,$F$17,$F$18,$F$19,$F$16,$C$14,$F$15,$F$14,$F$20,N$2,$N$1,$C209)</f>
        <v>0</v>
      </c>
      <c r="O209" s="185">
        <f ca="1">_xll.DBRW(Server&amp;Cube1,$F$17,$F$18,$F$19,$F$16,$C$14,$F$15,$F$14,$F$20,O$2,$N$1,$C209)</f>
        <v>0</v>
      </c>
      <c r="P209" s="185">
        <f ca="1">_xll.DBRW(Server&amp;Cube1,$F$17,$F$18,$F$19,$F$16,$C$14,$F$15,$F$14,$F$20,P$2,$N$1,$C209)</f>
        <v>0</v>
      </c>
      <c r="Q209" s="185">
        <f ca="1">_xll.DBRW(Server&amp;Cube1,$F$17,$F$18,$F$19,$F$16,$C$14,$F$15,$F$14,$F$20,Q$2,$N$1,$C209)</f>
        <v>0</v>
      </c>
      <c r="R209" s="185">
        <f ca="1">_xll.DBRW(Server&amp;Cube1,$F$17,$F$18,$F$19,$F$16,$C$14,$F$15,$F$14,$F$20,R$2,$N$1,$C209)</f>
        <v>0</v>
      </c>
      <c r="S209" s="185">
        <f ca="1">_xll.DBRW(Server&amp;Cube1,$F$17,$F$18,$F$19,$F$16,$C$14,$F$15,$F$14,$F$20,S$2,$N$1,$C209)</f>
        <v>0</v>
      </c>
      <c r="T209" s="185">
        <f ca="1">_xll.DBRW(Server&amp;Cube1,$F$17,$F$18,$F$19,$F$16,$C$14,$F$15,$F$14,$F$20,T$2,$N$1,$C209)</f>
        <v>0</v>
      </c>
      <c r="U209" s="185">
        <f ca="1">_xll.DBRW(Server&amp;Cube1,$F$17,$F$18,$F$19,$F$16,$C$14,$F$15,$F$14,$F$20,U$2,$N$1,$C209)</f>
        <v>0</v>
      </c>
      <c r="V209" s="185">
        <f ca="1">_xll.DBRW(Server&amp;Cube1,$F$17,$F$18,$F$19,$F$16,$C$14,$F$15,$F$14,$F$20,V$2,$N$1,$C209)</f>
        <v>0</v>
      </c>
      <c r="W209" s="185">
        <f ca="1">_xll.DBRW(Server&amp;Cube1,$F$17,$F$18,$F$19,$F$16,$C$14,$F$15,$F$14,$F$20,W$2,$N$1,$C209)</f>
        <v>0</v>
      </c>
      <c r="X209" s="185">
        <f ca="1">_xll.DBRW(Server&amp;Cube1,$F$17,$F$18,$F$19,$F$16,$C$14,$F$15,$F$14,$F$20,X$2,$N$1,$C209)</f>
        <v>0</v>
      </c>
      <c r="Y209" s="185">
        <f ca="1">_xll.DBRW(Server&amp;Cube1,$F$17,$F$18,$F$19,$F$16,$C$14,$F$15,$F$14,$F$20,Y$2,$N$1,$C209)</f>
        <v>0</v>
      </c>
      <c r="Z209" s="185">
        <f ca="1">_xll.DBRW(Server&amp;Cube1,$F$17,$F$18,$F$19,$F$16,$C$14,$F$15,$F$14,$F$20,Z$2,$N$1,$C209)</f>
        <v>0</v>
      </c>
      <c r="AA209" s="53"/>
      <c r="AB209" s="53"/>
      <c r="AC209" s="53"/>
      <c r="AD209" s="53"/>
      <c r="AE209" s="53"/>
      <c r="AF209" s="53"/>
      <c r="AG209" s="53"/>
      <c r="AH209" s="53"/>
      <c r="AI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</row>
    <row r="210" spans="1:47" s="9" customFormat="1" ht="24.95" customHeight="1" x14ac:dyDescent="0.35">
      <c r="A210" s="157">
        <f ca="1">IF($AN$35="YES",1,IF(_xll.ELCOMPN(Server&amp;$C$24,C210)&lt;&gt;0,1,IF(OR(B210=$AT$35,B210="ALL"),1,0)))</f>
        <v>1</v>
      </c>
      <c r="B210" s="139" t="str">
        <f t="shared" si="2"/>
        <v>GM</v>
      </c>
      <c r="C210" s="137" t="s">
        <v>311</v>
      </c>
      <c r="E210" s="219" t="str">
        <f ca="1">_xll.DBRA(Server&amp;$C$24,$C210,$F$21)</f>
        <v>Services bancaires (DG)</v>
      </c>
      <c r="F210" s="219"/>
      <c r="G210" s="219"/>
      <c r="H210" s="40"/>
      <c r="I210" s="192">
        <f ca="1">_xll.DBRW(Server&amp;Cube1,$F$17,$F$18,$F$19,$F$16,$C$14,$F$15,$F$14,$F$20,I$2,I$1,$C210)</f>
        <v>0</v>
      </c>
      <c r="J210" s="192">
        <f ca="1">_xll.DBRW(Server&amp;Cube1,$F$17,$F$18,$F$19,$F$16,$C$14,$F$15,$F$14,$F$20,J$2,J$1,$C210)</f>
        <v>0</v>
      </c>
      <c r="K210" s="183"/>
      <c r="L210" s="185">
        <f ca="1">_xll.DBRW(Server&amp;Cube1,$F$17,$F$18,$F$19,$F$16,$C$14,$F$15,$F$14,$F$20,L$2,L$1,$C210)</f>
        <v>0</v>
      </c>
      <c r="M210" s="184"/>
      <c r="N210" s="185">
        <f ca="1">_xll.DBRW(Server&amp;Cube1,$F$17,$F$18,$F$19,$F$16,$C$14,$F$15,$F$14,$F$20,N$2,$N$1,$C210)</f>
        <v>0</v>
      </c>
      <c r="O210" s="185">
        <f ca="1">_xll.DBRW(Server&amp;Cube1,$F$17,$F$18,$F$19,$F$16,$C$14,$F$15,$F$14,$F$20,O$2,$N$1,$C210)</f>
        <v>0</v>
      </c>
      <c r="P210" s="185">
        <f ca="1">_xll.DBRW(Server&amp;Cube1,$F$17,$F$18,$F$19,$F$16,$C$14,$F$15,$F$14,$F$20,P$2,$N$1,$C210)</f>
        <v>0</v>
      </c>
      <c r="Q210" s="185">
        <f ca="1">_xll.DBRW(Server&amp;Cube1,$F$17,$F$18,$F$19,$F$16,$C$14,$F$15,$F$14,$F$20,Q$2,$N$1,$C210)</f>
        <v>0</v>
      </c>
      <c r="R210" s="185">
        <f ca="1">_xll.DBRW(Server&amp;Cube1,$F$17,$F$18,$F$19,$F$16,$C$14,$F$15,$F$14,$F$20,R$2,$N$1,$C210)</f>
        <v>0</v>
      </c>
      <c r="S210" s="185">
        <f ca="1">_xll.DBRW(Server&amp;Cube1,$F$17,$F$18,$F$19,$F$16,$C$14,$F$15,$F$14,$F$20,S$2,$N$1,$C210)</f>
        <v>0</v>
      </c>
      <c r="T210" s="185">
        <f ca="1">_xll.DBRW(Server&amp;Cube1,$F$17,$F$18,$F$19,$F$16,$C$14,$F$15,$F$14,$F$20,T$2,$N$1,$C210)</f>
        <v>0</v>
      </c>
      <c r="U210" s="185">
        <f ca="1">_xll.DBRW(Server&amp;Cube1,$F$17,$F$18,$F$19,$F$16,$C$14,$F$15,$F$14,$F$20,U$2,$N$1,$C210)</f>
        <v>0</v>
      </c>
      <c r="V210" s="185">
        <f ca="1">_xll.DBRW(Server&amp;Cube1,$F$17,$F$18,$F$19,$F$16,$C$14,$F$15,$F$14,$F$20,V$2,$N$1,$C210)</f>
        <v>0</v>
      </c>
      <c r="W210" s="185">
        <f ca="1">_xll.DBRW(Server&amp;Cube1,$F$17,$F$18,$F$19,$F$16,$C$14,$F$15,$F$14,$F$20,W$2,$N$1,$C210)</f>
        <v>0</v>
      </c>
      <c r="X210" s="185">
        <f ca="1">_xll.DBRW(Server&amp;Cube1,$F$17,$F$18,$F$19,$F$16,$C$14,$F$15,$F$14,$F$20,X$2,$N$1,$C210)</f>
        <v>0</v>
      </c>
      <c r="Y210" s="185">
        <f ca="1">_xll.DBRW(Server&amp;Cube1,$F$17,$F$18,$F$19,$F$16,$C$14,$F$15,$F$14,$F$20,Y$2,$N$1,$C210)</f>
        <v>0</v>
      </c>
      <c r="Z210" s="185">
        <f ca="1">_xll.DBRW(Server&amp;Cube1,$F$17,$F$18,$F$19,$F$16,$C$14,$F$15,$F$14,$F$20,Z$2,$N$1,$C210)</f>
        <v>0</v>
      </c>
      <c r="AA210" s="53"/>
      <c r="AB210" s="53"/>
      <c r="AC210" s="53"/>
      <c r="AD210" s="53"/>
      <c r="AE210" s="53"/>
      <c r="AF210" s="53"/>
      <c r="AG210" s="53"/>
      <c r="AH210" s="53"/>
      <c r="AI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</row>
    <row r="211" spans="1:47" s="9" customFormat="1" ht="24.95" customHeight="1" x14ac:dyDescent="0.35">
      <c r="A211" s="157">
        <f ca="1">IF($AN$35="YES",1,IF(_xll.ELCOMPN(Server&amp;$C$24,C211)&lt;&gt;0,1,IF(OR(B211=$AT$35,B211="ALL"),1,0)))</f>
        <v>1</v>
      </c>
      <c r="B211" s="139" t="str">
        <f t="shared" si="2"/>
        <v>IA</v>
      </c>
      <c r="C211" s="137" t="s">
        <v>312</v>
      </c>
      <c r="E211" s="219" t="str">
        <f ca="1">_xll.DBRA(Server&amp;$C$24,$C211,$F$21)</f>
        <v>Services bancaires (AI)</v>
      </c>
      <c r="F211" s="219"/>
      <c r="G211" s="219"/>
      <c r="H211" s="40"/>
      <c r="I211" s="192">
        <f ca="1">_xll.DBRW(Server&amp;Cube1,$F$17,$F$18,$F$19,$F$16,$C$14,$F$15,$F$14,$F$20,I$2,I$1,$C211)</f>
        <v>0</v>
      </c>
      <c r="J211" s="192">
        <f ca="1">_xll.DBRW(Server&amp;Cube1,$F$17,$F$18,$F$19,$F$16,$C$14,$F$15,$F$14,$F$20,J$2,J$1,$C211)</f>
        <v>0</v>
      </c>
      <c r="K211" s="183"/>
      <c r="L211" s="185">
        <f ca="1">_xll.DBRW(Server&amp;Cube1,$F$17,$F$18,$F$19,$F$16,$C$14,$F$15,$F$14,$F$20,L$2,L$1,$C211)</f>
        <v>0</v>
      </c>
      <c r="M211" s="184"/>
      <c r="N211" s="185">
        <f ca="1">_xll.DBRW(Server&amp;Cube1,$F$17,$F$18,$F$19,$F$16,$C$14,$F$15,$F$14,$F$20,N$2,$N$1,$C211)</f>
        <v>0</v>
      </c>
      <c r="O211" s="185">
        <f ca="1">_xll.DBRW(Server&amp;Cube1,$F$17,$F$18,$F$19,$F$16,$C$14,$F$15,$F$14,$F$20,O$2,$N$1,$C211)</f>
        <v>0</v>
      </c>
      <c r="P211" s="185">
        <f ca="1">_xll.DBRW(Server&amp;Cube1,$F$17,$F$18,$F$19,$F$16,$C$14,$F$15,$F$14,$F$20,P$2,$N$1,$C211)</f>
        <v>0</v>
      </c>
      <c r="Q211" s="185">
        <f ca="1">_xll.DBRW(Server&amp;Cube1,$F$17,$F$18,$F$19,$F$16,$C$14,$F$15,$F$14,$F$20,Q$2,$N$1,$C211)</f>
        <v>0</v>
      </c>
      <c r="R211" s="185">
        <f ca="1">_xll.DBRW(Server&amp;Cube1,$F$17,$F$18,$F$19,$F$16,$C$14,$F$15,$F$14,$F$20,R$2,$N$1,$C211)</f>
        <v>0</v>
      </c>
      <c r="S211" s="185">
        <f ca="1">_xll.DBRW(Server&amp;Cube1,$F$17,$F$18,$F$19,$F$16,$C$14,$F$15,$F$14,$F$20,S$2,$N$1,$C211)</f>
        <v>0</v>
      </c>
      <c r="T211" s="185">
        <f ca="1">_xll.DBRW(Server&amp;Cube1,$F$17,$F$18,$F$19,$F$16,$C$14,$F$15,$F$14,$F$20,T$2,$N$1,$C211)</f>
        <v>0</v>
      </c>
      <c r="U211" s="185">
        <f ca="1">_xll.DBRW(Server&amp;Cube1,$F$17,$F$18,$F$19,$F$16,$C$14,$F$15,$F$14,$F$20,U$2,$N$1,$C211)</f>
        <v>0</v>
      </c>
      <c r="V211" s="185">
        <f ca="1">_xll.DBRW(Server&amp;Cube1,$F$17,$F$18,$F$19,$F$16,$C$14,$F$15,$F$14,$F$20,V$2,$N$1,$C211)</f>
        <v>0</v>
      </c>
      <c r="W211" s="185">
        <f ca="1">_xll.DBRW(Server&amp;Cube1,$F$17,$F$18,$F$19,$F$16,$C$14,$F$15,$F$14,$F$20,W$2,$N$1,$C211)</f>
        <v>0</v>
      </c>
      <c r="X211" s="185">
        <f ca="1">_xll.DBRW(Server&amp;Cube1,$F$17,$F$18,$F$19,$F$16,$C$14,$F$15,$F$14,$F$20,X$2,$N$1,$C211)</f>
        <v>0</v>
      </c>
      <c r="Y211" s="185">
        <f ca="1">_xll.DBRW(Server&amp;Cube1,$F$17,$F$18,$F$19,$F$16,$C$14,$F$15,$F$14,$F$20,Y$2,$N$1,$C211)</f>
        <v>0</v>
      </c>
      <c r="Z211" s="185">
        <f ca="1">_xll.DBRW(Server&amp;Cube1,$F$17,$F$18,$F$19,$F$16,$C$14,$F$15,$F$14,$F$20,Z$2,$N$1,$C211)</f>
        <v>0</v>
      </c>
      <c r="AA211" s="53"/>
      <c r="AB211" s="53"/>
      <c r="AC211" s="53"/>
      <c r="AD211" s="53"/>
      <c r="AE211" s="53"/>
      <c r="AF211" s="53"/>
      <c r="AG211" s="53"/>
      <c r="AH211" s="53"/>
      <c r="AI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</row>
    <row r="212" spans="1:47" s="9" customFormat="1" ht="24.95" customHeight="1" x14ac:dyDescent="0.35">
      <c r="A212" s="157">
        <f ca="1">IF($AN$35="YES",1,IF(_xll.ELCOMPN(Server&amp;$C$24,C212)&lt;&gt;0,1,IF(OR(B212=$AT$35,B212="ALL"),1,0)))</f>
        <v>1</v>
      </c>
      <c r="B212" s="139" t="str">
        <f t="shared" si="2"/>
        <v>LE</v>
      </c>
      <c r="C212" s="137" t="s">
        <v>313</v>
      </c>
      <c r="E212" s="219" t="str">
        <f ca="1">_xll.DBRA(Server&amp;$C$24,$C212,$F$21)</f>
        <v>Services bancaires (JU)</v>
      </c>
      <c r="F212" s="219"/>
      <c r="G212" s="219"/>
      <c r="H212" s="40"/>
      <c r="I212" s="192">
        <f ca="1">_xll.DBRW(Server&amp;Cube1,$F$17,$F$18,$F$19,$F$16,$C$14,$F$15,$F$14,$F$20,I$2,I$1,$C212)</f>
        <v>0</v>
      </c>
      <c r="J212" s="192">
        <f ca="1">_xll.DBRW(Server&amp;Cube1,$F$17,$F$18,$F$19,$F$16,$C$14,$F$15,$F$14,$F$20,J$2,J$1,$C212)</f>
        <v>0</v>
      </c>
      <c r="K212" s="183"/>
      <c r="L212" s="185">
        <f ca="1">_xll.DBRW(Server&amp;Cube1,$F$17,$F$18,$F$19,$F$16,$C$14,$F$15,$F$14,$F$20,L$2,L$1,$C212)</f>
        <v>0</v>
      </c>
      <c r="M212" s="184"/>
      <c r="N212" s="185">
        <f ca="1">_xll.DBRW(Server&amp;Cube1,$F$17,$F$18,$F$19,$F$16,$C$14,$F$15,$F$14,$F$20,N$2,$N$1,$C212)</f>
        <v>0</v>
      </c>
      <c r="O212" s="185">
        <f ca="1">_xll.DBRW(Server&amp;Cube1,$F$17,$F$18,$F$19,$F$16,$C$14,$F$15,$F$14,$F$20,O$2,$N$1,$C212)</f>
        <v>0</v>
      </c>
      <c r="P212" s="185">
        <f ca="1">_xll.DBRW(Server&amp;Cube1,$F$17,$F$18,$F$19,$F$16,$C$14,$F$15,$F$14,$F$20,P$2,$N$1,$C212)</f>
        <v>0</v>
      </c>
      <c r="Q212" s="185">
        <f ca="1">_xll.DBRW(Server&amp;Cube1,$F$17,$F$18,$F$19,$F$16,$C$14,$F$15,$F$14,$F$20,Q$2,$N$1,$C212)</f>
        <v>0</v>
      </c>
      <c r="R212" s="185">
        <f ca="1">_xll.DBRW(Server&amp;Cube1,$F$17,$F$18,$F$19,$F$16,$C$14,$F$15,$F$14,$F$20,R$2,$N$1,$C212)</f>
        <v>0</v>
      </c>
      <c r="S212" s="185">
        <f ca="1">_xll.DBRW(Server&amp;Cube1,$F$17,$F$18,$F$19,$F$16,$C$14,$F$15,$F$14,$F$20,S$2,$N$1,$C212)</f>
        <v>0</v>
      </c>
      <c r="T212" s="185">
        <f ca="1">_xll.DBRW(Server&amp;Cube1,$F$17,$F$18,$F$19,$F$16,$C$14,$F$15,$F$14,$F$20,T$2,$N$1,$C212)</f>
        <v>0</v>
      </c>
      <c r="U212" s="185">
        <f ca="1">_xll.DBRW(Server&amp;Cube1,$F$17,$F$18,$F$19,$F$16,$C$14,$F$15,$F$14,$F$20,U$2,$N$1,$C212)</f>
        <v>0</v>
      </c>
      <c r="V212" s="185">
        <f ca="1">_xll.DBRW(Server&amp;Cube1,$F$17,$F$18,$F$19,$F$16,$C$14,$F$15,$F$14,$F$20,V$2,$N$1,$C212)</f>
        <v>0</v>
      </c>
      <c r="W212" s="185">
        <f ca="1">_xll.DBRW(Server&amp;Cube1,$F$17,$F$18,$F$19,$F$16,$C$14,$F$15,$F$14,$F$20,W$2,$N$1,$C212)</f>
        <v>0</v>
      </c>
      <c r="X212" s="185">
        <f ca="1">_xll.DBRW(Server&amp;Cube1,$F$17,$F$18,$F$19,$F$16,$C$14,$F$15,$F$14,$F$20,X$2,$N$1,$C212)</f>
        <v>0</v>
      </c>
      <c r="Y212" s="185">
        <f ca="1">_xll.DBRW(Server&amp;Cube1,$F$17,$F$18,$F$19,$F$16,$C$14,$F$15,$F$14,$F$20,Y$2,$N$1,$C212)</f>
        <v>0</v>
      </c>
      <c r="Z212" s="185">
        <f ca="1">_xll.DBRW(Server&amp;Cube1,$F$17,$F$18,$F$19,$F$16,$C$14,$F$15,$F$14,$F$20,Z$2,$N$1,$C212)</f>
        <v>0</v>
      </c>
      <c r="AA212" s="53"/>
      <c r="AB212" s="53"/>
      <c r="AC212" s="53"/>
      <c r="AD212" s="53"/>
      <c r="AE212" s="53"/>
      <c r="AF212" s="53"/>
      <c r="AG212" s="53"/>
      <c r="AH212" s="53"/>
      <c r="AI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</row>
    <row r="213" spans="1:47" s="9" customFormat="1" ht="24.95" customHeight="1" x14ac:dyDescent="0.35">
      <c r="A213" s="157">
        <f ca="1">IF($AN$35="YES",1,IF(_xll.ELCOMPN(Server&amp;$C$24,C213)&lt;&gt;0,1,IF(OR(B213=$AT$35,B213="ALL"),1,0)))</f>
        <v>1</v>
      </c>
      <c r="B213" s="139" t="str">
        <f t="shared" si="2"/>
        <v>RM</v>
      </c>
      <c r="C213" s="137" t="s">
        <v>314</v>
      </c>
      <c r="E213" s="219" t="str">
        <f ca="1">_xll.DBRA(Server&amp;$C$24,$C213,$F$21)</f>
        <v>Services bancaires (GR)</v>
      </c>
      <c r="F213" s="219"/>
      <c r="G213" s="219"/>
      <c r="H213" s="40"/>
      <c r="I213" s="192">
        <f ca="1">_xll.DBRW(Server&amp;Cube1,$F$17,$F$18,$F$19,$F$16,$C$14,$F$15,$F$14,$F$20,I$2,I$1,$C213)</f>
        <v>0</v>
      </c>
      <c r="J213" s="192">
        <f ca="1">_xll.DBRW(Server&amp;Cube1,$F$17,$F$18,$F$19,$F$16,$C$14,$F$15,$F$14,$F$20,J$2,J$1,$C213)</f>
        <v>0</v>
      </c>
      <c r="K213" s="183"/>
      <c r="L213" s="185">
        <f ca="1">_xll.DBRW(Server&amp;Cube1,$F$17,$F$18,$F$19,$F$16,$C$14,$F$15,$F$14,$F$20,L$2,L$1,$C213)</f>
        <v>0</v>
      </c>
      <c r="M213" s="184"/>
      <c r="N213" s="185">
        <f ca="1">_xll.DBRW(Server&amp;Cube1,$F$17,$F$18,$F$19,$F$16,$C$14,$F$15,$F$14,$F$20,N$2,$N$1,$C213)</f>
        <v>0</v>
      </c>
      <c r="O213" s="185">
        <f ca="1">_xll.DBRW(Server&amp;Cube1,$F$17,$F$18,$F$19,$F$16,$C$14,$F$15,$F$14,$F$20,O$2,$N$1,$C213)</f>
        <v>0</v>
      </c>
      <c r="P213" s="185">
        <f ca="1">_xll.DBRW(Server&amp;Cube1,$F$17,$F$18,$F$19,$F$16,$C$14,$F$15,$F$14,$F$20,P$2,$N$1,$C213)</f>
        <v>0</v>
      </c>
      <c r="Q213" s="185">
        <f ca="1">_xll.DBRW(Server&amp;Cube1,$F$17,$F$18,$F$19,$F$16,$C$14,$F$15,$F$14,$F$20,Q$2,$N$1,$C213)</f>
        <v>0</v>
      </c>
      <c r="R213" s="185">
        <f ca="1">_xll.DBRW(Server&amp;Cube1,$F$17,$F$18,$F$19,$F$16,$C$14,$F$15,$F$14,$F$20,R$2,$N$1,$C213)</f>
        <v>0</v>
      </c>
      <c r="S213" s="185">
        <f ca="1">_xll.DBRW(Server&amp;Cube1,$F$17,$F$18,$F$19,$F$16,$C$14,$F$15,$F$14,$F$20,S$2,$N$1,$C213)</f>
        <v>0</v>
      </c>
      <c r="T213" s="185">
        <f ca="1">_xll.DBRW(Server&amp;Cube1,$F$17,$F$18,$F$19,$F$16,$C$14,$F$15,$F$14,$F$20,T$2,$N$1,$C213)</f>
        <v>0</v>
      </c>
      <c r="U213" s="185">
        <f ca="1">_xll.DBRW(Server&amp;Cube1,$F$17,$F$18,$F$19,$F$16,$C$14,$F$15,$F$14,$F$20,U$2,$N$1,$C213)</f>
        <v>0</v>
      </c>
      <c r="V213" s="185">
        <f ca="1">_xll.DBRW(Server&amp;Cube1,$F$17,$F$18,$F$19,$F$16,$C$14,$F$15,$F$14,$F$20,V$2,$N$1,$C213)</f>
        <v>0</v>
      </c>
      <c r="W213" s="185">
        <f ca="1">_xll.DBRW(Server&amp;Cube1,$F$17,$F$18,$F$19,$F$16,$C$14,$F$15,$F$14,$F$20,W$2,$N$1,$C213)</f>
        <v>0</v>
      </c>
      <c r="X213" s="185">
        <f ca="1">_xll.DBRW(Server&amp;Cube1,$F$17,$F$18,$F$19,$F$16,$C$14,$F$15,$F$14,$F$20,X$2,$N$1,$C213)</f>
        <v>0</v>
      </c>
      <c r="Y213" s="185">
        <f ca="1">_xll.DBRW(Server&amp;Cube1,$F$17,$F$18,$F$19,$F$16,$C$14,$F$15,$F$14,$F$20,Y$2,$N$1,$C213)</f>
        <v>0</v>
      </c>
      <c r="Z213" s="185">
        <f ca="1">_xll.DBRW(Server&amp;Cube1,$F$17,$F$18,$F$19,$F$16,$C$14,$F$15,$F$14,$F$20,Z$2,$N$1,$C213)</f>
        <v>0</v>
      </c>
      <c r="AA213" s="53"/>
      <c r="AB213" s="53"/>
      <c r="AC213" s="53"/>
      <c r="AD213" s="53"/>
      <c r="AE213" s="53"/>
      <c r="AF213" s="53"/>
      <c r="AG213" s="53"/>
      <c r="AH213" s="53"/>
      <c r="AI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</row>
    <row r="214" spans="1:47" s="9" customFormat="1" ht="24.95" customHeight="1" x14ac:dyDescent="0.35">
      <c r="A214" s="157">
        <f ca="1">IF($AN$35="YES",1,IF(_xll.ELCOMPN(Server&amp;$C$24,C214)&lt;&gt;0,1,IF(OR(B214=$AT$35,B214="ALL"),1,0)))</f>
        <v>1</v>
      </c>
      <c r="B214" s="139" t="str">
        <f t="shared" si="2"/>
        <v>PU</v>
      </c>
      <c r="C214" s="137" t="s">
        <v>315</v>
      </c>
      <c r="E214" s="219" t="str">
        <f ca="1">_xll.DBRA(Server&amp;$C$24,$C214,$F$21)</f>
        <v>Services bancaires (AC)</v>
      </c>
      <c r="F214" s="219"/>
      <c r="G214" s="219"/>
      <c r="H214" s="40"/>
      <c r="I214" s="192">
        <f ca="1">_xll.DBRW(Server&amp;Cube1,$F$17,$F$18,$F$19,$F$16,$C$14,$F$15,$F$14,$F$20,I$2,I$1,$C214)</f>
        <v>0</v>
      </c>
      <c r="J214" s="192">
        <f ca="1">_xll.DBRW(Server&amp;Cube1,$F$17,$F$18,$F$19,$F$16,$C$14,$F$15,$F$14,$F$20,J$2,J$1,$C214)</f>
        <v>0</v>
      </c>
      <c r="K214" s="183"/>
      <c r="L214" s="185">
        <f ca="1">_xll.DBRW(Server&amp;Cube1,$F$17,$F$18,$F$19,$F$16,$C$14,$F$15,$F$14,$F$20,L$2,L$1,$C214)</f>
        <v>0</v>
      </c>
      <c r="M214" s="184"/>
      <c r="N214" s="185">
        <f ca="1">_xll.DBRW(Server&amp;Cube1,$F$17,$F$18,$F$19,$F$16,$C$14,$F$15,$F$14,$F$20,N$2,$N$1,$C214)</f>
        <v>0</v>
      </c>
      <c r="O214" s="185">
        <f ca="1">_xll.DBRW(Server&amp;Cube1,$F$17,$F$18,$F$19,$F$16,$C$14,$F$15,$F$14,$F$20,O$2,$N$1,$C214)</f>
        <v>0</v>
      </c>
      <c r="P214" s="185">
        <f ca="1">_xll.DBRW(Server&amp;Cube1,$F$17,$F$18,$F$19,$F$16,$C$14,$F$15,$F$14,$F$20,P$2,$N$1,$C214)</f>
        <v>0</v>
      </c>
      <c r="Q214" s="185">
        <f ca="1">_xll.DBRW(Server&amp;Cube1,$F$17,$F$18,$F$19,$F$16,$C$14,$F$15,$F$14,$F$20,Q$2,$N$1,$C214)</f>
        <v>0</v>
      </c>
      <c r="R214" s="185">
        <f ca="1">_xll.DBRW(Server&amp;Cube1,$F$17,$F$18,$F$19,$F$16,$C$14,$F$15,$F$14,$F$20,R$2,$N$1,$C214)</f>
        <v>0</v>
      </c>
      <c r="S214" s="185">
        <f ca="1">_xll.DBRW(Server&amp;Cube1,$F$17,$F$18,$F$19,$F$16,$C$14,$F$15,$F$14,$F$20,S$2,$N$1,$C214)</f>
        <v>0</v>
      </c>
      <c r="T214" s="185">
        <f ca="1">_xll.DBRW(Server&amp;Cube1,$F$17,$F$18,$F$19,$F$16,$C$14,$F$15,$F$14,$F$20,T$2,$N$1,$C214)</f>
        <v>0</v>
      </c>
      <c r="U214" s="185">
        <f ca="1">_xll.DBRW(Server&amp;Cube1,$F$17,$F$18,$F$19,$F$16,$C$14,$F$15,$F$14,$F$20,U$2,$N$1,$C214)</f>
        <v>0</v>
      </c>
      <c r="V214" s="185">
        <f ca="1">_xll.DBRW(Server&amp;Cube1,$F$17,$F$18,$F$19,$F$16,$C$14,$F$15,$F$14,$F$20,V$2,$N$1,$C214)</f>
        <v>0</v>
      </c>
      <c r="W214" s="185">
        <f ca="1">_xll.DBRW(Server&amp;Cube1,$F$17,$F$18,$F$19,$F$16,$C$14,$F$15,$F$14,$F$20,W$2,$N$1,$C214)</f>
        <v>0</v>
      </c>
      <c r="X214" s="185">
        <f ca="1">_xll.DBRW(Server&amp;Cube1,$F$17,$F$18,$F$19,$F$16,$C$14,$F$15,$F$14,$F$20,X$2,$N$1,$C214)</f>
        <v>0</v>
      </c>
      <c r="Y214" s="185">
        <f ca="1">_xll.DBRW(Server&amp;Cube1,$F$17,$F$18,$F$19,$F$16,$C$14,$F$15,$F$14,$F$20,Y$2,$N$1,$C214)</f>
        <v>0</v>
      </c>
      <c r="Z214" s="185">
        <f ca="1">_xll.DBRW(Server&amp;Cube1,$F$17,$F$18,$F$19,$F$16,$C$14,$F$15,$F$14,$F$20,Z$2,$N$1,$C214)</f>
        <v>0</v>
      </c>
      <c r="AA214" s="53"/>
      <c r="AB214" s="53"/>
      <c r="AC214" s="53"/>
      <c r="AD214" s="53"/>
      <c r="AE214" s="53"/>
      <c r="AF214" s="53"/>
      <c r="AG214" s="53"/>
      <c r="AH214" s="53"/>
      <c r="AI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</row>
    <row r="215" spans="1:47" s="9" customFormat="1" ht="24.95" customHeight="1" x14ac:dyDescent="0.35">
      <c r="A215" s="157">
        <f ca="1">IF($AN$35="YES",1,IF(_xll.ELCOMPN(Server&amp;$C$24,C215)&lt;&gt;0,1,IF(OR(B215=$AT$35,B215="ALL"),1,0)))</f>
        <v>1</v>
      </c>
      <c r="B215" s="139" t="str">
        <f t="shared" si="2"/>
        <v>CO</v>
      </c>
      <c r="C215" s="137" t="s">
        <v>316</v>
      </c>
      <c r="E215" s="219" t="str">
        <f ca="1">_xll.DBRA(Server&amp;$C$24,$C215,$F$21)</f>
        <v>Services bancaires (CO)</v>
      </c>
      <c r="F215" s="219"/>
      <c r="G215" s="219"/>
      <c r="H215" s="40"/>
      <c r="I215" s="192">
        <f ca="1">_xll.DBRW(Server&amp;Cube1,$F$17,$F$18,$F$19,$F$16,$C$14,$F$15,$F$14,$F$20,I$2,I$1,$C215)</f>
        <v>0</v>
      </c>
      <c r="J215" s="192">
        <f ca="1">_xll.DBRW(Server&amp;Cube1,$F$17,$F$18,$F$19,$F$16,$C$14,$F$15,$F$14,$F$20,J$2,J$1,$C215)</f>
        <v>0</v>
      </c>
      <c r="K215" s="183"/>
      <c r="L215" s="185">
        <f ca="1">_xll.DBRW(Server&amp;Cube1,$F$17,$F$18,$F$19,$F$16,$C$14,$F$15,$F$14,$F$20,L$2,L$1,$C215)</f>
        <v>0</v>
      </c>
      <c r="M215" s="184"/>
      <c r="N215" s="185">
        <f ca="1">_xll.DBRW(Server&amp;Cube1,$F$17,$F$18,$F$19,$F$16,$C$14,$F$15,$F$14,$F$20,N$2,$N$1,$C215)</f>
        <v>0</v>
      </c>
      <c r="O215" s="185">
        <f ca="1">_xll.DBRW(Server&amp;Cube1,$F$17,$F$18,$F$19,$F$16,$C$14,$F$15,$F$14,$F$20,O$2,$N$1,$C215)</f>
        <v>0</v>
      </c>
      <c r="P215" s="185">
        <f ca="1">_xll.DBRW(Server&amp;Cube1,$F$17,$F$18,$F$19,$F$16,$C$14,$F$15,$F$14,$F$20,P$2,$N$1,$C215)</f>
        <v>0</v>
      </c>
      <c r="Q215" s="185">
        <f ca="1">_xll.DBRW(Server&amp;Cube1,$F$17,$F$18,$F$19,$F$16,$C$14,$F$15,$F$14,$F$20,Q$2,$N$1,$C215)</f>
        <v>0</v>
      </c>
      <c r="R215" s="185">
        <f ca="1">_xll.DBRW(Server&amp;Cube1,$F$17,$F$18,$F$19,$F$16,$C$14,$F$15,$F$14,$F$20,R$2,$N$1,$C215)</f>
        <v>0</v>
      </c>
      <c r="S215" s="185">
        <f ca="1">_xll.DBRW(Server&amp;Cube1,$F$17,$F$18,$F$19,$F$16,$C$14,$F$15,$F$14,$F$20,S$2,$N$1,$C215)</f>
        <v>0</v>
      </c>
      <c r="T215" s="185">
        <f ca="1">_xll.DBRW(Server&amp;Cube1,$F$17,$F$18,$F$19,$F$16,$C$14,$F$15,$F$14,$F$20,T$2,$N$1,$C215)</f>
        <v>0</v>
      </c>
      <c r="U215" s="185">
        <f ca="1">_xll.DBRW(Server&amp;Cube1,$F$17,$F$18,$F$19,$F$16,$C$14,$F$15,$F$14,$F$20,U$2,$N$1,$C215)</f>
        <v>0</v>
      </c>
      <c r="V215" s="185">
        <f ca="1">_xll.DBRW(Server&amp;Cube1,$F$17,$F$18,$F$19,$F$16,$C$14,$F$15,$F$14,$F$20,V$2,$N$1,$C215)</f>
        <v>0</v>
      </c>
      <c r="W215" s="185">
        <f ca="1">_xll.DBRW(Server&amp;Cube1,$F$17,$F$18,$F$19,$F$16,$C$14,$F$15,$F$14,$F$20,W$2,$N$1,$C215)</f>
        <v>0</v>
      </c>
      <c r="X215" s="185">
        <f ca="1">_xll.DBRW(Server&amp;Cube1,$F$17,$F$18,$F$19,$F$16,$C$14,$F$15,$F$14,$F$20,X$2,$N$1,$C215)</f>
        <v>0</v>
      </c>
      <c r="Y215" s="185">
        <f ca="1">_xll.DBRW(Server&amp;Cube1,$F$17,$F$18,$F$19,$F$16,$C$14,$F$15,$F$14,$F$20,Y$2,$N$1,$C215)</f>
        <v>0</v>
      </c>
      <c r="Z215" s="185">
        <f ca="1">_xll.DBRW(Server&amp;Cube1,$F$17,$F$18,$F$19,$F$16,$C$14,$F$15,$F$14,$F$20,Z$2,$N$1,$C215)</f>
        <v>0</v>
      </c>
      <c r="AA215" s="53"/>
      <c r="AB215" s="53"/>
      <c r="AC215" s="53"/>
      <c r="AD215" s="53"/>
      <c r="AE215" s="53"/>
      <c r="AF215" s="53"/>
      <c r="AG215" s="53"/>
      <c r="AH215" s="53"/>
      <c r="AI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</row>
    <row r="216" spans="1:47" s="9" customFormat="1" ht="24.95" customHeight="1" x14ac:dyDescent="0.35">
      <c r="A216" s="157">
        <f ca="1">IF($AN$35="YES",1,IF(_xll.ELCOMPN(Server&amp;$C$24,C216)&lt;&gt;0,1,IF(OR(B216=$AT$35,B216="ALL"),1,0)))</f>
        <v>1</v>
      </c>
      <c r="B216" s="139" t="str">
        <f t="shared" si="2"/>
        <v>GS</v>
      </c>
      <c r="C216" s="137" t="s">
        <v>317</v>
      </c>
      <c r="E216" s="219" t="str">
        <f ca="1">_xll.DBRA(Server&amp;$C$24,$C216,$F$21)</f>
        <v>Services bancaires (SG)</v>
      </c>
      <c r="F216" s="219"/>
      <c r="G216" s="219"/>
      <c r="H216" s="40"/>
      <c r="I216" s="192">
        <f ca="1">_xll.DBRW(Server&amp;Cube1,$F$17,$F$18,$F$19,$F$16,$C$14,$F$15,$F$14,$F$20,I$2,I$1,$C216)</f>
        <v>0</v>
      </c>
      <c r="J216" s="192">
        <f ca="1">_xll.DBRW(Server&amp;Cube1,$F$17,$F$18,$F$19,$F$16,$C$14,$F$15,$F$14,$F$20,J$2,J$1,$C216)</f>
        <v>0</v>
      </c>
      <c r="K216" s="183"/>
      <c r="L216" s="185">
        <f ca="1">_xll.DBRW(Server&amp;Cube1,$F$17,$F$18,$F$19,$F$16,$C$14,$F$15,$F$14,$F$20,L$2,L$1,$C216)</f>
        <v>0</v>
      </c>
      <c r="M216" s="184"/>
      <c r="N216" s="185">
        <f ca="1">_xll.DBRW(Server&amp;Cube1,$F$17,$F$18,$F$19,$F$16,$C$14,$F$15,$F$14,$F$20,N$2,$N$1,$C216)</f>
        <v>0</v>
      </c>
      <c r="O216" s="185">
        <f ca="1">_xll.DBRW(Server&amp;Cube1,$F$17,$F$18,$F$19,$F$16,$C$14,$F$15,$F$14,$F$20,O$2,$N$1,$C216)</f>
        <v>0</v>
      </c>
      <c r="P216" s="185">
        <f ca="1">_xll.DBRW(Server&amp;Cube1,$F$17,$F$18,$F$19,$F$16,$C$14,$F$15,$F$14,$F$20,P$2,$N$1,$C216)</f>
        <v>0</v>
      </c>
      <c r="Q216" s="185">
        <f ca="1">_xll.DBRW(Server&amp;Cube1,$F$17,$F$18,$F$19,$F$16,$C$14,$F$15,$F$14,$F$20,Q$2,$N$1,$C216)</f>
        <v>0</v>
      </c>
      <c r="R216" s="185">
        <f ca="1">_xll.DBRW(Server&amp;Cube1,$F$17,$F$18,$F$19,$F$16,$C$14,$F$15,$F$14,$F$20,R$2,$N$1,$C216)</f>
        <v>0</v>
      </c>
      <c r="S216" s="185">
        <f ca="1">_xll.DBRW(Server&amp;Cube1,$F$17,$F$18,$F$19,$F$16,$C$14,$F$15,$F$14,$F$20,S$2,$N$1,$C216)</f>
        <v>0</v>
      </c>
      <c r="T216" s="185">
        <f ca="1">_xll.DBRW(Server&amp;Cube1,$F$17,$F$18,$F$19,$F$16,$C$14,$F$15,$F$14,$F$20,T$2,$N$1,$C216)</f>
        <v>0</v>
      </c>
      <c r="U216" s="185">
        <f ca="1">_xll.DBRW(Server&amp;Cube1,$F$17,$F$18,$F$19,$F$16,$C$14,$F$15,$F$14,$F$20,U$2,$N$1,$C216)</f>
        <v>0</v>
      </c>
      <c r="V216" s="185">
        <f ca="1">_xll.DBRW(Server&amp;Cube1,$F$17,$F$18,$F$19,$F$16,$C$14,$F$15,$F$14,$F$20,V$2,$N$1,$C216)</f>
        <v>0</v>
      </c>
      <c r="W216" s="185">
        <f ca="1">_xll.DBRW(Server&amp;Cube1,$F$17,$F$18,$F$19,$F$16,$C$14,$F$15,$F$14,$F$20,W$2,$N$1,$C216)</f>
        <v>0</v>
      </c>
      <c r="X216" s="185">
        <f ca="1">_xll.DBRW(Server&amp;Cube1,$F$17,$F$18,$F$19,$F$16,$C$14,$F$15,$F$14,$F$20,X$2,$N$1,$C216)</f>
        <v>0</v>
      </c>
      <c r="Y216" s="185">
        <f ca="1">_xll.DBRW(Server&amp;Cube1,$F$17,$F$18,$F$19,$F$16,$C$14,$F$15,$F$14,$F$20,Y$2,$N$1,$C216)</f>
        <v>0</v>
      </c>
      <c r="Z216" s="185">
        <f ca="1">_xll.DBRW(Server&amp;Cube1,$F$17,$F$18,$F$19,$F$16,$C$14,$F$15,$F$14,$F$20,Z$2,$N$1,$C216)</f>
        <v>0</v>
      </c>
      <c r="AA216" s="53"/>
      <c r="AB216" s="53"/>
      <c r="AC216" s="53"/>
      <c r="AD216" s="53"/>
      <c r="AE216" s="53"/>
      <c r="AF216" s="53"/>
      <c r="AG216" s="53"/>
      <c r="AH216" s="53"/>
      <c r="AI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</row>
    <row r="217" spans="1:47" s="9" customFormat="1" ht="24.95" customHeight="1" x14ac:dyDescent="0.35">
      <c r="A217" s="157">
        <f ca="1">IF($AN$35="YES",1,IF(_xll.ELCOMPN(Server&amp;$C$24,C217)&lt;&gt;0,1,IF(OR(B217=$AT$35,B217="ALL"),1,0)))</f>
        <v>1</v>
      </c>
      <c r="B217" s="139" t="str">
        <f t="shared" si="2"/>
        <v>RD</v>
      </c>
      <c r="C217" s="137" t="s">
        <v>318</v>
      </c>
      <c r="E217" s="219" t="str">
        <f ca="1">_xll.DBRA(Server&amp;$C$24,$C217,$F$21)</f>
        <v>Services bancaires (RD)</v>
      </c>
      <c r="F217" s="219"/>
      <c r="G217" s="219"/>
      <c r="H217" s="40"/>
      <c r="I217" s="192">
        <f ca="1">_xll.DBRW(Server&amp;Cube1,$F$17,$F$18,$F$19,$F$16,$C$14,$F$15,$F$14,$F$20,I$2,I$1,$C217)</f>
        <v>0</v>
      </c>
      <c r="J217" s="192">
        <f ca="1">_xll.DBRW(Server&amp;Cube1,$F$17,$F$18,$F$19,$F$16,$C$14,$F$15,$F$14,$F$20,J$2,J$1,$C217)</f>
        <v>0</v>
      </c>
      <c r="K217" s="183"/>
      <c r="L217" s="185">
        <f ca="1">_xll.DBRW(Server&amp;Cube1,$F$17,$F$18,$F$19,$F$16,$C$14,$F$15,$F$14,$F$20,L$2,L$1,$C217)</f>
        <v>0</v>
      </c>
      <c r="M217" s="184"/>
      <c r="N217" s="185">
        <f ca="1">_xll.DBRW(Server&amp;Cube1,$F$17,$F$18,$F$19,$F$16,$C$14,$F$15,$F$14,$F$20,N$2,$N$1,$C217)</f>
        <v>0</v>
      </c>
      <c r="O217" s="185">
        <f ca="1">_xll.DBRW(Server&amp;Cube1,$F$17,$F$18,$F$19,$F$16,$C$14,$F$15,$F$14,$F$20,O$2,$N$1,$C217)</f>
        <v>0</v>
      </c>
      <c r="P217" s="185">
        <f ca="1">_xll.DBRW(Server&amp;Cube1,$F$17,$F$18,$F$19,$F$16,$C$14,$F$15,$F$14,$F$20,P$2,$N$1,$C217)</f>
        <v>0</v>
      </c>
      <c r="Q217" s="185">
        <f ca="1">_xll.DBRW(Server&amp;Cube1,$F$17,$F$18,$F$19,$F$16,$C$14,$F$15,$F$14,$F$20,Q$2,$N$1,$C217)</f>
        <v>0</v>
      </c>
      <c r="R217" s="185">
        <f ca="1">_xll.DBRW(Server&amp;Cube1,$F$17,$F$18,$F$19,$F$16,$C$14,$F$15,$F$14,$F$20,R$2,$N$1,$C217)</f>
        <v>0</v>
      </c>
      <c r="S217" s="185">
        <f ca="1">_xll.DBRW(Server&amp;Cube1,$F$17,$F$18,$F$19,$F$16,$C$14,$F$15,$F$14,$F$20,S$2,$N$1,$C217)</f>
        <v>0</v>
      </c>
      <c r="T217" s="185">
        <f ca="1">_xll.DBRW(Server&amp;Cube1,$F$17,$F$18,$F$19,$F$16,$C$14,$F$15,$F$14,$F$20,T$2,$N$1,$C217)</f>
        <v>0</v>
      </c>
      <c r="U217" s="185">
        <f ca="1">_xll.DBRW(Server&amp;Cube1,$F$17,$F$18,$F$19,$F$16,$C$14,$F$15,$F$14,$F$20,U$2,$N$1,$C217)</f>
        <v>0</v>
      </c>
      <c r="V217" s="185">
        <f ca="1">_xll.DBRW(Server&amp;Cube1,$F$17,$F$18,$F$19,$F$16,$C$14,$F$15,$F$14,$F$20,V$2,$N$1,$C217)</f>
        <v>0</v>
      </c>
      <c r="W217" s="185">
        <f ca="1">_xll.DBRW(Server&amp;Cube1,$F$17,$F$18,$F$19,$F$16,$C$14,$F$15,$F$14,$F$20,W$2,$N$1,$C217)</f>
        <v>0</v>
      </c>
      <c r="X217" s="185">
        <f ca="1">_xll.DBRW(Server&amp;Cube1,$F$17,$F$18,$F$19,$F$16,$C$14,$F$15,$F$14,$F$20,X$2,$N$1,$C217)</f>
        <v>0</v>
      </c>
      <c r="Y217" s="185">
        <f ca="1">_xll.DBRW(Server&amp;Cube1,$F$17,$F$18,$F$19,$F$16,$C$14,$F$15,$F$14,$F$20,Y$2,$N$1,$C217)</f>
        <v>0</v>
      </c>
      <c r="Z217" s="185">
        <f ca="1">_xll.DBRW(Server&amp;Cube1,$F$17,$F$18,$F$19,$F$16,$C$14,$F$15,$F$14,$F$20,Z$2,$N$1,$C217)</f>
        <v>0</v>
      </c>
      <c r="AA217" s="53"/>
      <c r="AB217" s="53"/>
      <c r="AC217" s="53"/>
      <c r="AD217" s="53"/>
      <c r="AE217" s="53"/>
      <c r="AF217" s="53"/>
      <c r="AG217" s="53"/>
      <c r="AH217" s="53"/>
      <c r="AI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</row>
    <row r="218" spans="1:47" s="9" customFormat="1" ht="24.95" customHeight="1" collapsed="1" x14ac:dyDescent="0.35">
      <c r="A218" s="157">
        <f ca="1">IF($AN$35="YES",1,IF(_xll.ELCOMPN(Server&amp;$C$24,C218)&lt;&gt;0,1,IF(OR(B218=$AT$35,B218="ALL"),1,0)))</f>
        <v>1</v>
      </c>
      <c r="B218" s="139" t="str">
        <f t="shared" si="2"/>
        <v>si</v>
      </c>
      <c r="C218" s="111" t="s">
        <v>104</v>
      </c>
      <c r="E218" s="221" t="str">
        <f ca="1">_xll.DBRA(Server&amp;$C$24,$C218,$F$21)</f>
        <v>Frais de Siège</v>
      </c>
      <c r="F218" s="221"/>
      <c r="G218" s="221"/>
      <c r="H218" s="40"/>
      <c r="I218" s="192">
        <f ca="1">_xll.DBRW(Server&amp;Cube1,$F$17,$F$18,$F$19,$F$16,$C$14,$F$15,$F$14,$F$20,I$2,I$1,$C218)</f>
        <v>0</v>
      </c>
      <c r="J218" s="192">
        <f ca="1">_xll.DBRW(Server&amp;Cube1,$F$17,$F$18,$F$19,$F$16,$C$14,$F$15,$F$14,$F$20,J$2,J$1,$C218)</f>
        <v>0</v>
      </c>
      <c r="K218" s="183"/>
      <c r="L218" s="181">
        <f ca="1">_xll.DBRW(Server&amp;Cube1,$F$17,$F$18,$F$19,$F$16,$C$14,$F$15,$F$14,$F$20,L$2,L$1,$C218)</f>
        <v>0</v>
      </c>
      <c r="M218" s="181"/>
      <c r="N218" s="181">
        <f ca="1">_xll.DBRW(Server&amp;Cube1,$F$17,$F$18,$F$19,$F$16,$C$14,$F$15,$F$14,$F$20,N$2,$N$1,$C218)</f>
        <v>0</v>
      </c>
      <c r="O218" s="181">
        <f ca="1">_xll.DBRW(Server&amp;Cube1,$F$17,$F$18,$F$19,$F$16,$C$14,$F$15,$F$14,$F$20,O$2,$N$1,$C218)</f>
        <v>0</v>
      </c>
      <c r="P218" s="181">
        <f ca="1">_xll.DBRW(Server&amp;Cube1,$F$17,$F$18,$F$19,$F$16,$C$14,$F$15,$F$14,$F$20,P$2,$N$1,$C218)</f>
        <v>0</v>
      </c>
      <c r="Q218" s="181">
        <f ca="1">_xll.DBRW(Server&amp;Cube1,$F$17,$F$18,$F$19,$F$16,$C$14,$F$15,$F$14,$F$20,Q$2,$N$1,$C218)</f>
        <v>0</v>
      </c>
      <c r="R218" s="181">
        <f ca="1">_xll.DBRW(Server&amp;Cube1,$F$17,$F$18,$F$19,$F$16,$C$14,$F$15,$F$14,$F$20,R$2,$N$1,$C218)</f>
        <v>0</v>
      </c>
      <c r="S218" s="181">
        <f ca="1">_xll.DBRW(Server&amp;Cube1,$F$17,$F$18,$F$19,$F$16,$C$14,$F$15,$F$14,$F$20,S$2,$N$1,$C218)</f>
        <v>0</v>
      </c>
      <c r="T218" s="181">
        <f ca="1">_xll.DBRW(Server&amp;Cube1,$F$17,$F$18,$F$19,$F$16,$C$14,$F$15,$F$14,$F$20,T$2,$N$1,$C218)</f>
        <v>0</v>
      </c>
      <c r="U218" s="181">
        <f ca="1">_xll.DBRW(Server&amp;Cube1,$F$17,$F$18,$F$19,$F$16,$C$14,$F$15,$F$14,$F$20,U$2,$N$1,$C218)</f>
        <v>0</v>
      </c>
      <c r="V218" s="181">
        <f ca="1">_xll.DBRW(Server&amp;Cube1,$F$17,$F$18,$F$19,$F$16,$C$14,$F$15,$F$14,$F$20,V$2,$N$1,$C218)</f>
        <v>0</v>
      </c>
      <c r="W218" s="181">
        <f ca="1">_xll.DBRW(Server&amp;Cube1,$F$17,$F$18,$F$19,$F$16,$C$14,$F$15,$F$14,$F$20,W$2,$N$1,$C218)</f>
        <v>0</v>
      </c>
      <c r="X218" s="181">
        <f ca="1">_xll.DBRW(Server&amp;Cube1,$F$17,$F$18,$F$19,$F$16,$C$14,$F$15,$F$14,$F$20,X$2,$N$1,$C218)</f>
        <v>0</v>
      </c>
      <c r="Y218" s="181">
        <f ca="1">_xll.DBRW(Server&amp;Cube1,$F$17,$F$18,$F$19,$F$16,$C$14,$F$15,$F$14,$F$20,Y$2,$N$1,$C218)</f>
        <v>0</v>
      </c>
      <c r="Z218" s="181">
        <f ca="1">_xll.DBRW(Server&amp;Cube1,$F$17,$F$18,$F$19,$F$16,$C$14,$F$15,$F$14,$F$20,Z$2,$N$1,$C218)</f>
        <v>0</v>
      </c>
      <c r="AA218" s="53"/>
      <c r="AB218" s="53"/>
      <c r="AC218" s="53"/>
      <c r="AD218" s="53"/>
      <c r="AE218" s="53"/>
      <c r="AF218" s="53"/>
      <c r="AG218" s="53"/>
      <c r="AH218" s="53"/>
      <c r="AI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</row>
    <row r="219" spans="1:47" s="9" customFormat="1" ht="24.95" customHeight="1" x14ac:dyDescent="0.35">
      <c r="A219" s="157">
        <f ca="1">IF($AN$35="YES",1,IF(_xll.ELCOMPN(Server&amp;$C$24,C219)&lt;&gt;0,1,IF(OR(B219=$AT$35,B219="ALL"),1,0)))</f>
        <v>1</v>
      </c>
      <c r="B219" s="139" t="str">
        <f t="shared" si="2"/>
        <v>GM</v>
      </c>
      <c r="C219" s="137" t="s">
        <v>319</v>
      </c>
      <c r="E219" s="219" t="str">
        <f ca="1">_xll.DBRA(Server&amp;$C$24,$C219,$F$21)</f>
        <v>Frais de Siège (DG)</v>
      </c>
      <c r="F219" s="219"/>
      <c r="G219" s="219"/>
      <c r="H219" s="40"/>
      <c r="I219" s="192">
        <f ca="1">_xll.DBRW(Server&amp;Cube1,$F$17,$F$18,$F$19,$F$16,$C$14,$F$15,$F$14,$F$20,I$2,I$1,$C219)</f>
        <v>0</v>
      </c>
      <c r="J219" s="192">
        <f ca="1">_xll.DBRW(Server&amp;Cube1,$F$17,$F$18,$F$19,$F$16,$C$14,$F$15,$F$14,$F$20,J$2,J$1,$C219)</f>
        <v>0</v>
      </c>
      <c r="K219" s="183"/>
      <c r="L219" s="185">
        <f ca="1">_xll.DBRW(Server&amp;Cube1,$F$17,$F$18,$F$19,$F$16,$C$14,$F$15,$F$14,$F$20,L$2,L$1,$C219)</f>
        <v>0</v>
      </c>
      <c r="M219" s="184"/>
      <c r="N219" s="185">
        <f ca="1">_xll.DBRW(Server&amp;Cube1,$F$17,$F$18,$F$19,$F$16,$C$14,$F$15,$F$14,$F$20,N$2,$N$1,$C219)</f>
        <v>0</v>
      </c>
      <c r="O219" s="185">
        <f ca="1">_xll.DBRW(Server&amp;Cube1,$F$17,$F$18,$F$19,$F$16,$C$14,$F$15,$F$14,$F$20,O$2,$N$1,$C219)</f>
        <v>0</v>
      </c>
      <c r="P219" s="185">
        <f ca="1">_xll.DBRW(Server&amp;Cube1,$F$17,$F$18,$F$19,$F$16,$C$14,$F$15,$F$14,$F$20,P$2,$N$1,$C219)</f>
        <v>0</v>
      </c>
      <c r="Q219" s="185">
        <f ca="1">_xll.DBRW(Server&amp;Cube1,$F$17,$F$18,$F$19,$F$16,$C$14,$F$15,$F$14,$F$20,Q$2,$N$1,$C219)</f>
        <v>0</v>
      </c>
      <c r="R219" s="185">
        <f ca="1">_xll.DBRW(Server&amp;Cube1,$F$17,$F$18,$F$19,$F$16,$C$14,$F$15,$F$14,$F$20,R$2,$N$1,$C219)</f>
        <v>0</v>
      </c>
      <c r="S219" s="185">
        <f ca="1">_xll.DBRW(Server&amp;Cube1,$F$17,$F$18,$F$19,$F$16,$C$14,$F$15,$F$14,$F$20,S$2,$N$1,$C219)</f>
        <v>0</v>
      </c>
      <c r="T219" s="185">
        <f ca="1">_xll.DBRW(Server&amp;Cube1,$F$17,$F$18,$F$19,$F$16,$C$14,$F$15,$F$14,$F$20,T$2,$N$1,$C219)</f>
        <v>0</v>
      </c>
      <c r="U219" s="185">
        <f ca="1">_xll.DBRW(Server&amp;Cube1,$F$17,$F$18,$F$19,$F$16,$C$14,$F$15,$F$14,$F$20,U$2,$N$1,$C219)</f>
        <v>0</v>
      </c>
      <c r="V219" s="185">
        <f ca="1">_xll.DBRW(Server&amp;Cube1,$F$17,$F$18,$F$19,$F$16,$C$14,$F$15,$F$14,$F$20,V$2,$N$1,$C219)</f>
        <v>0</v>
      </c>
      <c r="W219" s="185">
        <f ca="1">_xll.DBRW(Server&amp;Cube1,$F$17,$F$18,$F$19,$F$16,$C$14,$F$15,$F$14,$F$20,W$2,$N$1,$C219)</f>
        <v>0</v>
      </c>
      <c r="X219" s="185">
        <f ca="1">_xll.DBRW(Server&amp;Cube1,$F$17,$F$18,$F$19,$F$16,$C$14,$F$15,$F$14,$F$20,X$2,$N$1,$C219)</f>
        <v>0</v>
      </c>
      <c r="Y219" s="185">
        <f ca="1">_xll.DBRW(Server&amp;Cube1,$F$17,$F$18,$F$19,$F$16,$C$14,$F$15,$F$14,$F$20,Y$2,$N$1,$C219)</f>
        <v>0</v>
      </c>
      <c r="Z219" s="185">
        <f ca="1">_xll.DBRW(Server&amp;Cube1,$F$17,$F$18,$F$19,$F$16,$C$14,$F$15,$F$14,$F$20,Z$2,$N$1,$C219)</f>
        <v>0</v>
      </c>
      <c r="AA219" s="53"/>
      <c r="AB219" s="53"/>
      <c r="AC219" s="53"/>
      <c r="AD219" s="53"/>
      <c r="AE219" s="53"/>
      <c r="AF219" s="53"/>
      <c r="AG219" s="53"/>
      <c r="AH219" s="53"/>
      <c r="AI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</row>
    <row r="220" spans="1:47" s="9" customFormat="1" ht="24.95" customHeight="1" collapsed="1" thickBot="1" x14ac:dyDescent="0.4">
      <c r="A220" s="157">
        <f ca="1">IF($AN$35="YES",1,IF(_xll.ELCOMPN(Server&amp;$C$24,C220)&lt;&gt;0,1,IF(OR(B220=$AT$35,B220="ALL"),1,0)))</f>
        <v>1</v>
      </c>
      <c r="B220" s="139" t="str">
        <f t="shared" si="2"/>
        <v>pe</v>
      </c>
      <c r="C220" s="110" t="s">
        <v>106</v>
      </c>
      <c r="E220" s="222" t="str">
        <f ca="1">_xll.DBRA(Server&amp;$C$24,$C220,$F$21)</f>
        <v>Frais de personnel et Assimilés</v>
      </c>
      <c r="F220" s="222"/>
      <c r="G220" s="222"/>
      <c r="H220" s="40"/>
      <c r="I220" s="187">
        <f ca="1">_xll.DBRW(Server&amp;Cube1,$F$17,$F$18,$F$19,$F$16,$C$14,$F$15,$F$14,$F$20,I$2,I$1,$C220)</f>
        <v>0</v>
      </c>
      <c r="J220" s="187">
        <f ca="1">_xll.DBRW(Server&amp;Cube1,$F$17,$F$18,$F$19,$F$16,$C$14,$F$15,$F$14,$F$20,J$2,J$1,$C220)</f>
        <v>0</v>
      </c>
      <c r="K220" s="188"/>
      <c r="L220" s="187">
        <f ca="1">_xll.DBRW(Server&amp;Cube1,$F$17,$F$18,$F$19,$F$16,$C$14,$F$15,$F$14,$F$20,L$2,L$1,$C220)</f>
        <v>0</v>
      </c>
      <c r="M220" s="189"/>
      <c r="N220" s="187">
        <f ca="1">_xll.DBRW(Server&amp;Cube1,$F$17,$F$18,$F$19,$F$16,$C$14,$F$15,$F$14,$F$20,N$2,$N$1,$C220)</f>
        <v>0</v>
      </c>
      <c r="O220" s="187">
        <f ca="1">_xll.DBRW(Server&amp;Cube1,$F$17,$F$18,$F$19,$F$16,$C$14,$F$15,$F$14,$F$20,O$2,$N$1,$C220)</f>
        <v>0</v>
      </c>
      <c r="P220" s="187">
        <f ca="1">_xll.DBRW(Server&amp;Cube1,$F$17,$F$18,$F$19,$F$16,$C$14,$F$15,$F$14,$F$20,P$2,$N$1,$C220)</f>
        <v>0</v>
      </c>
      <c r="Q220" s="187">
        <f ca="1">_xll.DBRW(Server&amp;Cube1,$F$17,$F$18,$F$19,$F$16,$C$14,$F$15,$F$14,$F$20,Q$2,$N$1,$C220)</f>
        <v>0</v>
      </c>
      <c r="R220" s="187">
        <f ca="1">_xll.DBRW(Server&amp;Cube1,$F$17,$F$18,$F$19,$F$16,$C$14,$F$15,$F$14,$F$20,R$2,$N$1,$C220)</f>
        <v>0</v>
      </c>
      <c r="S220" s="187">
        <f ca="1">_xll.DBRW(Server&amp;Cube1,$F$17,$F$18,$F$19,$F$16,$C$14,$F$15,$F$14,$F$20,S$2,$N$1,$C220)</f>
        <v>0</v>
      </c>
      <c r="T220" s="187">
        <f ca="1">_xll.DBRW(Server&amp;Cube1,$F$17,$F$18,$F$19,$F$16,$C$14,$F$15,$F$14,$F$20,T$2,$N$1,$C220)</f>
        <v>0</v>
      </c>
      <c r="U220" s="187">
        <f ca="1">_xll.DBRW(Server&amp;Cube1,$F$17,$F$18,$F$19,$F$16,$C$14,$F$15,$F$14,$F$20,U$2,$N$1,$C220)</f>
        <v>0</v>
      </c>
      <c r="V220" s="187">
        <f ca="1">_xll.DBRW(Server&amp;Cube1,$F$17,$F$18,$F$19,$F$16,$C$14,$F$15,$F$14,$F$20,V$2,$N$1,$C220)</f>
        <v>0</v>
      </c>
      <c r="W220" s="187">
        <f ca="1">_xll.DBRW(Server&amp;Cube1,$F$17,$F$18,$F$19,$F$16,$C$14,$F$15,$F$14,$F$20,W$2,$N$1,$C220)</f>
        <v>0</v>
      </c>
      <c r="X220" s="187">
        <f ca="1">_xll.DBRW(Server&amp;Cube1,$F$17,$F$18,$F$19,$F$16,$C$14,$F$15,$F$14,$F$20,X$2,$N$1,$C220)</f>
        <v>0</v>
      </c>
      <c r="Y220" s="187">
        <f ca="1">_xll.DBRW(Server&amp;Cube1,$F$17,$F$18,$F$19,$F$16,$C$14,$F$15,$F$14,$F$20,Y$2,$N$1,$C220)</f>
        <v>0</v>
      </c>
      <c r="Z220" s="187">
        <f ca="1">_xll.DBRW(Server&amp;Cube1,$F$17,$F$18,$F$19,$F$16,$C$14,$F$15,$F$14,$F$20,Z$2,$N$1,$C220)</f>
        <v>0</v>
      </c>
      <c r="AA220" s="53"/>
      <c r="AB220" s="53"/>
      <c r="AC220" s="53"/>
      <c r="AD220" s="53"/>
      <c r="AE220" s="53"/>
      <c r="AF220" s="53"/>
      <c r="AG220" s="53"/>
      <c r="AH220" s="53"/>
      <c r="AI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</row>
    <row r="221" spans="1:47" s="9" customFormat="1" ht="24" customHeight="1" x14ac:dyDescent="0.35">
      <c r="A221" s="157">
        <f ca="1">IF($AN$35="YES",1,IF(_xll.ELCOMPN(Server&amp;$C$24,C221)&lt;&gt;0,1,IF(OR(B221=$AT$35,B221="ALL"),1,0)))</f>
        <v>1</v>
      </c>
      <c r="B221" s="139" t="str">
        <f t="shared" si="2"/>
        <v>pe</v>
      </c>
      <c r="C221" s="111" t="s">
        <v>107</v>
      </c>
      <c r="E221" s="223" t="str">
        <f ca="1">_xll.DBRA(Server&amp;$C$24,$C221,$F$21)</f>
        <v>Frais de personnel</v>
      </c>
      <c r="F221" s="223"/>
      <c r="G221" s="223"/>
      <c r="H221" s="40"/>
      <c r="I221" s="192">
        <f ca="1">_xll.DBRW(Server&amp;Cube1,$F$17,$F$18,$F$19,$F$16,$C$14,$F$15,$F$14,$F$20,I$2,I$1,$C221)</f>
        <v>0</v>
      </c>
      <c r="J221" s="192">
        <f ca="1">_xll.DBRW(Server&amp;Cube1,$F$17,$F$18,$F$19,$F$16,$C$14,$F$15,$F$14,$F$20,J$2,J$1,$C221)</f>
        <v>0</v>
      </c>
      <c r="K221" s="183"/>
      <c r="L221" s="184">
        <f ca="1">_xll.DBRW(Server&amp;Cube1,$F$17,$F$18,$F$19,$F$16,$C$14,$F$15,$F$14,$F$20,L$2,L$1,$C221)</f>
        <v>0</v>
      </c>
      <c r="M221" s="184"/>
      <c r="N221" s="184">
        <f ca="1">_xll.DBRW(Server&amp;Cube1,$F$17,$F$18,$F$19,$F$16,$C$14,$F$15,$F$14,$F$20,N$2,$N$1,$C221)</f>
        <v>0</v>
      </c>
      <c r="O221" s="184">
        <f ca="1">_xll.DBRW(Server&amp;Cube1,$F$17,$F$18,$F$19,$F$16,$C$14,$F$15,$F$14,$F$20,O$2,$N$1,$C221)</f>
        <v>0</v>
      </c>
      <c r="P221" s="184">
        <f ca="1">_xll.DBRW(Server&amp;Cube1,$F$17,$F$18,$F$19,$F$16,$C$14,$F$15,$F$14,$F$20,P$2,$N$1,$C221)</f>
        <v>0</v>
      </c>
      <c r="Q221" s="184">
        <f ca="1">_xll.DBRW(Server&amp;Cube1,$F$17,$F$18,$F$19,$F$16,$C$14,$F$15,$F$14,$F$20,Q$2,$N$1,$C221)</f>
        <v>0</v>
      </c>
      <c r="R221" s="184">
        <f ca="1">_xll.DBRW(Server&amp;Cube1,$F$17,$F$18,$F$19,$F$16,$C$14,$F$15,$F$14,$F$20,R$2,$N$1,$C221)</f>
        <v>0</v>
      </c>
      <c r="S221" s="184">
        <f ca="1">_xll.DBRW(Server&amp;Cube1,$F$17,$F$18,$F$19,$F$16,$C$14,$F$15,$F$14,$F$20,S$2,$N$1,$C221)</f>
        <v>0</v>
      </c>
      <c r="T221" s="184">
        <f ca="1">_xll.DBRW(Server&amp;Cube1,$F$17,$F$18,$F$19,$F$16,$C$14,$F$15,$F$14,$F$20,T$2,$N$1,$C221)</f>
        <v>0</v>
      </c>
      <c r="U221" s="184">
        <f ca="1">_xll.DBRW(Server&amp;Cube1,$F$17,$F$18,$F$19,$F$16,$C$14,$F$15,$F$14,$F$20,U$2,$N$1,$C221)</f>
        <v>0</v>
      </c>
      <c r="V221" s="184">
        <f ca="1">_xll.DBRW(Server&amp;Cube1,$F$17,$F$18,$F$19,$F$16,$C$14,$F$15,$F$14,$F$20,V$2,$N$1,$C221)</f>
        <v>0</v>
      </c>
      <c r="W221" s="184">
        <f ca="1">_xll.DBRW(Server&amp;Cube1,$F$17,$F$18,$F$19,$F$16,$C$14,$F$15,$F$14,$F$20,W$2,$N$1,$C221)</f>
        <v>0</v>
      </c>
      <c r="X221" s="184">
        <f ca="1">_xll.DBRW(Server&amp;Cube1,$F$17,$F$18,$F$19,$F$16,$C$14,$F$15,$F$14,$F$20,X$2,$N$1,$C221)</f>
        <v>0</v>
      </c>
      <c r="Y221" s="184">
        <f ca="1">_xll.DBRW(Server&amp;Cube1,$F$17,$F$18,$F$19,$F$16,$C$14,$F$15,$F$14,$F$20,Y$2,$N$1,$C221)</f>
        <v>0</v>
      </c>
      <c r="Z221" s="184">
        <f ca="1">_xll.DBRW(Server&amp;Cube1,$F$17,$F$18,$F$19,$F$16,$C$14,$F$15,$F$14,$F$20,Z$2,$N$1,$C221)</f>
        <v>0</v>
      </c>
      <c r="AA221" s="53"/>
      <c r="AB221" s="53"/>
      <c r="AC221" s="53"/>
      <c r="AD221" s="53"/>
      <c r="AE221" s="53"/>
      <c r="AF221" s="53"/>
      <c r="AG221" s="53"/>
      <c r="AH221" s="53"/>
      <c r="AI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</row>
    <row r="222" spans="1:47" s="9" customFormat="1" ht="24" customHeight="1" x14ac:dyDescent="0.35">
      <c r="A222" s="157">
        <f ca="1">IF($AN$35="YES",1,IF(_xll.ELCOMPN(Server&amp;$C$24,C222)&lt;&gt;0,1,IF(OR(B222=$AT$35,B222="ALL"),1,0)))</f>
        <v>1</v>
      </c>
      <c r="B222" s="139" t="str">
        <f t="shared" si="2"/>
        <v>DS</v>
      </c>
      <c r="C222" s="137" t="s">
        <v>320</v>
      </c>
      <c r="E222" s="221" t="str">
        <f ca="1">_xll.DBRA(Server&amp;$C$24,$C222,$F$21)</f>
        <v>Frais de personnel (SO)</v>
      </c>
      <c r="F222" s="221"/>
      <c r="G222" s="221"/>
      <c r="H222" s="40"/>
      <c r="I222" s="192">
        <f ca="1">_xll.DBRW(Server&amp;Cube1,$F$17,$F$18,$F$19,$F$16,$C$14,$F$15,$F$14,$F$20,I$2,I$1,$C222)</f>
        <v>0</v>
      </c>
      <c r="J222" s="192">
        <f ca="1">_xll.DBRW(Server&amp;Cube1,$F$17,$F$18,$F$19,$F$16,$C$14,$F$15,$F$14,$F$20,J$2,J$1,$C222)</f>
        <v>0</v>
      </c>
      <c r="K222" s="183"/>
      <c r="L222" s="185">
        <f ca="1">_xll.DBRW(Server&amp;Cube1,$F$17,$F$18,$F$19,$F$16,$C$14,$F$15,$F$14,$F$20,L$2,L$1,$C222)</f>
        <v>0</v>
      </c>
      <c r="M222" s="184"/>
      <c r="N222" s="185">
        <f ca="1">_xll.DBRW(Server&amp;Cube1,$F$17,$F$18,$F$19,$F$16,$C$14,$F$15,$F$14,$F$20,N$2,$N$1,$C222)</f>
        <v>0</v>
      </c>
      <c r="O222" s="185">
        <f ca="1">_xll.DBRW(Server&amp;Cube1,$F$17,$F$18,$F$19,$F$16,$C$14,$F$15,$F$14,$F$20,O$2,$N$1,$C222)</f>
        <v>0</v>
      </c>
      <c r="P222" s="185">
        <f ca="1">_xll.DBRW(Server&amp;Cube1,$F$17,$F$18,$F$19,$F$16,$C$14,$F$15,$F$14,$F$20,P$2,$N$1,$C222)</f>
        <v>0</v>
      </c>
      <c r="Q222" s="185">
        <f ca="1">_xll.DBRW(Server&amp;Cube1,$F$17,$F$18,$F$19,$F$16,$C$14,$F$15,$F$14,$F$20,Q$2,$N$1,$C222)</f>
        <v>0</v>
      </c>
      <c r="R222" s="185">
        <f ca="1">_xll.DBRW(Server&amp;Cube1,$F$17,$F$18,$F$19,$F$16,$C$14,$F$15,$F$14,$F$20,R$2,$N$1,$C222)</f>
        <v>0</v>
      </c>
      <c r="S222" s="185">
        <f ca="1">_xll.DBRW(Server&amp;Cube1,$F$17,$F$18,$F$19,$F$16,$C$14,$F$15,$F$14,$F$20,S$2,$N$1,$C222)</f>
        <v>0</v>
      </c>
      <c r="T222" s="185">
        <f ca="1">_xll.DBRW(Server&amp;Cube1,$F$17,$F$18,$F$19,$F$16,$C$14,$F$15,$F$14,$F$20,T$2,$N$1,$C222)</f>
        <v>0</v>
      </c>
      <c r="U222" s="185">
        <f ca="1">_xll.DBRW(Server&amp;Cube1,$F$17,$F$18,$F$19,$F$16,$C$14,$F$15,$F$14,$F$20,U$2,$N$1,$C222)</f>
        <v>0</v>
      </c>
      <c r="V222" s="185">
        <f ca="1">_xll.DBRW(Server&amp;Cube1,$F$17,$F$18,$F$19,$F$16,$C$14,$F$15,$F$14,$F$20,V$2,$N$1,$C222)</f>
        <v>0</v>
      </c>
      <c r="W222" s="185">
        <f ca="1">_xll.DBRW(Server&amp;Cube1,$F$17,$F$18,$F$19,$F$16,$C$14,$F$15,$F$14,$F$20,W$2,$N$1,$C222)</f>
        <v>0</v>
      </c>
      <c r="X222" s="185">
        <f ca="1">_xll.DBRW(Server&amp;Cube1,$F$17,$F$18,$F$19,$F$16,$C$14,$F$15,$F$14,$F$20,X$2,$N$1,$C222)</f>
        <v>0</v>
      </c>
      <c r="Y222" s="185">
        <f ca="1">_xll.DBRW(Server&amp;Cube1,$F$17,$F$18,$F$19,$F$16,$C$14,$F$15,$F$14,$F$20,Y$2,$N$1,$C222)</f>
        <v>0</v>
      </c>
      <c r="Z222" s="185">
        <f ca="1">_xll.DBRW(Server&amp;Cube1,$F$17,$F$18,$F$19,$F$16,$C$14,$F$15,$F$14,$F$20,Z$2,$N$1,$C222)</f>
        <v>0</v>
      </c>
      <c r="AA222" s="53"/>
      <c r="AB222" s="53"/>
      <c r="AC222" s="53"/>
      <c r="AD222" s="53"/>
      <c r="AE222" s="53"/>
      <c r="AF222" s="53"/>
      <c r="AG222" s="53"/>
      <c r="AH222" s="53"/>
      <c r="AI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</row>
    <row r="223" spans="1:47" s="9" customFormat="1" ht="24" customHeight="1" collapsed="1" x14ac:dyDescent="0.35">
      <c r="A223" s="157">
        <f ca="1">IF($AN$35="YES",1,IF(_xll.ELCOMPN(Server&amp;$C$24,C223)&lt;&gt;0,1,IF(OR(B223=$AT$35,B223="ALL"),1,0)))</f>
        <v>1</v>
      </c>
      <c r="B223" s="139" t="e">
        <f t="shared" si="2"/>
        <v>#VALUE!</v>
      </c>
      <c r="C223" s="111" t="s">
        <v>321</v>
      </c>
      <c r="E223" s="221" t="str">
        <f ca="1">_xll.DBRA(Server&amp;$C$24,$C223,$F$21)</f>
        <v>Frais de personnel - Dépenses commerciales</v>
      </c>
      <c r="F223" s="221"/>
      <c r="G223" s="221"/>
      <c r="H223" s="40"/>
      <c r="I223" s="192">
        <f ca="1">_xll.DBRW(Server&amp;Cube1,$F$17,$F$18,$F$19,$F$16,$C$14,$F$15,$F$14,$F$20,I$2,I$1,$C223)</f>
        <v>0</v>
      </c>
      <c r="J223" s="192">
        <f ca="1">_xll.DBRW(Server&amp;Cube1,$F$17,$F$18,$F$19,$F$16,$C$14,$F$15,$F$14,$F$20,J$2,J$1,$C223)</f>
        <v>0</v>
      </c>
      <c r="K223" s="183"/>
      <c r="L223" s="184">
        <f ca="1">_xll.DBRW(Server&amp;Cube1,$F$17,$F$18,$F$19,$F$16,$C$14,$F$15,$F$14,$F$20,L$2,L$1,$C223)</f>
        <v>0</v>
      </c>
      <c r="M223" s="184"/>
      <c r="N223" s="184">
        <f ca="1">_xll.DBRW(Server&amp;Cube1,$F$17,$F$18,$F$19,$F$16,$C$14,$F$15,$F$14,$F$20,N$2,$N$1,$C223)</f>
        <v>0</v>
      </c>
      <c r="O223" s="184">
        <f ca="1">_xll.DBRW(Server&amp;Cube1,$F$17,$F$18,$F$19,$F$16,$C$14,$F$15,$F$14,$F$20,O$2,$N$1,$C223)</f>
        <v>0</v>
      </c>
      <c r="P223" s="184">
        <f ca="1">_xll.DBRW(Server&amp;Cube1,$F$17,$F$18,$F$19,$F$16,$C$14,$F$15,$F$14,$F$20,P$2,$N$1,$C223)</f>
        <v>0</v>
      </c>
      <c r="Q223" s="184">
        <f ca="1">_xll.DBRW(Server&amp;Cube1,$F$17,$F$18,$F$19,$F$16,$C$14,$F$15,$F$14,$F$20,Q$2,$N$1,$C223)</f>
        <v>0</v>
      </c>
      <c r="R223" s="184">
        <f ca="1">_xll.DBRW(Server&amp;Cube1,$F$17,$F$18,$F$19,$F$16,$C$14,$F$15,$F$14,$F$20,R$2,$N$1,$C223)</f>
        <v>0</v>
      </c>
      <c r="S223" s="184">
        <f ca="1">_xll.DBRW(Server&amp;Cube1,$F$17,$F$18,$F$19,$F$16,$C$14,$F$15,$F$14,$F$20,S$2,$N$1,$C223)</f>
        <v>0</v>
      </c>
      <c r="T223" s="184">
        <f ca="1">_xll.DBRW(Server&amp;Cube1,$F$17,$F$18,$F$19,$F$16,$C$14,$F$15,$F$14,$F$20,T$2,$N$1,$C223)</f>
        <v>0</v>
      </c>
      <c r="U223" s="184">
        <f ca="1">_xll.DBRW(Server&amp;Cube1,$F$17,$F$18,$F$19,$F$16,$C$14,$F$15,$F$14,$F$20,U$2,$N$1,$C223)</f>
        <v>0</v>
      </c>
      <c r="V223" s="184">
        <f ca="1">_xll.DBRW(Server&amp;Cube1,$F$17,$F$18,$F$19,$F$16,$C$14,$F$15,$F$14,$F$20,V$2,$N$1,$C223)</f>
        <v>0</v>
      </c>
      <c r="W223" s="184">
        <f ca="1">_xll.DBRW(Server&amp;Cube1,$F$17,$F$18,$F$19,$F$16,$C$14,$F$15,$F$14,$F$20,W$2,$N$1,$C223)</f>
        <v>0</v>
      </c>
      <c r="X223" s="184">
        <f ca="1">_xll.DBRW(Server&amp;Cube1,$F$17,$F$18,$F$19,$F$16,$C$14,$F$15,$F$14,$F$20,X$2,$N$1,$C223)</f>
        <v>0</v>
      </c>
      <c r="Y223" s="184">
        <f ca="1">_xll.DBRW(Server&amp;Cube1,$F$17,$F$18,$F$19,$F$16,$C$14,$F$15,$F$14,$F$20,Y$2,$N$1,$C223)</f>
        <v>0</v>
      </c>
      <c r="Z223" s="184">
        <f ca="1">_xll.DBRW(Server&amp;Cube1,$F$17,$F$18,$F$19,$F$16,$C$14,$F$15,$F$14,$F$20,Z$2,$N$1,$C223)</f>
        <v>0</v>
      </c>
      <c r="AA223" s="53"/>
      <c r="AB223" s="53"/>
      <c r="AC223" s="53"/>
      <c r="AD223" s="53"/>
      <c r="AE223" s="53"/>
      <c r="AF223" s="53"/>
      <c r="AG223" s="53"/>
      <c r="AH223" s="53"/>
      <c r="AI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</row>
    <row r="224" spans="1:47" s="9" customFormat="1" ht="24" customHeight="1" x14ac:dyDescent="0.35">
      <c r="A224" s="157">
        <f ca="1">IF($AN$35="YES",1,IF(_xll.ELCOMPN(Server&amp;$C$24,C224)&lt;&gt;0,1,IF(OR(B224=$AT$35,B224="ALL"),1,0)))</f>
        <v>1</v>
      </c>
      <c r="B224" s="139" t="str">
        <f t="shared" si="2"/>
        <v>BD</v>
      </c>
      <c r="C224" s="137" t="s">
        <v>322</v>
      </c>
      <c r="E224" s="219" t="str">
        <f ca="1">_xll.DBRA(Server&amp;$C$24,$C224,$F$21)</f>
        <v>Frais de personnel (DC)</v>
      </c>
      <c r="F224" s="219"/>
      <c r="G224" s="219"/>
      <c r="H224" s="40"/>
      <c r="I224" s="192">
        <f ca="1">_xll.DBRW(Server&amp;Cube1,$F$17,$F$18,$F$19,$F$16,$C$14,$F$15,$F$14,$F$20,I$2,I$1,$C224)</f>
        <v>0</v>
      </c>
      <c r="J224" s="192">
        <f ca="1">_xll.DBRW(Server&amp;Cube1,$F$17,$F$18,$F$19,$F$16,$C$14,$F$15,$F$14,$F$20,J$2,J$1,$C224)</f>
        <v>0</v>
      </c>
      <c r="K224" s="183"/>
      <c r="L224" s="185">
        <f ca="1">_xll.DBRW(Server&amp;Cube1,$F$17,$F$18,$F$19,$F$16,$C$14,$F$15,$F$14,$F$20,L$2,L$1,$C224)</f>
        <v>0</v>
      </c>
      <c r="M224" s="184"/>
      <c r="N224" s="185">
        <f ca="1">_xll.DBRW(Server&amp;Cube1,$F$17,$F$18,$F$19,$F$16,$C$14,$F$15,$F$14,$F$20,N$2,$N$1,$C224)</f>
        <v>0</v>
      </c>
      <c r="O224" s="185">
        <f ca="1">_xll.DBRW(Server&amp;Cube1,$F$17,$F$18,$F$19,$F$16,$C$14,$F$15,$F$14,$F$20,O$2,$N$1,$C224)</f>
        <v>0</v>
      </c>
      <c r="P224" s="185">
        <f ca="1">_xll.DBRW(Server&amp;Cube1,$F$17,$F$18,$F$19,$F$16,$C$14,$F$15,$F$14,$F$20,P$2,$N$1,$C224)</f>
        <v>0</v>
      </c>
      <c r="Q224" s="185">
        <f ca="1">_xll.DBRW(Server&amp;Cube1,$F$17,$F$18,$F$19,$F$16,$C$14,$F$15,$F$14,$F$20,Q$2,$N$1,$C224)</f>
        <v>0</v>
      </c>
      <c r="R224" s="185">
        <f ca="1">_xll.DBRW(Server&amp;Cube1,$F$17,$F$18,$F$19,$F$16,$C$14,$F$15,$F$14,$F$20,R$2,$N$1,$C224)</f>
        <v>0</v>
      </c>
      <c r="S224" s="185">
        <f ca="1">_xll.DBRW(Server&amp;Cube1,$F$17,$F$18,$F$19,$F$16,$C$14,$F$15,$F$14,$F$20,S$2,$N$1,$C224)</f>
        <v>0</v>
      </c>
      <c r="T224" s="185">
        <f ca="1">_xll.DBRW(Server&amp;Cube1,$F$17,$F$18,$F$19,$F$16,$C$14,$F$15,$F$14,$F$20,T$2,$N$1,$C224)</f>
        <v>0</v>
      </c>
      <c r="U224" s="185">
        <f ca="1">_xll.DBRW(Server&amp;Cube1,$F$17,$F$18,$F$19,$F$16,$C$14,$F$15,$F$14,$F$20,U$2,$N$1,$C224)</f>
        <v>0</v>
      </c>
      <c r="V224" s="185">
        <f ca="1">_xll.DBRW(Server&amp;Cube1,$F$17,$F$18,$F$19,$F$16,$C$14,$F$15,$F$14,$F$20,V$2,$N$1,$C224)</f>
        <v>0</v>
      </c>
      <c r="W224" s="185">
        <f ca="1">_xll.DBRW(Server&amp;Cube1,$F$17,$F$18,$F$19,$F$16,$C$14,$F$15,$F$14,$F$20,W$2,$N$1,$C224)</f>
        <v>0</v>
      </c>
      <c r="X224" s="185">
        <f ca="1">_xll.DBRW(Server&amp;Cube1,$F$17,$F$18,$F$19,$F$16,$C$14,$F$15,$F$14,$F$20,X$2,$N$1,$C224)</f>
        <v>0</v>
      </c>
      <c r="Y224" s="185">
        <f ca="1">_xll.DBRW(Server&amp;Cube1,$F$17,$F$18,$F$19,$F$16,$C$14,$F$15,$F$14,$F$20,Y$2,$N$1,$C224)</f>
        <v>0</v>
      </c>
      <c r="Z224" s="185">
        <f ca="1">_xll.DBRW(Server&amp;Cube1,$F$17,$F$18,$F$19,$F$16,$C$14,$F$15,$F$14,$F$20,Z$2,$N$1,$C224)</f>
        <v>0</v>
      </c>
      <c r="AA224" s="53"/>
      <c r="AB224" s="53"/>
      <c r="AC224" s="53"/>
      <c r="AD224" s="53"/>
      <c r="AE224" s="53"/>
      <c r="AF224" s="53"/>
      <c r="AG224" s="53"/>
      <c r="AH224" s="53"/>
      <c r="AI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</row>
    <row r="225" spans="1:47" s="9" customFormat="1" ht="24" customHeight="1" collapsed="1" x14ac:dyDescent="0.35">
      <c r="A225" s="157">
        <f ca="1">IF($AN$35="YES",1,IF(_xll.ELCOMPN(Server&amp;$C$24,C225)&lt;&gt;0,1,IF(OR(B225=$AT$35,B225="ALL"),1,0)))</f>
        <v>1</v>
      </c>
      <c r="B225" s="139" t="e">
        <f t="shared" si="2"/>
        <v>#VALUE!</v>
      </c>
      <c r="C225" s="111" t="s">
        <v>323</v>
      </c>
      <c r="E225" s="221" t="str">
        <f ca="1">_xll.DBRA(Server&amp;$C$24,$C225,$F$21)</f>
        <v>Frais de personnel - G&amp;A</v>
      </c>
      <c r="F225" s="221"/>
      <c r="G225" s="221"/>
      <c r="H225" s="40"/>
      <c r="I225" s="192">
        <f ca="1">_xll.DBRW(Server&amp;Cube1,$F$17,$F$18,$F$19,$F$16,$C$14,$F$15,$F$14,$F$20,I$2,I$1,$C225)</f>
        <v>0</v>
      </c>
      <c r="J225" s="192">
        <f ca="1">_xll.DBRW(Server&amp;Cube1,$F$17,$F$18,$F$19,$F$16,$C$14,$F$15,$F$14,$F$20,J$2,J$1,$C225)</f>
        <v>0</v>
      </c>
      <c r="K225" s="183"/>
      <c r="L225" s="184">
        <f ca="1">_xll.DBRW(Server&amp;Cube1,$F$17,$F$18,$F$19,$F$16,$C$14,$F$15,$F$14,$F$20,L$2,L$1,$C225)</f>
        <v>0</v>
      </c>
      <c r="M225" s="184"/>
      <c r="N225" s="184">
        <f ca="1">_xll.DBRW(Server&amp;Cube1,$F$17,$F$18,$F$19,$F$16,$C$14,$F$15,$F$14,$F$20,N$2,$N$1,$C225)</f>
        <v>0</v>
      </c>
      <c r="O225" s="184">
        <f ca="1">_xll.DBRW(Server&amp;Cube1,$F$17,$F$18,$F$19,$F$16,$C$14,$F$15,$F$14,$F$20,O$2,$N$1,$C225)</f>
        <v>0</v>
      </c>
      <c r="P225" s="184">
        <f ca="1">_xll.DBRW(Server&amp;Cube1,$F$17,$F$18,$F$19,$F$16,$C$14,$F$15,$F$14,$F$20,P$2,$N$1,$C225)</f>
        <v>0</v>
      </c>
      <c r="Q225" s="184">
        <f ca="1">_xll.DBRW(Server&amp;Cube1,$F$17,$F$18,$F$19,$F$16,$C$14,$F$15,$F$14,$F$20,Q$2,$N$1,$C225)</f>
        <v>0</v>
      </c>
      <c r="R225" s="184">
        <f ca="1">_xll.DBRW(Server&amp;Cube1,$F$17,$F$18,$F$19,$F$16,$C$14,$F$15,$F$14,$F$20,R$2,$N$1,$C225)</f>
        <v>0</v>
      </c>
      <c r="S225" s="184">
        <f ca="1">_xll.DBRW(Server&amp;Cube1,$F$17,$F$18,$F$19,$F$16,$C$14,$F$15,$F$14,$F$20,S$2,$N$1,$C225)</f>
        <v>0</v>
      </c>
      <c r="T225" s="184">
        <f ca="1">_xll.DBRW(Server&amp;Cube1,$F$17,$F$18,$F$19,$F$16,$C$14,$F$15,$F$14,$F$20,T$2,$N$1,$C225)</f>
        <v>0</v>
      </c>
      <c r="U225" s="184">
        <f ca="1">_xll.DBRW(Server&amp;Cube1,$F$17,$F$18,$F$19,$F$16,$C$14,$F$15,$F$14,$F$20,U$2,$N$1,$C225)</f>
        <v>0</v>
      </c>
      <c r="V225" s="184">
        <f ca="1">_xll.DBRW(Server&amp;Cube1,$F$17,$F$18,$F$19,$F$16,$C$14,$F$15,$F$14,$F$20,V$2,$N$1,$C225)</f>
        <v>0</v>
      </c>
      <c r="W225" s="184">
        <f ca="1">_xll.DBRW(Server&amp;Cube1,$F$17,$F$18,$F$19,$F$16,$C$14,$F$15,$F$14,$F$20,W$2,$N$1,$C225)</f>
        <v>0</v>
      </c>
      <c r="X225" s="184">
        <f ca="1">_xll.DBRW(Server&amp;Cube1,$F$17,$F$18,$F$19,$F$16,$C$14,$F$15,$F$14,$F$20,X$2,$N$1,$C225)</f>
        <v>0</v>
      </c>
      <c r="Y225" s="184">
        <f ca="1">_xll.DBRW(Server&amp;Cube1,$F$17,$F$18,$F$19,$F$16,$C$14,$F$15,$F$14,$F$20,Y$2,$N$1,$C225)</f>
        <v>0</v>
      </c>
      <c r="Z225" s="184">
        <f ca="1">_xll.DBRW(Server&amp;Cube1,$F$17,$F$18,$F$19,$F$16,$C$14,$F$15,$F$14,$F$20,Z$2,$N$1,$C225)</f>
        <v>0</v>
      </c>
      <c r="AA225" s="53"/>
      <c r="AB225" s="53"/>
      <c r="AC225" s="53"/>
      <c r="AD225" s="53"/>
      <c r="AE225" s="53"/>
      <c r="AF225" s="53"/>
      <c r="AG225" s="53"/>
      <c r="AH225" s="53"/>
      <c r="AI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</row>
    <row r="226" spans="1:47" s="9" customFormat="1" ht="24" customHeight="1" x14ac:dyDescent="0.35">
      <c r="A226" s="157">
        <f ca="1">IF($AN$35="YES",1,IF(_xll.ELCOMPN(Server&amp;$C$24,C226)&lt;&gt;0,1,IF(OR(B226=$AT$35,B226="ALL"),1,0)))</f>
        <v>1</v>
      </c>
      <c r="B226" s="139" t="str">
        <f t="shared" si="2"/>
        <v>FI</v>
      </c>
      <c r="C226" s="137" t="s">
        <v>324</v>
      </c>
      <c r="E226" s="219" t="str">
        <f ca="1">_xll.DBRA(Server&amp;$C$24,$C226,$F$21)</f>
        <v>Frais de personnel (DF)</v>
      </c>
      <c r="F226" s="219"/>
      <c r="G226" s="219"/>
      <c r="H226" s="40"/>
      <c r="I226" s="192">
        <f ca="1">_xll.DBRW(Server&amp;Cube1,$F$17,$F$18,$F$19,$F$16,$C$14,$F$15,$F$14,$F$20,I$2,I$1,$C226)</f>
        <v>0</v>
      </c>
      <c r="J226" s="192">
        <f ca="1">_xll.DBRW(Server&amp;Cube1,$F$17,$F$18,$F$19,$F$16,$C$14,$F$15,$F$14,$F$20,J$2,J$1,$C226)</f>
        <v>0</v>
      </c>
      <c r="K226" s="183"/>
      <c r="L226" s="185">
        <f ca="1">_xll.DBRW(Server&amp;Cube1,$F$17,$F$18,$F$19,$F$16,$C$14,$F$15,$F$14,$F$20,L$2,L$1,$C226)</f>
        <v>0</v>
      </c>
      <c r="M226" s="184"/>
      <c r="N226" s="185">
        <f ca="1">_xll.DBRW(Server&amp;Cube1,$F$17,$F$18,$F$19,$F$16,$C$14,$F$15,$F$14,$F$20,N$2,$N$1,$C226)</f>
        <v>0</v>
      </c>
      <c r="O226" s="185">
        <f ca="1">_xll.DBRW(Server&amp;Cube1,$F$17,$F$18,$F$19,$F$16,$C$14,$F$15,$F$14,$F$20,O$2,$N$1,$C226)</f>
        <v>0</v>
      </c>
      <c r="P226" s="185">
        <f ca="1">_xll.DBRW(Server&amp;Cube1,$F$17,$F$18,$F$19,$F$16,$C$14,$F$15,$F$14,$F$20,P$2,$N$1,$C226)</f>
        <v>0</v>
      </c>
      <c r="Q226" s="185">
        <f ca="1">_xll.DBRW(Server&amp;Cube1,$F$17,$F$18,$F$19,$F$16,$C$14,$F$15,$F$14,$F$20,Q$2,$N$1,$C226)</f>
        <v>0</v>
      </c>
      <c r="R226" s="185">
        <f ca="1">_xll.DBRW(Server&amp;Cube1,$F$17,$F$18,$F$19,$F$16,$C$14,$F$15,$F$14,$F$20,R$2,$N$1,$C226)</f>
        <v>0</v>
      </c>
      <c r="S226" s="185">
        <f ca="1">_xll.DBRW(Server&amp;Cube1,$F$17,$F$18,$F$19,$F$16,$C$14,$F$15,$F$14,$F$20,S$2,$N$1,$C226)</f>
        <v>0</v>
      </c>
      <c r="T226" s="185">
        <f ca="1">_xll.DBRW(Server&amp;Cube1,$F$17,$F$18,$F$19,$F$16,$C$14,$F$15,$F$14,$F$20,T$2,$N$1,$C226)</f>
        <v>0</v>
      </c>
      <c r="U226" s="185">
        <f ca="1">_xll.DBRW(Server&amp;Cube1,$F$17,$F$18,$F$19,$F$16,$C$14,$F$15,$F$14,$F$20,U$2,$N$1,$C226)</f>
        <v>0</v>
      </c>
      <c r="V226" s="185">
        <f ca="1">_xll.DBRW(Server&amp;Cube1,$F$17,$F$18,$F$19,$F$16,$C$14,$F$15,$F$14,$F$20,V$2,$N$1,$C226)</f>
        <v>0</v>
      </c>
      <c r="W226" s="185">
        <f ca="1">_xll.DBRW(Server&amp;Cube1,$F$17,$F$18,$F$19,$F$16,$C$14,$F$15,$F$14,$F$20,W$2,$N$1,$C226)</f>
        <v>0</v>
      </c>
      <c r="X226" s="185">
        <f ca="1">_xll.DBRW(Server&amp;Cube1,$F$17,$F$18,$F$19,$F$16,$C$14,$F$15,$F$14,$F$20,X$2,$N$1,$C226)</f>
        <v>0</v>
      </c>
      <c r="Y226" s="185">
        <f ca="1">_xll.DBRW(Server&amp;Cube1,$F$17,$F$18,$F$19,$F$16,$C$14,$F$15,$F$14,$F$20,Y$2,$N$1,$C226)</f>
        <v>0</v>
      </c>
      <c r="Z226" s="185">
        <f ca="1">_xll.DBRW(Server&amp;Cube1,$F$17,$F$18,$F$19,$F$16,$C$14,$F$15,$F$14,$F$20,Z$2,$N$1,$C226)</f>
        <v>0</v>
      </c>
      <c r="AA226" s="53"/>
      <c r="AB226" s="53"/>
      <c r="AC226" s="53"/>
      <c r="AD226" s="53"/>
      <c r="AE226" s="53"/>
      <c r="AF226" s="53"/>
      <c r="AG226" s="53"/>
      <c r="AH226" s="53"/>
      <c r="AI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</row>
    <row r="227" spans="1:47" s="9" customFormat="1" ht="24" customHeight="1" x14ac:dyDescent="0.35">
      <c r="A227" s="157">
        <f ca="1">IF($AN$35="YES",1,IF(_xll.ELCOMPN(Server&amp;$C$24,C227)&lt;&gt;0,1,IF(OR(B227=$AT$35,B227="ALL"),1,0)))</f>
        <v>1</v>
      </c>
      <c r="B227" s="139" t="str">
        <f t="shared" si="2"/>
        <v>IT</v>
      </c>
      <c r="C227" s="137" t="s">
        <v>325</v>
      </c>
      <c r="E227" s="219" t="str">
        <f ca="1">_xll.DBRA(Server&amp;$C$24,$C227,$F$21)</f>
        <v>Frais de personnel (IT)</v>
      </c>
      <c r="F227" s="219"/>
      <c r="G227" s="219"/>
      <c r="H227" s="40"/>
      <c r="I227" s="192">
        <f ca="1">_xll.DBRW(Server&amp;Cube1,$F$17,$F$18,$F$19,$F$16,$C$14,$F$15,$F$14,$F$20,I$2,I$1,$C227)</f>
        <v>0</v>
      </c>
      <c r="J227" s="192">
        <f ca="1">_xll.DBRW(Server&amp;Cube1,$F$17,$F$18,$F$19,$F$16,$C$14,$F$15,$F$14,$F$20,J$2,J$1,$C227)</f>
        <v>0</v>
      </c>
      <c r="K227" s="183"/>
      <c r="L227" s="185">
        <f ca="1">_xll.DBRW(Server&amp;Cube1,$F$17,$F$18,$F$19,$F$16,$C$14,$F$15,$F$14,$F$20,L$2,L$1,$C227)</f>
        <v>0</v>
      </c>
      <c r="M227" s="184"/>
      <c r="N227" s="185">
        <f ca="1">_xll.DBRW(Server&amp;Cube1,$F$17,$F$18,$F$19,$F$16,$C$14,$F$15,$F$14,$F$20,N$2,$N$1,$C227)</f>
        <v>0</v>
      </c>
      <c r="O227" s="185">
        <f ca="1">_xll.DBRW(Server&amp;Cube1,$F$17,$F$18,$F$19,$F$16,$C$14,$F$15,$F$14,$F$20,O$2,$N$1,$C227)</f>
        <v>0</v>
      </c>
      <c r="P227" s="185">
        <f ca="1">_xll.DBRW(Server&amp;Cube1,$F$17,$F$18,$F$19,$F$16,$C$14,$F$15,$F$14,$F$20,P$2,$N$1,$C227)</f>
        <v>0</v>
      </c>
      <c r="Q227" s="185">
        <f ca="1">_xll.DBRW(Server&amp;Cube1,$F$17,$F$18,$F$19,$F$16,$C$14,$F$15,$F$14,$F$20,Q$2,$N$1,$C227)</f>
        <v>0</v>
      </c>
      <c r="R227" s="185">
        <f ca="1">_xll.DBRW(Server&amp;Cube1,$F$17,$F$18,$F$19,$F$16,$C$14,$F$15,$F$14,$F$20,R$2,$N$1,$C227)</f>
        <v>0</v>
      </c>
      <c r="S227" s="185">
        <f ca="1">_xll.DBRW(Server&amp;Cube1,$F$17,$F$18,$F$19,$F$16,$C$14,$F$15,$F$14,$F$20,S$2,$N$1,$C227)</f>
        <v>0</v>
      </c>
      <c r="T227" s="185">
        <f ca="1">_xll.DBRW(Server&amp;Cube1,$F$17,$F$18,$F$19,$F$16,$C$14,$F$15,$F$14,$F$20,T$2,$N$1,$C227)</f>
        <v>0</v>
      </c>
      <c r="U227" s="185">
        <f ca="1">_xll.DBRW(Server&amp;Cube1,$F$17,$F$18,$F$19,$F$16,$C$14,$F$15,$F$14,$F$20,U$2,$N$1,$C227)</f>
        <v>0</v>
      </c>
      <c r="V227" s="185">
        <f ca="1">_xll.DBRW(Server&amp;Cube1,$F$17,$F$18,$F$19,$F$16,$C$14,$F$15,$F$14,$F$20,V$2,$N$1,$C227)</f>
        <v>0</v>
      </c>
      <c r="W227" s="185">
        <f ca="1">_xll.DBRW(Server&amp;Cube1,$F$17,$F$18,$F$19,$F$16,$C$14,$F$15,$F$14,$F$20,W$2,$N$1,$C227)</f>
        <v>0</v>
      </c>
      <c r="X227" s="185">
        <f ca="1">_xll.DBRW(Server&amp;Cube1,$F$17,$F$18,$F$19,$F$16,$C$14,$F$15,$F$14,$F$20,X$2,$N$1,$C227)</f>
        <v>0</v>
      </c>
      <c r="Y227" s="185">
        <f ca="1">_xll.DBRW(Server&amp;Cube1,$F$17,$F$18,$F$19,$F$16,$C$14,$F$15,$F$14,$F$20,Y$2,$N$1,$C227)</f>
        <v>0</v>
      </c>
      <c r="Z227" s="185">
        <f ca="1">_xll.DBRW(Server&amp;Cube1,$F$17,$F$18,$F$19,$F$16,$C$14,$F$15,$F$14,$F$20,Z$2,$N$1,$C227)</f>
        <v>0</v>
      </c>
      <c r="AA227" s="53"/>
      <c r="AB227" s="53"/>
      <c r="AC227" s="53"/>
      <c r="AD227" s="53"/>
      <c r="AE227" s="53"/>
      <c r="AF227" s="53"/>
      <c r="AG227" s="53"/>
      <c r="AH227" s="53"/>
      <c r="AI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</row>
    <row r="228" spans="1:47" s="9" customFormat="1" ht="24" customHeight="1" x14ac:dyDescent="0.35">
      <c r="A228" s="157">
        <f ca="1">IF($AN$35="YES",1,IF(_xll.ELCOMPN(Server&amp;$C$24,C228)&lt;&gt;0,1,IF(OR(B228=$AT$35,B228="ALL"),1,0)))</f>
        <v>1</v>
      </c>
      <c r="B228" s="139" t="str">
        <f t="shared" si="2"/>
        <v>HR</v>
      </c>
      <c r="C228" s="137" t="s">
        <v>326</v>
      </c>
      <c r="E228" s="219" t="str">
        <f ca="1">_xll.DBRA(Server&amp;$C$24,$C228,$F$21)</f>
        <v>Frais de personnel (RH)</v>
      </c>
      <c r="F228" s="219"/>
      <c r="G228" s="219"/>
      <c r="H228" s="40"/>
      <c r="I228" s="192">
        <f ca="1">_xll.DBRW(Server&amp;Cube1,$F$17,$F$18,$F$19,$F$16,$C$14,$F$15,$F$14,$F$20,I$2,I$1,$C228)</f>
        <v>0</v>
      </c>
      <c r="J228" s="192">
        <f ca="1">_xll.DBRW(Server&amp;Cube1,$F$17,$F$18,$F$19,$F$16,$C$14,$F$15,$F$14,$F$20,J$2,J$1,$C228)</f>
        <v>0</v>
      </c>
      <c r="K228" s="183"/>
      <c r="L228" s="185">
        <f ca="1">_xll.DBRW(Server&amp;Cube1,$F$17,$F$18,$F$19,$F$16,$C$14,$F$15,$F$14,$F$20,L$2,L$1,$C228)</f>
        <v>0</v>
      </c>
      <c r="M228" s="184"/>
      <c r="N228" s="185">
        <f ca="1">_xll.DBRW(Server&amp;Cube1,$F$17,$F$18,$F$19,$F$16,$C$14,$F$15,$F$14,$F$20,N$2,$N$1,$C228)</f>
        <v>0</v>
      </c>
      <c r="O228" s="185">
        <f ca="1">_xll.DBRW(Server&amp;Cube1,$F$17,$F$18,$F$19,$F$16,$C$14,$F$15,$F$14,$F$20,O$2,$N$1,$C228)</f>
        <v>0</v>
      </c>
      <c r="P228" s="185">
        <f ca="1">_xll.DBRW(Server&amp;Cube1,$F$17,$F$18,$F$19,$F$16,$C$14,$F$15,$F$14,$F$20,P$2,$N$1,$C228)</f>
        <v>0</v>
      </c>
      <c r="Q228" s="185">
        <f ca="1">_xll.DBRW(Server&amp;Cube1,$F$17,$F$18,$F$19,$F$16,$C$14,$F$15,$F$14,$F$20,Q$2,$N$1,$C228)</f>
        <v>0</v>
      </c>
      <c r="R228" s="185">
        <f ca="1">_xll.DBRW(Server&amp;Cube1,$F$17,$F$18,$F$19,$F$16,$C$14,$F$15,$F$14,$F$20,R$2,$N$1,$C228)</f>
        <v>0</v>
      </c>
      <c r="S228" s="185">
        <f ca="1">_xll.DBRW(Server&amp;Cube1,$F$17,$F$18,$F$19,$F$16,$C$14,$F$15,$F$14,$F$20,S$2,$N$1,$C228)</f>
        <v>0</v>
      </c>
      <c r="T228" s="185">
        <f ca="1">_xll.DBRW(Server&amp;Cube1,$F$17,$F$18,$F$19,$F$16,$C$14,$F$15,$F$14,$F$20,T$2,$N$1,$C228)</f>
        <v>0</v>
      </c>
      <c r="U228" s="185">
        <f ca="1">_xll.DBRW(Server&amp;Cube1,$F$17,$F$18,$F$19,$F$16,$C$14,$F$15,$F$14,$F$20,U$2,$N$1,$C228)</f>
        <v>0</v>
      </c>
      <c r="V228" s="185">
        <f ca="1">_xll.DBRW(Server&amp;Cube1,$F$17,$F$18,$F$19,$F$16,$C$14,$F$15,$F$14,$F$20,V$2,$N$1,$C228)</f>
        <v>0</v>
      </c>
      <c r="W228" s="185">
        <f ca="1">_xll.DBRW(Server&amp;Cube1,$F$17,$F$18,$F$19,$F$16,$C$14,$F$15,$F$14,$F$20,W$2,$N$1,$C228)</f>
        <v>0</v>
      </c>
      <c r="X228" s="185">
        <f ca="1">_xll.DBRW(Server&amp;Cube1,$F$17,$F$18,$F$19,$F$16,$C$14,$F$15,$F$14,$F$20,X$2,$N$1,$C228)</f>
        <v>0</v>
      </c>
      <c r="Y228" s="185">
        <f ca="1">_xll.DBRW(Server&amp;Cube1,$F$17,$F$18,$F$19,$F$16,$C$14,$F$15,$F$14,$F$20,Y$2,$N$1,$C228)</f>
        <v>0</v>
      </c>
      <c r="Z228" s="185">
        <f ca="1">_xll.DBRW(Server&amp;Cube1,$F$17,$F$18,$F$19,$F$16,$C$14,$F$15,$F$14,$F$20,Z$2,$N$1,$C228)</f>
        <v>0</v>
      </c>
      <c r="AA228" s="53"/>
      <c r="AB228" s="53"/>
      <c r="AC228" s="53"/>
      <c r="AD228" s="53"/>
      <c r="AE228" s="53"/>
      <c r="AF228" s="53"/>
      <c r="AG228" s="53"/>
      <c r="AH228" s="53"/>
      <c r="AI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</row>
    <row r="229" spans="1:47" s="9" customFormat="1" ht="24" customHeight="1" x14ac:dyDescent="0.35">
      <c r="A229" s="157">
        <f ca="1">IF($AN$35="YES",1,IF(_xll.ELCOMPN(Server&amp;$C$24,C229)&lt;&gt;0,1,IF(OR(B229=$AT$35,B229="ALL"),1,0)))</f>
        <v>1</v>
      </c>
      <c r="B229" s="139" t="str">
        <f t="shared" ref="B229:B292" si="3">IF(ISERROR(MID(C229,FIND("_",C229,1)+1,2)),MID(C229,FIND("(",C229,1)+1,2),MID(C229,FIND("_",C229,1)+1,2))</f>
        <v>GM</v>
      </c>
      <c r="C229" s="137" t="s">
        <v>327</v>
      </c>
      <c r="E229" s="219" t="str">
        <f ca="1">_xll.DBRA(Server&amp;$C$24,$C229,$F$21)</f>
        <v>Frais de personnel (DG)</v>
      </c>
      <c r="F229" s="219"/>
      <c r="G229" s="219"/>
      <c r="H229" s="40"/>
      <c r="I229" s="192">
        <f ca="1">_xll.DBRW(Server&amp;Cube1,$F$17,$F$18,$F$19,$F$16,$C$14,$F$15,$F$14,$F$20,I$2,I$1,$C229)</f>
        <v>0</v>
      </c>
      <c r="J229" s="192">
        <f ca="1">_xll.DBRW(Server&amp;Cube1,$F$17,$F$18,$F$19,$F$16,$C$14,$F$15,$F$14,$F$20,J$2,J$1,$C229)</f>
        <v>0</v>
      </c>
      <c r="K229" s="183"/>
      <c r="L229" s="185">
        <f ca="1">_xll.DBRW(Server&amp;Cube1,$F$17,$F$18,$F$19,$F$16,$C$14,$F$15,$F$14,$F$20,L$2,L$1,$C229)</f>
        <v>0</v>
      </c>
      <c r="M229" s="184"/>
      <c r="N229" s="185">
        <f ca="1">_xll.DBRW(Server&amp;Cube1,$F$17,$F$18,$F$19,$F$16,$C$14,$F$15,$F$14,$F$20,N$2,$N$1,$C229)</f>
        <v>0</v>
      </c>
      <c r="O229" s="185">
        <f ca="1">_xll.DBRW(Server&amp;Cube1,$F$17,$F$18,$F$19,$F$16,$C$14,$F$15,$F$14,$F$20,O$2,$N$1,$C229)</f>
        <v>0</v>
      </c>
      <c r="P229" s="185">
        <f ca="1">_xll.DBRW(Server&amp;Cube1,$F$17,$F$18,$F$19,$F$16,$C$14,$F$15,$F$14,$F$20,P$2,$N$1,$C229)</f>
        <v>0</v>
      </c>
      <c r="Q229" s="185">
        <f ca="1">_xll.DBRW(Server&amp;Cube1,$F$17,$F$18,$F$19,$F$16,$C$14,$F$15,$F$14,$F$20,Q$2,$N$1,$C229)</f>
        <v>0</v>
      </c>
      <c r="R229" s="185">
        <f ca="1">_xll.DBRW(Server&amp;Cube1,$F$17,$F$18,$F$19,$F$16,$C$14,$F$15,$F$14,$F$20,R$2,$N$1,$C229)</f>
        <v>0</v>
      </c>
      <c r="S229" s="185">
        <f ca="1">_xll.DBRW(Server&amp;Cube1,$F$17,$F$18,$F$19,$F$16,$C$14,$F$15,$F$14,$F$20,S$2,$N$1,$C229)</f>
        <v>0</v>
      </c>
      <c r="T229" s="185">
        <f ca="1">_xll.DBRW(Server&amp;Cube1,$F$17,$F$18,$F$19,$F$16,$C$14,$F$15,$F$14,$F$20,T$2,$N$1,$C229)</f>
        <v>0</v>
      </c>
      <c r="U229" s="185">
        <f ca="1">_xll.DBRW(Server&amp;Cube1,$F$17,$F$18,$F$19,$F$16,$C$14,$F$15,$F$14,$F$20,U$2,$N$1,$C229)</f>
        <v>0</v>
      </c>
      <c r="V229" s="185">
        <f ca="1">_xll.DBRW(Server&amp;Cube1,$F$17,$F$18,$F$19,$F$16,$C$14,$F$15,$F$14,$F$20,V$2,$N$1,$C229)</f>
        <v>0</v>
      </c>
      <c r="W229" s="185">
        <f ca="1">_xll.DBRW(Server&amp;Cube1,$F$17,$F$18,$F$19,$F$16,$C$14,$F$15,$F$14,$F$20,W$2,$N$1,$C229)</f>
        <v>0</v>
      </c>
      <c r="X229" s="185">
        <f ca="1">_xll.DBRW(Server&amp;Cube1,$F$17,$F$18,$F$19,$F$16,$C$14,$F$15,$F$14,$F$20,X$2,$N$1,$C229)</f>
        <v>0</v>
      </c>
      <c r="Y229" s="185">
        <f ca="1">_xll.DBRW(Server&amp;Cube1,$F$17,$F$18,$F$19,$F$16,$C$14,$F$15,$F$14,$F$20,Y$2,$N$1,$C229)</f>
        <v>0</v>
      </c>
      <c r="Z229" s="185">
        <f ca="1">_xll.DBRW(Server&amp;Cube1,$F$17,$F$18,$F$19,$F$16,$C$14,$F$15,$F$14,$F$20,Z$2,$N$1,$C229)</f>
        <v>0</v>
      </c>
      <c r="AA229" s="53"/>
      <c r="AB229" s="53"/>
      <c r="AC229" s="53"/>
      <c r="AD229" s="53"/>
      <c r="AE229" s="53"/>
      <c r="AF229" s="53"/>
      <c r="AG229" s="53"/>
      <c r="AH229" s="53"/>
      <c r="AI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</row>
    <row r="230" spans="1:47" s="9" customFormat="1" ht="24" customHeight="1" x14ac:dyDescent="0.35">
      <c r="A230" s="157">
        <f ca="1">IF($AN$35="YES",1,IF(_xll.ELCOMPN(Server&amp;$C$24,C230)&lt;&gt;0,1,IF(OR(B230=$AT$35,B230="ALL"),1,0)))</f>
        <v>1</v>
      </c>
      <c r="B230" s="139" t="str">
        <f t="shared" si="3"/>
        <v>IA</v>
      </c>
      <c r="C230" s="137" t="s">
        <v>328</v>
      </c>
      <c r="E230" s="219" t="str">
        <f ca="1">_xll.DBRA(Server&amp;$C$24,$C230,$F$21)</f>
        <v>Frais de personnel (AI)</v>
      </c>
      <c r="F230" s="219"/>
      <c r="G230" s="219"/>
      <c r="H230" s="40"/>
      <c r="I230" s="192">
        <f ca="1">_xll.DBRW(Server&amp;Cube1,$F$17,$F$18,$F$19,$F$16,$C$14,$F$15,$F$14,$F$20,I$2,I$1,$C230)</f>
        <v>0</v>
      </c>
      <c r="J230" s="192">
        <f ca="1">_xll.DBRW(Server&amp;Cube1,$F$17,$F$18,$F$19,$F$16,$C$14,$F$15,$F$14,$F$20,J$2,J$1,$C230)</f>
        <v>0</v>
      </c>
      <c r="K230" s="183"/>
      <c r="L230" s="185">
        <f ca="1">_xll.DBRW(Server&amp;Cube1,$F$17,$F$18,$F$19,$F$16,$C$14,$F$15,$F$14,$F$20,L$2,L$1,$C230)</f>
        <v>0</v>
      </c>
      <c r="M230" s="184"/>
      <c r="N230" s="185">
        <f ca="1">_xll.DBRW(Server&amp;Cube1,$F$17,$F$18,$F$19,$F$16,$C$14,$F$15,$F$14,$F$20,N$2,$N$1,$C230)</f>
        <v>0</v>
      </c>
      <c r="O230" s="185">
        <f ca="1">_xll.DBRW(Server&amp;Cube1,$F$17,$F$18,$F$19,$F$16,$C$14,$F$15,$F$14,$F$20,O$2,$N$1,$C230)</f>
        <v>0</v>
      </c>
      <c r="P230" s="185">
        <f ca="1">_xll.DBRW(Server&amp;Cube1,$F$17,$F$18,$F$19,$F$16,$C$14,$F$15,$F$14,$F$20,P$2,$N$1,$C230)</f>
        <v>0</v>
      </c>
      <c r="Q230" s="185">
        <f ca="1">_xll.DBRW(Server&amp;Cube1,$F$17,$F$18,$F$19,$F$16,$C$14,$F$15,$F$14,$F$20,Q$2,$N$1,$C230)</f>
        <v>0</v>
      </c>
      <c r="R230" s="185">
        <f ca="1">_xll.DBRW(Server&amp;Cube1,$F$17,$F$18,$F$19,$F$16,$C$14,$F$15,$F$14,$F$20,R$2,$N$1,$C230)</f>
        <v>0</v>
      </c>
      <c r="S230" s="185">
        <f ca="1">_xll.DBRW(Server&amp;Cube1,$F$17,$F$18,$F$19,$F$16,$C$14,$F$15,$F$14,$F$20,S$2,$N$1,$C230)</f>
        <v>0</v>
      </c>
      <c r="T230" s="185">
        <f ca="1">_xll.DBRW(Server&amp;Cube1,$F$17,$F$18,$F$19,$F$16,$C$14,$F$15,$F$14,$F$20,T$2,$N$1,$C230)</f>
        <v>0</v>
      </c>
      <c r="U230" s="185">
        <f ca="1">_xll.DBRW(Server&amp;Cube1,$F$17,$F$18,$F$19,$F$16,$C$14,$F$15,$F$14,$F$20,U$2,$N$1,$C230)</f>
        <v>0</v>
      </c>
      <c r="V230" s="185">
        <f ca="1">_xll.DBRW(Server&amp;Cube1,$F$17,$F$18,$F$19,$F$16,$C$14,$F$15,$F$14,$F$20,V$2,$N$1,$C230)</f>
        <v>0</v>
      </c>
      <c r="W230" s="185">
        <f ca="1">_xll.DBRW(Server&amp;Cube1,$F$17,$F$18,$F$19,$F$16,$C$14,$F$15,$F$14,$F$20,W$2,$N$1,$C230)</f>
        <v>0</v>
      </c>
      <c r="X230" s="185">
        <f ca="1">_xll.DBRW(Server&amp;Cube1,$F$17,$F$18,$F$19,$F$16,$C$14,$F$15,$F$14,$F$20,X$2,$N$1,$C230)</f>
        <v>0</v>
      </c>
      <c r="Y230" s="185">
        <f ca="1">_xll.DBRW(Server&amp;Cube1,$F$17,$F$18,$F$19,$F$16,$C$14,$F$15,$F$14,$F$20,Y$2,$N$1,$C230)</f>
        <v>0</v>
      </c>
      <c r="Z230" s="185">
        <f ca="1">_xll.DBRW(Server&amp;Cube1,$F$17,$F$18,$F$19,$F$16,$C$14,$F$15,$F$14,$F$20,Z$2,$N$1,$C230)</f>
        <v>0</v>
      </c>
      <c r="AA230" s="53"/>
      <c r="AB230" s="53"/>
      <c r="AC230" s="53"/>
      <c r="AD230" s="53"/>
      <c r="AE230" s="53"/>
      <c r="AF230" s="53"/>
      <c r="AG230" s="53"/>
      <c r="AH230" s="53"/>
      <c r="AI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</row>
    <row r="231" spans="1:47" s="9" customFormat="1" ht="24" customHeight="1" x14ac:dyDescent="0.35">
      <c r="A231" s="157">
        <f ca="1">IF($AN$35="YES",1,IF(_xll.ELCOMPN(Server&amp;$C$24,C231)&lt;&gt;0,1,IF(OR(B231=$AT$35,B231="ALL"),1,0)))</f>
        <v>1</v>
      </c>
      <c r="B231" s="139" t="str">
        <f t="shared" si="3"/>
        <v>LE</v>
      </c>
      <c r="C231" s="137" t="s">
        <v>329</v>
      </c>
      <c r="E231" s="219" t="str">
        <f ca="1">_xll.DBRA(Server&amp;$C$24,$C231,$F$21)</f>
        <v>Frais de personnel (JU)</v>
      </c>
      <c r="F231" s="219"/>
      <c r="G231" s="219"/>
      <c r="H231" s="40"/>
      <c r="I231" s="192">
        <f ca="1">_xll.DBRW(Server&amp;Cube1,$F$17,$F$18,$F$19,$F$16,$C$14,$F$15,$F$14,$F$20,I$2,I$1,$C231)</f>
        <v>0</v>
      </c>
      <c r="J231" s="192">
        <f ca="1">_xll.DBRW(Server&amp;Cube1,$F$17,$F$18,$F$19,$F$16,$C$14,$F$15,$F$14,$F$20,J$2,J$1,$C231)</f>
        <v>0</v>
      </c>
      <c r="K231" s="183"/>
      <c r="L231" s="185">
        <f ca="1">_xll.DBRW(Server&amp;Cube1,$F$17,$F$18,$F$19,$F$16,$C$14,$F$15,$F$14,$F$20,L$2,L$1,$C231)</f>
        <v>0</v>
      </c>
      <c r="M231" s="184"/>
      <c r="N231" s="185">
        <f ca="1">_xll.DBRW(Server&amp;Cube1,$F$17,$F$18,$F$19,$F$16,$C$14,$F$15,$F$14,$F$20,N$2,$N$1,$C231)</f>
        <v>0</v>
      </c>
      <c r="O231" s="185">
        <f ca="1">_xll.DBRW(Server&amp;Cube1,$F$17,$F$18,$F$19,$F$16,$C$14,$F$15,$F$14,$F$20,O$2,$N$1,$C231)</f>
        <v>0</v>
      </c>
      <c r="P231" s="185">
        <f ca="1">_xll.DBRW(Server&amp;Cube1,$F$17,$F$18,$F$19,$F$16,$C$14,$F$15,$F$14,$F$20,P$2,$N$1,$C231)</f>
        <v>0</v>
      </c>
      <c r="Q231" s="185">
        <f ca="1">_xll.DBRW(Server&amp;Cube1,$F$17,$F$18,$F$19,$F$16,$C$14,$F$15,$F$14,$F$20,Q$2,$N$1,$C231)</f>
        <v>0</v>
      </c>
      <c r="R231" s="185">
        <f ca="1">_xll.DBRW(Server&amp;Cube1,$F$17,$F$18,$F$19,$F$16,$C$14,$F$15,$F$14,$F$20,R$2,$N$1,$C231)</f>
        <v>0</v>
      </c>
      <c r="S231" s="185">
        <f ca="1">_xll.DBRW(Server&amp;Cube1,$F$17,$F$18,$F$19,$F$16,$C$14,$F$15,$F$14,$F$20,S$2,$N$1,$C231)</f>
        <v>0</v>
      </c>
      <c r="T231" s="185">
        <f ca="1">_xll.DBRW(Server&amp;Cube1,$F$17,$F$18,$F$19,$F$16,$C$14,$F$15,$F$14,$F$20,T$2,$N$1,$C231)</f>
        <v>0</v>
      </c>
      <c r="U231" s="185">
        <f ca="1">_xll.DBRW(Server&amp;Cube1,$F$17,$F$18,$F$19,$F$16,$C$14,$F$15,$F$14,$F$20,U$2,$N$1,$C231)</f>
        <v>0</v>
      </c>
      <c r="V231" s="185">
        <f ca="1">_xll.DBRW(Server&amp;Cube1,$F$17,$F$18,$F$19,$F$16,$C$14,$F$15,$F$14,$F$20,V$2,$N$1,$C231)</f>
        <v>0</v>
      </c>
      <c r="W231" s="185">
        <f ca="1">_xll.DBRW(Server&amp;Cube1,$F$17,$F$18,$F$19,$F$16,$C$14,$F$15,$F$14,$F$20,W$2,$N$1,$C231)</f>
        <v>0</v>
      </c>
      <c r="X231" s="185">
        <f ca="1">_xll.DBRW(Server&amp;Cube1,$F$17,$F$18,$F$19,$F$16,$C$14,$F$15,$F$14,$F$20,X$2,$N$1,$C231)</f>
        <v>0</v>
      </c>
      <c r="Y231" s="185">
        <f ca="1">_xll.DBRW(Server&amp;Cube1,$F$17,$F$18,$F$19,$F$16,$C$14,$F$15,$F$14,$F$20,Y$2,$N$1,$C231)</f>
        <v>0</v>
      </c>
      <c r="Z231" s="185">
        <f ca="1">_xll.DBRW(Server&amp;Cube1,$F$17,$F$18,$F$19,$F$16,$C$14,$F$15,$F$14,$F$20,Z$2,$N$1,$C231)</f>
        <v>0</v>
      </c>
      <c r="AA231" s="53"/>
      <c r="AB231" s="53"/>
      <c r="AC231" s="53"/>
      <c r="AD231" s="53"/>
      <c r="AE231" s="53"/>
      <c r="AF231" s="53"/>
      <c r="AG231" s="53"/>
      <c r="AH231" s="53"/>
      <c r="AI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</row>
    <row r="232" spans="1:47" s="9" customFormat="1" ht="24" customHeight="1" x14ac:dyDescent="0.35">
      <c r="A232" s="157">
        <f ca="1">IF($AN$35="YES",1,IF(_xll.ELCOMPN(Server&amp;$C$24,C232)&lt;&gt;0,1,IF(OR(B232=$AT$35,B232="ALL"),1,0)))</f>
        <v>1</v>
      </c>
      <c r="B232" s="139" t="str">
        <f t="shared" si="3"/>
        <v>RM</v>
      </c>
      <c r="C232" s="137" t="s">
        <v>330</v>
      </c>
      <c r="E232" s="219" t="str">
        <f ca="1">_xll.DBRA(Server&amp;$C$24,$C232,$F$21)</f>
        <v>Frais de personnel (GR)</v>
      </c>
      <c r="F232" s="219"/>
      <c r="G232" s="219"/>
      <c r="H232" s="40"/>
      <c r="I232" s="192">
        <f ca="1">_xll.DBRW(Server&amp;Cube1,$F$17,$F$18,$F$19,$F$16,$C$14,$F$15,$F$14,$F$20,I$2,I$1,$C232)</f>
        <v>0</v>
      </c>
      <c r="J232" s="192">
        <f ca="1">_xll.DBRW(Server&amp;Cube1,$F$17,$F$18,$F$19,$F$16,$C$14,$F$15,$F$14,$F$20,J$2,J$1,$C232)</f>
        <v>0</v>
      </c>
      <c r="K232" s="183"/>
      <c r="L232" s="185">
        <f ca="1">_xll.DBRW(Server&amp;Cube1,$F$17,$F$18,$F$19,$F$16,$C$14,$F$15,$F$14,$F$20,L$2,L$1,$C232)</f>
        <v>0</v>
      </c>
      <c r="M232" s="184"/>
      <c r="N232" s="185">
        <f ca="1">_xll.DBRW(Server&amp;Cube1,$F$17,$F$18,$F$19,$F$16,$C$14,$F$15,$F$14,$F$20,N$2,$N$1,$C232)</f>
        <v>0</v>
      </c>
      <c r="O232" s="185">
        <f ca="1">_xll.DBRW(Server&amp;Cube1,$F$17,$F$18,$F$19,$F$16,$C$14,$F$15,$F$14,$F$20,O$2,$N$1,$C232)</f>
        <v>0</v>
      </c>
      <c r="P232" s="185">
        <f ca="1">_xll.DBRW(Server&amp;Cube1,$F$17,$F$18,$F$19,$F$16,$C$14,$F$15,$F$14,$F$20,P$2,$N$1,$C232)</f>
        <v>0</v>
      </c>
      <c r="Q232" s="185">
        <f ca="1">_xll.DBRW(Server&amp;Cube1,$F$17,$F$18,$F$19,$F$16,$C$14,$F$15,$F$14,$F$20,Q$2,$N$1,$C232)</f>
        <v>0</v>
      </c>
      <c r="R232" s="185">
        <f ca="1">_xll.DBRW(Server&amp;Cube1,$F$17,$F$18,$F$19,$F$16,$C$14,$F$15,$F$14,$F$20,R$2,$N$1,$C232)</f>
        <v>0</v>
      </c>
      <c r="S232" s="185">
        <f ca="1">_xll.DBRW(Server&amp;Cube1,$F$17,$F$18,$F$19,$F$16,$C$14,$F$15,$F$14,$F$20,S$2,$N$1,$C232)</f>
        <v>0</v>
      </c>
      <c r="T232" s="185">
        <f ca="1">_xll.DBRW(Server&amp;Cube1,$F$17,$F$18,$F$19,$F$16,$C$14,$F$15,$F$14,$F$20,T$2,$N$1,$C232)</f>
        <v>0</v>
      </c>
      <c r="U232" s="185">
        <f ca="1">_xll.DBRW(Server&amp;Cube1,$F$17,$F$18,$F$19,$F$16,$C$14,$F$15,$F$14,$F$20,U$2,$N$1,$C232)</f>
        <v>0</v>
      </c>
      <c r="V232" s="185">
        <f ca="1">_xll.DBRW(Server&amp;Cube1,$F$17,$F$18,$F$19,$F$16,$C$14,$F$15,$F$14,$F$20,V$2,$N$1,$C232)</f>
        <v>0</v>
      </c>
      <c r="W232" s="185">
        <f ca="1">_xll.DBRW(Server&amp;Cube1,$F$17,$F$18,$F$19,$F$16,$C$14,$F$15,$F$14,$F$20,W$2,$N$1,$C232)</f>
        <v>0</v>
      </c>
      <c r="X232" s="185">
        <f ca="1">_xll.DBRW(Server&amp;Cube1,$F$17,$F$18,$F$19,$F$16,$C$14,$F$15,$F$14,$F$20,X$2,$N$1,$C232)</f>
        <v>0</v>
      </c>
      <c r="Y232" s="185">
        <f ca="1">_xll.DBRW(Server&amp;Cube1,$F$17,$F$18,$F$19,$F$16,$C$14,$F$15,$F$14,$F$20,Y$2,$N$1,$C232)</f>
        <v>0</v>
      </c>
      <c r="Z232" s="185">
        <f ca="1">_xll.DBRW(Server&amp;Cube1,$F$17,$F$18,$F$19,$F$16,$C$14,$F$15,$F$14,$F$20,Z$2,$N$1,$C232)</f>
        <v>0</v>
      </c>
      <c r="AA232" s="53"/>
      <c r="AB232" s="53"/>
      <c r="AC232" s="53"/>
      <c r="AD232" s="53"/>
      <c r="AE232" s="53"/>
      <c r="AF232" s="53"/>
      <c r="AG232" s="53"/>
      <c r="AH232" s="53"/>
      <c r="AI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</row>
    <row r="233" spans="1:47" s="9" customFormat="1" ht="24" customHeight="1" x14ac:dyDescent="0.35">
      <c r="A233" s="157">
        <f ca="1">IF($AN$35="YES",1,IF(_xll.ELCOMPN(Server&amp;$C$24,C233)&lt;&gt;0,1,IF(OR(B233=$AT$35,B233="ALL"),1,0)))</f>
        <v>1</v>
      </c>
      <c r="B233" s="139" t="str">
        <f t="shared" si="3"/>
        <v>PU</v>
      </c>
      <c r="C233" s="137" t="s">
        <v>331</v>
      </c>
      <c r="E233" s="219" t="str">
        <f ca="1">_xll.DBRA(Server&amp;$C$24,$C233,$F$21)</f>
        <v>Frais de personnel (AC)</v>
      </c>
      <c r="F233" s="219"/>
      <c r="G233" s="219"/>
      <c r="H233" s="40"/>
      <c r="I233" s="192">
        <f ca="1">_xll.DBRW(Server&amp;Cube1,$F$17,$F$18,$F$19,$F$16,$C$14,$F$15,$F$14,$F$20,I$2,I$1,$C233)</f>
        <v>0</v>
      </c>
      <c r="J233" s="192">
        <f ca="1">_xll.DBRW(Server&amp;Cube1,$F$17,$F$18,$F$19,$F$16,$C$14,$F$15,$F$14,$F$20,J$2,J$1,$C233)</f>
        <v>0</v>
      </c>
      <c r="K233" s="183"/>
      <c r="L233" s="185">
        <f ca="1">_xll.DBRW(Server&amp;Cube1,$F$17,$F$18,$F$19,$F$16,$C$14,$F$15,$F$14,$F$20,L$2,L$1,$C233)</f>
        <v>0</v>
      </c>
      <c r="M233" s="184"/>
      <c r="N233" s="185">
        <f ca="1">_xll.DBRW(Server&amp;Cube1,$F$17,$F$18,$F$19,$F$16,$C$14,$F$15,$F$14,$F$20,N$2,$N$1,$C233)</f>
        <v>0</v>
      </c>
      <c r="O233" s="185">
        <f ca="1">_xll.DBRW(Server&amp;Cube1,$F$17,$F$18,$F$19,$F$16,$C$14,$F$15,$F$14,$F$20,O$2,$N$1,$C233)</f>
        <v>0</v>
      </c>
      <c r="P233" s="185">
        <f ca="1">_xll.DBRW(Server&amp;Cube1,$F$17,$F$18,$F$19,$F$16,$C$14,$F$15,$F$14,$F$20,P$2,$N$1,$C233)</f>
        <v>0</v>
      </c>
      <c r="Q233" s="185">
        <f ca="1">_xll.DBRW(Server&amp;Cube1,$F$17,$F$18,$F$19,$F$16,$C$14,$F$15,$F$14,$F$20,Q$2,$N$1,$C233)</f>
        <v>0</v>
      </c>
      <c r="R233" s="185">
        <f ca="1">_xll.DBRW(Server&amp;Cube1,$F$17,$F$18,$F$19,$F$16,$C$14,$F$15,$F$14,$F$20,R$2,$N$1,$C233)</f>
        <v>0</v>
      </c>
      <c r="S233" s="185">
        <f ca="1">_xll.DBRW(Server&amp;Cube1,$F$17,$F$18,$F$19,$F$16,$C$14,$F$15,$F$14,$F$20,S$2,$N$1,$C233)</f>
        <v>0</v>
      </c>
      <c r="T233" s="185">
        <f ca="1">_xll.DBRW(Server&amp;Cube1,$F$17,$F$18,$F$19,$F$16,$C$14,$F$15,$F$14,$F$20,T$2,$N$1,$C233)</f>
        <v>0</v>
      </c>
      <c r="U233" s="185">
        <f ca="1">_xll.DBRW(Server&amp;Cube1,$F$17,$F$18,$F$19,$F$16,$C$14,$F$15,$F$14,$F$20,U$2,$N$1,$C233)</f>
        <v>0</v>
      </c>
      <c r="V233" s="185">
        <f ca="1">_xll.DBRW(Server&amp;Cube1,$F$17,$F$18,$F$19,$F$16,$C$14,$F$15,$F$14,$F$20,V$2,$N$1,$C233)</f>
        <v>0</v>
      </c>
      <c r="W233" s="185">
        <f ca="1">_xll.DBRW(Server&amp;Cube1,$F$17,$F$18,$F$19,$F$16,$C$14,$F$15,$F$14,$F$20,W$2,$N$1,$C233)</f>
        <v>0</v>
      </c>
      <c r="X233" s="185">
        <f ca="1">_xll.DBRW(Server&amp;Cube1,$F$17,$F$18,$F$19,$F$16,$C$14,$F$15,$F$14,$F$20,X$2,$N$1,$C233)</f>
        <v>0</v>
      </c>
      <c r="Y233" s="185">
        <f ca="1">_xll.DBRW(Server&amp;Cube1,$F$17,$F$18,$F$19,$F$16,$C$14,$F$15,$F$14,$F$20,Y$2,$N$1,$C233)</f>
        <v>0</v>
      </c>
      <c r="Z233" s="185">
        <f ca="1">_xll.DBRW(Server&amp;Cube1,$F$17,$F$18,$F$19,$F$16,$C$14,$F$15,$F$14,$F$20,Z$2,$N$1,$C233)</f>
        <v>0</v>
      </c>
      <c r="AA233" s="53"/>
      <c r="AB233" s="53"/>
      <c r="AC233" s="53"/>
      <c r="AD233" s="53"/>
      <c r="AE233" s="53"/>
      <c r="AF233" s="53"/>
      <c r="AG233" s="53"/>
      <c r="AH233" s="53"/>
      <c r="AI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</row>
    <row r="234" spans="1:47" s="9" customFormat="1" ht="24" customHeight="1" x14ac:dyDescent="0.35">
      <c r="A234" s="157">
        <f ca="1">IF($AN$35="YES",1,IF(_xll.ELCOMPN(Server&amp;$C$24,C234)&lt;&gt;0,1,IF(OR(B234=$AT$35,B234="ALL"),1,0)))</f>
        <v>1</v>
      </c>
      <c r="B234" s="139" t="str">
        <f t="shared" si="3"/>
        <v>CO</v>
      </c>
      <c r="C234" s="137" t="s">
        <v>332</v>
      </c>
      <c r="E234" s="219" t="str">
        <f ca="1">_xll.DBRA(Server&amp;$C$24,$C234,$F$21)</f>
        <v>Frais de personnel (CO)</v>
      </c>
      <c r="F234" s="219"/>
      <c r="G234" s="219"/>
      <c r="H234" s="40"/>
      <c r="I234" s="192">
        <f ca="1">_xll.DBRW(Server&amp;Cube1,$F$17,$F$18,$F$19,$F$16,$C$14,$F$15,$F$14,$F$20,I$2,I$1,$C234)</f>
        <v>0</v>
      </c>
      <c r="J234" s="192">
        <f ca="1">_xll.DBRW(Server&amp;Cube1,$F$17,$F$18,$F$19,$F$16,$C$14,$F$15,$F$14,$F$20,J$2,J$1,$C234)</f>
        <v>0</v>
      </c>
      <c r="K234" s="183"/>
      <c r="L234" s="185">
        <f ca="1">_xll.DBRW(Server&amp;Cube1,$F$17,$F$18,$F$19,$F$16,$C$14,$F$15,$F$14,$F$20,L$2,L$1,$C234)</f>
        <v>0</v>
      </c>
      <c r="M234" s="184"/>
      <c r="N234" s="185">
        <f ca="1">_xll.DBRW(Server&amp;Cube1,$F$17,$F$18,$F$19,$F$16,$C$14,$F$15,$F$14,$F$20,N$2,$N$1,$C234)</f>
        <v>0</v>
      </c>
      <c r="O234" s="185">
        <f ca="1">_xll.DBRW(Server&amp;Cube1,$F$17,$F$18,$F$19,$F$16,$C$14,$F$15,$F$14,$F$20,O$2,$N$1,$C234)</f>
        <v>0</v>
      </c>
      <c r="P234" s="185">
        <f ca="1">_xll.DBRW(Server&amp;Cube1,$F$17,$F$18,$F$19,$F$16,$C$14,$F$15,$F$14,$F$20,P$2,$N$1,$C234)</f>
        <v>0</v>
      </c>
      <c r="Q234" s="185">
        <f ca="1">_xll.DBRW(Server&amp;Cube1,$F$17,$F$18,$F$19,$F$16,$C$14,$F$15,$F$14,$F$20,Q$2,$N$1,$C234)</f>
        <v>0</v>
      </c>
      <c r="R234" s="185">
        <f ca="1">_xll.DBRW(Server&amp;Cube1,$F$17,$F$18,$F$19,$F$16,$C$14,$F$15,$F$14,$F$20,R$2,$N$1,$C234)</f>
        <v>0</v>
      </c>
      <c r="S234" s="185">
        <f ca="1">_xll.DBRW(Server&amp;Cube1,$F$17,$F$18,$F$19,$F$16,$C$14,$F$15,$F$14,$F$20,S$2,$N$1,$C234)</f>
        <v>0</v>
      </c>
      <c r="T234" s="185">
        <f ca="1">_xll.DBRW(Server&amp;Cube1,$F$17,$F$18,$F$19,$F$16,$C$14,$F$15,$F$14,$F$20,T$2,$N$1,$C234)</f>
        <v>0</v>
      </c>
      <c r="U234" s="185">
        <f ca="1">_xll.DBRW(Server&amp;Cube1,$F$17,$F$18,$F$19,$F$16,$C$14,$F$15,$F$14,$F$20,U$2,$N$1,$C234)</f>
        <v>0</v>
      </c>
      <c r="V234" s="185">
        <f ca="1">_xll.DBRW(Server&amp;Cube1,$F$17,$F$18,$F$19,$F$16,$C$14,$F$15,$F$14,$F$20,V$2,$N$1,$C234)</f>
        <v>0</v>
      </c>
      <c r="W234" s="185">
        <f ca="1">_xll.DBRW(Server&amp;Cube1,$F$17,$F$18,$F$19,$F$16,$C$14,$F$15,$F$14,$F$20,W$2,$N$1,$C234)</f>
        <v>0</v>
      </c>
      <c r="X234" s="185">
        <f ca="1">_xll.DBRW(Server&amp;Cube1,$F$17,$F$18,$F$19,$F$16,$C$14,$F$15,$F$14,$F$20,X$2,$N$1,$C234)</f>
        <v>0</v>
      </c>
      <c r="Y234" s="185">
        <f ca="1">_xll.DBRW(Server&amp;Cube1,$F$17,$F$18,$F$19,$F$16,$C$14,$F$15,$F$14,$F$20,Y$2,$N$1,$C234)</f>
        <v>0</v>
      </c>
      <c r="Z234" s="185">
        <f ca="1">_xll.DBRW(Server&amp;Cube1,$F$17,$F$18,$F$19,$F$16,$C$14,$F$15,$F$14,$F$20,Z$2,$N$1,$C234)</f>
        <v>0</v>
      </c>
      <c r="AA234" s="53"/>
      <c r="AB234" s="53"/>
      <c r="AC234" s="53"/>
      <c r="AD234" s="53"/>
      <c r="AE234" s="53"/>
      <c r="AF234" s="53"/>
      <c r="AG234" s="53"/>
      <c r="AH234" s="53"/>
      <c r="AI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</row>
    <row r="235" spans="1:47" s="9" customFormat="1" ht="24" customHeight="1" x14ac:dyDescent="0.35">
      <c r="A235" s="157">
        <f ca="1">IF($AN$35="YES",1,IF(_xll.ELCOMPN(Server&amp;$C$24,C235)&lt;&gt;0,1,IF(OR(B235=$AT$35,B235="ALL"),1,0)))</f>
        <v>1</v>
      </c>
      <c r="B235" s="139" t="str">
        <f t="shared" si="3"/>
        <v>GS</v>
      </c>
      <c r="C235" s="137" t="s">
        <v>333</v>
      </c>
      <c r="E235" s="219" t="str">
        <f ca="1">_xll.DBRA(Server&amp;$C$24,$C235,$F$21)</f>
        <v>Frais de personnel (SG)</v>
      </c>
      <c r="F235" s="219"/>
      <c r="G235" s="219"/>
      <c r="H235" s="40"/>
      <c r="I235" s="192">
        <f ca="1">_xll.DBRW(Server&amp;Cube1,$F$17,$F$18,$F$19,$F$16,$C$14,$F$15,$F$14,$F$20,I$2,I$1,$C235)</f>
        <v>0</v>
      </c>
      <c r="J235" s="192">
        <f ca="1">_xll.DBRW(Server&amp;Cube1,$F$17,$F$18,$F$19,$F$16,$C$14,$F$15,$F$14,$F$20,J$2,J$1,$C235)</f>
        <v>0</v>
      </c>
      <c r="K235" s="183"/>
      <c r="L235" s="185">
        <f ca="1">_xll.DBRW(Server&amp;Cube1,$F$17,$F$18,$F$19,$F$16,$C$14,$F$15,$F$14,$F$20,L$2,L$1,$C235)</f>
        <v>0</v>
      </c>
      <c r="M235" s="184"/>
      <c r="N235" s="185">
        <f ca="1">_xll.DBRW(Server&amp;Cube1,$F$17,$F$18,$F$19,$F$16,$C$14,$F$15,$F$14,$F$20,N$2,$N$1,$C235)</f>
        <v>0</v>
      </c>
      <c r="O235" s="185">
        <f ca="1">_xll.DBRW(Server&amp;Cube1,$F$17,$F$18,$F$19,$F$16,$C$14,$F$15,$F$14,$F$20,O$2,$N$1,$C235)</f>
        <v>0</v>
      </c>
      <c r="P235" s="185">
        <f ca="1">_xll.DBRW(Server&amp;Cube1,$F$17,$F$18,$F$19,$F$16,$C$14,$F$15,$F$14,$F$20,P$2,$N$1,$C235)</f>
        <v>0</v>
      </c>
      <c r="Q235" s="185">
        <f ca="1">_xll.DBRW(Server&amp;Cube1,$F$17,$F$18,$F$19,$F$16,$C$14,$F$15,$F$14,$F$20,Q$2,$N$1,$C235)</f>
        <v>0</v>
      </c>
      <c r="R235" s="185">
        <f ca="1">_xll.DBRW(Server&amp;Cube1,$F$17,$F$18,$F$19,$F$16,$C$14,$F$15,$F$14,$F$20,R$2,$N$1,$C235)</f>
        <v>0</v>
      </c>
      <c r="S235" s="185">
        <f ca="1">_xll.DBRW(Server&amp;Cube1,$F$17,$F$18,$F$19,$F$16,$C$14,$F$15,$F$14,$F$20,S$2,$N$1,$C235)</f>
        <v>0</v>
      </c>
      <c r="T235" s="185">
        <f ca="1">_xll.DBRW(Server&amp;Cube1,$F$17,$F$18,$F$19,$F$16,$C$14,$F$15,$F$14,$F$20,T$2,$N$1,$C235)</f>
        <v>0</v>
      </c>
      <c r="U235" s="185">
        <f ca="1">_xll.DBRW(Server&amp;Cube1,$F$17,$F$18,$F$19,$F$16,$C$14,$F$15,$F$14,$F$20,U$2,$N$1,$C235)</f>
        <v>0</v>
      </c>
      <c r="V235" s="185">
        <f ca="1">_xll.DBRW(Server&amp;Cube1,$F$17,$F$18,$F$19,$F$16,$C$14,$F$15,$F$14,$F$20,V$2,$N$1,$C235)</f>
        <v>0</v>
      </c>
      <c r="W235" s="185">
        <f ca="1">_xll.DBRW(Server&amp;Cube1,$F$17,$F$18,$F$19,$F$16,$C$14,$F$15,$F$14,$F$20,W$2,$N$1,$C235)</f>
        <v>0</v>
      </c>
      <c r="X235" s="185">
        <f ca="1">_xll.DBRW(Server&amp;Cube1,$F$17,$F$18,$F$19,$F$16,$C$14,$F$15,$F$14,$F$20,X$2,$N$1,$C235)</f>
        <v>0</v>
      </c>
      <c r="Y235" s="185">
        <f ca="1">_xll.DBRW(Server&amp;Cube1,$F$17,$F$18,$F$19,$F$16,$C$14,$F$15,$F$14,$F$20,Y$2,$N$1,$C235)</f>
        <v>0</v>
      </c>
      <c r="Z235" s="185">
        <f ca="1">_xll.DBRW(Server&amp;Cube1,$F$17,$F$18,$F$19,$F$16,$C$14,$F$15,$F$14,$F$20,Z$2,$N$1,$C235)</f>
        <v>0</v>
      </c>
      <c r="AA235" s="53"/>
      <c r="AB235" s="53"/>
      <c r="AC235" s="53"/>
      <c r="AD235" s="53"/>
      <c r="AE235" s="53"/>
      <c r="AF235" s="53"/>
      <c r="AG235" s="53"/>
      <c r="AH235" s="53"/>
      <c r="AI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</row>
    <row r="236" spans="1:47" s="9" customFormat="1" ht="24" customHeight="1" x14ac:dyDescent="0.35">
      <c r="A236" s="157">
        <f ca="1">IF($AN$35="YES",1,IF(_xll.ELCOMPN(Server&amp;$C$24,C236)&lt;&gt;0,1,IF(OR(B236=$AT$35,B236="ALL"),1,0)))</f>
        <v>1</v>
      </c>
      <c r="B236" s="139" t="str">
        <f t="shared" si="3"/>
        <v>RD</v>
      </c>
      <c r="C236" s="137" t="s">
        <v>334</v>
      </c>
      <c r="E236" s="219" t="str">
        <f ca="1">_xll.DBRA(Server&amp;$C$24,$C236,$F$21)</f>
        <v>Frais de personnel (RD)</v>
      </c>
      <c r="F236" s="219"/>
      <c r="G236" s="219"/>
      <c r="H236" s="40"/>
      <c r="I236" s="192">
        <f ca="1">_xll.DBRW(Server&amp;Cube1,$F$17,$F$18,$F$19,$F$16,$C$14,$F$15,$F$14,$F$20,I$2,I$1,$C236)</f>
        <v>0</v>
      </c>
      <c r="J236" s="192">
        <f ca="1">_xll.DBRW(Server&amp;Cube1,$F$17,$F$18,$F$19,$F$16,$C$14,$F$15,$F$14,$F$20,J$2,J$1,$C236)</f>
        <v>0</v>
      </c>
      <c r="K236" s="183"/>
      <c r="L236" s="185">
        <f ca="1">_xll.DBRW(Server&amp;Cube1,$F$17,$F$18,$F$19,$F$16,$C$14,$F$15,$F$14,$F$20,L$2,L$1,$C236)</f>
        <v>0</v>
      </c>
      <c r="M236" s="184"/>
      <c r="N236" s="185">
        <f ca="1">_xll.DBRW(Server&amp;Cube1,$F$17,$F$18,$F$19,$F$16,$C$14,$F$15,$F$14,$F$20,N$2,$N$1,$C236)</f>
        <v>0</v>
      </c>
      <c r="O236" s="185">
        <f ca="1">_xll.DBRW(Server&amp;Cube1,$F$17,$F$18,$F$19,$F$16,$C$14,$F$15,$F$14,$F$20,O$2,$N$1,$C236)</f>
        <v>0</v>
      </c>
      <c r="P236" s="185">
        <f ca="1">_xll.DBRW(Server&amp;Cube1,$F$17,$F$18,$F$19,$F$16,$C$14,$F$15,$F$14,$F$20,P$2,$N$1,$C236)</f>
        <v>0</v>
      </c>
      <c r="Q236" s="185">
        <f ca="1">_xll.DBRW(Server&amp;Cube1,$F$17,$F$18,$F$19,$F$16,$C$14,$F$15,$F$14,$F$20,Q$2,$N$1,$C236)</f>
        <v>0</v>
      </c>
      <c r="R236" s="185">
        <f ca="1">_xll.DBRW(Server&amp;Cube1,$F$17,$F$18,$F$19,$F$16,$C$14,$F$15,$F$14,$F$20,R$2,$N$1,$C236)</f>
        <v>0</v>
      </c>
      <c r="S236" s="185">
        <f ca="1">_xll.DBRW(Server&amp;Cube1,$F$17,$F$18,$F$19,$F$16,$C$14,$F$15,$F$14,$F$20,S$2,$N$1,$C236)</f>
        <v>0</v>
      </c>
      <c r="T236" s="185">
        <f ca="1">_xll.DBRW(Server&amp;Cube1,$F$17,$F$18,$F$19,$F$16,$C$14,$F$15,$F$14,$F$20,T$2,$N$1,$C236)</f>
        <v>0</v>
      </c>
      <c r="U236" s="185">
        <f ca="1">_xll.DBRW(Server&amp;Cube1,$F$17,$F$18,$F$19,$F$16,$C$14,$F$15,$F$14,$F$20,U$2,$N$1,$C236)</f>
        <v>0</v>
      </c>
      <c r="V236" s="185">
        <f ca="1">_xll.DBRW(Server&amp;Cube1,$F$17,$F$18,$F$19,$F$16,$C$14,$F$15,$F$14,$F$20,V$2,$N$1,$C236)</f>
        <v>0</v>
      </c>
      <c r="W236" s="185">
        <f ca="1">_xll.DBRW(Server&amp;Cube1,$F$17,$F$18,$F$19,$F$16,$C$14,$F$15,$F$14,$F$20,W$2,$N$1,$C236)</f>
        <v>0</v>
      </c>
      <c r="X236" s="185">
        <f ca="1">_xll.DBRW(Server&amp;Cube1,$F$17,$F$18,$F$19,$F$16,$C$14,$F$15,$F$14,$F$20,X$2,$N$1,$C236)</f>
        <v>0</v>
      </c>
      <c r="Y236" s="185">
        <f ca="1">_xll.DBRW(Server&amp;Cube1,$F$17,$F$18,$F$19,$F$16,$C$14,$F$15,$F$14,$F$20,Y$2,$N$1,$C236)</f>
        <v>0</v>
      </c>
      <c r="Z236" s="185">
        <f ca="1">_xll.DBRW(Server&amp;Cube1,$F$17,$F$18,$F$19,$F$16,$C$14,$F$15,$F$14,$F$20,Z$2,$N$1,$C236)</f>
        <v>0</v>
      </c>
      <c r="AA236" s="53"/>
      <c r="AB236" s="53"/>
      <c r="AC236" s="53"/>
      <c r="AD236" s="53"/>
      <c r="AE236" s="53"/>
      <c r="AF236" s="53"/>
      <c r="AG236" s="53"/>
      <c r="AH236" s="53"/>
      <c r="AI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</row>
    <row r="237" spans="1:47" s="9" customFormat="1" ht="24" customHeight="1" x14ac:dyDescent="0.35">
      <c r="A237" s="157">
        <f ca="1">IF($AN$35="YES",1,IF(_xll.ELCOMPN(Server&amp;$C$24,C237)&lt;&gt;0,1,IF(OR(B237=$AT$35,B237="ALL"),1,0)))</f>
        <v>1</v>
      </c>
      <c r="B237" s="139" t="str">
        <f t="shared" si="3"/>
        <v>in</v>
      </c>
      <c r="C237" s="111" t="s">
        <v>109</v>
      </c>
      <c r="E237" s="223" t="str">
        <f ca="1">_xll.DBRA(Server&amp;$C$24,$C237,$F$21)</f>
        <v>Personnel Intérimaire</v>
      </c>
      <c r="F237" s="223"/>
      <c r="G237" s="223"/>
      <c r="H237" s="40"/>
      <c r="I237" s="192">
        <f ca="1">_xll.DBRW(Server&amp;Cube1,$F$17,$F$18,$F$19,$F$16,$C$14,$F$15,$F$14,$F$20,I$2,I$1,$C237)</f>
        <v>0</v>
      </c>
      <c r="J237" s="192">
        <f ca="1">_xll.DBRW(Server&amp;Cube1,$F$17,$F$18,$F$19,$F$16,$C$14,$F$15,$F$14,$F$20,J$2,J$1,$C237)</f>
        <v>0</v>
      </c>
      <c r="K237" s="183"/>
      <c r="L237" s="184">
        <f ca="1">_xll.DBRW(Server&amp;Cube1,$F$17,$F$18,$F$19,$F$16,$C$14,$F$15,$F$14,$F$20,L$2,L$1,$C237)</f>
        <v>0</v>
      </c>
      <c r="M237" s="184"/>
      <c r="N237" s="184">
        <f ca="1">_xll.DBRW(Server&amp;Cube1,$F$17,$F$18,$F$19,$F$16,$C$14,$F$15,$F$14,$F$20,N$2,$N$1,$C237)</f>
        <v>0</v>
      </c>
      <c r="O237" s="184">
        <f ca="1">_xll.DBRW(Server&amp;Cube1,$F$17,$F$18,$F$19,$F$16,$C$14,$F$15,$F$14,$F$20,O$2,$N$1,$C237)</f>
        <v>0</v>
      </c>
      <c r="P237" s="184">
        <f ca="1">_xll.DBRW(Server&amp;Cube1,$F$17,$F$18,$F$19,$F$16,$C$14,$F$15,$F$14,$F$20,P$2,$N$1,$C237)</f>
        <v>0</v>
      </c>
      <c r="Q237" s="184">
        <f ca="1">_xll.DBRW(Server&amp;Cube1,$F$17,$F$18,$F$19,$F$16,$C$14,$F$15,$F$14,$F$20,Q$2,$N$1,$C237)</f>
        <v>0</v>
      </c>
      <c r="R237" s="184">
        <f ca="1">_xll.DBRW(Server&amp;Cube1,$F$17,$F$18,$F$19,$F$16,$C$14,$F$15,$F$14,$F$20,R$2,$N$1,$C237)</f>
        <v>0</v>
      </c>
      <c r="S237" s="184">
        <f ca="1">_xll.DBRW(Server&amp;Cube1,$F$17,$F$18,$F$19,$F$16,$C$14,$F$15,$F$14,$F$20,S$2,$N$1,$C237)</f>
        <v>0</v>
      </c>
      <c r="T237" s="184">
        <f ca="1">_xll.DBRW(Server&amp;Cube1,$F$17,$F$18,$F$19,$F$16,$C$14,$F$15,$F$14,$F$20,T$2,$N$1,$C237)</f>
        <v>0</v>
      </c>
      <c r="U237" s="184">
        <f ca="1">_xll.DBRW(Server&amp;Cube1,$F$17,$F$18,$F$19,$F$16,$C$14,$F$15,$F$14,$F$20,U$2,$N$1,$C237)</f>
        <v>0</v>
      </c>
      <c r="V237" s="184">
        <f ca="1">_xll.DBRW(Server&amp;Cube1,$F$17,$F$18,$F$19,$F$16,$C$14,$F$15,$F$14,$F$20,V$2,$N$1,$C237)</f>
        <v>0</v>
      </c>
      <c r="W237" s="184">
        <f ca="1">_xll.DBRW(Server&amp;Cube1,$F$17,$F$18,$F$19,$F$16,$C$14,$F$15,$F$14,$F$20,W$2,$N$1,$C237)</f>
        <v>0</v>
      </c>
      <c r="X237" s="184">
        <f ca="1">_xll.DBRW(Server&amp;Cube1,$F$17,$F$18,$F$19,$F$16,$C$14,$F$15,$F$14,$F$20,X$2,$N$1,$C237)</f>
        <v>0</v>
      </c>
      <c r="Y237" s="184">
        <f ca="1">_xll.DBRW(Server&amp;Cube1,$F$17,$F$18,$F$19,$F$16,$C$14,$F$15,$F$14,$F$20,Y$2,$N$1,$C237)</f>
        <v>0</v>
      </c>
      <c r="Z237" s="184">
        <f ca="1">_xll.DBRW(Server&amp;Cube1,$F$17,$F$18,$F$19,$F$16,$C$14,$F$15,$F$14,$F$20,Z$2,$N$1,$C237)</f>
        <v>0</v>
      </c>
      <c r="AA237" s="53"/>
      <c r="AB237" s="53"/>
      <c r="AC237" s="53"/>
      <c r="AD237" s="53"/>
      <c r="AE237" s="53"/>
      <c r="AF237" s="53"/>
      <c r="AG237" s="53"/>
      <c r="AH237" s="53"/>
      <c r="AI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</row>
    <row r="238" spans="1:47" s="9" customFormat="1" ht="24" customHeight="1" x14ac:dyDescent="0.35">
      <c r="A238" s="157">
        <f ca="1">IF($AN$35="YES",1,IF(_xll.ELCOMPN(Server&amp;$C$24,C238)&lt;&gt;0,1,IF(OR(B238=$AT$35,B238="ALL"),1,0)))</f>
        <v>1</v>
      </c>
      <c r="B238" s="139" t="str">
        <f t="shared" si="3"/>
        <v>DS</v>
      </c>
      <c r="C238" s="137" t="s">
        <v>335</v>
      </c>
      <c r="E238" s="221" t="str">
        <f ca="1">_xll.DBRA(Server&amp;$C$24,$C238,$F$21)</f>
        <v>Personnel intérimaire (SO)</v>
      </c>
      <c r="F238" s="221"/>
      <c r="G238" s="221"/>
      <c r="H238" s="40"/>
      <c r="I238" s="192">
        <f ca="1">_xll.DBRW(Server&amp;Cube1,$F$17,$F$18,$F$19,$F$16,$C$14,$F$15,$F$14,$F$20,I$2,I$1,$C238)</f>
        <v>0</v>
      </c>
      <c r="J238" s="192">
        <f ca="1">_xll.DBRW(Server&amp;Cube1,$F$17,$F$18,$F$19,$F$16,$C$14,$F$15,$F$14,$F$20,J$2,J$1,$C238)</f>
        <v>0</v>
      </c>
      <c r="K238" s="183"/>
      <c r="L238" s="185">
        <f ca="1">_xll.DBRW(Server&amp;Cube1,$F$17,$F$18,$F$19,$F$16,$C$14,$F$15,$F$14,$F$20,L$2,L$1,$C238)</f>
        <v>0</v>
      </c>
      <c r="M238" s="184"/>
      <c r="N238" s="185">
        <f ca="1">_xll.DBRW(Server&amp;Cube1,$F$17,$F$18,$F$19,$F$16,$C$14,$F$15,$F$14,$F$20,N$2,$N$1,$C238)</f>
        <v>0</v>
      </c>
      <c r="O238" s="185">
        <f ca="1">_xll.DBRW(Server&amp;Cube1,$F$17,$F$18,$F$19,$F$16,$C$14,$F$15,$F$14,$F$20,O$2,$N$1,$C238)</f>
        <v>0</v>
      </c>
      <c r="P238" s="185">
        <f ca="1">_xll.DBRW(Server&amp;Cube1,$F$17,$F$18,$F$19,$F$16,$C$14,$F$15,$F$14,$F$20,P$2,$N$1,$C238)</f>
        <v>0</v>
      </c>
      <c r="Q238" s="185">
        <f ca="1">_xll.DBRW(Server&amp;Cube1,$F$17,$F$18,$F$19,$F$16,$C$14,$F$15,$F$14,$F$20,Q$2,$N$1,$C238)</f>
        <v>0</v>
      </c>
      <c r="R238" s="185">
        <f ca="1">_xll.DBRW(Server&amp;Cube1,$F$17,$F$18,$F$19,$F$16,$C$14,$F$15,$F$14,$F$20,R$2,$N$1,$C238)</f>
        <v>0</v>
      </c>
      <c r="S238" s="185">
        <f ca="1">_xll.DBRW(Server&amp;Cube1,$F$17,$F$18,$F$19,$F$16,$C$14,$F$15,$F$14,$F$20,S$2,$N$1,$C238)</f>
        <v>0</v>
      </c>
      <c r="T238" s="185">
        <f ca="1">_xll.DBRW(Server&amp;Cube1,$F$17,$F$18,$F$19,$F$16,$C$14,$F$15,$F$14,$F$20,T$2,$N$1,$C238)</f>
        <v>0</v>
      </c>
      <c r="U238" s="185">
        <f ca="1">_xll.DBRW(Server&amp;Cube1,$F$17,$F$18,$F$19,$F$16,$C$14,$F$15,$F$14,$F$20,U$2,$N$1,$C238)</f>
        <v>0</v>
      </c>
      <c r="V238" s="185">
        <f ca="1">_xll.DBRW(Server&amp;Cube1,$F$17,$F$18,$F$19,$F$16,$C$14,$F$15,$F$14,$F$20,V$2,$N$1,$C238)</f>
        <v>0</v>
      </c>
      <c r="W238" s="185">
        <f ca="1">_xll.DBRW(Server&amp;Cube1,$F$17,$F$18,$F$19,$F$16,$C$14,$F$15,$F$14,$F$20,W$2,$N$1,$C238)</f>
        <v>0</v>
      </c>
      <c r="X238" s="185">
        <f ca="1">_xll.DBRW(Server&amp;Cube1,$F$17,$F$18,$F$19,$F$16,$C$14,$F$15,$F$14,$F$20,X$2,$N$1,$C238)</f>
        <v>0</v>
      </c>
      <c r="Y238" s="185">
        <f ca="1">_xll.DBRW(Server&amp;Cube1,$F$17,$F$18,$F$19,$F$16,$C$14,$F$15,$F$14,$F$20,Y$2,$N$1,$C238)</f>
        <v>0</v>
      </c>
      <c r="Z238" s="185">
        <f ca="1">_xll.DBRW(Server&amp;Cube1,$F$17,$F$18,$F$19,$F$16,$C$14,$F$15,$F$14,$F$20,Z$2,$N$1,$C238)</f>
        <v>0</v>
      </c>
      <c r="AA238" s="53"/>
      <c r="AB238" s="53"/>
      <c r="AC238" s="53"/>
      <c r="AD238" s="53"/>
      <c r="AE238" s="53"/>
      <c r="AF238" s="53"/>
      <c r="AG238" s="53"/>
      <c r="AH238" s="53"/>
      <c r="AI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</row>
    <row r="239" spans="1:47" s="9" customFormat="1" ht="24" customHeight="1" x14ac:dyDescent="0.35">
      <c r="A239" s="157">
        <f ca="1">IF($AN$35="YES",1,IF(_xll.ELCOMPN(Server&amp;$C$24,C239)&lt;&gt;0,1,IF(OR(B239=$AT$35,B239="ALL"),1,0)))</f>
        <v>1</v>
      </c>
      <c r="B239" s="139" t="str">
        <f t="shared" si="3"/>
        <v>BD</v>
      </c>
      <c r="C239" s="137" t="s">
        <v>336</v>
      </c>
      <c r="E239" s="221" t="str">
        <f ca="1">_xll.DBRA(Server&amp;$C$24,$C239,$F$21)</f>
        <v>Personnel intérimaire (DC)</v>
      </c>
      <c r="F239" s="221"/>
      <c r="G239" s="221"/>
      <c r="H239" s="40"/>
      <c r="I239" s="192">
        <f ca="1">_xll.DBRW(Server&amp;Cube1,$F$17,$F$18,$F$19,$F$16,$C$14,$F$15,$F$14,$F$20,I$2,I$1,$C239)</f>
        <v>0</v>
      </c>
      <c r="J239" s="192">
        <f ca="1">_xll.DBRW(Server&amp;Cube1,$F$17,$F$18,$F$19,$F$16,$C$14,$F$15,$F$14,$F$20,J$2,J$1,$C239)</f>
        <v>0</v>
      </c>
      <c r="K239" s="183"/>
      <c r="L239" s="185">
        <f ca="1">_xll.DBRW(Server&amp;Cube1,$F$17,$F$18,$F$19,$F$16,$C$14,$F$15,$F$14,$F$20,L$2,L$1,$C239)</f>
        <v>0</v>
      </c>
      <c r="M239" s="184"/>
      <c r="N239" s="185">
        <f ca="1">_xll.DBRW(Server&amp;Cube1,$F$17,$F$18,$F$19,$F$16,$C$14,$F$15,$F$14,$F$20,N$2,$N$1,$C239)</f>
        <v>0</v>
      </c>
      <c r="O239" s="185">
        <f ca="1">_xll.DBRW(Server&amp;Cube1,$F$17,$F$18,$F$19,$F$16,$C$14,$F$15,$F$14,$F$20,O$2,$N$1,$C239)</f>
        <v>0</v>
      </c>
      <c r="P239" s="185">
        <f ca="1">_xll.DBRW(Server&amp;Cube1,$F$17,$F$18,$F$19,$F$16,$C$14,$F$15,$F$14,$F$20,P$2,$N$1,$C239)</f>
        <v>0</v>
      </c>
      <c r="Q239" s="185">
        <f ca="1">_xll.DBRW(Server&amp;Cube1,$F$17,$F$18,$F$19,$F$16,$C$14,$F$15,$F$14,$F$20,Q$2,$N$1,$C239)</f>
        <v>0</v>
      </c>
      <c r="R239" s="185">
        <f ca="1">_xll.DBRW(Server&amp;Cube1,$F$17,$F$18,$F$19,$F$16,$C$14,$F$15,$F$14,$F$20,R$2,$N$1,$C239)</f>
        <v>0</v>
      </c>
      <c r="S239" s="185">
        <f ca="1">_xll.DBRW(Server&amp;Cube1,$F$17,$F$18,$F$19,$F$16,$C$14,$F$15,$F$14,$F$20,S$2,$N$1,$C239)</f>
        <v>0</v>
      </c>
      <c r="T239" s="185">
        <f ca="1">_xll.DBRW(Server&amp;Cube1,$F$17,$F$18,$F$19,$F$16,$C$14,$F$15,$F$14,$F$20,T$2,$N$1,$C239)</f>
        <v>0</v>
      </c>
      <c r="U239" s="185">
        <f ca="1">_xll.DBRW(Server&amp;Cube1,$F$17,$F$18,$F$19,$F$16,$C$14,$F$15,$F$14,$F$20,U$2,$N$1,$C239)</f>
        <v>0</v>
      </c>
      <c r="V239" s="185">
        <f ca="1">_xll.DBRW(Server&amp;Cube1,$F$17,$F$18,$F$19,$F$16,$C$14,$F$15,$F$14,$F$20,V$2,$N$1,$C239)</f>
        <v>0</v>
      </c>
      <c r="W239" s="185">
        <f ca="1">_xll.DBRW(Server&amp;Cube1,$F$17,$F$18,$F$19,$F$16,$C$14,$F$15,$F$14,$F$20,W$2,$N$1,$C239)</f>
        <v>0</v>
      </c>
      <c r="X239" s="185">
        <f ca="1">_xll.DBRW(Server&amp;Cube1,$F$17,$F$18,$F$19,$F$16,$C$14,$F$15,$F$14,$F$20,X$2,$N$1,$C239)</f>
        <v>0</v>
      </c>
      <c r="Y239" s="185">
        <f ca="1">_xll.DBRW(Server&amp;Cube1,$F$17,$F$18,$F$19,$F$16,$C$14,$F$15,$F$14,$F$20,Y$2,$N$1,$C239)</f>
        <v>0</v>
      </c>
      <c r="Z239" s="185">
        <f ca="1">_xll.DBRW(Server&amp;Cube1,$F$17,$F$18,$F$19,$F$16,$C$14,$F$15,$F$14,$F$20,Z$2,$N$1,$C239)</f>
        <v>0</v>
      </c>
      <c r="AA239" s="53"/>
      <c r="AB239" s="53"/>
      <c r="AC239" s="53"/>
      <c r="AD239" s="53"/>
      <c r="AE239" s="53"/>
      <c r="AF239" s="53"/>
      <c r="AG239" s="53"/>
      <c r="AH239" s="53"/>
      <c r="AI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</row>
    <row r="240" spans="1:47" s="9" customFormat="1" ht="24" customHeight="1" x14ac:dyDescent="0.35">
      <c r="A240" s="157">
        <f ca="1">IF($AN$35="YES",1,IF(_xll.ELCOMPN(Server&amp;$C$24,C240)&lt;&gt;0,1,IF(OR(B240=$AT$35,B240="ALL"),1,0)))</f>
        <v>1</v>
      </c>
      <c r="B240" s="139" t="str">
        <f t="shared" si="3"/>
        <v>FI</v>
      </c>
      <c r="C240" s="137" t="s">
        <v>337</v>
      </c>
      <c r="E240" s="221" t="str">
        <f ca="1">_xll.DBRA(Server&amp;$C$24,$C240,$F$21)</f>
        <v>Personnel intérimaire (DF)</v>
      </c>
      <c r="F240" s="221"/>
      <c r="G240" s="221"/>
      <c r="H240" s="40"/>
      <c r="I240" s="192">
        <f ca="1">_xll.DBRW(Server&amp;Cube1,$F$17,$F$18,$F$19,$F$16,$C$14,$F$15,$F$14,$F$20,I$2,I$1,$C240)</f>
        <v>0</v>
      </c>
      <c r="J240" s="192">
        <f ca="1">_xll.DBRW(Server&amp;Cube1,$F$17,$F$18,$F$19,$F$16,$C$14,$F$15,$F$14,$F$20,J$2,J$1,$C240)</f>
        <v>0</v>
      </c>
      <c r="K240" s="183"/>
      <c r="L240" s="185">
        <f ca="1">_xll.DBRW(Server&amp;Cube1,$F$17,$F$18,$F$19,$F$16,$C$14,$F$15,$F$14,$F$20,L$2,L$1,$C240)</f>
        <v>0</v>
      </c>
      <c r="M240" s="184"/>
      <c r="N240" s="185">
        <f ca="1">_xll.DBRW(Server&amp;Cube1,$F$17,$F$18,$F$19,$F$16,$C$14,$F$15,$F$14,$F$20,N$2,$N$1,$C240)</f>
        <v>0</v>
      </c>
      <c r="O240" s="185">
        <f ca="1">_xll.DBRW(Server&amp;Cube1,$F$17,$F$18,$F$19,$F$16,$C$14,$F$15,$F$14,$F$20,O$2,$N$1,$C240)</f>
        <v>0</v>
      </c>
      <c r="P240" s="185">
        <f ca="1">_xll.DBRW(Server&amp;Cube1,$F$17,$F$18,$F$19,$F$16,$C$14,$F$15,$F$14,$F$20,P$2,$N$1,$C240)</f>
        <v>0</v>
      </c>
      <c r="Q240" s="185">
        <f ca="1">_xll.DBRW(Server&amp;Cube1,$F$17,$F$18,$F$19,$F$16,$C$14,$F$15,$F$14,$F$20,Q$2,$N$1,$C240)</f>
        <v>0</v>
      </c>
      <c r="R240" s="185">
        <f ca="1">_xll.DBRW(Server&amp;Cube1,$F$17,$F$18,$F$19,$F$16,$C$14,$F$15,$F$14,$F$20,R$2,$N$1,$C240)</f>
        <v>0</v>
      </c>
      <c r="S240" s="185">
        <f ca="1">_xll.DBRW(Server&amp;Cube1,$F$17,$F$18,$F$19,$F$16,$C$14,$F$15,$F$14,$F$20,S$2,$N$1,$C240)</f>
        <v>0</v>
      </c>
      <c r="T240" s="185">
        <f ca="1">_xll.DBRW(Server&amp;Cube1,$F$17,$F$18,$F$19,$F$16,$C$14,$F$15,$F$14,$F$20,T$2,$N$1,$C240)</f>
        <v>0</v>
      </c>
      <c r="U240" s="185">
        <f ca="1">_xll.DBRW(Server&amp;Cube1,$F$17,$F$18,$F$19,$F$16,$C$14,$F$15,$F$14,$F$20,U$2,$N$1,$C240)</f>
        <v>0</v>
      </c>
      <c r="V240" s="185">
        <f ca="1">_xll.DBRW(Server&amp;Cube1,$F$17,$F$18,$F$19,$F$16,$C$14,$F$15,$F$14,$F$20,V$2,$N$1,$C240)</f>
        <v>0</v>
      </c>
      <c r="W240" s="185">
        <f ca="1">_xll.DBRW(Server&amp;Cube1,$F$17,$F$18,$F$19,$F$16,$C$14,$F$15,$F$14,$F$20,W$2,$N$1,$C240)</f>
        <v>0</v>
      </c>
      <c r="X240" s="185">
        <f ca="1">_xll.DBRW(Server&amp;Cube1,$F$17,$F$18,$F$19,$F$16,$C$14,$F$15,$F$14,$F$20,X$2,$N$1,$C240)</f>
        <v>0</v>
      </c>
      <c r="Y240" s="185">
        <f ca="1">_xll.DBRW(Server&amp;Cube1,$F$17,$F$18,$F$19,$F$16,$C$14,$F$15,$F$14,$F$20,Y$2,$N$1,$C240)</f>
        <v>0</v>
      </c>
      <c r="Z240" s="185">
        <f ca="1">_xll.DBRW(Server&amp;Cube1,$F$17,$F$18,$F$19,$F$16,$C$14,$F$15,$F$14,$F$20,Z$2,$N$1,$C240)</f>
        <v>0</v>
      </c>
      <c r="AA240" s="53"/>
      <c r="AB240" s="53"/>
      <c r="AC240" s="53"/>
      <c r="AD240" s="53"/>
      <c r="AE240" s="53"/>
      <c r="AF240" s="53"/>
      <c r="AG240" s="53"/>
      <c r="AH240" s="53"/>
      <c r="AI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</row>
    <row r="241" spans="1:47" s="9" customFormat="1" ht="24" customHeight="1" x14ac:dyDescent="0.35">
      <c r="A241" s="157">
        <f ca="1">IF($AN$35="YES",1,IF(_xll.ELCOMPN(Server&amp;$C$24,C241)&lt;&gt;0,1,IF(OR(B241=$AT$35,B241="ALL"),1,0)))</f>
        <v>1</v>
      </c>
      <c r="B241" s="139" t="str">
        <f t="shared" si="3"/>
        <v>IT</v>
      </c>
      <c r="C241" s="137" t="s">
        <v>338</v>
      </c>
      <c r="E241" s="221" t="str">
        <f ca="1">_xll.DBRA(Server&amp;$C$24,$C241,$F$21)</f>
        <v>Personnel intérimaire (IT)</v>
      </c>
      <c r="F241" s="221"/>
      <c r="G241" s="221"/>
      <c r="H241" s="40"/>
      <c r="I241" s="192">
        <f ca="1">_xll.DBRW(Server&amp;Cube1,$F$17,$F$18,$F$19,$F$16,$C$14,$F$15,$F$14,$F$20,I$2,I$1,$C241)</f>
        <v>0</v>
      </c>
      <c r="J241" s="192">
        <f ca="1">_xll.DBRW(Server&amp;Cube1,$F$17,$F$18,$F$19,$F$16,$C$14,$F$15,$F$14,$F$20,J$2,J$1,$C241)</f>
        <v>0</v>
      </c>
      <c r="K241" s="183"/>
      <c r="L241" s="185">
        <f ca="1">_xll.DBRW(Server&amp;Cube1,$F$17,$F$18,$F$19,$F$16,$C$14,$F$15,$F$14,$F$20,L$2,L$1,$C241)</f>
        <v>0</v>
      </c>
      <c r="M241" s="184"/>
      <c r="N241" s="185">
        <f ca="1">_xll.DBRW(Server&amp;Cube1,$F$17,$F$18,$F$19,$F$16,$C$14,$F$15,$F$14,$F$20,N$2,$N$1,$C241)</f>
        <v>0</v>
      </c>
      <c r="O241" s="185">
        <f ca="1">_xll.DBRW(Server&amp;Cube1,$F$17,$F$18,$F$19,$F$16,$C$14,$F$15,$F$14,$F$20,O$2,$N$1,$C241)</f>
        <v>0</v>
      </c>
      <c r="P241" s="185">
        <f ca="1">_xll.DBRW(Server&amp;Cube1,$F$17,$F$18,$F$19,$F$16,$C$14,$F$15,$F$14,$F$20,P$2,$N$1,$C241)</f>
        <v>0</v>
      </c>
      <c r="Q241" s="185">
        <f ca="1">_xll.DBRW(Server&amp;Cube1,$F$17,$F$18,$F$19,$F$16,$C$14,$F$15,$F$14,$F$20,Q$2,$N$1,$C241)</f>
        <v>0</v>
      </c>
      <c r="R241" s="185">
        <f ca="1">_xll.DBRW(Server&amp;Cube1,$F$17,$F$18,$F$19,$F$16,$C$14,$F$15,$F$14,$F$20,R$2,$N$1,$C241)</f>
        <v>0</v>
      </c>
      <c r="S241" s="185">
        <f ca="1">_xll.DBRW(Server&amp;Cube1,$F$17,$F$18,$F$19,$F$16,$C$14,$F$15,$F$14,$F$20,S$2,$N$1,$C241)</f>
        <v>0</v>
      </c>
      <c r="T241" s="185">
        <f ca="1">_xll.DBRW(Server&amp;Cube1,$F$17,$F$18,$F$19,$F$16,$C$14,$F$15,$F$14,$F$20,T$2,$N$1,$C241)</f>
        <v>0</v>
      </c>
      <c r="U241" s="185">
        <f ca="1">_xll.DBRW(Server&amp;Cube1,$F$17,$F$18,$F$19,$F$16,$C$14,$F$15,$F$14,$F$20,U$2,$N$1,$C241)</f>
        <v>0</v>
      </c>
      <c r="V241" s="185">
        <f ca="1">_xll.DBRW(Server&amp;Cube1,$F$17,$F$18,$F$19,$F$16,$C$14,$F$15,$F$14,$F$20,V$2,$N$1,$C241)</f>
        <v>0</v>
      </c>
      <c r="W241" s="185">
        <f ca="1">_xll.DBRW(Server&amp;Cube1,$F$17,$F$18,$F$19,$F$16,$C$14,$F$15,$F$14,$F$20,W$2,$N$1,$C241)</f>
        <v>0</v>
      </c>
      <c r="X241" s="185">
        <f ca="1">_xll.DBRW(Server&amp;Cube1,$F$17,$F$18,$F$19,$F$16,$C$14,$F$15,$F$14,$F$20,X$2,$N$1,$C241)</f>
        <v>0</v>
      </c>
      <c r="Y241" s="185">
        <f ca="1">_xll.DBRW(Server&amp;Cube1,$F$17,$F$18,$F$19,$F$16,$C$14,$F$15,$F$14,$F$20,Y$2,$N$1,$C241)</f>
        <v>0</v>
      </c>
      <c r="Z241" s="185">
        <f ca="1">_xll.DBRW(Server&amp;Cube1,$F$17,$F$18,$F$19,$F$16,$C$14,$F$15,$F$14,$F$20,Z$2,$N$1,$C241)</f>
        <v>0</v>
      </c>
      <c r="AA241" s="53"/>
      <c r="AB241" s="53"/>
      <c r="AC241" s="53"/>
      <c r="AD241" s="53"/>
      <c r="AE241" s="53"/>
      <c r="AF241" s="53"/>
      <c r="AG241" s="53"/>
      <c r="AH241" s="53"/>
      <c r="AI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</row>
    <row r="242" spans="1:47" s="9" customFormat="1" ht="24" customHeight="1" x14ac:dyDescent="0.35">
      <c r="A242" s="157">
        <f ca="1">IF($AN$35="YES",1,IF(_xll.ELCOMPN(Server&amp;$C$24,C242)&lt;&gt;0,1,IF(OR(B242=$AT$35,B242="ALL"),1,0)))</f>
        <v>1</v>
      </c>
      <c r="B242" s="139" t="str">
        <f t="shared" si="3"/>
        <v>HR</v>
      </c>
      <c r="C242" s="137" t="s">
        <v>339</v>
      </c>
      <c r="E242" s="221" t="str">
        <f ca="1">_xll.DBRA(Server&amp;$C$24,$C242,$F$21)</f>
        <v>Personnel intérimaire (RH)</v>
      </c>
      <c r="F242" s="221"/>
      <c r="G242" s="221"/>
      <c r="H242" s="40"/>
      <c r="I242" s="192">
        <f ca="1">_xll.DBRW(Server&amp;Cube1,$F$17,$F$18,$F$19,$F$16,$C$14,$F$15,$F$14,$F$20,I$2,I$1,$C242)</f>
        <v>0</v>
      </c>
      <c r="J242" s="192">
        <f ca="1">_xll.DBRW(Server&amp;Cube1,$F$17,$F$18,$F$19,$F$16,$C$14,$F$15,$F$14,$F$20,J$2,J$1,$C242)</f>
        <v>0</v>
      </c>
      <c r="K242" s="183"/>
      <c r="L242" s="185">
        <f ca="1">_xll.DBRW(Server&amp;Cube1,$F$17,$F$18,$F$19,$F$16,$C$14,$F$15,$F$14,$F$20,L$2,L$1,$C242)</f>
        <v>0</v>
      </c>
      <c r="M242" s="184"/>
      <c r="N242" s="185">
        <f ca="1">_xll.DBRW(Server&amp;Cube1,$F$17,$F$18,$F$19,$F$16,$C$14,$F$15,$F$14,$F$20,N$2,$N$1,$C242)</f>
        <v>0</v>
      </c>
      <c r="O242" s="185">
        <f ca="1">_xll.DBRW(Server&amp;Cube1,$F$17,$F$18,$F$19,$F$16,$C$14,$F$15,$F$14,$F$20,O$2,$N$1,$C242)</f>
        <v>0</v>
      </c>
      <c r="P242" s="185">
        <f ca="1">_xll.DBRW(Server&amp;Cube1,$F$17,$F$18,$F$19,$F$16,$C$14,$F$15,$F$14,$F$20,P$2,$N$1,$C242)</f>
        <v>0</v>
      </c>
      <c r="Q242" s="185">
        <f ca="1">_xll.DBRW(Server&amp;Cube1,$F$17,$F$18,$F$19,$F$16,$C$14,$F$15,$F$14,$F$20,Q$2,$N$1,$C242)</f>
        <v>0</v>
      </c>
      <c r="R242" s="185">
        <f ca="1">_xll.DBRW(Server&amp;Cube1,$F$17,$F$18,$F$19,$F$16,$C$14,$F$15,$F$14,$F$20,R$2,$N$1,$C242)</f>
        <v>0</v>
      </c>
      <c r="S242" s="185">
        <f ca="1">_xll.DBRW(Server&amp;Cube1,$F$17,$F$18,$F$19,$F$16,$C$14,$F$15,$F$14,$F$20,S$2,$N$1,$C242)</f>
        <v>0</v>
      </c>
      <c r="T242" s="185">
        <f ca="1">_xll.DBRW(Server&amp;Cube1,$F$17,$F$18,$F$19,$F$16,$C$14,$F$15,$F$14,$F$20,T$2,$N$1,$C242)</f>
        <v>0</v>
      </c>
      <c r="U242" s="185">
        <f ca="1">_xll.DBRW(Server&amp;Cube1,$F$17,$F$18,$F$19,$F$16,$C$14,$F$15,$F$14,$F$20,U$2,$N$1,$C242)</f>
        <v>0</v>
      </c>
      <c r="V242" s="185">
        <f ca="1">_xll.DBRW(Server&amp;Cube1,$F$17,$F$18,$F$19,$F$16,$C$14,$F$15,$F$14,$F$20,V$2,$N$1,$C242)</f>
        <v>0</v>
      </c>
      <c r="W242" s="185">
        <f ca="1">_xll.DBRW(Server&amp;Cube1,$F$17,$F$18,$F$19,$F$16,$C$14,$F$15,$F$14,$F$20,W$2,$N$1,$C242)</f>
        <v>0</v>
      </c>
      <c r="X242" s="185">
        <f ca="1">_xll.DBRW(Server&amp;Cube1,$F$17,$F$18,$F$19,$F$16,$C$14,$F$15,$F$14,$F$20,X$2,$N$1,$C242)</f>
        <v>0</v>
      </c>
      <c r="Y242" s="185">
        <f ca="1">_xll.DBRW(Server&amp;Cube1,$F$17,$F$18,$F$19,$F$16,$C$14,$F$15,$F$14,$F$20,Y$2,$N$1,$C242)</f>
        <v>0</v>
      </c>
      <c r="Z242" s="185">
        <f ca="1">_xll.DBRW(Server&amp;Cube1,$F$17,$F$18,$F$19,$F$16,$C$14,$F$15,$F$14,$F$20,Z$2,$N$1,$C242)</f>
        <v>0</v>
      </c>
      <c r="AA242" s="53"/>
      <c r="AB242" s="53"/>
      <c r="AC242" s="53"/>
      <c r="AD242" s="53"/>
      <c r="AE242" s="53"/>
      <c r="AF242" s="53"/>
      <c r="AG242" s="53"/>
      <c r="AH242" s="53"/>
      <c r="AI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</row>
    <row r="243" spans="1:47" s="9" customFormat="1" ht="24" customHeight="1" x14ac:dyDescent="0.35">
      <c r="A243" s="157">
        <f ca="1">IF($AN$35="YES",1,IF(_xll.ELCOMPN(Server&amp;$C$24,C243)&lt;&gt;0,1,IF(OR(B243=$AT$35,B243="ALL"),1,0)))</f>
        <v>1</v>
      </c>
      <c r="B243" s="139" t="str">
        <f t="shared" si="3"/>
        <v>GM</v>
      </c>
      <c r="C243" s="137" t="s">
        <v>340</v>
      </c>
      <c r="E243" s="221" t="str">
        <f ca="1">_xll.DBRA(Server&amp;$C$24,$C243,$F$21)</f>
        <v>Personnel intérimaire (DG)</v>
      </c>
      <c r="F243" s="221"/>
      <c r="G243" s="221"/>
      <c r="H243" s="40"/>
      <c r="I243" s="192">
        <f ca="1">_xll.DBRW(Server&amp;Cube1,$F$17,$F$18,$F$19,$F$16,$C$14,$F$15,$F$14,$F$20,I$2,I$1,$C243)</f>
        <v>0</v>
      </c>
      <c r="J243" s="192">
        <f ca="1">_xll.DBRW(Server&amp;Cube1,$F$17,$F$18,$F$19,$F$16,$C$14,$F$15,$F$14,$F$20,J$2,J$1,$C243)</f>
        <v>0</v>
      </c>
      <c r="K243" s="183"/>
      <c r="L243" s="185">
        <f ca="1">_xll.DBRW(Server&amp;Cube1,$F$17,$F$18,$F$19,$F$16,$C$14,$F$15,$F$14,$F$20,L$2,L$1,$C243)</f>
        <v>0</v>
      </c>
      <c r="M243" s="184"/>
      <c r="N243" s="185">
        <f ca="1">_xll.DBRW(Server&amp;Cube1,$F$17,$F$18,$F$19,$F$16,$C$14,$F$15,$F$14,$F$20,N$2,$N$1,$C243)</f>
        <v>0</v>
      </c>
      <c r="O243" s="185">
        <f ca="1">_xll.DBRW(Server&amp;Cube1,$F$17,$F$18,$F$19,$F$16,$C$14,$F$15,$F$14,$F$20,O$2,$N$1,$C243)</f>
        <v>0</v>
      </c>
      <c r="P243" s="185">
        <f ca="1">_xll.DBRW(Server&amp;Cube1,$F$17,$F$18,$F$19,$F$16,$C$14,$F$15,$F$14,$F$20,P$2,$N$1,$C243)</f>
        <v>0</v>
      </c>
      <c r="Q243" s="185">
        <f ca="1">_xll.DBRW(Server&amp;Cube1,$F$17,$F$18,$F$19,$F$16,$C$14,$F$15,$F$14,$F$20,Q$2,$N$1,$C243)</f>
        <v>0</v>
      </c>
      <c r="R243" s="185">
        <f ca="1">_xll.DBRW(Server&amp;Cube1,$F$17,$F$18,$F$19,$F$16,$C$14,$F$15,$F$14,$F$20,R$2,$N$1,$C243)</f>
        <v>0</v>
      </c>
      <c r="S243" s="185">
        <f ca="1">_xll.DBRW(Server&amp;Cube1,$F$17,$F$18,$F$19,$F$16,$C$14,$F$15,$F$14,$F$20,S$2,$N$1,$C243)</f>
        <v>0</v>
      </c>
      <c r="T243" s="185">
        <f ca="1">_xll.DBRW(Server&amp;Cube1,$F$17,$F$18,$F$19,$F$16,$C$14,$F$15,$F$14,$F$20,T$2,$N$1,$C243)</f>
        <v>0</v>
      </c>
      <c r="U243" s="185">
        <f ca="1">_xll.DBRW(Server&amp;Cube1,$F$17,$F$18,$F$19,$F$16,$C$14,$F$15,$F$14,$F$20,U$2,$N$1,$C243)</f>
        <v>0</v>
      </c>
      <c r="V243" s="185">
        <f ca="1">_xll.DBRW(Server&amp;Cube1,$F$17,$F$18,$F$19,$F$16,$C$14,$F$15,$F$14,$F$20,V$2,$N$1,$C243)</f>
        <v>0</v>
      </c>
      <c r="W243" s="185">
        <f ca="1">_xll.DBRW(Server&amp;Cube1,$F$17,$F$18,$F$19,$F$16,$C$14,$F$15,$F$14,$F$20,W$2,$N$1,$C243)</f>
        <v>0</v>
      </c>
      <c r="X243" s="185">
        <f ca="1">_xll.DBRW(Server&amp;Cube1,$F$17,$F$18,$F$19,$F$16,$C$14,$F$15,$F$14,$F$20,X$2,$N$1,$C243)</f>
        <v>0</v>
      </c>
      <c r="Y243" s="185">
        <f ca="1">_xll.DBRW(Server&amp;Cube1,$F$17,$F$18,$F$19,$F$16,$C$14,$F$15,$F$14,$F$20,Y$2,$N$1,$C243)</f>
        <v>0</v>
      </c>
      <c r="Z243" s="185">
        <f ca="1">_xll.DBRW(Server&amp;Cube1,$F$17,$F$18,$F$19,$F$16,$C$14,$F$15,$F$14,$F$20,Z$2,$N$1,$C243)</f>
        <v>0</v>
      </c>
      <c r="AA243" s="53"/>
      <c r="AB243" s="53"/>
      <c r="AC243" s="53"/>
      <c r="AD243" s="53"/>
      <c r="AE243" s="53"/>
      <c r="AF243" s="53"/>
      <c r="AG243" s="53"/>
      <c r="AH243" s="53"/>
      <c r="AI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</row>
    <row r="244" spans="1:47" s="9" customFormat="1" ht="24" customHeight="1" x14ac:dyDescent="0.35">
      <c r="A244" s="157">
        <f ca="1">IF($AN$35="YES",1,IF(_xll.ELCOMPN(Server&amp;$C$24,C244)&lt;&gt;0,1,IF(OR(B244=$AT$35,B244="ALL"),1,0)))</f>
        <v>1</v>
      </c>
      <c r="B244" s="139" t="str">
        <f t="shared" si="3"/>
        <v>IA</v>
      </c>
      <c r="C244" s="137" t="s">
        <v>341</v>
      </c>
      <c r="E244" s="221" t="str">
        <f ca="1">_xll.DBRA(Server&amp;$C$24,$C244,$F$21)</f>
        <v>Personnel intérimaire (AI)</v>
      </c>
      <c r="F244" s="221"/>
      <c r="G244" s="221"/>
      <c r="H244" s="40"/>
      <c r="I244" s="192">
        <f ca="1">_xll.DBRW(Server&amp;Cube1,$F$17,$F$18,$F$19,$F$16,$C$14,$F$15,$F$14,$F$20,I$2,I$1,$C244)</f>
        <v>0</v>
      </c>
      <c r="J244" s="192">
        <f ca="1">_xll.DBRW(Server&amp;Cube1,$F$17,$F$18,$F$19,$F$16,$C$14,$F$15,$F$14,$F$20,J$2,J$1,$C244)</f>
        <v>0</v>
      </c>
      <c r="K244" s="183"/>
      <c r="L244" s="185">
        <f ca="1">_xll.DBRW(Server&amp;Cube1,$F$17,$F$18,$F$19,$F$16,$C$14,$F$15,$F$14,$F$20,L$2,L$1,$C244)</f>
        <v>0</v>
      </c>
      <c r="M244" s="184"/>
      <c r="N244" s="185">
        <f ca="1">_xll.DBRW(Server&amp;Cube1,$F$17,$F$18,$F$19,$F$16,$C$14,$F$15,$F$14,$F$20,N$2,$N$1,$C244)</f>
        <v>0</v>
      </c>
      <c r="O244" s="185">
        <f ca="1">_xll.DBRW(Server&amp;Cube1,$F$17,$F$18,$F$19,$F$16,$C$14,$F$15,$F$14,$F$20,O$2,$N$1,$C244)</f>
        <v>0</v>
      </c>
      <c r="P244" s="185">
        <f ca="1">_xll.DBRW(Server&amp;Cube1,$F$17,$F$18,$F$19,$F$16,$C$14,$F$15,$F$14,$F$20,P$2,$N$1,$C244)</f>
        <v>0</v>
      </c>
      <c r="Q244" s="185">
        <f ca="1">_xll.DBRW(Server&amp;Cube1,$F$17,$F$18,$F$19,$F$16,$C$14,$F$15,$F$14,$F$20,Q$2,$N$1,$C244)</f>
        <v>0</v>
      </c>
      <c r="R244" s="185">
        <f ca="1">_xll.DBRW(Server&amp;Cube1,$F$17,$F$18,$F$19,$F$16,$C$14,$F$15,$F$14,$F$20,R$2,$N$1,$C244)</f>
        <v>0</v>
      </c>
      <c r="S244" s="185">
        <f ca="1">_xll.DBRW(Server&amp;Cube1,$F$17,$F$18,$F$19,$F$16,$C$14,$F$15,$F$14,$F$20,S$2,$N$1,$C244)</f>
        <v>0</v>
      </c>
      <c r="T244" s="185">
        <f ca="1">_xll.DBRW(Server&amp;Cube1,$F$17,$F$18,$F$19,$F$16,$C$14,$F$15,$F$14,$F$20,T$2,$N$1,$C244)</f>
        <v>0</v>
      </c>
      <c r="U244" s="185">
        <f ca="1">_xll.DBRW(Server&amp;Cube1,$F$17,$F$18,$F$19,$F$16,$C$14,$F$15,$F$14,$F$20,U$2,$N$1,$C244)</f>
        <v>0</v>
      </c>
      <c r="V244" s="185">
        <f ca="1">_xll.DBRW(Server&amp;Cube1,$F$17,$F$18,$F$19,$F$16,$C$14,$F$15,$F$14,$F$20,V$2,$N$1,$C244)</f>
        <v>0</v>
      </c>
      <c r="W244" s="185">
        <f ca="1">_xll.DBRW(Server&amp;Cube1,$F$17,$F$18,$F$19,$F$16,$C$14,$F$15,$F$14,$F$20,W$2,$N$1,$C244)</f>
        <v>0</v>
      </c>
      <c r="X244" s="185">
        <f ca="1">_xll.DBRW(Server&amp;Cube1,$F$17,$F$18,$F$19,$F$16,$C$14,$F$15,$F$14,$F$20,X$2,$N$1,$C244)</f>
        <v>0</v>
      </c>
      <c r="Y244" s="185">
        <f ca="1">_xll.DBRW(Server&amp;Cube1,$F$17,$F$18,$F$19,$F$16,$C$14,$F$15,$F$14,$F$20,Y$2,$N$1,$C244)</f>
        <v>0</v>
      </c>
      <c r="Z244" s="185">
        <f ca="1">_xll.DBRW(Server&amp;Cube1,$F$17,$F$18,$F$19,$F$16,$C$14,$F$15,$F$14,$F$20,Z$2,$N$1,$C244)</f>
        <v>0</v>
      </c>
      <c r="AA244" s="53"/>
      <c r="AB244" s="53"/>
      <c r="AC244" s="53"/>
      <c r="AD244" s="53"/>
      <c r="AE244" s="53"/>
      <c r="AF244" s="53"/>
      <c r="AG244" s="53"/>
      <c r="AH244" s="53"/>
      <c r="AI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</row>
    <row r="245" spans="1:47" s="9" customFormat="1" ht="24" customHeight="1" x14ac:dyDescent="0.35">
      <c r="A245" s="157">
        <f ca="1">IF($AN$35="YES",1,IF(_xll.ELCOMPN(Server&amp;$C$24,C245)&lt;&gt;0,1,IF(OR(B245=$AT$35,B245="ALL"),1,0)))</f>
        <v>1</v>
      </c>
      <c r="B245" s="139" t="str">
        <f t="shared" si="3"/>
        <v>LE</v>
      </c>
      <c r="C245" s="137" t="s">
        <v>342</v>
      </c>
      <c r="E245" s="221" t="str">
        <f ca="1">_xll.DBRA(Server&amp;$C$24,$C245,$F$21)</f>
        <v>Personnel intérimaire (JU)</v>
      </c>
      <c r="F245" s="221"/>
      <c r="G245" s="221"/>
      <c r="H245" s="40"/>
      <c r="I245" s="192">
        <f ca="1">_xll.DBRW(Server&amp;Cube1,$F$17,$F$18,$F$19,$F$16,$C$14,$F$15,$F$14,$F$20,I$2,I$1,$C245)</f>
        <v>0</v>
      </c>
      <c r="J245" s="192">
        <f ca="1">_xll.DBRW(Server&amp;Cube1,$F$17,$F$18,$F$19,$F$16,$C$14,$F$15,$F$14,$F$20,J$2,J$1,$C245)</f>
        <v>0</v>
      </c>
      <c r="K245" s="183"/>
      <c r="L245" s="185">
        <f ca="1">_xll.DBRW(Server&amp;Cube1,$F$17,$F$18,$F$19,$F$16,$C$14,$F$15,$F$14,$F$20,L$2,L$1,$C245)</f>
        <v>0</v>
      </c>
      <c r="M245" s="184"/>
      <c r="N245" s="185">
        <f ca="1">_xll.DBRW(Server&amp;Cube1,$F$17,$F$18,$F$19,$F$16,$C$14,$F$15,$F$14,$F$20,N$2,$N$1,$C245)</f>
        <v>0</v>
      </c>
      <c r="O245" s="185">
        <f ca="1">_xll.DBRW(Server&amp;Cube1,$F$17,$F$18,$F$19,$F$16,$C$14,$F$15,$F$14,$F$20,O$2,$N$1,$C245)</f>
        <v>0</v>
      </c>
      <c r="P245" s="185">
        <f ca="1">_xll.DBRW(Server&amp;Cube1,$F$17,$F$18,$F$19,$F$16,$C$14,$F$15,$F$14,$F$20,P$2,$N$1,$C245)</f>
        <v>0</v>
      </c>
      <c r="Q245" s="185">
        <f ca="1">_xll.DBRW(Server&amp;Cube1,$F$17,$F$18,$F$19,$F$16,$C$14,$F$15,$F$14,$F$20,Q$2,$N$1,$C245)</f>
        <v>0</v>
      </c>
      <c r="R245" s="185">
        <f ca="1">_xll.DBRW(Server&amp;Cube1,$F$17,$F$18,$F$19,$F$16,$C$14,$F$15,$F$14,$F$20,R$2,$N$1,$C245)</f>
        <v>0</v>
      </c>
      <c r="S245" s="185">
        <f ca="1">_xll.DBRW(Server&amp;Cube1,$F$17,$F$18,$F$19,$F$16,$C$14,$F$15,$F$14,$F$20,S$2,$N$1,$C245)</f>
        <v>0</v>
      </c>
      <c r="T245" s="185">
        <f ca="1">_xll.DBRW(Server&amp;Cube1,$F$17,$F$18,$F$19,$F$16,$C$14,$F$15,$F$14,$F$20,T$2,$N$1,$C245)</f>
        <v>0</v>
      </c>
      <c r="U245" s="185">
        <f ca="1">_xll.DBRW(Server&amp;Cube1,$F$17,$F$18,$F$19,$F$16,$C$14,$F$15,$F$14,$F$20,U$2,$N$1,$C245)</f>
        <v>0</v>
      </c>
      <c r="V245" s="185">
        <f ca="1">_xll.DBRW(Server&amp;Cube1,$F$17,$F$18,$F$19,$F$16,$C$14,$F$15,$F$14,$F$20,V$2,$N$1,$C245)</f>
        <v>0</v>
      </c>
      <c r="W245" s="185">
        <f ca="1">_xll.DBRW(Server&amp;Cube1,$F$17,$F$18,$F$19,$F$16,$C$14,$F$15,$F$14,$F$20,W$2,$N$1,$C245)</f>
        <v>0</v>
      </c>
      <c r="X245" s="185">
        <f ca="1">_xll.DBRW(Server&amp;Cube1,$F$17,$F$18,$F$19,$F$16,$C$14,$F$15,$F$14,$F$20,X$2,$N$1,$C245)</f>
        <v>0</v>
      </c>
      <c r="Y245" s="185">
        <f ca="1">_xll.DBRW(Server&amp;Cube1,$F$17,$F$18,$F$19,$F$16,$C$14,$F$15,$F$14,$F$20,Y$2,$N$1,$C245)</f>
        <v>0</v>
      </c>
      <c r="Z245" s="185">
        <f ca="1">_xll.DBRW(Server&amp;Cube1,$F$17,$F$18,$F$19,$F$16,$C$14,$F$15,$F$14,$F$20,Z$2,$N$1,$C245)</f>
        <v>0</v>
      </c>
      <c r="AA245" s="53"/>
      <c r="AB245" s="53"/>
      <c r="AC245" s="53"/>
      <c r="AD245" s="53"/>
      <c r="AE245" s="53"/>
      <c r="AF245" s="53"/>
      <c r="AG245" s="53"/>
      <c r="AH245" s="53"/>
      <c r="AI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</row>
    <row r="246" spans="1:47" s="9" customFormat="1" ht="24" customHeight="1" x14ac:dyDescent="0.35">
      <c r="A246" s="157">
        <f ca="1">IF($AN$35="YES",1,IF(_xll.ELCOMPN(Server&amp;$C$24,C246)&lt;&gt;0,1,IF(OR(B246=$AT$35,B246="ALL"),1,0)))</f>
        <v>1</v>
      </c>
      <c r="B246" s="139" t="str">
        <f t="shared" si="3"/>
        <v>RM</v>
      </c>
      <c r="C246" s="137" t="s">
        <v>343</v>
      </c>
      <c r="E246" s="221" t="str">
        <f ca="1">_xll.DBRA(Server&amp;$C$24,$C246,$F$21)</f>
        <v>Personnel intérimaire (GR)</v>
      </c>
      <c r="F246" s="221"/>
      <c r="G246" s="221"/>
      <c r="H246" s="40"/>
      <c r="I246" s="192">
        <f ca="1">_xll.DBRW(Server&amp;Cube1,$F$17,$F$18,$F$19,$F$16,$C$14,$F$15,$F$14,$F$20,I$2,I$1,$C246)</f>
        <v>0</v>
      </c>
      <c r="J246" s="192">
        <f ca="1">_xll.DBRW(Server&amp;Cube1,$F$17,$F$18,$F$19,$F$16,$C$14,$F$15,$F$14,$F$20,J$2,J$1,$C246)</f>
        <v>0</v>
      </c>
      <c r="K246" s="183"/>
      <c r="L246" s="185">
        <f ca="1">_xll.DBRW(Server&amp;Cube1,$F$17,$F$18,$F$19,$F$16,$C$14,$F$15,$F$14,$F$20,L$2,L$1,$C246)</f>
        <v>0</v>
      </c>
      <c r="M246" s="184"/>
      <c r="N246" s="185">
        <f ca="1">_xll.DBRW(Server&amp;Cube1,$F$17,$F$18,$F$19,$F$16,$C$14,$F$15,$F$14,$F$20,N$2,$N$1,$C246)</f>
        <v>0</v>
      </c>
      <c r="O246" s="185">
        <f ca="1">_xll.DBRW(Server&amp;Cube1,$F$17,$F$18,$F$19,$F$16,$C$14,$F$15,$F$14,$F$20,O$2,$N$1,$C246)</f>
        <v>0</v>
      </c>
      <c r="P246" s="185">
        <f ca="1">_xll.DBRW(Server&amp;Cube1,$F$17,$F$18,$F$19,$F$16,$C$14,$F$15,$F$14,$F$20,P$2,$N$1,$C246)</f>
        <v>0</v>
      </c>
      <c r="Q246" s="185">
        <f ca="1">_xll.DBRW(Server&amp;Cube1,$F$17,$F$18,$F$19,$F$16,$C$14,$F$15,$F$14,$F$20,Q$2,$N$1,$C246)</f>
        <v>0</v>
      </c>
      <c r="R246" s="185">
        <f ca="1">_xll.DBRW(Server&amp;Cube1,$F$17,$F$18,$F$19,$F$16,$C$14,$F$15,$F$14,$F$20,R$2,$N$1,$C246)</f>
        <v>0</v>
      </c>
      <c r="S246" s="185">
        <f ca="1">_xll.DBRW(Server&amp;Cube1,$F$17,$F$18,$F$19,$F$16,$C$14,$F$15,$F$14,$F$20,S$2,$N$1,$C246)</f>
        <v>0</v>
      </c>
      <c r="T246" s="185">
        <f ca="1">_xll.DBRW(Server&amp;Cube1,$F$17,$F$18,$F$19,$F$16,$C$14,$F$15,$F$14,$F$20,T$2,$N$1,$C246)</f>
        <v>0</v>
      </c>
      <c r="U246" s="185">
        <f ca="1">_xll.DBRW(Server&amp;Cube1,$F$17,$F$18,$F$19,$F$16,$C$14,$F$15,$F$14,$F$20,U$2,$N$1,$C246)</f>
        <v>0</v>
      </c>
      <c r="V246" s="185">
        <f ca="1">_xll.DBRW(Server&amp;Cube1,$F$17,$F$18,$F$19,$F$16,$C$14,$F$15,$F$14,$F$20,V$2,$N$1,$C246)</f>
        <v>0</v>
      </c>
      <c r="W246" s="185">
        <f ca="1">_xll.DBRW(Server&amp;Cube1,$F$17,$F$18,$F$19,$F$16,$C$14,$F$15,$F$14,$F$20,W$2,$N$1,$C246)</f>
        <v>0</v>
      </c>
      <c r="X246" s="185">
        <f ca="1">_xll.DBRW(Server&amp;Cube1,$F$17,$F$18,$F$19,$F$16,$C$14,$F$15,$F$14,$F$20,X$2,$N$1,$C246)</f>
        <v>0</v>
      </c>
      <c r="Y246" s="185">
        <f ca="1">_xll.DBRW(Server&amp;Cube1,$F$17,$F$18,$F$19,$F$16,$C$14,$F$15,$F$14,$F$20,Y$2,$N$1,$C246)</f>
        <v>0</v>
      </c>
      <c r="Z246" s="185">
        <f ca="1">_xll.DBRW(Server&amp;Cube1,$F$17,$F$18,$F$19,$F$16,$C$14,$F$15,$F$14,$F$20,Z$2,$N$1,$C246)</f>
        <v>0</v>
      </c>
      <c r="AA246" s="53"/>
      <c r="AB246" s="53"/>
      <c r="AC246" s="53"/>
      <c r="AD246" s="53"/>
      <c r="AE246" s="53"/>
      <c r="AF246" s="53"/>
      <c r="AG246" s="53"/>
      <c r="AH246" s="53"/>
      <c r="AI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</row>
    <row r="247" spans="1:47" s="9" customFormat="1" ht="24" customHeight="1" x14ac:dyDescent="0.35">
      <c r="A247" s="157">
        <f ca="1">IF($AN$35="YES",1,IF(_xll.ELCOMPN(Server&amp;$C$24,C247)&lt;&gt;0,1,IF(OR(B247=$AT$35,B247="ALL"),1,0)))</f>
        <v>1</v>
      </c>
      <c r="B247" s="139" t="str">
        <f t="shared" si="3"/>
        <v>PU</v>
      </c>
      <c r="C247" s="137" t="s">
        <v>344</v>
      </c>
      <c r="E247" s="221" t="str">
        <f ca="1">_xll.DBRA(Server&amp;$C$24,$C247,$F$21)</f>
        <v>Personnel intérimaire (AC)</v>
      </c>
      <c r="F247" s="221"/>
      <c r="G247" s="221"/>
      <c r="H247" s="40"/>
      <c r="I247" s="192">
        <f ca="1">_xll.DBRW(Server&amp;Cube1,$F$17,$F$18,$F$19,$F$16,$C$14,$F$15,$F$14,$F$20,I$2,I$1,$C247)</f>
        <v>0</v>
      </c>
      <c r="J247" s="192">
        <f ca="1">_xll.DBRW(Server&amp;Cube1,$F$17,$F$18,$F$19,$F$16,$C$14,$F$15,$F$14,$F$20,J$2,J$1,$C247)</f>
        <v>0</v>
      </c>
      <c r="K247" s="183"/>
      <c r="L247" s="185">
        <f ca="1">_xll.DBRW(Server&amp;Cube1,$F$17,$F$18,$F$19,$F$16,$C$14,$F$15,$F$14,$F$20,L$2,L$1,$C247)</f>
        <v>0</v>
      </c>
      <c r="M247" s="184"/>
      <c r="N247" s="185">
        <f ca="1">_xll.DBRW(Server&amp;Cube1,$F$17,$F$18,$F$19,$F$16,$C$14,$F$15,$F$14,$F$20,N$2,$N$1,$C247)</f>
        <v>0</v>
      </c>
      <c r="O247" s="185">
        <f ca="1">_xll.DBRW(Server&amp;Cube1,$F$17,$F$18,$F$19,$F$16,$C$14,$F$15,$F$14,$F$20,O$2,$N$1,$C247)</f>
        <v>0</v>
      </c>
      <c r="P247" s="185">
        <f ca="1">_xll.DBRW(Server&amp;Cube1,$F$17,$F$18,$F$19,$F$16,$C$14,$F$15,$F$14,$F$20,P$2,$N$1,$C247)</f>
        <v>0</v>
      </c>
      <c r="Q247" s="185">
        <f ca="1">_xll.DBRW(Server&amp;Cube1,$F$17,$F$18,$F$19,$F$16,$C$14,$F$15,$F$14,$F$20,Q$2,$N$1,$C247)</f>
        <v>0</v>
      </c>
      <c r="R247" s="185">
        <f ca="1">_xll.DBRW(Server&amp;Cube1,$F$17,$F$18,$F$19,$F$16,$C$14,$F$15,$F$14,$F$20,R$2,$N$1,$C247)</f>
        <v>0</v>
      </c>
      <c r="S247" s="185">
        <f ca="1">_xll.DBRW(Server&amp;Cube1,$F$17,$F$18,$F$19,$F$16,$C$14,$F$15,$F$14,$F$20,S$2,$N$1,$C247)</f>
        <v>0</v>
      </c>
      <c r="T247" s="185">
        <f ca="1">_xll.DBRW(Server&amp;Cube1,$F$17,$F$18,$F$19,$F$16,$C$14,$F$15,$F$14,$F$20,T$2,$N$1,$C247)</f>
        <v>0</v>
      </c>
      <c r="U247" s="185">
        <f ca="1">_xll.DBRW(Server&amp;Cube1,$F$17,$F$18,$F$19,$F$16,$C$14,$F$15,$F$14,$F$20,U$2,$N$1,$C247)</f>
        <v>0</v>
      </c>
      <c r="V247" s="185">
        <f ca="1">_xll.DBRW(Server&amp;Cube1,$F$17,$F$18,$F$19,$F$16,$C$14,$F$15,$F$14,$F$20,V$2,$N$1,$C247)</f>
        <v>0</v>
      </c>
      <c r="W247" s="185">
        <f ca="1">_xll.DBRW(Server&amp;Cube1,$F$17,$F$18,$F$19,$F$16,$C$14,$F$15,$F$14,$F$20,W$2,$N$1,$C247)</f>
        <v>0</v>
      </c>
      <c r="X247" s="185">
        <f ca="1">_xll.DBRW(Server&amp;Cube1,$F$17,$F$18,$F$19,$F$16,$C$14,$F$15,$F$14,$F$20,X$2,$N$1,$C247)</f>
        <v>0</v>
      </c>
      <c r="Y247" s="185">
        <f ca="1">_xll.DBRW(Server&amp;Cube1,$F$17,$F$18,$F$19,$F$16,$C$14,$F$15,$F$14,$F$20,Y$2,$N$1,$C247)</f>
        <v>0</v>
      </c>
      <c r="Z247" s="185">
        <f ca="1">_xll.DBRW(Server&amp;Cube1,$F$17,$F$18,$F$19,$F$16,$C$14,$F$15,$F$14,$F$20,Z$2,$N$1,$C247)</f>
        <v>0</v>
      </c>
      <c r="AA247" s="53"/>
      <c r="AB247" s="53"/>
      <c r="AC247" s="53"/>
      <c r="AD247" s="53"/>
      <c r="AE247" s="53"/>
      <c r="AF247" s="53"/>
      <c r="AG247" s="53"/>
      <c r="AH247" s="53"/>
      <c r="AI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</row>
    <row r="248" spans="1:47" s="9" customFormat="1" ht="24" customHeight="1" x14ac:dyDescent="0.35">
      <c r="A248" s="157">
        <f ca="1">IF($AN$35="YES",1,IF(_xll.ELCOMPN(Server&amp;$C$24,C248)&lt;&gt;0,1,IF(OR(B248=$AT$35,B248="ALL"),1,0)))</f>
        <v>1</v>
      </c>
      <c r="B248" s="139" t="str">
        <f t="shared" si="3"/>
        <v>CO</v>
      </c>
      <c r="C248" s="137" t="s">
        <v>345</v>
      </c>
      <c r="E248" s="221" t="str">
        <f ca="1">_xll.DBRA(Server&amp;$C$24,$C248,$F$21)</f>
        <v>Personnel intérimaire (CO)</v>
      </c>
      <c r="F248" s="221"/>
      <c r="G248" s="221"/>
      <c r="H248" s="40"/>
      <c r="I248" s="192">
        <f ca="1">_xll.DBRW(Server&amp;Cube1,$F$17,$F$18,$F$19,$F$16,$C$14,$F$15,$F$14,$F$20,I$2,I$1,$C248)</f>
        <v>0</v>
      </c>
      <c r="J248" s="192">
        <f ca="1">_xll.DBRW(Server&amp;Cube1,$F$17,$F$18,$F$19,$F$16,$C$14,$F$15,$F$14,$F$20,J$2,J$1,$C248)</f>
        <v>0</v>
      </c>
      <c r="K248" s="183"/>
      <c r="L248" s="185">
        <f ca="1">_xll.DBRW(Server&amp;Cube1,$F$17,$F$18,$F$19,$F$16,$C$14,$F$15,$F$14,$F$20,L$2,L$1,$C248)</f>
        <v>0</v>
      </c>
      <c r="M248" s="184"/>
      <c r="N248" s="185">
        <f ca="1">_xll.DBRW(Server&amp;Cube1,$F$17,$F$18,$F$19,$F$16,$C$14,$F$15,$F$14,$F$20,N$2,$N$1,$C248)</f>
        <v>0</v>
      </c>
      <c r="O248" s="185">
        <f ca="1">_xll.DBRW(Server&amp;Cube1,$F$17,$F$18,$F$19,$F$16,$C$14,$F$15,$F$14,$F$20,O$2,$N$1,$C248)</f>
        <v>0</v>
      </c>
      <c r="P248" s="185">
        <f ca="1">_xll.DBRW(Server&amp;Cube1,$F$17,$F$18,$F$19,$F$16,$C$14,$F$15,$F$14,$F$20,P$2,$N$1,$C248)</f>
        <v>0</v>
      </c>
      <c r="Q248" s="185">
        <f ca="1">_xll.DBRW(Server&amp;Cube1,$F$17,$F$18,$F$19,$F$16,$C$14,$F$15,$F$14,$F$20,Q$2,$N$1,$C248)</f>
        <v>0</v>
      </c>
      <c r="R248" s="185">
        <f ca="1">_xll.DBRW(Server&amp;Cube1,$F$17,$F$18,$F$19,$F$16,$C$14,$F$15,$F$14,$F$20,R$2,$N$1,$C248)</f>
        <v>0</v>
      </c>
      <c r="S248" s="185">
        <f ca="1">_xll.DBRW(Server&amp;Cube1,$F$17,$F$18,$F$19,$F$16,$C$14,$F$15,$F$14,$F$20,S$2,$N$1,$C248)</f>
        <v>0</v>
      </c>
      <c r="T248" s="185">
        <f ca="1">_xll.DBRW(Server&amp;Cube1,$F$17,$F$18,$F$19,$F$16,$C$14,$F$15,$F$14,$F$20,T$2,$N$1,$C248)</f>
        <v>0</v>
      </c>
      <c r="U248" s="185">
        <f ca="1">_xll.DBRW(Server&amp;Cube1,$F$17,$F$18,$F$19,$F$16,$C$14,$F$15,$F$14,$F$20,U$2,$N$1,$C248)</f>
        <v>0</v>
      </c>
      <c r="V248" s="185">
        <f ca="1">_xll.DBRW(Server&amp;Cube1,$F$17,$F$18,$F$19,$F$16,$C$14,$F$15,$F$14,$F$20,V$2,$N$1,$C248)</f>
        <v>0</v>
      </c>
      <c r="W248" s="185">
        <f ca="1">_xll.DBRW(Server&amp;Cube1,$F$17,$F$18,$F$19,$F$16,$C$14,$F$15,$F$14,$F$20,W$2,$N$1,$C248)</f>
        <v>0</v>
      </c>
      <c r="X248" s="185">
        <f ca="1">_xll.DBRW(Server&amp;Cube1,$F$17,$F$18,$F$19,$F$16,$C$14,$F$15,$F$14,$F$20,X$2,$N$1,$C248)</f>
        <v>0</v>
      </c>
      <c r="Y248" s="185">
        <f ca="1">_xll.DBRW(Server&amp;Cube1,$F$17,$F$18,$F$19,$F$16,$C$14,$F$15,$F$14,$F$20,Y$2,$N$1,$C248)</f>
        <v>0</v>
      </c>
      <c r="Z248" s="185">
        <f ca="1">_xll.DBRW(Server&amp;Cube1,$F$17,$F$18,$F$19,$F$16,$C$14,$F$15,$F$14,$F$20,Z$2,$N$1,$C248)</f>
        <v>0</v>
      </c>
      <c r="AA248" s="53"/>
      <c r="AB248" s="53"/>
      <c r="AC248" s="53"/>
      <c r="AD248" s="53"/>
      <c r="AE248" s="53"/>
      <c r="AF248" s="53"/>
      <c r="AG248" s="53"/>
      <c r="AH248" s="53"/>
      <c r="AI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</row>
    <row r="249" spans="1:47" s="9" customFormat="1" ht="24" customHeight="1" x14ac:dyDescent="0.35">
      <c r="A249" s="157">
        <f ca="1">IF($AN$35="YES",1,IF(_xll.ELCOMPN(Server&amp;$C$24,C249)&lt;&gt;0,1,IF(OR(B249=$AT$35,B249="ALL"),1,0)))</f>
        <v>1</v>
      </c>
      <c r="B249" s="139" t="str">
        <f t="shared" si="3"/>
        <v>GS</v>
      </c>
      <c r="C249" s="137" t="s">
        <v>346</v>
      </c>
      <c r="E249" s="221" t="str">
        <f ca="1">_xll.DBRA(Server&amp;$C$24,$C249,$F$21)</f>
        <v>Personnel intérimaire (SG)</v>
      </c>
      <c r="F249" s="221"/>
      <c r="G249" s="221"/>
      <c r="H249" s="40"/>
      <c r="I249" s="192">
        <f ca="1">_xll.DBRW(Server&amp;Cube1,$F$17,$F$18,$F$19,$F$16,$C$14,$F$15,$F$14,$F$20,I$2,I$1,$C249)</f>
        <v>0</v>
      </c>
      <c r="J249" s="192">
        <f ca="1">_xll.DBRW(Server&amp;Cube1,$F$17,$F$18,$F$19,$F$16,$C$14,$F$15,$F$14,$F$20,J$2,J$1,$C249)</f>
        <v>0</v>
      </c>
      <c r="K249" s="183"/>
      <c r="L249" s="185">
        <f ca="1">_xll.DBRW(Server&amp;Cube1,$F$17,$F$18,$F$19,$F$16,$C$14,$F$15,$F$14,$F$20,L$2,L$1,$C249)</f>
        <v>0</v>
      </c>
      <c r="M249" s="184"/>
      <c r="N249" s="185">
        <f ca="1">_xll.DBRW(Server&amp;Cube1,$F$17,$F$18,$F$19,$F$16,$C$14,$F$15,$F$14,$F$20,N$2,$N$1,$C249)</f>
        <v>0</v>
      </c>
      <c r="O249" s="185">
        <f ca="1">_xll.DBRW(Server&amp;Cube1,$F$17,$F$18,$F$19,$F$16,$C$14,$F$15,$F$14,$F$20,O$2,$N$1,$C249)</f>
        <v>0</v>
      </c>
      <c r="P249" s="185">
        <f ca="1">_xll.DBRW(Server&amp;Cube1,$F$17,$F$18,$F$19,$F$16,$C$14,$F$15,$F$14,$F$20,P$2,$N$1,$C249)</f>
        <v>0</v>
      </c>
      <c r="Q249" s="185">
        <f ca="1">_xll.DBRW(Server&amp;Cube1,$F$17,$F$18,$F$19,$F$16,$C$14,$F$15,$F$14,$F$20,Q$2,$N$1,$C249)</f>
        <v>0</v>
      </c>
      <c r="R249" s="185">
        <f ca="1">_xll.DBRW(Server&amp;Cube1,$F$17,$F$18,$F$19,$F$16,$C$14,$F$15,$F$14,$F$20,R$2,$N$1,$C249)</f>
        <v>0</v>
      </c>
      <c r="S249" s="185">
        <f ca="1">_xll.DBRW(Server&amp;Cube1,$F$17,$F$18,$F$19,$F$16,$C$14,$F$15,$F$14,$F$20,S$2,$N$1,$C249)</f>
        <v>0</v>
      </c>
      <c r="T249" s="185">
        <f ca="1">_xll.DBRW(Server&amp;Cube1,$F$17,$F$18,$F$19,$F$16,$C$14,$F$15,$F$14,$F$20,T$2,$N$1,$C249)</f>
        <v>0</v>
      </c>
      <c r="U249" s="185">
        <f ca="1">_xll.DBRW(Server&amp;Cube1,$F$17,$F$18,$F$19,$F$16,$C$14,$F$15,$F$14,$F$20,U$2,$N$1,$C249)</f>
        <v>0</v>
      </c>
      <c r="V249" s="185">
        <f ca="1">_xll.DBRW(Server&amp;Cube1,$F$17,$F$18,$F$19,$F$16,$C$14,$F$15,$F$14,$F$20,V$2,$N$1,$C249)</f>
        <v>0</v>
      </c>
      <c r="W249" s="185">
        <f ca="1">_xll.DBRW(Server&amp;Cube1,$F$17,$F$18,$F$19,$F$16,$C$14,$F$15,$F$14,$F$20,W$2,$N$1,$C249)</f>
        <v>0</v>
      </c>
      <c r="X249" s="185">
        <f ca="1">_xll.DBRW(Server&amp;Cube1,$F$17,$F$18,$F$19,$F$16,$C$14,$F$15,$F$14,$F$20,X$2,$N$1,$C249)</f>
        <v>0</v>
      </c>
      <c r="Y249" s="185">
        <f ca="1">_xll.DBRW(Server&amp;Cube1,$F$17,$F$18,$F$19,$F$16,$C$14,$F$15,$F$14,$F$20,Y$2,$N$1,$C249)</f>
        <v>0</v>
      </c>
      <c r="Z249" s="185">
        <f ca="1">_xll.DBRW(Server&amp;Cube1,$F$17,$F$18,$F$19,$F$16,$C$14,$F$15,$F$14,$F$20,Z$2,$N$1,$C249)</f>
        <v>0</v>
      </c>
      <c r="AA249" s="53"/>
      <c r="AB249" s="53"/>
      <c r="AC249" s="53"/>
      <c r="AD249" s="53"/>
      <c r="AE249" s="53"/>
      <c r="AF249" s="53"/>
      <c r="AG249" s="53"/>
      <c r="AH249" s="53"/>
      <c r="AI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</row>
    <row r="250" spans="1:47" s="9" customFormat="1" ht="24" customHeight="1" x14ac:dyDescent="0.35">
      <c r="A250" s="157">
        <f ca="1">IF($AN$35="YES",1,IF(_xll.ELCOMPN(Server&amp;$C$24,C250)&lt;&gt;0,1,IF(OR(B250=$AT$35,B250="ALL"),1,0)))</f>
        <v>1</v>
      </c>
      <c r="B250" s="139" t="str">
        <f t="shared" si="3"/>
        <v>RD</v>
      </c>
      <c r="C250" s="137" t="s">
        <v>347</v>
      </c>
      <c r="E250" s="221" t="str">
        <f ca="1">_xll.DBRA(Server&amp;$C$24,$C250,$F$21)</f>
        <v>Personnel intérimaire (RD)</v>
      </c>
      <c r="F250" s="221"/>
      <c r="G250" s="221"/>
      <c r="H250" s="40"/>
      <c r="I250" s="192">
        <f ca="1">_xll.DBRW(Server&amp;Cube1,$F$17,$F$18,$F$19,$F$16,$C$14,$F$15,$F$14,$F$20,I$2,I$1,$C250)</f>
        <v>0</v>
      </c>
      <c r="J250" s="192">
        <f ca="1">_xll.DBRW(Server&amp;Cube1,$F$17,$F$18,$F$19,$F$16,$C$14,$F$15,$F$14,$F$20,J$2,J$1,$C250)</f>
        <v>0</v>
      </c>
      <c r="K250" s="183"/>
      <c r="L250" s="185">
        <f ca="1">_xll.DBRW(Server&amp;Cube1,$F$17,$F$18,$F$19,$F$16,$C$14,$F$15,$F$14,$F$20,L$2,L$1,$C250)</f>
        <v>0</v>
      </c>
      <c r="M250" s="184"/>
      <c r="N250" s="185">
        <f ca="1">_xll.DBRW(Server&amp;Cube1,$F$17,$F$18,$F$19,$F$16,$C$14,$F$15,$F$14,$F$20,N$2,$N$1,$C250)</f>
        <v>0</v>
      </c>
      <c r="O250" s="185">
        <f ca="1">_xll.DBRW(Server&amp;Cube1,$F$17,$F$18,$F$19,$F$16,$C$14,$F$15,$F$14,$F$20,O$2,$N$1,$C250)</f>
        <v>0</v>
      </c>
      <c r="P250" s="185">
        <f ca="1">_xll.DBRW(Server&amp;Cube1,$F$17,$F$18,$F$19,$F$16,$C$14,$F$15,$F$14,$F$20,P$2,$N$1,$C250)</f>
        <v>0</v>
      </c>
      <c r="Q250" s="185">
        <f ca="1">_xll.DBRW(Server&amp;Cube1,$F$17,$F$18,$F$19,$F$16,$C$14,$F$15,$F$14,$F$20,Q$2,$N$1,$C250)</f>
        <v>0</v>
      </c>
      <c r="R250" s="185">
        <f ca="1">_xll.DBRW(Server&amp;Cube1,$F$17,$F$18,$F$19,$F$16,$C$14,$F$15,$F$14,$F$20,R$2,$N$1,$C250)</f>
        <v>0</v>
      </c>
      <c r="S250" s="185">
        <f ca="1">_xll.DBRW(Server&amp;Cube1,$F$17,$F$18,$F$19,$F$16,$C$14,$F$15,$F$14,$F$20,S$2,$N$1,$C250)</f>
        <v>0</v>
      </c>
      <c r="T250" s="185">
        <f ca="1">_xll.DBRW(Server&amp;Cube1,$F$17,$F$18,$F$19,$F$16,$C$14,$F$15,$F$14,$F$20,T$2,$N$1,$C250)</f>
        <v>0</v>
      </c>
      <c r="U250" s="185">
        <f ca="1">_xll.DBRW(Server&amp;Cube1,$F$17,$F$18,$F$19,$F$16,$C$14,$F$15,$F$14,$F$20,U$2,$N$1,$C250)</f>
        <v>0</v>
      </c>
      <c r="V250" s="185">
        <f ca="1">_xll.DBRW(Server&amp;Cube1,$F$17,$F$18,$F$19,$F$16,$C$14,$F$15,$F$14,$F$20,V$2,$N$1,$C250)</f>
        <v>0</v>
      </c>
      <c r="W250" s="185">
        <f ca="1">_xll.DBRW(Server&amp;Cube1,$F$17,$F$18,$F$19,$F$16,$C$14,$F$15,$F$14,$F$20,W$2,$N$1,$C250)</f>
        <v>0</v>
      </c>
      <c r="X250" s="185">
        <f ca="1">_xll.DBRW(Server&amp;Cube1,$F$17,$F$18,$F$19,$F$16,$C$14,$F$15,$F$14,$F$20,X$2,$N$1,$C250)</f>
        <v>0</v>
      </c>
      <c r="Y250" s="185">
        <f ca="1">_xll.DBRW(Server&amp;Cube1,$F$17,$F$18,$F$19,$F$16,$C$14,$F$15,$F$14,$F$20,Y$2,$N$1,$C250)</f>
        <v>0</v>
      </c>
      <c r="Z250" s="185">
        <f ca="1">_xll.DBRW(Server&amp;Cube1,$F$17,$F$18,$F$19,$F$16,$C$14,$F$15,$F$14,$F$20,Z$2,$N$1,$C250)</f>
        <v>0</v>
      </c>
      <c r="AA250" s="53"/>
      <c r="AB250" s="53"/>
      <c r="AC250" s="53"/>
      <c r="AD250" s="53"/>
      <c r="AE250" s="53"/>
      <c r="AF250" s="53"/>
      <c r="AG250" s="53"/>
      <c r="AH250" s="53"/>
      <c r="AI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</row>
    <row r="251" spans="1:47" s="9" customFormat="1" ht="24" customHeight="1" x14ac:dyDescent="0.35">
      <c r="A251" s="157">
        <f ca="1">IF($AN$35="YES",1,IF(_xll.ELCOMPN(Server&amp;$C$24,C251)&lt;&gt;0,1,IF(OR(B251=$AT$35,B251="ALL"),1,0)))</f>
        <v>1</v>
      </c>
      <c r="B251" s="139" t="e">
        <f t="shared" si="3"/>
        <v>#VALUE!</v>
      </c>
      <c r="C251" s="111" t="s">
        <v>108</v>
      </c>
      <c r="E251" s="223" t="str">
        <f ca="1">_xll.DBRA(Server&amp;$C$24,$C251,$F$21)</f>
        <v>Personnel Mis à Disposition</v>
      </c>
      <c r="F251" s="223"/>
      <c r="G251" s="223"/>
      <c r="H251" s="40"/>
      <c r="I251" s="192">
        <f ca="1">_xll.DBRW(Server&amp;Cube1,$F$17,$F$18,$F$19,$F$16,$C$14,$F$15,$F$14,$F$20,I$2,I$1,$C251)</f>
        <v>0</v>
      </c>
      <c r="J251" s="192">
        <f ca="1">_xll.DBRW(Server&amp;Cube1,$F$17,$F$18,$F$19,$F$16,$C$14,$F$15,$F$14,$F$20,J$2,J$1,$C251)</f>
        <v>0</v>
      </c>
      <c r="K251" s="183"/>
      <c r="L251" s="184">
        <f ca="1">_xll.DBRW(Server&amp;Cube1,$F$17,$F$18,$F$19,$F$16,$C$14,$F$15,$F$14,$F$20,L$2,L$1,$C251)</f>
        <v>0</v>
      </c>
      <c r="M251" s="184"/>
      <c r="N251" s="184">
        <f ca="1">_xll.DBRW(Server&amp;Cube1,$F$17,$F$18,$F$19,$F$16,$C$14,$F$15,$F$14,$F$20,N$2,$N$1,$C251)</f>
        <v>0</v>
      </c>
      <c r="O251" s="184">
        <f ca="1">_xll.DBRW(Server&amp;Cube1,$F$17,$F$18,$F$19,$F$16,$C$14,$F$15,$F$14,$F$20,O$2,$N$1,$C251)</f>
        <v>0</v>
      </c>
      <c r="P251" s="184">
        <f ca="1">_xll.DBRW(Server&amp;Cube1,$F$17,$F$18,$F$19,$F$16,$C$14,$F$15,$F$14,$F$20,P$2,$N$1,$C251)</f>
        <v>0</v>
      </c>
      <c r="Q251" s="184">
        <f ca="1">_xll.DBRW(Server&amp;Cube1,$F$17,$F$18,$F$19,$F$16,$C$14,$F$15,$F$14,$F$20,Q$2,$N$1,$C251)</f>
        <v>0</v>
      </c>
      <c r="R251" s="184">
        <f ca="1">_xll.DBRW(Server&amp;Cube1,$F$17,$F$18,$F$19,$F$16,$C$14,$F$15,$F$14,$F$20,R$2,$N$1,$C251)</f>
        <v>0</v>
      </c>
      <c r="S251" s="184">
        <f ca="1">_xll.DBRW(Server&amp;Cube1,$F$17,$F$18,$F$19,$F$16,$C$14,$F$15,$F$14,$F$20,S$2,$N$1,$C251)</f>
        <v>0</v>
      </c>
      <c r="T251" s="184">
        <f ca="1">_xll.DBRW(Server&amp;Cube1,$F$17,$F$18,$F$19,$F$16,$C$14,$F$15,$F$14,$F$20,T$2,$N$1,$C251)</f>
        <v>0</v>
      </c>
      <c r="U251" s="184">
        <f ca="1">_xll.DBRW(Server&amp;Cube1,$F$17,$F$18,$F$19,$F$16,$C$14,$F$15,$F$14,$F$20,U$2,$N$1,$C251)</f>
        <v>0</v>
      </c>
      <c r="V251" s="184">
        <f ca="1">_xll.DBRW(Server&amp;Cube1,$F$17,$F$18,$F$19,$F$16,$C$14,$F$15,$F$14,$F$20,V$2,$N$1,$C251)</f>
        <v>0</v>
      </c>
      <c r="W251" s="184">
        <f ca="1">_xll.DBRW(Server&amp;Cube1,$F$17,$F$18,$F$19,$F$16,$C$14,$F$15,$F$14,$F$20,W$2,$N$1,$C251)</f>
        <v>0</v>
      </c>
      <c r="X251" s="184">
        <f ca="1">_xll.DBRW(Server&amp;Cube1,$F$17,$F$18,$F$19,$F$16,$C$14,$F$15,$F$14,$F$20,X$2,$N$1,$C251)</f>
        <v>0</v>
      </c>
      <c r="Y251" s="184">
        <f ca="1">_xll.DBRW(Server&amp;Cube1,$F$17,$F$18,$F$19,$F$16,$C$14,$F$15,$F$14,$F$20,Y$2,$N$1,$C251)</f>
        <v>0</v>
      </c>
      <c r="Z251" s="184">
        <f ca="1">_xll.DBRW(Server&amp;Cube1,$F$17,$F$18,$F$19,$F$16,$C$14,$F$15,$F$14,$F$20,Z$2,$N$1,$C251)</f>
        <v>0</v>
      </c>
      <c r="AA251" s="53"/>
      <c r="AB251" s="53"/>
      <c r="AC251" s="53"/>
      <c r="AD251" s="53"/>
      <c r="AE251" s="53"/>
      <c r="AF251" s="53"/>
      <c r="AG251" s="53"/>
      <c r="AH251" s="53"/>
      <c r="AI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</row>
    <row r="252" spans="1:47" s="9" customFormat="1" ht="24" customHeight="1" x14ac:dyDescent="0.35">
      <c r="A252" s="157">
        <f ca="1">IF($AN$35="YES",1,IF(_xll.ELCOMPN(Server&amp;$C$24,C252)&lt;&gt;0,1,IF(OR(B252=$AT$35,B252="ALL"),1,0)))</f>
        <v>1</v>
      </c>
      <c r="B252" s="139" t="str">
        <f t="shared" si="3"/>
        <v>DS</v>
      </c>
      <c r="C252" s="137" t="s">
        <v>348</v>
      </c>
      <c r="E252" s="221" t="str">
        <f ca="1">_xll.DBRA(Server&amp;$C$24,$C252,$F$21)</f>
        <v>Personnel mis à disposition (SO)</v>
      </c>
      <c r="F252" s="221"/>
      <c r="G252" s="221"/>
      <c r="H252" s="40"/>
      <c r="I252" s="192">
        <f ca="1">_xll.DBRW(Server&amp;Cube1,$F$17,$F$18,$F$19,$F$16,$C$14,$F$15,$F$14,$F$20,I$2,I$1,$C252)</f>
        <v>0</v>
      </c>
      <c r="J252" s="192">
        <f ca="1">_xll.DBRW(Server&amp;Cube1,$F$17,$F$18,$F$19,$F$16,$C$14,$F$15,$F$14,$F$20,J$2,J$1,$C252)</f>
        <v>0</v>
      </c>
      <c r="K252" s="183"/>
      <c r="L252" s="185">
        <f ca="1">_xll.DBRW(Server&amp;Cube1,$F$17,$F$18,$F$19,$F$16,$C$14,$F$15,$F$14,$F$20,L$2,L$1,$C252)</f>
        <v>0</v>
      </c>
      <c r="M252" s="184"/>
      <c r="N252" s="185">
        <f ca="1">_xll.DBRW(Server&amp;Cube1,$F$17,$F$18,$F$19,$F$16,$C$14,$F$15,$F$14,$F$20,N$2,$N$1,$C252)</f>
        <v>0</v>
      </c>
      <c r="O252" s="185">
        <f ca="1">_xll.DBRW(Server&amp;Cube1,$F$17,$F$18,$F$19,$F$16,$C$14,$F$15,$F$14,$F$20,O$2,$N$1,$C252)</f>
        <v>0</v>
      </c>
      <c r="P252" s="185">
        <f ca="1">_xll.DBRW(Server&amp;Cube1,$F$17,$F$18,$F$19,$F$16,$C$14,$F$15,$F$14,$F$20,P$2,$N$1,$C252)</f>
        <v>0</v>
      </c>
      <c r="Q252" s="185">
        <f ca="1">_xll.DBRW(Server&amp;Cube1,$F$17,$F$18,$F$19,$F$16,$C$14,$F$15,$F$14,$F$20,Q$2,$N$1,$C252)</f>
        <v>0</v>
      </c>
      <c r="R252" s="185">
        <f ca="1">_xll.DBRW(Server&amp;Cube1,$F$17,$F$18,$F$19,$F$16,$C$14,$F$15,$F$14,$F$20,R$2,$N$1,$C252)</f>
        <v>0</v>
      </c>
      <c r="S252" s="185">
        <f ca="1">_xll.DBRW(Server&amp;Cube1,$F$17,$F$18,$F$19,$F$16,$C$14,$F$15,$F$14,$F$20,S$2,$N$1,$C252)</f>
        <v>0</v>
      </c>
      <c r="T252" s="185">
        <f ca="1">_xll.DBRW(Server&amp;Cube1,$F$17,$F$18,$F$19,$F$16,$C$14,$F$15,$F$14,$F$20,T$2,$N$1,$C252)</f>
        <v>0</v>
      </c>
      <c r="U252" s="185">
        <f ca="1">_xll.DBRW(Server&amp;Cube1,$F$17,$F$18,$F$19,$F$16,$C$14,$F$15,$F$14,$F$20,U$2,$N$1,$C252)</f>
        <v>0</v>
      </c>
      <c r="V252" s="185">
        <f ca="1">_xll.DBRW(Server&amp;Cube1,$F$17,$F$18,$F$19,$F$16,$C$14,$F$15,$F$14,$F$20,V$2,$N$1,$C252)</f>
        <v>0</v>
      </c>
      <c r="W252" s="185">
        <f ca="1">_xll.DBRW(Server&amp;Cube1,$F$17,$F$18,$F$19,$F$16,$C$14,$F$15,$F$14,$F$20,W$2,$N$1,$C252)</f>
        <v>0</v>
      </c>
      <c r="X252" s="185">
        <f ca="1">_xll.DBRW(Server&amp;Cube1,$F$17,$F$18,$F$19,$F$16,$C$14,$F$15,$F$14,$F$20,X$2,$N$1,$C252)</f>
        <v>0</v>
      </c>
      <c r="Y252" s="185">
        <f ca="1">_xll.DBRW(Server&amp;Cube1,$F$17,$F$18,$F$19,$F$16,$C$14,$F$15,$F$14,$F$20,Y$2,$N$1,$C252)</f>
        <v>0</v>
      </c>
      <c r="Z252" s="185">
        <f ca="1">_xll.DBRW(Server&amp;Cube1,$F$17,$F$18,$F$19,$F$16,$C$14,$F$15,$F$14,$F$20,Z$2,$N$1,$C252)</f>
        <v>0</v>
      </c>
      <c r="AA252" s="53"/>
      <c r="AB252" s="53"/>
      <c r="AC252" s="53"/>
      <c r="AD252" s="53"/>
      <c r="AE252" s="53"/>
      <c r="AF252" s="53"/>
      <c r="AG252" s="53"/>
      <c r="AH252" s="53"/>
      <c r="AI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</row>
    <row r="253" spans="1:47" s="9" customFormat="1" ht="24" customHeight="1" x14ac:dyDescent="0.35">
      <c r="A253" s="157">
        <f ca="1">IF($AN$35="YES",1,IF(_xll.ELCOMPN(Server&amp;$C$24,C253)&lt;&gt;0,1,IF(OR(B253=$AT$35,B253="ALL"),1,0)))</f>
        <v>1</v>
      </c>
      <c r="B253" s="139" t="str">
        <f t="shared" si="3"/>
        <v>BD</v>
      </c>
      <c r="C253" s="137" t="s">
        <v>349</v>
      </c>
      <c r="E253" s="221" t="str">
        <f ca="1">_xll.DBRA(Server&amp;$C$24,$C253,$F$21)</f>
        <v>Personnel mis à disposition (DC)</v>
      </c>
      <c r="F253" s="221"/>
      <c r="G253" s="221"/>
      <c r="H253" s="40"/>
      <c r="I253" s="192">
        <f ca="1">_xll.DBRW(Server&amp;Cube1,$F$17,$F$18,$F$19,$F$16,$C$14,$F$15,$F$14,$F$20,I$2,I$1,$C253)</f>
        <v>0</v>
      </c>
      <c r="J253" s="192">
        <f ca="1">_xll.DBRW(Server&amp;Cube1,$F$17,$F$18,$F$19,$F$16,$C$14,$F$15,$F$14,$F$20,J$2,J$1,$C253)</f>
        <v>0</v>
      </c>
      <c r="K253" s="183"/>
      <c r="L253" s="185">
        <f ca="1">_xll.DBRW(Server&amp;Cube1,$F$17,$F$18,$F$19,$F$16,$C$14,$F$15,$F$14,$F$20,L$2,L$1,$C253)</f>
        <v>0</v>
      </c>
      <c r="M253" s="184"/>
      <c r="N253" s="185">
        <f ca="1">_xll.DBRW(Server&amp;Cube1,$F$17,$F$18,$F$19,$F$16,$C$14,$F$15,$F$14,$F$20,N$2,$N$1,$C253)</f>
        <v>0</v>
      </c>
      <c r="O253" s="185">
        <f ca="1">_xll.DBRW(Server&amp;Cube1,$F$17,$F$18,$F$19,$F$16,$C$14,$F$15,$F$14,$F$20,O$2,$N$1,$C253)</f>
        <v>0</v>
      </c>
      <c r="P253" s="185">
        <f ca="1">_xll.DBRW(Server&amp;Cube1,$F$17,$F$18,$F$19,$F$16,$C$14,$F$15,$F$14,$F$20,P$2,$N$1,$C253)</f>
        <v>0</v>
      </c>
      <c r="Q253" s="185">
        <f ca="1">_xll.DBRW(Server&amp;Cube1,$F$17,$F$18,$F$19,$F$16,$C$14,$F$15,$F$14,$F$20,Q$2,$N$1,$C253)</f>
        <v>0</v>
      </c>
      <c r="R253" s="185">
        <f ca="1">_xll.DBRW(Server&amp;Cube1,$F$17,$F$18,$F$19,$F$16,$C$14,$F$15,$F$14,$F$20,R$2,$N$1,$C253)</f>
        <v>0</v>
      </c>
      <c r="S253" s="185">
        <f ca="1">_xll.DBRW(Server&amp;Cube1,$F$17,$F$18,$F$19,$F$16,$C$14,$F$15,$F$14,$F$20,S$2,$N$1,$C253)</f>
        <v>0</v>
      </c>
      <c r="T253" s="185">
        <f ca="1">_xll.DBRW(Server&amp;Cube1,$F$17,$F$18,$F$19,$F$16,$C$14,$F$15,$F$14,$F$20,T$2,$N$1,$C253)</f>
        <v>0</v>
      </c>
      <c r="U253" s="185">
        <f ca="1">_xll.DBRW(Server&amp;Cube1,$F$17,$F$18,$F$19,$F$16,$C$14,$F$15,$F$14,$F$20,U$2,$N$1,$C253)</f>
        <v>0</v>
      </c>
      <c r="V253" s="185">
        <f ca="1">_xll.DBRW(Server&amp;Cube1,$F$17,$F$18,$F$19,$F$16,$C$14,$F$15,$F$14,$F$20,V$2,$N$1,$C253)</f>
        <v>0</v>
      </c>
      <c r="W253" s="185">
        <f ca="1">_xll.DBRW(Server&amp;Cube1,$F$17,$F$18,$F$19,$F$16,$C$14,$F$15,$F$14,$F$20,W$2,$N$1,$C253)</f>
        <v>0</v>
      </c>
      <c r="X253" s="185">
        <f ca="1">_xll.DBRW(Server&amp;Cube1,$F$17,$F$18,$F$19,$F$16,$C$14,$F$15,$F$14,$F$20,X$2,$N$1,$C253)</f>
        <v>0</v>
      </c>
      <c r="Y253" s="185">
        <f ca="1">_xll.DBRW(Server&amp;Cube1,$F$17,$F$18,$F$19,$F$16,$C$14,$F$15,$F$14,$F$20,Y$2,$N$1,$C253)</f>
        <v>0</v>
      </c>
      <c r="Z253" s="185">
        <f ca="1">_xll.DBRW(Server&amp;Cube1,$F$17,$F$18,$F$19,$F$16,$C$14,$F$15,$F$14,$F$20,Z$2,$N$1,$C253)</f>
        <v>0</v>
      </c>
      <c r="AA253" s="53"/>
      <c r="AB253" s="53"/>
      <c r="AC253" s="53"/>
      <c r="AD253" s="53"/>
      <c r="AE253" s="53"/>
      <c r="AF253" s="53"/>
      <c r="AG253" s="53"/>
      <c r="AH253" s="53"/>
      <c r="AI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</row>
    <row r="254" spans="1:47" s="9" customFormat="1" ht="24" customHeight="1" x14ac:dyDescent="0.35">
      <c r="A254" s="157">
        <f ca="1">IF($AN$35="YES",1,IF(_xll.ELCOMPN(Server&amp;$C$24,C254)&lt;&gt;0,1,IF(OR(B254=$AT$35,B254="ALL"),1,0)))</f>
        <v>1</v>
      </c>
      <c r="B254" s="139" t="str">
        <f t="shared" si="3"/>
        <v>FI</v>
      </c>
      <c r="C254" s="137" t="s">
        <v>350</v>
      </c>
      <c r="E254" s="221" t="str">
        <f ca="1">_xll.DBRA(Server&amp;$C$24,$C254,$F$21)</f>
        <v>Personnel mis à disposition (DF)</v>
      </c>
      <c r="F254" s="221"/>
      <c r="G254" s="221"/>
      <c r="H254" s="40"/>
      <c r="I254" s="192">
        <f ca="1">_xll.DBRW(Server&amp;Cube1,$F$17,$F$18,$F$19,$F$16,$C$14,$F$15,$F$14,$F$20,I$2,I$1,$C254)</f>
        <v>0</v>
      </c>
      <c r="J254" s="192">
        <f ca="1">_xll.DBRW(Server&amp;Cube1,$F$17,$F$18,$F$19,$F$16,$C$14,$F$15,$F$14,$F$20,J$2,J$1,$C254)</f>
        <v>0</v>
      </c>
      <c r="K254" s="183"/>
      <c r="L254" s="185">
        <f ca="1">_xll.DBRW(Server&amp;Cube1,$F$17,$F$18,$F$19,$F$16,$C$14,$F$15,$F$14,$F$20,L$2,L$1,$C254)</f>
        <v>0</v>
      </c>
      <c r="M254" s="184"/>
      <c r="N254" s="185">
        <f ca="1">_xll.DBRW(Server&amp;Cube1,$F$17,$F$18,$F$19,$F$16,$C$14,$F$15,$F$14,$F$20,N$2,$N$1,$C254)</f>
        <v>0</v>
      </c>
      <c r="O254" s="185">
        <f ca="1">_xll.DBRW(Server&amp;Cube1,$F$17,$F$18,$F$19,$F$16,$C$14,$F$15,$F$14,$F$20,O$2,$N$1,$C254)</f>
        <v>0</v>
      </c>
      <c r="P254" s="185">
        <f ca="1">_xll.DBRW(Server&amp;Cube1,$F$17,$F$18,$F$19,$F$16,$C$14,$F$15,$F$14,$F$20,P$2,$N$1,$C254)</f>
        <v>0</v>
      </c>
      <c r="Q254" s="185">
        <f ca="1">_xll.DBRW(Server&amp;Cube1,$F$17,$F$18,$F$19,$F$16,$C$14,$F$15,$F$14,$F$20,Q$2,$N$1,$C254)</f>
        <v>0</v>
      </c>
      <c r="R254" s="185">
        <f ca="1">_xll.DBRW(Server&amp;Cube1,$F$17,$F$18,$F$19,$F$16,$C$14,$F$15,$F$14,$F$20,R$2,$N$1,$C254)</f>
        <v>0</v>
      </c>
      <c r="S254" s="185">
        <f ca="1">_xll.DBRW(Server&amp;Cube1,$F$17,$F$18,$F$19,$F$16,$C$14,$F$15,$F$14,$F$20,S$2,$N$1,$C254)</f>
        <v>0</v>
      </c>
      <c r="T254" s="185">
        <f ca="1">_xll.DBRW(Server&amp;Cube1,$F$17,$F$18,$F$19,$F$16,$C$14,$F$15,$F$14,$F$20,T$2,$N$1,$C254)</f>
        <v>0</v>
      </c>
      <c r="U254" s="185">
        <f ca="1">_xll.DBRW(Server&amp;Cube1,$F$17,$F$18,$F$19,$F$16,$C$14,$F$15,$F$14,$F$20,U$2,$N$1,$C254)</f>
        <v>0</v>
      </c>
      <c r="V254" s="185">
        <f ca="1">_xll.DBRW(Server&amp;Cube1,$F$17,$F$18,$F$19,$F$16,$C$14,$F$15,$F$14,$F$20,V$2,$N$1,$C254)</f>
        <v>0</v>
      </c>
      <c r="W254" s="185">
        <f ca="1">_xll.DBRW(Server&amp;Cube1,$F$17,$F$18,$F$19,$F$16,$C$14,$F$15,$F$14,$F$20,W$2,$N$1,$C254)</f>
        <v>0</v>
      </c>
      <c r="X254" s="185">
        <f ca="1">_xll.DBRW(Server&amp;Cube1,$F$17,$F$18,$F$19,$F$16,$C$14,$F$15,$F$14,$F$20,X$2,$N$1,$C254)</f>
        <v>0</v>
      </c>
      <c r="Y254" s="185">
        <f ca="1">_xll.DBRW(Server&amp;Cube1,$F$17,$F$18,$F$19,$F$16,$C$14,$F$15,$F$14,$F$20,Y$2,$N$1,$C254)</f>
        <v>0</v>
      </c>
      <c r="Z254" s="185">
        <f ca="1">_xll.DBRW(Server&amp;Cube1,$F$17,$F$18,$F$19,$F$16,$C$14,$F$15,$F$14,$F$20,Z$2,$N$1,$C254)</f>
        <v>0</v>
      </c>
      <c r="AA254" s="53"/>
      <c r="AB254" s="53"/>
      <c r="AC254" s="53"/>
      <c r="AD254" s="53"/>
      <c r="AE254" s="53"/>
      <c r="AF254" s="53"/>
      <c r="AG254" s="53"/>
      <c r="AH254" s="53"/>
      <c r="AI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</row>
    <row r="255" spans="1:47" s="9" customFormat="1" ht="24" customHeight="1" x14ac:dyDescent="0.35">
      <c r="A255" s="157">
        <f ca="1">IF($AN$35="YES",1,IF(_xll.ELCOMPN(Server&amp;$C$24,C255)&lt;&gt;0,1,IF(OR(B255=$AT$35,B255="ALL"),1,0)))</f>
        <v>1</v>
      </c>
      <c r="B255" s="139" t="str">
        <f t="shared" si="3"/>
        <v>IT</v>
      </c>
      <c r="C255" s="137" t="s">
        <v>351</v>
      </c>
      <c r="E255" s="221" t="str">
        <f ca="1">_xll.DBRA(Server&amp;$C$24,$C255,$F$21)</f>
        <v>Personnel mis à disposition (IT)</v>
      </c>
      <c r="F255" s="221"/>
      <c r="G255" s="221"/>
      <c r="H255" s="40"/>
      <c r="I255" s="192">
        <f ca="1">_xll.DBRW(Server&amp;Cube1,$F$17,$F$18,$F$19,$F$16,$C$14,$F$15,$F$14,$F$20,I$2,I$1,$C255)</f>
        <v>0</v>
      </c>
      <c r="J255" s="192">
        <f ca="1">_xll.DBRW(Server&amp;Cube1,$F$17,$F$18,$F$19,$F$16,$C$14,$F$15,$F$14,$F$20,J$2,J$1,$C255)</f>
        <v>0</v>
      </c>
      <c r="K255" s="183"/>
      <c r="L255" s="185">
        <f ca="1">_xll.DBRW(Server&amp;Cube1,$F$17,$F$18,$F$19,$F$16,$C$14,$F$15,$F$14,$F$20,L$2,L$1,$C255)</f>
        <v>0</v>
      </c>
      <c r="M255" s="184"/>
      <c r="N255" s="185">
        <f ca="1">_xll.DBRW(Server&amp;Cube1,$F$17,$F$18,$F$19,$F$16,$C$14,$F$15,$F$14,$F$20,N$2,$N$1,$C255)</f>
        <v>0</v>
      </c>
      <c r="O255" s="185">
        <f ca="1">_xll.DBRW(Server&amp;Cube1,$F$17,$F$18,$F$19,$F$16,$C$14,$F$15,$F$14,$F$20,O$2,$N$1,$C255)</f>
        <v>0</v>
      </c>
      <c r="P255" s="185">
        <f ca="1">_xll.DBRW(Server&amp;Cube1,$F$17,$F$18,$F$19,$F$16,$C$14,$F$15,$F$14,$F$20,P$2,$N$1,$C255)</f>
        <v>0</v>
      </c>
      <c r="Q255" s="185">
        <f ca="1">_xll.DBRW(Server&amp;Cube1,$F$17,$F$18,$F$19,$F$16,$C$14,$F$15,$F$14,$F$20,Q$2,$N$1,$C255)</f>
        <v>0</v>
      </c>
      <c r="R255" s="185">
        <f ca="1">_xll.DBRW(Server&amp;Cube1,$F$17,$F$18,$F$19,$F$16,$C$14,$F$15,$F$14,$F$20,R$2,$N$1,$C255)</f>
        <v>0</v>
      </c>
      <c r="S255" s="185">
        <f ca="1">_xll.DBRW(Server&amp;Cube1,$F$17,$F$18,$F$19,$F$16,$C$14,$F$15,$F$14,$F$20,S$2,$N$1,$C255)</f>
        <v>0</v>
      </c>
      <c r="T255" s="185">
        <f ca="1">_xll.DBRW(Server&amp;Cube1,$F$17,$F$18,$F$19,$F$16,$C$14,$F$15,$F$14,$F$20,T$2,$N$1,$C255)</f>
        <v>0</v>
      </c>
      <c r="U255" s="185">
        <f ca="1">_xll.DBRW(Server&amp;Cube1,$F$17,$F$18,$F$19,$F$16,$C$14,$F$15,$F$14,$F$20,U$2,$N$1,$C255)</f>
        <v>0</v>
      </c>
      <c r="V255" s="185">
        <f ca="1">_xll.DBRW(Server&amp;Cube1,$F$17,$F$18,$F$19,$F$16,$C$14,$F$15,$F$14,$F$20,V$2,$N$1,$C255)</f>
        <v>0</v>
      </c>
      <c r="W255" s="185">
        <f ca="1">_xll.DBRW(Server&amp;Cube1,$F$17,$F$18,$F$19,$F$16,$C$14,$F$15,$F$14,$F$20,W$2,$N$1,$C255)</f>
        <v>0</v>
      </c>
      <c r="X255" s="185">
        <f ca="1">_xll.DBRW(Server&amp;Cube1,$F$17,$F$18,$F$19,$F$16,$C$14,$F$15,$F$14,$F$20,X$2,$N$1,$C255)</f>
        <v>0</v>
      </c>
      <c r="Y255" s="185">
        <f ca="1">_xll.DBRW(Server&amp;Cube1,$F$17,$F$18,$F$19,$F$16,$C$14,$F$15,$F$14,$F$20,Y$2,$N$1,$C255)</f>
        <v>0</v>
      </c>
      <c r="Z255" s="185">
        <f ca="1">_xll.DBRW(Server&amp;Cube1,$F$17,$F$18,$F$19,$F$16,$C$14,$F$15,$F$14,$F$20,Z$2,$N$1,$C255)</f>
        <v>0</v>
      </c>
      <c r="AA255" s="53"/>
      <c r="AB255" s="53"/>
      <c r="AC255" s="53"/>
      <c r="AD255" s="53"/>
      <c r="AE255" s="53"/>
      <c r="AF255" s="53"/>
      <c r="AG255" s="53"/>
      <c r="AH255" s="53"/>
      <c r="AI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</row>
    <row r="256" spans="1:47" s="9" customFormat="1" ht="24" customHeight="1" x14ac:dyDescent="0.35">
      <c r="A256" s="157">
        <f ca="1">IF($AN$35="YES",1,IF(_xll.ELCOMPN(Server&amp;$C$24,C256)&lt;&gt;0,1,IF(OR(B256=$AT$35,B256="ALL"),1,0)))</f>
        <v>1</v>
      </c>
      <c r="B256" s="139" t="str">
        <f t="shared" si="3"/>
        <v>HR</v>
      </c>
      <c r="C256" s="137" t="s">
        <v>352</v>
      </c>
      <c r="E256" s="221" t="str">
        <f ca="1">_xll.DBRA(Server&amp;$C$24,$C256,$F$21)</f>
        <v>Personnel mis à disposition (RH)</v>
      </c>
      <c r="F256" s="221"/>
      <c r="G256" s="221"/>
      <c r="H256" s="40"/>
      <c r="I256" s="192">
        <f ca="1">_xll.DBRW(Server&amp;Cube1,$F$17,$F$18,$F$19,$F$16,$C$14,$F$15,$F$14,$F$20,I$2,I$1,$C256)</f>
        <v>0</v>
      </c>
      <c r="J256" s="192">
        <f ca="1">_xll.DBRW(Server&amp;Cube1,$F$17,$F$18,$F$19,$F$16,$C$14,$F$15,$F$14,$F$20,J$2,J$1,$C256)</f>
        <v>0</v>
      </c>
      <c r="K256" s="183"/>
      <c r="L256" s="185">
        <f ca="1">_xll.DBRW(Server&amp;Cube1,$F$17,$F$18,$F$19,$F$16,$C$14,$F$15,$F$14,$F$20,L$2,L$1,$C256)</f>
        <v>0</v>
      </c>
      <c r="M256" s="184"/>
      <c r="N256" s="185">
        <f ca="1">_xll.DBRW(Server&amp;Cube1,$F$17,$F$18,$F$19,$F$16,$C$14,$F$15,$F$14,$F$20,N$2,$N$1,$C256)</f>
        <v>0</v>
      </c>
      <c r="O256" s="185">
        <f ca="1">_xll.DBRW(Server&amp;Cube1,$F$17,$F$18,$F$19,$F$16,$C$14,$F$15,$F$14,$F$20,O$2,$N$1,$C256)</f>
        <v>0</v>
      </c>
      <c r="P256" s="185">
        <f ca="1">_xll.DBRW(Server&amp;Cube1,$F$17,$F$18,$F$19,$F$16,$C$14,$F$15,$F$14,$F$20,P$2,$N$1,$C256)</f>
        <v>0</v>
      </c>
      <c r="Q256" s="185">
        <f ca="1">_xll.DBRW(Server&amp;Cube1,$F$17,$F$18,$F$19,$F$16,$C$14,$F$15,$F$14,$F$20,Q$2,$N$1,$C256)</f>
        <v>0</v>
      </c>
      <c r="R256" s="185">
        <f ca="1">_xll.DBRW(Server&amp;Cube1,$F$17,$F$18,$F$19,$F$16,$C$14,$F$15,$F$14,$F$20,R$2,$N$1,$C256)</f>
        <v>0</v>
      </c>
      <c r="S256" s="185">
        <f ca="1">_xll.DBRW(Server&amp;Cube1,$F$17,$F$18,$F$19,$F$16,$C$14,$F$15,$F$14,$F$20,S$2,$N$1,$C256)</f>
        <v>0</v>
      </c>
      <c r="T256" s="185">
        <f ca="1">_xll.DBRW(Server&amp;Cube1,$F$17,$F$18,$F$19,$F$16,$C$14,$F$15,$F$14,$F$20,T$2,$N$1,$C256)</f>
        <v>0</v>
      </c>
      <c r="U256" s="185">
        <f ca="1">_xll.DBRW(Server&amp;Cube1,$F$17,$F$18,$F$19,$F$16,$C$14,$F$15,$F$14,$F$20,U$2,$N$1,$C256)</f>
        <v>0</v>
      </c>
      <c r="V256" s="185">
        <f ca="1">_xll.DBRW(Server&amp;Cube1,$F$17,$F$18,$F$19,$F$16,$C$14,$F$15,$F$14,$F$20,V$2,$N$1,$C256)</f>
        <v>0</v>
      </c>
      <c r="W256" s="185">
        <f ca="1">_xll.DBRW(Server&amp;Cube1,$F$17,$F$18,$F$19,$F$16,$C$14,$F$15,$F$14,$F$20,W$2,$N$1,$C256)</f>
        <v>0</v>
      </c>
      <c r="X256" s="185">
        <f ca="1">_xll.DBRW(Server&amp;Cube1,$F$17,$F$18,$F$19,$F$16,$C$14,$F$15,$F$14,$F$20,X$2,$N$1,$C256)</f>
        <v>0</v>
      </c>
      <c r="Y256" s="185">
        <f ca="1">_xll.DBRW(Server&amp;Cube1,$F$17,$F$18,$F$19,$F$16,$C$14,$F$15,$F$14,$F$20,Y$2,$N$1,$C256)</f>
        <v>0</v>
      </c>
      <c r="Z256" s="185">
        <f ca="1">_xll.DBRW(Server&amp;Cube1,$F$17,$F$18,$F$19,$F$16,$C$14,$F$15,$F$14,$F$20,Z$2,$N$1,$C256)</f>
        <v>0</v>
      </c>
      <c r="AA256" s="53"/>
      <c r="AB256" s="53"/>
      <c r="AC256" s="53"/>
      <c r="AD256" s="53"/>
      <c r="AE256" s="53"/>
      <c r="AF256" s="53"/>
      <c r="AG256" s="53"/>
      <c r="AH256" s="53"/>
      <c r="AI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</row>
    <row r="257" spans="1:47" s="9" customFormat="1" ht="24" customHeight="1" x14ac:dyDescent="0.35">
      <c r="A257" s="157">
        <f ca="1">IF($AN$35="YES",1,IF(_xll.ELCOMPN(Server&amp;$C$24,C257)&lt;&gt;0,1,IF(OR(B257=$AT$35,B257="ALL"),1,0)))</f>
        <v>1</v>
      </c>
      <c r="B257" s="139" t="str">
        <f t="shared" si="3"/>
        <v>GM</v>
      </c>
      <c r="C257" s="137" t="s">
        <v>353</v>
      </c>
      <c r="E257" s="221" t="str">
        <f ca="1">_xll.DBRA(Server&amp;$C$24,$C257,$F$21)</f>
        <v>Personnel mis à disposition (DG)</v>
      </c>
      <c r="F257" s="221"/>
      <c r="G257" s="221"/>
      <c r="H257" s="40"/>
      <c r="I257" s="192">
        <f ca="1">_xll.DBRW(Server&amp;Cube1,$F$17,$F$18,$F$19,$F$16,$C$14,$F$15,$F$14,$F$20,I$2,I$1,$C257)</f>
        <v>0</v>
      </c>
      <c r="J257" s="192">
        <f ca="1">_xll.DBRW(Server&amp;Cube1,$F$17,$F$18,$F$19,$F$16,$C$14,$F$15,$F$14,$F$20,J$2,J$1,$C257)</f>
        <v>0</v>
      </c>
      <c r="K257" s="183"/>
      <c r="L257" s="185">
        <f ca="1">_xll.DBRW(Server&amp;Cube1,$F$17,$F$18,$F$19,$F$16,$C$14,$F$15,$F$14,$F$20,L$2,L$1,$C257)</f>
        <v>0</v>
      </c>
      <c r="M257" s="184"/>
      <c r="N257" s="185">
        <f ca="1">_xll.DBRW(Server&amp;Cube1,$F$17,$F$18,$F$19,$F$16,$C$14,$F$15,$F$14,$F$20,N$2,$N$1,$C257)</f>
        <v>0</v>
      </c>
      <c r="O257" s="185">
        <f ca="1">_xll.DBRW(Server&amp;Cube1,$F$17,$F$18,$F$19,$F$16,$C$14,$F$15,$F$14,$F$20,O$2,$N$1,$C257)</f>
        <v>0</v>
      </c>
      <c r="P257" s="185">
        <f ca="1">_xll.DBRW(Server&amp;Cube1,$F$17,$F$18,$F$19,$F$16,$C$14,$F$15,$F$14,$F$20,P$2,$N$1,$C257)</f>
        <v>0</v>
      </c>
      <c r="Q257" s="185">
        <f ca="1">_xll.DBRW(Server&amp;Cube1,$F$17,$F$18,$F$19,$F$16,$C$14,$F$15,$F$14,$F$20,Q$2,$N$1,$C257)</f>
        <v>0</v>
      </c>
      <c r="R257" s="185">
        <f ca="1">_xll.DBRW(Server&amp;Cube1,$F$17,$F$18,$F$19,$F$16,$C$14,$F$15,$F$14,$F$20,R$2,$N$1,$C257)</f>
        <v>0</v>
      </c>
      <c r="S257" s="185">
        <f ca="1">_xll.DBRW(Server&amp;Cube1,$F$17,$F$18,$F$19,$F$16,$C$14,$F$15,$F$14,$F$20,S$2,$N$1,$C257)</f>
        <v>0</v>
      </c>
      <c r="T257" s="185">
        <f ca="1">_xll.DBRW(Server&amp;Cube1,$F$17,$F$18,$F$19,$F$16,$C$14,$F$15,$F$14,$F$20,T$2,$N$1,$C257)</f>
        <v>0</v>
      </c>
      <c r="U257" s="185">
        <f ca="1">_xll.DBRW(Server&amp;Cube1,$F$17,$F$18,$F$19,$F$16,$C$14,$F$15,$F$14,$F$20,U$2,$N$1,$C257)</f>
        <v>0</v>
      </c>
      <c r="V257" s="185">
        <f ca="1">_xll.DBRW(Server&amp;Cube1,$F$17,$F$18,$F$19,$F$16,$C$14,$F$15,$F$14,$F$20,V$2,$N$1,$C257)</f>
        <v>0</v>
      </c>
      <c r="W257" s="185">
        <f ca="1">_xll.DBRW(Server&amp;Cube1,$F$17,$F$18,$F$19,$F$16,$C$14,$F$15,$F$14,$F$20,W$2,$N$1,$C257)</f>
        <v>0</v>
      </c>
      <c r="X257" s="185">
        <f ca="1">_xll.DBRW(Server&amp;Cube1,$F$17,$F$18,$F$19,$F$16,$C$14,$F$15,$F$14,$F$20,X$2,$N$1,$C257)</f>
        <v>0</v>
      </c>
      <c r="Y257" s="185">
        <f ca="1">_xll.DBRW(Server&amp;Cube1,$F$17,$F$18,$F$19,$F$16,$C$14,$F$15,$F$14,$F$20,Y$2,$N$1,$C257)</f>
        <v>0</v>
      </c>
      <c r="Z257" s="185">
        <f ca="1">_xll.DBRW(Server&amp;Cube1,$F$17,$F$18,$F$19,$F$16,$C$14,$F$15,$F$14,$F$20,Z$2,$N$1,$C257)</f>
        <v>0</v>
      </c>
      <c r="AA257" s="53"/>
      <c r="AB257" s="53"/>
      <c r="AC257" s="53"/>
      <c r="AD257" s="53"/>
      <c r="AE257" s="53"/>
      <c r="AF257" s="53"/>
      <c r="AG257" s="53"/>
      <c r="AH257" s="53"/>
      <c r="AI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</row>
    <row r="258" spans="1:47" s="9" customFormat="1" ht="24" customHeight="1" x14ac:dyDescent="0.35">
      <c r="A258" s="157">
        <f ca="1">IF($AN$35="YES",1,IF(_xll.ELCOMPN(Server&amp;$C$24,C258)&lt;&gt;0,1,IF(OR(B258=$AT$35,B258="ALL"),1,0)))</f>
        <v>1</v>
      </c>
      <c r="B258" s="139" t="str">
        <f t="shared" si="3"/>
        <v>IA</v>
      </c>
      <c r="C258" s="137" t="s">
        <v>354</v>
      </c>
      <c r="E258" s="221" t="str">
        <f ca="1">_xll.DBRA(Server&amp;$C$24,$C258,$F$21)</f>
        <v>Personnel mis à disposition (AI)</v>
      </c>
      <c r="F258" s="221"/>
      <c r="G258" s="221"/>
      <c r="H258" s="40"/>
      <c r="I258" s="192">
        <f ca="1">_xll.DBRW(Server&amp;Cube1,$F$17,$F$18,$F$19,$F$16,$C$14,$F$15,$F$14,$F$20,I$2,I$1,$C258)</f>
        <v>0</v>
      </c>
      <c r="J258" s="192">
        <f ca="1">_xll.DBRW(Server&amp;Cube1,$F$17,$F$18,$F$19,$F$16,$C$14,$F$15,$F$14,$F$20,J$2,J$1,$C258)</f>
        <v>0</v>
      </c>
      <c r="K258" s="183"/>
      <c r="L258" s="185">
        <f ca="1">_xll.DBRW(Server&amp;Cube1,$F$17,$F$18,$F$19,$F$16,$C$14,$F$15,$F$14,$F$20,L$2,L$1,$C258)</f>
        <v>0</v>
      </c>
      <c r="M258" s="184"/>
      <c r="N258" s="185">
        <f ca="1">_xll.DBRW(Server&amp;Cube1,$F$17,$F$18,$F$19,$F$16,$C$14,$F$15,$F$14,$F$20,N$2,$N$1,$C258)</f>
        <v>0</v>
      </c>
      <c r="O258" s="185">
        <f ca="1">_xll.DBRW(Server&amp;Cube1,$F$17,$F$18,$F$19,$F$16,$C$14,$F$15,$F$14,$F$20,O$2,$N$1,$C258)</f>
        <v>0</v>
      </c>
      <c r="P258" s="185">
        <f ca="1">_xll.DBRW(Server&amp;Cube1,$F$17,$F$18,$F$19,$F$16,$C$14,$F$15,$F$14,$F$20,P$2,$N$1,$C258)</f>
        <v>0</v>
      </c>
      <c r="Q258" s="185">
        <f ca="1">_xll.DBRW(Server&amp;Cube1,$F$17,$F$18,$F$19,$F$16,$C$14,$F$15,$F$14,$F$20,Q$2,$N$1,$C258)</f>
        <v>0</v>
      </c>
      <c r="R258" s="185">
        <f ca="1">_xll.DBRW(Server&amp;Cube1,$F$17,$F$18,$F$19,$F$16,$C$14,$F$15,$F$14,$F$20,R$2,$N$1,$C258)</f>
        <v>0</v>
      </c>
      <c r="S258" s="185">
        <f ca="1">_xll.DBRW(Server&amp;Cube1,$F$17,$F$18,$F$19,$F$16,$C$14,$F$15,$F$14,$F$20,S$2,$N$1,$C258)</f>
        <v>0</v>
      </c>
      <c r="T258" s="185">
        <f ca="1">_xll.DBRW(Server&amp;Cube1,$F$17,$F$18,$F$19,$F$16,$C$14,$F$15,$F$14,$F$20,T$2,$N$1,$C258)</f>
        <v>0</v>
      </c>
      <c r="U258" s="185">
        <f ca="1">_xll.DBRW(Server&amp;Cube1,$F$17,$F$18,$F$19,$F$16,$C$14,$F$15,$F$14,$F$20,U$2,$N$1,$C258)</f>
        <v>0</v>
      </c>
      <c r="V258" s="185">
        <f ca="1">_xll.DBRW(Server&amp;Cube1,$F$17,$F$18,$F$19,$F$16,$C$14,$F$15,$F$14,$F$20,V$2,$N$1,$C258)</f>
        <v>0</v>
      </c>
      <c r="W258" s="185">
        <f ca="1">_xll.DBRW(Server&amp;Cube1,$F$17,$F$18,$F$19,$F$16,$C$14,$F$15,$F$14,$F$20,W$2,$N$1,$C258)</f>
        <v>0</v>
      </c>
      <c r="X258" s="185">
        <f ca="1">_xll.DBRW(Server&amp;Cube1,$F$17,$F$18,$F$19,$F$16,$C$14,$F$15,$F$14,$F$20,X$2,$N$1,$C258)</f>
        <v>0</v>
      </c>
      <c r="Y258" s="185">
        <f ca="1">_xll.DBRW(Server&amp;Cube1,$F$17,$F$18,$F$19,$F$16,$C$14,$F$15,$F$14,$F$20,Y$2,$N$1,$C258)</f>
        <v>0</v>
      </c>
      <c r="Z258" s="185">
        <f ca="1">_xll.DBRW(Server&amp;Cube1,$F$17,$F$18,$F$19,$F$16,$C$14,$F$15,$F$14,$F$20,Z$2,$N$1,$C258)</f>
        <v>0</v>
      </c>
      <c r="AA258" s="53"/>
      <c r="AB258" s="53"/>
      <c r="AC258" s="53"/>
      <c r="AD258" s="53"/>
      <c r="AE258" s="53"/>
      <c r="AF258" s="53"/>
      <c r="AG258" s="53"/>
      <c r="AH258" s="53"/>
      <c r="AI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</row>
    <row r="259" spans="1:47" s="9" customFormat="1" ht="24" customHeight="1" x14ac:dyDescent="0.35">
      <c r="A259" s="157">
        <f ca="1">IF($AN$35="YES",1,IF(_xll.ELCOMPN(Server&amp;$C$24,C259)&lt;&gt;0,1,IF(OR(B259=$AT$35,B259="ALL"),1,0)))</f>
        <v>1</v>
      </c>
      <c r="B259" s="139" t="str">
        <f t="shared" si="3"/>
        <v>LE</v>
      </c>
      <c r="C259" s="137" t="s">
        <v>355</v>
      </c>
      <c r="E259" s="221" t="str">
        <f ca="1">_xll.DBRA(Server&amp;$C$24,$C259,$F$21)</f>
        <v>Personnel mis à disposition (JU)</v>
      </c>
      <c r="F259" s="221"/>
      <c r="G259" s="221"/>
      <c r="H259" s="40"/>
      <c r="I259" s="192">
        <f ca="1">_xll.DBRW(Server&amp;Cube1,$F$17,$F$18,$F$19,$F$16,$C$14,$F$15,$F$14,$F$20,I$2,I$1,$C259)</f>
        <v>0</v>
      </c>
      <c r="J259" s="192">
        <f ca="1">_xll.DBRW(Server&amp;Cube1,$F$17,$F$18,$F$19,$F$16,$C$14,$F$15,$F$14,$F$20,J$2,J$1,$C259)</f>
        <v>0</v>
      </c>
      <c r="K259" s="183"/>
      <c r="L259" s="185">
        <f ca="1">_xll.DBRW(Server&amp;Cube1,$F$17,$F$18,$F$19,$F$16,$C$14,$F$15,$F$14,$F$20,L$2,L$1,$C259)</f>
        <v>0</v>
      </c>
      <c r="M259" s="184"/>
      <c r="N259" s="185">
        <f ca="1">_xll.DBRW(Server&amp;Cube1,$F$17,$F$18,$F$19,$F$16,$C$14,$F$15,$F$14,$F$20,N$2,$N$1,$C259)</f>
        <v>0</v>
      </c>
      <c r="O259" s="185">
        <f ca="1">_xll.DBRW(Server&amp;Cube1,$F$17,$F$18,$F$19,$F$16,$C$14,$F$15,$F$14,$F$20,O$2,$N$1,$C259)</f>
        <v>0</v>
      </c>
      <c r="P259" s="185">
        <f ca="1">_xll.DBRW(Server&amp;Cube1,$F$17,$F$18,$F$19,$F$16,$C$14,$F$15,$F$14,$F$20,P$2,$N$1,$C259)</f>
        <v>0</v>
      </c>
      <c r="Q259" s="185">
        <f ca="1">_xll.DBRW(Server&amp;Cube1,$F$17,$F$18,$F$19,$F$16,$C$14,$F$15,$F$14,$F$20,Q$2,$N$1,$C259)</f>
        <v>0</v>
      </c>
      <c r="R259" s="185">
        <f ca="1">_xll.DBRW(Server&amp;Cube1,$F$17,$F$18,$F$19,$F$16,$C$14,$F$15,$F$14,$F$20,R$2,$N$1,$C259)</f>
        <v>0</v>
      </c>
      <c r="S259" s="185">
        <f ca="1">_xll.DBRW(Server&amp;Cube1,$F$17,$F$18,$F$19,$F$16,$C$14,$F$15,$F$14,$F$20,S$2,$N$1,$C259)</f>
        <v>0</v>
      </c>
      <c r="T259" s="185">
        <f ca="1">_xll.DBRW(Server&amp;Cube1,$F$17,$F$18,$F$19,$F$16,$C$14,$F$15,$F$14,$F$20,T$2,$N$1,$C259)</f>
        <v>0</v>
      </c>
      <c r="U259" s="185">
        <f ca="1">_xll.DBRW(Server&amp;Cube1,$F$17,$F$18,$F$19,$F$16,$C$14,$F$15,$F$14,$F$20,U$2,$N$1,$C259)</f>
        <v>0</v>
      </c>
      <c r="V259" s="185">
        <f ca="1">_xll.DBRW(Server&amp;Cube1,$F$17,$F$18,$F$19,$F$16,$C$14,$F$15,$F$14,$F$20,V$2,$N$1,$C259)</f>
        <v>0</v>
      </c>
      <c r="W259" s="185">
        <f ca="1">_xll.DBRW(Server&amp;Cube1,$F$17,$F$18,$F$19,$F$16,$C$14,$F$15,$F$14,$F$20,W$2,$N$1,$C259)</f>
        <v>0</v>
      </c>
      <c r="X259" s="185">
        <f ca="1">_xll.DBRW(Server&amp;Cube1,$F$17,$F$18,$F$19,$F$16,$C$14,$F$15,$F$14,$F$20,X$2,$N$1,$C259)</f>
        <v>0</v>
      </c>
      <c r="Y259" s="185">
        <f ca="1">_xll.DBRW(Server&amp;Cube1,$F$17,$F$18,$F$19,$F$16,$C$14,$F$15,$F$14,$F$20,Y$2,$N$1,$C259)</f>
        <v>0</v>
      </c>
      <c r="Z259" s="185">
        <f ca="1">_xll.DBRW(Server&amp;Cube1,$F$17,$F$18,$F$19,$F$16,$C$14,$F$15,$F$14,$F$20,Z$2,$N$1,$C259)</f>
        <v>0</v>
      </c>
      <c r="AA259" s="53"/>
      <c r="AB259" s="53"/>
      <c r="AC259" s="53"/>
      <c r="AD259" s="53"/>
      <c r="AE259" s="53"/>
      <c r="AF259" s="53"/>
      <c r="AG259" s="53"/>
      <c r="AH259" s="53"/>
      <c r="AI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</row>
    <row r="260" spans="1:47" s="9" customFormat="1" ht="24" customHeight="1" x14ac:dyDescent="0.35">
      <c r="A260" s="157">
        <f ca="1">IF($AN$35="YES",1,IF(_xll.ELCOMPN(Server&amp;$C$24,C260)&lt;&gt;0,1,IF(OR(B260=$AT$35,B260="ALL"),1,0)))</f>
        <v>1</v>
      </c>
      <c r="B260" s="139" t="str">
        <f t="shared" si="3"/>
        <v>RM</v>
      </c>
      <c r="C260" s="137" t="s">
        <v>356</v>
      </c>
      <c r="E260" s="221" t="str">
        <f ca="1">_xll.DBRA(Server&amp;$C$24,$C260,$F$21)</f>
        <v>Personnel mis à disposition (GR)</v>
      </c>
      <c r="F260" s="221"/>
      <c r="G260" s="221"/>
      <c r="H260" s="40"/>
      <c r="I260" s="192">
        <f ca="1">_xll.DBRW(Server&amp;Cube1,$F$17,$F$18,$F$19,$F$16,$C$14,$F$15,$F$14,$F$20,I$2,I$1,$C260)</f>
        <v>0</v>
      </c>
      <c r="J260" s="192">
        <f ca="1">_xll.DBRW(Server&amp;Cube1,$F$17,$F$18,$F$19,$F$16,$C$14,$F$15,$F$14,$F$20,J$2,J$1,$C260)</f>
        <v>0</v>
      </c>
      <c r="K260" s="183"/>
      <c r="L260" s="185">
        <f ca="1">_xll.DBRW(Server&amp;Cube1,$F$17,$F$18,$F$19,$F$16,$C$14,$F$15,$F$14,$F$20,L$2,L$1,$C260)</f>
        <v>0</v>
      </c>
      <c r="M260" s="184"/>
      <c r="N260" s="185">
        <f ca="1">_xll.DBRW(Server&amp;Cube1,$F$17,$F$18,$F$19,$F$16,$C$14,$F$15,$F$14,$F$20,N$2,$N$1,$C260)</f>
        <v>0</v>
      </c>
      <c r="O260" s="185">
        <f ca="1">_xll.DBRW(Server&amp;Cube1,$F$17,$F$18,$F$19,$F$16,$C$14,$F$15,$F$14,$F$20,O$2,$N$1,$C260)</f>
        <v>0</v>
      </c>
      <c r="P260" s="185">
        <f ca="1">_xll.DBRW(Server&amp;Cube1,$F$17,$F$18,$F$19,$F$16,$C$14,$F$15,$F$14,$F$20,P$2,$N$1,$C260)</f>
        <v>0</v>
      </c>
      <c r="Q260" s="185">
        <f ca="1">_xll.DBRW(Server&amp;Cube1,$F$17,$F$18,$F$19,$F$16,$C$14,$F$15,$F$14,$F$20,Q$2,$N$1,$C260)</f>
        <v>0</v>
      </c>
      <c r="R260" s="185">
        <f ca="1">_xll.DBRW(Server&amp;Cube1,$F$17,$F$18,$F$19,$F$16,$C$14,$F$15,$F$14,$F$20,R$2,$N$1,$C260)</f>
        <v>0</v>
      </c>
      <c r="S260" s="185">
        <f ca="1">_xll.DBRW(Server&amp;Cube1,$F$17,$F$18,$F$19,$F$16,$C$14,$F$15,$F$14,$F$20,S$2,$N$1,$C260)</f>
        <v>0</v>
      </c>
      <c r="T260" s="185">
        <f ca="1">_xll.DBRW(Server&amp;Cube1,$F$17,$F$18,$F$19,$F$16,$C$14,$F$15,$F$14,$F$20,T$2,$N$1,$C260)</f>
        <v>0</v>
      </c>
      <c r="U260" s="185">
        <f ca="1">_xll.DBRW(Server&amp;Cube1,$F$17,$F$18,$F$19,$F$16,$C$14,$F$15,$F$14,$F$20,U$2,$N$1,$C260)</f>
        <v>0</v>
      </c>
      <c r="V260" s="185">
        <f ca="1">_xll.DBRW(Server&amp;Cube1,$F$17,$F$18,$F$19,$F$16,$C$14,$F$15,$F$14,$F$20,V$2,$N$1,$C260)</f>
        <v>0</v>
      </c>
      <c r="W260" s="185">
        <f ca="1">_xll.DBRW(Server&amp;Cube1,$F$17,$F$18,$F$19,$F$16,$C$14,$F$15,$F$14,$F$20,W$2,$N$1,$C260)</f>
        <v>0</v>
      </c>
      <c r="X260" s="185">
        <f ca="1">_xll.DBRW(Server&amp;Cube1,$F$17,$F$18,$F$19,$F$16,$C$14,$F$15,$F$14,$F$20,X$2,$N$1,$C260)</f>
        <v>0</v>
      </c>
      <c r="Y260" s="185">
        <f ca="1">_xll.DBRW(Server&amp;Cube1,$F$17,$F$18,$F$19,$F$16,$C$14,$F$15,$F$14,$F$20,Y$2,$N$1,$C260)</f>
        <v>0</v>
      </c>
      <c r="Z260" s="185">
        <f ca="1">_xll.DBRW(Server&amp;Cube1,$F$17,$F$18,$F$19,$F$16,$C$14,$F$15,$F$14,$F$20,Z$2,$N$1,$C260)</f>
        <v>0</v>
      </c>
      <c r="AA260" s="53"/>
      <c r="AB260" s="53"/>
      <c r="AC260" s="53"/>
      <c r="AD260" s="53"/>
      <c r="AE260" s="53"/>
      <c r="AF260" s="53"/>
      <c r="AG260" s="53"/>
      <c r="AH260" s="53"/>
      <c r="AI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</row>
    <row r="261" spans="1:47" s="9" customFormat="1" ht="24" customHeight="1" x14ac:dyDescent="0.35">
      <c r="A261" s="157">
        <f ca="1">IF($AN$35="YES",1,IF(_xll.ELCOMPN(Server&amp;$C$24,C261)&lt;&gt;0,1,IF(OR(B261=$AT$35,B261="ALL"),1,0)))</f>
        <v>1</v>
      </c>
      <c r="B261" s="139" t="str">
        <f t="shared" si="3"/>
        <v>PU</v>
      </c>
      <c r="C261" s="137" t="s">
        <v>357</v>
      </c>
      <c r="E261" s="221" t="str">
        <f ca="1">_xll.DBRA(Server&amp;$C$24,$C261,$F$21)</f>
        <v>Personnel mis à disposition (AC)</v>
      </c>
      <c r="F261" s="221"/>
      <c r="G261" s="221"/>
      <c r="H261" s="40"/>
      <c r="I261" s="192">
        <f ca="1">_xll.DBRW(Server&amp;Cube1,$F$17,$F$18,$F$19,$F$16,$C$14,$F$15,$F$14,$F$20,I$2,I$1,$C261)</f>
        <v>0</v>
      </c>
      <c r="J261" s="192">
        <f ca="1">_xll.DBRW(Server&amp;Cube1,$F$17,$F$18,$F$19,$F$16,$C$14,$F$15,$F$14,$F$20,J$2,J$1,$C261)</f>
        <v>0</v>
      </c>
      <c r="K261" s="183"/>
      <c r="L261" s="185">
        <f ca="1">_xll.DBRW(Server&amp;Cube1,$F$17,$F$18,$F$19,$F$16,$C$14,$F$15,$F$14,$F$20,L$2,L$1,$C261)</f>
        <v>0</v>
      </c>
      <c r="M261" s="184"/>
      <c r="N261" s="185">
        <f ca="1">_xll.DBRW(Server&amp;Cube1,$F$17,$F$18,$F$19,$F$16,$C$14,$F$15,$F$14,$F$20,N$2,$N$1,$C261)</f>
        <v>0</v>
      </c>
      <c r="O261" s="185">
        <f ca="1">_xll.DBRW(Server&amp;Cube1,$F$17,$F$18,$F$19,$F$16,$C$14,$F$15,$F$14,$F$20,O$2,$N$1,$C261)</f>
        <v>0</v>
      </c>
      <c r="P261" s="185">
        <f ca="1">_xll.DBRW(Server&amp;Cube1,$F$17,$F$18,$F$19,$F$16,$C$14,$F$15,$F$14,$F$20,P$2,$N$1,$C261)</f>
        <v>0</v>
      </c>
      <c r="Q261" s="185">
        <f ca="1">_xll.DBRW(Server&amp;Cube1,$F$17,$F$18,$F$19,$F$16,$C$14,$F$15,$F$14,$F$20,Q$2,$N$1,$C261)</f>
        <v>0</v>
      </c>
      <c r="R261" s="185">
        <f ca="1">_xll.DBRW(Server&amp;Cube1,$F$17,$F$18,$F$19,$F$16,$C$14,$F$15,$F$14,$F$20,R$2,$N$1,$C261)</f>
        <v>0</v>
      </c>
      <c r="S261" s="185">
        <f ca="1">_xll.DBRW(Server&amp;Cube1,$F$17,$F$18,$F$19,$F$16,$C$14,$F$15,$F$14,$F$20,S$2,$N$1,$C261)</f>
        <v>0</v>
      </c>
      <c r="T261" s="185">
        <f ca="1">_xll.DBRW(Server&amp;Cube1,$F$17,$F$18,$F$19,$F$16,$C$14,$F$15,$F$14,$F$20,T$2,$N$1,$C261)</f>
        <v>0</v>
      </c>
      <c r="U261" s="185">
        <f ca="1">_xll.DBRW(Server&amp;Cube1,$F$17,$F$18,$F$19,$F$16,$C$14,$F$15,$F$14,$F$20,U$2,$N$1,$C261)</f>
        <v>0</v>
      </c>
      <c r="V261" s="185">
        <f ca="1">_xll.DBRW(Server&amp;Cube1,$F$17,$F$18,$F$19,$F$16,$C$14,$F$15,$F$14,$F$20,V$2,$N$1,$C261)</f>
        <v>0</v>
      </c>
      <c r="W261" s="185">
        <f ca="1">_xll.DBRW(Server&amp;Cube1,$F$17,$F$18,$F$19,$F$16,$C$14,$F$15,$F$14,$F$20,W$2,$N$1,$C261)</f>
        <v>0</v>
      </c>
      <c r="X261" s="185">
        <f ca="1">_xll.DBRW(Server&amp;Cube1,$F$17,$F$18,$F$19,$F$16,$C$14,$F$15,$F$14,$F$20,X$2,$N$1,$C261)</f>
        <v>0</v>
      </c>
      <c r="Y261" s="185">
        <f ca="1">_xll.DBRW(Server&amp;Cube1,$F$17,$F$18,$F$19,$F$16,$C$14,$F$15,$F$14,$F$20,Y$2,$N$1,$C261)</f>
        <v>0</v>
      </c>
      <c r="Z261" s="185">
        <f ca="1">_xll.DBRW(Server&amp;Cube1,$F$17,$F$18,$F$19,$F$16,$C$14,$F$15,$F$14,$F$20,Z$2,$N$1,$C261)</f>
        <v>0</v>
      </c>
      <c r="AA261" s="53"/>
      <c r="AB261" s="53"/>
      <c r="AC261" s="53"/>
      <c r="AD261" s="53"/>
      <c r="AE261" s="53"/>
      <c r="AF261" s="53"/>
      <c r="AG261" s="53"/>
      <c r="AH261" s="53"/>
      <c r="AI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</row>
    <row r="262" spans="1:47" s="9" customFormat="1" ht="24" customHeight="1" x14ac:dyDescent="0.35">
      <c r="A262" s="157">
        <f ca="1">IF($AN$35="YES",1,IF(_xll.ELCOMPN(Server&amp;$C$24,C262)&lt;&gt;0,1,IF(OR(B262=$AT$35,B262="ALL"),1,0)))</f>
        <v>1</v>
      </c>
      <c r="B262" s="139" t="str">
        <f t="shared" si="3"/>
        <v>CO</v>
      </c>
      <c r="C262" s="137" t="s">
        <v>358</v>
      </c>
      <c r="E262" s="221" t="str">
        <f ca="1">_xll.DBRA(Server&amp;$C$24,$C262,$F$21)</f>
        <v>Personnel mis à disposition (CO)</v>
      </c>
      <c r="F262" s="221"/>
      <c r="G262" s="221"/>
      <c r="H262" s="40"/>
      <c r="I262" s="192">
        <f ca="1">_xll.DBRW(Server&amp;Cube1,$F$17,$F$18,$F$19,$F$16,$C$14,$F$15,$F$14,$F$20,I$2,I$1,$C262)</f>
        <v>0</v>
      </c>
      <c r="J262" s="192">
        <f ca="1">_xll.DBRW(Server&amp;Cube1,$F$17,$F$18,$F$19,$F$16,$C$14,$F$15,$F$14,$F$20,J$2,J$1,$C262)</f>
        <v>0</v>
      </c>
      <c r="K262" s="183"/>
      <c r="L262" s="185">
        <f ca="1">_xll.DBRW(Server&amp;Cube1,$F$17,$F$18,$F$19,$F$16,$C$14,$F$15,$F$14,$F$20,L$2,L$1,$C262)</f>
        <v>0</v>
      </c>
      <c r="M262" s="184"/>
      <c r="N262" s="185">
        <f ca="1">_xll.DBRW(Server&amp;Cube1,$F$17,$F$18,$F$19,$F$16,$C$14,$F$15,$F$14,$F$20,N$2,$N$1,$C262)</f>
        <v>0</v>
      </c>
      <c r="O262" s="185">
        <f ca="1">_xll.DBRW(Server&amp;Cube1,$F$17,$F$18,$F$19,$F$16,$C$14,$F$15,$F$14,$F$20,O$2,$N$1,$C262)</f>
        <v>0</v>
      </c>
      <c r="P262" s="185">
        <f ca="1">_xll.DBRW(Server&amp;Cube1,$F$17,$F$18,$F$19,$F$16,$C$14,$F$15,$F$14,$F$20,P$2,$N$1,$C262)</f>
        <v>0</v>
      </c>
      <c r="Q262" s="185">
        <f ca="1">_xll.DBRW(Server&amp;Cube1,$F$17,$F$18,$F$19,$F$16,$C$14,$F$15,$F$14,$F$20,Q$2,$N$1,$C262)</f>
        <v>0</v>
      </c>
      <c r="R262" s="185">
        <f ca="1">_xll.DBRW(Server&amp;Cube1,$F$17,$F$18,$F$19,$F$16,$C$14,$F$15,$F$14,$F$20,R$2,$N$1,$C262)</f>
        <v>0</v>
      </c>
      <c r="S262" s="185">
        <f ca="1">_xll.DBRW(Server&amp;Cube1,$F$17,$F$18,$F$19,$F$16,$C$14,$F$15,$F$14,$F$20,S$2,$N$1,$C262)</f>
        <v>0</v>
      </c>
      <c r="T262" s="185">
        <f ca="1">_xll.DBRW(Server&amp;Cube1,$F$17,$F$18,$F$19,$F$16,$C$14,$F$15,$F$14,$F$20,T$2,$N$1,$C262)</f>
        <v>0</v>
      </c>
      <c r="U262" s="185">
        <f ca="1">_xll.DBRW(Server&amp;Cube1,$F$17,$F$18,$F$19,$F$16,$C$14,$F$15,$F$14,$F$20,U$2,$N$1,$C262)</f>
        <v>0</v>
      </c>
      <c r="V262" s="185">
        <f ca="1">_xll.DBRW(Server&amp;Cube1,$F$17,$F$18,$F$19,$F$16,$C$14,$F$15,$F$14,$F$20,V$2,$N$1,$C262)</f>
        <v>0</v>
      </c>
      <c r="W262" s="185">
        <f ca="1">_xll.DBRW(Server&amp;Cube1,$F$17,$F$18,$F$19,$F$16,$C$14,$F$15,$F$14,$F$20,W$2,$N$1,$C262)</f>
        <v>0</v>
      </c>
      <c r="X262" s="185">
        <f ca="1">_xll.DBRW(Server&amp;Cube1,$F$17,$F$18,$F$19,$F$16,$C$14,$F$15,$F$14,$F$20,X$2,$N$1,$C262)</f>
        <v>0</v>
      </c>
      <c r="Y262" s="185">
        <f ca="1">_xll.DBRW(Server&amp;Cube1,$F$17,$F$18,$F$19,$F$16,$C$14,$F$15,$F$14,$F$20,Y$2,$N$1,$C262)</f>
        <v>0</v>
      </c>
      <c r="Z262" s="185">
        <f ca="1">_xll.DBRW(Server&amp;Cube1,$F$17,$F$18,$F$19,$F$16,$C$14,$F$15,$F$14,$F$20,Z$2,$N$1,$C262)</f>
        <v>0</v>
      </c>
      <c r="AA262" s="53"/>
      <c r="AB262" s="53"/>
      <c r="AC262" s="53"/>
      <c r="AD262" s="53"/>
      <c r="AE262" s="53"/>
      <c r="AF262" s="53"/>
      <c r="AG262" s="53"/>
      <c r="AH262" s="53"/>
      <c r="AI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</row>
    <row r="263" spans="1:47" s="9" customFormat="1" ht="24" customHeight="1" x14ac:dyDescent="0.35">
      <c r="A263" s="157">
        <f ca="1">IF($AN$35="YES",1,IF(_xll.ELCOMPN(Server&amp;$C$24,C263)&lt;&gt;0,1,IF(OR(B263=$AT$35,B263="ALL"),1,0)))</f>
        <v>1</v>
      </c>
      <c r="B263" s="139" t="str">
        <f t="shared" si="3"/>
        <v>GS</v>
      </c>
      <c r="C263" s="137" t="s">
        <v>359</v>
      </c>
      <c r="E263" s="221" t="str">
        <f ca="1">_xll.DBRA(Server&amp;$C$24,$C263,$F$21)</f>
        <v>Personnel mis à disposition (SG)</v>
      </c>
      <c r="F263" s="221"/>
      <c r="G263" s="221"/>
      <c r="H263" s="40"/>
      <c r="I263" s="192">
        <f ca="1">_xll.DBRW(Server&amp;Cube1,$F$17,$F$18,$F$19,$F$16,$C$14,$F$15,$F$14,$F$20,I$2,I$1,$C263)</f>
        <v>0</v>
      </c>
      <c r="J263" s="192">
        <f ca="1">_xll.DBRW(Server&amp;Cube1,$F$17,$F$18,$F$19,$F$16,$C$14,$F$15,$F$14,$F$20,J$2,J$1,$C263)</f>
        <v>0</v>
      </c>
      <c r="K263" s="183"/>
      <c r="L263" s="185">
        <f ca="1">_xll.DBRW(Server&amp;Cube1,$F$17,$F$18,$F$19,$F$16,$C$14,$F$15,$F$14,$F$20,L$2,L$1,$C263)</f>
        <v>0</v>
      </c>
      <c r="M263" s="184"/>
      <c r="N263" s="185">
        <f ca="1">_xll.DBRW(Server&amp;Cube1,$F$17,$F$18,$F$19,$F$16,$C$14,$F$15,$F$14,$F$20,N$2,$N$1,$C263)</f>
        <v>0</v>
      </c>
      <c r="O263" s="185">
        <f ca="1">_xll.DBRW(Server&amp;Cube1,$F$17,$F$18,$F$19,$F$16,$C$14,$F$15,$F$14,$F$20,O$2,$N$1,$C263)</f>
        <v>0</v>
      </c>
      <c r="P263" s="185">
        <f ca="1">_xll.DBRW(Server&amp;Cube1,$F$17,$F$18,$F$19,$F$16,$C$14,$F$15,$F$14,$F$20,P$2,$N$1,$C263)</f>
        <v>0</v>
      </c>
      <c r="Q263" s="185">
        <f ca="1">_xll.DBRW(Server&amp;Cube1,$F$17,$F$18,$F$19,$F$16,$C$14,$F$15,$F$14,$F$20,Q$2,$N$1,$C263)</f>
        <v>0</v>
      </c>
      <c r="R263" s="185">
        <f ca="1">_xll.DBRW(Server&amp;Cube1,$F$17,$F$18,$F$19,$F$16,$C$14,$F$15,$F$14,$F$20,R$2,$N$1,$C263)</f>
        <v>0</v>
      </c>
      <c r="S263" s="185">
        <f ca="1">_xll.DBRW(Server&amp;Cube1,$F$17,$F$18,$F$19,$F$16,$C$14,$F$15,$F$14,$F$20,S$2,$N$1,$C263)</f>
        <v>0</v>
      </c>
      <c r="T263" s="185">
        <f ca="1">_xll.DBRW(Server&amp;Cube1,$F$17,$F$18,$F$19,$F$16,$C$14,$F$15,$F$14,$F$20,T$2,$N$1,$C263)</f>
        <v>0</v>
      </c>
      <c r="U263" s="185">
        <f ca="1">_xll.DBRW(Server&amp;Cube1,$F$17,$F$18,$F$19,$F$16,$C$14,$F$15,$F$14,$F$20,U$2,$N$1,$C263)</f>
        <v>0</v>
      </c>
      <c r="V263" s="185">
        <f ca="1">_xll.DBRW(Server&amp;Cube1,$F$17,$F$18,$F$19,$F$16,$C$14,$F$15,$F$14,$F$20,V$2,$N$1,$C263)</f>
        <v>0</v>
      </c>
      <c r="W263" s="185">
        <f ca="1">_xll.DBRW(Server&amp;Cube1,$F$17,$F$18,$F$19,$F$16,$C$14,$F$15,$F$14,$F$20,W$2,$N$1,$C263)</f>
        <v>0</v>
      </c>
      <c r="X263" s="185">
        <f ca="1">_xll.DBRW(Server&amp;Cube1,$F$17,$F$18,$F$19,$F$16,$C$14,$F$15,$F$14,$F$20,X$2,$N$1,$C263)</f>
        <v>0</v>
      </c>
      <c r="Y263" s="185">
        <f ca="1">_xll.DBRW(Server&amp;Cube1,$F$17,$F$18,$F$19,$F$16,$C$14,$F$15,$F$14,$F$20,Y$2,$N$1,$C263)</f>
        <v>0</v>
      </c>
      <c r="Z263" s="185">
        <f ca="1">_xll.DBRW(Server&amp;Cube1,$F$17,$F$18,$F$19,$F$16,$C$14,$F$15,$F$14,$F$20,Z$2,$N$1,$C263)</f>
        <v>0</v>
      </c>
      <c r="AA263" s="53"/>
      <c r="AB263" s="53"/>
      <c r="AC263" s="53"/>
      <c r="AD263" s="53"/>
      <c r="AE263" s="53"/>
      <c r="AF263" s="53"/>
      <c r="AG263" s="53"/>
      <c r="AH263" s="53"/>
      <c r="AI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</row>
    <row r="264" spans="1:47" s="9" customFormat="1" ht="24" customHeight="1" x14ac:dyDescent="0.35">
      <c r="A264" s="157">
        <f ca="1">IF($AN$35="YES",1,IF(_xll.ELCOMPN(Server&amp;$C$24,C264)&lt;&gt;0,1,IF(OR(B264=$AT$35,B264="ALL"),1,0)))</f>
        <v>1</v>
      </c>
      <c r="B264" s="139" t="str">
        <f t="shared" si="3"/>
        <v>RD</v>
      </c>
      <c r="C264" s="137" t="s">
        <v>360</v>
      </c>
      <c r="E264" s="221" t="str">
        <f ca="1">_xll.DBRA(Server&amp;$C$24,$C264,$F$21)</f>
        <v>Personnel mis à disposition (RD)</v>
      </c>
      <c r="F264" s="221"/>
      <c r="G264" s="221"/>
      <c r="H264" s="40"/>
      <c r="I264" s="192">
        <f ca="1">_xll.DBRW(Server&amp;Cube1,$F$17,$F$18,$F$19,$F$16,$C$14,$F$15,$F$14,$F$20,I$2,I$1,$C264)</f>
        <v>0</v>
      </c>
      <c r="J264" s="192">
        <f ca="1">_xll.DBRW(Server&amp;Cube1,$F$17,$F$18,$F$19,$F$16,$C$14,$F$15,$F$14,$F$20,J$2,J$1,$C264)</f>
        <v>0</v>
      </c>
      <c r="K264" s="183"/>
      <c r="L264" s="185">
        <f ca="1">_xll.DBRW(Server&amp;Cube1,$F$17,$F$18,$F$19,$F$16,$C$14,$F$15,$F$14,$F$20,L$2,L$1,$C264)</f>
        <v>0</v>
      </c>
      <c r="M264" s="184"/>
      <c r="N264" s="185">
        <f ca="1">_xll.DBRW(Server&amp;Cube1,$F$17,$F$18,$F$19,$F$16,$C$14,$F$15,$F$14,$F$20,N$2,$N$1,$C264)</f>
        <v>0</v>
      </c>
      <c r="O264" s="185">
        <f ca="1">_xll.DBRW(Server&amp;Cube1,$F$17,$F$18,$F$19,$F$16,$C$14,$F$15,$F$14,$F$20,O$2,$N$1,$C264)</f>
        <v>0</v>
      </c>
      <c r="P264" s="185">
        <f ca="1">_xll.DBRW(Server&amp;Cube1,$F$17,$F$18,$F$19,$F$16,$C$14,$F$15,$F$14,$F$20,P$2,$N$1,$C264)</f>
        <v>0</v>
      </c>
      <c r="Q264" s="185">
        <f ca="1">_xll.DBRW(Server&amp;Cube1,$F$17,$F$18,$F$19,$F$16,$C$14,$F$15,$F$14,$F$20,Q$2,$N$1,$C264)</f>
        <v>0</v>
      </c>
      <c r="R264" s="185">
        <f ca="1">_xll.DBRW(Server&amp;Cube1,$F$17,$F$18,$F$19,$F$16,$C$14,$F$15,$F$14,$F$20,R$2,$N$1,$C264)</f>
        <v>0</v>
      </c>
      <c r="S264" s="185">
        <f ca="1">_xll.DBRW(Server&amp;Cube1,$F$17,$F$18,$F$19,$F$16,$C$14,$F$15,$F$14,$F$20,S$2,$N$1,$C264)</f>
        <v>0</v>
      </c>
      <c r="T264" s="185">
        <f ca="1">_xll.DBRW(Server&amp;Cube1,$F$17,$F$18,$F$19,$F$16,$C$14,$F$15,$F$14,$F$20,T$2,$N$1,$C264)</f>
        <v>0</v>
      </c>
      <c r="U264" s="185">
        <f ca="1">_xll.DBRW(Server&amp;Cube1,$F$17,$F$18,$F$19,$F$16,$C$14,$F$15,$F$14,$F$20,U$2,$N$1,$C264)</f>
        <v>0</v>
      </c>
      <c r="V264" s="185">
        <f ca="1">_xll.DBRW(Server&amp;Cube1,$F$17,$F$18,$F$19,$F$16,$C$14,$F$15,$F$14,$F$20,V$2,$N$1,$C264)</f>
        <v>0</v>
      </c>
      <c r="W264" s="185">
        <f ca="1">_xll.DBRW(Server&amp;Cube1,$F$17,$F$18,$F$19,$F$16,$C$14,$F$15,$F$14,$F$20,W$2,$N$1,$C264)</f>
        <v>0</v>
      </c>
      <c r="X264" s="185">
        <f ca="1">_xll.DBRW(Server&amp;Cube1,$F$17,$F$18,$F$19,$F$16,$C$14,$F$15,$F$14,$F$20,X$2,$N$1,$C264)</f>
        <v>0</v>
      </c>
      <c r="Y264" s="185">
        <f ca="1">_xll.DBRW(Server&amp;Cube1,$F$17,$F$18,$F$19,$F$16,$C$14,$F$15,$F$14,$F$20,Y$2,$N$1,$C264)</f>
        <v>0</v>
      </c>
      <c r="Z264" s="185">
        <f ca="1">_xll.DBRW(Server&amp;Cube1,$F$17,$F$18,$F$19,$F$16,$C$14,$F$15,$F$14,$F$20,Z$2,$N$1,$C264)</f>
        <v>0</v>
      </c>
      <c r="AA264" s="53"/>
      <c r="AB264" s="53"/>
      <c r="AC264" s="53"/>
      <c r="AD264" s="53"/>
      <c r="AE264" s="53"/>
      <c r="AF264" s="53"/>
      <c r="AG264" s="53"/>
      <c r="AH264" s="53"/>
      <c r="AI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</row>
    <row r="265" spans="1:47" s="9" customFormat="1" ht="24" customHeight="1" thickBot="1" x14ac:dyDescent="0.4">
      <c r="A265" s="157">
        <f ca="1">IF($AN$35="YES",1,IF(_xll.ELCOMPN(Server&amp;$C$24,C265)&lt;&gt;0,1,IF(OR(B265=$AT$35,B265="ALL"),1,0)))</f>
        <v>1</v>
      </c>
      <c r="B265" s="139" t="str">
        <f t="shared" si="3"/>
        <v>de</v>
      </c>
      <c r="C265" s="110" t="s">
        <v>110</v>
      </c>
      <c r="E265" s="222" t="str">
        <f ca="1">_xll.DBRA(Server&amp;$C$24,$C265,$F$21)</f>
        <v>Frais de déplacement</v>
      </c>
      <c r="F265" s="222"/>
      <c r="G265" s="222"/>
      <c r="H265" s="40"/>
      <c r="I265" s="187">
        <f ca="1">_xll.DBRW(Server&amp;Cube1,$F$17,$F$18,$F$19,$F$16,$C$14,$F$15,$F$14,$F$20,I$2,I$1,$C265)</f>
        <v>0</v>
      </c>
      <c r="J265" s="187">
        <f ca="1">_xll.DBRW(Server&amp;Cube1,$F$17,$F$18,$F$19,$F$16,$C$14,$F$15,$F$14,$F$20,J$2,J$1,$C265)</f>
        <v>0</v>
      </c>
      <c r="K265" s="188"/>
      <c r="L265" s="187">
        <f ca="1">_xll.DBRW(Server&amp;Cube1,$F$17,$F$18,$F$19,$F$16,$C$14,$F$15,$F$14,$F$20,L$2,L$1,$C265)</f>
        <v>0</v>
      </c>
      <c r="M265" s="189"/>
      <c r="N265" s="187">
        <f ca="1">_xll.DBRW(Server&amp;Cube1,$F$17,$F$18,$F$19,$F$16,$C$14,$F$15,$F$14,$F$20,N$2,$N$1,$C265)</f>
        <v>0</v>
      </c>
      <c r="O265" s="187">
        <f ca="1">_xll.DBRW(Server&amp;Cube1,$F$17,$F$18,$F$19,$F$16,$C$14,$F$15,$F$14,$F$20,O$2,$N$1,$C265)</f>
        <v>0</v>
      </c>
      <c r="P265" s="187">
        <f ca="1">_xll.DBRW(Server&amp;Cube1,$F$17,$F$18,$F$19,$F$16,$C$14,$F$15,$F$14,$F$20,P$2,$N$1,$C265)</f>
        <v>0</v>
      </c>
      <c r="Q265" s="187">
        <f ca="1">_xll.DBRW(Server&amp;Cube1,$F$17,$F$18,$F$19,$F$16,$C$14,$F$15,$F$14,$F$20,Q$2,$N$1,$C265)</f>
        <v>0</v>
      </c>
      <c r="R265" s="187">
        <f ca="1">_xll.DBRW(Server&amp;Cube1,$F$17,$F$18,$F$19,$F$16,$C$14,$F$15,$F$14,$F$20,R$2,$N$1,$C265)</f>
        <v>0</v>
      </c>
      <c r="S265" s="187">
        <f ca="1">_xll.DBRW(Server&amp;Cube1,$F$17,$F$18,$F$19,$F$16,$C$14,$F$15,$F$14,$F$20,S$2,$N$1,$C265)</f>
        <v>0</v>
      </c>
      <c r="T265" s="187">
        <f ca="1">_xll.DBRW(Server&amp;Cube1,$F$17,$F$18,$F$19,$F$16,$C$14,$F$15,$F$14,$F$20,T$2,$N$1,$C265)</f>
        <v>0</v>
      </c>
      <c r="U265" s="187">
        <f ca="1">_xll.DBRW(Server&amp;Cube1,$F$17,$F$18,$F$19,$F$16,$C$14,$F$15,$F$14,$F$20,U$2,$N$1,$C265)</f>
        <v>0</v>
      </c>
      <c r="V265" s="187">
        <f ca="1">_xll.DBRW(Server&amp;Cube1,$F$17,$F$18,$F$19,$F$16,$C$14,$F$15,$F$14,$F$20,V$2,$N$1,$C265)</f>
        <v>0</v>
      </c>
      <c r="W265" s="187">
        <f ca="1">_xll.DBRW(Server&amp;Cube1,$F$17,$F$18,$F$19,$F$16,$C$14,$F$15,$F$14,$F$20,W$2,$N$1,$C265)</f>
        <v>0</v>
      </c>
      <c r="X265" s="187">
        <f ca="1">_xll.DBRW(Server&amp;Cube1,$F$17,$F$18,$F$19,$F$16,$C$14,$F$15,$F$14,$F$20,X$2,$N$1,$C265)</f>
        <v>0</v>
      </c>
      <c r="Y265" s="187">
        <f ca="1">_xll.DBRW(Server&amp;Cube1,$F$17,$F$18,$F$19,$F$16,$C$14,$F$15,$F$14,$F$20,Y$2,$N$1,$C265)</f>
        <v>0</v>
      </c>
      <c r="Z265" s="187">
        <f ca="1">_xll.DBRW(Server&amp;Cube1,$F$17,$F$18,$F$19,$F$16,$C$14,$F$15,$F$14,$F$20,Z$2,$N$1,$C265)</f>
        <v>0</v>
      </c>
      <c r="AA265" s="53"/>
      <c r="AB265" s="53"/>
      <c r="AC265" s="53"/>
      <c r="AD265" s="53"/>
      <c r="AE265" s="53"/>
      <c r="AF265" s="53"/>
      <c r="AG265" s="53"/>
      <c r="AH265" s="53"/>
      <c r="AI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</row>
    <row r="266" spans="1:47" s="9" customFormat="1" ht="24" customHeight="1" x14ac:dyDescent="0.35">
      <c r="A266" s="157">
        <f ca="1">IF($AN$35="YES",1,IF(_xll.ELCOMPN(Server&amp;$C$24,C266)&lt;&gt;0,1,IF(OR(B266=$AT$35,B266="ALL"),1,0)))</f>
        <v>1</v>
      </c>
      <c r="B266" s="139" t="str">
        <f t="shared" si="3"/>
        <v>fr</v>
      </c>
      <c r="C266" s="111" t="s">
        <v>111</v>
      </c>
      <c r="E266" s="223" t="str">
        <f ca="1">_xll.DBRA(Server&amp;$C$24,$C266,$F$21)</f>
        <v>Notes de Frais</v>
      </c>
      <c r="F266" s="223"/>
      <c r="G266" s="223"/>
      <c r="H266" s="40"/>
      <c r="I266" s="192">
        <f ca="1">_xll.DBRW(Server&amp;Cube1,$F$17,$F$18,$F$19,$F$16,$C$14,$F$15,$F$14,$F$20,I$2,I$1,$C266)</f>
        <v>0</v>
      </c>
      <c r="J266" s="192">
        <f ca="1">_xll.DBRW(Server&amp;Cube1,$F$17,$F$18,$F$19,$F$16,$C$14,$F$15,$F$14,$F$20,J$2,J$1,$C266)</f>
        <v>0</v>
      </c>
      <c r="K266" s="183"/>
      <c r="L266" s="184">
        <f ca="1">_xll.DBRW(Server&amp;Cube1,$F$17,$F$18,$F$19,$F$16,$C$14,$F$15,$F$14,$F$20,L$2,L$1,$C266)</f>
        <v>0</v>
      </c>
      <c r="M266" s="184"/>
      <c r="N266" s="184">
        <f ca="1">_xll.DBRW(Server&amp;Cube1,$F$17,$F$18,$F$19,$F$16,$C$14,$F$15,$F$14,$F$20,N$2,$N$1,$C266)</f>
        <v>0</v>
      </c>
      <c r="O266" s="184">
        <f ca="1">_xll.DBRW(Server&amp;Cube1,$F$17,$F$18,$F$19,$F$16,$C$14,$F$15,$F$14,$F$20,O$2,$N$1,$C266)</f>
        <v>0</v>
      </c>
      <c r="P266" s="184">
        <f ca="1">_xll.DBRW(Server&amp;Cube1,$F$17,$F$18,$F$19,$F$16,$C$14,$F$15,$F$14,$F$20,P$2,$N$1,$C266)</f>
        <v>0</v>
      </c>
      <c r="Q266" s="184">
        <f ca="1">_xll.DBRW(Server&amp;Cube1,$F$17,$F$18,$F$19,$F$16,$C$14,$F$15,$F$14,$F$20,Q$2,$N$1,$C266)</f>
        <v>0</v>
      </c>
      <c r="R266" s="184">
        <f ca="1">_xll.DBRW(Server&amp;Cube1,$F$17,$F$18,$F$19,$F$16,$C$14,$F$15,$F$14,$F$20,R$2,$N$1,$C266)</f>
        <v>0</v>
      </c>
      <c r="S266" s="184">
        <f ca="1">_xll.DBRW(Server&amp;Cube1,$F$17,$F$18,$F$19,$F$16,$C$14,$F$15,$F$14,$F$20,S$2,$N$1,$C266)</f>
        <v>0</v>
      </c>
      <c r="T266" s="184">
        <f ca="1">_xll.DBRW(Server&amp;Cube1,$F$17,$F$18,$F$19,$F$16,$C$14,$F$15,$F$14,$F$20,T$2,$N$1,$C266)</f>
        <v>0</v>
      </c>
      <c r="U266" s="184">
        <f ca="1">_xll.DBRW(Server&amp;Cube1,$F$17,$F$18,$F$19,$F$16,$C$14,$F$15,$F$14,$F$20,U$2,$N$1,$C266)</f>
        <v>0</v>
      </c>
      <c r="V266" s="184">
        <f ca="1">_xll.DBRW(Server&amp;Cube1,$F$17,$F$18,$F$19,$F$16,$C$14,$F$15,$F$14,$F$20,V$2,$N$1,$C266)</f>
        <v>0</v>
      </c>
      <c r="W266" s="184">
        <f ca="1">_xll.DBRW(Server&amp;Cube1,$F$17,$F$18,$F$19,$F$16,$C$14,$F$15,$F$14,$F$20,W$2,$N$1,$C266)</f>
        <v>0</v>
      </c>
      <c r="X266" s="184">
        <f ca="1">_xll.DBRW(Server&amp;Cube1,$F$17,$F$18,$F$19,$F$16,$C$14,$F$15,$F$14,$F$20,X$2,$N$1,$C266)</f>
        <v>0</v>
      </c>
      <c r="Y266" s="184">
        <f ca="1">_xll.DBRW(Server&amp;Cube1,$F$17,$F$18,$F$19,$F$16,$C$14,$F$15,$F$14,$F$20,Y$2,$N$1,$C266)</f>
        <v>0</v>
      </c>
      <c r="Z266" s="184">
        <f ca="1">_xll.DBRW(Server&amp;Cube1,$F$17,$F$18,$F$19,$F$16,$C$14,$F$15,$F$14,$F$20,Z$2,$N$1,$C266)</f>
        <v>0</v>
      </c>
      <c r="AA266" s="53"/>
      <c r="AB266" s="53"/>
      <c r="AC266" s="53"/>
      <c r="AD266" s="53"/>
      <c r="AE266" s="53"/>
      <c r="AF266" s="53"/>
      <c r="AG266" s="53"/>
      <c r="AH266" s="53"/>
      <c r="AI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</row>
    <row r="267" spans="1:47" s="9" customFormat="1" ht="24" customHeight="1" x14ac:dyDescent="0.35">
      <c r="A267" s="157">
        <f ca="1">IF($AN$35="YES",1,IF(_xll.ELCOMPN(Server&amp;$C$24,C267)&lt;&gt;0,1,IF(OR(B267=$AT$35,B267="ALL"),1,0)))</f>
        <v>1</v>
      </c>
      <c r="B267" s="139" t="str">
        <f t="shared" si="3"/>
        <v>DS</v>
      </c>
      <c r="C267" s="137" t="s">
        <v>504</v>
      </c>
      <c r="E267" s="221" t="str">
        <f ca="1">_xll.DBRA(Server&amp;$C$24,$C267,$F$21)</f>
        <v>Note de Frais (SO)</v>
      </c>
      <c r="F267" s="221"/>
      <c r="G267" s="221"/>
      <c r="H267" s="40"/>
      <c r="I267" s="192">
        <f ca="1">_xll.DBRW(Server&amp;Cube1,$F$17,$F$18,$F$19,$F$16,$C$14,$F$15,$F$14,$F$20,I$2,I$1,$C267)</f>
        <v>0</v>
      </c>
      <c r="J267" s="192">
        <f ca="1">_xll.DBRW(Server&amp;Cube1,$F$17,$F$18,$F$19,$F$16,$C$14,$F$15,$F$14,$F$20,J$2,J$1,$C267)</f>
        <v>0</v>
      </c>
      <c r="K267" s="183"/>
      <c r="L267" s="185">
        <f ca="1">_xll.DBRW(Server&amp;Cube1,$F$17,$F$18,$F$19,$F$16,$C$14,$F$15,$F$14,$F$20,L$2,L$1,$C267)</f>
        <v>0</v>
      </c>
      <c r="M267" s="184"/>
      <c r="N267" s="185">
        <f ca="1">_xll.DBRW(Server&amp;Cube1,$F$17,$F$18,$F$19,$F$16,$C$14,$F$15,$F$14,$F$20,N$2,$N$1,$C267)</f>
        <v>0</v>
      </c>
      <c r="O267" s="185">
        <f ca="1">_xll.DBRW(Server&amp;Cube1,$F$17,$F$18,$F$19,$F$16,$C$14,$F$15,$F$14,$F$20,O$2,$N$1,$C267)</f>
        <v>0</v>
      </c>
      <c r="P267" s="185">
        <f ca="1">_xll.DBRW(Server&amp;Cube1,$F$17,$F$18,$F$19,$F$16,$C$14,$F$15,$F$14,$F$20,P$2,$N$1,$C267)</f>
        <v>0</v>
      </c>
      <c r="Q267" s="185">
        <f ca="1">_xll.DBRW(Server&amp;Cube1,$F$17,$F$18,$F$19,$F$16,$C$14,$F$15,$F$14,$F$20,Q$2,$N$1,$C267)</f>
        <v>0</v>
      </c>
      <c r="R267" s="185">
        <f ca="1">_xll.DBRW(Server&amp;Cube1,$F$17,$F$18,$F$19,$F$16,$C$14,$F$15,$F$14,$F$20,R$2,$N$1,$C267)</f>
        <v>0</v>
      </c>
      <c r="S267" s="185">
        <f ca="1">_xll.DBRW(Server&amp;Cube1,$F$17,$F$18,$F$19,$F$16,$C$14,$F$15,$F$14,$F$20,S$2,$N$1,$C267)</f>
        <v>0</v>
      </c>
      <c r="T267" s="185">
        <f ca="1">_xll.DBRW(Server&amp;Cube1,$F$17,$F$18,$F$19,$F$16,$C$14,$F$15,$F$14,$F$20,T$2,$N$1,$C267)</f>
        <v>0</v>
      </c>
      <c r="U267" s="185">
        <f ca="1">_xll.DBRW(Server&amp;Cube1,$F$17,$F$18,$F$19,$F$16,$C$14,$F$15,$F$14,$F$20,U$2,$N$1,$C267)</f>
        <v>0</v>
      </c>
      <c r="V267" s="185">
        <f ca="1">_xll.DBRW(Server&amp;Cube1,$F$17,$F$18,$F$19,$F$16,$C$14,$F$15,$F$14,$F$20,V$2,$N$1,$C267)</f>
        <v>0</v>
      </c>
      <c r="W267" s="185">
        <f ca="1">_xll.DBRW(Server&amp;Cube1,$F$17,$F$18,$F$19,$F$16,$C$14,$F$15,$F$14,$F$20,W$2,$N$1,$C267)</f>
        <v>0</v>
      </c>
      <c r="X267" s="185">
        <f ca="1">_xll.DBRW(Server&amp;Cube1,$F$17,$F$18,$F$19,$F$16,$C$14,$F$15,$F$14,$F$20,X$2,$N$1,$C267)</f>
        <v>0</v>
      </c>
      <c r="Y267" s="185">
        <f ca="1">_xll.DBRW(Server&amp;Cube1,$F$17,$F$18,$F$19,$F$16,$C$14,$F$15,$F$14,$F$20,Y$2,$N$1,$C267)</f>
        <v>0</v>
      </c>
      <c r="Z267" s="185">
        <f ca="1">_xll.DBRW(Server&amp;Cube1,$F$17,$F$18,$F$19,$F$16,$C$14,$F$15,$F$14,$F$20,Z$2,$N$1,$C267)</f>
        <v>0</v>
      </c>
      <c r="AA267" s="53"/>
      <c r="AB267" s="53"/>
      <c r="AC267" s="53"/>
      <c r="AD267" s="53"/>
      <c r="AE267" s="53"/>
      <c r="AF267" s="53"/>
      <c r="AG267" s="53"/>
      <c r="AH267" s="53"/>
      <c r="AI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</row>
    <row r="268" spans="1:47" s="9" customFormat="1" ht="24" customHeight="1" x14ac:dyDescent="0.35">
      <c r="A268" s="157">
        <f ca="1">IF($AN$35="YES",1,IF(_xll.ELCOMPN(Server&amp;$C$24,C268)&lt;&gt;0,1,IF(OR(B268=$AT$35,B268="ALL"),1,0)))</f>
        <v>1</v>
      </c>
      <c r="B268" s="139" t="str">
        <f t="shared" si="3"/>
        <v>BD</v>
      </c>
      <c r="C268" s="137" t="s">
        <v>505</v>
      </c>
      <c r="E268" s="221" t="str">
        <f ca="1">_xll.DBRA(Server&amp;$C$24,$C268,$F$21)</f>
        <v>Note de Frais (DC)</v>
      </c>
      <c r="F268" s="221"/>
      <c r="G268" s="221"/>
      <c r="H268" s="40"/>
      <c r="I268" s="192">
        <f ca="1">_xll.DBRW(Server&amp;Cube1,$F$17,$F$18,$F$19,$F$16,$C$14,$F$15,$F$14,$F$20,I$2,I$1,$C268)</f>
        <v>0</v>
      </c>
      <c r="J268" s="192">
        <f ca="1">_xll.DBRW(Server&amp;Cube1,$F$17,$F$18,$F$19,$F$16,$C$14,$F$15,$F$14,$F$20,J$2,J$1,$C268)</f>
        <v>0</v>
      </c>
      <c r="K268" s="183"/>
      <c r="L268" s="185">
        <f ca="1">_xll.DBRW(Server&amp;Cube1,$F$17,$F$18,$F$19,$F$16,$C$14,$F$15,$F$14,$F$20,L$2,L$1,$C268)</f>
        <v>0</v>
      </c>
      <c r="M268" s="184"/>
      <c r="N268" s="185">
        <f ca="1">_xll.DBRW(Server&amp;Cube1,$F$17,$F$18,$F$19,$F$16,$C$14,$F$15,$F$14,$F$20,N$2,$N$1,$C268)</f>
        <v>0</v>
      </c>
      <c r="O268" s="185">
        <f ca="1">_xll.DBRW(Server&amp;Cube1,$F$17,$F$18,$F$19,$F$16,$C$14,$F$15,$F$14,$F$20,O$2,$N$1,$C268)</f>
        <v>0</v>
      </c>
      <c r="P268" s="185">
        <f ca="1">_xll.DBRW(Server&amp;Cube1,$F$17,$F$18,$F$19,$F$16,$C$14,$F$15,$F$14,$F$20,P$2,$N$1,$C268)</f>
        <v>0</v>
      </c>
      <c r="Q268" s="185">
        <f ca="1">_xll.DBRW(Server&amp;Cube1,$F$17,$F$18,$F$19,$F$16,$C$14,$F$15,$F$14,$F$20,Q$2,$N$1,$C268)</f>
        <v>0</v>
      </c>
      <c r="R268" s="185">
        <f ca="1">_xll.DBRW(Server&amp;Cube1,$F$17,$F$18,$F$19,$F$16,$C$14,$F$15,$F$14,$F$20,R$2,$N$1,$C268)</f>
        <v>0</v>
      </c>
      <c r="S268" s="185">
        <f ca="1">_xll.DBRW(Server&amp;Cube1,$F$17,$F$18,$F$19,$F$16,$C$14,$F$15,$F$14,$F$20,S$2,$N$1,$C268)</f>
        <v>0</v>
      </c>
      <c r="T268" s="185">
        <f ca="1">_xll.DBRW(Server&amp;Cube1,$F$17,$F$18,$F$19,$F$16,$C$14,$F$15,$F$14,$F$20,T$2,$N$1,$C268)</f>
        <v>0</v>
      </c>
      <c r="U268" s="185">
        <f ca="1">_xll.DBRW(Server&amp;Cube1,$F$17,$F$18,$F$19,$F$16,$C$14,$F$15,$F$14,$F$20,U$2,$N$1,$C268)</f>
        <v>0</v>
      </c>
      <c r="V268" s="185">
        <f ca="1">_xll.DBRW(Server&amp;Cube1,$F$17,$F$18,$F$19,$F$16,$C$14,$F$15,$F$14,$F$20,V$2,$N$1,$C268)</f>
        <v>0</v>
      </c>
      <c r="W268" s="185">
        <f ca="1">_xll.DBRW(Server&amp;Cube1,$F$17,$F$18,$F$19,$F$16,$C$14,$F$15,$F$14,$F$20,W$2,$N$1,$C268)</f>
        <v>0</v>
      </c>
      <c r="X268" s="185">
        <f ca="1">_xll.DBRW(Server&amp;Cube1,$F$17,$F$18,$F$19,$F$16,$C$14,$F$15,$F$14,$F$20,X$2,$N$1,$C268)</f>
        <v>0</v>
      </c>
      <c r="Y268" s="185">
        <f ca="1">_xll.DBRW(Server&amp;Cube1,$F$17,$F$18,$F$19,$F$16,$C$14,$F$15,$F$14,$F$20,Y$2,$N$1,$C268)</f>
        <v>0</v>
      </c>
      <c r="Z268" s="185">
        <f ca="1">_xll.DBRW(Server&amp;Cube1,$F$17,$F$18,$F$19,$F$16,$C$14,$F$15,$F$14,$F$20,Z$2,$N$1,$C268)</f>
        <v>0</v>
      </c>
      <c r="AA268" s="53"/>
      <c r="AB268" s="53"/>
      <c r="AC268" s="53"/>
      <c r="AD268" s="53"/>
      <c r="AE268" s="53"/>
      <c r="AF268" s="53"/>
      <c r="AG268" s="53"/>
      <c r="AH268" s="53"/>
      <c r="AI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</row>
    <row r="269" spans="1:47" s="9" customFormat="1" ht="24" customHeight="1" x14ac:dyDescent="0.35">
      <c r="A269" s="157">
        <f ca="1">IF($AN$35="YES",1,IF(_xll.ELCOMPN(Server&amp;$C$24,C269)&lt;&gt;0,1,IF(OR(B269=$AT$35,B269="ALL"),1,0)))</f>
        <v>1</v>
      </c>
      <c r="B269" s="139" t="str">
        <f t="shared" si="3"/>
        <v>FI</v>
      </c>
      <c r="C269" s="137" t="s">
        <v>506</v>
      </c>
      <c r="E269" s="221" t="str">
        <f ca="1">_xll.DBRA(Server&amp;$C$24,$C269,$F$21)</f>
        <v>Note de Frais (DF)</v>
      </c>
      <c r="F269" s="221"/>
      <c r="G269" s="221"/>
      <c r="H269" s="40"/>
      <c r="I269" s="192">
        <f ca="1">_xll.DBRW(Server&amp;Cube1,$F$17,$F$18,$F$19,$F$16,$C$14,$F$15,$F$14,$F$20,I$2,I$1,$C269)</f>
        <v>0</v>
      </c>
      <c r="J269" s="192">
        <f ca="1">_xll.DBRW(Server&amp;Cube1,$F$17,$F$18,$F$19,$F$16,$C$14,$F$15,$F$14,$F$20,J$2,J$1,$C269)</f>
        <v>0</v>
      </c>
      <c r="K269" s="183"/>
      <c r="L269" s="185">
        <f ca="1">_xll.DBRW(Server&amp;Cube1,$F$17,$F$18,$F$19,$F$16,$C$14,$F$15,$F$14,$F$20,L$2,L$1,$C269)</f>
        <v>0</v>
      </c>
      <c r="M269" s="184"/>
      <c r="N269" s="185">
        <f ca="1">_xll.DBRW(Server&amp;Cube1,$F$17,$F$18,$F$19,$F$16,$C$14,$F$15,$F$14,$F$20,N$2,$N$1,$C269)</f>
        <v>0</v>
      </c>
      <c r="O269" s="185">
        <f ca="1">_xll.DBRW(Server&amp;Cube1,$F$17,$F$18,$F$19,$F$16,$C$14,$F$15,$F$14,$F$20,O$2,$N$1,$C269)</f>
        <v>0</v>
      </c>
      <c r="P269" s="185">
        <f ca="1">_xll.DBRW(Server&amp;Cube1,$F$17,$F$18,$F$19,$F$16,$C$14,$F$15,$F$14,$F$20,P$2,$N$1,$C269)</f>
        <v>0</v>
      </c>
      <c r="Q269" s="185">
        <f ca="1">_xll.DBRW(Server&amp;Cube1,$F$17,$F$18,$F$19,$F$16,$C$14,$F$15,$F$14,$F$20,Q$2,$N$1,$C269)</f>
        <v>0</v>
      </c>
      <c r="R269" s="185">
        <f ca="1">_xll.DBRW(Server&amp;Cube1,$F$17,$F$18,$F$19,$F$16,$C$14,$F$15,$F$14,$F$20,R$2,$N$1,$C269)</f>
        <v>0</v>
      </c>
      <c r="S269" s="185">
        <f ca="1">_xll.DBRW(Server&amp;Cube1,$F$17,$F$18,$F$19,$F$16,$C$14,$F$15,$F$14,$F$20,S$2,$N$1,$C269)</f>
        <v>0</v>
      </c>
      <c r="T269" s="185">
        <f ca="1">_xll.DBRW(Server&amp;Cube1,$F$17,$F$18,$F$19,$F$16,$C$14,$F$15,$F$14,$F$20,T$2,$N$1,$C269)</f>
        <v>0</v>
      </c>
      <c r="U269" s="185">
        <f ca="1">_xll.DBRW(Server&amp;Cube1,$F$17,$F$18,$F$19,$F$16,$C$14,$F$15,$F$14,$F$20,U$2,$N$1,$C269)</f>
        <v>0</v>
      </c>
      <c r="V269" s="185">
        <f ca="1">_xll.DBRW(Server&amp;Cube1,$F$17,$F$18,$F$19,$F$16,$C$14,$F$15,$F$14,$F$20,V$2,$N$1,$C269)</f>
        <v>0</v>
      </c>
      <c r="W269" s="185">
        <f ca="1">_xll.DBRW(Server&amp;Cube1,$F$17,$F$18,$F$19,$F$16,$C$14,$F$15,$F$14,$F$20,W$2,$N$1,$C269)</f>
        <v>0</v>
      </c>
      <c r="X269" s="185">
        <f ca="1">_xll.DBRW(Server&amp;Cube1,$F$17,$F$18,$F$19,$F$16,$C$14,$F$15,$F$14,$F$20,X$2,$N$1,$C269)</f>
        <v>0</v>
      </c>
      <c r="Y269" s="185">
        <f ca="1">_xll.DBRW(Server&amp;Cube1,$F$17,$F$18,$F$19,$F$16,$C$14,$F$15,$F$14,$F$20,Y$2,$N$1,$C269)</f>
        <v>0</v>
      </c>
      <c r="Z269" s="185">
        <f ca="1">_xll.DBRW(Server&amp;Cube1,$F$17,$F$18,$F$19,$F$16,$C$14,$F$15,$F$14,$F$20,Z$2,$N$1,$C269)</f>
        <v>0</v>
      </c>
      <c r="AA269" s="53"/>
      <c r="AB269" s="53"/>
      <c r="AC269" s="53"/>
      <c r="AD269" s="53"/>
      <c r="AE269" s="53"/>
      <c r="AF269" s="53"/>
      <c r="AG269" s="53"/>
      <c r="AH269" s="53"/>
      <c r="AI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</row>
    <row r="270" spans="1:47" s="9" customFormat="1" ht="24" customHeight="1" x14ac:dyDescent="0.35">
      <c r="A270" s="157">
        <f ca="1">IF($AN$35="YES",1,IF(_xll.ELCOMPN(Server&amp;$C$24,C270)&lt;&gt;0,1,IF(OR(B270=$AT$35,B270="ALL"),1,0)))</f>
        <v>1</v>
      </c>
      <c r="B270" s="139" t="str">
        <f t="shared" si="3"/>
        <v>IT</v>
      </c>
      <c r="C270" s="137" t="s">
        <v>507</v>
      </c>
      <c r="E270" s="221" t="str">
        <f ca="1">_xll.DBRA(Server&amp;$C$24,$C270,$F$21)</f>
        <v>Note de Frais (IT)</v>
      </c>
      <c r="F270" s="221"/>
      <c r="G270" s="221"/>
      <c r="H270" s="40"/>
      <c r="I270" s="192">
        <f ca="1">_xll.DBRW(Server&amp;Cube1,$F$17,$F$18,$F$19,$F$16,$C$14,$F$15,$F$14,$F$20,I$2,I$1,$C270)</f>
        <v>0</v>
      </c>
      <c r="J270" s="192">
        <f ca="1">_xll.DBRW(Server&amp;Cube1,$F$17,$F$18,$F$19,$F$16,$C$14,$F$15,$F$14,$F$20,J$2,J$1,$C270)</f>
        <v>0</v>
      </c>
      <c r="K270" s="183"/>
      <c r="L270" s="185">
        <f ca="1">_xll.DBRW(Server&amp;Cube1,$F$17,$F$18,$F$19,$F$16,$C$14,$F$15,$F$14,$F$20,L$2,L$1,$C270)</f>
        <v>0</v>
      </c>
      <c r="M270" s="184"/>
      <c r="N270" s="185">
        <f ca="1">_xll.DBRW(Server&amp;Cube1,$F$17,$F$18,$F$19,$F$16,$C$14,$F$15,$F$14,$F$20,N$2,$N$1,$C270)</f>
        <v>0</v>
      </c>
      <c r="O270" s="185">
        <f ca="1">_xll.DBRW(Server&amp;Cube1,$F$17,$F$18,$F$19,$F$16,$C$14,$F$15,$F$14,$F$20,O$2,$N$1,$C270)</f>
        <v>0</v>
      </c>
      <c r="P270" s="185">
        <f ca="1">_xll.DBRW(Server&amp;Cube1,$F$17,$F$18,$F$19,$F$16,$C$14,$F$15,$F$14,$F$20,P$2,$N$1,$C270)</f>
        <v>0</v>
      </c>
      <c r="Q270" s="185">
        <f ca="1">_xll.DBRW(Server&amp;Cube1,$F$17,$F$18,$F$19,$F$16,$C$14,$F$15,$F$14,$F$20,Q$2,$N$1,$C270)</f>
        <v>0</v>
      </c>
      <c r="R270" s="185">
        <f ca="1">_xll.DBRW(Server&amp;Cube1,$F$17,$F$18,$F$19,$F$16,$C$14,$F$15,$F$14,$F$20,R$2,$N$1,$C270)</f>
        <v>0</v>
      </c>
      <c r="S270" s="185">
        <f ca="1">_xll.DBRW(Server&amp;Cube1,$F$17,$F$18,$F$19,$F$16,$C$14,$F$15,$F$14,$F$20,S$2,$N$1,$C270)</f>
        <v>0</v>
      </c>
      <c r="T270" s="185">
        <f ca="1">_xll.DBRW(Server&amp;Cube1,$F$17,$F$18,$F$19,$F$16,$C$14,$F$15,$F$14,$F$20,T$2,$N$1,$C270)</f>
        <v>0</v>
      </c>
      <c r="U270" s="185">
        <f ca="1">_xll.DBRW(Server&amp;Cube1,$F$17,$F$18,$F$19,$F$16,$C$14,$F$15,$F$14,$F$20,U$2,$N$1,$C270)</f>
        <v>0</v>
      </c>
      <c r="V270" s="185">
        <f ca="1">_xll.DBRW(Server&amp;Cube1,$F$17,$F$18,$F$19,$F$16,$C$14,$F$15,$F$14,$F$20,V$2,$N$1,$C270)</f>
        <v>0</v>
      </c>
      <c r="W270" s="185">
        <f ca="1">_xll.DBRW(Server&amp;Cube1,$F$17,$F$18,$F$19,$F$16,$C$14,$F$15,$F$14,$F$20,W$2,$N$1,$C270)</f>
        <v>0</v>
      </c>
      <c r="X270" s="185">
        <f ca="1">_xll.DBRW(Server&amp;Cube1,$F$17,$F$18,$F$19,$F$16,$C$14,$F$15,$F$14,$F$20,X$2,$N$1,$C270)</f>
        <v>0</v>
      </c>
      <c r="Y270" s="185">
        <f ca="1">_xll.DBRW(Server&amp;Cube1,$F$17,$F$18,$F$19,$F$16,$C$14,$F$15,$F$14,$F$20,Y$2,$N$1,$C270)</f>
        <v>0</v>
      </c>
      <c r="Z270" s="185">
        <f ca="1">_xll.DBRW(Server&amp;Cube1,$F$17,$F$18,$F$19,$F$16,$C$14,$F$15,$F$14,$F$20,Z$2,$N$1,$C270)</f>
        <v>0</v>
      </c>
      <c r="AA270" s="53"/>
      <c r="AB270" s="53"/>
      <c r="AC270" s="53"/>
      <c r="AD270" s="53"/>
      <c r="AE270" s="53"/>
      <c r="AF270" s="53"/>
      <c r="AG270" s="53"/>
      <c r="AH270" s="53"/>
      <c r="AI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</row>
    <row r="271" spans="1:47" s="9" customFormat="1" ht="24" customHeight="1" x14ac:dyDescent="0.35">
      <c r="A271" s="157">
        <f ca="1">IF($AN$35="YES",1,IF(_xll.ELCOMPN(Server&amp;$C$24,C271)&lt;&gt;0,1,IF(OR(B271=$AT$35,B271="ALL"),1,0)))</f>
        <v>1</v>
      </c>
      <c r="B271" s="139" t="str">
        <f t="shared" si="3"/>
        <v>HR</v>
      </c>
      <c r="C271" s="137" t="s">
        <v>508</v>
      </c>
      <c r="E271" s="221" t="str">
        <f ca="1">_xll.DBRA(Server&amp;$C$24,$C271,$F$21)</f>
        <v>Note de Frais (RH)</v>
      </c>
      <c r="F271" s="221"/>
      <c r="G271" s="221"/>
      <c r="H271" s="40"/>
      <c r="I271" s="192">
        <f ca="1">_xll.DBRW(Server&amp;Cube1,$F$17,$F$18,$F$19,$F$16,$C$14,$F$15,$F$14,$F$20,I$2,I$1,$C271)</f>
        <v>0</v>
      </c>
      <c r="J271" s="192">
        <f ca="1">_xll.DBRW(Server&amp;Cube1,$F$17,$F$18,$F$19,$F$16,$C$14,$F$15,$F$14,$F$20,J$2,J$1,$C271)</f>
        <v>0</v>
      </c>
      <c r="K271" s="183"/>
      <c r="L271" s="185">
        <f ca="1">_xll.DBRW(Server&amp;Cube1,$F$17,$F$18,$F$19,$F$16,$C$14,$F$15,$F$14,$F$20,L$2,L$1,$C271)</f>
        <v>0</v>
      </c>
      <c r="M271" s="184"/>
      <c r="N271" s="185">
        <f ca="1">_xll.DBRW(Server&amp;Cube1,$F$17,$F$18,$F$19,$F$16,$C$14,$F$15,$F$14,$F$20,N$2,$N$1,$C271)</f>
        <v>0</v>
      </c>
      <c r="O271" s="185">
        <f ca="1">_xll.DBRW(Server&amp;Cube1,$F$17,$F$18,$F$19,$F$16,$C$14,$F$15,$F$14,$F$20,O$2,$N$1,$C271)</f>
        <v>0</v>
      </c>
      <c r="P271" s="185">
        <f ca="1">_xll.DBRW(Server&amp;Cube1,$F$17,$F$18,$F$19,$F$16,$C$14,$F$15,$F$14,$F$20,P$2,$N$1,$C271)</f>
        <v>0</v>
      </c>
      <c r="Q271" s="185">
        <f ca="1">_xll.DBRW(Server&amp;Cube1,$F$17,$F$18,$F$19,$F$16,$C$14,$F$15,$F$14,$F$20,Q$2,$N$1,$C271)</f>
        <v>0</v>
      </c>
      <c r="R271" s="185">
        <f ca="1">_xll.DBRW(Server&amp;Cube1,$F$17,$F$18,$F$19,$F$16,$C$14,$F$15,$F$14,$F$20,R$2,$N$1,$C271)</f>
        <v>0</v>
      </c>
      <c r="S271" s="185">
        <f ca="1">_xll.DBRW(Server&amp;Cube1,$F$17,$F$18,$F$19,$F$16,$C$14,$F$15,$F$14,$F$20,S$2,$N$1,$C271)</f>
        <v>0</v>
      </c>
      <c r="T271" s="185">
        <f ca="1">_xll.DBRW(Server&amp;Cube1,$F$17,$F$18,$F$19,$F$16,$C$14,$F$15,$F$14,$F$20,T$2,$N$1,$C271)</f>
        <v>0</v>
      </c>
      <c r="U271" s="185">
        <f ca="1">_xll.DBRW(Server&amp;Cube1,$F$17,$F$18,$F$19,$F$16,$C$14,$F$15,$F$14,$F$20,U$2,$N$1,$C271)</f>
        <v>0</v>
      </c>
      <c r="V271" s="185">
        <f ca="1">_xll.DBRW(Server&amp;Cube1,$F$17,$F$18,$F$19,$F$16,$C$14,$F$15,$F$14,$F$20,V$2,$N$1,$C271)</f>
        <v>0</v>
      </c>
      <c r="W271" s="185">
        <f ca="1">_xll.DBRW(Server&amp;Cube1,$F$17,$F$18,$F$19,$F$16,$C$14,$F$15,$F$14,$F$20,W$2,$N$1,$C271)</f>
        <v>0</v>
      </c>
      <c r="X271" s="185">
        <f ca="1">_xll.DBRW(Server&amp;Cube1,$F$17,$F$18,$F$19,$F$16,$C$14,$F$15,$F$14,$F$20,X$2,$N$1,$C271)</f>
        <v>0</v>
      </c>
      <c r="Y271" s="185">
        <f ca="1">_xll.DBRW(Server&amp;Cube1,$F$17,$F$18,$F$19,$F$16,$C$14,$F$15,$F$14,$F$20,Y$2,$N$1,$C271)</f>
        <v>0</v>
      </c>
      <c r="Z271" s="185">
        <f ca="1">_xll.DBRW(Server&amp;Cube1,$F$17,$F$18,$F$19,$F$16,$C$14,$F$15,$F$14,$F$20,Z$2,$N$1,$C271)</f>
        <v>0</v>
      </c>
      <c r="AA271" s="53"/>
      <c r="AB271" s="53"/>
      <c r="AC271" s="53"/>
      <c r="AD271" s="53"/>
      <c r="AE271" s="53"/>
      <c r="AF271" s="53"/>
      <c r="AG271" s="53"/>
      <c r="AH271" s="53"/>
      <c r="AI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</row>
    <row r="272" spans="1:47" s="9" customFormat="1" ht="24" customHeight="1" x14ac:dyDescent="0.35">
      <c r="A272" s="157">
        <f ca="1">IF($AN$35="YES",1,IF(_xll.ELCOMPN(Server&amp;$C$24,C272)&lt;&gt;0,1,IF(OR(B272=$AT$35,B272="ALL"),1,0)))</f>
        <v>1</v>
      </c>
      <c r="B272" s="139" t="str">
        <f t="shared" si="3"/>
        <v>GM</v>
      </c>
      <c r="C272" s="137" t="s">
        <v>509</v>
      </c>
      <c r="E272" s="221" t="str">
        <f ca="1">_xll.DBRA(Server&amp;$C$24,$C272,$F$21)</f>
        <v>Note de Frais (DG)</v>
      </c>
      <c r="F272" s="221"/>
      <c r="G272" s="221"/>
      <c r="H272" s="40"/>
      <c r="I272" s="192">
        <f ca="1">_xll.DBRW(Server&amp;Cube1,$F$17,$F$18,$F$19,$F$16,$C$14,$F$15,$F$14,$F$20,I$2,I$1,$C272)</f>
        <v>0</v>
      </c>
      <c r="J272" s="192">
        <f ca="1">_xll.DBRW(Server&amp;Cube1,$F$17,$F$18,$F$19,$F$16,$C$14,$F$15,$F$14,$F$20,J$2,J$1,$C272)</f>
        <v>0</v>
      </c>
      <c r="K272" s="183"/>
      <c r="L272" s="185">
        <f ca="1">_xll.DBRW(Server&amp;Cube1,$F$17,$F$18,$F$19,$F$16,$C$14,$F$15,$F$14,$F$20,L$2,L$1,$C272)</f>
        <v>0</v>
      </c>
      <c r="M272" s="184"/>
      <c r="N272" s="185">
        <f ca="1">_xll.DBRW(Server&amp;Cube1,$F$17,$F$18,$F$19,$F$16,$C$14,$F$15,$F$14,$F$20,N$2,$N$1,$C272)</f>
        <v>0</v>
      </c>
      <c r="O272" s="185">
        <f ca="1">_xll.DBRW(Server&amp;Cube1,$F$17,$F$18,$F$19,$F$16,$C$14,$F$15,$F$14,$F$20,O$2,$N$1,$C272)</f>
        <v>0</v>
      </c>
      <c r="P272" s="185">
        <f ca="1">_xll.DBRW(Server&amp;Cube1,$F$17,$F$18,$F$19,$F$16,$C$14,$F$15,$F$14,$F$20,P$2,$N$1,$C272)</f>
        <v>0</v>
      </c>
      <c r="Q272" s="185">
        <f ca="1">_xll.DBRW(Server&amp;Cube1,$F$17,$F$18,$F$19,$F$16,$C$14,$F$15,$F$14,$F$20,Q$2,$N$1,$C272)</f>
        <v>0</v>
      </c>
      <c r="R272" s="185">
        <f ca="1">_xll.DBRW(Server&amp;Cube1,$F$17,$F$18,$F$19,$F$16,$C$14,$F$15,$F$14,$F$20,R$2,$N$1,$C272)</f>
        <v>0</v>
      </c>
      <c r="S272" s="185">
        <f ca="1">_xll.DBRW(Server&amp;Cube1,$F$17,$F$18,$F$19,$F$16,$C$14,$F$15,$F$14,$F$20,S$2,$N$1,$C272)</f>
        <v>0</v>
      </c>
      <c r="T272" s="185">
        <f ca="1">_xll.DBRW(Server&amp;Cube1,$F$17,$F$18,$F$19,$F$16,$C$14,$F$15,$F$14,$F$20,T$2,$N$1,$C272)</f>
        <v>0</v>
      </c>
      <c r="U272" s="185">
        <f ca="1">_xll.DBRW(Server&amp;Cube1,$F$17,$F$18,$F$19,$F$16,$C$14,$F$15,$F$14,$F$20,U$2,$N$1,$C272)</f>
        <v>0</v>
      </c>
      <c r="V272" s="185">
        <f ca="1">_xll.DBRW(Server&amp;Cube1,$F$17,$F$18,$F$19,$F$16,$C$14,$F$15,$F$14,$F$20,V$2,$N$1,$C272)</f>
        <v>0</v>
      </c>
      <c r="W272" s="185">
        <f ca="1">_xll.DBRW(Server&amp;Cube1,$F$17,$F$18,$F$19,$F$16,$C$14,$F$15,$F$14,$F$20,W$2,$N$1,$C272)</f>
        <v>0</v>
      </c>
      <c r="X272" s="185">
        <f ca="1">_xll.DBRW(Server&amp;Cube1,$F$17,$F$18,$F$19,$F$16,$C$14,$F$15,$F$14,$F$20,X$2,$N$1,$C272)</f>
        <v>0</v>
      </c>
      <c r="Y272" s="185">
        <f ca="1">_xll.DBRW(Server&amp;Cube1,$F$17,$F$18,$F$19,$F$16,$C$14,$F$15,$F$14,$F$20,Y$2,$N$1,$C272)</f>
        <v>0</v>
      </c>
      <c r="Z272" s="185">
        <f ca="1">_xll.DBRW(Server&amp;Cube1,$F$17,$F$18,$F$19,$F$16,$C$14,$F$15,$F$14,$F$20,Z$2,$N$1,$C272)</f>
        <v>0</v>
      </c>
      <c r="AA272" s="53"/>
      <c r="AB272" s="53"/>
      <c r="AC272" s="53"/>
      <c r="AD272" s="53"/>
      <c r="AE272" s="53"/>
      <c r="AF272" s="53"/>
      <c r="AG272" s="53"/>
      <c r="AH272" s="53"/>
      <c r="AI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</row>
    <row r="273" spans="1:47" s="9" customFormat="1" ht="24" customHeight="1" x14ac:dyDescent="0.35">
      <c r="A273" s="157">
        <f ca="1">IF($AN$35="YES",1,IF(_xll.ELCOMPN(Server&amp;$C$24,C273)&lt;&gt;0,1,IF(OR(B273=$AT$35,B273="ALL"),1,0)))</f>
        <v>1</v>
      </c>
      <c r="B273" s="139" t="str">
        <f t="shared" si="3"/>
        <v>IA</v>
      </c>
      <c r="C273" s="137" t="s">
        <v>510</v>
      </c>
      <c r="E273" s="221" t="str">
        <f ca="1">_xll.DBRA(Server&amp;$C$24,$C273,$F$21)</f>
        <v>Note de Frais (AI)</v>
      </c>
      <c r="F273" s="221"/>
      <c r="G273" s="221"/>
      <c r="H273" s="40"/>
      <c r="I273" s="192">
        <f ca="1">_xll.DBRW(Server&amp;Cube1,$F$17,$F$18,$F$19,$F$16,$C$14,$F$15,$F$14,$F$20,I$2,I$1,$C273)</f>
        <v>0</v>
      </c>
      <c r="J273" s="192">
        <f ca="1">_xll.DBRW(Server&amp;Cube1,$F$17,$F$18,$F$19,$F$16,$C$14,$F$15,$F$14,$F$20,J$2,J$1,$C273)</f>
        <v>0</v>
      </c>
      <c r="K273" s="183"/>
      <c r="L273" s="185">
        <f ca="1">_xll.DBRW(Server&amp;Cube1,$F$17,$F$18,$F$19,$F$16,$C$14,$F$15,$F$14,$F$20,L$2,L$1,$C273)</f>
        <v>0</v>
      </c>
      <c r="M273" s="184"/>
      <c r="N273" s="185">
        <f ca="1">_xll.DBRW(Server&amp;Cube1,$F$17,$F$18,$F$19,$F$16,$C$14,$F$15,$F$14,$F$20,N$2,$N$1,$C273)</f>
        <v>0</v>
      </c>
      <c r="O273" s="185">
        <f ca="1">_xll.DBRW(Server&amp;Cube1,$F$17,$F$18,$F$19,$F$16,$C$14,$F$15,$F$14,$F$20,O$2,$N$1,$C273)</f>
        <v>0</v>
      </c>
      <c r="P273" s="185">
        <f ca="1">_xll.DBRW(Server&amp;Cube1,$F$17,$F$18,$F$19,$F$16,$C$14,$F$15,$F$14,$F$20,P$2,$N$1,$C273)</f>
        <v>0</v>
      </c>
      <c r="Q273" s="185">
        <f ca="1">_xll.DBRW(Server&amp;Cube1,$F$17,$F$18,$F$19,$F$16,$C$14,$F$15,$F$14,$F$20,Q$2,$N$1,$C273)</f>
        <v>0</v>
      </c>
      <c r="R273" s="185">
        <f ca="1">_xll.DBRW(Server&amp;Cube1,$F$17,$F$18,$F$19,$F$16,$C$14,$F$15,$F$14,$F$20,R$2,$N$1,$C273)</f>
        <v>0</v>
      </c>
      <c r="S273" s="185">
        <f ca="1">_xll.DBRW(Server&amp;Cube1,$F$17,$F$18,$F$19,$F$16,$C$14,$F$15,$F$14,$F$20,S$2,$N$1,$C273)</f>
        <v>0</v>
      </c>
      <c r="T273" s="185">
        <f ca="1">_xll.DBRW(Server&amp;Cube1,$F$17,$F$18,$F$19,$F$16,$C$14,$F$15,$F$14,$F$20,T$2,$N$1,$C273)</f>
        <v>0</v>
      </c>
      <c r="U273" s="185">
        <f ca="1">_xll.DBRW(Server&amp;Cube1,$F$17,$F$18,$F$19,$F$16,$C$14,$F$15,$F$14,$F$20,U$2,$N$1,$C273)</f>
        <v>0</v>
      </c>
      <c r="V273" s="185">
        <f ca="1">_xll.DBRW(Server&amp;Cube1,$F$17,$F$18,$F$19,$F$16,$C$14,$F$15,$F$14,$F$20,V$2,$N$1,$C273)</f>
        <v>0</v>
      </c>
      <c r="W273" s="185">
        <f ca="1">_xll.DBRW(Server&amp;Cube1,$F$17,$F$18,$F$19,$F$16,$C$14,$F$15,$F$14,$F$20,W$2,$N$1,$C273)</f>
        <v>0</v>
      </c>
      <c r="X273" s="185">
        <f ca="1">_xll.DBRW(Server&amp;Cube1,$F$17,$F$18,$F$19,$F$16,$C$14,$F$15,$F$14,$F$20,X$2,$N$1,$C273)</f>
        <v>0</v>
      </c>
      <c r="Y273" s="185">
        <f ca="1">_xll.DBRW(Server&amp;Cube1,$F$17,$F$18,$F$19,$F$16,$C$14,$F$15,$F$14,$F$20,Y$2,$N$1,$C273)</f>
        <v>0</v>
      </c>
      <c r="Z273" s="185">
        <f ca="1">_xll.DBRW(Server&amp;Cube1,$F$17,$F$18,$F$19,$F$16,$C$14,$F$15,$F$14,$F$20,Z$2,$N$1,$C273)</f>
        <v>0</v>
      </c>
      <c r="AA273" s="53"/>
      <c r="AB273" s="53"/>
      <c r="AC273" s="53"/>
      <c r="AD273" s="53"/>
      <c r="AE273" s="53"/>
      <c r="AF273" s="53"/>
      <c r="AG273" s="53"/>
      <c r="AH273" s="53"/>
      <c r="AI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</row>
    <row r="274" spans="1:47" s="9" customFormat="1" ht="24" customHeight="1" x14ac:dyDescent="0.35">
      <c r="A274" s="157">
        <f ca="1">IF($AN$35="YES",1,IF(_xll.ELCOMPN(Server&amp;$C$24,C274)&lt;&gt;0,1,IF(OR(B274=$AT$35,B274="ALL"),1,0)))</f>
        <v>1</v>
      </c>
      <c r="B274" s="139" t="str">
        <f t="shared" si="3"/>
        <v>LE</v>
      </c>
      <c r="C274" s="137" t="s">
        <v>511</v>
      </c>
      <c r="E274" s="221" t="str">
        <f ca="1">_xll.DBRA(Server&amp;$C$24,$C274,$F$21)</f>
        <v>Note de Frais (JU)</v>
      </c>
      <c r="F274" s="221"/>
      <c r="G274" s="221"/>
      <c r="H274" s="40"/>
      <c r="I274" s="192">
        <f ca="1">_xll.DBRW(Server&amp;Cube1,$F$17,$F$18,$F$19,$F$16,$C$14,$F$15,$F$14,$F$20,I$2,I$1,$C274)</f>
        <v>0</v>
      </c>
      <c r="J274" s="192">
        <f ca="1">_xll.DBRW(Server&amp;Cube1,$F$17,$F$18,$F$19,$F$16,$C$14,$F$15,$F$14,$F$20,J$2,J$1,$C274)</f>
        <v>0</v>
      </c>
      <c r="K274" s="183"/>
      <c r="L274" s="185">
        <f ca="1">_xll.DBRW(Server&amp;Cube1,$F$17,$F$18,$F$19,$F$16,$C$14,$F$15,$F$14,$F$20,L$2,L$1,$C274)</f>
        <v>0</v>
      </c>
      <c r="M274" s="184"/>
      <c r="N274" s="185">
        <f ca="1">_xll.DBRW(Server&amp;Cube1,$F$17,$F$18,$F$19,$F$16,$C$14,$F$15,$F$14,$F$20,N$2,$N$1,$C274)</f>
        <v>0</v>
      </c>
      <c r="O274" s="185">
        <f ca="1">_xll.DBRW(Server&amp;Cube1,$F$17,$F$18,$F$19,$F$16,$C$14,$F$15,$F$14,$F$20,O$2,$N$1,$C274)</f>
        <v>0</v>
      </c>
      <c r="P274" s="185">
        <f ca="1">_xll.DBRW(Server&amp;Cube1,$F$17,$F$18,$F$19,$F$16,$C$14,$F$15,$F$14,$F$20,P$2,$N$1,$C274)</f>
        <v>0</v>
      </c>
      <c r="Q274" s="185">
        <f ca="1">_xll.DBRW(Server&amp;Cube1,$F$17,$F$18,$F$19,$F$16,$C$14,$F$15,$F$14,$F$20,Q$2,$N$1,$C274)</f>
        <v>0</v>
      </c>
      <c r="R274" s="185">
        <f ca="1">_xll.DBRW(Server&amp;Cube1,$F$17,$F$18,$F$19,$F$16,$C$14,$F$15,$F$14,$F$20,R$2,$N$1,$C274)</f>
        <v>0</v>
      </c>
      <c r="S274" s="185">
        <f ca="1">_xll.DBRW(Server&amp;Cube1,$F$17,$F$18,$F$19,$F$16,$C$14,$F$15,$F$14,$F$20,S$2,$N$1,$C274)</f>
        <v>0</v>
      </c>
      <c r="T274" s="185">
        <f ca="1">_xll.DBRW(Server&amp;Cube1,$F$17,$F$18,$F$19,$F$16,$C$14,$F$15,$F$14,$F$20,T$2,$N$1,$C274)</f>
        <v>0</v>
      </c>
      <c r="U274" s="185">
        <f ca="1">_xll.DBRW(Server&amp;Cube1,$F$17,$F$18,$F$19,$F$16,$C$14,$F$15,$F$14,$F$20,U$2,$N$1,$C274)</f>
        <v>0</v>
      </c>
      <c r="V274" s="185">
        <f ca="1">_xll.DBRW(Server&amp;Cube1,$F$17,$F$18,$F$19,$F$16,$C$14,$F$15,$F$14,$F$20,V$2,$N$1,$C274)</f>
        <v>0</v>
      </c>
      <c r="W274" s="185">
        <f ca="1">_xll.DBRW(Server&amp;Cube1,$F$17,$F$18,$F$19,$F$16,$C$14,$F$15,$F$14,$F$20,W$2,$N$1,$C274)</f>
        <v>0</v>
      </c>
      <c r="X274" s="185">
        <f ca="1">_xll.DBRW(Server&amp;Cube1,$F$17,$F$18,$F$19,$F$16,$C$14,$F$15,$F$14,$F$20,X$2,$N$1,$C274)</f>
        <v>0</v>
      </c>
      <c r="Y274" s="185">
        <f ca="1">_xll.DBRW(Server&amp;Cube1,$F$17,$F$18,$F$19,$F$16,$C$14,$F$15,$F$14,$F$20,Y$2,$N$1,$C274)</f>
        <v>0</v>
      </c>
      <c r="Z274" s="185">
        <f ca="1">_xll.DBRW(Server&amp;Cube1,$F$17,$F$18,$F$19,$F$16,$C$14,$F$15,$F$14,$F$20,Z$2,$N$1,$C274)</f>
        <v>0</v>
      </c>
      <c r="AA274" s="53"/>
      <c r="AB274" s="53"/>
      <c r="AC274" s="53"/>
      <c r="AD274" s="53"/>
      <c r="AE274" s="53"/>
      <c r="AF274" s="53"/>
      <c r="AG274" s="53"/>
      <c r="AH274" s="53"/>
      <c r="AI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</row>
    <row r="275" spans="1:47" s="9" customFormat="1" ht="24" customHeight="1" x14ac:dyDescent="0.35">
      <c r="A275" s="157">
        <f ca="1">IF($AN$35="YES",1,IF(_xll.ELCOMPN(Server&amp;$C$24,C275)&lt;&gt;0,1,IF(OR(B275=$AT$35,B275="ALL"),1,0)))</f>
        <v>1</v>
      </c>
      <c r="B275" s="139" t="str">
        <f t="shared" si="3"/>
        <v>RM</v>
      </c>
      <c r="C275" s="137" t="s">
        <v>512</v>
      </c>
      <c r="E275" s="221" t="str">
        <f ca="1">_xll.DBRA(Server&amp;$C$24,$C275,$F$21)</f>
        <v>Note de Frais (GR)</v>
      </c>
      <c r="F275" s="221"/>
      <c r="G275" s="221"/>
      <c r="H275" s="40"/>
      <c r="I275" s="192">
        <f ca="1">_xll.DBRW(Server&amp;Cube1,$F$17,$F$18,$F$19,$F$16,$C$14,$F$15,$F$14,$F$20,I$2,I$1,$C275)</f>
        <v>0</v>
      </c>
      <c r="J275" s="192">
        <f ca="1">_xll.DBRW(Server&amp;Cube1,$F$17,$F$18,$F$19,$F$16,$C$14,$F$15,$F$14,$F$20,J$2,J$1,$C275)</f>
        <v>0</v>
      </c>
      <c r="K275" s="183"/>
      <c r="L275" s="185">
        <f ca="1">_xll.DBRW(Server&amp;Cube1,$F$17,$F$18,$F$19,$F$16,$C$14,$F$15,$F$14,$F$20,L$2,L$1,$C275)</f>
        <v>0</v>
      </c>
      <c r="M275" s="184"/>
      <c r="N275" s="185">
        <f ca="1">_xll.DBRW(Server&amp;Cube1,$F$17,$F$18,$F$19,$F$16,$C$14,$F$15,$F$14,$F$20,N$2,$N$1,$C275)</f>
        <v>0</v>
      </c>
      <c r="O275" s="185">
        <f ca="1">_xll.DBRW(Server&amp;Cube1,$F$17,$F$18,$F$19,$F$16,$C$14,$F$15,$F$14,$F$20,O$2,$N$1,$C275)</f>
        <v>0</v>
      </c>
      <c r="P275" s="185">
        <f ca="1">_xll.DBRW(Server&amp;Cube1,$F$17,$F$18,$F$19,$F$16,$C$14,$F$15,$F$14,$F$20,P$2,$N$1,$C275)</f>
        <v>0</v>
      </c>
      <c r="Q275" s="185">
        <f ca="1">_xll.DBRW(Server&amp;Cube1,$F$17,$F$18,$F$19,$F$16,$C$14,$F$15,$F$14,$F$20,Q$2,$N$1,$C275)</f>
        <v>0</v>
      </c>
      <c r="R275" s="185">
        <f ca="1">_xll.DBRW(Server&amp;Cube1,$F$17,$F$18,$F$19,$F$16,$C$14,$F$15,$F$14,$F$20,R$2,$N$1,$C275)</f>
        <v>0</v>
      </c>
      <c r="S275" s="185">
        <f ca="1">_xll.DBRW(Server&amp;Cube1,$F$17,$F$18,$F$19,$F$16,$C$14,$F$15,$F$14,$F$20,S$2,$N$1,$C275)</f>
        <v>0</v>
      </c>
      <c r="T275" s="185">
        <f ca="1">_xll.DBRW(Server&amp;Cube1,$F$17,$F$18,$F$19,$F$16,$C$14,$F$15,$F$14,$F$20,T$2,$N$1,$C275)</f>
        <v>0</v>
      </c>
      <c r="U275" s="185">
        <f ca="1">_xll.DBRW(Server&amp;Cube1,$F$17,$F$18,$F$19,$F$16,$C$14,$F$15,$F$14,$F$20,U$2,$N$1,$C275)</f>
        <v>0</v>
      </c>
      <c r="V275" s="185">
        <f ca="1">_xll.DBRW(Server&amp;Cube1,$F$17,$F$18,$F$19,$F$16,$C$14,$F$15,$F$14,$F$20,V$2,$N$1,$C275)</f>
        <v>0</v>
      </c>
      <c r="W275" s="185">
        <f ca="1">_xll.DBRW(Server&amp;Cube1,$F$17,$F$18,$F$19,$F$16,$C$14,$F$15,$F$14,$F$20,W$2,$N$1,$C275)</f>
        <v>0</v>
      </c>
      <c r="X275" s="185">
        <f ca="1">_xll.DBRW(Server&amp;Cube1,$F$17,$F$18,$F$19,$F$16,$C$14,$F$15,$F$14,$F$20,X$2,$N$1,$C275)</f>
        <v>0</v>
      </c>
      <c r="Y275" s="185">
        <f ca="1">_xll.DBRW(Server&amp;Cube1,$F$17,$F$18,$F$19,$F$16,$C$14,$F$15,$F$14,$F$20,Y$2,$N$1,$C275)</f>
        <v>0</v>
      </c>
      <c r="Z275" s="185">
        <f ca="1">_xll.DBRW(Server&amp;Cube1,$F$17,$F$18,$F$19,$F$16,$C$14,$F$15,$F$14,$F$20,Z$2,$N$1,$C275)</f>
        <v>0</v>
      </c>
      <c r="AA275" s="53"/>
      <c r="AB275" s="53"/>
      <c r="AC275" s="53"/>
      <c r="AD275" s="53"/>
      <c r="AE275" s="53"/>
      <c r="AF275" s="53"/>
      <c r="AG275" s="53"/>
      <c r="AH275" s="53"/>
      <c r="AI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</row>
    <row r="276" spans="1:47" s="9" customFormat="1" ht="24" customHeight="1" x14ac:dyDescent="0.35">
      <c r="A276" s="157">
        <f ca="1">IF($AN$35="YES",1,IF(_xll.ELCOMPN(Server&amp;$C$24,C276)&lt;&gt;0,1,IF(OR(B276=$AT$35,B276="ALL"),1,0)))</f>
        <v>1</v>
      </c>
      <c r="B276" s="139" t="str">
        <f t="shared" si="3"/>
        <v>PU</v>
      </c>
      <c r="C276" s="137" t="s">
        <v>513</v>
      </c>
      <c r="E276" s="221" t="str">
        <f ca="1">_xll.DBRA(Server&amp;$C$24,$C276,$F$21)</f>
        <v>Note de Frais (AC)</v>
      </c>
      <c r="F276" s="221"/>
      <c r="G276" s="221"/>
      <c r="H276" s="40"/>
      <c r="I276" s="192">
        <f ca="1">_xll.DBRW(Server&amp;Cube1,$F$17,$F$18,$F$19,$F$16,$C$14,$F$15,$F$14,$F$20,I$2,I$1,$C276)</f>
        <v>0</v>
      </c>
      <c r="J276" s="192">
        <f ca="1">_xll.DBRW(Server&amp;Cube1,$F$17,$F$18,$F$19,$F$16,$C$14,$F$15,$F$14,$F$20,J$2,J$1,$C276)</f>
        <v>0</v>
      </c>
      <c r="K276" s="183"/>
      <c r="L276" s="185">
        <f ca="1">_xll.DBRW(Server&amp;Cube1,$F$17,$F$18,$F$19,$F$16,$C$14,$F$15,$F$14,$F$20,L$2,L$1,$C276)</f>
        <v>0</v>
      </c>
      <c r="M276" s="184"/>
      <c r="N276" s="185">
        <f ca="1">_xll.DBRW(Server&amp;Cube1,$F$17,$F$18,$F$19,$F$16,$C$14,$F$15,$F$14,$F$20,N$2,$N$1,$C276)</f>
        <v>0</v>
      </c>
      <c r="O276" s="185">
        <f ca="1">_xll.DBRW(Server&amp;Cube1,$F$17,$F$18,$F$19,$F$16,$C$14,$F$15,$F$14,$F$20,O$2,$N$1,$C276)</f>
        <v>0</v>
      </c>
      <c r="P276" s="185">
        <f ca="1">_xll.DBRW(Server&amp;Cube1,$F$17,$F$18,$F$19,$F$16,$C$14,$F$15,$F$14,$F$20,P$2,$N$1,$C276)</f>
        <v>0</v>
      </c>
      <c r="Q276" s="185">
        <f ca="1">_xll.DBRW(Server&amp;Cube1,$F$17,$F$18,$F$19,$F$16,$C$14,$F$15,$F$14,$F$20,Q$2,$N$1,$C276)</f>
        <v>0</v>
      </c>
      <c r="R276" s="185">
        <f ca="1">_xll.DBRW(Server&amp;Cube1,$F$17,$F$18,$F$19,$F$16,$C$14,$F$15,$F$14,$F$20,R$2,$N$1,$C276)</f>
        <v>0</v>
      </c>
      <c r="S276" s="185">
        <f ca="1">_xll.DBRW(Server&amp;Cube1,$F$17,$F$18,$F$19,$F$16,$C$14,$F$15,$F$14,$F$20,S$2,$N$1,$C276)</f>
        <v>0</v>
      </c>
      <c r="T276" s="185">
        <f ca="1">_xll.DBRW(Server&amp;Cube1,$F$17,$F$18,$F$19,$F$16,$C$14,$F$15,$F$14,$F$20,T$2,$N$1,$C276)</f>
        <v>0</v>
      </c>
      <c r="U276" s="185">
        <f ca="1">_xll.DBRW(Server&amp;Cube1,$F$17,$F$18,$F$19,$F$16,$C$14,$F$15,$F$14,$F$20,U$2,$N$1,$C276)</f>
        <v>0</v>
      </c>
      <c r="V276" s="185">
        <f ca="1">_xll.DBRW(Server&amp;Cube1,$F$17,$F$18,$F$19,$F$16,$C$14,$F$15,$F$14,$F$20,V$2,$N$1,$C276)</f>
        <v>0</v>
      </c>
      <c r="W276" s="185">
        <f ca="1">_xll.DBRW(Server&amp;Cube1,$F$17,$F$18,$F$19,$F$16,$C$14,$F$15,$F$14,$F$20,W$2,$N$1,$C276)</f>
        <v>0</v>
      </c>
      <c r="X276" s="185">
        <f ca="1">_xll.DBRW(Server&amp;Cube1,$F$17,$F$18,$F$19,$F$16,$C$14,$F$15,$F$14,$F$20,X$2,$N$1,$C276)</f>
        <v>0</v>
      </c>
      <c r="Y276" s="185">
        <f ca="1">_xll.DBRW(Server&amp;Cube1,$F$17,$F$18,$F$19,$F$16,$C$14,$F$15,$F$14,$F$20,Y$2,$N$1,$C276)</f>
        <v>0</v>
      </c>
      <c r="Z276" s="185">
        <f ca="1">_xll.DBRW(Server&amp;Cube1,$F$17,$F$18,$F$19,$F$16,$C$14,$F$15,$F$14,$F$20,Z$2,$N$1,$C276)</f>
        <v>0</v>
      </c>
      <c r="AA276" s="53"/>
      <c r="AB276" s="53"/>
      <c r="AC276" s="53"/>
      <c r="AD276" s="53"/>
      <c r="AE276" s="53"/>
      <c r="AF276" s="53"/>
      <c r="AG276" s="53"/>
      <c r="AH276" s="53"/>
      <c r="AI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</row>
    <row r="277" spans="1:47" s="9" customFormat="1" ht="24" customHeight="1" x14ac:dyDescent="0.35">
      <c r="A277" s="157">
        <f ca="1">IF($AN$35="YES",1,IF(_xll.ELCOMPN(Server&amp;$C$24,C277)&lt;&gt;0,1,IF(OR(B277=$AT$35,B277="ALL"),1,0)))</f>
        <v>1</v>
      </c>
      <c r="B277" s="139" t="str">
        <f t="shared" si="3"/>
        <v>CO</v>
      </c>
      <c r="C277" s="137" t="s">
        <v>514</v>
      </c>
      <c r="E277" s="221" t="str">
        <f ca="1">_xll.DBRA(Server&amp;$C$24,$C277,$F$21)</f>
        <v>Note de Frais (CO)</v>
      </c>
      <c r="F277" s="221"/>
      <c r="G277" s="221"/>
      <c r="H277" s="40"/>
      <c r="I277" s="192">
        <f ca="1">_xll.DBRW(Server&amp;Cube1,$F$17,$F$18,$F$19,$F$16,$C$14,$F$15,$F$14,$F$20,I$2,I$1,$C277)</f>
        <v>0</v>
      </c>
      <c r="J277" s="192">
        <f ca="1">_xll.DBRW(Server&amp;Cube1,$F$17,$F$18,$F$19,$F$16,$C$14,$F$15,$F$14,$F$20,J$2,J$1,$C277)</f>
        <v>0</v>
      </c>
      <c r="K277" s="183"/>
      <c r="L277" s="185">
        <f ca="1">_xll.DBRW(Server&amp;Cube1,$F$17,$F$18,$F$19,$F$16,$C$14,$F$15,$F$14,$F$20,L$2,L$1,$C277)</f>
        <v>0</v>
      </c>
      <c r="M277" s="184"/>
      <c r="N277" s="185">
        <f ca="1">_xll.DBRW(Server&amp;Cube1,$F$17,$F$18,$F$19,$F$16,$C$14,$F$15,$F$14,$F$20,N$2,$N$1,$C277)</f>
        <v>0</v>
      </c>
      <c r="O277" s="185">
        <f ca="1">_xll.DBRW(Server&amp;Cube1,$F$17,$F$18,$F$19,$F$16,$C$14,$F$15,$F$14,$F$20,O$2,$N$1,$C277)</f>
        <v>0</v>
      </c>
      <c r="P277" s="185">
        <f ca="1">_xll.DBRW(Server&amp;Cube1,$F$17,$F$18,$F$19,$F$16,$C$14,$F$15,$F$14,$F$20,P$2,$N$1,$C277)</f>
        <v>0</v>
      </c>
      <c r="Q277" s="185">
        <f ca="1">_xll.DBRW(Server&amp;Cube1,$F$17,$F$18,$F$19,$F$16,$C$14,$F$15,$F$14,$F$20,Q$2,$N$1,$C277)</f>
        <v>0</v>
      </c>
      <c r="R277" s="185">
        <f ca="1">_xll.DBRW(Server&amp;Cube1,$F$17,$F$18,$F$19,$F$16,$C$14,$F$15,$F$14,$F$20,R$2,$N$1,$C277)</f>
        <v>0</v>
      </c>
      <c r="S277" s="185">
        <f ca="1">_xll.DBRW(Server&amp;Cube1,$F$17,$F$18,$F$19,$F$16,$C$14,$F$15,$F$14,$F$20,S$2,$N$1,$C277)</f>
        <v>0</v>
      </c>
      <c r="T277" s="185">
        <f ca="1">_xll.DBRW(Server&amp;Cube1,$F$17,$F$18,$F$19,$F$16,$C$14,$F$15,$F$14,$F$20,T$2,$N$1,$C277)</f>
        <v>0</v>
      </c>
      <c r="U277" s="185">
        <f ca="1">_xll.DBRW(Server&amp;Cube1,$F$17,$F$18,$F$19,$F$16,$C$14,$F$15,$F$14,$F$20,U$2,$N$1,$C277)</f>
        <v>0</v>
      </c>
      <c r="V277" s="185">
        <f ca="1">_xll.DBRW(Server&amp;Cube1,$F$17,$F$18,$F$19,$F$16,$C$14,$F$15,$F$14,$F$20,V$2,$N$1,$C277)</f>
        <v>0</v>
      </c>
      <c r="W277" s="185">
        <f ca="1">_xll.DBRW(Server&amp;Cube1,$F$17,$F$18,$F$19,$F$16,$C$14,$F$15,$F$14,$F$20,W$2,$N$1,$C277)</f>
        <v>0</v>
      </c>
      <c r="X277" s="185">
        <f ca="1">_xll.DBRW(Server&amp;Cube1,$F$17,$F$18,$F$19,$F$16,$C$14,$F$15,$F$14,$F$20,X$2,$N$1,$C277)</f>
        <v>0</v>
      </c>
      <c r="Y277" s="185">
        <f ca="1">_xll.DBRW(Server&amp;Cube1,$F$17,$F$18,$F$19,$F$16,$C$14,$F$15,$F$14,$F$20,Y$2,$N$1,$C277)</f>
        <v>0</v>
      </c>
      <c r="Z277" s="185">
        <f ca="1">_xll.DBRW(Server&amp;Cube1,$F$17,$F$18,$F$19,$F$16,$C$14,$F$15,$F$14,$F$20,Z$2,$N$1,$C277)</f>
        <v>0</v>
      </c>
      <c r="AA277" s="53"/>
      <c r="AB277" s="53"/>
      <c r="AC277" s="53"/>
      <c r="AD277" s="53"/>
      <c r="AE277" s="53"/>
      <c r="AF277" s="53"/>
      <c r="AG277" s="53"/>
      <c r="AH277" s="53"/>
      <c r="AI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</row>
    <row r="278" spans="1:47" s="9" customFormat="1" ht="24" customHeight="1" x14ac:dyDescent="0.35">
      <c r="A278" s="157">
        <f ca="1">IF($AN$35="YES",1,IF(_xll.ELCOMPN(Server&amp;$C$24,C278)&lt;&gt;0,1,IF(OR(B278=$AT$35,B278="ALL"),1,0)))</f>
        <v>1</v>
      </c>
      <c r="B278" s="139" t="str">
        <f t="shared" si="3"/>
        <v>GS</v>
      </c>
      <c r="C278" s="137" t="s">
        <v>515</v>
      </c>
      <c r="E278" s="221" t="str">
        <f ca="1">_xll.DBRA(Server&amp;$C$24,$C278,$F$21)</f>
        <v>Note de Frais (SG)</v>
      </c>
      <c r="F278" s="221"/>
      <c r="G278" s="221"/>
      <c r="H278" s="40"/>
      <c r="I278" s="192">
        <f ca="1">_xll.DBRW(Server&amp;Cube1,$F$17,$F$18,$F$19,$F$16,$C$14,$F$15,$F$14,$F$20,I$2,I$1,$C278)</f>
        <v>0</v>
      </c>
      <c r="J278" s="192">
        <f ca="1">_xll.DBRW(Server&amp;Cube1,$F$17,$F$18,$F$19,$F$16,$C$14,$F$15,$F$14,$F$20,J$2,J$1,$C278)</f>
        <v>0</v>
      </c>
      <c r="K278" s="183"/>
      <c r="L278" s="185">
        <f ca="1">_xll.DBRW(Server&amp;Cube1,$F$17,$F$18,$F$19,$F$16,$C$14,$F$15,$F$14,$F$20,L$2,L$1,$C278)</f>
        <v>0</v>
      </c>
      <c r="M278" s="184"/>
      <c r="N278" s="185">
        <f ca="1">_xll.DBRW(Server&amp;Cube1,$F$17,$F$18,$F$19,$F$16,$C$14,$F$15,$F$14,$F$20,N$2,$N$1,$C278)</f>
        <v>0</v>
      </c>
      <c r="O278" s="185">
        <f ca="1">_xll.DBRW(Server&amp;Cube1,$F$17,$F$18,$F$19,$F$16,$C$14,$F$15,$F$14,$F$20,O$2,$N$1,$C278)</f>
        <v>0</v>
      </c>
      <c r="P278" s="185">
        <f ca="1">_xll.DBRW(Server&amp;Cube1,$F$17,$F$18,$F$19,$F$16,$C$14,$F$15,$F$14,$F$20,P$2,$N$1,$C278)</f>
        <v>0</v>
      </c>
      <c r="Q278" s="185">
        <f ca="1">_xll.DBRW(Server&amp;Cube1,$F$17,$F$18,$F$19,$F$16,$C$14,$F$15,$F$14,$F$20,Q$2,$N$1,$C278)</f>
        <v>0</v>
      </c>
      <c r="R278" s="185">
        <f ca="1">_xll.DBRW(Server&amp;Cube1,$F$17,$F$18,$F$19,$F$16,$C$14,$F$15,$F$14,$F$20,R$2,$N$1,$C278)</f>
        <v>0</v>
      </c>
      <c r="S278" s="185">
        <f ca="1">_xll.DBRW(Server&amp;Cube1,$F$17,$F$18,$F$19,$F$16,$C$14,$F$15,$F$14,$F$20,S$2,$N$1,$C278)</f>
        <v>0</v>
      </c>
      <c r="T278" s="185">
        <f ca="1">_xll.DBRW(Server&amp;Cube1,$F$17,$F$18,$F$19,$F$16,$C$14,$F$15,$F$14,$F$20,T$2,$N$1,$C278)</f>
        <v>0</v>
      </c>
      <c r="U278" s="185">
        <f ca="1">_xll.DBRW(Server&amp;Cube1,$F$17,$F$18,$F$19,$F$16,$C$14,$F$15,$F$14,$F$20,U$2,$N$1,$C278)</f>
        <v>0</v>
      </c>
      <c r="V278" s="185">
        <f ca="1">_xll.DBRW(Server&amp;Cube1,$F$17,$F$18,$F$19,$F$16,$C$14,$F$15,$F$14,$F$20,V$2,$N$1,$C278)</f>
        <v>0</v>
      </c>
      <c r="W278" s="185">
        <f ca="1">_xll.DBRW(Server&amp;Cube1,$F$17,$F$18,$F$19,$F$16,$C$14,$F$15,$F$14,$F$20,W$2,$N$1,$C278)</f>
        <v>0</v>
      </c>
      <c r="X278" s="185">
        <f ca="1">_xll.DBRW(Server&amp;Cube1,$F$17,$F$18,$F$19,$F$16,$C$14,$F$15,$F$14,$F$20,X$2,$N$1,$C278)</f>
        <v>0</v>
      </c>
      <c r="Y278" s="185">
        <f ca="1">_xll.DBRW(Server&amp;Cube1,$F$17,$F$18,$F$19,$F$16,$C$14,$F$15,$F$14,$F$20,Y$2,$N$1,$C278)</f>
        <v>0</v>
      </c>
      <c r="Z278" s="185">
        <f ca="1">_xll.DBRW(Server&amp;Cube1,$F$17,$F$18,$F$19,$F$16,$C$14,$F$15,$F$14,$F$20,Z$2,$N$1,$C278)</f>
        <v>0</v>
      </c>
      <c r="AA278" s="53"/>
      <c r="AB278" s="53"/>
      <c r="AC278" s="53"/>
      <c r="AD278" s="53"/>
      <c r="AE278" s="53"/>
      <c r="AF278" s="53"/>
      <c r="AG278" s="53"/>
      <c r="AH278" s="53"/>
      <c r="AI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</row>
    <row r="279" spans="1:47" s="9" customFormat="1" ht="24" customHeight="1" x14ac:dyDescent="0.35">
      <c r="A279" s="157">
        <f ca="1">IF($AN$35="YES",1,IF(_xll.ELCOMPN(Server&amp;$C$24,C279)&lt;&gt;0,1,IF(OR(B279=$AT$35,B279="ALL"),1,0)))</f>
        <v>1</v>
      </c>
      <c r="B279" s="139" t="str">
        <f t="shared" si="3"/>
        <v>RD</v>
      </c>
      <c r="C279" s="137" t="s">
        <v>516</v>
      </c>
      <c r="E279" s="221" t="str">
        <f ca="1">_xll.DBRA(Server&amp;$C$24,$C279,$F$21)</f>
        <v>Note de Frais (RD)</v>
      </c>
      <c r="F279" s="221"/>
      <c r="G279" s="221"/>
      <c r="H279" s="40"/>
      <c r="I279" s="192">
        <f ca="1">_xll.DBRW(Server&amp;Cube1,$F$17,$F$18,$F$19,$F$16,$C$14,$F$15,$F$14,$F$20,I$2,I$1,$C279)</f>
        <v>0</v>
      </c>
      <c r="J279" s="192">
        <f ca="1">_xll.DBRW(Server&amp;Cube1,$F$17,$F$18,$F$19,$F$16,$C$14,$F$15,$F$14,$F$20,J$2,J$1,$C279)</f>
        <v>0</v>
      </c>
      <c r="K279" s="183"/>
      <c r="L279" s="185">
        <f ca="1">_xll.DBRW(Server&amp;Cube1,$F$17,$F$18,$F$19,$F$16,$C$14,$F$15,$F$14,$F$20,L$2,L$1,$C279)</f>
        <v>0</v>
      </c>
      <c r="M279" s="184"/>
      <c r="N279" s="185">
        <f ca="1">_xll.DBRW(Server&amp;Cube1,$F$17,$F$18,$F$19,$F$16,$C$14,$F$15,$F$14,$F$20,N$2,$N$1,$C279)</f>
        <v>0</v>
      </c>
      <c r="O279" s="185">
        <f ca="1">_xll.DBRW(Server&amp;Cube1,$F$17,$F$18,$F$19,$F$16,$C$14,$F$15,$F$14,$F$20,O$2,$N$1,$C279)</f>
        <v>0</v>
      </c>
      <c r="P279" s="185">
        <f ca="1">_xll.DBRW(Server&amp;Cube1,$F$17,$F$18,$F$19,$F$16,$C$14,$F$15,$F$14,$F$20,P$2,$N$1,$C279)</f>
        <v>0</v>
      </c>
      <c r="Q279" s="185">
        <f ca="1">_xll.DBRW(Server&amp;Cube1,$F$17,$F$18,$F$19,$F$16,$C$14,$F$15,$F$14,$F$20,Q$2,$N$1,$C279)</f>
        <v>0</v>
      </c>
      <c r="R279" s="185">
        <f ca="1">_xll.DBRW(Server&amp;Cube1,$F$17,$F$18,$F$19,$F$16,$C$14,$F$15,$F$14,$F$20,R$2,$N$1,$C279)</f>
        <v>0</v>
      </c>
      <c r="S279" s="185">
        <f ca="1">_xll.DBRW(Server&amp;Cube1,$F$17,$F$18,$F$19,$F$16,$C$14,$F$15,$F$14,$F$20,S$2,$N$1,$C279)</f>
        <v>0</v>
      </c>
      <c r="T279" s="185">
        <f ca="1">_xll.DBRW(Server&amp;Cube1,$F$17,$F$18,$F$19,$F$16,$C$14,$F$15,$F$14,$F$20,T$2,$N$1,$C279)</f>
        <v>0</v>
      </c>
      <c r="U279" s="185">
        <f ca="1">_xll.DBRW(Server&amp;Cube1,$F$17,$F$18,$F$19,$F$16,$C$14,$F$15,$F$14,$F$20,U$2,$N$1,$C279)</f>
        <v>0</v>
      </c>
      <c r="V279" s="185">
        <f ca="1">_xll.DBRW(Server&amp;Cube1,$F$17,$F$18,$F$19,$F$16,$C$14,$F$15,$F$14,$F$20,V$2,$N$1,$C279)</f>
        <v>0</v>
      </c>
      <c r="W279" s="185">
        <f ca="1">_xll.DBRW(Server&amp;Cube1,$F$17,$F$18,$F$19,$F$16,$C$14,$F$15,$F$14,$F$20,W$2,$N$1,$C279)</f>
        <v>0</v>
      </c>
      <c r="X279" s="185">
        <f ca="1">_xll.DBRW(Server&amp;Cube1,$F$17,$F$18,$F$19,$F$16,$C$14,$F$15,$F$14,$F$20,X$2,$N$1,$C279)</f>
        <v>0</v>
      </c>
      <c r="Y279" s="185">
        <f ca="1">_xll.DBRW(Server&amp;Cube1,$F$17,$F$18,$F$19,$F$16,$C$14,$F$15,$F$14,$F$20,Y$2,$N$1,$C279)</f>
        <v>0</v>
      </c>
      <c r="Z279" s="185">
        <f ca="1">_xll.DBRW(Server&amp;Cube1,$F$17,$F$18,$F$19,$F$16,$C$14,$F$15,$F$14,$F$20,Z$2,$N$1,$C279)</f>
        <v>0</v>
      </c>
      <c r="AA279" s="53"/>
      <c r="AB279" s="53"/>
      <c r="AC279" s="53"/>
      <c r="AD279" s="53"/>
      <c r="AE279" s="53"/>
      <c r="AF279" s="53"/>
      <c r="AG279" s="53"/>
      <c r="AH279" s="53"/>
      <c r="AI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</row>
    <row r="280" spans="1:47" s="9" customFormat="1" ht="24" customHeight="1" x14ac:dyDescent="0.35">
      <c r="A280" s="157">
        <f ca="1">IF($AN$35="YES",1,IF(_xll.ELCOMPN(Server&amp;$C$24,C280)&lt;&gt;0,1,IF(OR(B280=$AT$35,B280="ALL"),1,0)))</f>
        <v>1</v>
      </c>
      <c r="B280" s="139" t="e">
        <f t="shared" si="3"/>
        <v>#VALUE!</v>
      </c>
      <c r="C280" s="111" t="s">
        <v>112</v>
      </c>
      <c r="E280" s="223" t="str">
        <f ca="1">_xll.DBRA(Server&amp;$C$24,$C280,$F$21)</f>
        <v>Déplacements</v>
      </c>
      <c r="F280" s="223"/>
      <c r="G280" s="223"/>
      <c r="H280" s="40"/>
      <c r="I280" s="192">
        <f ca="1">_xll.DBRW(Server&amp;Cube1,$F$17,$F$18,$F$19,$F$16,$C$14,$F$15,$F$14,$F$20,I$2,I$1,$C280)</f>
        <v>0</v>
      </c>
      <c r="J280" s="192">
        <f ca="1">_xll.DBRW(Server&amp;Cube1,$F$17,$F$18,$F$19,$F$16,$C$14,$F$15,$F$14,$F$20,J$2,J$1,$C280)</f>
        <v>0</v>
      </c>
      <c r="K280" s="183"/>
      <c r="L280" s="184">
        <f ca="1">_xll.DBRW(Server&amp;Cube1,$F$17,$F$18,$F$19,$F$16,$C$14,$F$15,$F$14,$F$20,L$2,L$1,$C280)</f>
        <v>0</v>
      </c>
      <c r="M280" s="184"/>
      <c r="N280" s="184">
        <f ca="1">_xll.DBRW(Server&amp;Cube1,$F$17,$F$18,$F$19,$F$16,$C$14,$F$15,$F$14,$F$20,N$2,$N$1,$C280)</f>
        <v>0</v>
      </c>
      <c r="O280" s="184">
        <f ca="1">_xll.DBRW(Server&amp;Cube1,$F$17,$F$18,$F$19,$F$16,$C$14,$F$15,$F$14,$F$20,O$2,$N$1,$C280)</f>
        <v>0</v>
      </c>
      <c r="P280" s="184">
        <f ca="1">_xll.DBRW(Server&amp;Cube1,$F$17,$F$18,$F$19,$F$16,$C$14,$F$15,$F$14,$F$20,P$2,$N$1,$C280)</f>
        <v>0</v>
      </c>
      <c r="Q280" s="184">
        <f ca="1">_xll.DBRW(Server&amp;Cube1,$F$17,$F$18,$F$19,$F$16,$C$14,$F$15,$F$14,$F$20,Q$2,$N$1,$C280)</f>
        <v>0</v>
      </c>
      <c r="R280" s="184">
        <f ca="1">_xll.DBRW(Server&amp;Cube1,$F$17,$F$18,$F$19,$F$16,$C$14,$F$15,$F$14,$F$20,R$2,$N$1,$C280)</f>
        <v>0</v>
      </c>
      <c r="S280" s="184">
        <f ca="1">_xll.DBRW(Server&amp;Cube1,$F$17,$F$18,$F$19,$F$16,$C$14,$F$15,$F$14,$F$20,S$2,$N$1,$C280)</f>
        <v>0</v>
      </c>
      <c r="T280" s="184">
        <f ca="1">_xll.DBRW(Server&amp;Cube1,$F$17,$F$18,$F$19,$F$16,$C$14,$F$15,$F$14,$F$20,T$2,$N$1,$C280)</f>
        <v>0</v>
      </c>
      <c r="U280" s="184">
        <f ca="1">_xll.DBRW(Server&amp;Cube1,$F$17,$F$18,$F$19,$F$16,$C$14,$F$15,$F$14,$F$20,U$2,$N$1,$C280)</f>
        <v>0</v>
      </c>
      <c r="V280" s="184">
        <f ca="1">_xll.DBRW(Server&amp;Cube1,$F$17,$F$18,$F$19,$F$16,$C$14,$F$15,$F$14,$F$20,V$2,$N$1,$C280)</f>
        <v>0</v>
      </c>
      <c r="W280" s="184">
        <f ca="1">_xll.DBRW(Server&amp;Cube1,$F$17,$F$18,$F$19,$F$16,$C$14,$F$15,$F$14,$F$20,W$2,$N$1,$C280)</f>
        <v>0</v>
      </c>
      <c r="X280" s="184">
        <f ca="1">_xll.DBRW(Server&amp;Cube1,$F$17,$F$18,$F$19,$F$16,$C$14,$F$15,$F$14,$F$20,X$2,$N$1,$C280)</f>
        <v>0</v>
      </c>
      <c r="Y280" s="184">
        <f ca="1">_xll.DBRW(Server&amp;Cube1,$F$17,$F$18,$F$19,$F$16,$C$14,$F$15,$F$14,$F$20,Y$2,$N$1,$C280)</f>
        <v>0</v>
      </c>
      <c r="Z280" s="184">
        <f ca="1">_xll.DBRW(Server&amp;Cube1,$F$17,$F$18,$F$19,$F$16,$C$14,$F$15,$F$14,$F$20,Z$2,$N$1,$C280)</f>
        <v>0</v>
      </c>
      <c r="AA280" s="53"/>
      <c r="AB280" s="53"/>
      <c r="AC280" s="53"/>
      <c r="AD280" s="53"/>
      <c r="AE280" s="53"/>
      <c r="AF280" s="53"/>
      <c r="AG280" s="53"/>
      <c r="AH280" s="53"/>
      <c r="AI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</row>
    <row r="281" spans="1:47" s="9" customFormat="1" ht="24" customHeight="1" x14ac:dyDescent="0.35">
      <c r="A281" s="157">
        <f ca="1">IF($AN$35="YES",1,IF(_xll.ELCOMPN(Server&amp;$C$24,C281)&lt;&gt;0,1,IF(OR(B281=$AT$35,B281="ALL"),1,0)))</f>
        <v>1</v>
      </c>
      <c r="B281" s="139" t="str">
        <f t="shared" si="3"/>
        <v>DS</v>
      </c>
      <c r="C281" s="137" t="s">
        <v>517</v>
      </c>
      <c r="E281" s="221" t="str">
        <f ca="1">_xll.DBRA(Server&amp;$C$24,$C281,$F$21)</f>
        <v>Voyages (SO)</v>
      </c>
      <c r="F281" s="221"/>
      <c r="G281" s="221"/>
      <c r="H281" s="40"/>
      <c r="I281" s="192">
        <f ca="1">_xll.DBRW(Server&amp;Cube1,$F$17,$F$18,$F$19,$F$16,$C$14,$F$15,$F$14,$F$20,I$2,I$1,$C281)</f>
        <v>0</v>
      </c>
      <c r="J281" s="192">
        <f ca="1">_xll.DBRW(Server&amp;Cube1,$F$17,$F$18,$F$19,$F$16,$C$14,$F$15,$F$14,$F$20,J$2,J$1,$C281)</f>
        <v>0</v>
      </c>
      <c r="K281" s="183"/>
      <c r="L281" s="185">
        <f ca="1">_xll.DBRW(Server&amp;Cube1,$F$17,$F$18,$F$19,$F$16,$C$14,$F$15,$F$14,$F$20,L$2,L$1,$C281)</f>
        <v>0</v>
      </c>
      <c r="M281" s="184"/>
      <c r="N281" s="185">
        <f ca="1">_xll.DBRW(Server&amp;Cube1,$F$17,$F$18,$F$19,$F$16,$C$14,$F$15,$F$14,$F$20,N$2,$N$1,$C281)</f>
        <v>0</v>
      </c>
      <c r="O281" s="185">
        <f ca="1">_xll.DBRW(Server&amp;Cube1,$F$17,$F$18,$F$19,$F$16,$C$14,$F$15,$F$14,$F$20,O$2,$N$1,$C281)</f>
        <v>0</v>
      </c>
      <c r="P281" s="185">
        <f ca="1">_xll.DBRW(Server&amp;Cube1,$F$17,$F$18,$F$19,$F$16,$C$14,$F$15,$F$14,$F$20,P$2,$N$1,$C281)</f>
        <v>0</v>
      </c>
      <c r="Q281" s="185">
        <f ca="1">_xll.DBRW(Server&amp;Cube1,$F$17,$F$18,$F$19,$F$16,$C$14,$F$15,$F$14,$F$20,Q$2,$N$1,$C281)</f>
        <v>0</v>
      </c>
      <c r="R281" s="185">
        <f ca="1">_xll.DBRW(Server&amp;Cube1,$F$17,$F$18,$F$19,$F$16,$C$14,$F$15,$F$14,$F$20,R$2,$N$1,$C281)</f>
        <v>0</v>
      </c>
      <c r="S281" s="185">
        <f ca="1">_xll.DBRW(Server&amp;Cube1,$F$17,$F$18,$F$19,$F$16,$C$14,$F$15,$F$14,$F$20,S$2,$N$1,$C281)</f>
        <v>0</v>
      </c>
      <c r="T281" s="185">
        <f ca="1">_xll.DBRW(Server&amp;Cube1,$F$17,$F$18,$F$19,$F$16,$C$14,$F$15,$F$14,$F$20,T$2,$N$1,$C281)</f>
        <v>0</v>
      </c>
      <c r="U281" s="185">
        <f ca="1">_xll.DBRW(Server&amp;Cube1,$F$17,$F$18,$F$19,$F$16,$C$14,$F$15,$F$14,$F$20,U$2,$N$1,$C281)</f>
        <v>0</v>
      </c>
      <c r="V281" s="185">
        <f ca="1">_xll.DBRW(Server&amp;Cube1,$F$17,$F$18,$F$19,$F$16,$C$14,$F$15,$F$14,$F$20,V$2,$N$1,$C281)</f>
        <v>0</v>
      </c>
      <c r="W281" s="185">
        <f ca="1">_xll.DBRW(Server&amp;Cube1,$F$17,$F$18,$F$19,$F$16,$C$14,$F$15,$F$14,$F$20,W$2,$N$1,$C281)</f>
        <v>0</v>
      </c>
      <c r="X281" s="185">
        <f ca="1">_xll.DBRW(Server&amp;Cube1,$F$17,$F$18,$F$19,$F$16,$C$14,$F$15,$F$14,$F$20,X$2,$N$1,$C281)</f>
        <v>0</v>
      </c>
      <c r="Y281" s="185">
        <f ca="1">_xll.DBRW(Server&amp;Cube1,$F$17,$F$18,$F$19,$F$16,$C$14,$F$15,$F$14,$F$20,Y$2,$N$1,$C281)</f>
        <v>0</v>
      </c>
      <c r="Z281" s="185">
        <f ca="1">_xll.DBRW(Server&amp;Cube1,$F$17,$F$18,$F$19,$F$16,$C$14,$F$15,$F$14,$F$20,Z$2,$N$1,$C281)</f>
        <v>0</v>
      </c>
      <c r="AA281" s="53"/>
      <c r="AB281" s="53"/>
      <c r="AC281" s="53"/>
      <c r="AD281" s="53"/>
      <c r="AE281" s="53"/>
      <c r="AF281" s="53"/>
      <c r="AG281" s="53"/>
      <c r="AH281" s="53"/>
      <c r="AI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</row>
    <row r="282" spans="1:47" s="9" customFormat="1" ht="24" customHeight="1" x14ac:dyDescent="0.35">
      <c r="A282" s="157">
        <f ca="1">IF($AN$35="YES",1,IF(_xll.ELCOMPN(Server&amp;$C$24,C282)&lt;&gt;0,1,IF(OR(B282=$AT$35,B282="ALL"),1,0)))</f>
        <v>1</v>
      </c>
      <c r="B282" s="139" t="str">
        <f t="shared" si="3"/>
        <v>BD</v>
      </c>
      <c r="C282" s="137" t="s">
        <v>518</v>
      </c>
      <c r="E282" s="221" t="str">
        <f ca="1">_xll.DBRA(Server&amp;$C$24,$C282,$F$21)</f>
        <v>Voyages (DC)</v>
      </c>
      <c r="F282" s="221"/>
      <c r="G282" s="221"/>
      <c r="H282" s="40"/>
      <c r="I282" s="192">
        <f ca="1">_xll.DBRW(Server&amp;Cube1,$F$17,$F$18,$F$19,$F$16,$C$14,$F$15,$F$14,$F$20,I$2,I$1,$C282)</f>
        <v>0</v>
      </c>
      <c r="J282" s="192">
        <f ca="1">_xll.DBRW(Server&amp;Cube1,$F$17,$F$18,$F$19,$F$16,$C$14,$F$15,$F$14,$F$20,J$2,J$1,$C282)</f>
        <v>0</v>
      </c>
      <c r="K282" s="183"/>
      <c r="L282" s="185">
        <f ca="1">_xll.DBRW(Server&amp;Cube1,$F$17,$F$18,$F$19,$F$16,$C$14,$F$15,$F$14,$F$20,L$2,L$1,$C282)</f>
        <v>0</v>
      </c>
      <c r="M282" s="184"/>
      <c r="N282" s="185">
        <f ca="1">_xll.DBRW(Server&amp;Cube1,$F$17,$F$18,$F$19,$F$16,$C$14,$F$15,$F$14,$F$20,N$2,$N$1,$C282)</f>
        <v>0</v>
      </c>
      <c r="O282" s="185">
        <f ca="1">_xll.DBRW(Server&amp;Cube1,$F$17,$F$18,$F$19,$F$16,$C$14,$F$15,$F$14,$F$20,O$2,$N$1,$C282)</f>
        <v>0</v>
      </c>
      <c r="P282" s="185">
        <f ca="1">_xll.DBRW(Server&amp;Cube1,$F$17,$F$18,$F$19,$F$16,$C$14,$F$15,$F$14,$F$20,P$2,$N$1,$C282)</f>
        <v>0</v>
      </c>
      <c r="Q282" s="185">
        <f ca="1">_xll.DBRW(Server&amp;Cube1,$F$17,$F$18,$F$19,$F$16,$C$14,$F$15,$F$14,$F$20,Q$2,$N$1,$C282)</f>
        <v>0</v>
      </c>
      <c r="R282" s="185">
        <f ca="1">_xll.DBRW(Server&amp;Cube1,$F$17,$F$18,$F$19,$F$16,$C$14,$F$15,$F$14,$F$20,R$2,$N$1,$C282)</f>
        <v>0</v>
      </c>
      <c r="S282" s="185">
        <f ca="1">_xll.DBRW(Server&amp;Cube1,$F$17,$F$18,$F$19,$F$16,$C$14,$F$15,$F$14,$F$20,S$2,$N$1,$C282)</f>
        <v>0</v>
      </c>
      <c r="T282" s="185">
        <f ca="1">_xll.DBRW(Server&amp;Cube1,$F$17,$F$18,$F$19,$F$16,$C$14,$F$15,$F$14,$F$20,T$2,$N$1,$C282)</f>
        <v>0</v>
      </c>
      <c r="U282" s="185">
        <f ca="1">_xll.DBRW(Server&amp;Cube1,$F$17,$F$18,$F$19,$F$16,$C$14,$F$15,$F$14,$F$20,U$2,$N$1,$C282)</f>
        <v>0</v>
      </c>
      <c r="V282" s="185">
        <f ca="1">_xll.DBRW(Server&amp;Cube1,$F$17,$F$18,$F$19,$F$16,$C$14,$F$15,$F$14,$F$20,V$2,$N$1,$C282)</f>
        <v>0</v>
      </c>
      <c r="W282" s="185">
        <f ca="1">_xll.DBRW(Server&amp;Cube1,$F$17,$F$18,$F$19,$F$16,$C$14,$F$15,$F$14,$F$20,W$2,$N$1,$C282)</f>
        <v>0</v>
      </c>
      <c r="X282" s="185">
        <f ca="1">_xll.DBRW(Server&amp;Cube1,$F$17,$F$18,$F$19,$F$16,$C$14,$F$15,$F$14,$F$20,X$2,$N$1,$C282)</f>
        <v>0</v>
      </c>
      <c r="Y282" s="185">
        <f ca="1">_xll.DBRW(Server&amp;Cube1,$F$17,$F$18,$F$19,$F$16,$C$14,$F$15,$F$14,$F$20,Y$2,$N$1,$C282)</f>
        <v>0</v>
      </c>
      <c r="Z282" s="185">
        <f ca="1">_xll.DBRW(Server&amp;Cube1,$F$17,$F$18,$F$19,$F$16,$C$14,$F$15,$F$14,$F$20,Z$2,$N$1,$C282)</f>
        <v>0</v>
      </c>
      <c r="AA282" s="53"/>
      <c r="AB282" s="53"/>
      <c r="AC282" s="53"/>
      <c r="AD282" s="53"/>
      <c r="AE282" s="53"/>
      <c r="AF282" s="53"/>
      <c r="AG282" s="53"/>
      <c r="AH282" s="53"/>
      <c r="AI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</row>
    <row r="283" spans="1:47" s="9" customFormat="1" ht="24" customHeight="1" x14ac:dyDescent="0.35">
      <c r="A283" s="157">
        <f ca="1">IF($AN$35="YES",1,IF(_xll.ELCOMPN(Server&amp;$C$24,C283)&lt;&gt;0,1,IF(OR(B283=$AT$35,B283="ALL"),1,0)))</f>
        <v>1</v>
      </c>
      <c r="B283" s="139" t="str">
        <f t="shared" si="3"/>
        <v>FI</v>
      </c>
      <c r="C283" s="137" t="s">
        <v>519</v>
      </c>
      <c r="E283" s="221" t="str">
        <f ca="1">_xll.DBRA(Server&amp;$C$24,$C283,$F$21)</f>
        <v>Voyages (DF)</v>
      </c>
      <c r="F283" s="221"/>
      <c r="G283" s="221"/>
      <c r="H283" s="40"/>
      <c r="I283" s="192">
        <f ca="1">_xll.DBRW(Server&amp;Cube1,$F$17,$F$18,$F$19,$F$16,$C$14,$F$15,$F$14,$F$20,I$2,I$1,$C283)</f>
        <v>0</v>
      </c>
      <c r="J283" s="192">
        <f ca="1">_xll.DBRW(Server&amp;Cube1,$F$17,$F$18,$F$19,$F$16,$C$14,$F$15,$F$14,$F$20,J$2,J$1,$C283)</f>
        <v>0</v>
      </c>
      <c r="K283" s="183"/>
      <c r="L283" s="185">
        <f ca="1">_xll.DBRW(Server&amp;Cube1,$F$17,$F$18,$F$19,$F$16,$C$14,$F$15,$F$14,$F$20,L$2,L$1,$C283)</f>
        <v>0</v>
      </c>
      <c r="M283" s="184"/>
      <c r="N283" s="185">
        <f ca="1">_xll.DBRW(Server&amp;Cube1,$F$17,$F$18,$F$19,$F$16,$C$14,$F$15,$F$14,$F$20,N$2,$N$1,$C283)</f>
        <v>0</v>
      </c>
      <c r="O283" s="185">
        <f ca="1">_xll.DBRW(Server&amp;Cube1,$F$17,$F$18,$F$19,$F$16,$C$14,$F$15,$F$14,$F$20,O$2,$N$1,$C283)</f>
        <v>0</v>
      </c>
      <c r="P283" s="185">
        <f ca="1">_xll.DBRW(Server&amp;Cube1,$F$17,$F$18,$F$19,$F$16,$C$14,$F$15,$F$14,$F$20,P$2,$N$1,$C283)</f>
        <v>0</v>
      </c>
      <c r="Q283" s="185">
        <f ca="1">_xll.DBRW(Server&amp;Cube1,$F$17,$F$18,$F$19,$F$16,$C$14,$F$15,$F$14,$F$20,Q$2,$N$1,$C283)</f>
        <v>0</v>
      </c>
      <c r="R283" s="185">
        <f ca="1">_xll.DBRW(Server&amp;Cube1,$F$17,$F$18,$F$19,$F$16,$C$14,$F$15,$F$14,$F$20,R$2,$N$1,$C283)</f>
        <v>0</v>
      </c>
      <c r="S283" s="185">
        <f ca="1">_xll.DBRW(Server&amp;Cube1,$F$17,$F$18,$F$19,$F$16,$C$14,$F$15,$F$14,$F$20,S$2,$N$1,$C283)</f>
        <v>0</v>
      </c>
      <c r="T283" s="185">
        <f ca="1">_xll.DBRW(Server&amp;Cube1,$F$17,$F$18,$F$19,$F$16,$C$14,$F$15,$F$14,$F$20,T$2,$N$1,$C283)</f>
        <v>0</v>
      </c>
      <c r="U283" s="185">
        <f ca="1">_xll.DBRW(Server&amp;Cube1,$F$17,$F$18,$F$19,$F$16,$C$14,$F$15,$F$14,$F$20,U$2,$N$1,$C283)</f>
        <v>0</v>
      </c>
      <c r="V283" s="185">
        <f ca="1">_xll.DBRW(Server&amp;Cube1,$F$17,$F$18,$F$19,$F$16,$C$14,$F$15,$F$14,$F$20,V$2,$N$1,$C283)</f>
        <v>0</v>
      </c>
      <c r="W283" s="185">
        <f ca="1">_xll.DBRW(Server&amp;Cube1,$F$17,$F$18,$F$19,$F$16,$C$14,$F$15,$F$14,$F$20,W$2,$N$1,$C283)</f>
        <v>0</v>
      </c>
      <c r="X283" s="185">
        <f ca="1">_xll.DBRW(Server&amp;Cube1,$F$17,$F$18,$F$19,$F$16,$C$14,$F$15,$F$14,$F$20,X$2,$N$1,$C283)</f>
        <v>0</v>
      </c>
      <c r="Y283" s="185">
        <f ca="1">_xll.DBRW(Server&amp;Cube1,$F$17,$F$18,$F$19,$F$16,$C$14,$F$15,$F$14,$F$20,Y$2,$N$1,$C283)</f>
        <v>0</v>
      </c>
      <c r="Z283" s="185">
        <f ca="1">_xll.DBRW(Server&amp;Cube1,$F$17,$F$18,$F$19,$F$16,$C$14,$F$15,$F$14,$F$20,Z$2,$N$1,$C283)</f>
        <v>0</v>
      </c>
      <c r="AA283" s="53"/>
      <c r="AB283" s="53"/>
      <c r="AC283" s="53"/>
      <c r="AD283" s="53"/>
      <c r="AE283" s="53"/>
      <c r="AF283" s="53"/>
      <c r="AG283" s="53"/>
      <c r="AH283" s="53"/>
      <c r="AI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</row>
    <row r="284" spans="1:47" s="9" customFormat="1" ht="24" customHeight="1" x14ac:dyDescent="0.35">
      <c r="A284" s="157">
        <f ca="1">IF($AN$35="YES",1,IF(_xll.ELCOMPN(Server&amp;$C$24,C284)&lt;&gt;0,1,IF(OR(B284=$AT$35,B284="ALL"),1,0)))</f>
        <v>1</v>
      </c>
      <c r="B284" s="139" t="str">
        <f t="shared" si="3"/>
        <v>IT</v>
      </c>
      <c r="C284" s="137" t="s">
        <v>520</v>
      </c>
      <c r="E284" s="221" t="str">
        <f ca="1">_xll.DBRA(Server&amp;$C$24,$C284,$F$21)</f>
        <v>Voyages (IT)</v>
      </c>
      <c r="F284" s="221"/>
      <c r="G284" s="221"/>
      <c r="H284" s="40"/>
      <c r="I284" s="192">
        <f ca="1">_xll.DBRW(Server&amp;Cube1,$F$17,$F$18,$F$19,$F$16,$C$14,$F$15,$F$14,$F$20,I$2,I$1,$C284)</f>
        <v>0</v>
      </c>
      <c r="J284" s="192">
        <f ca="1">_xll.DBRW(Server&amp;Cube1,$F$17,$F$18,$F$19,$F$16,$C$14,$F$15,$F$14,$F$20,J$2,J$1,$C284)</f>
        <v>0</v>
      </c>
      <c r="K284" s="183"/>
      <c r="L284" s="185">
        <f ca="1">_xll.DBRW(Server&amp;Cube1,$F$17,$F$18,$F$19,$F$16,$C$14,$F$15,$F$14,$F$20,L$2,L$1,$C284)</f>
        <v>0</v>
      </c>
      <c r="M284" s="184"/>
      <c r="N284" s="185">
        <f ca="1">_xll.DBRW(Server&amp;Cube1,$F$17,$F$18,$F$19,$F$16,$C$14,$F$15,$F$14,$F$20,N$2,$N$1,$C284)</f>
        <v>0</v>
      </c>
      <c r="O284" s="185">
        <f ca="1">_xll.DBRW(Server&amp;Cube1,$F$17,$F$18,$F$19,$F$16,$C$14,$F$15,$F$14,$F$20,O$2,$N$1,$C284)</f>
        <v>0</v>
      </c>
      <c r="P284" s="185">
        <f ca="1">_xll.DBRW(Server&amp;Cube1,$F$17,$F$18,$F$19,$F$16,$C$14,$F$15,$F$14,$F$20,P$2,$N$1,$C284)</f>
        <v>0</v>
      </c>
      <c r="Q284" s="185">
        <f ca="1">_xll.DBRW(Server&amp;Cube1,$F$17,$F$18,$F$19,$F$16,$C$14,$F$15,$F$14,$F$20,Q$2,$N$1,$C284)</f>
        <v>0</v>
      </c>
      <c r="R284" s="185">
        <f ca="1">_xll.DBRW(Server&amp;Cube1,$F$17,$F$18,$F$19,$F$16,$C$14,$F$15,$F$14,$F$20,R$2,$N$1,$C284)</f>
        <v>0</v>
      </c>
      <c r="S284" s="185">
        <f ca="1">_xll.DBRW(Server&amp;Cube1,$F$17,$F$18,$F$19,$F$16,$C$14,$F$15,$F$14,$F$20,S$2,$N$1,$C284)</f>
        <v>0</v>
      </c>
      <c r="T284" s="185">
        <f ca="1">_xll.DBRW(Server&amp;Cube1,$F$17,$F$18,$F$19,$F$16,$C$14,$F$15,$F$14,$F$20,T$2,$N$1,$C284)</f>
        <v>0</v>
      </c>
      <c r="U284" s="185">
        <f ca="1">_xll.DBRW(Server&amp;Cube1,$F$17,$F$18,$F$19,$F$16,$C$14,$F$15,$F$14,$F$20,U$2,$N$1,$C284)</f>
        <v>0</v>
      </c>
      <c r="V284" s="185">
        <f ca="1">_xll.DBRW(Server&amp;Cube1,$F$17,$F$18,$F$19,$F$16,$C$14,$F$15,$F$14,$F$20,V$2,$N$1,$C284)</f>
        <v>0</v>
      </c>
      <c r="W284" s="185">
        <f ca="1">_xll.DBRW(Server&amp;Cube1,$F$17,$F$18,$F$19,$F$16,$C$14,$F$15,$F$14,$F$20,W$2,$N$1,$C284)</f>
        <v>0</v>
      </c>
      <c r="X284" s="185">
        <f ca="1">_xll.DBRW(Server&amp;Cube1,$F$17,$F$18,$F$19,$F$16,$C$14,$F$15,$F$14,$F$20,X$2,$N$1,$C284)</f>
        <v>0</v>
      </c>
      <c r="Y284" s="185">
        <f ca="1">_xll.DBRW(Server&amp;Cube1,$F$17,$F$18,$F$19,$F$16,$C$14,$F$15,$F$14,$F$20,Y$2,$N$1,$C284)</f>
        <v>0</v>
      </c>
      <c r="Z284" s="185">
        <f ca="1">_xll.DBRW(Server&amp;Cube1,$F$17,$F$18,$F$19,$F$16,$C$14,$F$15,$F$14,$F$20,Z$2,$N$1,$C284)</f>
        <v>0</v>
      </c>
      <c r="AA284" s="53"/>
      <c r="AB284" s="53"/>
      <c r="AC284" s="53"/>
      <c r="AD284" s="53"/>
      <c r="AE284" s="53"/>
      <c r="AF284" s="53"/>
      <c r="AG284" s="53"/>
      <c r="AH284" s="53"/>
      <c r="AI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</row>
    <row r="285" spans="1:47" s="9" customFormat="1" ht="24" customHeight="1" x14ac:dyDescent="0.35">
      <c r="A285" s="157">
        <f ca="1">IF($AN$35="YES",1,IF(_xll.ELCOMPN(Server&amp;$C$24,C285)&lt;&gt;0,1,IF(OR(B285=$AT$35,B285="ALL"),1,0)))</f>
        <v>1</v>
      </c>
      <c r="B285" s="139" t="str">
        <f t="shared" si="3"/>
        <v>HR</v>
      </c>
      <c r="C285" s="137" t="s">
        <v>521</v>
      </c>
      <c r="E285" s="221" t="str">
        <f ca="1">_xll.DBRA(Server&amp;$C$24,$C285,$F$21)</f>
        <v>Voyages (RH)</v>
      </c>
      <c r="F285" s="221"/>
      <c r="G285" s="221"/>
      <c r="H285" s="40"/>
      <c r="I285" s="192">
        <f ca="1">_xll.DBRW(Server&amp;Cube1,$F$17,$F$18,$F$19,$F$16,$C$14,$F$15,$F$14,$F$20,I$2,I$1,$C285)</f>
        <v>0</v>
      </c>
      <c r="J285" s="192">
        <f ca="1">_xll.DBRW(Server&amp;Cube1,$F$17,$F$18,$F$19,$F$16,$C$14,$F$15,$F$14,$F$20,J$2,J$1,$C285)</f>
        <v>0</v>
      </c>
      <c r="K285" s="183"/>
      <c r="L285" s="185">
        <f ca="1">_xll.DBRW(Server&amp;Cube1,$F$17,$F$18,$F$19,$F$16,$C$14,$F$15,$F$14,$F$20,L$2,L$1,$C285)</f>
        <v>0</v>
      </c>
      <c r="M285" s="184"/>
      <c r="N285" s="185">
        <f ca="1">_xll.DBRW(Server&amp;Cube1,$F$17,$F$18,$F$19,$F$16,$C$14,$F$15,$F$14,$F$20,N$2,$N$1,$C285)</f>
        <v>0</v>
      </c>
      <c r="O285" s="185">
        <f ca="1">_xll.DBRW(Server&amp;Cube1,$F$17,$F$18,$F$19,$F$16,$C$14,$F$15,$F$14,$F$20,O$2,$N$1,$C285)</f>
        <v>0</v>
      </c>
      <c r="P285" s="185">
        <f ca="1">_xll.DBRW(Server&amp;Cube1,$F$17,$F$18,$F$19,$F$16,$C$14,$F$15,$F$14,$F$20,P$2,$N$1,$C285)</f>
        <v>0</v>
      </c>
      <c r="Q285" s="185">
        <f ca="1">_xll.DBRW(Server&amp;Cube1,$F$17,$F$18,$F$19,$F$16,$C$14,$F$15,$F$14,$F$20,Q$2,$N$1,$C285)</f>
        <v>0</v>
      </c>
      <c r="R285" s="185">
        <f ca="1">_xll.DBRW(Server&amp;Cube1,$F$17,$F$18,$F$19,$F$16,$C$14,$F$15,$F$14,$F$20,R$2,$N$1,$C285)</f>
        <v>0</v>
      </c>
      <c r="S285" s="185">
        <f ca="1">_xll.DBRW(Server&amp;Cube1,$F$17,$F$18,$F$19,$F$16,$C$14,$F$15,$F$14,$F$20,S$2,$N$1,$C285)</f>
        <v>0</v>
      </c>
      <c r="T285" s="185">
        <f ca="1">_xll.DBRW(Server&amp;Cube1,$F$17,$F$18,$F$19,$F$16,$C$14,$F$15,$F$14,$F$20,T$2,$N$1,$C285)</f>
        <v>0</v>
      </c>
      <c r="U285" s="185">
        <f ca="1">_xll.DBRW(Server&amp;Cube1,$F$17,$F$18,$F$19,$F$16,$C$14,$F$15,$F$14,$F$20,U$2,$N$1,$C285)</f>
        <v>0</v>
      </c>
      <c r="V285" s="185">
        <f ca="1">_xll.DBRW(Server&amp;Cube1,$F$17,$F$18,$F$19,$F$16,$C$14,$F$15,$F$14,$F$20,V$2,$N$1,$C285)</f>
        <v>0</v>
      </c>
      <c r="W285" s="185">
        <f ca="1">_xll.DBRW(Server&amp;Cube1,$F$17,$F$18,$F$19,$F$16,$C$14,$F$15,$F$14,$F$20,W$2,$N$1,$C285)</f>
        <v>0</v>
      </c>
      <c r="X285" s="185">
        <f ca="1">_xll.DBRW(Server&amp;Cube1,$F$17,$F$18,$F$19,$F$16,$C$14,$F$15,$F$14,$F$20,X$2,$N$1,$C285)</f>
        <v>0</v>
      </c>
      <c r="Y285" s="185">
        <f ca="1">_xll.DBRW(Server&amp;Cube1,$F$17,$F$18,$F$19,$F$16,$C$14,$F$15,$F$14,$F$20,Y$2,$N$1,$C285)</f>
        <v>0</v>
      </c>
      <c r="Z285" s="185">
        <f ca="1">_xll.DBRW(Server&amp;Cube1,$F$17,$F$18,$F$19,$F$16,$C$14,$F$15,$F$14,$F$20,Z$2,$N$1,$C285)</f>
        <v>0</v>
      </c>
      <c r="AA285" s="53"/>
      <c r="AB285" s="53"/>
      <c r="AC285" s="53"/>
      <c r="AD285" s="53"/>
      <c r="AE285" s="53"/>
      <c r="AF285" s="53"/>
      <c r="AG285" s="53"/>
      <c r="AH285" s="53"/>
      <c r="AI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</row>
    <row r="286" spans="1:47" s="9" customFormat="1" ht="24" customHeight="1" x14ac:dyDescent="0.35">
      <c r="A286" s="157">
        <f ca="1">IF($AN$35="YES",1,IF(_xll.ELCOMPN(Server&amp;$C$24,C286)&lt;&gt;0,1,IF(OR(B286=$AT$35,B286="ALL"),1,0)))</f>
        <v>1</v>
      </c>
      <c r="B286" s="139" t="str">
        <f t="shared" si="3"/>
        <v>GM</v>
      </c>
      <c r="C286" s="137" t="s">
        <v>522</v>
      </c>
      <c r="E286" s="221" t="str">
        <f ca="1">_xll.DBRA(Server&amp;$C$24,$C286,$F$21)</f>
        <v>Voyages (DG)</v>
      </c>
      <c r="F286" s="221"/>
      <c r="G286" s="221"/>
      <c r="H286" s="40"/>
      <c r="I286" s="192">
        <f ca="1">_xll.DBRW(Server&amp;Cube1,$F$17,$F$18,$F$19,$F$16,$C$14,$F$15,$F$14,$F$20,I$2,I$1,$C286)</f>
        <v>0</v>
      </c>
      <c r="J286" s="192">
        <f ca="1">_xll.DBRW(Server&amp;Cube1,$F$17,$F$18,$F$19,$F$16,$C$14,$F$15,$F$14,$F$20,J$2,J$1,$C286)</f>
        <v>0</v>
      </c>
      <c r="K286" s="183"/>
      <c r="L286" s="185">
        <f ca="1">_xll.DBRW(Server&amp;Cube1,$F$17,$F$18,$F$19,$F$16,$C$14,$F$15,$F$14,$F$20,L$2,L$1,$C286)</f>
        <v>0</v>
      </c>
      <c r="M286" s="184"/>
      <c r="N286" s="185">
        <f ca="1">_xll.DBRW(Server&amp;Cube1,$F$17,$F$18,$F$19,$F$16,$C$14,$F$15,$F$14,$F$20,N$2,$N$1,$C286)</f>
        <v>0</v>
      </c>
      <c r="O286" s="185">
        <f ca="1">_xll.DBRW(Server&amp;Cube1,$F$17,$F$18,$F$19,$F$16,$C$14,$F$15,$F$14,$F$20,O$2,$N$1,$C286)</f>
        <v>0</v>
      </c>
      <c r="P286" s="185">
        <f ca="1">_xll.DBRW(Server&amp;Cube1,$F$17,$F$18,$F$19,$F$16,$C$14,$F$15,$F$14,$F$20,P$2,$N$1,$C286)</f>
        <v>0</v>
      </c>
      <c r="Q286" s="185">
        <f ca="1">_xll.DBRW(Server&amp;Cube1,$F$17,$F$18,$F$19,$F$16,$C$14,$F$15,$F$14,$F$20,Q$2,$N$1,$C286)</f>
        <v>0</v>
      </c>
      <c r="R286" s="185">
        <f ca="1">_xll.DBRW(Server&amp;Cube1,$F$17,$F$18,$F$19,$F$16,$C$14,$F$15,$F$14,$F$20,R$2,$N$1,$C286)</f>
        <v>0</v>
      </c>
      <c r="S286" s="185">
        <f ca="1">_xll.DBRW(Server&amp;Cube1,$F$17,$F$18,$F$19,$F$16,$C$14,$F$15,$F$14,$F$20,S$2,$N$1,$C286)</f>
        <v>0</v>
      </c>
      <c r="T286" s="185">
        <f ca="1">_xll.DBRW(Server&amp;Cube1,$F$17,$F$18,$F$19,$F$16,$C$14,$F$15,$F$14,$F$20,T$2,$N$1,$C286)</f>
        <v>0</v>
      </c>
      <c r="U286" s="185">
        <f ca="1">_xll.DBRW(Server&amp;Cube1,$F$17,$F$18,$F$19,$F$16,$C$14,$F$15,$F$14,$F$20,U$2,$N$1,$C286)</f>
        <v>0</v>
      </c>
      <c r="V286" s="185">
        <f ca="1">_xll.DBRW(Server&amp;Cube1,$F$17,$F$18,$F$19,$F$16,$C$14,$F$15,$F$14,$F$20,V$2,$N$1,$C286)</f>
        <v>0</v>
      </c>
      <c r="W286" s="185">
        <f ca="1">_xll.DBRW(Server&amp;Cube1,$F$17,$F$18,$F$19,$F$16,$C$14,$F$15,$F$14,$F$20,W$2,$N$1,$C286)</f>
        <v>0</v>
      </c>
      <c r="X286" s="185">
        <f ca="1">_xll.DBRW(Server&amp;Cube1,$F$17,$F$18,$F$19,$F$16,$C$14,$F$15,$F$14,$F$20,X$2,$N$1,$C286)</f>
        <v>0</v>
      </c>
      <c r="Y286" s="185">
        <f ca="1">_xll.DBRW(Server&amp;Cube1,$F$17,$F$18,$F$19,$F$16,$C$14,$F$15,$F$14,$F$20,Y$2,$N$1,$C286)</f>
        <v>0</v>
      </c>
      <c r="Z286" s="185">
        <f ca="1">_xll.DBRW(Server&amp;Cube1,$F$17,$F$18,$F$19,$F$16,$C$14,$F$15,$F$14,$F$20,Z$2,$N$1,$C286)</f>
        <v>0</v>
      </c>
      <c r="AA286" s="53"/>
      <c r="AB286" s="53"/>
      <c r="AC286" s="53"/>
      <c r="AD286" s="53"/>
      <c r="AE286" s="53"/>
      <c r="AF286" s="53"/>
      <c r="AG286" s="53"/>
      <c r="AH286" s="53"/>
      <c r="AI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</row>
    <row r="287" spans="1:47" s="9" customFormat="1" ht="24" customHeight="1" x14ac:dyDescent="0.35">
      <c r="A287" s="157">
        <f ca="1">IF($AN$35="YES",1,IF(_xll.ELCOMPN(Server&amp;$C$24,C287)&lt;&gt;0,1,IF(OR(B287=$AT$35,B287="ALL"),1,0)))</f>
        <v>1</v>
      </c>
      <c r="B287" s="139" t="str">
        <f t="shared" si="3"/>
        <v>IA</v>
      </c>
      <c r="C287" s="137" t="s">
        <v>523</v>
      </c>
      <c r="E287" s="221" t="str">
        <f ca="1">_xll.DBRA(Server&amp;$C$24,$C287,$F$21)</f>
        <v>Voyages (AI)</v>
      </c>
      <c r="F287" s="221"/>
      <c r="G287" s="221"/>
      <c r="H287" s="40"/>
      <c r="I287" s="192">
        <f ca="1">_xll.DBRW(Server&amp;Cube1,$F$17,$F$18,$F$19,$F$16,$C$14,$F$15,$F$14,$F$20,I$2,I$1,$C287)</f>
        <v>0</v>
      </c>
      <c r="J287" s="192">
        <f ca="1">_xll.DBRW(Server&amp;Cube1,$F$17,$F$18,$F$19,$F$16,$C$14,$F$15,$F$14,$F$20,J$2,J$1,$C287)</f>
        <v>0</v>
      </c>
      <c r="K287" s="183"/>
      <c r="L287" s="185">
        <f ca="1">_xll.DBRW(Server&amp;Cube1,$F$17,$F$18,$F$19,$F$16,$C$14,$F$15,$F$14,$F$20,L$2,L$1,$C287)</f>
        <v>0</v>
      </c>
      <c r="M287" s="184"/>
      <c r="N287" s="185">
        <f ca="1">_xll.DBRW(Server&amp;Cube1,$F$17,$F$18,$F$19,$F$16,$C$14,$F$15,$F$14,$F$20,N$2,$N$1,$C287)</f>
        <v>0</v>
      </c>
      <c r="O287" s="185">
        <f ca="1">_xll.DBRW(Server&amp;Cube1,$F$17,$F$18,$F$19,$F$16,$C$14,$F$15,$F$14,$F$20,O$2,$N$1,$C287)</f>
        <v>0</v>
      </c>
      <c r="P287" s="185">
        <f ca="1">_xll.DBRW(Server&amp;Cube1,$F$17,$F$18,$F$19,$F$16,$C$14,$F$15,$F$14,$F$20,P$2,$N$1,$C287)</f>
        <v>0</v>
      </c>
      <c r="Q287" s="185">
        <f ca="1">_xll.DBRW(Server&amp;Cube1,$F$17,$F$18,$F$19,$F$16,$C$14,$F$15,$F$14,$F$20,Q$2,$N$1,$C287)</f>
        <v>0</v>
      </c>
      <c r="R287" s="185">
        <f ca="1">_xll.DBRW(Server&amp;Cube1,$F$17,$F$18,$F$19,$F$16,$C$14,$F$15,$F$14,$F$20,R$2,$N$1,$C287)</f>
        <v>0</v>
      </c>
      <c r="S287" s="185">
        <f ca="1">_xll.DBRW(Server&amp;Cube1,$F$17,$F$18,$F$19,$F$16,$C$14,$F$15,$F$14,$F$20,S$2,$N$1,$C287)</f>
        <v>0</v>
      </c>
      <c r="T287" s="185">
        <f ca="1">_xll.DBRW(Server&amp;Cube1,$F$17,$F$18,$F$19,$F$16,$C$14,$F$15,$F$14,$F$20,T$2,$N$1,$C287)</f>
        <v>0</v>
      </c>
      <c r="U287" s="185">
        <f ca="1">_xll.DBRW(Server&amp;Cube1,$F$17,$F$18,$F$19,$F$16,$C$14,$F$15,$F$14,$F$20,U$2,$N$1,$C287)</f>
        <v>0</v>
      </c>
      <c r="V287" s="185">
        <f ca="1">_xll.DBRW(Server&amp;Cube1,$F$17,$F$18,$F$19,$F$16,$C$14,$F$15,$F$14,$F$20,V$2,$N$1,$C287)</f>
        <v>0</v>
      </c>
      <c r="W287" s="185">
        <f ca="1">_xll.DBRW(Server&amp;Cube1,$F$17,$F$18,$F$19,$F$16,$C$14,$F$15,$F$14,$F$20,W$2,$N$1,$C287)</f>
        <v>0</v>
      </c>
      <c r="X287" s="185">
        <f ca="1">_xll.DBRW(Server&amp;Cube1,$F$17,$F$18,$F$19,$F$16,$C$14,$F$15,$F$14,$F$20,X$2,$N$1,$C287)</f>
        <v>0</v>
      </c>
      <c r="Y287" s="185">
        <f ca="1">_xll.DBRW(Server&amp;Cube1,$F$17,$F$18,$F$19,$F$16,$C$14,$F$15,$F$14,$F$20,Y$2,$N$1,$C287)</f>
        <v>0</v>
      </c>
      <c r="Z287" s="185">
        <f ca="1">_xll.DBRW(Server&amp;Cube1,$F$17,$F$18,$F$19,$F$16,$C$14,$F$15,$F$14,$F$20,Z$2,$N$1,$C287)</f>
        <v>0</v>
      </c>
      <c r="AA287" s="53"/>
      <c r="AB287" s="53"/>
      <c r="AC287" s="53"/>
      <c r="AD287" s="53"/>
      <c r="AE287" s="53"/>
      <c r="AF287" s="53"/>
      <c r="AG287" s="53"/>
      <c r="AH287" s="53"/>
      <c r="AI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</row>
    <row r="288" spans="1:47" s="9" customFormat="1" ht="24" customHeight="1" x14ac:dyDescent="0.35">
      <c r="A288" s="157">
        <f ca="1">IF($AN$35="YES",1,IF(_xll.ELCOMPN(Server&amp;$C$24,C288)&lt;&gt;0,1,IF(OR(B288=$AT$35,B288="ALL"),1,0)))</f>
        <v>1</v>
      </c>
      <c r="B288" s="139" t="str">
        <f t="shared" si="3"/>
        <v>LE</v>
      </c>
      <c r="C288" s="137" t="s">
        <v>524</v>
      </c>
      <c r="E288" s="221" t="str">
        <f ca="1">_xll.DBRA(Server&amp;$C$24,$C288,$F$21)</f>
        <v>Voyages (JU)</v>
      </c>
      <c r="F288" s="221"/>
      <c r="G288" s="221"/>
      <c r="H288" s="40"/>
      <c r="I288" s="192">
        <f ca="1">_xll.DBRW(Server&amp;Cube1,$F$17,$F$18,$F$19,$F$16,$C$14,$F$15,$F$14,$F$20,I$2,I$1,$C288)</f>
        <v>0</v>
      </c>
      <c r="J288" s="192">
        <f ca="1">_xll.DBRW(Server&amp;Cube1,$F$17,$F$18,$F$19,$F$16,$C$14,$F$15,$F$14,$F$20,J$2,J$1,$C288)</f>
        <v>0</v>
      </c>
      <c r="K288" s="183"/>
      <c r="L288" s="185">
        <f ca="1">_xll.DBRW(Server&amp;Cube1,$F$17,$F$18,$F$19,$F$16,$C$14,$F$15,$F$14,$F$20,L$2,L$1,$C288)</f>
        <v>0</v>
      </c>
      <c r="M288" s="184"/>
      <c r="N288" s="185">
        <f ca="1">_xll.DBRW(Server&amp;Cube1,$F$17,$F$18,$F$19,$F$16,$C$14,$F$15,$F$14,$F$20,N$2,$N$1,$C288)</f>
        <v>0</v>
      </c>
      <c r="O288" s="185">
        <f ca="1">_xll.DBRW(Server&amp;Cube1,$F$17,$F$18,$F$19,$F$16,$C$14,$F$15,$F$14,$F$20,O$2,$N$1,$C288)</f>
        <v>0</v>
      </c>
      <c r="P288" s="185">
        <f ca="1">_xll.DBRW(Server&amp;Cube1,$F$17,$F$18,$F$19,$F$16,$C$14,$F$15,$F$14,$F$20,P$2,$N$1,$C288)</f>
        <v>0</v>
      </c>
      <c r="Q288" s="185">
        <f ca="1">_xll.DBRW(Server&amp;Cube1,$F$17,$F$18,$F$19,$F$16,$C$14,$F$15,$F$14,$F$20,Q$2,$N$1,$C288)</f>
        <v>0</v>
      </c>
      <c r="R288" s="185">
        <f ca="1">_xll.DBRW(Server&amp;Cube1,$F$17,$F$18,$F$19,$F$16,$C$14,$F$15,$F$14,$F$20,R$2,$N$1,$C288)</f>
        <v>0</v>
      </c>
      <c r="S288" s="185">
        <f ca="1">_xll.DBRW(Server&amp;Cube1,$F$17,$F$18,$F$19,$F$16,$C$14,$F$15,$F$14,$F$20,S$2,$N$1,$C288)</f>
        <v>0</v>
      </c>
      <c r="T288" s="185">
        <f ca="1">_xll.DBRW(Server&amp;Cube1,$F$17,$F$18,$F$19,$F$16,$C$14,$F$15,$F$14,$F$20,T$2,$N$1,$C288)</f>
        <v>0</v>
      </c>
      <c r="U288" s="185">
        <f ca="1">_xll.DBRW(Server&amp;Cube1,$F$17,$F$18,$F$19,$F$16,$C$14,$F$15,$F$14,$F$20,U$2,$N$1,$C288)</f>
        <v>0</v>
      </c>
      <c r="V288" s="185">
        <f ca="1">_xll.DBRW(Server&amp;Cube1,$F$17,$F$18,$F$19,$F$16,$C$14,$F$15,$F$14,$F$20,V$2,$N$1,$C288)</f>
        <v>0</v>
      </c>
      <c r="W288" s="185">
        <f ca="1">_xll.DBRW(Server&amp;Cube1,$F$17,$F$18,$F$19,$F$16,$C$14,$F$15,$F$14,$F$20,W$2,$N$1,$C288)</f>
        <v>0</v>
      </c>
      <c r="X288" s="185">
        <f ca="1">_xll.DBRW(Server&amp;Cube1,$F$17,$F$18,$F$19,$F$16,$C$14,$F$15,$F$14,$F$20,X$2,$N$1,$C288)</f>
        <v>0</v>
      </c>
      <c r="Y288" s="185">
        <f ca="1">_xll.DBRW(Server&amp;Cube1,$F$17,$F$18,$F$19,$F$16,$C$14,$F$15,$F$14,$F$20,Y$2,$N$1,$C288)</f>
        <v>0</v>
      </c>
      <c r="Z288" s="185">
        <f ca="1">_xll.DBRW(Server&amp;Cube1,$F$17,$F$18,$F$19,$F$16,$C$14,$F$15,$F$14,$F$20,Z$2,$N$1,$C288)</f>
        <v>0</v>
      </c>
      <c r="AA288" s="53"/>
      <c r="AB288" s="53"/>
      <c r="AC288" s="53"/>
      <c r="AD288" s="53"/>
      <c r="AE288" s="53"/>
      <c r="AF288" s="53"/>
      <c r="AG288" s="53"/>
      <c r="AH288" s="53"/>
      <c r="AI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</row>
    <row r="289" spans="1:47" s="9" customFormat="1" ht="24" customHeight="1" x14ac:dyDescent="0.35">
      <c r="A289" s="157">
        <f ca="1">IF($AN$35="YES",1,IF(_xll.ELCOMPN(Server&amp;$C$24,C289)&lt;&gt;0,1,IF(OR(B289=$AT$35,B289="ALL"),1,0)))</f>
        <v>1</v>
      </c>
      <c r="B289" s="139" t="str">
        <f t="shared" si="3"/>
        <v>RM</v>
      </c>
      <c r="C289" s="137" t="s">
        <v>525</v>
      </c>
      <c r="E289" s="221" t="str">
        <f ca="1">_xll.DBRA(Server&amp;$C$24,$C289,$F$21)</f>
        <v>Voyages (GR)</v>
      </c>
      <c r="F289" s="221"/>
      <c r="G289" s="221"/>
      <c r="H289" s="40"/>
      <c r="I289" s="192">
        <f ca="1">_xll.DBRW(Server&amp;Cube1,$F$17,$F$18,$F$19,$F$16,$C$14,$F$15,$F$14,$F$20,I$2,I$1,$C289)</f>
        <v>0</v>
      </c>
      <c r="J289" s="192">
        <f ca="1">_xll.DBRW(Server&amp;Cube1,$F$17,$F$18,$F$19,$F$16,$C$14,$F$15,$F$14,$F$20,J$2,J$1,$C289)</f>
        <v>0</v>
      </c>
      <c r="K289" s="183"/>
      <c r="L289" s="185">
        <f ca="1">_xll.DBRW(Server&amp;Cube1,$F$17,$F$18,$F$19,$F$16,$C$14,$F$15,$F$14,$F$20,L$2,L$1,$C289)</f>
        <v>0</v>
      </c>
      <c r="M289" s="184"/>
      <c r="N289" s="185">
        <f ca="1">_xll.DBRW(Server&amp;Cube1,$F$17,$F$18,$F$19,$F$16,$C$14,$F$15,$F$14,$F$20,N$2,$N$1,$C289)</f>
        <v>0</v>
      </c>
      <c r="O289" s="185">
        <f ca="1">_xll.DBRW(Server&amp;Cube1,$F$17,$F$18,$F$19,$F$16,$C$14,$F$15,$F$14,$F$20,O$2,$N$1,$C289)</f>
        <v>0</v>
      </c>
      <c r="P289" s="185">
        <f ca="1">_xll.DBRW(Server&amp;Cube1,$F$17,$F$18,$F$19,$F$16,$C$14,$F$15,$F$14,$F$20,P$2,$N$1,$C289)</f>
        <v>0</v>
      </c>
      <c r="Q289" s="185">
        <f ca="1">_xll.DBRW(Server&amp;Cube1,$F$17,$F$18,$F$19,$F$16,$C$14,$F$15,$F$14,$F$20,Q$2,$N$1,$C289)</f>
        <v>0</v>
      </c>
      <c r="R289" s="185">
        <f ca="1">_xll.DBRW(Server&amp;Cube1,$F$17,$F$18,$F$19,$F$16,$C$14,$F$15,$F$14,$F$20,R$2,$N$1,$C289)</f>
        <v>0</v>
      </c>
      <c r="S289" s="185">
        <f ca="1">_xll.DBRW(Server&amp;Cube1,$F$17,$F$18,$F$19,$F$16,$C$14,$F$15,$F$14,$F$20,S$2,$N$1,$C289)</f>
        <v>0</v>
      </c>
      <c r="T289" s="185">
        <f ca="1">_xll.DBRW(Server&amp;Cube1,$F$17,$F$18,$F$19,$F$16,$C$14,$F$15,$F$14,$F$20,T$2,$N$1,$C289)</f>
        <v>0</v>
      </c>
      <c r="U289" s="185">
        <f ca="1">_xll.DBRW(Server&amp;Cube1,$F$17,$F$18,$F$19,$F$16,$C$14,$F$15,$F$14,$F$20,U$2,$N$1,$C289)</f>
        <v>0</v>
      </c>
      <c r="V289" s="185">
        <f ca="1">_xll.DBRW(Server&amp;Cube1,$F$17,$F$18,$F$19,$F$16,$C$14,$F$15,$F$14,$F$20,V$2,$N$1,$C289)</f>
        <v>0</v>
      </c>
      <c r="W289" s="185">
        <f ca="1">_xll.DBRW(Server&amp;Cube1,$F$17,$F$18,$F$19,$F$16,$C$14,$F$15,$F$14,$F$20,W$2,$N$1,$C289)</f>
        <v>0</v>
      </c>
      <c r="X289" s="185">
        <f ca="1">_xll.DBRW(Server&amp;Cube1,$F$17,$F$18,$F$19,$F$16,$C$14,$F$15,$F$14,$F$20,X$2,$N$1,$C289)</f>
        <v>0</v>
      </c>
      <c r="Y289" s="185">
        <f ca="1">_xll.DBRW(Server&amp;Cube1,$F$17,$F$18,$F$19,$F$16,$C$14,$F$15,$F$14,$F$20,Y$2,$N$1,$C289)</f>
        <v>0</v>
      </c>
      <c r="Z289" s="185">
        <f ca="1">_xll.DBRW(Server&amp;Cube1,$F$17,$F$18,$F$19,$F$16,$C$14,$F$15,$F$14,$F$20,Z$2,$N$1,$C289)</f>
        <v>0</v>
      </c>
      <c r="AA289" s="53"/>
      <c r="AB289" s="53"/>
      <c r="AC289" s="53"/>
      <c r="AD289" s="53"/>
      <c r="AE289" s="53"/>
      <c r="AF289" s="53"/>
      <c r="AG289" s="53"/>
      <c r="AH289" s="53"/>
      <c r="AI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</row>
    <row r="290" spans="1:47" s="9" customFormat="1" ht="24" customHeight="1" x14ac:dyDescent="0.35">
      <c r="A290" s="157">
        <f ca="1">IF($AN$35="YES",1,IF(_xll.ELCOMPN(Server&amp;$C$24,C290)&lt;&gt;0,1,IF(OR(B290=$AT$35,B290="ALL"),1,0)))</f>
        <v>1</v>
      </c>
      <c r="B290" s="139" t="str">
        <f t="shared" si="3"/>
        <v>PU</v>
      </c>
      <c r="C290" s="137" t="s">
        <v>526</v>
      </c>
      <c r="E290" s="221" t="str">
        <f ca="1">_xll.DBRA(Server&amp;$C$24,$C290,$F$21)</f>
        <v>Voyages (AC)</v>
      </c>
      <c r="F290" s="221"/>
      <c r="G290" s="221"/>
      <c r="H290" s="40"/>
      <c r="I290" s="192">
        <f ca="1">_xll.DBRW(Server&amp;Cube1,$F$17,$F$18,$F$19,$F$16,$C$14,$F$15,$F$14,$F$20,I$2,I$1,$C290)</f>
        <v>0</v>
      </c>
      <c r="J290" s="192">
        <f ca="1">_xll.DBRW(Server&amp;Cube1,$F$17,$F$18,$F$19,$F$16,$C$14,$F$15,$F$14,$F$20,J$2,J$1,$C290)</f>
        <v>0</v>
      </c>
      <c r="K290" s="183"/>
      <c r="L290" s="185">
        <f ca="1">_xll.DBRW(Server&amp;Cube1,$F$17,$F$18,$F$19,$F$16,$C$14,$F$15,$F$14,$F$20,L$2,L$1,$C290)</f>
        <v>0</v>
      </c>
      <c r="M290" s="184"/>
      <c r="N290" s="185">
        <f ca="1">_xll.DBRW(Server&amp;Cube1,$F$17,$F$18,$F$19,$F$16,$C$14,$F$15,$F$14,$F$20,N$2,$N$1,$C290)</f>
        <v>0</v>
      </c>
      <c r="O290" s="185">
        <f ca="1">_xll.DBRW(Server&amp;Cube1,$F$17,$F$18,$F$19,$F$16,$C$14,$F$15,$F$14,$F$20,O$2,$N$1,$C290)</f>
        <v>0</v>
      </c>
      <c r="P290" s="185">
        <f ca="1">_xll.DBRW(Server&amp;Cube1,$F$17,$F$18,$F$19,$F$16,$C$14,$F$15,$F$14,$F$20,P$2,$N$1,$C290)</f>
        <v>0</v>
      </c>
      <c r="Q290" s="185">
        <f ca="1">_xll.DBRW(Server&amp;Cube1,$F$17,$F$18,$F$19,$F$16,$C$14,$F$15,$F$14,$F$20,Q$2,$N$1,$C290)</f>
        <v>0</v>
      </c>
      <c r="R290" s="185">
        <f ca="1">_xll.DBRW(Server&amp;Cube1,$F$17,$F$18,$F$19,$F$16,$C$14,$F$15,$F$14,$F$20,R$2,$N$1,$C290)</f>
        <v>0</v>
      </c>
      <c r="S290" s="185">
        <f ca="1">_xll.DBRW(Server&amp;Cube1,$F$17,$F$18,$F$19,$F$16,$C$14,$F$15,$F$14,$F$20,S$2,$N$1,$C290)</f>
        <v>0</v>
      </c>
      <c r="T290" s="185">
        <f ca="1">_xll.DBRW(Server&amp;Cube1,$F$17,$F$18,$F$19,$F$16,$C$14,$F$15,$F$14,$F$20,T$2,$N$1,$C290)</f>
        <v>0</v>
      </c>
      <c r="U290" s="185">
        <f ca="1">_xll.DBRW(Server&amp;Cube1,$F$17,$F$18,$F$19,$F$16,$C$14,$F$15,$F$14,$F$20,U$2,$N$1,$C290)</f>
        <v>0</v>
      </c>
      <c r="V290" s="185">
        <f ca="1">_xll.DBRW(Server&amp;Cube1,$F$17,$F$18,$F$19,$F$16,$C$14,$F$15,$F$14,$F$20,V$2,$N$1,$C290)</f>
        <v>0</v>
      </c>
      <c r="W290" s="185">
        <f ca="1">_xll.DBRW(Server&amp;Cube1,$F$17,$F$18,$F$19,$F$16,$C$14,$F$15,$F$14,$F$20,W$2,$N$1,$C290)</f>
        <v>0</v>
      </c>
      <c r="X290" s="185">
        <f ca="1">_xll.DBRW(Server&amp;Cube1,$F$17,$F$18,$F$19,$F$16,$C$14,$F$15,$F$14,$F$20,X$2,$N$1,$C290)</f>
        <v>0</v>
      </c>
      <c r="Y290" s="185">
        <f ca="1">_xll.DBRW(Server&amp;Cube1,$F$17,$F$18,$F$19,$F$16,$C$14,$F$15,$F$14,$F$20,Y$2,$N$1,$C290)</f>
        <v>0</v>
      </c>
      <c r="Z290" s="185">
        <f ca="1">_xll.DBRW(Server&amp;Cube1,$F$17,$F$18,$F$19,$F$16,$C$14,$F$15,$F$14,$F$20,Z$2,$N$1,$C290)</f>
        <v>0</v>
      </c>
      <c r="AA290" s="53"/>
      <c r="AB290" s="53"/>
      <c r="AC290" s="53"/>
      <c r="AD290" s="53"/>
      <c r="AE290" s="53"/>
      <c r="AF290" s="53"/>
      <c r="AG290" s="53"/>
      <c r="AH290" s="53"/>
      <c r="AI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</row>
    <row r="291" spans="1:47" s="9" customFormat="1" ht="24" customHeight="1" x14ac:dyDescent="0.35">
      <c r="A291" s="157">
        <f ca="1">IF($AN$35="YES",1,IF(_xll.ELCOMPN(Server&amp;$C$24,C291)&lt;&gt;0,1,IF(OR(B291=$AT$35,B291="ALL"),1,0)))</f>
        <v>1</v>
      </c>
      <c r="B291" s="139" t="str">
        <f t="shared" si="3"/>
        <v>CO</v>
      </c>
      <c r="C291" s="137" t="s">
        <v>527</v>
      </c>
      <c r="E291" s="221" t="str">
        <f ca="1">_xll.DBRA(Server&amp;$C$24,$C291,$F$21)</f>
        <v>Voyages (CO)</v>
      </c>
      <c r="F291" s="221"/>
      <c r="G291" s="221"/>
      <c r="H291" s="40"/>
      <c r="I291" s="192">
        <f ca="1">_xll.DBRW(Server&amp;Cube1,$F$17,$F$18,$F$19,$F$16,$C$14,$F$15,$F$14,$F$20,I$2,I$1,$C291)</f>
        <v>0</v>
      </c>
      <c r="J291" s="192">
        <f ca="1">_xll.DBRW(Server&amp;Cube1,$F$17,$F$18,$F$19,$F$16,$C$14,$F$15,$F$14,$F$20,J$2,J$1,$C291)</f>
        <v>0</v>
      </c>
      <c r="K291" s="183"/>
      <c r="L291" s="185">
        <f ca="1">_xll.DBRW(Server&amp;Cube1,$F$17,$F$18,$F$19,$F$16,$C$14,$F$15,$F$14,$F$20,L$2,L$1,$C291)</f>
        <v>0</v>
      </c>
      <c r="M291" s="184"/>
      <c r="N291" s="185">
        <f ca="1">_xll.DBRW(Server&amp;Cube1,$F$17,$F$18,$F$19,$F$16,$C$14,$F$15,$F$14,$F$20,N$2,$N$1,$C291)</f>
        <v>0</v>
      </c>
      <c r="O291" s="185">
        <f ca="1">_xll.DBRW(Server&amp;Cube1,$F$17,$F$18,$F$19,$F$16,$C$14,$F$15,$F$14,$F$20,O$2,$N$1,$C291)</f>
        <v>0</v>
      </c>
      <c r="P291" s="185">
        <f ca="1">_xll.DBRW(Server&amp;Cube1,$F$17,$F$18,$F$19,$F$16,$C$14,$F$15,$F$14,$F$20,P$2,$N$1,$C291)</f>
        <v>0</v>
      </c>
      <c r="Q291" s="185">
        <f ca="1">_xll.DBRW(Server&amp;Cube1,$F$17,$F$18,$F$19,$F$16,$C$14,$F$15,$F$14,$F$20,Q$2,$N$1,$C291)</f>
        <v>0</v>
      </c>
      <c r="R291" s="185">
        <f ca="1">_xll.DBRW(Server&amp;Cube1,$F$17,$F$18,$F$19,$F$16,$C$14,$F$15,$F$14,$F$20,R$2,$N$1,$C291)</f>
        <v>0</v>
      </c>
      <c r="S291" s="185">
        <f ca="1">_xll.DBRW(Server&amp;Cube1,$F$17,$F$18,$F$19,$F$16,$C$14,$F$15,$F$14,$F$20,S$2,$N$1,$C291)</f>
        <v>0</v>
      </c>
      <c r="T291" s="185">
        <f ca="1">_xll.DBRW(Server&amp;Cube1,$F$17,$F$18,$F$19,$F$16,$C$14,$F$15,$F$14,$F$20,T$2,$N$1,$C291)</f>
        <v>0</v>
      </c>
      <c r="U291" s="185">
        <f ca="1">_xll.DBRW(Server&amp;Cube1,$F$17,$F$18,$F$19,$F$16,$C$14,$F$15,$F$14,$F$20,U$2,$N$1,$C291)</f>
        <v>0</v>
      </c>
      <c r="V291" s="185">
        <f ca="1">_xll.DBRW(Server&amp;Cube1,$F$17,$F$18,$F$19,$F$16,$C$14,$F$15,$F$14,$F$20,V$2,$N$1,$C291)</f>
        <v>0</v>
      </c>
      <c r="W291" s="185">
        <f ca="1">_xll.DBRW(Server&amp;Cube1,$F$17,$F$18,$F$19,$F$16,$C$14,$F$15,$F$14,$F$20,W$2,$N$1,$C291)</f>
        <v>0</v>
      </c>
      <c r="X291" s="185">
        <f ca="1">_xll.DBRW(Server&amp;Cube1,$F$17,$F$18,$F$19,$F$16,$C$14,$F$15,$F$14,$F$20,X$2,$N$1,$C291)</f>
        <v>0</v>
      </c>
      <c r="Y291" s="185">
        <f ca="1">_xll.DBRW(Server&amp;Cube1,$F$17,$F$18,$F$19,$F$16,$C$14,$F$15,$F$14,$F$20,Y$2,$N$1,$C291)</f>
        <v>0</v>
      </c>
      <c r="Z291" s="185">
        <f ca="1">_xll.DBRW(Server&amp;Cube1,$F$17,$F$18,$F$19,$F$16,$C$14,$F$15,$F$14,$F$20,Z$2,$N$1,$C291)</f>
        <v>0</v>
      </c>
      <c r="AA291" s="53"/>
      <c r="AB291" s="53"/>
      <c r="AC291" s="53"/>
      <c r="AD291" s="53"/>
      <c r="AE291" s="53"/>
      <c r="AF291" s="53"/>
      <c r="AG291" s="53"/>
      <c r="AH291" s="53"/>
      <c r="AI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</row>
    <row r="292" spans="1:47" s="9" customFormat="1" ht="24" customHeight="1" x14ac:dyDescent="0.35">
      <c r="A292" s="157">
        <f ca="1">IF($AN$35="YES",1,IF(_xll.ELCOMPN(Server&amp;$C$24,C292)&lt;&gt;0,1,IF(OR(B292=$AT$35,B292="ALL"),1,0)))</f>
        <v>1</v>
      </c>
      <c r="B292" s="139" t="str">
        <f t="shared" si="3"/>
        <v>GS</v>
      </c>
      <c r="C292" s="137" t="s">
        <v>528</v>
      </c>
      <c r="E292" s="221" t="str">
        <f ca="1">_xll.DBRA(Server&amp;$C$24,$C292,$F$21)</f>
        <v>Voyages (SG)</v>
      </c>
      <c r="F292" s="221"/>
      <c r="G292" s="221"/>
      <c r="H292" s="40"/>
      <c r="I292" s="192">
        <f ca="1">_xll.DBRW(Server&amp;Cube1,$F$17,$F$18,$F$19,$F$16,$C$14,$F$15,$F$14,$F$20,I$2,I$1,$C292)</f>
        <v>0</v>
      </c>
      <c r="J292" s="192">
        <f ca="1">_xll.DBRW(Server&amp;Cube1,$F$17,$F$18,$F$19,$F$16,$C$14,$F$15,$F$14,$F$20,J$2,J$1,$C292)</f>
        <v>0</v>
      </c>
      <c r="K292" s="183"/>
      <c r="L292" s="185">
        <f ca="1">_xll.DBRW(Server&amp;Cube1,$F$17,$F$18,$F$19,$F$16,$C$14,$F$15,$F$14,$F$20,L$2,L$1,$C292)</f>
        <v>0</v>
      </c>
      <c r="M292" s="184"/>
      <c r="N292" s="185">
        <f ca="1">_xll.DBRW(Server&amp;Cube1,$F$17,$F$18,$F$19,$F$16,$C$14,$F$15,$F$14,$F$20,N$2,$N$1,$C292)</f>
        <v>0</v>
      </c>
      <c r="O292" s="185">
        <f ca="1">_xll.DBRW(Server&amp;Cube1,$F$17,$F$18,$F$19,$F$16,$C$14,$F$15,$F$14,$F$20,O$2,$N$1,$C292)</f>
        <v>0</v>
      </c>
      <c r="P292" s="185">
        <f ca="1">_xll.DBRW(Server&amp;Cube1,$F$17,$F$18,$F$19,$F$16,$C$14,$F$15,$F$14,$F$20,P$2,$N$1,$C292)</f>
        <v>0</v>
      </c>
      <c r="Q292" s="185">
        <f ca="1">_xll.DBRW(Server&amp;Cube1,$F$17,$F$18,$F$19,$F$16,$C$14,$F$15,$F$14,$F$20,Q$2,$N$1,$C292)</f>
        <v>0</v>
      </c>
      <c r="R292" s="185">
        <f ca="1">_xll.DBRW(Server&amp;Cube1,$F$17,$F$18,$F$19,$F$16,$C$14,$F$15,$F$14,$F$20,R$2,$N$1,$C292)</f>
        <v>0</v>
      </c>
      <c r="S292" s="185">
        <f ca="1">_xll.DBRW(Server&amp;Cube1,$F$17,$F$18,$F$19,$F$16,$C$14,$F$15,$F$14,$F$20,S$2,$N$1,$C292)</f>
        <v>0</v>
      </c>
      <c r="T292" s="185">
        <f ca="1">_xll.DBRW(Server&amp;Cube1,$F$17,$F$18,$F$19,$F$16,$C$14,$F$15,$F$14,$F$20,T$2,$N$1,$C292)</f>
        <v>0</v>
      </c>
      <c r="U292" s="185">
        <f ca="1">_xll.DBRW(Server&amp;Cube1,$F$17,$F$18,$F$19,$F$16,$C$14,$F$15,$F$14,$F$20,U$2,$N$1,$C292)</f>
        <v>0</v>
      </c>
      <c r="V292" s="185">
        <f ca="1">_xll.DBRW(Server&amp;Cube1,$F$17,$F$18,$F$19,$F$16,$C$14,$F$15,$F$14,$F$20,V$2,$N$1,$C292)</f>
        <v>0</v>
      </c>
      <c r="W292" s="185">
        <f ca="1">_xll.DBRW(Server&amp;Cube1,$F$17,$F$18,$F$19,$F$16,$C$14,$F$15,$F$14,$F$20,W$2,$N$1,$C292)</f>
        <v>0</v>
      </c>
      <c r="X292" s="185">
        <f ca="1">_xll.DBRW(Server&amp;Cube1,$F$17,$F$18,$F$19,$F$16,$C$14,$F$15,$F$14,$F$20,X$2,$N$1,$C292)</f>
        <v>0</v>
      </c>
      <c r="Y292" s="185">
        <f ca="1">_xll.DBRW(Server&amp;Cube1,$F$17,$F$18,$F$19,$F$16,$C$14,$F$15,$F$14,$F$20,Y$2,$N$1,$C292)</f>
        <v>0</v>
      </c>
      <c r="Z292" s="185">
        <f ca="1">_xll.DBRW(Server&amp;Cube1,$F$17,$F$18,$F$19,$F$16,$C$14,$F$15,$F$14,$F$20,Z$2,$N$1,$C292)</f>
        <v>0</v>
      </c>
      <c r="AA292" s="53"/>
      <c r="AB292" s="53"/>
      <c r="AC292" s="53"/>
      <c r="AD292" s="53"/>
      <c r="AE292" s="53"/>
      <c r="AF292" s="53"/>
      <c r="AG292" s="53"/>
      <c r="AH292" s="53"/>
      <c r="AI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</row>
    <row r="293" spans="1:47" s="9" customFormat="1" ht="24" customHeight="1" x14ac:dyDescent="0.35">
      <c r="A293" s="157">
        <f ca="1">IF($AN$35="YES",1,IF(_xll.ELCOMPN(Server&amp;$C$24,C293)&lt;&gt;0,1,IF(OR(B293=$AT$35,B293="ALL"),1,0)))</f>
        <v>1</v>
      </c>
      <c r="B293" s="139" t="str">
        <f t="shared" ref="B293:B356" si="4">IF(ISERROR(MID(C293,FIND("_",C293,1)+1,2)),MID(C293,FIND("(",C293,1)+1,2),MID(C293,FIND("_",C293,1)+1,2))</f>
        <v>RD</v>
      </c>
      <c r="C293" s="137" t="s">
        <v>529</v>
      </c>
      <c r="E293" s="221" t="str">
        <f ca="1">_xll.DBRA(Server&amp;$C$24,$C293,$F$21)</f>
        <v>Voyages (RD)</v>
      </c>
      <c r="F293" s="221"/>
      <c r="G293" s="221"/>
      <c r="H293" s="40"/>
      <c r="I293" s="192">
        <f ca="1">_xll.DBRW(Server&amp;Cube1,$F$17,$F$18,$F$19,$F$16,$C$14,$F$15,$F$14,$F$20,I$2,I$1,$C293)</f>
        <v>0</v>
      </c>
      <c r="J293" s="192">
        <f ca="1">_xll.DBRW(Server&amp;Cube1,$F$17,$F$18,$F$19,$F$16,$C$14,$F$15,$F$14,$F$20,J$2,J$1,$C293)</f>
        <v>0</v>
      </c>
      <c r="K293" s="183"/>
      <c r="L293" s="185">
        <f ca="1">_xll.DBRW(Server&amp;Cube1,$F$17,$F$18,$F$19,$F$16,$C$14,$F$15,$F$14,$F$20,L$2,L$1,$C293)</f>
        <v>0</v>
      </c>
      <c r="M293" s="184"/>
      <c r="N293" s="185">
        <f ca="1">_xll.DBRW(Server&amp;Cube1,$F$17,$F$18,$F$19,$F$16,$C$14,$F$15,$F$14,$F$20,N$2,$N$1,$C293)</f>
        <v>0</v>
      </c>
      <c r="O293" s="185">
        <f ca="1">_xll.DBRW(Server&amp;Cube1,$F$17,$F$18,$F$19,$F$16,$C$14,$F$15,$F$14,$F$20,O$2,$N$1,$C293)</f>
        <v>0</v>
      </c>
      <c r="P293" s="185">
        <f ca="1">_xll.DBRW(Server&amp;Cube1,$F$17,$F$18,$F$19,$F$16,$C$14,$F$15,$F$14,$F$20,P$2,$N$1,$C293)</f>
        <v>0</v>
      </c>
      <c r="Q293" s="185">
        <f ca="1">_xll.DBRW(Server&amp;Cube1,$F$17,$F$18,$F$19,$F$16,$C$14,$F$15,$F$14,$F$20,Q$2,$N$1,$C293)</f>
        <v>0</v>
      </c>
      <c r="R293" s="185">
        <f ca="1">_xll.DBRW(Server&amp;Cube1,$F$17,$F$18,$F$19,$F$16,$C$14,$F$15,$F$14,$F$20,R$2,$N$1,$C293)</f>
        <v>0</v>
      </c>
      <c r="S293" s="185">
        <f ca="1">_xll.DBRW(Server&amp;Cube1,$F$17,$F$18,$F$19,$F$16,$C$14,$F$15,$F$14,$F$20,S$2,$N$1,$C293)</f>
        <v>0</v>
      </c>
      <c r="T293" s="185">
        <f ca="1">_xll.DBRW(Server&amp;Cube1,$F$17,$F$18,$F$19,$F$16,$C$14,$F$15,$F$14,$F$20,T$2,$N$1,$C293)</f>
        <v>0</v>
      </c>
      <c r="U293" s="185">
        <f ca="1">_xll.DBRW(Server&amp;Cube1,$F$17,$F$18,$F$19,$F$16,$C$14,$F$15,$F$14,$F$20,U$2,$N$1,$C293)</f>
        <v>0</v>
      </c>
      <c r="V293" s="185">
        <f ca="1">_xll.DBRW(Server&amp;Cube1,$F$17,$F$18,$F$19,$F$16,$C$14,$F$15,$F$14,$F$20,V$2,$N$1,$C293)</f>
        <v>0</v>
      </c>
      <c r="W293" s="185">
        <f ca="1">_xll.DBRW(Server&amp;Cube1,$F$17,$F$18,$F$19,$F$16,$C$14,$F$15,$F$14,$F$20,W$2,$N$1,$C293)</f>
        <v>0</v>
      </c>
      <c r="X293" s="185">
        <f ca="1">_xll.DBRW(Server&amp;Cube1,$F$17,$F$18,$F$19,$F$16,$C$14,$F$15,$F$14,$F$20,X$2,$N$1,$C293)</f>
        <v>0</v>
      </c>
      <c r="Y293" s="185">
        <f ca="1">_xll.DBRW(Server&amp;Cube1,$F$17,$F$18,$F$19,$F$16,$C$14,$F$15,$F$14,$F$20,Y$2,$N$1,$C293)</f>
        <v>0</v>
      </c>
      <c r="Z293" s="185">
        <f ca="1">_xll.DBRW(Server&amp;Cube1,$F$17,$F$18,$F$19,$F$16,$C$14,$F$15,$F$14,$F$20,Z$2,$N$1,$C293)</f>
        <v>0</v>
      </c>
      <c r="AA293" s="53"/>
      <c r="AB293" s="53"/>
      <c r="AC293" s="53"/>
      <c r="AD293" s="53"/>
      <c r="AE293" s="53"/>
      <c r="AF293" s="53"/>
      <c r="AG293" s="53"/>
      <c r="AH293" s="53"/>
      <c r="AI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</row>
    <row r="294" spans="1:47" s="9" customFormat="1" ht="24" customHeight="1" thickBot="1" x14ac:dyDescent="0.4">
      <c r="A294" s="157">
        <f ca="1">IF($AN$35="YES",1,IF(_xll.ELCOMPN(Server&amp;$C$24,C294)&lt;&gt;0,1,IF(OR(B294=$AT$35,B294="ALL"),1,0)))</f>
        <v>1</v>
      </c>
      <c r="B294" s="139" t="str">
        <f t="shared" si="4"/>
        <v>en</v>
      </c>
      <c r="C294" s="110" t="s">
        <v>113</v>
      </c>
      <c r="E294" s="222" t="str">
        <f ca="1">_xll.DBRA(Server&amp;$C$24,$C294,$F$21)</f>
        <v>Coûts d'environnement, Taxes et dotations</v>
      </c>
      <c r="F294" s="222"/>
      <c r="G294" s="222"/>
      <c r="H294" s="40"/>
      <c r="I294" s="187">
        <f ca="1">_xll.DBRW(Server&amp;Cube1,$F$17,$F$18,$F$19,$F$16,$C$14,$F$15,$F$14,$F$20,I$2,I$1,$C294)</f>
        <v>0</v>
      </c>
      <c r="J294" s="187">
        <f ca="1">_xll.DBRW(Server&amp;Cube1,$F$17,$F$18,$F$19,$F$16,$C$14,$F$15,$F$14,$F$20,J$2,J$1,$C294)</f>
        <v>0</v>
      </c>
      <c r="K294" s="188"/>
      <c r="L294" s="187">
        <f ca="1">_xll.DBRW(Server&amp;Cube1,$F$17,$F$18,$F$19,$F$16,$C$14,$F$15,$F$14,$F$20,L$2,L$1,$C294)</f>
        <v>0</v>
      </c>
      <c r="M294" s="189"/>
      <c r="N294" s="187">
        <f ca="1">_xll.DBRW(Server&amp;Cube1,$F$17,$F$18,$F$19,$F$16,$C$14,$F$15,$F$14,$F$20,N$2,$N$1,$C294)</f>
        <v>0</v>
      </c>
      <c r="O294" s="187">
        <f ca="1">_xll.DBRW(Server&amp;Cube1,$F$17,$F$18,$F$19,$F$16,$C$14,$F$15,$F$14,$F$20,O$2,$N$1,$C294)</f>
        <v>0</v>
      </c>
      <c r="P294" s="187">
        <f ca="1">_xll.DBRW(Server&amp;Cube1,$F$17,$F$18,$F$19,$F$16,$C$14,$F$15,$F$14,$F$20,P$2,$N$1,$C294)</f>
        <v>0</v>
      </c>
      <c r="Q294" s="187">
        <f ca="1">_xll.DBRW(Server&amp;Cube1,$F$17,$F$18,$F$19,$F$16,$C$14,$F$15,$F$14,$F$20,Q$2,$N$1,$C294)</f>
        <v>0</v>
      </c>
      <c r="R294" s="187">
        <f ca="1">_xll.DBRW(Server&amp;Cube1,$F$17,$F$18,$F$19,$F$16,$C$14,$F$15,$F$14,$F$20,R$2,$N$1,$C294)</f>
        <v>0</v>
      </c>
      <c r="S294" s="187">
        <f ca="1">_xll.DBRW(Server&amp;Cube1,$F$17,$F$18,$F$19,$F$16,$C$14,$F$15,$F$14,$F$20,S$2,$N$1,$C294)</f>
        <v>0</v>
      </c>
      <c r="T294" s="187">
        <f ca="1">_xll.DBRW(Server&amp;Cube1,$F$17,$F$18,$F$19,$F$16,$C$14,$F$15,$F$14,$F$20,T$2,$N$1,$C294)</f>
        <v>0</v>
      </c>
      <c r="U294" s="187">
        <f ca="1">_xll.DBRW(Server&amp;Cube1,$F$17,$F$18,$F$19,$F$16,$C$14,$F$15,$F$14,$F$20,U$2,$N$1,$C294)</f>
        <v>0</v>
      </c>
      <c r="V294" s="187">
        <f ca="1">_xll.DBRW(Server&amp;Cube1,$F$17,$F$18,$F$19,$F$16,$C$14,$F$15,$F$14,$F$20,V$2,$N$1,$C294)</f>
        <v>0</v>
      </c>
      <c r="W294" s="187">
        <f ca="1">_xll.DBRW(Server&amp;Cube1,$F$17,$F$18,$F$19,$F$16,$C$14,$F$15,$F$14,$F$20,W$2,$N$1,$C294)</f>
        <v>0</v>
      </c>
      <c r="X294" s="187">
        <f ca="1">_xll.DBRW(Server&amp;Cube1,$F$17,$F$18,$F$19,$F$16,$C$14,$F$15,$F$14,$F$20,X$2,$N$1,$C294)</f>
        <v>0</v>
      </c>
      <c r="Y294" s="187">
        <f ca="1">_xll.DBRW(Server&amp;Cube1,$F$17,$F$18,$F$19,$F$16,$C$14,$F$15,$F$14,$F$20,Y$2,$N$1,$C294)</f>
        <v>0</v>
      </c>
      <c r="Z294" s="187">
        <f ca="1">_xll.DBRW(Server&amp;Cube1,$F$17,$F$18,$F$19,$F$16,$C$14,$F$15,$F$14,$F$20,Z$2,$N$1,$C294)</f>
        <v>0</v>
      </c>
      <c r="AA294" s="53"/>
      <c r="AB294" s="53"/>
      <c r="AC294" s="53"/>
      <c r="AD294" s="53"/>
      <c r="AE294" s="53"/>
      <c r="AF294" s="53"/>
      <c r="AG294" s="53"/>
      <c r="AH294" s="53"/>
      <c r="AI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</row>
    <row r="295" spans="1:47" s="9" customFormat="1" ht="24" customHeight="1" x14ac:dyDescent="0.35">
      <c r="A295" s="157">
        <f ca="1">IF($AN$35="YES",1,IF(_xll.ELCOMPN(Server&amp;$C$24,C295)&lt;&gt;0,1,IF(OR(B295=$AT$35,B295="ALL"),1,0)))</f>
        <v>1</v>
      </c>
      <c r="B295" s="139" t="str">
        <f t="shared" si="4"/>
        <v>en</v>
      </c>
      <c r="C295" s="113" t="s">
        <v>114</v>
      </c>
      <c r="E295" s="220" t="str">
        <f ca="1">_xll.DBRA(Server&amp;$C$24,$C295,$F$21)</f>
        <v>Coûts d'environnement</v>
      </c>
      <c r="F295" s="220"/>
      <c r="G295" s="220"/>
      <c r="H295" s="40"/>
      <c r="I295" s="190">
        <f ca="1">_xll.DBRW(Server&amp;Cube1,$F$17,$F$18,$F$19,$F$16,$C$14,$F$15,$F$14,$F$20,I$2,I$1,$C295)</f>
        <v>0</v>
      </c>
      <c r="J295" s="190">
        <f ca="1">_xll.DBRW(Server&amp;Cube1,$F$17,$F$18,$F$19,$F$16,$C$14,$F$15,$F$14,$F$20,J$2,J$1,$C295)</f>
        <v>0</v>
      </c>
      <c r="K295" s="180"/>
      <c r="L295" s="191">
        <f ca="1">_xll.DBRW(Server&amp;Cube1,$F$17,$F$18,$F$19,$F$16,$C$14,$F$15,$F$14,$F$20,L$2,L$1,$C295)</f>
        <v>0</v>
      </c>
      <c r="M295" s="181"/>
      <c r="N295" s="191">
        <f ca="1">_xll.DBRW(Server&amp;Cube1,$F$17,$F$18,$F$19,$F$16,$C$14,$F$15,$F$14,$F$20,N$2,$N$1,$C295)</f>
        <v>0</v>
      </c>
      <c r="O295" s="191">
        <f ca="1">_xll.DBRW(Server&amp;Cube1,$F$17,$F$18,$F$19,$F$16,$C$14,$F$15,$F$14,$F$20,O$2,$N$1,$C295)</f>
        <v>0</v>
      </c>
      <c r="P295" s="191">
        <f ca="1">_xll.DBRW(Server&amp;Cube1,$F$17,$F$18,$F$19,$F$16,$C$14,$F$15,$F$14,$F$20,P$2,$N$1,$C295)</f>
        <v>0</v>
      </c>
      <c r="Q295" s="191">
        <f ca="1">_xll.DBRW(Server&amp;Cube1,$F$17,$F$18,$F$19,$F$16,$C$14,$F$15,$F$14,$F$20,Q$2,$N$1,$C295)</f>
        <v>0</v>
      </c>
      <c r="R295" s="191">
        <f ca="1">_xll.DBRW(Server&amp;Cube1,$F$17,$F$18,$F$19,$F$16,$C$14,$F$15,$F$14,$F$20,R$2,$N$1,$C295)</f>
        <v>0</v>
      </c>
      <c r="S295" s="191">
        <f ca="1">_xll.DBRW(Server&amp;Cube1,$F$17,$F$18,$F$19,$F$16,$C$14,$F$15,$F$14,$F$20,S$2,$N$1,$C295)</f>
        <v>0</v>
      </c>
      <c r="T295" s="191">
        <f ca="1">_xll.DBRW(Server&amp;Cube1,$F$17,$F$18,$F$19,$F$16,$C$14,$F$15,$F$14,$F$20,T$2,$N$1,$C295)</f>
        <v>0</v>
      </c>
      <c r="U295" s="191">
        <f ca="1">_xll.DBRW(Server&amp;Cube1,$F$17,$F$18,$F$19,$F$16,$C$14,$F$15,$F$14,$F$20,U$2,$N$1,$C295)</f>
        <v>0</v>
      </c>
      <c r="V295" s="191">
        <f ca="1">_xll.DBRW(Server&amp;Cube1,$F$17,$F$18,$F$19,$F$16,$C$14,$F$15,$F$14,$F$20,V$2,$N$1,$C295)</f>
        <v>0</v>
      </c>
      <c r="W295" s="191">
        <f ca="1">_xll.DBRW(Server&amp;Cube1,$F$17,$F$18,$F$19,$F$16,$C$14,$F$15,$F$14,$F$20,W$2,$N$1,$C295)</f>
        <v>0</v>
      </c>
      <c r="X295" s="191">
        <f ca="1">_xll.DBRW(Server&amp;Cube1,$F$17,$F$18,$F$19,$F$16,$C$14,$F$15,$F$14,$F$20,X$2,$N$1,$C295)</f>
        <v>0</v>
      </c>
      <c r="Y295" s="191">
        <f ca="1">_xll.DBRW(Server&amp;Cube1,$F$17,$F$18,$F$19,$F$16,$C$14,$F$15,$F$14,$F$20,Y$2,$N$1,$C295)</f>
        <v>0</v>
      </c>
      <c r="Z295" s="191">
        <f ca="1">_xll.DBRW(Server&amp;Cube1,$F$17,$F$18,$F$19,$F$16,$C$14,$F$15,$F$14,$F$20,Z$2,$N$1,$C295)</f>
        <v>0</v>
      </c>
      <c r="AA295" s="53"/>
      <c r="AB295" s="53"/>
      <c r="AC295" s="53"/>
      <c r="AD295" s="53"/>
      <c r="AE295" s="53"/>
      <c r="AF295" s="53"/>
      <c r="AG295" s="53"/>
      <c r="AH295" s="53"/>
      <c r="AI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</row>
    <row r="296" spans="1:47" s="9" customFormat="1" ht="24" customHeight="1" x14ac:dyDescent="0.35">
      <c r="A296" s="157">
        <f ca="1">IF($AN$35="YES",1,IF(_xll.ELCOMPN(Server&amp;$C$24,C296)&lt;&gt;0,1,IF(OR(B296=$AT$35,B296="ALL"),1,0)))</f>
        <v>1</v>
      </c>
      <c r="B296" s="139" t="str">
        <f t="shared" si="4"/>
        <v>bu</v>
      </c>
      <c r="C296" s="111" t="s">
        <v>115</v>
      </c>
      <c r="E296" s="221" t="str">
        <f ca="1">_xll.DBRA(Server&amp;$C$24,$C296,$F$21)</f>
        <v>Coûts bureautique</v>
      </c>
      <c r="F296" s="221"/>
      <c r="G296" s="221"/>
      <c r="H296" s="40"/>
      <c r="I296" s="192">
        <f ca="1">_xll.DBRW(Server&amp;Cube1,$F$17,$F$18,$F$19,$F$16,$C$14,$F$15,$F$14,$F$20,I$2,I$1,$C296)</f>
        <v>0</v>
      </c>
      <c r="J296" s="192">
        <f ca="1">_xll.DBRW(Server&amp;Cube1,$F$17,$F$18,$F$19,$F$16,$C$14,$F$15,$F$14,$F$20,J$2,J$1,$C296)</f>
        <v>0</v>
      </c>
      <c r="K296" s="183"/>
      <c r="L296" s="181">
        <f ca="1">_xll.DBRW(Server&amp;Cube1,$F$17,$F$18,$F$19,$F$16,$C$14,$F$15,$F$14,$F$20,L$2,L$1,$C296)</f>
        <v>0</v>
      </c>
      <c r="M296" s="181"/>
      <c r="N296" s="181">
        <f ca="1">_xll.DBRW(Server&amp;Cube1,$F$17,$F$18,$F$19,$F$16,$C$14,$F$15,$F$14,$F$20,N$2,$N$1,$C296)</f>
        <v>0</v>
      </c>
      <c r="O296" s="181">
        <f ca="1">_xll.DBRW(Server&amp;Cube1,$F$17,$F$18,$F$19,$F$16,$C$14,$F$15,$F$14,$F$20,O$2,$N$1,$C296)</f>
        <v>0</v>
      </c>
      <c r="P296" s="181">
        <f ca="1">_xll.DBRW(Server&amp;Cube1,$F$17,$F$18,$F$19,$F$16,$C$14,$F$15,$F$14,$F$20,P$2,$N$1,$C296)</f>
        <v>0</v>
      </c>
      <c r="Q296" s="181">
        <f ca="1">_xll.DBRW(Server&amp;Cube1,$F$17,$F$18,$F$19,$F$16,$C$14,$F$15,$F$14,$F$20,Q$2,$N$1,$C296)</f>
        <v>0</v>
      </c>
      <c r="R296" s="181">
        <f ca="1">_xll.DBRW(Server&amp;Cube1,$F$17,$F$18,$F$19,$F$16,$C$14,$F$15,$F$14,$F$20,R$2,$N$1,$C296)</f>
        <v>0</v>
      </c>
      <c r="S296" s="181">
        <f ca="1">_xll.DBRW(Server&amp;Cube1,$F$17,$F$18,$F$19,$F$16,$C$14,$F$15,$F$14,$F$20,S$2,$N$1,$C296)</f>
        <v>0</v>
      </c>
      <c r="T296" s="181">
        <f ca="1">_xll.DBRW(Server&amp;Cube1,$F$17,$F$18,$F$19,$F$16,$C$14,$F$15,$F$14,$F$20,T$2,$N$1,$C296)</f>
        <v>0</v>
      </c>
      <c r="U296" s="181">
        <f ca="1">_xll.DBRW(Server&amp;Cube1,$F$17,$F$18,$F$19,$F$16,$C$14,$F$15,$F$14,$F$20,U$2,$N$1,$C296)</f>
        <v>0</v>
      </c>
      <c r="V296" s="181">
        <f ca="1">_xll.DBRW(Server&amp;Cube1,$F$17,$F$18,$F$19,$F$16,$C$14,$F$15,$F$14,$F$20,V$2,$N$1,$C296)</f>
        <v>0</v>
      </c>
      <c r="W296" s="181">
        <f ca="1">_xll.DBRW(Server&amp;Cube1,$F$17,$F$18,$F$19,$F$16,$C$14,$F$15,$F$14,$F$20,W$2,$N$1,$C296)</f>
        <v>0</v>
      </c>
      <c r="X296" s="181">
        <f ca="1">_xll.DBRW(Server&amp;Cube1,$F$17,$F$18,$F$19,$F$16,$C$14,$F$15,$F$14,$F$20,X$2,$N$1,$C296)</f>
        <v>0</v>
      </c>
      <c r="Y296" s="181">
        <f ca="1">_xll.DBRW(Server&amp;Cube1,$F$17,$F$18,$F$19,$F$16,$C$14,$F$15,$F$14,$F$20,Y$2,$N$1,$C296)</f>
        <v>0</v>
      </c>
      <c r="Z296" s="181">
        <f ca="1">_xll.DBRW(Server&amp;Cube1,$F$17,$F$18,$F$19,$F$16,$C$14,$F$15,$F$14,$F$20,Z$2,$N$1,$C296)</f>
        <v>0</v>
      </c>
      <c r="AA296" s="53"/>
      <c r="AB296" s="53"/>
      <c r="AC296" s="53"/>
      <c r="AD296" s="53"/>
      <c r="AE296" s="53"/>
      <c r="AF296" s="53"/>
      <c r="AG296" s="53"/>
      <c r="AH296" s="53"/>
      <c r="AI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</row>
    <row r="297" spans="1:47" s="9" customFormat="1" ht="24" customHeight="1" x14ac:dyDescent="0.35">
      <c r="A297" s="175">
        <f ca="1">IF($AN$35="YES",1,IF(AND($C$16="5000",$B297="GS"),1,IF(AND($C$16="5010",$B297="GS"),1,IF(AND($C$16="5020",$B297="GS"),1,0))))</f>
        <v>1</v>
      </c>
      <c r="B297" s="139" t="str">
        <f t="shared" si="4"/>
        <v>DS</v>
      </c>
      <c r="C297" s="137" t="s">
        <v>361</v>
      </c>
      <c r="E297" s="219" t="str">
        <f ca="1">_xll.DBRA(Server&amp;$C$24,$C297,$F$21)</f>
        <v>Coûts bureautique, téléphonie (SO)</v>
      </c>
      <c r="F297" s="219"/>
      <c r="G297" s="219"/>
      <c r="H297" s="40"/>
      <c r="I297" s="192">
        <f ca="1">_xll.DBRW(Server&amp;Cube1,$F$17,$F$18,$F$19,$F$16,$C$14,$F$15,$F$14,$F$20,I$2,I$1,$C297)</f>
        <v>0</v>
      </c>
      <c r="J297" s="192">
        <f ca="1">_xll.DBRW(Server&amp;Cube1,$F$17,$F$18,$F$19,$F$16,$C$14,$F$15,$F$14,$F$20,J$2,J$1,$C297)</f>
        <v>0</v>
      </c>
      <c r="K297" s="183"/>
      <c r="L297" s="185">
        <f ca="1">_xll.DBRW(Server&amp;Cube1,$F$17,$F$18,$F$19,$F$16,$C$14,$F$15,$F$14,$F$20,L$2,L$1,$C297)</f>
        <v>0</v>
      </c>
      <c r="M297" s="184"/>
      <c r="N297" s="185">
        <f ca="1">_xll.DBRW(Server&amp;Cube1,$F$17,$F$18,$F$19,$F$16,$C$14,$F$15,$F$14,$F$20,N$2,$N$1,$C297)</f>
        <v>0</v>
      </c>
      <c r="O297" s="185">
        <f ca="1">_xll.DBRW(Server&amp;Cube1,$F$17,$F$18,$F$19,$F$16,$C$14,$F$15,$F$14,$F$20,O$2,$N$1,$C297)</f>
        <v>0</v>
      </c>
      <c r="P297" s="185">
        <f ca="1">_xll.DBRW(Server&amp;Cube1,$F$17,$F$18,$F$19,$F$16,$C$14,$F$15,$F$14,$F$20,P$2,$N$1,$C297)</f>
        <v>0</v>
      </c>
      <c r="Q297" s="185">
        <f ca="1">_xll.DBRW(Server&amp;Cube1,$F$17,$F$18,$F$19,$F$16,$C$14,$F$15,$F$14,$F$20,Q$2,$N$1,$C297)</f>
        <v>0</v>
      </c>
      <c r="R297" s="185">
        <f ca="1">_xll.DBRW(Server&amp;Cube1,$F$17,$F$18,$F$19,$F$16,$C$14,$F$15,$F$14,$F$20,R$2,$N$1,$C297)</f>
        <v>0</v>
      </c>
      <c r="S297" s="185">
        <f ca="1">_xll.DBRW(Server&amp;Cube1,$F$17,$F$18,$F$19,$F$16,$C$14,$F$15,$F$14,$F$20,S$2,$N$1,$C297)</f>
        <v>0</v>
      </c>
      <c r="T297" s="185">
        <f ca="1">_xll.DBRW(Server&amp;Cube1,$F$17,$F$18,$F$19,$F$16,$C$14,$F$15,$F$14,$F$20,T$2,$N$1,$C297)</f>
        <v>0</v>
      </c>
      <c r="U297" s="185">
        <f ca="1">_xll.DBRW(Server&amp;Cube1,$F$17,$F$18,$F$19,$F$16,$C$14,$F$15,$F$14,$F$20,U$2,$N$1,$C297)</f>
        <v>0</v>
      </c>
      <c r="V297" s="185">
        <f ca="1">_xll.DBRW(Server&amp;Cube1,$F$17,$F$18,$F$19,$F$16,$C$14,$F$15,$F$14,$F$20,V$2,$N$1,$C297)</f>
        <v>0</v>
      </c>
      <c r="W297" s="185">
        <f ca="1">_xll.DBRW(Server&amp;Cube1,$F$17,$F$18,$F$19,$F$16,$C$14,$F$15,$F$14,$F$20,W$2,$N$1,$C297)</f>
        <v>0</v>
      </c>
      <c r="X297" s="185">
        <f ca="1">_xll.DBRW(Server&amp;Cube1,$F$17,$F$18,$F$19,$F$16,$C$14,$F$15,$F$14,$F$20,X$2,$N$1,$C297)</f>
        <v>0</v>
      </c>
      <c r="Y297" s="185">
        <f ca="1">_xll.DBRW(Server&amp;Cube1,$F$17,$F$18,$F$19,$F$16,$C$14,$F$15,$F$14,$F$20,Y$2,$N$1,$C297)</f>
        <v>0</v>
      </c>
      <c r="Z297" s="185">
        <f ca="1">_xll.DBRW(Server&amp;Cube1,$F$17,$F$18,$F$19,$F$16,$C$14,$F$15,$F$14,$F$20,Z$2,$N$1,$C297)</f>
        <v>0</v>
      </c>
      <c r="AA297" s="53"/>
      <c r="AB297" s="53"/>
      <c r="AC297" s="53"/>
      <c r="AD297" s="53"/>
      <c r="AE297" s="53"/>
      <c r="AF297" s="53"/>
      <c r="AG297" s="53"/>
      <c r="AH297" s="53"/>
      <c r="AI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</row>
    <row r="298" spans="1:47" s="9" customFormat="1" ht="24" customHeight="1" x14ac:dyDescent="0.35">
      <c r="A298" s="175">
        <f t="shared" ref="A298:A309" ca="1" si="5">IF($AN$35="YES",1,IF(AND($C$16="5000",$B298="GS"),1,IF(AND($C$16="5010",$B298="GS"),1,IF(AND($C$16="5020",$B298="GS"),1,0))))</f>
        <v>1</v>
      </c>
      <c r="B298" s="139" t="str">
        <f t="shared" si="4"/>
        <v>BD</v>
      </c>
      <c r="C298" s="137" t="s">
        <v>362</v>
      </c>
      <c r="E298" s="219" t="str">
        <f ca="1">_xll.DBRA(Server&amp;$C$24,$C298,$F$21)</f>
        <v>Coûts bureautique, téléphonie (DC)</v>
      </c>
      <c r="F298" s="219"/>
      <c r="G298" s="219"/>
      <c r="H298" s="40"/>
      <c r="I298" s="192">
        <f ca="1">_xll.DBRW(Server&amp;Cube1,$F$17,$F$18,$F$19,$F$16,$C$14,$F$15,$F$14,$F$20,I$2,I$1,$C298)</f>
        <v>0</v>
      </c>
      <c r="J298" s="192">
        <f ca="1">_xll.DBRW(Server&amp;Cube1,$F$17,$F$18,$F$19,$F$16,$C$14,$F$15,$F$14,$F$20,J$2,J$1,$C298)</f>
        <v>0</v>
      </c>
      <c r="K298" s="183"/>
      <c r="L298" s="185">
        <f ca="1">_xll.DBRW(Server&amp;Cube1,$F$17,$F$18,$F$19,$F$16,$C$14,$F$15,$F$14,$F$20,L$2,L$1,$C298)</f>
        <v>0</v>
      </c>
      <c r="M298" s="184"/>
      <c r="N298" s="185">
        <f ca="1">_xll.DBRW(Server&amp;Cube1,$F$17,$F$18,$F$19,$F$16,$C$14,$F$15,$F$14,$F$20,N$2,$N$1,$C298)</f>
        <v>0</v>
      </c>
      <c r="O298" s="185">
        <f ca="1">_xll.DBRW(Server&amp;Cube1,$F$17,$F$18,$F$19,$F$16,$C$14,$F$15,$F$14,$F$20,O$2,$N$1,$C298)</f>
        <v>0</v>
      </c>
      <c r="P298" s="185">
        <f ca="1">_xll.DBRW(Server&amp;Cube1,$F$17,$F$18,$F$19,$F$16,$C$14,$F$15,$F$14,$F$20,P$2,$N$1,$C298)</f>
        <v>0</v>
      </c>
      <c r="Q298" s="185">
        <f ca="1">_xll.DBRW(Server&amp;Cube1,$F$17,$F$18,$F$19,$F$16,$C$14,$F$15,$F$14,$F$20,Q$2,$N$1,$C298)</f>
        <v>0</v>
      </c>
      <c r="R298" s="185">
        <f ca="1">_xll.DBRW(Server&amp;Cube1,$F$17,$F$18,$F$19,$F$16,$C$14,$F$15,$F$14,$F$20,R$2,$N$1,$C298)</f>
        <v>0</v>
      </c>
      <c r="S298" s="185">
        <f ca="1">_xll.DBRW(Server&amp;Cube1,$F$17,$F$18,$F$19,$F$16,$C$14,$F$15,$F$14,$F$20,S$2,$N$1,$C298)</f>
        <v>0</v>
      </c>
      <c r="T298" s="185">
        <f ca="1">_xll.DBRW(Server&amp;Cube1,$F$17,$F$18,$F$19,$F$16,$C$14,$F$15,$F$14,$F$20,T$2,$N$1,$C298)</f>
        <v>0</v>
      </c>
      <c r="U298" s="185">
        <f ca="1">_xll.DBRW(Server&amp;Cube1,$F$17,$F$18,$F$19,$F$16,$C$14,$F$15,$F$14,$F$20,U$2,$N$1,$C298)</f>
        <v>0</v>
      </c>
      <c r="V298" s="185">
        <f ca="1">_xll.DBRW(Server&amp;Cube1,$F$17,$F$18,$F$19,$F$16,$C$14,$F$15,$F$14,$F$20,V$2,$N$1,$C298)</f>
        <v>0</v>
      </c>
      <c r="W298" s="185">
        <f ca="1">_xll.DBRW(Server&amp;Cube1,$F$17,$F$18,$F$19,$F$16,$C$14,$F$15,$F$14,$F$20,W$2,$N$1,$C298)</f>
        <v>0</v>
      </c>
      <c r="X298" s="185">
        <f ca="1">_xll.DBRW(Server&amp;Cube1,$F$17,$F$18,$F$19,$F$16,$C$14,$F$15,$F$14,$F$20,X$2,$N$1,$C298)</f>
        <v>0</v>
      </c>
      <c r="Y298" s="185">
        <f ca="1">_xll.DBRW(Server&amp;Cube1,$F$17,$F$18,$F$19,$F$16,$C$14,$F$15,$F$14,$F$20,Y$2,$N$1,$C298)</f>
        <v>0</v>
      </c>
      <c r="Z298" s="185">
        <f ca="1">_xll.DBRW(Server&amp;Cube1,$F$17,$F$18,$F$19,$F$16,$C$14,$F$15,$F$14,$F$20,Z$2,$N$1,$C298)</f>
        <v>0</v>
      </c>
      <c r="AA298" s="53"/>
      <c r="AB298" s="53"/>
      <c r="AC298" s="53"/>
      <c r="AD298" s="53"/>
      <c r="AE298" s="53"/>
      <c r="AF298" s="53"/>
      <c r="AG298" s="53"/>
      <c r="AH298" s="53"/>
      <c r="AI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</row>
    <row r="299" spans="1:47" s="9" customFormat="1" ht="24" customHeight="1" x14ac:dyDescent="0.35">
      <c r="A299" s="175">
        <f t="shared" ca="1" si="5"/>
        <v>1</v>
      </c>
      <c r="B299" s="139" t="str">
        <f t="shared" si="4"/>
        <v>FI</v>
      </c>
      <c r="C299" s="137" t="s">
        <v>363</v>
      </c>
      <c r="E299" s="219" t="str">
        <f ca="1">_xll.DBRA(Server&amp;$C$24,$C299,$F$21)</f>
        <v>Coûts bureautique, téléphonie (DF)</v>
      </c>
      <c r="F299" s="219"/>
      <c r="G299" s="219"/>
      <c r="H299" s="40"/>
      <c r="I299" s="192">
        <f ca="1">_xll.DBRW(Server&amp;Cube1,$F$17,$F$18,$F$19,$F$16,$C$14,$F$15,$F$14,$F$20,I$2,I$1,$C299)</f>
        <v>0</v>
      </c>
      <c r="J299" s="192">
        <f ca="1">_xll.DBRW(Server&amp;Cube1,$F$17,$F$18,$F$19,$F$16,$C$14,$F$15,$F$14,$F$20,J$2,J$1,$C299)</f>
        <v>0</v>
      </c>
      <c r="K299" s="183"/>
      <c r="L299" s="185">
        <f ca="1">_xll.DBRW(Server&amp;Cube1,$F$17,$F$18,$F$19,$F$16,$C$14,$F$15,$F$14,$F$20,L$2,L$1,$C299)</f>
        <v>0</v>
      </c>
      <c r="M299" s="184"/>
      <c r="N299" s="185">
        <f ca="1">_xll.DBRW(Server&amp;Cube1,$F$17,$F$18,$F$19,$F$16,$C$14,$F$15,$F$14,$F$20,N$2,$N$1,$C299)</f>
        <v>0</v>
      </c>
      <c r="O299" s="185">
        <f ca="1">_xll.DBRW(Server&amp;Cube1,$F$17,$F$18,$F$19,$F$16,$C$14,$F$15,$F$14,$F$20,O$2,$N$1,$C299)</f>
        <v>0</v>
      </c>
      <c r="P299" s="185">
        <f ca="1">_xll.DBRW(Server&amp;Cube1,$F$17,$F$18,$F$19,$F$16,$C$14,$F$15,$F$14,$F$20,P$2,$N$1,$C299)</f>
        <v>0</v>
      </c>
      <c r="Q299" s="185">
        <f ca="1">_xll.DBRW(Server&amp;Cube1,$F$17,$F$18,$F$19,$F$16,$C$14,$F$15,$F$14,$F$20,Q$2,$N$1,$C299)</f>
        <v>0</v>
      </c>
      <c r="R299" s="185">
        <f ca="1">_xll.DBRW(Server&amp;Cube1,$F$17,$F$18,$F$19,$F$16,$C$14,$F$15,$F$14,$F$20,R$2,$N$1,$C299)</f>
        <v>0</v>
      </c>
      <c r="S299" s="185">
        <f ca="1">_xll.DBRW(Server&amp;Cube1,$F$17,$F$18,$F$19,$F$16,$C$14,$F$15,$F$14,$F$20,S$2,$N$1,$C299)</f>
        <v>0</v>
      </c>
      <c r="T299" s="185">
        <f ca="1">_xll.DBRW(Server&amp;Cube1,$F$17,$F$18,$F$19,$F$16,$C$14,$F$15,$F$14,$F$20,T$2,$N$1,$C299)</f>
        <v>0</v>
      </c>
      <c r="U299" s="185">
        <f ca="1">_xll.DBRW(Server&amp;Cube1,$F$17,$F$18,$F$19,$F$16,$C$14,$F$15,$F$14,$F$20,U$2,$N$1,$C299)</f>
        <v>0</v>
      </c>
      <c r="V299" s="185">
        <f ca="1">_xll.DBRW(Server&amp;Cube1,$F$17,$F$18,$F$19,$F$16,$C$14,$F$15,$F$14,$F$20,V$2,$N$1,$C299)</f>
        <v>0</v>
      </c>
      <c r="W299" s="185">
        <f ca="1">_xll.DBRW(Server&amp;Cube1,$F$17,$F$18,$F$19,$F$16,$C$14,$F$15,$F$14,$F$20,W$2,$N$1,$C299)</f>
        <v>0</v>
      </c>
      <c r="X299" s="185">
        <f ca="1">_xll.DBRW(Server&amp;Cube1,$F$17,$F$18,$F$19,$F$16,$C$14,$F$15,$F$14,$F$20,X$2,$N$1,$C299)</f>
        <v>0</v>
      </c>
      <c r="Y299" s="185">
        <f ca="1">_xll.DBRW(Server&amp;Cube1,$F$17,$F$18,$F$19,$F$16,$C$14,$F$15,$F$14,$F$20,Y$2,$N$1,$C299)</f>
        <v>0</v>
      </c>
      <c r="Z299" s="185">
        <f ca="1">_xll.DBRW(Server&amp;Cube1,$F$17,$F$18,$F$19,$F$16,$C$14,$F$15,$F$14,$F$20,Z$2,$N$1,$C299)</f>
        <v>0</v>
      </c>
      <c r="AA299" s="53"/>
      <c r="AB299" s="53"/>
      <c r="AC299" s="53"/>
      <c r="AD299" s="53"/>
      <c r="AE299" s="53"/>
      <c r="AF299" s="53"/>
      <c r="AG299" s="53"/>
      <c r="AH299" s="53"/>
      <c r="AI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</row>
    <row r="300" spans="1:47" s="9" customFormat="1" ht="24" customHeight="1" x14ac:dyDescent="0.35">
      <c r="A300" s="175">
        <f t="shared" ca="1" si="5"/>
        <v>1</v>
      </c>
      <c r="B300" s="139" t="str">
        <f t="shared" si="4"/>
        <v>IT</v>
      </c>
      <c r="C300" s="137" t="s">
        <v>364</v>
      </c>
      <c r="E300" s="219" t="str">
        <f ca="1">_xll.DBRA(Server&amp;$C$24,$C300,$F$21)</f>
        <v>Coûts bureautique, téléphonie (IT)</v>
      </c>
      <c r="F300" s="219"/>
      <c r="G300" s="219"/>
      <c r="H300" s="40"/>
      <c r="I300" s="192">
        <f ca="1">_xll.DBRW(Server&amp;Cube1,$F$17,$F$18,$F$19,$F$16,$C$14,$F$15,$F$14,$F$20,I$2,I$1,$C300)</f>
        <v>0</v>
      </c>
      <c r="J300" s="192">
        <f ca="1">_xll.DBRW(Server&amp;Cube1,$F$17,$F$18,$F$19,$F$16,$C$14,$F$15,$F$14,$F$20,J$2,J$1,$C300)</f>
        <v>0</v>
      </c>
      <c r="K300" s="183"/>
      <c r="L300" s="185">
        <f ca="1">_xll.DBRW(Server&amp;Cube1,$F$17,$F$18,$F$19,$F$16,$C$14,$F$15,$F$14,$F$20,L$2,L$1,$C300)</f>
        <v>0</v>
      </c>
      <c r="M300" s="184"/>
      <c r="N300" s="185">
        <f ca="1">_xll.DBRW(Server&amp;Cube1,$F$17,$F$18,$F$19,$F$16,$C$14,$F$15,$F$14,$F$20,N$2,$N$1,$C300)</f>
        <v>0</v>
      </c>
      <c r="O300" s="185">
        <f ca="1">_xll.DBRW(Server&amp;Cube1,$F$17,$F$18,$F$19,$F$16,$C$14,$F$15,$F$14,$F$20,O$2,$N$1,$C300)</f>
        <v>0</v>
      </c>
      <c r="P300" s="185">
        <f ca="1">_xll.DBRW(Server&amp;Cube1,$F$17,$F$18,$F$19,$F$16,$C$14,$F$15,$F$14,$F$20,P$2,$N$1,$C300)</f>
        <v>0</v>
      </c>
      <c r="Q300" s="185">
        <f ca="1">_xll.DBRW(Server&amp;Cube1,$F$17,$F$18,$F$19,$F$16,$C$14,$F$15,$F$14,$F$20,Q$2,$N$1,$C300)</f>
        <v>0</v>
      </c>
      <c r="R300" s="185">
        <f ca="1">_xll.DBRW(Server&amp;Cube1,$F$17,$F$18,$F$19,$F$16,$C$14,$F$15,$F$14,$F$20,R$2,$N$1,$C300)</f>
        <v>0</v>
      </c>
      <c r="S300" s="185">
        <f ca="1">_xll.DBRW(Server&amp;Cube1,$F$17,$F$18,$F$19,$F$16,$C$14,$F$15,$F$14,$F$20,S$2,$N$1,$C300)</f>
        <v>0</v>
      </c>
      <c r="T300" s="185">
        <f ca="1">_xll.DBRW(Server&amp;Cube1,$F$17,$F$18,$F$19,$F$16,$C$14,$F$15,$F$14,$F$20,T$2,$N$1,$C300)</f>
        <v>0</v>
      </c>
      <c r="U300" s="185">
        <f ca="1">_xll.DBRW(Server&amp;Cube1,$F$17,$F$18,$F$19,$F$16,$C$14,$F$15,$F$14,$F$20,U$2,$N$1,$C300)</f>
        <v>0</v>
      </c>
      <c r="V300" s="185">
        <f ca="1">_xll.DBRW(Server&amp;Cube1,$F$17,$F$18,$F$19,$F$16,$C$14,$F$15,$F$14,$F$20,V$2,$N$1,$C300)</f>
        <v>0</v>
      </c>
      <c r="W300" s="185">
        <f ca="1">_xll.DBRW(Server&amp;Cube1,$F$17,$F$18,$F$19,$F$16,$C$14,$F$15,$F$14,$F$20,W$2,$N$1,$C300)</f>
        <v>0</v>
      </c>
      <c r="X300" s="185">
        <f ca="1">_xll.DBRW(Server&amp;Cube1,$F$17,$F$18,$F$19,$F$16,$C$14,$F$15,$F$14,$F$20,X$2,$N$1,$C300)</f>
        <v>0</v>
      </c>
      <c r="Y300" s="185">
        <f ca="1">_xll.DBRW(Server&amp;Cube1,$F$17,$F$18,$F$19,$F$16,$C$14,$F$15,$F$14,$F$20,Y$2,$N$1,$C300)</f>
        <v>0</v>
      </c>
      <c r="Z300" s="185">
        <f ca="1">_xll.DBRW(Server&amp;Cube1,$F$17,$F$18,$F$19,$F$16,$C$14,$F$15,$F$14,$F$20,Z$2,$N$1,$C300)</f>
        <v>0</v>
      </c>
      <c r="AA300" s="53"/>
      <c r="AB300" s="53"/>
      <c r="AC300" s="53"/>
      <c r="AD300" s="53"/>
      <c r="AE300" s="53"/>
      <c r="AF300" s="53"/>
      <c r="AG300" s="53"/>
      <c r="AH300" s="53"/>
      <c r="AI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</row>
    <row r="301" spans="1:47" s="9" customFormat="1" ht="24" customHeight="1" x14ac:dyDescent="0.35">
      <c r="A301" s="175">
        <f t="shared" ca="1" si="5"/>
        <v>1</v>
      </c>
      <c r="B301" s="139" t="str">
        <f t="shared" si="4"/>
        <v>HR</v>
      </c>
      <c r="C301" s="137" t="s">
        <v>365</v>
      </c>
      <c r="E301" s="219" t="str">
        <f ca="1">_xll.DBRA(Server&amp;$C$24,$C301,$F$21)</f>
        <v>Coûts bureautique, téléphonie (RH)</v>
      </c>
      <c r="F301" s="219"/>
      <c r="G301" s="219"/>
      <c r="H301" s="40"/>
      <c r="I301" s="192">
        <f ca="1">_xll.DBRW(Server&amp;Cube1,$F$17,$F$18,$F$19,$F$16,$C$14,$F$15,$F$14,$F$20,I$2,I$1,$C301)</f>
        <v>0</v>
      </c>
      <c r="J301" s="192">
        <f ca="1">_xll.DBRW(Server&amp;Cube1,$F$17,$F$18,$F$19,$F$16,$C$14,$F$15,$F$14,$F$20,J$2,J$1,$C301)</f>
        <v>0</v>
      </c>
      <c r="K301" s="183"/>
      <c r="L301" s="185">
        <f ca="1">_xll.DBRW(Server&amp;Cube1,$F$17,$F$18,$F$19,$F$16,$C$14,$F$15,$F$14,$F$20,L$2,L$1,$C301)</f>
        <v>0</v>
      </c>
      <c r="M301" s="184"/>
      <c r="N301" s="185">
        <f ca="1">_xll.DBRW(Server&amp;Cube1,$F$17,$F$18,$F$19,$F$16,$C$14,$F$15,$F$14,$F$20,N$2,$N$1,$C301)</f>
        <v>0</v>
      </c>
      <c r="O301" s="185">
        <f ca="1">_xll.DBRW(Server&amp;Cube1,$F$17,$F$18,$F$19,$F$16,$C$14,$F$15,$F$14,$F$20,O$2,$N$1,$C301)</f>
        <v>0</v>
      </c>
      <c r="P301" s="185">
        <f ca="1">_xll.DBRW(Server&amp;Cube1,$F$17,$F$18,$F$19,$F$16,$C$14,$F$15,$F$14,$F$20,P$2,$N$1,$C301)</f>
        <v>0</v>
      </c>
      <c r="Q301" s="185">
        <f ca="1">_xll.DBRW(Server&amp;Cube1,$F$17,$F$18,$F$19,$F$16,$C$14,$F$15,$F$14,$F$20,Q$2,$N$1,$C301)</f>
        <v>0</v>
      </c>
      <c r="R301" s="185">
        <f ca="1">_xll.DBRW(Server&amp;Cube1,$F$17,$F$18,$F$19,$F$16,$C$14,$F$15,$F$14,$F$20,R$2,$N$1,$C301)</f>
        <v>0</v>
      </c>
      <c r="S301" s="185">
        <f ca="1">_xll.DBRW(Server&amp;Cube1,$F$17,$F$18,$F$19,$F$16,$C$14,$F$15,$F$14,$F$20,S$2,$N$1,$C301)</f>
        <v>0</v>
      </c>
      <c r="T301" s="185">
        <f ca="1">_xll.DBRW(Server&amp;Cube1,$F$17,$F$18,$F$19,$F$16,$C$14,$F$15,$F$14,$F$20,T$2,$N$1,$C301)</f>
        <v>0</v>
      </c>
      <c r="U301" s="185">
        <f ca="1">_xll.DBRW(Server&amp;Cube1,$F$17,$F$18,$F$19,$F$16,$C$14,$F$15,$F$14,$F$20,U$2,$N$1,$C301)</f>
        <v>0</v>
      </c>
      <c r="V301" s="185">
        <f ca="1">_xll.DBRW(Server&amp;Cube1,$F$17,$F$18,$F$19,$F$16,$C$14,$F$15,$F$14,$F$20,V$2,$N$1,$C301)</f>
        <v>0</v>
      </c>
      <c r="W301" s="185">
        <f ca="1">_xll.DBRW(Server&amp;Cube1,$F$17,$F$18,$F$19,$F$16,$C$14,$F$15,$F$14,$F$20,W$2,$N$1,$C301)</f>
        <v>0</v>
      </c>
      <c r="X301" s="185">
        <f ca="1">_xll.DBRW(Server&amp;Cube1,$F$17,$F$18,$F$19,$F$16,$C$14,$F$15,$F$14,$F$20,X$2,$N$1,$C301)</f>
        <v>0</v>
      </c>
      <c r="Y301" s="185">
        <f ca="1">_xll.DBRW(Server&amp;Cube1,$F$17,$F$18,$F$19,$F$16,$C$14,$F$15,$F$14,$F$20,Y$2,$N$1,$C301)</f>
        <v>0</v>
      </c>
      <c r="Z301" s="185">
        <f ca="1">_xll.DBRW(Server&amp;Cube1,$F$17,$F$18,$F$19,$F$16,$C$14,$F$15,$F$14,$F$20,Z$2,$N$1,$C301)</f>
        <v>0</v>
      </c>
      <c r="AA301" s="53"/>
      <c r="AB301" s="53"/>
      <c r="AC301" s="53"/>
      <c r="AD301" s="53"/>
      <c r="AE301" s="53"/>
      <c r="AF301" s="53"/>
      <c r="AG301" s="53"/>
      <c r="AH301" s="53"/>
      <c r="AI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</row>
    <row r="302" spans="1:47" s="9" customFormat="1" ht="24" customHeight="1" x14ac:dyDescent="0.35">
      <c r="A302" s="175">
        <f t="shared" ca="1" si="5"/>
        <v>1</v>
      </c>
      <c r="B302" s="139" t="str">
        <f t="shared" si="4"/>
        <v>GM</v>
      </c>
      <c r="C302" s="137" t="s">
        <v>366</v>
      </c>
      <c r="E302" s="219" t="str">
        <f ca="1">_xll.DBRA(Server&amp;$C$24,$C302,$F$21)</f>
        <v>Coûts bureautique, téléphonie (DG)</v>
      </c>
      <c r="F302" s="219"/>
      <c r="G302" s="219"/>
      <c r="H302" s="40"/>
      <c r="I302" s="192">
        <f ca="1">_xll.DBRW(Server&amp;Cube1,$F$17,$F$18,$F$19,$F$16,$C$14,$F$15,$F$14,$F$20,I$2,I$1,$C302)</f>
        <v>0</v>
      </c>
      <c r="J302" s="192">
        <f ca="1">_xll.DBRW(Server&amp;Cube1,$F$17,$F$18,$F$19,$F$16,$C$14,$F$15,$F$14,$F$20,J$2,J$1,$C302)</f>
        <v>0</v>
      </c>
      <c r="K302" s="183"/>
      <c r="L302" s="185">
        <f ca="1">_xll.DBRW(Server&amp;Cube1,$F$17,$F$18,$F$19,$F$16,$C$14,$F$15,$F$14,$F$20,L$2,L$1,$C302)</f>
        <v>0</v>
      </c>
      <c r="M302" s="184"/>
      <c r="N302" s="185">
        <f ca="1">_xll.DBRW(Server&amp;Cube1,$F$17,$F$18,$F$19,$F$16,$C$14,$F$15,$F$14,$F$20,N$2,$N$1,$C302)</f>
        <v>0</v>
      </c>
      <c r="O302" s="185">
        <f ca="1">_xll.DBRW(Server&amp;Cube1,$F$17,$F$18,$F$19,$F$16,$C$14,$F$15,$F$14,$F$20,O$2,$N$1,$C302)</f>
        <v>0</v>
      </c>
      <c r="P302" s="185">
        <f ca="1">_xll.DBRW(Server&amp;Cube1,$F$17,$F$18,$F$19,$F$16,$C$14,$F$15,$F$14,$F$20,P$2,$N$1,$C302)</f>
        <v>0</v>
      </c>
      <c r="Q302" s="185">
        <f ca="1">_xll.DBRW(Server&amp;Cube1,$F$17,$F$18,$F$19,$F$16,$C$14,$F$15,$F$14,$F$20,Q$2,$N$1,$C302)</f>
        <v>0</v>
      </c>
      <c r="R302" s="185">
        <f ca="1">_xll.DBRW(Server&amp;Cube1,$F$17,$F$18,$F$19,$F$16,$C$14,$F$15,$F$14,$F$20,R$2,$N$1,$C302)</f>
        <v>0</v>
      </c>
      <c r="S302" s="185">
        <f ca="1">_xll.DBRW(Server&amp;Cube1,$F$17,$F$18,$F$19,$F$16,$C$14,$F$15,$F$14,$F$20,S$2,$N$1,$C302)</f>
        <v>0</v>
      </c>
      <c r="T302" s="185">
        <f ca="1">_xll.DBRW(Server&amp;Cube1,$F$17,$F$18,$F$19,$F$16,$C$14,$F$15,$F$14,$F$20,T$2,$N$1,$C302)</f>
        <v>0</v>
      </c>
      <c r="U302" s="185">
        <f ca="1">_xll.DBRW(Server&amp;Cube1,$F$17,$F$18,$F$19,$F$16,$C$14,$F$15,$F$14,$F$20,U$2,$N$1,$C302)</f>
        <v>0</v>
      </c>
      <c r="V302" s="185">
        <f ca="1">_xll.DBRW(Server&amp;Cube1,$F$17,$F$18,$F$19,$F$16,$C$14,$F$15,$F$14,$F$20,V$2,$N$1,$C302)</f>
        <v>0</v>
      </c>
      <c r="W302" s="185">
        <f ca="1">_xll.DBRW(Server&amp;Cube1,$F$17,$F$18,$F$19,$F$16,$C$14,$F$15,$F$14,$F$20,W$2,$N$1,$C302)</f>
        <v>0</v>
      </c>
      <c r="X302" s="185">
        <f ca="1">_xll.DBRW(Server&amp;Cube1,$F$17,$F$18,$F$19,$F$16,$C$14,$F$15,$F$14,$F$20,X$2,$N$1,$C302)</f>
        <v>0</v>
      </c>
      <c r="Y302" s="185">
        <f ca="1">_xll.DBRW(Server&amp;Cube1,$F$17,$F$18,$F$19,$F$16,$C$14,$F$15,$F$14,$F$20,Y$2,$N$1,$C302)</f>
        <v>0</v>
      </c>
      <c r="Z302" s="185">
        <f ca="1">_xll.DBRW(Server&amp;Cube1,$F$17,$F$18,$F$19,$F$16,$C$14,$F$15,$F$14,$F$20,Z$2,$N$1,$C302)</f>
        <v>0</v>
      </c>
      <c r="AA302" s="53"/>
      <c r="AB302" s="53"/>
      <c r="AC302" s="53"/>
      <c r="AD302" s="53"/>
      <c r="AE302" s="53"/>
      <c r="AF302" s="53"/>
      <c r="AG302" s="53"/>
      <c r="AH302" s="53"/>
      <c r="AI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</row>
    <row r="303" spans="1:47" s="9" customFormat="1" ht="24" customHeight="1" x14ac:dyDescent="0.35">
      <c r="A303" s="175">
        <f t="shared" ca="1" si="5"/>
        <v>1</v>
      </c>
      <c r="B303" s="139" t="str">
        <f t="shared" si="4"/>
        <v>IA</v>
      </c>
      <c r="C303" s="137" t="s">
        <v>367</v>
      </c>
      <c r="E303" s="219" t="str">
        <f ca="1">_xll.DBRA(Server&amp;$C$24,$C303,$F$21)</f>
        <v>Coûts bureautique, téléphonie (AI)</v>
      </c>
      <c r="F303" s="219"/>
      <c r="G303" s="219"/>
      <c r="H303" s="40"/>
      <c r="I303" s="192">
        <f ca="1">_xll.DBRW(Server&amp;Cube1,$F$17,$F$18,$F$19,$F$16,$C$14,$F$15,$F$14,$F$20,I$2,I$1,$C303)</f>
        <v>0</v>
      </c>
      <c r="J303" s="192">
        <f ca="1">_xll.DBRW(Server&amp;Cube1,$F$17,$F$18,$F$19,$F$16,$C$14,$F$15,$F$14,$F$20,J$2,J$1,$C303)</f>
        <v>0</v>
      </c>
      <c r="K303" s="183"/>
      <c r="L303" s="185">
        <f ca="1">_xll.DBRW(Server&amp;Cube1,$F$17,$F$18,$F$19,$F$16,$C$14,$F$15,$F$14,$F$20,L$2,L$1,$C303)</f>
        <v>0</v>
      </c>
      <c r="M303" s="184"/>
      <c r="N303" s="185">
        <f ca="1">_xll.DBRW(Server&amp;Cube1,$F$17,$F$18,$F$19,$F$16,$C$14,$F$15,$F$14,$F$20,N$2,$N$1,$C303)</f>
        <v>0</v>
      </c>
      <c r="O303" s="185">
        <f ca="1">_xll.DBRW(Server&amp;Cube1,$F$17,$F$18,$F$19,$F$16,$C$14,$F$15,$F$14,$F$20,O$2,$N$1,$C303)</f>
        <v>0</v>
      </c>
      <c r="P303" s="185">
        <f ca="1">_xll.DBRW(Server&amp;Cube1,$F$17,$F$18,$F$19,$F$16,$C$14,$F$15,$F$14,$F$20,P$2,$N$1,$C303)</f>
        <v>0</v>
      </c>
      <c r="Q303" s="185">
        <f ca="1">_xll.DBRW(Server&amp;Cube1,$F$17,$F$18,$F$19,$F$16,$C$14,$F$15,$F$14,$F$20,Q$2,$N$1,$C303)</f>
        <v>0</v>
      </c>
      <c r="R303" s="185">
        <f ca="1">_xll.DBRW(Server&amp;Cube1,$F$17,$F$18,$F$19,$F$16,$C$14,$F$15,$F$14,$F$20,R$2,$N$1,$C303)</f>
        <v>0</v>
      </c>
      <c r="S303" s="185">
        <f ca="1">_xll.DBRW(Server&amp;Cube1,$F$17,$F$18,$F$19,$F$16,$C$14,$F$15,$F$14,$F$20,S$2,$N$1,$C303)</f>
        <v>0</v>
      </c>
      <c r="T303" s="185">
        <f ca="1">_xll.DBRW(Server&amp;Cube1,$F$17,$F$18,$F$19,$F$16,$C$14,$F$15,$F$14,$F$20,T$2,$N$1,$C303)</f>
        <v>0</v>
      </c>
      <c r="U303" s="185">
        <f ca="1">_xll.DBRW(Server&amp;Cube1,$F$17,$F$18,$F$19,$F$16,$C$14,$F$15,$F$14,$F$20,U$2,$N$1,$C303)</f>
        <v>0</v>
      </c>
      <c r="V303" s="185">
        <f ca="1">_xll.DBRW(Server&amp;Cube1,$F$17,$F$18,$F$19,$F$16,$C$14,$F$15,$F$14,$F$20,V$2,$N$1,$C303)</f>
        <v>0</v>
      </c>
      <c r="W303" s="185">
        <f ca="1">_xll.DBRW(Server&amp;Cube1,$F$17,$F$18,$F$19,$F$16,$C$14,$F$15,$F$14,$F$20,W$2,$N$1,$C303)</f>
        <v>0</v>
      </c>
      <c r="X303" s="185">
        <f ca="1">_xll.DBRW(Server&amp;Cube1,$F$17,$F$18,$F$19,$F$16,$C$14,$F$15,$F$14,$F$20,X$2,$N$1,$C303)</f>
        <v>0</v>
      </c>
      <c r="Y303" s="185">
        <f ca="1">_xll.DBRW(Server&amp;Cube1,$F$17,$F$18,$F$19,$F$16,$C$14,$F$15,$F$14,$F$20,Y$2,$N$1,$C303)</f>
        <v>0</v>
      </c>
      <c r="Z303" s="185">
        <f ca="1">_xll.DBRW(Server&amp;Cube1,$F$17,$F$18,$F$19,$F$16,$C$14,$F$15,$F$14,$F$20,Z$2,$N$1,$C303)</f>
        <v>0</v>
      </c>
      <c r="AA303" s="53"/>
      <c r="AB303" s="53"/>
      <c r="AC303" s="53"/>
      <c r="AD303" s="53"/>
      <c r="AE303" s="53"/>
      <c r="AF303" s="53"/>
      <c r="AG303" s="53"/>
      <c r="AH303" s="53"/>
      <c r="AI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</row>
    <row r="304" spans="1:47" s="9" customFormat="1" ht="24" customHeight="1" x14ac:dyDescent="0.35">
      <c r="A304" s="175">
        <f t="shared" ca="1" si="5"/>
        <v>1</v>
      </c>
      <c r="B304" s="139" t="str">
        <f t="shared" si="4"/>
        <v>LE</v>
      </c>
      <c r="C304" s="137" t="s">
        <v>368</v>
      </c>
      <c r="E304" s="219" t="str">
        <f ca="1">_xll.DBRA(Server&amp;$C$24,$C304,$F$21)</f>
        <v>Coûts bureautique, téléphonie (JU)</v>
      </c>
      <c r="F304" s="219"/>
      <c r="G304" s="219"/>
      <c r="H304" s="40"/>
      <c r="I304" s="192">
        <f ca="1">_xll.DBRW(Server&amp;Cube1,$F$17,$F$18,$F$19,$F$16,$C$14,$F$15,$F$14,$F$20,I$2,I$1,$C304)</f>
        <v>0</v>
      </c>
      <c r="J304" s="192">
        <f ca="1">_xll.DBRW(Server&amp;Cube1,$F$17,$F$18,$F$19,$F$16,$C$14,$F$15,$F$14,$F$20,J$2,J$1,$C304)</f>
        <v>0</v>
      </c>
      <c r="K304" s="183"/>
      <c r="L304" s="185">
        <f ca="1">_xll.DBRW(Server&amp;Cube1,$F$17,$F$18,$F$19,$F$16,$C$14,$F$15,$F$14,$F$20,L$2,L$1,$C304)</f>
        <v>0</v>
      </c>
      <c r="M304" s="184"/>
      <c r="N304" s="185">
        <f ca="1">_xll.DBRW(Server&amp;Cube1,$F$17,$F$18,$F$19,$F$16,$C$14,$F$15,$F$14,$F$20,N$2,$N$1,$C304)</f>
        <v>0</v>
      </c>
      <c r="O304" s="185">
        <f ca="1">_xll.DBRW(Server&amp;Cube1,$F$17,$F$18,$F$19,$F$16,$C$14,$F$15,$F$14,$F$20,O$2,$N$1,$C304)</f>
        <v>0</v>
      </c>
      <c r="P304" s="185">
        <f ca="1">_xll.DBRW(Server&amp;Cube1,$F$17,$F$18,$F$19,$F$16,$C$14,$F$15,$F$14,$F$20,P$2,$N$1,$C304)</f>
        <v>0</v>
      </c>
      <c r="Q304" s="185">
        <f ca="1">_xll.DBRW(Server&amp;Cube1,$F$17,$F$18,$F$19,$F$16,$C$14,$F$15,$F$14,$F$20,Q$2,$N$1,$C304)</f>
        <v>0</v>
      </c>
      <c r="R304" s="185">
        <f ca="1">_xll.DBRW(Server&amp;Cube1,$F$17,$F$18,$F$19,$F$16,$C$14,$F$15,$F$14,$F$20,R$2,$N$1,$C304)</f>
        <v>0</v>
      </c>
      <c r="S304" s="185">
        <f ca="1">_xll.DBRW(Server&amp;Cube1,$F$17,$F$18,$F$19,$F$16,$C$14,$F$15,$F$14,$F$20,S$2,$N$1,$C304)</f>
        <v>0</v>
      </c>
      <c r="T304" s="185">
        <f ca="1">_xll.DBRW(Server&amp;Cube1,$F$17,$F$18,$F$19,$F$16,$C$14,$F$15,$F$14,$F$20,T$2,$N$1,$C304)</f>
        <v>0</v>
      </c>
      <c r="U304" s="185">
        <f ca="1">_xll.DBRW(Server&amp;Cube1,$F$17,$F$18,$F$19,$F$16,$C$14,$F$15,$F$14,$F$20,U$2,$N$1,$C304)</f>
        <v>0</v>
      </c>
      <c r="V304" s="185">
        <f ca="1">_xll.DBRW(Server&amp;Cube1,$F$17,$F$18,$F$19,$F$16,$C$14,$F$15,$F$14,$F$20,V$2,$N$1,$C304)</f>
        <v>0</v>
      </c>
      <c r="W304" s="185">
        <f ca="1">_xll.DBRW(Server&amp;Cube1,$F$17,$F$18,$F$19,$F$16,$C$14,$F$15,$F$14,$F$20,W$2,$N$1,$C304)</f>
        <v>0</v>
      </c>
      <c r="X304" s="185">
        <f ca="1">_xll.DBRW(Server&amp;Cube1,$F$17,$F$18,$F$19,$F$16,$C$14,$F$15,$F$14,$F$20,X$2,$N$1,$C304)</f>
        <v>0</v>
      </c>
      <c r="Y304" s="185">
        <f ca="1">_xll.DBRW(Server&amp;Cube1,$F$17,$F$18,$F$19,$F$16,$C$14,$F$15,$F$14,$F$20,Y$2,$N$1,$C304)</f>
        <v>0</v>
      </c>
      <c r="Z304" s="185">
        <f ca="1">_xll.DBRW(Server&amp;Cube1,$F$17,$F$18,$F$19,$F$16,$C$14,$F$15,$F$14,$F$20,Z$2,$N$1,$C304)</f>
        <v>0</v>
      </c>
      <c r="AA304" s="53"/>
      <c r="AB304" s="53"/>
      <c r="AC304" s="53"/>
      <c r="AD304" s="53"/>
      <c r="AE304" s="53"/>
      <c r="AF304" s="53"/>
      <c r="AG304" s="53"/>
      <c r="AH304" s="53"/>
      <c r="AI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</row>
    <row r="305" spans="1:47" s="9" customFormat="1" ht="24" customHeight="1" x14ac:dyDescent="0.35">
      <c r="A305" s="175">
        <f t="shared" ca="1" si="5"/>
        <v>1</v>
      </c>
      <c r="B305" s="139" t="str">
        <f t="shared" si="4"/>
        <v>RM</v>
      </c>
      <c r="C305" s="137" t="s">
        <v>369</v>
      </c>
      <c r="E305" s="219" t="str">
        <f ca="1">_xll.DBRA(Server&amp;$C$24,$C305,$F$21)</f>
        <v>Coûts bureautique, téléphonie (GR)</v>
      </c>
      <c r="F305" s="219"/>
      <c r="G305" s="219"/>
      <c r="H305" s="40"/>
      <c r="I305" s="192">
        <f ca="1">_xll.DBRW(Server&amp;Cube1,$F$17,$F$18,$F$19,$F$16,$C$14,$F$15,$F$14,$F$20,I$2,I$1,$C305)</f>
        <v>0</v>
      </c>
      <c r="J305" s="192">
        <f ca="1">_xll.DBRW(Server&amp;Cube1,$F$17,$F$18,$F$19,$F$16,$C$14,$F$15,$F$14,$F$20,J$2,J$1,$C305)</f>
        <v>0</v>
      </c>
      <c r="K305" s="183"/>
      <c r="L305" s="185">
        <f ca="1">_xll.DBRW(Server&amp;Cube1,$F$17,$F$18,$F$19,$F$16,$C$14,$F$15,$F$14,$F$20,L$2,L$1,$C305)</f>
        <v>0</v>
      </c>
      <c r="M305" s="184"/>
      <c r="N305" s="185">
        <f ca="1">_xll.DBRW(Server&amp;Cube1,$F$17,$F$18,$F$19,$F$16,$C$14,$F$15,$F$14,$F$20,N$2,$N$1,$C305)</f>
        <v>0</v>
      </c>
      <c r="O305" s="185">
        <f ca="1">_xll.DBRW(Server&amp;Cube1,$F$17,$F$18,$F$19,$F$16,$C$14,$F$15,$F$14,$F$20,O$2,$N$1,$C305)</f>
        <v>0</v>
      </c>
      <c r="P305" s="185">
        <f ca="1">_xll.DBRW(Server&amp;Cube1,$F$17,$F$18,$F$19,$F$16,$C$14,$F$15,$F$14,$F$20,P$2,$N$1,$C305)</f>
        <v>0</v>
      </c>
      <c r="Q305" s="185">
        <f ca="1">_xll.DBRW(Server&amp;Cube1,$F$17,$F$18,$F$19,$F$16,$C$14,$F$15,$F$14,$F$20,Q$2,$N$1,$C305)</f>
        <v>0</v>
      </c>
      <c r="R305" s="185">
        <f ca="1">_xll.DBRW(Server&amp;Cube1,$F$17,$F$18,$F$19,$F$16,$C$14,$F$15,$F$14,$F$20,R$2,$N$1,$C305)</f>
        <v>0</v>
      </c>
      <c r="S305" s="185">
        <f ca="1">_xll.DBRW(Server&amp;Cube1,$F$17,$F$18,$F$19,$F$16,$C$14,$F$15,$F$14,$F$20,S$2,$N$1,$C305)</f>
        <v>0</v>
      </c>
      <c r="T305" s="185">
        <f ca="1">_xll.DBRW(Server&amp;Cube1,$F$17,$F$18,$F$19,$F$16,$C$14,$F$15,$F$14,$F$20,T$2,$N$1,$C305)</f>
        <v>0</v>
      </c>
      <c r="U305" s="185">
        <f ca="1">_xll.DBRW(Server&amp;Cube1,$F$17,$F$18,$F$19,$F$16,$C$14,$F$15,$F$14,$F$20,U$2,$N$1,$C305)</f>
        <v>0</v>
      </c>
      <c r="V305" s="185">
        <f ca="1">_xll.DBRW(Server&amp;Cube1,$F$17,$F$18,$F$19,$F$16,$C$14,$F$15,$F$14,$F$20,V$2,$N$1,$C305)</f>
        <v>0</v>
      </c>
      <c r="W305" s="185">
        <f ca="1">_xll.DBRW(Server&amp;Cube1,$F$17,$F$18,$F$19,$F$16,$C$14,$F$15,$F$14,$F$20,W$2,$N$1,$C305)</f>
        <v>0</v>
      </c>
      <c r="X305" s="185">
        <f ca="1">_xll.DBRW(Server&amp;Cube1,$F$17,$F$18,$F$19,$F$16,$C$14,$F$15,$F$14,$F$20,X$2,$N$1,$C305)</f>
        <v>0</v>
      </c>
      <c r="Y305" s="185">
        <f ca="1">_xll.DBRW(Server&amp;Cube1,$F$17,$F$18,$F$19,$F$16,$C$14,$F$15,$F$14,$F$20,Y$2,$N$1,$C305)</f>
        <v>0</v>
      </c>
      <c r="Z305" s="185">
        <f ca="1">_xll.DBRW(Server&amp;Cube1,$F$17,$F$18,$F$19,$F$16,$C$14,$F$15,$F$14,$F$20,Z$2,$N$1,$C305)</f>
        <v>0</v>
      </c>
      <c r="AA305" s="53"/>
      <c r="AB305" s="53"/>
      <c r="AC305" s="53"/>
      <c r="AD305" s="53"/>
      <c r="AE305" s="53"/>
      <c r="AF305" s="53"/>
      <c r="AG305" s="53"/>
      <c r="AH305" s="53"/>
      <c r="AI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</row>
    <row r="306" spans="1:47" s="9" customFormat="1" ht="24" customHeight="1" x14ac:dyDescent="0.35">
      <c r="A306" s="175">
        <f t="shared" ca="1" si="5"/>
        <v>1</v>
      </c>
      <c r="B306" s="139" t="str">
        <f t="shared" si="4"/>
        <v>PU</v>
      </c>
      <c r="C306" s="137" t="s">
        <v>370</v>
      </c>
      <c r="E306" s="219" t="str">
        <f ca="1">_xll.DBRA(Server&amp;$C$24,$C306,$F$21)</f>
        <v>Coûts bureautique, téléphonie (AC)</v>
      </c>
      <c r="F306" s="219"/>
      <c r="G306" s="219"/>
      <c r="H306" s="40"/>
      <c r="I306" s="192">
        <f ca="1">_xll.DBRW(Server&amp;Cube1,$F$17,$F$18,$F$19,$F$16,$C$14,$F$15,$F$14,$F$20,I$2,I$1,$C306)</f>
        <v>0</v>
      </c>
      <c r="J306" s="192">
        <f ca="1">_xll.DBRW(Server&amp;Cube1,$F$17,$F$18,$F$19,$F$16,$C$14,$F$15,$F$14,$F$20,J$2,J$1,$C306)</f>
        <v>0</v>
      </c>
      <c r="K306" s="183"/>
      <c r="L306" s="185">
        <f ca="1">_xll.DBRW(Server&amp;Cube1,$F$17,$F$18,$F$19,$F$16,$C$14,$F$15,$F$14,$F$20,L$2,L$1,$C306)</f>
        <v>0</v>
      </c>
      <c r="M306" s="184"/>
      <c r="N306" s="185">
        <f ca="1">_xll.DBRW(Server&amp;Cube1,$F$17,$F$18,$F$19,$F$16,$C$14,$F$15,$F$14,$F$20,N$2,$N$1,$C306)</f>
        <v>0</v>
      </c>
      <c r="O306" s="185">
        <f ca="1">_xll.DBRW(Server&amp;Cube1,$F$17,$F$18,$F$19,$F$16,$C$14,$F$15,$F$14,$F$20,O$2,$N$1,$C306)</f>
        <v>0</v>
      </c>
      <c r="P306" s="185">
        <f ca="1">_xll.DBRW(Server&amp;Cube1,$F$17,$F$18,$F$19,$F$16,$C$14,$F$15,$F$14,$F$20,P$2,$N$1,$C306)</f>
        <v>0</v>
      </c>
      <c r="Q306" s="185">
        <f ca="1">_xll.DBRW(Server&amp;Cube1,$F$17,$F$18,$F$19,$F$16,$C$14,$F$15,$F$14,$F$20,Q$2,$N$1,$C306)</f>
        <v>0</v>
      </c>
      <c r="R306" s="185">
        <f ca="1">_xll.DBRW(Server&amp;Cube1,$F$17,$F$18,$F$19,$F$16,$C$14,$F$15,$F$14,$F$20,R$2,$N$1,$C306)</f>
        <v>0</v>
      </c>
      <c r="S306" s="185">
        <f ca="1">_xll.DBRW(Server&amp;Cube1,$F$17,$F$18,$F$19,$F$16,$C$14,$F$15,$F$14,$F$20,S$2,$N$1,$C306)</f>
        <v>0</v>
      </c>
      <c r="T306" s="185">
        <f ca="1">_xll.DBRW(Server&amp;Cube1,$F$17,$F$18,$F$19,$F$16,$C$14,$F$15,$F$14,$F$20,T$2,$N$1,$C306)</f>
        <v>0</v>
      </c>
      <c r="U306" s="185">
        <f ca="1">_xll.DBRW(Server&amp;Cube1,$F$17,$F$18,$F$19,$F$16,$C$14,$F$15,$F$14,$F$20,U$2,$N$1,$C306)</f>
        <v>0</v>
      </c>
      <c r="V306" s="185">
        <f ca="1">_xll.DBRW(Server&amp;Cube1,$F$17,$F$18,$F$19,$F$16,$C$14,$F$15,$F$14,$F$20,V$2,$N$1,$C306)</f>
        <v>0</v>
      </c>
      <c r="W306" s="185">
        <f ca="1">_xll.DBRW(Server&amp;Cube1,$F$17,$F$18,$F$19,$F$16,$C$14,$F$15,$F$14,$F$20,W$2,$N$1,$C306)</f>
        <v>0</v>
      </c>
      <c r="X306" s="185">
        <f ca="1">_xll.DBRW(Server&amp;Cube1,$F$17,$F$18,$F$19,$F$16,$C$14,$F$15,$F$14,$F$20,X$2,$N$1,$C306)</f>
        <v>0</v>
      </c>
      <c r="Y306" s="185">
        <f ca="1">_xll.DBRW(Server&amp;Cube1,$F$17,$F$18,$F$19,$F$16,$C$14,$F$15,$F$14,$F$20,Y$2,$N$1,$C306)</f>
        <v>0</v>
      </c>
      <c r="Z306" s="185">
        <f ca="1">_xll.DBRW(Server&amp;Cube1,$F$17,$F$18,$F$19,$F$16,$C$14,$F$15,$F$14,$F$20,Z$2,$N$1,$C306)</f>
        <v>0</v>
      </c>
      <c r="AA306" s="53"/>
      <c r="AB306" s="53"/>
      <c r="AC306" s="53"/>
      <c r="AD306" s="53"/>
      <c r="AE306" s="53"/>
      <c r="AF306" s="53"/>
      <c r="AG306" s="53"/>
      <c r="AH306" s="53"/>
      <c r="AI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</row>
    <row r="307" spans="1:47" s="9" customFormat="1" ht="24" customHeight="1" x14ac:dyDescent="0.35">
      <c r="A307" s="175">
        <f t="shared" ca="1" si="5"/>
        <v>1</v>
      </c>
      <c r="B307" s="139" t="str">
        <f t="shared" si="4"/>
        <v>CO</v>
      </c>
      <c r="C307" s="137" t="s">
        <v>371</v>
      </c>
      <c r="E307" s="219" t="str">
        <f ca="1">_xll.DBRA(Server&amp;$C$24,$C307,$F$21)</f>
        <v>Coûts bureautique, téléphonie (CO)</v>
      </c>
      <c r="F307" s="219"/>
      <c r="G307" s="219"/>
      <c r="H307" s="40"/>
      <c r="I307" s="192">
        <f ca="1">_xll.DBRW(Server&amp;Cube1,$F$17,$F$18,$F$19,$F$16,$C$14,$F$15,$F$14,$F$20,I$2,I$1,$C307)</f>
        <v>0</v>
      </c>
      <c r="J307" s="192">
        <f ca="1">_xll.DBRW(Server&amp;Cube1,$F$17,$F$18,$F$19,$F$16,$C$14,$F$15,$F$14,$F$20,J$2,J$1,$C307)</f>
        <v>0</v>
      </c>
      <c r="K307" s="183"/>
      <c r="L307" s="185">
        <f ca="1">_xll.DBRW(Server&amp;Cube1,$F$17,$F$18,$F$19,$F$16,$C$14,$F$15,$F$14,$F$20,L$2,L$1,$C307)</f>
        <v>0</v>
      </c>
      <c r="M307" s="184"/>
      <c r="N307" s="185">
        <f ca="1">_xll.DBRW(Server&amp;Cube1,$F$17,$F$18,$F$19,$F$16,$C$14,$F$15,$F$14,$F$20,N$2,$N$1,$C307)</f>
        <v>0</v>
      </c>
      <c r="O307" s="185">
        <f ca="1">_xll.DBRW(Server&amp;Cube1,$F$17,$F$18,$F$19,$F$16,$C$14,$F$15,$F$14,$F$20,O$2,$N$1,$C307)</f>
        <v>0</v>
      </c>
      <c r="P307" s="185">
        <f ca="1">_xll.DBRW(Server&amp;Cube1,$F$17,$F$18,$F$19,$F$16,$C$14,$F$15,$F$14,$F$20,P$2,$N$1,$C307)</f>
        <v>0</v>
      </c>
      <c r="Q307" s="185">
        <f ca="1">_xll.DBRW(Server&amp;Cube1,$F$17,$F$18,$F$19,$F$16,$C$14,$F$15,$F$14,$F$20,Q$2,$N$1,$C307)</f>
        <v>0</v>
      </c>
      <c r="R307" s="185">
        <f ca="1">_xll.DBRW(Server&amp;Cube1,$F$17,$F$18,$F$19,$F$16,$C$14,$F$15,$F$14,$F$20,R$2,$N$1,$C307)</f>
        <v>0</v>
      </c>
      <c r="S307" s="185">
        <f ca="1">_xll.DBRW(Server&amp;Cube1,$F$17,$F$18,$F$19,$F$16,$C$14,$F$15,$F$14,$F$20,S$2,$N$1,$C307)</f>
        <v>0</v>
      </c>
      <c r="T307" s="185">
        <f ca="1">_xll.DBRW(Server&amp;Cube1,$F$17,$F$18,$F$19,$F$16,$C$14,$F$15,$F$14,$F$20,T$2,$N$1,$C307)</f>
        <v>0</v>
      </c>
      <c r="U307" s="185">
        <f ca="1">_xll.DBRW(Server&amp;Cube1,$F$17,$F$18,$F$19,$F$16,$C$14,$F$15,$F$14,$F$20,U$2,$N$1,$C307)</f>
        <v>0</v>
      </c>
      <c r="V307" s="185">
        <f ca="1">_xll.DBRW(Server&amp;Cube1,$F$17,$F$18,$F$19,$F$16,$C$14,$F$15,$F$14,$F$20,V$2,$N$1,$C307)</f>
        <v>0</v>
      </c>
      <c r="W307" s="185">
        <f ca="1">_xll.DBRW(Server&amp;Cube1,$F$17,$F$18,$F$19,$F$16,$C$14,$F$15,$F$14,$F$20,W$2,$N$1,$C307)</f>
        <v>0</v>
      </c>
      <c r="X307" s="185">
        <f ca="1">_xll.DBRW(Server&amp;Cube1,$F$17,$F$18,$F$19,$F$16,$C$14,$F$15,$F$14,$F$20,X$2,$N$1,$C307)</f>
        <v>0</v>
      </c>
      <c r="Y307" s="185">
        <f ca="1">_xll.DBRW(Server&amp;Cube1,$F$17,$F$18,$F$19,$F$16,$C$14,$F$15,$F$14,$F$20,Y$2,$N$1,$C307)</f>
        <v>0</v>
      </c>
      <c r="Z307" s="185">
        <f ca="1">_xll.DBRW(Server&amp;Cube1,$F$17,$F$18,$F$19,$F$16,$C$14,$F$15,$F$14,$F$20,Z$2,$N$1,$C307)</f>
        <v>0</v>
      </c>
      <c r="AA307" s="53"/>
      <c r="AB307" s="53"/>
      <c r="AC307" s="53"/>
      <c r="AD307" s="53"/>
      <c r="AE307" s="53"/>
      <c r="AF307" s="53"/>
      <c r="AG307" s="53"/>
      <c r="AH307" s="53"/>
      <c r="AI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</row>
    <row r="308" spans="1:47" s="9" customFormat="1" ht="24" customHeight="1" x14ac:dyDescent="0.35">
      <c r="A308" s="175">
        <f t="shared" ca="1" si="5"/>
        <v>1</v>
      </c>
      <c r="B308" s="139" t="str">
        <f t="shared" si="4"/>
        <v>GS</v>
      </c>
      <c r="C308" s="137" t="s">
        <v>372</v>
      </c>
      <c r="E308" s="219" t="str">
        <f ca="1">_xll.DBRA(Server&amp;$C$24,$C308,$F$21)</f>
        <v>Coûts bureautique, téléphonie (SG)</v>
      </c>
      <c r="F308" s="219"/>
      <c r="G308" s="219"/>
      <c r="H308" s="40"/>
      <c r="I308" s="192">
        <f ca="1">_xll.DBRW(Server&amp;Cube1,$F$17,$F$18,$F$19,$F$16,$C$14,$F$15,$F$14,$F$20,I$2,I$1,$C308)</f>
        <v>0</v>
      </c>
      <c r="J308" s="192">
        <f ca="1">_xll.DBRW(Server&amp;Cube1,$F$17,$F$18,$F$19,$F$16,$C$14,$F$15,$F$14,$F$20,J$2,J$1,$C308)</f>
        <v>0</v>
      </c>
      <c r="K308" s="183"/>
      <c r="L308" s="185">
        <f ca="1">_xll.DBRW(Server&amp;Cube1,$F$17,$F$18,$F$19,$F$16,$C$14,$F$15,$F$14,$F$20,L$2,L$1,$C308)</f>
        <v>0</v>
      </c>
      <c r="M308" s="184"/>
      <c r="N308" s="185">
        <f ca="1">_xll.DBRW(Server&amp;Cube1,$F$17,$F$18,$F$19,$F$16,$C$14,$F$15,$F$14,$F$20,N$2,$N$1,$C308)</f>
        <v>0</v>
      </c>
      <c r="O308" s="185">
        <f ca="1">_xll.DBRW(Server&amp;Cube1,$F$17,$F$18,$F$19,$F$16,$C$14,$F$15,$F$14,$F$20,O$2,$N$1,$C308)</f>
        <v>0</v>
      </c>
      <c r="P308" s="185">
        <f ca="1">_xll.DBRW(Server&amp;Cube1,$F$17,$F$18,$F$19,$F$16,$C$14,$F$15,$F$14,$F$20,P$2,$N$1,$C308)</f>
        <v>0</v>
      </c>
      <c r="Q308" s="185">
        <f ca="1">_xll.DBRW(Server&amp;Cube1,$F$17,$F$18,$F$19,$F$16,$C$14,$F$15,$F$14,$F$20,Q$2,$N$1,$C308)</f>
        <v>0</v>
      </c>
      <c r="R308" s="185">
        <f ca="1">_xll.DBRW(Server&amp;Cube1,$F$17,$F$18,$F$19,$F$16,$C$14,$F$15,$F$14,$F$20,R$2,$N$1,$C308)</f>
        <v>0</v>
      </c>
      <c r="S308" s="185">
        <f ca="1">_xll.DBRW(Server&amp;Cube1,$F$17,$F$18,$F$19,$F$16,$C$14,$F$15,$F$14,$F$20,S$2,$N$1,$C308)</f>
        <v>0</v>
      </c>
      <c r="T308" s="185">
        <f ca="1">_xll.DBRW(Server&amp;Cube1,$F$17,$F$18,$F$19,$F$16,$C$14,$F$15,$F$14,$F$20,T$2,$N$1,$C308)</f>
        <v>0</v>
      </c>
      <c r="U308" s="185">
        <f ca="1">_xll.DBRW(Server&amp;Cube1,$F$17,$F$18,$F$19,$F$16,$C$14,$F$15,$F$14,$F$20,U$2,$N$1,$C308)</f>
        <v>0</v>
      </c>
      <c r="V308" s="185">
        <f ca="1">_xll.DBRW(Server&amp;Cube1,$F$17,$F$18,$F$19,$F$16,$C$14,$F$15,$F$14,$F$20,V$2,$N$1,$C308)</f>
        <v>0</v>
      </c>
      <c r="W308" s="185">
        <f ca="1">_xll.DBRW(Server&amp;Cube1,$F$17,$F$18,$F$19,$F$16,$C$14,$F$15,$F$14,$F$20,W$2,$N$1,$C308)</f>
        <v>0</v>
      </c>
      <c r="X308" s="185">
        <f ca="1">_xll.DBRW(Server&amp;Cube1,$F$17,$F$18,$F$19,$F$16,$C$14,$F$15,$F$14,$F$20,X$2,$N$1,$C308)</f>
        <v>0</v>
      </c>
      <c r="Y308" s="185">
        <f ca="1">_xll.DBRW(Server&amp;Cube1,$F$17,$F$18,$F$19,$F$16,$C$14,$F$15,$F$14,$F$20,Y$2,$N$1,$C308)</f>
        <v>0</v>
      </c>
      <c r="Z308" s="185">
        <f ca="1">_xll.DBRW(Server&amp;Cube1,$F$17,$F$18,$F$19,$F$16,$C$14,$F$15,$F$14,$F$20,Z$2,$N$1,$C308)</f>
        <v>0</v>
      </c>
      <c r="AA308" s="53"/>
      <c r="AB308" s="53"/>
      <c r="AC308" s="53"/>
      <c r="AD308" s="53"/>
      <c r="AE308" s="53"/>
      <c r="AF308" s="53"/>
      <c r="AG308" s="53"/>
      <c r="AH308" s="53"/>
      <c r="AI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</row>
    <row r="309" spans="1:47" s="9" customFormat="1" ht="24" customHeight="1" x14ac:dyDescent="0.35">
      <c r="A309" s="175">
        <f t="shared" ca="1" si="5"/>
        <v>1</v>
      </c>
      <c r="B309" s="139" t="str">
        <f t="shared" si="4"/>
        <v>RD</v>
      </c>
      <c r="C309" s="137" t="s">
        <v>373</v>
      </c>
      <c r="E309" s="219" t="str">
        <f ca="1">_xll.DBRA(Server&amp;$C$24,$C309,$F$21)</f>
        <v>Coûts bureautique, téléphonie (RD)</v>
      </c>
      <c r="F309" s="219"/>
      <c r="G309" s="219"/>
      <c r="H309" s="40"/>
      <c r="I309" s="192">
        <f ca="1">_xll.DBRW(Server&amp;Cube1,$F$17,$F$18,$F$19,$F$16,$C$14,$F$15,$F$14,$F$20,I$2,I$1,$C309)</f>
        <v>0</v>
      </c>
      <c r="J309" s="192">
        <f ca="1">_xll.DBRW(Server&amp;Cube1,$F$17,$F$18,$F$19,$F$16,$C$14,$F$15,$F$14,$F$20,J$2,J$1,$C309)</f>
        <v>0</v>
      </c>
      <c r="K309" s="183"/>
      <c r="L309" s="185">
        <f ca="1">_xll.DBRW(Server&amp;Cube1,$F$17,$F$18,$F$19,$F$16,$C$14,$F$15,$F$14,$F$20,L$2,L$1,$C309)</f>
        <v>0</v>
      </c>
      <c r="M309" s="184"/>
      <c r="N309" s="185">
        <f ca="1">_xll.DBRW(Server&amp;Cube1,$F$17,$F$18,$F$19,$F$16,$C$14,$F$15,$F$14,$F$20,N$2,$N$1,$C309)</f>
        <v>0</v>
      </c>
      <c r="O309" s="185">
        <f ca="1">_xll.DBRW(Server&amp;Cube1,$F$17,$F$18,$F$19,$F$16,$C$14,$F$15,$F$14,$F$20,O$2,$N$1,$C309)</f>
        <v>0</v>
      </c>
      <c r="P309" s="185">
        <f ca="1">_xll.DBRW(Server&amp;Cube1,$F$17,$F$18,$F$19,$F$16,$C$14,$F$15,$F$14,$F$20,P$2,$N$1,$C309)</f>
        <v>0</v>
      </c>
      <c r="Q309" s="185">
        <f ca="1">_xll.DBRW(Server&amp;Cube1,$F$17,$F$18,$F$19,$F$16,$C$14,$F$15,$F$14,$F$20,Q$2,$N$1,$C309)</f>
        <v>0</v>
      </c>
      <c r="R309" s="185">
        <f ca="1">_xll.DBRW(Server&amp;Cube1,$F$17,$F$18,$F$19,$F$16,$C$14,$F$15,$F$14,$F$20,R$2,$N$1,$C309)</f>
        <v>0</v>
      </c>
      <c r="S309" s="185">
        <f ca="1">_xll.DBRW(Server&amp;Cube1,$F$17,$F$18,$F$19,$F$16,$C$14,$F$15,$F$14,$F$20,S$2,$N$1,$C309)</f>
        <v>0</v>
      </c>
      <c r="T309" s="185">
        <f ca="1">_xll.DBRW(Server&amp;Cube1,$F$17,$F$18,$F$19,$F$16,$C$14,$F$15,$F$14,$F$20,T$2,$N$1,$C309)</f>
        <v>0</v>
      </c>
      <c r="U309" s="185">
        <f ca="1">_xll.DBRW(Server&amp;Cube1,$F$17,$F$18,$F$19,$F$16,$C$14,$F$15,$F$14,$F$20,U$2,$N$1,$C309)</f>
        <v>0</v>
      </c>
      <c r="V309" s="185">
        <f ca="1">_xll.DBRW(Server&amp;Cube1,$F$17,$F$18,$F$19,$F$16,$C$14,$F$15,$F$14,$F$20,V$2,$N$1,$C309)</f>
        <v>0</v>
      </c>
      <c r="W309" s="185">
        <f ca="1">_xll.DBRW(Server&amp;Cube1,$F$17,$F$18,$F$19,$F$16,$C$14,$F$15,$F$14,$F$20,W$2,$N$1,$C309)</f>
        <v>0</v>
      </c>
      <c r="X309" s="185">
        <f ca="1">_xll.DBRW(Server&amp;Cube1,$F$17,$F$18,$F$19,$F$16,$C$14,$F$15,$F$14,$F$20,X$2,$N$1,$C309)</f>
        <v>0</v>
      </c>
      <c r="Y309" s="185">
        <f ca="1">_xll.DBRW(Server&amp;Cube1,$F$17,$F$18,$F$19,$F$16,$C$14,$F$15,$F$14,$F$20,Y$2,$N$1,$C309)</f>
        <v>0</v>
      </c>
      <c r="Z309" s="185">
        <f ca="1">_xll.DBRW(Server&amp;Cube1,$F$17,$F$18,$F$19,$F$16,$C$14,$F$15,$F$14,$F$20,Z$2,$N$1,$C309)</f>
        <v>0</v>
      </c>
      <c r="AA309" s="53"/>
      <c r="AB309" s="53"/>
      <c r="AC309" s="53"/>
      <c r="AD309" s="53"/>
      <c r="AE309" s="53"/>
      <c r="AF309" s="53"/>
      <c r="AG309" s="53"/>
      <c r="AH309" s="53"/>
      <c r="AI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</row>
    <row r="310" spans="1:47" s="9" customFormat="1" ht="24" customHeight="1" x14ac:dyDescent="0.35">
      <c r="A310" s="157">
        <f ca="1">IF($AN$35="YES",1,IF(_xll.ELCOMPN(Server&amp;$C$24,C310)&lt;&gt;0,1,IF(OR(B310=$AT$35,B310="ALL"),1,0)))</f>
        <v>1</v>
      </c>
      <c r="B310" s="139" t="str">
        <f t="shared" si="4"/>
        <v>ba</v>
      </c>
      <c r="C310" s="111" t="s">
        <v>116</v>
      </c>
      <c r="E310" s="221" t="str">
        <f ca="1">_xll.DBRA(Server&amp;$C$24,$C310,$F$21)</f>
        <v>Location Bâtiment</v>
      </c>
      <c r="F310" s="221"/>
      <c r="G310" s="221"/>
      <c r="H310" s="40"/>
      <c r="I310" s="192">
        <f ca="1">_xll.DBRW(Server&amp;Cube1,$F$17,$F$18,$F$19,$F$16,$C$14,$F$15,$F$14,$F$20,I$2,I$1,$C310)</f>
        <v>0</v>
      </c>
      <c r="J310" s="192">
        <f ca="1">_xll.DBRW(Server&amp;Cube1,$F$17,$F$18,$F$19,$F$16,$C$14,$F$15,$F$14,$F$20,J$2,J$1,$C310)</f>
        <v>0</v>
      </c>
      <c r="K310" s="183"/>
      <c r="L310" s="181">
        <f ca="1">_xll.DBRW(Server&amp;Cube1,$F$17,$F$18,$F$19,$F$16,$C$14,$F$15,$F$14,$F$20,L$2,L$1,$C310)</f>
        <v>0</v>
      </c>
      <c r="M310" s="181"/>
      <c r="N310" s="181">
        <f ca="1">_xll.DBRW(Server&amp;Cube1,$F$17,$F$18,$F$19,$F$16,$C$14,$F$15,$F$14,$F$20,N$2,$N$1,$C310)</f>
        <v>0</v>
      </c>
      <c r="O310" s="181">
        <f ca="1">_xll.DBRW(Server&amp;Cube1,$F$17,$F$18,$F$19,$F$16,$C$14,$F$15,$F$14,$F$20,O$2,$N$1,$C310)</f>
        <v>0</v>
      </c>
      <c r="P310" s="181">
        <f ca="1">_xll.DBRW(Server&amp;Cube1,$F$17,$F$18,$F$19,$F$16,$C$14,$F$15,$F$14,$F$20,P$2,$N$1,$C310)</f>
        <v>0</v>
      </c>
      <c r="Q310" s="181">
        <f ca="1">_xll.DBRW(Server&amp;Cube1,$F$17,$F$18,$F$19,$F$16,$C$14,$F$15,$F$14,$F$20,Q$2,$N$1,$C310)</f>
        <v>0</v>
      </c>
      <c r="R310" s="181">
        <f ca="1">_xll.DBRW(Server&amp;Cube1,$F$17,$F$18,$F$19,$F$16,$C$14,$F$15,$F$14,$F$20,R$2,$N$1,$C310)</f>
        <v>0</v>
      </c>
      <c r="S310" s="181">
        <f ca="1">_xll.DBRW(Server&amp;Cube1,$F$17,$F$18,$F$19,$F$16,$C$14,$F$15,$F$14,$F$20,S$2,$N$1,$C310)</f>
        <v>0</v>
      </c>
      <c r="T310" s="181">
        <f ca="1">_xll.DBRW(Server&amp;Cube1,$F$17,$F$18,$F$19,$F$16,$C$14,$F$15,$F$14,$F$20,T$2,$N$1,$C310)</f>
        <v>0</v>
      </c>
      <c r="U310" s="181">
        <f ca="1">_xll.DBRW(Server&amp;Cube1,$F$17,$F$18,$F$19,$F$16,$C$14,$F$15,$F$14,$F$20,U$2,$N$1,$C310)</f>
        <v>0</v>
      </c>
      <c r="V310" s="181">
        <f ca="1">_xll.DBRW(Server&amp;Cube1,$F$17,$F$18,$F$19,$F$16,$C$14,$F$15,$F$14,$F$20,V$2,$N$1,$C310)</f>
        <v>0</v>
      </c>
      <c r="W310" s="181">
        <f ca="1">_xll.DBRW(Server&amp;Cube1,$F$17,$F$18,$F$19,$F$16,$C$14,$F$15,$F$14,$F$20,W$2,$N$1,$C310)</f>
        <v>0</v>
      </c>
      <c r="X310" s="181">
        <f ca="1">_xll.DBRW(Server&amp;Cube1,$F$17,$F$18,$F$19,$F$16,$C$14,$F$15,$F$14,$F$20,X$2,$N$1,$C310)</f>
        <v>0</v>
      </c>
      <c r="Y310" s="181">
        <f ca="1">_xll.DBRW(Server&amp;Cube1,$F$17,$F$18,$F$19,$F$16,$C$14,$F$15,$F$14,$F$20,Y$2,$N$1,$C310)</f>
        <v>0</v>
      </c>
      <c r="Z310" s="181">
        <f ca="1">_xll.DBRW(Server&amp;Cube1,$F$17,$F$18,$F$19,$F$16,$C$14,$F$15,$F$14,$F$20,Z$2,$N$1,$C310)</f>
        <v>0</v>
      </c>
      <c r="AA310" s="53"/>
      <c r="AB310" s="53"/>
      <c r="AC310" s="53"/>
      <c r="AD310" s="53"/>
      <c r="AE310" s="53"/>
      <c r="AF310" s="53"/>
      <c r="AG310" s="53"/>
      <c r="AH310" s="53"/>
      <c r="AI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</row>
    <row r="311" spans="1:47" s="9" customFormat="1" ht="24" customHeight="1" x14ac:dyDescent="0.35">
      <c r="A311" s="175">
        <f t="shared" ref="A311:A323" ca="1" si="6">IF($AN$35="YES",1,IF(AND($C$16="5000",$B311="GS"),1,IF(AND($C$16="5010",$B311="GS"),1,IF(AND($C$16="5020",$B311="GS"),1,0))))</f>
        <v>1</v>
      </c>
      <c r="B311" s="139" t="str">
        <f t="shared" si="4"/>
        <v>DS</v>
      </c>
      <c r="C311" s="137" t="s">
        <v>374</v>
      </c>
      <c r="E311" s="219" t="str">
        <f ca="1">_xll.DBRA(Server&amp;$C$24,$C311,$F$21)</f>
        <v>Location Bâtiment (SO)</v>
      </c>
      <c r="F311" s="219"/>
      <c r="G311" s="219"/>
      <c r="H311" s="40"/>
      <c r="I311" s="192">
        <f ca="1">_xll.DBRW(Server&amp;Cube1,$F$17,$F$18,$F$19,$F$16,$C$14,$F$15,$F$14,$F$20,I$2,I$1,$C311)</f>
        <v>0</v>
      </c>
      <c r="J311" s="192">
        <f ca="1">_xll.DBRW(Server&amp;Cube1,$F$17,$F$18,$F$19,$F$16,$C$14,$F$15,$F$14,$F$20,J$2,J$1,$C311)</f>
        <v>0</v>
      </c>
      <c r="K311" s="183"/>
      <c r="L311" s="185">
        <f ca="1">_xll.DBRW(Server&amp;Cube1,$F$17,$F$18,$F$19,$F$16,$C$14,$F$15,$F$14,$F$20,L$2,L$1,$C311)</f>
        <v>0</v>
      </c>
      <c r="M311" s="184"/>
      <c r="N311" s="185">
        <f ca="1">_xll.DBRW(Server&amp;Cube1,$F$17,$F$18,$F$19,$F$16,$C$14,$F$15,$F$14,$F$20,N$2,$N$1,$C311)</f>
        <v>0</v>
      </c>
      <c r="O311" s="185">
        <f ca="1">_xll.DBRW(Server&amp;Cube1,$F$17,$F$18,$F$19,$F$16,$C$14,$F$15,$F$14,$F$20,O$2,$N$1,$C311)</f>
        <v>0</v>
      </c>
      <c r="P311" s="185">
        <f ca="1">_xll.DBRW(Server&amp;Cube1,$F$17,$F$18,$F$19,$F$16,$C$14,$F$15,$F$14,$F$20,P$2,$N$1,$C311)</f>
        <v>0</v>
      </c>
      <c r="Q311" s="185">
        <f ca="1">_xll.DBRW(Server&amp;Cube1,$F$17,$F$18,$F$19,$F$16,$C$14,$F$15,$F$14,$F$20,Q$2,$N$1,$C311)</f>
        <v>0</v>
      </c>
      <c r="R311" s="185">
        <f ca="1">_xll.DBRW(Server&amp;Cube1,$F$17,$F$18,$F$19,$F$16,$C$14,$F$15,$F$14,$F$20,R$2,$N$1,$C311)</f>
        <v>0</v>
      </c>
      <c r="S311" s="185">
        <f ca="1">_xll.DBRW(Server&amp;Cube1,$F$17,$F$18,$F$19,$F$16,$C$14,$F$15,$F$14,$F$20,S$2,$N$1,$C311)</f>
        <v>0</v>
      </c>
      <c r="T311" s="185">
        <f ca="1">_xll.DBRW(Server&amp;Cube1,$F$17,$F$18,$F$19,$F$16,$C$14,$F$15,$F$14,$F$20,T$2,$N$1,$C311)</f>
        <v>0</v>
      </c>
      <c r="U311" s="185">
        <f ca="1">_xll.DBRW(Server&amp;Cube1,$F$17,$F$18,$F$19,$F$16,$C$14,$F$15,$F$14,$F$20,U$2,$N$1,$C311)</f>
        <v>0</v>
      </c>
      <c r="V311" s="185">
        <f ca="1">_xll.DBRW(Server&amp;Cube1,$F$17,$F$18,$F$19,$F$16,$C$14,$F$15,$F$14,$F$20,V$2,$N$1,$C311)</f>
        <v>0</v>
      </c>
      <c r="W311" s="185">
        <f ca="1">_xll.DBRW(Server&amp;Cube1,$F$17,$F$18,$F$19,$F$16,$C$14,$F$15,$F$14,$F$20,W$2,$N$1,$C311)</f>
        <v>0</v>
      </c>
      <c r="X311" s="185">
        <f ca="1">_xll.DBRW(Server&amp;Cube1,$F$17,$F$18,$F$19,$F$16,$C$14,$F$15,$F$14,$F$20,X$2,$N$1,$C311)</f>
        <v>0</v>
      </c>
      <c r="Y311" s="185">
        <f ca="1">_xll.DBRW(Server&amp;Cube1,$F$17,$F$18,$F$19,$F$16,$C$14,$F$15,$F$14,$F$20,Y$2,$N$1,$C311)</f>
        <v>0</v>
      </c>
      <c r="Z311" s="185">
        <f ca="1">_xll.DBRW(Server&amp;Cube1,$F$17,$F$18,$F$19,$F$16,$C$14,$F$15,$F$14,$F$20,Z$2,$N$1,$C311)</f>
        <v>0</v>
      </c>
      <c r="AA311" s="53"/>
      <c r="AB311" s="53"/>
      <c r="AC311" s="53"/>
      <c r="AD311" s="53"/>
      <c r="AE311" s="53"/>
      <c r="AF311" s="53"/>
      <c r="AG311" s="53"/>
      <c r="AH311" s="53"/>
      <c r="AI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</row>
    <row r="312" spans="1:47" s="9" customFormat="1" ht="24" customHeight="1" x14ac:dyDescent="0.35">
      <c r="A312" s="175">
        <f t="shared" ca="1" si="6"/>
        <v>1</v>
      </c>
      <c r="B312" s="139" t="str">
        <f t="shared" si="4"/>
        <v>BD</v>
      </c>
      <c r="C312" s="137" t="s">
        <v>375</v>
      </c>
      <c r="E312" s="219" t="str">
        <f ca="1">_xll.DBRA(Server&amp;$C$24,$C312,$F$21)</f>
        <v>Location Bâtiment (DC)</v>
      </c>
      <c r="F312" s="219"/>
      <c r="G312" s="219"/>
      <c r="H312" s="40"/>
      <c r="I312" s="192">
        <f ca="1">_xll.DBRW(Server&amp;Cube1,$F$17,$F$18,$F$19,$F$16,$C$14,$F$15,$F$14,$F$20,I$2,I$1,$C312)</f>
        <v>0</v>
      </c>
      <c r="J312" s="192">
        <f ca="1">_xll.DBRW(Server&amp;Cube1,$F$17,$F$18,$F$19,$F$16,$C$14,$F$15,$F$14,$F$20,J$2,J$1,$C312)</f>
        <v>0</v>
      </c>
      <c r="K312" s="183"/>
      <c r="L312" s="185">
        <f ca="1">_xll.DBRW(Server&amp;Cube1,$F$17,$F$18,$F$19,$F$16,$C$14,$F$15,$F$14,$F$20,L$2,L$1,$C312)</f>
        <v>0</v>
      </c>
      <c r="M312" s="184"/>
      <c r="N312" s="185">
        <f ca="1">_xll.DBRW(Server&amp;Cube1,$F$17,$F$18,$F$19,$F$16,$C$14,$F$15,$F$14,$F$20,N$2,$N$1,$C312)</f>
        <v>0</v>
      </c>
      <c r="O312" s="185">
        <f ca="1">_xll.DBRW(Server&amp;Cube1,$F$17,$F$18,$F$19,$F$16,$C$14,$F$15,$F$14,$F$20,O$2,$N$1,$C312)</f>
        <v>0</v>
      </c>
      <c r="P312" s="185">
        <f ca="1">_xll.DBRW(Server&amp;Cube1,$F$17,$F$18,$F$19,$F$16,$C$14,$F$15,$F$14,$F$20,P$2,$N$1,$C312)</f>
        <v>0</v>
      </c>
      <c r="Q312" s="185">
        <f ca="1">_xll.DBRW(Server&amp;Cube1,$F$17,$F$18,$F$19,$F$16,$C$14,$F$15,$F$14,$F$20,Q$2,$N$1,$C312)</f>
        <v>0</v>
      </c>
      <c r="R312" s="185">
        <f ca="1">_xll.DBRW(Server&amp;Cube1,$F$17,$F$18,$F$19,$F$16,$C$14,$F$15,$F$14,$F$20,R$2,$N$1,$C312)</f>
        <v>0</v>
      </c>
      <c r="S312" s="185">
        <f ca="1">_xll.DBRW(Server&amp;Cube1,$F$17,$F$18,$F$19,$F$16,$C$14,$F$15,$F$14,$F$20,S$2,$N$1,$C312)</f>
        <v>0</v>
      </c>
      <c r="T312" s="185">
        <f ca="1">_xll.DBRW(Server&amp;Cube1,$F$17,$F$18,$F$19,$F$16,$C$14,$F$15,$F$14,$F$20,T$2,$N$1,$C312)</f>
        <v>0</v>
      </c>
      <c r="U312" s="185">
        <f ca="1">_xll.DBRW(Server&amp;Cube1,$F$17,$F$18,$F$19,$F$16,$C$14,$F$15,$F$14,$F$20,U$2,$N$1,$C312)</f>
        <v>0</v>
      </c>
      <c r="V312" s="185">
        <f ca="1">_xll.DBRW(Server&amp;Cube1,$F$17,$F$18,$F$19,$F$16,$C$14,$F$15,$F$14,$F$20,V$2,$N$1,$C312)</f>
        <v>0</v>
      </c>
      <c r="W312" s="185">
        <f ca="1">_xll.DBRW(Server&amp;Cube1,$F$17,$F$18,$F$19,$F$16,$C$14,$F$15,$F$14,$F$20,W$2,$N$1,$C312)</f>
        <v>0</v>
      </c>
      <c r="X312" s="185">
        <f ca="1">_xll.DBRW(Server&amp;Cube1,$F$17,$F$18,$F$19,$F$16,$C$14,$F$15,$F$14,$F$20,X$2,$N$1,$C312)</f>
        <v>0</v>
      </c>
      <c r="Y312" s="185">
        <f ca="1">_xll.DBRW(Server&amp;Cube1,$F$17,$F$18,$F$19,$F$16,$C$14,$F$15,$F$14,$F$20,Y$2,$N$1,$C312)</f>
        <v>0</v>
      </c>
      <c r="Z312" s="185">
        <f ca="1">_xll.DBRW(Server&amp;Cube1,$F$17,$F$18,$F$19,$F$16,$C$14,$F$15,$F$14,$F$20,Z$2,$N$1,$C312)</f>
        <v>0</v>
      </c>
      <c r="AA312" s="53"/>
      <c r="AB312" s="53"/>
      <c r="AC312" s="53"/>
      <c r="AD312" s="53"/>
      <c r="AE312" s="53"/>
      <c r="AF312" s="53"/>
      <c r="AG312" s="53"/>
      <c r="AH312" s="53"/>
      <c r="AI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</row>
    <row r="313" spans="1:47" s="9" customFormat="1" ht="24" customHeight="1" x14ac:dyDescent="0.35">
      <c r="A313" s="175">
        <f t="shared" ca="1" si="6"/>
        <v>1</v>
      </c>
      <c r="B313" s="139" t="str">
        <f t="shared" si="4"/>
        <v>FI</v>
      </c>
      <c r="C313" s="137" t="s">
        <v>376</v>
      </c>
      <c r="E313" s="219" t="str">
        <f ca="1">_xll.DBRA(Server&amp;$C$24,$C313,$F$21)</f>
        <v>Location Bâtiment (DF)</v>
      </c>
      <c r="F313" s="219"/>
      <c r="G313" s="219"/>
      <c r="H313" s="40"/>
      <c r="I313" s="192">
        <f ca="1">_xll.DBRW(Server&amp;Cube1,$F$17,$F$18,$F$19,$F$16,$C$14,$F$15,$F$14,$F$20,I$2,I$1,$C313)</f>
        <v>0</v>
      </c>
      <c r="J313" s="192">
        <f ca="1">_xll.DBRW(Server&amp;Cube1,$F$17,$F$18,$F$19,$F$16,$C$14,$F$15,$F$14,$F$20,J$2,J$1,$C313)</f>
        <v>0</v>
      </c>
      <c r="K313" s="183"/>
      <c r="L313" s="185">
        <f ca="1">_xll.DBRW(Server&amp;Cube1,$F$17,$F$18,$F$19,$F$16,$C$14,$F$15,$F$14,$F$20,L$2,L$1,$C313)</f>
        <v>0</v>
      </c>
      <c r="M313" s="184"/>
      <c r="N313" s="185">
        <f ca="1">_xll.DBRW(Server&amp;Cube1,$F$17,$F$18,$F$19,$F$16,$C$14,$F$15,$F$14,$F$20,N$2,$N$1,$C313)</f>
        <v>0</v>
      </c>
      <c r="O313" s="185">
        <f ca="1">_xll.DBRW(Server&amp;Cube1,$F$17,$F$18,$F$19,$F$16,$C$14,$F$15,$F$14,$F$20,O$2,$N$1,$C313)</f>
        <v>0</v>
      </c>
      <c r="P313" s="185">
        <f ca="1">_xll.DBRW(Server&amp;Cube1,$F$17,$F$18,$F$19,$F$16,$C$14,$F$15,$F$14,$F$20,P$2,$N$1,$C313)</f>
        <v>0</v>
      </c>
      <c r="Q313" s="185">
        <f ca="1">_xll.DBRW(Server&amp;Cube1,$F$17,$F$18,$F$19,$F$16,$C$14,$F$15,$F$14,$F$20,Q$2,$N$1,$C313)</f>
        <v>0</v>
      </c>
      <c r="R313" s="185">
        <f ca="1">_xll.DBRW(Server&amp;Cube1,$F$17,$F$18,$F$19,$F$16,$C$14,$F$15,$F$14,$F$20,R$2,$N$1,$C313)</f>
        <v>0</v>
      </c>
      <c r="S313" s="185">
        <f ca="1">_xll.DBRW(Server&amp;Cube1,$F$17,$F$18,$F$19,$F$16,$C$14,$F$15,$F$14,$F$20,S$2,$N$1,$C313)</f>
        <v>0</v>
      </c>
      <c r="T313" s="185">
        <f ca="1">_xll.DBRW(Server&amp;Cube1,$F$17,$F$18,$F$19,$F$16,$C$14,$F$15,$F$14,$F$20,T$2,$N$1,$C313)</f>
        <v>0</v>
      </c>
      <c r="U313" s="185">
        <f ca="1">_xll.DBRW(Server&amp;Cube1,$F$17,$F$18,$F$19,$F$16,$C$14,$F$15,$F$14,$F$20,U$2,$N$1,$C313)</f>
        <v>0</v>
      </c>
      <c r="V313" s="185">
        <f ca="1">_xll.DBRW(Server&amp;Cube1,$F$17,$F$18,$F$19,$F$16,$C$14,$F$15,$F$14,$F$20,V$2,$N$1,$C313)</f>
        <v>0</v>
      </c>
      <c r="W313" s="185">
        <f ca="1">_xll.DBRW(Server&amp;Cube1,$F$17,$F$18,$F$19,$F$16,$C$14,$F$15,$F$14,$F$20,W$2,$N$1,$C313)</f>
        <v>0</v>
      </c>
      <c r="X313" s="185">
        <f ca="1">_xll.DBRW(Server&amp;Cube1,$F$17,$F$18,$F$19,$F$16,$C$14,$F$15,$F$14,$F$20,X$2,$N$1,$C313)</f>
        <v>0</v>
      </c>
      <c r="Y313" s="185">
        <f ca="1">_xll.DBRW(Server&amp;Cube1,$F$17,$F$18,$F$19,$F$16,$C$14,$F$15,$F$14,$F$20,Y$2,$N$1,$C313)</f>
        <v>0</v>
      </c>
      <c r="Z313" s="185">
        <f ca="1">_xll.DBRW(Server&amp;Cube1,$F$17,$F$18,$F$19,$F$16,$C$14,$F$15,$F$14,$F$20,Z$2,$N$1,$C313)</f>
        <v>0</v>
      </c>
      <c r="AA313" s="53"/>
      <c r="AB313" s="53"/>
      <c r="AC313" s="53"/>
      <c r="AD313" s="53"/>
      <c r="AE313" s="53"/>
      <c r="AF313" s="53"/>
      <c r="AG313" s="53"/>
      <c r="AH313" s="53"/>
      <c r="AI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</row>
    <row r="314" spans="1:47" s="9" customFormat="1" ht="24" customHeight="1" x14ac:dyDescent="0.35">
      <c r="A314" s="175">
        <f t="shared" ca="1" si="6"/>
        <v>1</v>
      </c>
      <c r="B314" s="139" t="str">
        <f t="shared" si="4"/>
        <v>IT</v>
      </c>
      <c r="C314" s="137" t="s">
        <v>377</v>
      </c>
      <c r="E314" s="219" t="str">
        <f ca="1">_xll.DBRA(Server&amp;$C$24,$C314,$F$21)</f>
        <v>Location Bâtiment (IT)</v>
      </c>
      <c r="F314" s="219"/>
      <c r="G314" s="219"/>
      <c r="H314" s="40"/>
      <c r="I314" s="192">
        <f ca="1">_xll.DBRW(Server&amp;Cube1,$F$17,$F$18,$F$19,$F$16,$C$14,$F$15,$F$14,$F$20,I$2,I$1,$C314)</f>
        <v>0</v>
      </c>
      <c r="J314" s="192">
        <f ca="1">_xll.DBRW(Server&amp;Cube1,$F$17,$F$18,$F$19,$F$16,$C$14,$F$15,$F$14,$F$20,J$2,J$1,$C314)</f>
        <v>0</v>
      </c>
      <c r="K314" s="183"/>
      <c r="L314" s="185">
        <f ca="1">_xll.DBRW(Server&amp;Cube1,$F$17,$F$18,$F$19,$F$16,$C$14,$F$15,$F$14,$F$20,L$2,L$1,$C314)</f>
        <v>0</v>
      </c>
      <c r="M314" s="184"/>
      <c r="N314" s="185">
        <f ca="1">_xll.DBRW(Server&amp;Cube1,$F$17,$F$18,$F$19,$F$16,$C$14,$F$15,$F$14,$F$20,N$2,$N$1,$C314)</f>
        <v>0</v>
      </c>
      <c r="O314" s="185">
        <f ca="1">_xll.DBRW(Server&amp;Cube1,$F$17,$F$18,$F$19,$F$16,$C$14,$F$15,$F$14,$F$20,O$2,$N$1,$C314)</f>
        <v>0</v>
      </c>
      <c r="P314" s="185">
        <f ca="1">_xll.DBRW(Server&amp;Cube1,$F$17,$F$18,$F$19,$F$16,$C$14,$F$15,$F$14,$F$20,P$2,$N$1,$C314)</f>
        <v>0</v>
      </c>
      <c r="Q314" s="185">
        <f ca="1">_xll.DBRW(Server&amp;Cube1,$F$17,$F$18,$F$19,$F$16,$C$14,$F$15,$F$14,$F$20,Q$2,$N$1,$C314)</f>
        <v>0</v>
      </c>
      <c r="R314" s="185">
        <f ca="1">_xll.DBRW(Server&amp;Cube1,$F$17,$F$18,$F$19,$F$16,$C$14,$F$15,$F$14,$F$20,R$2,$N$1,$C314)</f>
        <v>0</v>
      </c>
      <c r="S314" s="185">
        <f ca="1">_xll.DBRW(Server&amp;Cube1,$F$17,$F$18,$F$19,$F$16,$C$14,$F$15,$F$14,$F$20,S$2,$N$1,$C314)</f>
        <v>0</v>
      </c>
      <c r="T314" s="185">
        <f ca="1">_xll.DBRW(Server&amp;Cube1,$F$17,$F$18,$F$19,$F$16,$C$14,$F$15,$F$14,$F$20,T$2,$N$1,$C314)</f>
        <v>0</v>
      </c>
      <c r="U314" s="185">
        <f ca="1">_xll.DBRW(Server&amp;Cube1,$F$17,$F$18,$F$19,$F$16,$C$14,$F$15,$F$14,$F$20,U$2,$N$1,$C314)</f>
        <v>0</v>
      </c>
      <c r="V314" s="185">
        <f ca="1">_xll.DBRW(Server&amp;Cube1,$F$17,$F$18,$F$19,$F$16,$C$14,$F$15,$F$14,$F$20,V$2,$N$1,$C314)</f>
        <v>0</v>
      </c>
      <c r="W314" s="185">
        <f ca="1">_xll.DBRW(Server&amp;Cube1,$F$17,$F$18,$F$19,$F$16,$C$14,$F$15,$F$14,$F$20,W$2,$N$1,$C314)</f>
        <v>0</v>
      </c>
      <c r="X314" s="185">
        <f ca="1">_xll.DBRW(Server&amp;Cube1,$F$17,$F$18,$F$19,$F$16,$C$14,$F$15,$F$14,$F$20,X$2,$N$1,$C314)</f>
        <v>0</v>
      </c>
      <c r="Y314" s="185">
        <f ca="1">_xll.DBRW(Server&amp;Cube1,$F$17,$F$18,$F$19,$F$16,$C$14,$F$15,$F$14,$F$20,Y$2,$N$1,$C314)</f>
        <v>0</v>
      </c>
      <c r="Z314" s="185">
        <f ca="1">_xll.DBRW(Server&amp;Cube1,$F$17,$F$18,$F$19,$F$16,$C$14,$F$15,$F$14,$F$20,Z$2,$N$1,$C314)</f>
        <v>0</v>
      </c>
      <c r="AA314" s="53"/>
      <c r="AB314" s="53"/>
      <c r="AC314" s="53"/>
      <c r="AD314" s="53"/>
      <c r="AE314" s="53"/>
      <c r="AF314" s="53"/>
      <c r="AG314" s="53"/>
      <c r="AH314" s="53"/>
      <c r="AI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</row>
    <row r="315" spans="1:47" s="9" customFormat="1" ht="24" customHeight="1" x14ac:dyDescent="0.35">
      <c r="A315" s="175">
        <f t="shared" ca="1" si="6"/>
        <v>1</v>
      </c>
      <c r="B315" s="139" t="str">
        <f t="shared" si="4"/>
        <v>HR</v>
      </c>
      <c r="C315" s="137" t="s">
        <v>378</v>
      </c>
      <c r="E315" s="219" t="str">
        <f ca="1">_xll.DBRA(Server&amp;$C$24,$C315,$F$21)</f>
        <v>Location Bâtiment (RH)</v>
      </c>
      <c r="F315" s="219"/>
      <c r="G315" s="219"/>
      <c r="H315" s="40"/>
      <c r="I315" s="192">
        <f ca="1">_xll.DBRW(Server&amp;Cube1,$F$17,$F$18,$F$19,$F$16,$C$14,$F$15,$F$14,$F$20,I$2,I$1,$C315)</f>
        <v>0</v>
      </c>
      <c r="J315" s="192">
        <f ca="1">_xll.DBRW(Server&amp;Cube1,$F$17,$F$18,$F$19,$F$16,$C$14,$F$15,$F$14,$F$20,J$2,J$1,$C315)</f>
        <v>0</v>
      </c>
      <c r="K315" s="183"/>
      <c r="L315" s="185">
        <f ca="1">_xll.DBRW(Server&amp;Cube1,$F$17,$F$18,$F$19,$F$16,$C$14,$F$15,$F$14,$F$20,L$2,L$1,$C315)</f>
        <v>0</v>
      </c>
      <c r="M315" s="184"/>
      <c r="N315" s="185">
        <f ca="1">_xll.DBRW(Server&amp;Cube1,$F$17,$F$18,$F$19,$F$16,$C$14,$F$15,$F$14,$F$20,N$2,$N$1,$C315)</f>
        <v>0</v>
      </c>
      <c r="O315" s="185">
        <f ca="1">_xll.DBRW(Server&amp;Cube1,$F$17,$F$18,$F$19,$F$16,$C$14,$F$15,$F$14,$F$20,O$2,$N$1,$C315)</f>
        <v>0</v>
      </c>
      <c r="P315" s="185">
        <f ca="1">_xll.DBRW(Server&amp;Cube1,$F$17,$F$18,$F$19,$F$16,$C$14,$F$15,$F$14,$F$20,P$2,$N$1,$C315)</f>
        <v>0</v>
      </c>
      <c r="Q315" s="185">
        <f ca="1">_xll.DBRW(Server&amp;Cube1,$F$17,$F$18,$F$19,$F$16,$C$14,$F$15,$F$14,$F$20,Q$2,$N$1,$C315)</f>
        <v>0</v>
      </c>
      <c r="R315" s="185">
        <f ca="1">_xll.DBRW(Server&amp;Cube1,$F$17,$F$18,$F$19,$F$16,$C$14,$F$15,$F$14,$F$20,R$2,$N$1,$C315)</f>
        <v>0</v>
      </c>
      <c r="S315" s="185">
        <f ca="1">_xll.DBRW(Server&amp;Cube1,$F$17,$F$18,$F$19,$F$16,$C$14,$F$15,$F$14,$F$20,S$2,$N$1,$C315)</f>
        <v>0</v>
      </c>
      <c r="T315" s="185">
        <f ca="1">_xll.DBRW(Server&amp;Cube1,$F$17,$F$18,$F$19,$F$16,$C$14,$F$15,$F$14,$F$20,T$2,$N$1,$C315)</f>
        <v>0</v>
      </c>
      <c r="U315" s="185">
        <f ca="1">_xll.DBRW(Server&amp;Cube1,$F$17,$F$18,$F$19,$F$16,$C$14,$F$15,$F$14,$F$20,U$2,$N$1,$C315)</f>
        <v>0</v>
      </c>
      <c r="V315" s="185">
        <f ca="1">_xll.DBRW(Server&amp;Cube1,$F$17,$F$18,$F$19,$F$16,$C$14,$F$15,$F$14,$F$20,V$2,$N$1,$C315)</f>
        <v>0</v>
      </c>
      <c r="W315" s="185">
        <f ca="1">_xll.DBRW(Server&amp;Cube1,$F$17,$F$18,$F$19,$F$16,$C$14,$F$15,$F$14,$F$20,W$2,$N$1,$C315)</f>
        <v>0</v>
      </c>
      <c r="X315" s="185">
        <f ca="1">_xll.DBRW(Server&amp;Cube1,$F$17,$F$18,$F$19,$F$16,$C$14,$F$15,$F$14,$F$20,X$2,$N$1,$C315)</f>
        <v>0</v>
      </c>
      <c r="Y315" s="185">
        <f ca="1">_xll.DBRW(Server&amp;Cube1,$F$17,$F$18,$F$19,$F$16,$C$14,$F$15,$F$14,$F$20,Y$2,$N$1,$C315)</f>
        <v>0</v>
      </c>
      <c r="Z315" s="185">
        <f ca="1">_xll.DBRW(Server&amp;Cube1,$F$17,$F$18,$F$19,$F$16,$C$14,$F$15,$F$14,$F$20,Z$2,$N$1,$C315)</f>
        <v>0</v>
      </c>
      <c r="AA315" s="53"/>
      <c r="AB315" s="53"/>
      <c r="AC315" s="53"/>
      <c r="AD315" s="53"/>
      <c r="AE315" s="53"/>
      <c r="AF315" s="53"/>
      <c r="AG315" s="53"/>
      <c r="AH315" s="53"/>
      <c r="AI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</row>
    <row r="316" spans="1:47" s="9" customFormat="1" ht="24" customHeight="1" x14ac:dyDescent="0.35">
      <c r="A316" s="175">
        <f ca="1">IF($AN$35="YES",1,IF(AND($C$16="5000",$B316="GS"),1,IF(AND($C$16="5010",$B316="GS"),1,IF(AND($C$16="5020",$B316="GS"),1,0))))</f>
        <v>1</v>
      </c>
      <c r="B316" s="139" t="str">
        <f t="shared" si="4"/>
        <v>GM</v>
      </c>
      <c r="C316" s="137" t="s">
        <v>379</v>
      </c>
      <c r="E316" s="219" t="str">
        <f ca="1">_xll.DBRA(Server&amp;$C$24,$C316,$F$21)</f>
        <v>Location Bâtiment (DG)</v>
      </c>
      <c r="F316" s="219"/>
      <c r="G316" s="219"/>
      <c r="H316" s="40"/>
      <c r="I316" s="192">
        <f ca="1">_xll.DBRW(Server&amp;Cube1,$F$17,$F$18,$F$19,$F$16,$C$14,$F$15,$F$14,$F$20,I$2,I$1,$C316)</f>
        <v>0</v>
      </c>
      <c r="J316" s="192">
        <f ca="1">_xll.DBRW(Server&amp;Cube1,$F$17,$F$18,$F$19,$F$16,$C$14,$F$15,$F$14,$F$20,J$2,J$1,$C316)</f>
        <v>0</v>
      </c>
      <c r="K316" s="183"/>
      <c r="L316" s="185">
        <f ca="1">_xll.DBRW(Server&amp;Cube1,$F$17,$F$18,$F$19,$F$16,$C$14,$F$15,$F$14,$F$20,L$2,L$1,$C316)</f>
        <v>0</v>
      </c>
      <c r="M316" s="184"/>
      <c r="N316" s="185">
        <f ca="1">_xll.DBRW(Server&amp;Cube1,$F$17,$F$18,$F$19,$F$16,$C$14,$F$15,$F$14,$F$20,N$2,$N$1,$C316)</f>
        <v>0</v>
      </c>
      <c r="O316" s="185">
        <f ca="1">_xll.DBRW(Server&amp;Cube1,$F$17,$F$18,$F$19,$F$16,$C$14,$F$15,$F$14,$F$20,O$2,$N$1,$C316)</f>
        <v>0</v>
      </c>
      <c r="P316" s="185">
        <f ca="1">_xll.DBRW(Server&amp;Cube1,$F$17,$F$18,$F$19,$F$16,$C$14,$F$15,$F$14,$F$20,P$2,$N$1,$C316)</f>
        <v>0</v>
      </c>
      <c r="Q316" s="185">
        <f ca="1">_xll.DBRW(Server&amp;Cube1,$F$17,$F$18,$F$19,$F$16,$C$14,$F$15,$F$14,$F$20,Q$2,$N$1,$C316)</f>
        <v>0</v>
      </c>
      <c r="R316" s="185">
        <f ca="1">_xll.DBRW(Server&amp;Cube1,$F$17,$F$18,$F$19,$F$16,$C$14,$F$15,$F$14,$F$20,R$2,$N$1,$C316)</f>
        <v>0</v>
      </c>
      <c r="S316" s="185">
        <f ca="1">_xll.DBRW(Server&amp;Cube1,$F$17,$F$18,$F$19,$F$16,$C$14,$F$15,$F$14,$F$20,S$2,$N$1,$C316)</f>
        <v>0</v>
      </c>
      <c r="T316" s="185">
        <f ca="1">_xll.DBRW(Server&amp;Cube1,$F$17,$F$18,$F$19,$F$16,$C$14,$F$15,$F$14,$F$20,T$2,$N$1,$C316)</f>
        <v>0</v>
      </c>
      <c r="U316" s="185">
        <f ca="1">_xll.DBRW(Server&amp;Cube1,$F$17,$F$18,$F$19,$F$16,$C$14,$F$15,$F$14,$F$20,U$2,$N$1,$C316)</f>
        <v>0</v>
      </c>
      <c r="V316" s="185">
        <f ca="1">_xll.DBRW(Server&amp;Cube1,$F$17,$F$18,$F$19,$F$16,$C$14,$F$15,$F$14,$F$20,V$2,$N$1,$C316)</f>
        <v>0</v>
      </c>
      <c r="W316" s="185">
        <f ca="1">_xll.DBRW(Server&amp;Cube1,$F$17,$F$18,$F$19,$F$16,$C$14,$F$15,$F$14,$F$20,W$2,$N$1,$C316)</f>
        <v>0</v>
      </c>
      <c r="X316" s="185">
        <f ca="1">_xll.DBRW(Server&amp;Cube1,$F$17,$F$18,$F$19,$F$16,$C$14,$F$15,$F$14,$F$20,X$2,$N$1,$C316)</f>
        <v>0</v>
      </c>
      <c r="Y316" s="185">
        <f ca="1">_xll.DBRW(Server&amp;Cube1,$F$17,$F$18,$F$19,$F$16,$C$14,$F$15,$F$14,$F$20,Y$2,$N$1,$C316)</f>
        <v>0</v>
      </c>
      <c r="Z316" s="185">
        <f ca="1">_xll.DBRW(Server&amp;Cube1,$F$17,$F$18,$F$19,$F$16,$C$14,$F$15,$F$14,$F$20,Z$2,$N$1,$C316)</f>
        <v>0</v>
      </c>
      <c r="AA316" s="53"/>
      <c r="AB316" s="53"/>
      <c r="AC316" s="53"/>
      <c r="AD316" s="53"/>
      <c r="AE316" s="53"/>
      <c r="AF316" s="53"/>
      <c r="AG316" s="53"/>
      <c r="AH316" s="53"/>
      <c r="AI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</row>
    <row r="317" spans="1:47" s="9" customFormat="1" ht="24" customHeight="1" x14ac:dyDescent="0.35">
      <c r="A317" s="175">
        <f ca="1">IF($AN$35="YES",1,IF(AND($C$16="5000",$B317="GS"),1,IF(AND($C$16="5010",$B317="GS"),1,IF(AND($C$16="5020",$B317="GS"),1,0))))</f>
        <v>1</v>
      </c>
      <c r="B317" s="139" t="str">
        <f t="shared" si="4"/>
        <v>IA</v>
      </c>
      <c r="C317" s="137" t="s">
        <v>380</v>
      </c>
      <c r="E317" s="219" t="str">
        <f ca="1">_xll.DBRA(Server&amp;$C$24,$C317,$F$21)</f>
        <v>Location Bâtiment (AI)</v>
      </c>
      <c r="F317" s="219"/>
      <c r="G317" s="219"/>
      <c r="H317" s="40"/>
      <c r="I317" s="192">
        <f ca="1">_xll.DBRW(Server&amp;Cube1,$F$17,$F$18,$F$19,$F$16,$C$14,$F$15,$F$14,$F$20,I$2,I$1,$C317)</f>
        <v>0</v>
      </c>
      <c r="J317" s="192">
        <f ca="1">_xll.DBRW(Server&amp;Cube1,$F$17,$F$18,$F$19,$F$16,$C$14,$F$15,$F$14,$F$20,J$2,J$1,$C317)</f>
        <v>0</v>
      </c>
      <c r="K317" s="183"/>
      <c r="L317" s="185">
        <f ca="1">_xll.DBRW(Server&amp;Cube1,$F$17,$F$18,$F$19,$F$16,$C$14,$F$15,$F$14,$F$20,L$2,L$1,$C317)</f>
        <v>0</v>
      </c>
      <c r="M317" s="184"/>
      <c r="N317" s="185">
        <f ca="1">_xll.DBRW(Server&amp;Cube1,$F$17,$F$18,$F$19,$F$16,$C$14,$F$15,$F$14,$F$20,N$2,$N$1,$C317)</f>
        <v>0</v>
      </c>
      <c r="O317" s="185">
        <f ca="1">_xll.DBRW(Server&amp;Cube1,$F$17,$F$18,$F$19,$F$16,$C$14,$F$15,$F$14,$F$20,O$2,$N$1,$C317)</f>
        <v>0</v>
      </c>
      <c r="P317" s="185">
        <f ca="1">_xll.DBRW(Server&amp;Cube1,$F$17,$F$18,$F$19,$F$16,$C$14,$F$15,$F$14,$F$20,P$2,$N$1,$C317)</f>
        <v>0</v>
      </c>
      <c r="Q317" s="185">
        <f ca="1">_xll.DBRW(Server&amp;Cube1,$F$17,$F$18,$F$19,$F$16,$C$14,$F$15,$F$14,$F$20,Q$2,$N$1,$C317)</f>
        <v>0</v>
      </c>
      <c r="R317" s="185">
        <f ca="1">_xll.DBRW(Server&amp;Cube1,$F$17,$F$18,$F$19,$F$16,$C$14,$F$15,$F$14,$F$20,R$2,$N$1,$C317)</f>
        <v>0</v>
      </c>
      <c r="S317" s="185">
        <f ca="1">_xll.DBRW(Server&amp;Cube1,$F$17,$F$18,$F$19,$F$16,$C$14,$F$15,$F$14,$F$20,S$2,$N$1,$C317)</f>
        <v>0</v>
      </c>
      <c r="T317" s="185">
        <f ca="1">_xll.DBRW(Server&amp;Cube1,$F$17,$F$18,$F$19,$F$16,$C$14,$F$15,$F$14,$F$20,T$2,$N$1,$C317)</f>
        <v>0</v>
      </c>
      <c r="U317" s="185">
        <f ca="1">_xll.DBRW(Server&amp;Cube1,$F$17,$F$18,$F$19,$F$16,$C$14,$F$15,$F$14,$F$20,U$2,$N$1,$C317)</f>
        <v>0</v>
      </c>
      <c r="V317" s="185">
        <f ca="1">_xll.DBRW(Server&amp;Cube1,$F$17,$F$18,$F$19,$F$16,$C$14,$F$15,$F$14,$F$20,V$2,$N$1,$C317)</f>
        <v>0</v>
      </c>
      <c r="W317" s="185">
        <f ca="1">_xll.DBRW(Server&amp;Cube1,$F$17,$F$18,$F$19,$F$16,$C$14,$F$15,$F$14,$F$20,W$2,$N$1,$C317)</f>
        <v>0</v>
      </c>
      <c r="X317" s="185">
        <f ca="1">_xll.DBRW(Server&amp;Cube1,$F$17,$F$18,$F$19,$F$16,$C$14,$F$15,$F$14,$F$20,X$2,$N$1,$C317)</f>
        <v>0</v>
      </c>
      <c r="Y317" s="185">
        <f ca="1">_xll.DBRW(Server&amp;Cube1,$F$17,$F$18,$F$19,$F$16,$C$14,$F$15,$F$14,$F$20,Y$2,$N$1,$C317)</f>
        <v>0</v>
      </c>
      <c r="Z317" s="185">
        <f ca="1">_xll.DBRW(Server&amp;Cube1,$F$17,$F$18,$F$19,$F$16,$C$14,$F$15,$F$14,$F$20,Z$2,$N$1,$C317)</f>
        <v>0</v>
      </c>
      <c r="AA317" s="53"/>
      <c r="AB317" s="53"/>
      <c r="AC317" s="53"/>
      <c r="AD317" s="53"/>
      <c r="AE317" s="53"/>
      <c r="AF317" s="53"/>
      <c r="AG317" s="53"/>
      <c r="AH317" s="53"/>
      <c r="AI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</row>
    <row r="318" spans="1:47" s="9" customFormat="1" ht="24" customHeight="1" x14ac:dyDescent="0.35">
      <c r="A318" s="175">
        <f ca="1">IF($AN$35="YES",1,IF(AND($C$16="5000",$B318="GS"),1,IF(AND($C$16="5010",$B318="GS"),1,IF(AND($C$16="5020",$B318="GS"),1,0))))</f>
        <v>1</v>
      </c>
      <c r="B318" s="139" t="str">
        <f t="shared" si="4"/>
        <v>LE</v>
      </c>
      <c r="C318" s="137" t="s">
        <v>381</v>
      </c>
      <c r="E318" s="219" t="str">
        <f ca="1">_xll.DBRA(Server&amp;$C$24,$C318,$F$21)</f>
        <v>Location Bâtiment (JU)</v>
      </c>
      <c r="F318" s="219"/>
      <c r="G318" s="219"/>
      <c r="H318" s="40"/>
      <c r="I318" s="192">
        <f ca="1">_xll.DBRW(Server&amp;Cube1,$F$17,$F$18,$F$19,$F$16,$C$14,$F$15,$F$14,$F$20,I$2,I$1,$C318)</f>
        <v>0</v>
      </c>
      <c r="J318" s="192">
        <f ca="1">_xll.DBRW(Server&amp;Cube1,$F$17,$F$18,$F$19,$F$16,$C$14,$F$15,$F$14,$F$20,J$2,J$1,$C318)</f>
        <v>0</v>
      </c>
      <c r="K318" s="183"/>
      <c r="L318" s="185">
        <f ca="1">_xll.DBRW(Server&amp;Cube1,$F$17,$F$18,$F$19,$F$16,$C$14,$F$15,$F$14,$F$20,L$2,L$1,$C318)</f>
        <v>0</v>
      </c>
      <c r="M318" s="184"/>
      <c r="N318" s="185">
        <f ca="1">_xll.DBRW(Server&amp;Cube1,$F$17,$F$18,$F$19,$F$16,$C$14,$F$15,$F$14,$F$20,N$2,$N$1,$C318)</f>
        <v>0</v>
      </c>
      <c r="O318" s="185">
        <f ca="1">_xll.DBRW(Server&amp;Cube1,$F$17,$F$18,$F$19,$F$16,$C$14,$F$15,$F$14,$F$20,O$2,$N$1,$C318)</f>
        <v>0</v>
      </c>
      <c r="P318" s="185">
        <f ca="1">_xll.DBRW(Server&amp;Cube1,$F$17,$F$18,$F$19,$F$16,$C$14,$F$15,$F$14,$F$20,P$2,$N$1,$C318)</f>
        <v>0</v>
      </c>
      <c r="Q318" s="185">
        <f ca="1">_xll.DBRW(Server&amp;Cube1,$F$17,$F$18,$F$19,$F$16,$C$14,$F$15,$F$14,$F$20,Q$2,$N$1,$C318)</f>
        <v>0</v>
      </c>
      <c r="R318" s="185">
        <f ca="1">_xll.DBRW(Server&amp;Cube1,$F$17,$F$18,$F$19,$F$16,$C$14,$F$15,$F$14,$F$20,R$2,$N$1,$C318)</f>
        <v>0</v>
      </c>
      <c r="S318" s="185">
        <f ca="1">_xll.DBRW(Server&amp;Cube1,$F$17,$F$18,$F$19,$F$16,$C$14,$F$15,$F$14,$F$20,S$2,$N$1,$C318)</f>
        <v>0</v>
      </c>
      <c r="T318" s="185">
        <f ca="1">_xll.DBRW(Server&amp;Cube1,$F$17,$F$18,$F$19,$F$16,$C$14,$F$15,$F$14,$F$20,T$2,$N$1,$C318)</f>
        <v>0</v>
      </c>
      <c r="U318" s="185">
        <f ca="1">_xll.DBRW(Server&amp;Cube1,$F$17,$F$18,$F$19,$F$16,$C$14,$F$15,$F$14,$F$20,U$2,$N$1,$C318)</f>
        <v>0</v>
      </c>
      <c r="V318" s="185">
        <f ca="1">_xll.DBRW(Server&amp;Cube1,$F$17,$F$18,$F$19,$F$16,$C$14,$F$15,$F$14,$F$20,V$2,$N$1,$C318)</f>
        <v>0</v>
      </c>
      <c r="W318" s="185">
        <f ca="1">_xll.DBRW(Server&amp;Cube1,$F$17,$F$18,$F$19,$F$16,$C$14,$F$15,$F$14,$F$20,W$2,$N$1,$C318)</f>
        <v>0</v>
      </c>
      <c r="X318" s="185">
        <f ca="1">_xll.DBRW(Server&amp;Cube1,$F$17,$F$18,$F$19,$F$16,$C$14,$F$15,$F$14,$F$20,X$2,$N$1,$C318)</f>
        <v>0</v>
      </c>
      <c r="Y318" s="185">
        <f ca="1">_xll.DBRW(Server&amp;Cube1,$F$17,$F$18,$F$19,$F$16,$C$14,$F$15,$F$14,$F$20,Y$2,$N$1,$C318)</f>
        <v>0</v>
      </c>
      <c r="Z318" s="185">
        <f ca="1">_xll.DBRW(Server&amp;Cube1,$F$17,$F$18,$F$19,$F$16,$C$14,$F$15,$F$14,$F$20,Z$2,$N$1,$C318)</f>
        <v>0</v>
      </c>
      <c r="AA318" s="53"/>
      <c r="AB318" s="53"/>
      <c r="AC318" s="53"/>
      <c r="AD318" s="53"/>
      <c r="AE318" s="53"/>
      <c r="AF318" s="53"/>
      <c r="AG318" s="53"/>
      <c r="AH318" s="53"/>
      <c r="AI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</row>
    <row r="319" spans="1:47" s="9" customFormat="1" ht="24" customHeight="1" x14ac:dyDescent="0.35">
      <c r="A319" s="175">
        <f t="shared" ca="1" si="6"/>
        <v>1</v>
      </c>
      <c r="B319" s="139" t="str">
        <f t="shared" si="4"/>
        <v>RM</v>
      </c>
      <c r="C319" s="137" t="s">
        <v>382</v>
      </c>
      <c r="E319" s="219" t="str">
        <f ca="1">_xll.DBRA(Server&amp;$C$24,$C319,$F$21)</f>
        <v>Location Bâtiment (GR)</v>
      </c>
      <c r="F319" s="219"/>
      <c r="G319" s="219"/>
      <c r="H319" s="40"/>
      <c r="I319" s="192">
        <f ca="1">_xll.DBRW(Server&amp;Cube1,$F$17,$F$18,$F$19,$F$16,$C$14,$F$15,$F$14,$F$20,I$2,I$1,$C319)</f>
        <v>0</v>
      </c>
      <c r="J319" s="192">
        <f ca="1">_xll.DBRW(Server&amp;Cube1,$F$17,$F$18,$F$19,$F$16,$C$14,$F$15,$F$14,$F$20,J$2,J$1,$C319)</f>
        <v>0</v>
      </c>
      <c r="K319" s="183"/>
      <c r="L319" s="185">
        <f ca="1">_xll.DBRW(Server&amp;Cube1,$F$17,$F$18,$F$19,$F$16,$C$14,$F$15,$F$14,$F$20,L$2,L$1,$C319)</f>
        <v>0</v>
      </c>
      <c r="M319" s="184"/>
      <c r="N319" s="185">
        <f ca="1">_xll.DBRW(Server&amp;Cube1,$F$17,$F$18,$F$19,$F$16,$C$14,$F$15,$F$14,$F$20,N$2,$N$1,$C319)</f>
        <v>0</v>
      </c>
      <c r="O319" s="185">
        <f ca="1">_xll.DBRW(Server&amp;Cube1,$F$17,$F$18,$F$19,$F$16,$C$14,$F$15,$F$14,$F$20,O$2,$N$1,$C319)</f>
        <v>0</v>
      </c>
      <c r="P319" s="185">
        <f ca="1">_xll.DBRW(Server&amp;Cube1,$F$17,$F$18,$F$19,$F$16,$C$14,$F$15,$F$14,$F$20,P$2,$N$1,$C319)</f>
        <v>0</v>
      </c>
      <c r="Q319" s="185">
        <f ca="1">_xll.DBRW(Server&amp;Cube1,$F$17,$F$18,$F$19,$F$16,$C$14,$F$15,$F$14,$F$20,Q$2,$N$1,$C319)</f>
        <v>0</v>
      </c>
      <c r="R319" s="185">
        <f ca="1">_xll.DBRW(Server&amp;Cube1,$F$17,$F$18,$F$19,$F$16,$C$14,$F$15,$F$14,$F$20,R$2,$N$1,$C319)</f>
        <v>0</v>
      </c>
      <c r="S319" s="185">
        <f ca="1">_xll.DBRW(Server&amp;Cube1,$F$17,$F$18,$F$19,$F$16,$C$14,$F$15,$F$14,$F$20,S$2,$N$1,$C319)</f>
        <v>0</v>
      </c>
      <c r="T319" s="185">
        <f ca="1">_xll.DBRW(Server&amp;Cube1,$F$17,$F$18,$F$19,$F$16,$C$14,$F$15,$F$14,$F$20,T$2,$N$1,$C319)</f>
        <v>0</v>
      </c>
      <c r="U319" s="185">
        <f ca="1">_xll.DBRW(Server&amp;Cube1,$F$17,$F$18,$F$19,$F$16,$C$14,$F$15,$F$14,$F$20,U$2,$N$1,$C319)</f>
        <v>0</v>
      </c>
      <c r="V319" s="185">
        <f ca="1">_xll.DBRW(Server&amp;Cube1,$F$17,$F$18,$F$19,$F$16,$C$14,$F$15,$F$14,$F$20,V$2,$N$1,$C319)</f>
        <v>0</v>
      </c>
      <c r="W319" s="185">
        <f ca="1">_xll.DBRW(Server&amp;Cube1,$F$17,$F$18,$F$19,$F$16,$C$14,$F$15,$F$14,$F$20,W$2,$N$1,$C319)</f>
        <v>0</v>
      </c>
      <c r="X319" s="185">
        <f ca="1">_xll.DBRW(Server&amp;Cube1,$F$17,$F$18,$F$19,$F$16,$C$14,$F$15,$F$14,$F$20,X$2,$N$1,$C319)</f>
        <v>0</v>
      </c>
      <c r="Y319" s="185">
        <f ca="1">_xll.DBRW(Server&amp;Cube1,$F$17,$F$18,$F$19,$F$16,$C$14,$F$15,$F$14,$F$20,Y$2,$N$1,$C319)</f>
        <v>0</v>
      </c>
      <c r="Z319" s="185">
        <f ca="1">_xll.DBRW(Server&amp;Cube1,$F$17,$F$18,$F$19,$F$16,$C$14,$F$15,$F$14,$F$20,Z$2,$N$1,$C319)</f>
        <v>0</v>
      </c>
      <c r="AA319" s="53"/>
      <c r="AB319" s="53"/>
      <c r="AC319" s="53"/>
      <c r="AD319" s="53"/>
      <c r="AE319" s="53"/>
      <c r="AF319" s="53"/>
      <c r="AG319" s="53"/>
      <c r="AH319" s="53"/>
      <c r="AI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</row>
    <row r="320" spans="1:47" s="9" customFormat="1" ht="24" customHeight="1" x14ac:dyDescent="0.35">
      <c r="A320" s="175">
        <f t="shared" ca="1" si="6"/>
        <v>1</v>
      </c>
      <c r="B320" s="139" t="str">
        <f t="shared" si="4"/>
        <v>PU</v>
      </c>
      <c r="C320" s="137" t="s">
        <v>383</v>
      </c>
      <c r="E320" s="219" t="str">
        <f ca="1">_xll.DBRA(Server&amp;$C$24,$C320,$F$21)</f>
        <v>Location Bâtiment (AC)</v>
      </c>
      <c r="F320" s="219"/>
      <c r="G320" s="219"/>
      <c r="H320" s="40"/>
      <c r="I320" s="192">
        <f ca="1">_xll.DBRW(Server&amp;Cube1,$F$17,$F$18,$F$19,$F$16,$C$14,$F$15,$F$14,$F$20,I$2,I$1,$C320)</f>
        <v>0</v>
      </c>
      <c r="J320" s="192">
        <f ca="1">_xll.DBRW(Server&amp;Cube1,$F$17,$F$18,$F$19,$F$16,$C$14,$F$15,$F$14,$F$20,J$2,J$1,$C320)</f>
        <v>0</v>
      </c>
      <c r="K320" s="183"/>
      <c r="L320" s="185">
        <f ca="1">_xll.DBRW(Server&amp;Cube1,$F$17,$F$18,$F$19,$F$16,$C$14,$F$15,$F$14,$F$20,L$2,L$1,$C320)</f>
        <v>0</v>
      </c>
      <c r="M320" s="184"/>
      <c r="N320" s="185">
        <f ca="1">_xll.DBRW(Server&amp;Cube1,$F$17,$F$18,$F$19,$F$16,$C$14,$F$15,$F$14,$F$20,N$2,$N$1,$C320)</f>
        <v>0</v>
      </c>
      <c r="O320" s="185">
        <f ca="1">_xll.DBRW(Server&amp;Cube1,$F$17,$F$18,$F$19,$F$16,$C$14,$F$15,$F$14,$F$20,O$2,$N$1,$C320)</f>
        <v>0</v>
      </c>
      <c r="P320" s="185">
        <f ca="1">_xll.DBRW(Server&amp;Cube1,$F$17,$F$18,$F$19,$F$16,$C$14,$F$15,$F$14,$F$20,P$2,$N$1,$C320)</f>
        <v>0</v>
      </c>
      <c r="Q320" s="185">
        <f ca="1">_xll.DBRW(Server&amp;Cube1,$F$17,$F$18,$F$19,$F$16,$C$14,$F$15,$F$14,$F$20,Q$2,$N$1,$C320)</f>
        <v>0</v>
      </c>
      <c r="R320" s="185">
        <f ca="1">_xll.DBRW(Server&amp;Cube1,$F$17,$F$18,$F$19,$F$16,$C$14,$F$15,$F$14,$F$20,R$2,$N$1,$C320)</f>
        <v>0</v>
      </c>
      <c r="S320" s="185">
        <f ca="1">_xll.DBRW(Server&amp;Cube1,$F$17,$F$18,$F$19,$F$16,$C$14,$F$15,$F$14,$F$20,S$2,$N$1,$C320)</f>
        <v>0</v>
      </c>
      <c r="T320" s="185">
        <f ca="1">_xll.DBRW(Server&amp;Cube1,$F$17,$F$18,$F$19,$F$16,$C$14,$F$15,$F$14,$F$20,T$2,$N$1,$C320)</f>
        <v>0</v>
      </c>
      <c r="U320" s="185">
        <f ca="1">_xll.DBRW(Server&amp;Cube1,$F$17,$F$18,$F$19,$F$16,$C$14,$F$15,$F$14,$F$20,U$2,$N$1,$C320)</f>
        <v>0</v>
      </c>
      <c r="V320" s="185">
        <f ca="1">_xll.DBRW(Server&amp;Cube1,$F$17,$F$18,$F$19,$F$16,$C$14,$F$15,$F$14,$F$20,V$2,$N$1,$C320)</f>
        <v>0</v>
      </c>
      <c r="W320" s="185">
        <f ca="1">_xll.DBRW(Server&amp;Cube1,$F$17,$F$18,$F$19,$F$16,$C$14,$F$15,$F$14,$F$20,W$2,$N$1,$C320)</f>
        <v>0</v>
      </c>
      <c r="X320" s="185">
        <f ca="1">_xll.DBRW(Server&amp;Cube1,$F$17,$F$18,$F$19,$F$16,$C$14,$F$15,$F$14,$F$20,X$2,$N$1,$C320)</f>
        <v>0</v>
      </c>
      <c r="Y320" s="185">
        <f ca="1">_xll.DBRW(Server&amp;Cube1,$F$17,$F$18,$F$19,$F$16,$C$14,$F$15,$F$14,$F$20,Y$2,$N$1,$C320)</f>
        <v>0</v>
      </c>
      <c r="Z320" s="185">
        <f ca="1">_xll.DBRW(Server&amp;Cube1,$F$17,$F$18,$F$19,$F$16,$C$14,$F$15,$F$14,$F$20,Z$2,$N$1,$C320)</f>
        <v>0</v>
      </c>
      <c r="AA320" s="53"/>
      <c r="AB320" s="53"/>
      <c r="AC320" s="53"/>
      <c r="AD320" s="53"/>
      <c r="AE320" s="53"/>
      <c r="AF320" s="53"/>
      <c r="AG320" s="53"/>
      <c r="AH320" s="53"/>
      <c r="AI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</row>
    <row r="321" spans="1:47" s="9" customFormat="1" ht="24" customHeight="1" x14ac:dyDescent="0.35">
      <c r="A321" s="175">
        <f t="shared" ca="1" si="6"/>
        <v>1</v>
      </c>
      <c r="B321" s="139" t="str">
        <f t="shared" si="4"/>
        <v>CO</v>
      </c>
      <c r="C321" s="137" t="s">
        <v>384</v>
      </c>
      <c r="E321" s="219" t="str">
        <f ca="1">_xll.DBRA(Server&amp;$C$24,$C321,$F$21)</f>
        <v>Location Bâtiment (CO)</v>
      </c>
      <c r="F321" s="219"/>
      <c r="G321" s="219"/>
      <c r="H321" s="40"/>
      <c r="I321" s="192">
        <f ca="1">_xll.DBRW(Server&amp;Cube1,$F$17,$F$18,$F$19,$F$16,$C$14,$F$15,$F$14,$F$20,I$2,I$1,$C321)</f>
        <v>0</v>
      </c>
      <c r="J321" s="192">
        <f ca="1">_xll.DBRW(Server&amp;Cube1,$F$17,$F$18,$F$19,$F$16,$C$14,$F$15,$F$14,$F$20,J$2,J$1,$C321)</f>
        <v>0</v>
      </c>
      <c r="K321" s="183"/>
      <c r="L321" s="185">
        <f ca="1">_xll.DBRW(Server&amp;Cube1,$F$17,$F$18,$F$19,$F$16,$C$14,$F$15,$F$14,$F$20,L$2,L$1,$C321)</f>
        <v>0</v>
      </c>
      <c r="M321" s="184"/>
      <c r="N321" s="185">
        <f ca="1">_xll.DBRW(Server&amp;Cube1,$F$17,$F$18,$F$19,$F$16,$C$14,$F$15,$F$14,$F$20,N$2,$N$1,$C321)</f>
        <v>0</v>
      </c>
      <c r="O321" s="185">
        <f ca="1">_xll.DBRW(Server&amp;Cube1,$F$17,$F$18,$F$19,$F$16,$C$14,$F$15,$F$14,$F$20,O$2,$N$1,$C321)</f>
        <v>0</v>
      </c>
      <c r="P321" s="185">
        <f ca="1">_xll.DBRW(Server&amp;Cube1,$F$17,$F$18,$F$19,$F$16,$C$14,$F$15,$F$14,$F$20,P$2,$N$1,$C321)</f>
        <v>0</v>
      </c>
      <c r="Q321" s="185">
        <f ca="1">_xll.DBRW(Server&amp;Cube1,$F$17,$F$18,$F$19,$F$16,$C$14,$F$15,$F$14,$F$20,Q$2,$N$1,$C321)</f>
        <v>0</v>
      </c>
      <c r="R321" s="185">
        <f ca="1">_xll.DBRW(Server&amp;Cube1,$F$17,$F$18,$F$19,$F$16,$C$14,$F$15,$F$14,$F$20,R$2,$N$1,$C321)</f>
        <v>0</v>
      </c>
      <c r="S321" s="185">
        <f ca="1">_xll.DBRW(Server&amp;Cube1,$F$17,$F$18,$F$19,$F$16,$C$14,$F$15,$F$14,$F$20,S$2,$N$1,$C321)</f>
        <v>0</v>
      </c>
      <c r="T321" s="185">
        <f ca="1">_xll.DBRW(Server&amp;Cube1,$F$17,$F$18,$F$19,$F$16,$C$14,$F$15,$F$14,$F$20,T$2,$N$1,$C321)</f>
        <v>0</v>
      </c>
      <c r="U321" s="185">
        <f ca="1">_xll.DBRW(Server&amp;Cube1,$F$17,$F$18,$F$19,$F$16,$C$14,$F$15,$F$14,$F$20,U$2,$N$1,$C321)</f>
        <v>0</v>
      </c>
      <c r="V321" s="185">
        <f ca="1">_xll.DBRW(Server&amp;Cube1,$F$17,$F$18,$F$19,$F$16,$C$14,$F$15,$F$14,$F$20,V$2,$N$1,$C321)</f>
        <v>0</v>
      </c>
      <c r="W321" s="185">
        <f ca="1">_xll.DBRW(Server&amp;Cube1,$F$17,$F$18,$F$19,$F$16,$C$14,$F$15,$F$14,$F$20,W$2,$N$1,$C321)</f>
        <v>0</v>
      </c>
      <c r="X321" s="185">
        <f ca="1">_xll.DBRW(Server&amp;Cube1,$F$17,$F$18,$F$19,$F$16,$C$14,$F$15,$F$14,$F$20,X$2,$N$1,$C321)</f>
        <v>0</v>
      </c>
      <c r="Y321" s="185">
        <f ca="1">_xll.DBRW(Server&amp;Cube1,$F$17,$F$18,$F$19,$F$16,$C$14,$F$15,$F$14,$F$20,Y$2,$N$1,$C321)</f>
        <v>0</v>
      </c>
      <c r="Z321" s="185">
        <f ca="1">_xll.DBRW(Server&amp;Cube1,$F$17,$F$18,$F$19,$F$16,$C$14,$F$15,$F$14,$F$20,Z$2,$N$1,$C321)</f>
        <v>0</v>
      </c>
      <c r="AA321" s="53"/>
      <c r="AB321" s="53"/>
      <c r="AC321" s="53"/>
      <c r="AD321" s="53"/>
      <c r="AE321" s="53"/>
      <c r="AF321" s="53"/>
      <c r="AG321" s="53"/>
      <c r="AH321" s="53"/>
      <c r="AI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</row>
    <row r="322" spans="1:47" s="9" customFormat="1" ht="24" customHeight="1" x14ac:dyDescent="0.35">
      <c r="A322" s="175">
        <f t="shared" ca="1" si="6"/>
        <v>1</v>
      </c>
      <c r="B322" s="139" t="str">
        <f t="shared" si="4"/>
        <v>GS</v>
      </c>
      <c r="C322" s="137" t="s">
        <v>385</v>
      </c>
      <c r="E322" s="219" t="str">
        <f ca="1">_xll.DBRA(Server&amp;$C$24,$C322,$F$21)</f>
        <v>Location Bâtiment (SG)</v>
      </c>
      <c r="F322" s="219"/>
      <c r="G322" s="219"/>
      <c r="H322" s="40"/>
      <c r="I322" s="192">
        <f ca="1">_xll.DBRW(Server&amp;Cube1,$F$17,$F$18,$F$19,$F$16,$C$14,$F$15,$F$14,$F$20,I$2,I$1,$C322)</f>
        <v>0</v>
      </c>
      <c r="J322" s="192">
        <f ca="1">_xll.DBRW(Server&amp;Cube1,$F$17,$F$18,$F$19,$F$16,$C$14,$F$15,$F$14,$F$20,J$2,J$1,$C322)</f>
        <v>0</v>
      </c>
      <c r="K322" s="183"/>
      <c r="L322" s="185">
        <f ca="1">_xll.DBRW(Server&amp;Cube1,$F$17,$F$18,$F$19,$F$16,$C$14,$F$15,$F$14,$F$20,L$2,L$1,$C322)</f>
        <v>0</v>
      </c>
      <c r="M322" s="184"/>
      <c r="N322" s="185">
        <f ca="1">_xll.DBRW(Server&amp;Cube1,$F$17,$F$18,$F$19,$F$16,$C$14,$F$15,$F$14,$F$20,N$2,$N$1,$C322)</f>
        <v>0</v>
      </c>
      <c r="O322" s="185">
        <f ca="1">_xll.DBRW(Server&amp;Cube1,$F$17,$F$18,$F$19,$F$16,$C$14,$F$15,$F$14,$F$20,O$2,$N$1,$C322)</f>
        <v>0</v>
      </c>
      <c r="P322" s="185">
        <f ca="1">_xll.DBRW(Server&amp;Cube1,$F$17,$F$18,$F$19,$F$16,$C$14,$F$15,$F$14,$F$20,P$2,$N$1,$C322)</f>
        <v>0</v>
      </c>
      <c r="Q322" s="185">
        <f ca="1">_xll.DBRW(Server&amp;Cube1,$F$17,$F$18,$F$19,$F$16,$C$14,$F$15,$F$14,$F$20,Q$2,$N$1,$C322)</f>
        <v>0</v>
      </c>
      <c r="R322" s="185">
        <f ca="1">_xll.DBRW(Server&amp;Cube1,$F$17,$F$18,$F$19,$F$16,$C$14,$F$15,$F$14,$F$20,R$2,$N$1,$C322)</f>
        <v>0</v>
      </c>
      <c r="S322" s="185">
        <f ca="1">_xll.DBRW(Server&amp;Cube1,$F$17,$F$18,$F$19,$F$16,$C$14,$F$15,$F$14,$F$20,S$2,$N$1,$C322)</f>
        <v>0</v>
      </c>
      <c r="T322" s="185">
        <f ca="1">_xll.DBRW(Server&amp;Cube1,$F$17,$F$18,$F$19,$F$16,$C$14,$F$15,$F$14,$F$20,T$2,$N$1,$C322)</f>
        <v>0</v>
      </c>
      <c r="U322" s="185">
        <f ca="1">_xll.DBRW(Server&amp;Cube1,$F$17,$F$18,$F$19,$F$16,$C$14,$F$15,$F$14,$F$20,U$2,$N$1,$C322)</f>
        <v>0</v>
      </c>
      <c r="V322" s="185">
        <f ca="1">_xll.DBRW(Server&amp;Cube1,$F$17,$F$18,$F$19,$F$16,$C$14,$F$15,$F$14,$F$20,V$2,$N$1,$C322)</f>
        <v>0</v>
      </c>
      <c r="W322" s="185">
        <f ca="1">_xll.DBRW(Server&amp;Cube1,$F$17,$F$18,$F$19,$F$16,$C$14,$F$15,$F$14,$F$20,W$2,$N$1,$C322)</f>
        <v>0</v>
      </c>
      <c r="X322" s="185">
        <f ca="1">_xll.DBRW(Server&amp;Cube1,$F$17,$F$18,$F$19,$F$16,$C$14,$F$15,$F$14,$F$20,X$2,$N$1,$C322)</f>
        <v>0</v>
      </c>
      <c r="Y322" s="185">
        <f ca="1">_xll.DBRW(Server&amp;Cube1,$F$17,$F$18,$F$19,$F$16,$C$14,$F$15,$F$14,$F$20,Y$2,$N$1,$C322)</f>
        <v>0</v>
      </c>
      <c r="Z322" s="185">
        <f ca="1">_xll.DBRW(Server&amp;Cube1,$F$17,$F$18,$F$19,$F$16,$C$14,$F$15,$F$14,$F$20,Z$2,$N$1,$C322)</f>
        <v>0</v>
      </c>
      <c r="AA322" s="53"/>
      <c r="AB322" s="53"/>
      <c r="AC322" s="53"/>
      <c r="AD322" s="53"/>
      <c r="AE322" s="53"/>
      <c r="AF322" s="53"/>
      <c r="AG322" s="53"/>
      <c r="AH322" s="53"/>
      <c r="AI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</row>
    <row r="323" spans="1:47" s="9" customFormat="1" ht="24" customHeight="1" x14ac:dyDescent="0.35">
      <c r="A323" s="175">
        <f t="shared" ca="1" si="6"/>
        <v>1</v>
      </c>
      <c r="B323" s="139" t="str">
        <f t="shared" si="4"/>
        <v>RD</v>
      </c>
      <c r="C323" s="137" t="s">
        <v>386</v>
      </c>
      <c r="E323" s="219" t="str">
        <f ca="1">_xll.DBRA(Server&amp;$C$24,$C323,$F$21)</f>
        <v>Location Bâtiment (RD)</v>
      </c>
      <c r="F323" s="219"/>
      <c r="G323" s="219"/>
      <c r="H323" s="40"/>
      <c r="I323" s="192">
        <f ca="1">_xll.DBRW(Server&amp;Cube1,$F$17,$F$18,$F$19,$F$16,$C$14,$F$15,$F$14,$F$20,I$2,I$1,$C323)</f>
        <v>0</v>
      </c>
      <c r="J323" s="192">
        <f ca="1">_xll.DBRW(Server&amp;Cube1,$F$17,$F$18,$F$19,$F$16,$C$14,$F$15,$F$14,$F$20,J$2,J$1,$C323)</f>
        <v>0</v>
      </c>
      <c r="K323" s="183"/>
      <c r="L323" s="185">
        <f ca="1">_xll.DBRW(Server&amp;Cube1,$F$17,$F$18,$F$19,$F$16,$C$14,$F$15,$F$14,$F$20,L$2,L$1,$C323)</f>
        <v>0</v>
      </c>
      <c r="M323" s="184"/>
      <c r="N323" s="185">
        <f ca="1">_xll.DBRW(Server&amp;Cube1,$F$17,$F$18,$F$19,$F$16,$C$14,$F$15,$F$14,$F$20,N$2,$N$1,$C323)</f>
        <v>0</v>
      </c>
      <c r="O323" s="185">
        <f ca="1">_xll.DBRW(Server&amp;Cube1,$F$17,$F$18,$F$19,$F$16,$C$14,$F$15,$F$14,$F$20,O$2,$N$1,$C323)</f>
        <v>0</v>
      </c>
      <c r="P323" s="185">
        <f ca="1">_xll.DBRW(Server&amp;Cube1,$F$17,$F$18,$F$19,$F$16,$C$14,$F$15,$F$14,$F$20,P$2,$N$1,$C323)</f>
        <v>0</v>
      </c>
      <c r="Q323" s="185">
        <f ca="1">_xll.DBRW(Server&amp;Cube1,$F$17,$F$18,$F$19,$F$16,$C$14,$F$15,$F$14,$F$20,Q$2,$N$1,$C323)</f>
        <v>0</v>
      </c>
      <c r="R323" s="185">
        <f ca="1">_xll.DBRW(Server&amp;Cube1,$F$17,$F$18,$F$19,$F$16,$C$14,$F$15,$F$14,$F$20,R$2,$N$1,$C323)</f>
        <v>0</v>
      </c>
      <c r="S323" s="185">
        <f ca="1">_xll.DBRW(Server&amp;Cube1,$F$17,$F$18,$F$19,$F$16,$C$14,$F$15,$F$14,$F$20,S$2,$N$1,$C323)</f>
        <v>0</v>
      </c>
      <c r="T323" s="185">
        <f ca="1">_xll.DBRW(Server&amp;Cube1,$F$17,$F$18,$F$19,$F$16,$C$14,$F$15,$F$14,$F$20,T$2,$N$1,$C323)</f>
        <v>0</v>
      </c>
      <c r="U323" s="185">
        <f ca="1">_xll.DBRW(Server&amp;Cube1,$F$17,$F$18,$F$19,$F$16,$C$14,$F$15,$F$14,$F$20,U$2,$N$1,$C323)</f>
        <v>0</v>
      </c>
      <c r="V323" s="185">
        <f ca="1">_xll.DBRW(Server&amp;Cube1,$F$17,$F$18,$F$19,$F$16,$C$14,$F$15,$F$14,$F$20,V$2,$N$1,$C323)</f>
        <v>0</v>
      </c>
      <c r="W323" s="185">
        <f ca="1">_xll.DBRW(Server&amp;Cube1,$F$17,$F$18,$F$19,$F$16,$C$14,$F$15,$F$14,$F$20,W$2,$N$1,$C323)</f>
        <v>0</v>
      </c>
      <c r="X323" s="185">
        <f ca="1">_xll.DBRW(Server&amp;Cube1,$F$17,$F$18,$F$19,$F$16,$C$14,$F$15,$F$14,$F$20,X$2,$N$1,$C323)</f>
        <v>0</v>
      </c>
      <c r="Y323" s="185">
        <f ca="1">_xll.DBRW(Server&amp;Cube1,$F$17,$F$18,$F$19,$F$16,$C$14,$F$15,$F$14,$F$20,Y$2,$N$1,$C323)</f>
        <v>0</v>
      </c>
      <c r="Z323" s="185">
        <f ca="1">_xll.DBRW(Server&amp;Cube1,$F$17,$F$18,$F$19,$F$16,$C$14,$F$15,$F$14,$F$20,Z$2,$N$1,$C323)</f>
        <v>0</v>
      </c>
      <c r="AA323" s="53"/>
      <c r="AB323" s="53"/>
      <c r="AC323" s="53"/>
      <c r="AD323" s="53"/>
      <c r="AE323" s="53"/>
      <c r="AF323" s="53"/>
      <c r="AG323" s="53"/>
      <c r="AH323" s="53"/>
      <c r="AI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</row>
    <row r="324" spans="1:47" s="9" customFormat="1" ht="24" customHeight="1" x14ac:dyDescent="0.35">
      <c r="A324" s="157">
        <f ca="1">IF($AN$35="YES",1,IF(_xll.ELCOMPN(Server&amp;$C$24,C324)&lt;&gt;0,1,IF(OR(B324=$AT$35,B324="ALL"),1,0)))</f>
        <v>1</v>
      </c>
      <c r="B324" s="139" t="str">
        <f t="shared" si="4"/>
        <v>co</v>
      </c>
      <c r="C324" s="113" t="s">
        <v>117</v>
      </c>
      <c r="E324" s="220" t="str">
        <f ca="1">_xll.DBRA(Server&amp;$C$24,$C324,$F$21)</f>
        <v>Autres coûts liés au personnel</v>
      </c>
      <c r="F324" s="220"/>
      <c r="G324" s="220"/>
      <c r="H324" s="40"/>
      <c r="I324" s="190">
        <f ca="1">_xll.DBRW(Server&amp;Cube1,$F$17,$F$18,$F$19,$F$16,$C$14,$F$15,$F$14,$F$20,I$2,I$1,$C324)</f>
        <v>0</v>
      </c>
      <c r="J324" s="190">
        <f ca="1">_xll.DBRW(Server&amp;Cube1,$F$17,$F$18,$F$19,$F$16,$C$14,$F$15,$F$14,$F$20,J$2,J$1,$C324)</f>
        <v>0</v>
      </c>
      <c r="K324" s="180"/>
      <c r="L324" s="191">
        <f ca="1">_xll.DBRW(Server&amp;Cube1,$F$17,$F$18,$F$19,$F$16,$C$14,$F$15,$F$14,$F$20,L$2,L$1,$C324)</f>
        <v>0</v>
      </c>
      <c r="M324" s="181"/>
      <c r="N324" s="191">
        <f ca="1">_xll.DBRW(Server&amp;Cube1,$F$17,$F$18,$F$19,$F$16,$C$14,$F$15,$F$14,$F$20,N$2,$N$1,$C324)</f>
        <v>0</v>
      </c>
      <c r="O324" s="191">
        <f ca="1">_xll.DBRW(Server&amp;Cube1,$F$17,$F$18,$F$19,$F$16,$C$14,$F$15,$F$14,$F$20,O$2,$N$1,$C324)</f>
        <v>0</v>
      </c>
      <c r="P324" s="191">
        <f ca="1">_xll.DBRW(Server&amp;Cube1,$F$17,$F$18,$F$19,$F$16,$C$14,$F$15,$F$14,$F$20,P$2,$N$1,$C324)</f>
        <v>0</v>
      </c>
      <c r="Q324" s="191">
        <f ca="1">_xll.DBRW(Server&amp;Cube1,$F$17,$F$18,$F$19,$F$16,$C$14,$F$15,$F$14,$F$20,Q$2,$N$1,$C324)</f>
        <v>0</v>
      </c>
      <c r="R324" s="191">
        <f ca="1">_xll.DBRW(Server&amp;Cube1,$F$17,$F$18,$F$19,$F$16,$C$14,$F$15,$F$14,$F$20,R$2,$N$1,$C324)</f>
        <v>0</v>
      </c>
      <c r="S324" s="191">
        <f ca="1">_xll.DBRW(Server&amp;Cube1,$F$17,$F$18,$F$19,$F$16,$C$14,$F$15,$F$14,$F$20,S$2,$N$1,$C324)</f>
        <v>0</v>
      </c>
      <c r="T324" s="191">
        <f ca="1">_xll.DBRW(Server&amp;Cube1,$F$17,$F$18,$F$19,$F$16,$C$14,$F$15,$F$14,$F$20,T$2,$N$1,$C324)</f>
        <v>0</v>
      </c>
      <c r="U324" s="191">
        <f ca="1">_xll.DBRW(Server&amp;Cube1,$F$17,$F$18,$F$19,$F$16,$C$14,$F$15,$F$14,$F$20,U$2,$N$1,$C324)</f>
        <v>0</v>
      </c>
      <c r="V324" s="191">
        <f ca="1">_xll.DBRW(Server&amp;Cube1,$F$17,$F$18,$F$19,$F$16,$C$14,$F$15,$F$14,$F$20,V$2,$N$1,$C324)</f>
        <v>0</v>
      </c>
      <c r="W324" s="191">
        <f ca="1">_xll.DBRW(Server&amp;Cube1,$F$17,$F$18,$F$19,$F$16,$C$14,$F$15,$F$14,$F$20,W$2,$N$1,$C324)</f>
        <v>0</v>
      </c>
      <c r="X324" s="191">
        <f ca="1">_xll.DBRW(Server&amp;Cube1,$F$17,$F$18,$F$19,$F$16,$C$14,$F$15,$F$14,$F$20,X$2,$N$1,$C324)</f>
        <v>0</v>
      </c>
      <c r="Y324" s="191">
        <f ca="1">_xll.DBRW(Server&amp;Cube1,$F$17,$F$18,$F$19,$F$16,$C$14,$F$15,$F$14,$F$20,Y$2,$N$1,$C324)</f>
        <v>0</v>
      </c>
      <c r="Z324" s="191">
        <f ca="1">_xll.DBRW(Server&amp;Cube1,$F$17,$F$18,$F$19,$F$16,$C$14,$F$15,$F$14,$F$20,Z$2,$N$1,$C324)</f>
        <v>0</v>
      </c>
      <c r="AA324" s="53"/>
      <c r="AB324" s="53"/>
      <c r="AC324" s="53"/>
      <c r="AD324" s="53"/>
      <c r="AE324" s="53"/>
      <c r="AF324" s="53"/>
      <c r="AG324" s="53"/>
      <c r="AH324" s="53"/>
      <c r="AI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</row>
    <row r="325" spans="1:47" s="9" customFormat="1" ht="24" customHeight="1" x14ac:dyDescent="0.35">
      <c r="A325" s="157">
        <f ca="1">IF($AN$35="YES",1,IF(_xll.ELCOMPN(Server&amp;$C$24,C325)&lt;&gt;0,1,IF(OR(B325=$AT$35,B325="ALL"),1,0)))</f>
        <v>1</v>
      </c>
      <c r="B325" s="139" t="str">
        <f t="shared" si="4"/>
        <v>ve</v>
      </c>
      <c r="C325" s="111" t="s">
        <v>118</v>
      </c>
      <c r="E325" s="221" t="str">
        <f ca="1">_xll.DBRA(Server&amp;$C$24,$C325,$F$21)</f>
        <v>Cout véhicules de fonction</v>
      </c>
      <c r="F325" s="221"/>
      <c r="G325" s="221"/>
      <c r="H325" s="40"/>
      <c r="I325" s="192">
        <f ca="1">_xll.DBRW(Server&amp;Cube1,$F$17,$F$18,$F$19,$F$16,$C$14,$F$15,$F$14,$F$20,I$2,I$1,$C325)</f>
        <v>0</v>
      </c>
      <c r="J325" s="192">
        <f ca="1">_xll.DBRW(Server&amp;Cube1,$F$17,$F$18,$F$19,$F$16,$C$14,$F$15,$F$14,$F$20,J$2,J$1,$C325)</f>
        <v>0</v>
      </c>
      <c r="K325" s="183"/>
      <c r="L325" s="181">
        <f ca="1">_xll.DBRW(Server&amp;Cube1,$F$17,$F$18,$F$19,$F$16,$C$14,$F$15,$F$14,$F$20,L$2,L$1,$C325)</f>
        <v>0</v>
      </c>
      <c r="M325" s="181"/>
      <c r="N325" s="181">
        <f ca="1">_xll.DBRW(Server&amp;Cube1,$F$17,$F$18,$F$19,$F$16,$C$14,$F$15,$F$14,$F$20,N$2,$N$1,$C325)</f>
        <v>0</v>
      </c>
      <c r="O325" s="181">
        <f ca="1">_xll.DBRW(Server&amp;Cube1,$F$17,$F$18,$F$19,$F$16,$C$14,$F$15,$F$14,$F$20,O$2,$N$1,$C325)</f>
        <v>0</v>
      </c>
      <c r="P325" s="181">
        <f ca="1">_xll.DBRW(Server&amp;Cube1,$F$17,$F$18,$F$19,$F$16,$C$14,$F$15,$F$14,$F$20,P$2,$N$1,$C325)</f>
        <v>0</v>
      </c>
      <c r="Q325" s="181">
        <f ca="1">_xll.DBRW(Server&amp;Cube1,$F$17,$F$18,$F$19,$F$16,$C$14,$F$15,$F$14,$F$20,Q$2,$N$1,$C325)</f>
        <v>0</v>
      </c>
      <c r="R325" s="181">
        <f ca="1">_xll.DBRW(Server&amp;Cube1,$F$17,$F$18,$F$19,$F$16,$C$14,$F$15,$F$14,$F$20,R$2,$N$1,$C325)</f>
        <v>0</v>
      </c>
      <c r="S325" s="181">
        <f ca="1">_xll.DBRW(Server&amp;Cube1,$F$17,$F$18,$F$19,$F$16,$C$14,$F$15,$F$14,$F$20,S$2,$N$1,$C325)</f>
        <v>0</v>
      </c>
      <c r="T325" s="181">
        <f ca="1">_xll.DBRW(Server&amp;Cube1,$F$17,$F$18,$F$19,$F$16,$C$14,$F$15,$F$14,$F$20,T$2,$N$1,$C325)</f>
        <v>0</v>
      </c>
      <c r="U325" s="181">
        <f ca="1">_xll.DBRW(Server&amp;Cube1,$F$17,$F$18,$F$19,$F$16,$C$14,$F$15,$F$14,$F$20,U$2,$N$1,$C325)</f>
        <v>0</v>
      </c>
      <c r="V325" s="181">
        <f ca="1">_xll.DBRW(Server&amp;Cube1,$F$17,$F$18,$F$19,$F$16,$C$14,$F$15,$F$14,$F$20,V$2,$N$1,$C325)</f>
        <v>0</v>
      </c>
      <c r="W325" s="181">
        <f ca="1">_xll.DBRW(Server&amp;Cube1,$F$17,$F$18,$F$19,$F$16,$C$14,$F$15,$F$14,$F$20,W$2,$N$1,$C325)</f>
        <v>0</v>
      </c>
      <c r="X325" s="181">
        <f ca="1">_xll.DBRW(Server&amp;Cube1,$F$17,$F$18,$F$19,$F$16,$C$14,$F$15,$F$14,$F$20,X$2,$N$1,$C325)</f>
        <v>0</v>
      </c>
      <c r="Y325" s="181">
        <f ca="1">_xll.DBRW(Server&amp;Cube1,$F$17,$F$18,$F$19,$F$16,$C$14,$F$15,$F$14,$F$20,Y$2,$N$1,$C325)</f>
        <v>0</v>
      </c>
      <c r="Z325" s="181">
        <f ca="1">_xll.DBRW(Server&amp;Cube1,$F$17,$F$18,$F$19,$F$16,$C$14,$F$15,$F$14,$F$20,Z$2,$N$1,$C325)</f>
        <v>0</v>
      </c>
      <c r="AA325" s="53"/>
      <c r="AB325" s="53"/>
      <c r="AC325" s="53"/>
      <c r="AD325" s="53"/>
      <c r="AE325" s="53"/>
      <c r="AF325" s="53"/>
      <c r="AG325" s="53"/>
      <c r="AH325" s="53"/>
      <c r="AI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</row>
    <row r="326" spans="1:47" s="9" customFormat="1" ht="24" customHeight="1" x14ac:dyDescent="0.35">
      <c r="A326" s="157">
        <f ca="1">IF($AN$35="YES",1,IF(_xll.ELCOMPN(Server&amp;$C$24,C326)&lt;&gt;0,1,IF(OR(B326=$AT$35,B326="ALL"),1,0)))</f>
        <v>1</v>
      </c>
      <c r="B326" s="139" t="str">
        <f t="shared" si="4"/>
        <v>DS</v>
      </c>
      <c r="C326" s="137" t="s">
        <v>387</v>
      </c>
      <c r="E326" s="219" t="str">
        <f ca="1">_xll.DBRA(Server&amp;$C$24,$C326,$F$21)</f>
        <v>Cout véhicules de fonction (SO)</v>
      </c>
      <c r="F326" s="219"/>
      <c r="G326" s="219"/>
      <c r="H326" s="40"/>
      <c r="I326" s="192">
        <f ca="1">_xll.DBRW(Server&amp;Cube1,$F$17,$F$18,$F$19,$F$16,$C$14,$F$15,$F$14,$F$20,I$2,I$1,$C326)</f>
        <v>0</v>
      </c>
      <c r="J326" s="192">
        <f ca="1">_xll.DBRW(Server&amp;Cube1,$F$17,$F$18,$F$19,$F$16,$C$14,$F$15,$F$14,$F$20,J$2,J$1,$C326)</f>
        <v>0</v>
      </c>
      <c r="K326" s="183"/>
      <c r="L326" s="185">
        <f ca="1">_xll.DBRW(Server&amp;Cube1,$F$17,$F$18,$F$19,$F$16,$C$14,$F$15,$F$14,$F$20,L$2,L$1,$C326)</f>
        <v>0</v>
      </c>
      <c r="M326" s="184"/>
      <c r="N326" s="185">
        <f ca="1">_xll.DBRW(Server&amp;Cube1,$F$17,$F$18,$F$19,$F$16,$C$14,$F$15,$F$14,$F$20,N$2,$N$1,$C326)</f>
        <v>0</v>
      </c>
      <c r="O326" s="185">
        <f ca="1">_xll.DBRW(Server&amp;Cube1,$F$17,$F$18,$F$19,$F$16,$C$14,$F$15,$F$14,$F$20,O$2,$N$1,$C326)</f>
        <v>0</v>
      </c>
      <c r="P326" s="185">
        <f ca="1">_xll.DBRW(Server&amp;Cube1,$F$17,$F$18,$F$19,$F$16,$C$14,$F$15,$F$14,$F$20,P$2,$N$1,$C326)</f>
        <v>0</v>
      </c>
      <c r="Q326" s="185">
        <f ca="1">_xll.DBRW(Server&amp;Cube1,$F$17,$F$18,$F$19,$F$16,$C$14,$F$15,$F$14,$F$20,Q$2,$N$1,$C326)</f>
        <v>0</v>
      </c>
      <c r="R326" s="185">
        <f ca="1">_xll.DBRW(Server&amp;Cube1,$F$17,$F$18,$F$19,$F$16,$C$14,$F$15,$F$14,$F$20,R$2,$N$1,$C326)</f>
        <v>0</v>
      </c>
      <c r="S326" s="185">
        <f ca="1">_xll.DBRW(Server&amp;Cube1,$F$17,$F$18,$F$19,$F$16,$C$14,$F$15,$F$14,$F$20,S$2,$N$1,$C326)</f>
        <v>0</v>
      </c>
      <c r="T326" s="185">
        <f ca="1">_xll.DBRW(Server&amp;Cube1,$F$17,$F$18,$F$19,$F$16,$C$14,$F$15,$F$14,$F$20,T$2,$N$1,$C326)</f>
        <v>0</v>
      </c>
      <c r="U326" s="185">
        <f ca="1">_xll.DBRW(Server&amp;Cube1,$F$17,$F$18,$F$19,$F$16,$C$14,$F$15,$F$14,$F$20,U$2,$N$1,$C326)</f>
        <v>0</v>
      </c>
      <c r="V326" s="185">
        <f ca="1">_xll.DBRW(Server&amp;Cube1,$F$17,$F$18,$F$19,$F$16,$C$14,$F$15,$F$14,$F$20,V$2,$N$1,$C326)</f>
        <v>0</v>
      </c>
      <c r="W326" s="185">
        <f ca="1">_xll.DBRW(Server&amp;Cube1,$F$17,$F$18,$F$19,$F$16,$C$14,$F$15,$F$14,$F$20,W$2,$N$1,$C326)</f>
        <v>0</v>
      </c>
      <c r="X326" s="185">
        <f ca="1">_xll.DBRW(Server&amp;Cube1,$F$17,$F$18,$F$19,$F$16,$C$14,$F$15,$F$14,$F$20,X$2,$N$1,$C326)</f>
        <v>0</v>
      </c>
      <c r="Y326" s="185">
        <f ca="1">_xll.DBRW(Server&amp;Cube1,$F$17,$F$18,$F$19,$F$16,$C$14,$F$15,$F$14,$F$20,Y$2,$N$1,$C326)</f>
        <v>0</v>
      </c>
      <c r="Z326" s="185">
        <f ca="1">_xll.DBRW(Server&amp;Cube1,$F$17,$F$18,$F$19,$F$16,$C$14,$F$15,$F$14,$F$20,Z$2,$N$1,$C326)</f>
        <v>0</v>
      </c>
      <c r="AA326" s="53"/>
      <c r="AB326" s="53"/>
      <c r="AC326" s="53"/>
      <c r="AD326" s="53"/>
      <c r="AE326" s="53"/>
      <c r="AF326" s="53"/>
      <c r="AG326" s="53"/>
      <c r="AH326" s="53"/>
      <c r="AI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</row>
    <row r="327" spans="1:47" s="9" customFormat="1" ht="24" customHeight="1" x14ac:dyDescent="0.35">
      <c r="A327" s="157">
        <f ca="1">IF($AN$35="YES",1,IF(_xll.ELCOMPN(Server&amp;$C$24,C327)&lt;&gt;0,1,IF(OR(B327=$AT$35,B327="ALL"),1,0)))</f>
        <v>1</v>
      </c>
      <c r="B327" s="139" t="str">
        <f t="shared" si="4"/>
        <v>BD</v>
      </c>
      <c r="C327" s="137" t="s">
        <v>388</v>
      </c>
      <c r="E327" s="219" t="str">
        <f ca="1">_xll.DBRA(Server&amp;$C$24,$C327,$F$21)</f>
        <v>Cout véhicules de fonction (DC)</v>
      </c>
      <c r="F327" s="219"/>
      <c r="G327" s="219"/>
      <c r="H327" s="40"/>
      <c r="I327" s="192">
        <f ca="1">_xll.DBRW(Server&amp;Cube1,$F$17,$F$18,$F$19,$F$16,$C$14,$F$15,$F$14,$F$20,I$2,I$1,$C327)</f>
        <v>0</v>
      </c>
      <c r="J327" s="192">
        <f ca="1">_xll.DBRW(Server&amp;Cube1,$F$17,$F$18,$F$19,$F$16,$C$14,$F$15,$F$14,$F$20,J$2,J$1,$C327)</f>
        <v>0</v>
      </c>
      <c r="K327" s="183"/>
      <c r="L327" s="185">
        <f ca="1">_xll.DBRW(Server&amp;Cube1,$F$17,$F$18,$F$19,$F$16,$C$14,$F$15,$F$14,$F$20,L$2,L$1,$C327)</f>
        <v>0</v>
      </c>
      <c r="M327" s="184"/>
      <c r="N327" s="185">
        <f ca="1">_xll.DBRW(Server&amp;Cube1,$F$17,$F$18,$F$19,$F$16,$C$14,$F$15,$F$14,$F$20,N$2,$N$1,$C327)</f>
        <v>0</v>
      </c>
      <c r="O327" s="185">
        <f ca="1">_xll.DBRW(Server&amp;Cube1,$F$17,$F$18,$F$19,$F$16,$C$14,$F$15,$F$14,$F$20,O$2,$N$1,$C327)</f>
        <v>0</v>
      </c>
      <c r="P327" s="185">
        <f ca="1">_xll.DBRW(Server&amp;Cube1,$F$17,$F$18,$F$19,$F$16,$C$14,$F$15,$F$14,$F$20,P$2,$N$1,$C327)</f>
        <v>0</v>
      </c>
      <c r="Q327" s="185">
        <f ca="1">_xll.DBRW(Server&amp;Cube1,$F$17,$F$18,$F$19,$F$16,$C$14,$F$15,$F$14,$F$20,Q$2,$N$1,$C327)</f>
        <v>0</v>
      </c>
      <c r="R327" s="185">
        <f ca="1">_xll.DBRW(Server&amp;Cube1,$F$17,$F$18,$F$19,$F$16,$C$14,$F$15,$F$14,$F$20,R$2,$N$1,$C327)</f>
        <v>0</v>
      </c>
      <c r="S327" s="185">
        <f ca="1">_xll.DBRW(Server&amp;Cube1,$F$17,$F$18,$F$19,$F$16,$C$14,$F$15,$F$14,$F$20,S$2,$N$1,$C327)</f>
        <v>0</v>
      </c>
      <c r="T327" s="185">
        <f ca="1">_xll.DBRW(Server&amp;Cube1,$F$17,$F$18,$F$19,$F$16,$C$14,$F$15,$F$14,$F$20,T$2,$N$1,$C327)</f>
        <v>0</v>
      </c>
      <c r="U327" s="185">
        <f ca="1">_xll.DBRW(Server&amp;Cube1,$F$17,$F$18,$F$19,$F$16,$C$14,$F$15,$F$14,$F$20,U$2,$N$1,$C327)</f>
        <v>0</v>
      </c>
      <c r="V327" s="185">
        <f ca="1">_xll.DBRW(Server&amp;Cube1,$F$17,$F$18,$F$19,$F$16,$C$14,$F$15,$F$14,$F$20,V$2,$N$1,$C327)</f>
        <v>0</v>
      </c>
      <c r="W327" s="185">
        <f ca="1">_xll.DBRW(Server&amp;Cube1,$F$17,$F$18,$F$19,$F$16,$C$14,$F$15,$F$14,$F$20,W$2,$N$1,$C327)</f>
        <v>0</v>
      </c>
      <c r="X327" s="185">
        <f ca="1">_xll.DBRW(Server&amp;Cube1,$F$17,$F$18,$F$19,$F$16,$C$14,$F$15,$F$14,$F$20,X$2,$N$1,$C327)</f>
        <v>0</v>
      </c>
      <c r="Y327" s="185">
        <f ca="1">_xll.DBRW(Server&amp;Cube1,$F$17,$F$18,$F$19,$F$16,$C$14,$F$15,$F$14,$F$20,Y$2,$N$1,$C327)</f>
        <v>0</v>
      </c>
      <c r="Z327" s="185">
        <f ca="1">_xll.DBRW(Server&amp;Cube1,$F$17,$F$18,$F$19,$F$16,$C$14,$F$15,$F$14,$F$20,Z$2,$N$1,$C327)</f>
        <v>0</v>
      </c>
      <c r="AA327" s="53"/>
      <c r="AB327" s="53"/>
      <c r="AC327" s="53"/>
      <c r="AD327" s="53"/>
      <c r="AE327" s="53"/>
      <c r="AF327" s="53"/>
      <c r="AG327" s="53"/>
      <c r="AH327" s="53"/>
      <c r="AI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</row>
    <row r="328" spans="1:47" s="9" customFormat="1" ht="24" customHeight="1" x14ac:dyDescent="0.35">
      <c r="A328" s="157">
        <f ca="1">IF($AN$35="YES",1,IF(_xll.ELCOMPN(Server&amp;$C$24,C328)&lt;&gt;0,1,IF(OR(B328=$AT$35,B328="ALL"),1,0)))</f>
        <v>1</v>
      </c>
      <c r="B328" s="139" t="str">
        <f t="shared" si="4"/>
        <v>FI</v>
      </c>
      <c r="C328" s="137" t="s">
        <v>389</v>
      </c>
      <c r="E328" s="219" t="str">
        <f ca="1">_xll.DBRA(Server&amp;$C$24,$C328,$F$21)</f>
        <v>Cout véhicules de fonction (DF)</v>
      </c>
      <c r="F328" s="219"/>
      <c r="G328" s="219"/>
      <c r="H328" s="40"/>
      <c r="I328" s="192">
        <f ca="1">_xll.DBRW(Server&amp;Cube1,$F$17,$F$18,$F$19,$F$16,$C$14,$F$15,$F$14,$F$20,I$2,I$1,$C328)</f>
        <v>0</v>
      </c>
      <c r="J328" s="192">
        <f ca="1">_xll.DBRW(Server&amp;Cube1,$F$17,$F$18,$F$19,$F$16,$C$14,$F$15,$F$14,$F$20,J$2,J$1,$C328)</f>
        <v>0</v>
      </c>
      <c r="K328" s="183"/>
      <c r="L328" s="185">
        <f ca="1">_xll.DBRW(Server&amp;Cube1,$F$17,$F$18,$F$19,$F$16,$C$14,$F$15,$F$14,$F$20,L$2,L$1,$C328)</f>
        <v>0</v>
      </c>
      <c r="M328" s="184"/>
      <c r="N328" s="185">
        <f ca="1">_xll.DBRW(Server&amp;Cube1,$F$17,$F$18,$F$19,$F$16,$C$14,$F$15,$F$14,$F$20,N$2,$N$1,$C328)</f>
        <v>0</v>
      </c>
      <c r="O328" s="185">
        <f ca="1">_xll.DBRW(Server&amp;Cube1,$F$17,$F$18,$F$19,$F$16,$C$14,$F$15,$F$14,$F$20,O$2,$N$1,$C328)</f>
        <v>0</v>
      </c>
      <c r="P328" s="185">
        <f ca="1">_xll.DBRW(Server&amp;Cube1,$F$17,$F$18,$F$19,$F$16,$C$14,$F$15,$F$14,$F$20,P$2,$N$1,$C328)</f>
        <v>0</v>
      </c>
      <c r="Q328" s="185">
        <f ca="1">_xll.DBRW(Server&amp;Cube1,$F$17,$F$18,$F$19,$F$16,$C$14,$F$15,$F$14,$F$20,Q$2,$N$1,$C328)</f>
        <v>0</v>
      </c>
      <c r="R328" s="185">
        <f ca="1">_xll.DBRW(Server&amp;Cube1,$F$17,$F$18,$F$19,$F$16,$C$14,$F$15,$F$14,$F$20,R$2,$N$1,$C328)</f>
        <v>0</v>
      </c>
      <c r="S328" s="185">
        <f ca="1">_xll.DBRW(Server&amp;Cube1,$F$17,$F$18,$F$19,$F$16,$C$14,$F$15,$F$14,$F$20,S$2,$N$1,$C328)</f>
        <v>0</v>
      </c>
      <c r="T328" s="185">
        <f ca="1">_xll.DBRW(Server&amp;Cube1,$F$17,$F$18,$F$19,$F$16,$C$14,$F$15,$F$14,$F$20,T$2,$N$1,$C328)</f>
        <v>0</v>
      </c>
      <c r="U328" s="185">
        <f ca="1">_xll.DBRW(Server&amp;Cube1,$F$17,$F$18,$F$19,$F$16,$C$14,$F$15,$F$14,$F$20,U$2,$N$1,$C328)</f>
        <v>0</v>
      </c>
      <c r="V328" s="185">
        <f ca="1">_xll.DBRW(Server&amp;Cube1,$F$17,$F$18,$F$19,$F$16,$C$14,$F$15,$F$14,$F$20,V$2,$N$1,$C328)</f>
        <v>0</v>
      </c>
      <c r="W328" s="185">
        <f ca="1">_xll.DBRW(Server&amp;Cube1,$F$17,$F$18,$F$19,$F$16,$C$14,$F$15,$F$14,$F$20,W$2,$N$1,$C328)</f>
        <v>0</v>
      </c>
      <c r="X328" s="185">
        <f ca="1">_xll.DBRW(Server&amp;Cube1,$F$17,$F$18,$F$19,$F$16,$C$14,$F$15,$F$14,$F$20,X$2,$N$1,$C328)</f>
        <v>0</v>
      </c>
      <c r="Y328" s="185">
        <f ca="1">_xll.DBRW(Server&amp;Cube1,$F$17,$F$18,$F$19,$F$16,$C$14,$F$15,$F$14,$F$20,Y$2,$N$1,$C328)</f>
        <v>0</v>
      </c>
      <c r="Z328" s="185">
        <f ca="1">_xll.DBRW(Server&amp;Cube1,$F$17,$F$18,$F$19,$F$16,$C$14,$F$15,$F$14,$F$20,Z$2,$N$1,$C328)</f>
        <v>0</v>
      </c>
      <c r="AA328" s="53"/>
      <c r="AB328" s="53"/>
      <c r="AC328" s="53"/>
      <c r="AD328" s="53"/>
      <c r="AE328" s="53"/>
      <c r="AF328" s="53"/>
      <c r="AG328" s="53"/>
      <c r="AH328" s="53"/>
      <c r="AI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</row>
    <row r="329" spans="1:47" s="9" customFormat="1" ht="24" customHeight="1" x14ac:dyDescent="0.35">
      <c r="A329" s="157">
        <f ca="1">IF($AN$35="YES",1,IF(_xll.ELCOMPN(Server&amp;$C$24,C329)&lt;&gt;0,1,IF(OR(B329=$AT$35,B329="ALL"),1,0)))</f>
        <v>1</v>
      </c>
      <c r="B329" s="139" t="str">
        <f t="shared" si="4"/>
        <v>IT</v>
      </c>
      <c r="C329" s="137" t="s">
        <v>390</v>
      </c>
      <c r="E329" s="219" t="str">
        <f ca="1">_xll.DBRA(Server&amp;$C$24,$C329,$F$21)</f>
        <v>Cout véhicules de fonction (IT)</v>
      </c>
      <c r="F329" s="219"/>
      <c r="G329" s="219"/>
      <c r="H329" s="40"/>
      <c r="I329" s="192">
        <f ca="1">_xll.DBRW(Server&amp;Cube1,$F$17,$F$18,$F$19,$F$16,$C$14,$F$15,$F$14,$F$20,I$2,I$1,$C329)</f>
        <v>0</v>
      </c>
      <c r="J329" s="192">
        <f ca="1">_xll.DBRW(Server&amp;Cube1,$F$17,$F$18,$F$19,$F$16,$C$14,$F$15,$F$14,$F$20,J$2,J$1,$C329)</f>
        <v>0</v>
      </c>
      <c r="K329" s="183"/>
      <c r="L329" s="185">
        <f ca="1">_xll.DBRW(Server&amp;Cube1,$F$17,$F$18,$F$19,$F$16,$C$14,$F$15,$F$14,$F$20,L$2,L$1,$C329)</f>
        <v>0</v>
      </c>
      <c r="M329" s="184"/>
      <c r="N329" s="185">
        <f ca="1">_xll.DBRW(Server&amp;Cube1,$F$17,$F$18,$F$19,$F$16,$C$14,$F$15,$F$14,$F$20,N$2,$N$1,$C329)</f>
        <v>0</v>
      </c>
      <c r="O329" s="185">
        <f ca="1">_xll.DBRW(Server&amp;Cube1,$F$17,$F$18,$F$19,$F$16,$C$14,$F$15,$F$14,$F$20,O$2,$N$1,$C329)</f>
        <v>0</v>
      </c>
      <c r="P329" s="185">
        <f ca="1">_xll.DBRW(Server&amp;Cube1,$F$17,$F$18,$F$19,$F$16,$C$14,$F$15,$F$14,$F$20,P$2,$N$1,$C329)</f>
        <v>0</v>
      </c>
      <c r="Q329" s="185">
        <f ca="1">_xll.DBRW(Server&amp;Cube1,$F$17,$F$18,$F$19,$F$16,$C$14,$F$15,$F$14,$F$20,Q$2,$N$1,$C329)</f>
        <v>0</v>
      </c>
      <c r="R329" s="185">
        <f ca="1">_xll.DBRW(Server&amp;Cube1,$F$17,$F$18,$F$19,$F$16,$C$14,$F$15,$F$14,$F$20,R$2,$N$1,$C329)</f>
        <v>0</v>
      </c>
      <c r="S329" s="185">
        <f ca="1">_xll.DBRW(Server&amp;Cube1,$F$17,$F$18,$F$19,$F$16,$C$14,$F$15,$F$14,$F$20,S$2,$N$1,$C329)</f>
        <v>0</v>
      </c>
      <c r="T329" s="185">
        <f ca="1">_xll.DBRW(Server&amp;Cube1,$F$17,$F$18,$F$19,$F$16,$C$14,$F$15,$F$14,$F$20,T$2,$N$1,$C329)</f>
        <v>0</v>
      </c>
      <c r="U329" s="185">
        <f ca="1">_xll.DBRW(Server&amp;Cube1,$F$17,$F$18,$F$19,$F$16,$C$14,$F$15,$F$14,$F$20,U$2,$N$1,$C329)</f>
        <v>0</v>
      </c>
      <c r="V329" s="185">
        <f ca="1">_xll.DBRW(Server&amp;Cube1,$F$17,$F$18,$F$19,$F$16,$C$14,$F$15,$F$14,$F$20,V$2,$N$1,$C329)</f>
        <v>0</v>
      </c>
      <c r="W329" s="185">
        <f ca="1">_xll.DBRW(Server&amp;Cube1,$F$17,$F$18,$F$19,$F$16,$C$14,$F$15,$F$14,$F$20,W$2,$N$1,$C329)</f>
        <v>0</v>
      </c>
      <c r="X329" s="185">
        <f ca="1">_xll.DBRW(Server&amp;Cube1,$F$17,$F$18,$F$19,$F$16,$C$14,$F$15,$F$14,$F$20,X$2,$N$1,$C329)</f>
        <v>0</v>
      </c>
      <c r="Y329" s="185">
        <f ca="1">_xll.DBRW(Server&amp;Cube1,$F$17,$F$18,$F$19,$F$16,$C$14,$F$15,$F$14,$F$20,Y$2,$N$1,$C329)</f>
        <v>0</v>
      </c>
      <c r="Z329" s="185">
        <f ca="1">_xll.DBRW(Server&amp;Cube1,$F$17,$F$18,$F$19,$F$16,$C$14,$F$15,$F$14,$F$20,Z$2,$N$1,$C329)</f>
        <v>0</v>
      </c>
      <c r="AA329" s="53"/>
      <c r="AB329" s="53"/>
      <c r="AC329" s="53"/>
      <c r="AD329" s="53"/>
      <c r="AE329" s="53"/>
      <c r="AF329" s="53"/>
      <c r="AG329" s="53"/>
      <c r="AH329" s="53"/>
      <c r="AI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</row>
    <row r="330" spans="1:47" s="9" customFormat="1" ht="24" customHeight="1" x14ac:dyDescent="0.35">
      <c r="A330" s="157">
        <f ca="1">IF($AN$35="YES",1,IF(_xll.ELCOMPN(Server&amp;$C$24,C330)&lt;&gt;0,1,IF(OR(B330=$AT$35,B330="ALL"),1,0)))</f>
        <v>1</v>
      </c>
      <c r="B330" s="139" t="str">
        <f t="shared" si="4"/>
        <v>HR</v>
      </c>
      <c r="C330" s="137" t="s">
        <v>391</v>
      </c>
      <c r="E330" s="219" t="str">
        <f ca="1">_xll.DBRA(Server&amp;$C$24,$C330,$F$21)</f>
        <v>Cout véhicules de fonction (RH)</v>
      </c>
      <c r="F330" s="219"/>
      <c r="G330" s="219"/>
      <c r="H330" s="40"/>
      <c r="I330" s="192">
        <f ca="1">_xll.DBRW(Server&amp;Cube1,$F$17,$F$18,$F$19,$F$16,$C$14,$F$15,$F$14,$F$20,I$2,I$1,$C330)</f>
        <v>0</v>
      </c>
      <c r="J330" s="192">
        <f ca="1">_xll.DBRW(Server&amp;Cube1,$F$17,$F$18,$F$19,$F$16,$C$14,$F$15,$F$14,$F$20,J$2,J$1,$C330)</f>
        <v>0</v>
      </c>
      <c r="K330" s="183"/>
      <c r="L330" s="185">
        <f ca="1">_xll.DBRW(Server&amp;Cube1,$F$17,$F$18,$F$19,$F$16,$C$14,$F$15,$F$14,$F$20,L$2,L$1,$C330)</f>
        <v>0</v>
      </c>
      <c r="M330" s="184"/>
      <c r="N330" s="185">
        <f ca="1">_xll.DBRW(Server&amp;Cube1,$F$17,$F$18,$F$19,$F$16,$C$14,$F$15,$F$14,$F$20,N$2,$N$1,$C330)</f>
        <v>0</v>
      </c>
      <c r="O330" s="185">
        <f ca="1">_xll.DBRW(Server&amp;Cube1,$F$17,$F$18,$F$19,$F$16,$C$14,$F$15,$F$14,$F$20,O$2,$N$1,$C330)</f>
        <v>0</v>
      </c>
      <c r="P330" s="185">
        <f ca="1">_xll.DBRW(Server&amp;Cube1,$F$17,$F$18,$F$19,$F$16,$C$14,$F$15,$F$14,$F$20,P$2,$N$1,$C330)</f>
        <v>0</v>
      </c>
      <c r="Q330" s="185">
        <f ca="1">_xll.DBRW(Server&amp;Cube1,$F$17,$F$18,$F$19,$F$16,$C$14,$F$15,$F$14,$F$20,Q$2,$N$1,$C330)</f>
        <v>0</v>
      </c>
      <c r="R330" s="185">
        <f ca="1">_xll.DBRW(Server&amp;Cube1,$F$17,$F$18,$F$19,$F$16,$C$14,$F$15,$F$14,$F$20,R$2,$N$1,$C330)</f>
        <v>0</v>
      </c>
      <c r="S330" s="185">
        <f ca="1">_xll.DBRW(Server&amp;Cube1,$F$17,$F$18,$F$19,$F$16,$C$14,$F$15,$F$14,$F$20,S$2,$N$1,$C330)</f>
        <v>0</v>
      </c>
      <c r="T330" s="185">
        <f ca="1">_xll.DBRW(Server&amp;Cube1,$F$17,$F$18,$F$19,$F$16,$C$14,$F$15,$F$14,$F$20,T$2,$N$1,$C330)</f>
        <v>0</v>
      </c>
      <c r="U330" s="185">
        <f ca="1">_xll.DBRW(Server&amp;Cube1,$F$17,$F$18,$F$19,$F$16,$C$14,$F$15,$F$14,$F$20,U$2,$N$1,$C330)</f>
        <v>0</v>
      </c>
      <c r="V330" s="185">
        <f ca="1">_xll.DBRW(Server&amp;Cube1,$F$17,$F$18,$F$19,$F$16,$C$14,$F$15,$F$14,$F$20,V$2,$N$1,$C330)</f>
        <v>0</v>
      </c>
      <c r="W330" s="185">
        <f ca="1">_xll.DBRW(Server&amp;Cube1,$F$17,$F$18,$F$19,$F$16,$C$14,$F$15,$F$14,$F$20,W$2,$N$1,$C330)</f>
        <v>0</v>
      </c>
      <c r="X330" s="185">
        <f ca="1">_xll.DBRW(Server&amp;Cube1,$F$17,$F$18,$F$19,$F$16,$C$14,$F$15,$F$14,$F$20,X$2,$N$1,$C330)</f>
        <v>0</v>
      </c>
      <c r="Y330" s="185">
        <f ca="1">_xll.DBRW(Server&amp;Cube1,$F$17,$F$18,$F$19,$F$16,$C$14,$F$15,$F$14,$F$20,Y$2,$N$1,$C330)</f>
        <v>0</v>
      </c>
      <c r="Z330" s="185">
        <f ca="1">_xll.DBRW(Server&amp;Cube1,$F$17,$F$18,$F$19,$F$16,$C$14,$F$15,$F$14,$F$20,Z$2,$N$1,$C330)</f>
        <v>0</v>
      </c>
      <c r="AA330" s="53"/>
      <c r="AB330" s="53"/>
      <c r="AC330" s="53"/>
      <c r="AD330" s="53"/>
      <c r="AE330" s="53"/>
      <c r="AF330" s="53"/>
      <c r="AG330" s="53"/>
      <c r="AH330" s="53"/>
      <c r="AI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</row>
    <row r="331" spans="1:47" s="9" customFormat="1" ht="24" customHeight="1" x14ac:dyDescent="0.35">
      <c r="A331" s="157">
        <f ca="1">IF($AN$35="YES",1,IF(_xll.ELCOMPN(Server&amp;$C$24,C331)&lt;&gt;0,1,IF(OR(B331=$AT$35,B331="ALL"),1,0)))</f>
        <v>1</v>
      </c>
      <c r="B331" s="139" t="str">
        <f t="shared" si="4"/>
        <v>GM</v>
      </c>
      <c r="C331" s="137" t="s">
        <v>392</v>
      </c>
      <c r="E331" s="219" t="str">
        <f ca="1">_xll.DBRA(Server&amp;$C$24,$C331,$F$21)</f>
        <v>Cout véhicules de fonction (DG)</v>
      </c>
      <c r="F331" s="219"/>
      <c r="G331" s="219"/>
      <c r="H331" s="40"/>
      <c r="I331" s="192">
        <f ca="1">_xll.DBRW(Server&amp;Cube1,$F$17,$F$18,$F$19,$F$16,$C$14,$F$15,$F$14,$F$20,I$2,I$1,$C331)</f>
        <v>0</v>
      </c>
      <c r="J331" s="192">
        <f ca="1">_xll.DBRW(Server&amp;Cube1,$F$17,$F$18,$F$19,$F$16,$C$14,$F$15,$F$14,$F$20,J$2,J$1,$C331)</f>
        <v>0</v>
      </c>
      <c r="K331" s="183"/>
      <c r="L331" s="185">
        <f ca="1">_xll.DBRW(Server&amp;Cube1,$F$17,$F$18,$F$19,$F$16,$C$14,$F$15,$F$14,$F$20,L$2,L$1,$C331)</f>
        <v>0</v>
      </c>
      <c r="M331" s="184"/>
      <c r="N331" s="185">
        <f ca="1">_xll.DBRW(Server&amp;Cube1,$F$17,$F$18,$F$19,$F$16,$C$14,$F$15,$F$14,$F$20,N$2,$N$1,$C331)</f>
        <v>0</v>
      </c>
      <c r="O331" s="185">
        <f ca="1">_xll.DBRW(Server&amp;Cube1,$F$17,$F$18,$F$19,$F$16,$C$14,$F$15,$F$14,$F$20,O$2,$N$1,$C331)</f>
        <v>0</v>
      </c>
      <c r="P331" s="185">
        <f ca="1">_xll.DBRW(Server&amp;Cube1,$F$17,$F$18,$F$19,$F$16,$C$14,$F$15,$F$14,$F$20,P$2,$N$1,$C331)</f>
        <v>0</v>
      </c>
      <c r="Q331" s="185">
        <f ca="1">_xll.DBRW(Server&amp;Cube1,$F$17,$F$18,$F$19,$F$16,$C$14,$F$15,$F$14,$F$20,Q$2,$N$1,$C331)</f>
        <v>0</v>
      </c>
      <c r="R331" s="185">
        <f ca="1">_xll.DBRW(Server&amp;Cube1,$F$17,$F$18,$F$19,$F$16,$C$14,$F$15,$F$14,$F$20,R$2,$N$1,$C331)</f>
        <v>0</v>
      </c>
      <c r="S331" s="185">
        <f ca="1">_xll.DBRW(Server&amp;Cube1,$F$17,$F$18,$F$19,$F$16,$C$14,$F$15,$F$14,$F$20,S$2,$N$1,$C331)</f>
        <v>0</v>
      </c>
      <c r="T331" s="185">
        <f ca="1">_xll.DBRW(Server&amp;Cube1,$F$17,$F$18,$F$19,$F$16,$C$14,$F$15,$F$14,$F$20,T$2,$N$1,$C331)</f>
        <v>0</v>
      </c>
      <c r="U331" s="185">
        <f ca="1">_xll.DBRW(Server&amp;Cube1,$F$17,$F$18,$F$19,$F$16,$C$14,$F$15,$F$14,$F$20,U$2,$N$1,$C331)</f>
        <v>0</v>
      </c>
      <c r="V331" s="185">
        <f ca="1">_xll.DBRW(Server&amp;Cube1,$F$17,$F$18,$F$19,$F$16,$C$14,$F$15,$F$14,$F$20,V$2,$N$1,$C331)</f>
        <v>0</v>
      </c>
      <c r="W331" s="185">
        <f ca="1">_xll.DBRW(Server&amp;Cube1,$F$17,$F$18,$F$19,$F$16,$C$14,$F$15,$F$14,$F$20,W$2,$N$1,$C331)</f>
        <v>0</v>
      </c>
      <c r="X331" s="185">
        <f ca="1">_xll.DBRW(Server&amp;Cube1,$F$17,$F$18,$F$19,$F$16,$C$14,$F$15,$F$14,$F$20,X$2,$N$1,$C331)</f>
        <v>0</v>
      </c>
      <c r="Y331" s="185">
        <f ca="1">_xll.DBRW(Server&amp;Cube1,$F$17,$F$18,$F$19,$F$16,$C$14,$F$15,$F$14,$F$20,Y$2,$N$1,$C331)</f>
        <v>0</v>
      </c>
      <c r="Z331" s="185">
        <f ca="1">_xll.DBRW(Server&amp;Cube1,$F$17,$F$18,$F$19,$F$16,$C$14,$F$15,$F$14,$F$20,Z$2,$N$1,$C331)</f>
        <v>0</v>
      </c>
      <c r="AA331" s="53"/>
      <c r="AB331" s="53"/>
      <c r="AC331" s="53"/>
      <c r="AD331" s="53"/>
      <c r="AE331" s="53"/>
      <c r="AF331" s="53"/>
      <c r="AG331" s="53"/>
      <c r="AH331" s="53"/>
      <c r="AI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</row>
    <row r="332" spans="1:47" s="9" customFormat="1" ht="24" customHeight="1" x14ac:dyDescent="0.35">
      <c r="A332" s="157">
        <f ca="1">IF($AN$35="YES",1,IF(_xll.ELCOMPN(Server&amp;$C$24,C332)&lt;&gt;0,1,IF(OR(B332=$AT$35,B332="ALL"),1,0)))</f>
        <v>1</v>
      </c>
      <c r="B332" s="139" t="str">
        <f t="shared" si="4"/>
        <v>IA</v>
      </c>
      <c r="C332" s="137" t="s">
        <v>393</v>
      </c>
      <c r="E332" s="219" t="str">
        <f ca="1">_xll.DBRA(Server&amp;$C$24,$C332,$F$21)</f>
        <v>Cout véhicules de fonction (AI)</v>
      </c>
      <c r="F332" s="219"/>
      <c r="G332" s="219"/>
      <c r="H332" s="40"/>
      <c r="I332" s="192">
        <f ca="1">_xll.DBRW(Server&amp;Cube1,$F$17,$F$18,$F$19,$F$16,$C$14,$F$15,$F$14,$F$20,I$2,I$1,$C332)</f>
        <v>0</v>
      </c>
      <c r="J332" s="192">
        <f ca="1">_xll.DBRW(Server&amp;Cube1,$F$17,$F$18,$F$19,$F$16,$C$14,$F$15,$F$14,$F$20,J$2,J$1,$C332)</f>
        <v>0</v>
      </c>
      <c r="K332" s="183"/>
      <c r="L332" s="185">
        <f ca="1">_xll.DBRW(Server&amp;Cube1,$F$17,$F$18,$F$19,$F$16,$C$14,$F$15,$F$14,$F$20,L$2,L$1,$C332)</f>
        <v>0</v>
      </c>
      <c r="M332" s="184"/>
      <c r="N332" s="185">
        <f ca="1">_xll.DBRW(Server&amp;Cube1,$F$17,$F$18,$F$19,$F$16,$C$14,$F$15,$F$14,$F$20,N$2,$N$1,$C332)</f>
        <v>0</v>
      </c>
      <c r="O332" s="185">
        <f ca="1">_xll.DBRW(Server&amp;Cube1,$F$17,$F$18,$F$19,$F$16,$C$14,$F$15,$F$14,$F$20,O$2,$N$1,$C332)</f>
        <v>0</v>
      </c>
      <c r="P332" s="185">
        <f ca="1">_xll.DBRW(Server&amp;Cube1,$F$17,$F$18,$F$19,$F$16,$C$14,$F$15,$F$14,$F$20,P$2,$N$1,$C332)</f>
        <v>0</v>
      </c>
      <c r="Q332" s="185">
        <f ca="1">_xll.DBRW(Server&amp;Cube1,$F$17,$F$18,$F$19,$F$16,$C$14,$F$15,$F$14,$F$20,Q$2,$N$1,$C332)</f>
        <v>0</v>
      </c>
      <c r="R332" s="185">
        <f ca="1">_xll.DBRW(Server&amp;Cube1,$F$17,$F$18,$F$19,$F$16,$C$14,$F$15,$F$14,$F$20,R$2,$N$1,$C332)</f>
        <v>0</v>
      </c>
      <c r="S332" s="185">
        <f ca="1">_xll.DBRW(Server&amp;Cube1,$F$17,$F$18,$F$19,$F$16,$C$14,$F$15,$F$14,$F$20,S$2,$N$1,$C332)</f>
        <v>0</v>
      </c>
      <c r="T332" s="185">
        <f ca="1">_xll.DBRW(Server&amp;Cube1,$F$17,$F$18,$F$19,$F$16,$C$14,$F$15,$F$14,$F$20,T$2,$N$1,$C332)</f>
        <v>0</v>
      </c>
      <c r="U332" s="185">
        <f ca="1">_xll.DBRW(Server&amp;Cube1,$F$17,$F$18,$F$19,$F$16,$C$14,$F$15,$F$14,$F$20,U$2,$N$1,$C332)</f>
        <v>0</v>
      </c>
      <c r="V332" s="185">
        <f ca="1">_xll.DBRW(Server&amp;Cube1,$F$17,$F$18,$F$19,$F$16,$C$14,$F$15,$F$14,$F$20,V$2,$N$1,$C332)</f>
        <v>0</v>
      </c>
      <c r="W332" s="185">
        <f ca="1">_xll.DBRW(Server&amp;Cube1,$F$17,$F$18,$F$19,$F$16,$C$14,$F$15,$F$14,$F$20,W$2,$N$1,$C332)</f>
        <v>0</v>
      </c>
      <c r="X332" s="185">
        <f ca="1">_xll.DBRW(Server&amp;Cube1,$F$17,$F$18,$F$19,$F$16,$C$14,$F$15,$F$14,$F$20,X$2,$N$1,$C332)</f>
        <v>0</v>
      </c>
      <c r="Y332" s="185">
        <f ca="1">_xll.DBRW(Server&amp;Cube1,$F$17,$F$18,$F$19,$F$16,$C$14,$F$15,$F$14,$F$20,Y$2,$N$1,$C332)</f>
        <v>0</v>
      </c>
      <c r="Z332" s="185">
        <f ca="1">_xll.DBRW(Server&amp;Cube1,$F$17,$F$18,$F$19,$F$16,$C$14,$F$15,$F$14,$F$20,Z$2,$N$1,$C332)</f>
        <v>0</v>
      </c>
      <c r="AA332" s="53"/>
      <c r="AB332" s="53"/>
      <c r="AC332" s="53"/>
      <c r="AD332" s="53"/>
      <c r="AE332" s="53"/>
      <c r="AF332" s="53"/>
      <c r="AG332" s="53"/>
      <c r="AH332" s="53"/>
      <c r="AI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</row>
    <row r="333" spans="1:47" s="9" customFormat="1" ht="24" customHeight="1" x14ac:dyDescent="0.35">
      <c r="A333" s="157">
        <f ca="1">IF($AN$35="YES",1,IF(_xll.ELCOMPN(Server&amp;$C$24,C333)&lt;&gt;0,1,IF(OR(B333=$AT$35,B333="ALL"),1,0)))</f>
        <v>1</v>
      </c>
      <c r="B333" s="139" t="str">
        <f t="shared" si="4"/>
        <v>LE</v>
      </c>
      <c r="C333" s="137" t="s">
        <v>394</v>
      </c>
      <c r="E333" s="219" t="str">
        <f ca="1">_xll.DBRA(Server&amp;$C$24,$C333,$F$21)</f>
        <v>Cout véhicules de fonction (JU)</v>
      </c>
      <c r="F333" s="219"/>
      <c r="G333" s="219"/>
      <c r="H333" s="40"/>
      <c r="I333" s="192">
        <f ca="1">_xll.DBRW(Server&amp;Cube1,$F$17,$F$18,$F$19,$F$16,$C$14,$F$15,$F$14,$F$20,I$2,I$1,$C333)</f>
        <v>0</v>
      </c>
      <c r="J333" s="192">
        <f ca="1">_xll.DBRW(Server&amp;Cube1,$F$17,$F$18,$F$19,$F$16,$C$14,$F$15,$F$14,$F$20,J$2,J$1,$C333)</f>
        <v>0</v>
      </c>
      <c r="K333" s="183"/>
      <c r="L333" s="185">
        <f ca="1">_xll.DBRW(Server&amp;Cube1,$F$17,$F$18,$F$19,$F$16,$C$14,$F$15,$F$14,$F$20,L$2,L$1,$C333)</f>
        <v>0</v>
      </c>
      <c r="M333" s="184"/>
      <c r="N333" s="185">
        <f ca="1">_xll.DBRW(Server&amp;Cube1,$F$17,$F$18,$F$19,$F$16,$C$14,$F$15,$F$14,$F$20,N$2,$N$1,$C333)</f>
        <v>0</v>
      </c>
      <c r="O333" s="185">
        <f ca="1">_xll.DBRW(Server&amp;Cube1,$F$17,$F$18,$F$19,$F$16,$C$14,$F$15,$F$14,$F$20,O$2,$N$1,$C333)</f>
        <v>0</v>
      </c>
      <c r="P333" s="185">
        <f ca="1">_xll.DBRW(Server&amp;Cube1,$F$17,$F$18,$F$19,$F$16,$C$14,$F$15,$F$14,$F$20,P$2,$N$1,$C333)</f>
        <v>0</v>
      </c>
      <c r="Q333" s="185">
        <f ca="1">_xll.DBRW(Server&amp;Cube1,$F$17,$F$18,$F$19,$F$16,$C$14,$F$15,$F$14,$F$20,Q$2,$N$1,$C333)</f>
        <v>0</v>
      </c>
      <c r="R333" s="185">
        <f ca="1">_xll.DBRW(Server&amp;Cube1,$F$17,$F$18,$F$19,$F$16,$C$14,$F$15,$F$14,$F$20,R$2,$N$1,$C333)</f>
        <v>0</v>
      </c>
      <c r="S333" s="185">
        <f ca="1">_xll.DBRW(Server&amp;Cube1,$F$17,$F$18,$F$19,$F$16,$C$14,$F$15,$F$14,$F$20,S$2,$N$1,$C333)</f>
        <v>0</v>
      </c>
      <c r="T333" s="185">
        <f ca="1">_xll.DBRW(Server&amp;Cube1,$F$17,$F$18,$F$19,$F$16,$C$14,$F$15,$F$14,$F$20,T$2,$N$1,$C333)</f>
        <v>0</v>
      </c>
      <c r="U333" s="185">
        <f ca="1">_xll.DBRW(Server&amp;Cube1,$F$17,$F$18,$F$19,$F$16,$C$14,$F$15,$F$14,$F$20,U$2,$N$1,$C333)</f>
        <v>0</v>
      </c>
      <c r="V333" s="185">
        <f ca="1">_xll.DBRW(Server&amp;Cube1,$F$17,$F$18,$F$19,$F$16,$C$14,$F$15,$F$14,$F$20,V$2,$N$1,$C333)</f>
        <v>0</v>
      </c>
      <c r="W333" s="185">
        <f ca="1">_xll.DBRW(Server&amp;Cube1,$F$17,$F$18,$F$19,$F$16,$C$14,$F$15,$F$14,$F$20,W$2,$N$1,$C333)</f>
        <v>0</v>
      </c>
      <c r="X333" s="185">
        <f ca="1">_xll.DBRW(Server&amp;Cube1,$F$17,$F$18,$F$19,$F$16,$C$14,$F$15,$F$14,$F$20,X$2,$N$1,$C333)</f>
        <v>0</v>
      </c>
      <c r="Y333" s="185">
        <f ca="1">_xll.DBRW(Server&amp;Cube1,$F$17,$F$18,$F$19,$F$16,$C$14,$F$15,$F$14,$F$20,Y$2,$N$1,$C333)</f>
        <v>0</v>
      </c>
      <c r="Z333" s="185">
        <f ca="1">_xll.DBRW(Server&amp;Cube1,$F$17,$F$18,$F$19,$F$16,$C$14,$F$15,$F$14,$F$20,Z$2,$N$1,$C333)</f>
        <v>0</v>
      </c>
      <c r="AA333" s="53"/>
      <c r="AB333" s="53"/>
      <c r="AC333" s="53"/>
      <c r="AD333" s="53"/>
      <c r="AE333" s="53"/>
      <c r="AF333" s="53"/>
      <c r="AG333" s="53"/>
      <c r="AH333" s="53"/>
      <c r="AI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</row>
    <row r="334" spans="1:47" s="9" customFormat="1" ht="24" customHeight="1" x14ac:dyDescent="0.35">
      <c r="A334" s="157">
        <f ca="1">IF($AN$35="YES",1,IF(_xll.ELCOMPN(Server&amp;$C$24,C334)&lt;&gt;0,1,IF(OR(B334=$AT$35,B334="ALL"),1,0)))</f>
        <v>1</v>
      </c>
      <c r="B334" s="139" t="str">
        <f t="shared" si="4"/>
        <v>RM</v>
      </c>
      <c r="C334" s="137" t="s">
        <v>395</v>
      </c>
      <c r="E334" s="219" t="str">
        <f ca="1">_xll.DBRA(Server&amp;$C$24,$C334,$F$21)</f>
        <v>Cout véhicules de fonction (GR)</v>
      </c>
      <c r="F334" s="219"/>
      <c r="G334" s="219"/>
      <c r="H334" s="40"/>
      <c r="I334" s="192">
        <f ca="1">_xll.DBRW(Server&amp;Cube1,$F$17,$F$18,$F$19,$F$16,$C$14,$F$15,$F$14,$F$20,I$2,I$1,$C334)</f>
        <v>0</v>
      </c>
      <c r="J334" s="192">
        <f ca="1">_xll.DBRW(Server&amp;Cube1,$F$17,$F$18,$F$19,$F$16,$C$14,$F$15,$F$14,$F$20,J$2,J$1,$C334)</f>
        <v>0</v>
      </c>
      <c r="K334" s="183"/>
      <c r="L334" s="185">
        <f ca="1">_xll.DBRW(Server&amp;Cube1,$F$17,$F$18,$F$19,$F$16,$C$14,$F$15,$F$14,$F$20,L$2,L$1,$C334)</f>
        <v>0</v>
      </c>
      <c r="M334" s="184"/>
      <c r="N334" s="185">
        <f ca="1">_xll.DBRW(Server&amp;Cube1,$F$17,$F$18,$F$19,$F$16,$C$14,$F$15,$F$14,$F$20,N$2,$N$1,$C334)</f>
        <v>0</v>
      </c>
      <c r="O334" s="185">
        <f ca="1">_xll.DBRW(Server&amp;Cube1,$F$17,$F$18,$F$19,$F$16,$C$14,$F$15,$F$14,$F$20,O$2,$N$1,$C334)</f>
        <v>0</v>
      </c>
      <c r="P334" s="185">
        <f ca="1">_xll.DBRW(Server&amp;Cube1,$F$17,$F$18,$F$19,$F$16,$C$14,$F$15,$F$14,$F$20,P$2,$N$1,$C334)</f>
        <v>0</v>
      </c>
      <c r="Q334" s="185">
        <f ca="1">_xll.DBRW(Server&amp;Cube1,$F$17,$F$18,$F$19,$F$16,$C$14,$F$15,$F$14,$F$20,Q$2,$N$1,$C334)</f>
        <v>0</v>
      </c>
      <c r="R334" s="185">
        <f ca="1">_xll.DBRW(Server&amp;Cube1,$F$17,$F$18,$F$19,$F$16,$C$14,$F$15,$F$14,$F$20,R$2,$N$1,$C334)</f>
        <v>0</v>
      </c>
      <c r="S334" s="185">
        <f ca="1">_xll.DBRW(Server&amp;Cube1,$F$17,$F$18,$F$19,$F$16,$C$14,$F$15,$F$14,$F$20,S$2,$N$1,$C334)</f>
        <v>0</v>
      </c>
      <c r="T334" s="185">
        <f ca="1">_xll.DBRW(Server&amp;Cube1,$F$17,$F$18,$F$19,$F$16,$C$14,$F$15,$F$14,$F$20,T$2,$N$1,$C334)</f>
        <v>0</v>
      </c>
      <c r="U334" s="185">
        <f ca="1">_xll.DBRW(Server&amp;Cube1,$F$17,$F$18,$F$19,$F$16,$C$14,$F$15,$F$14,$F$20,U$2,$N$1,$C334)</f>
        <v>0</v>
      </c>
      <c r="V334" s="185">
        <f ca="1">_xll.DBRW(Server&amp;Cube1,$F$17,$F$18,$F$19,$F$16,$C$14,$F$15,$F$14,$F$20,V$2,$N$1,$C334)</f>
        <v>0</v>
      </c>
      <c r="W334" s="185">
        <f ca="1">_xll.DBRW(Server&amp;Cube1,$F$17,$F$18,$F$19,$F$16,$C$14,$F$15,$F$14,$F$20,W$2,$N$1,$C334)</f>
        <v>0</v>
      </c>
      <c r="X334" s="185">
        <f ca="1">_xll.DBRW(Server&amp;Cube1,$F$17,$F$18,$F$19,$F$16,$C$14,$F$15,$F$14,$F$20,X$2,$N$1,$C334)</f>
        <v>0</v>
      </c>
      <c r="Y334" s="185">
        <f ca="1">_xll.DBRW(Server&amp;Cube1,$F$17,$F$18,$F$19,$F$16,$C$14,$F$15,$F$14,$F$20,Y$2,$N$1,$C334)</f>
        <v>0</v>
      </c>
      <c r="Z334" s="185">
        <f ca="1">_xll.DBRW(Server&amp;Cube1,$F$17,$F$18,$F$19,$F$16,$C$14,$F$15,$F$14,$F$20,Z$2,$N$1,$C334)</f>
        <v>0</v>
      </c>
      <c r="AA334" s="53"/>
      <c r="AB334" s="53"/>
      <c r="AC334" s="53"/>
      <c r="AD334" s="53"/>
      <c r="AE334" s="53"/>
      <c r="AF334" s="53"/>
      <c r="AG334" s="53"/>
      <c r="AH334" s="53"/>
      <c r="AI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</row>
    <row r="335" spans="1:47" s="9" customFormat="1" ht="24" customHeight="1" x14ac:dyDescent="0.35">
      <c r="A335" s="157">
        <f ca="1">IF($AN$35="YES",1,IF(_xll.ELCOMPN(Server&amp;$C$24,C335)&lt;&gt;0,1,IF(OR(B335=$AT$35,B335="ALL"),1,0)))</f>
        <v>1</v>
      </c>
      <c r="B335" s="139" t="str">
        <f t="shared" si="4"/>
        <v>PU</v>
      </c>
      <c r="C335" s="137" t="s">
        <v>396</v>
      </c>
      <c r="E335" s="219" t="str">
        <f ca="1">_xll.DBRA(Server&amp;$C$24,$C335,$F$21)</f>
        <v>Cout véhicules de fonction (AC)</v>
      </c>
      <c r="F335" s="219"/>
      <c r="G335" s="219"/>
      <c r="H335" s="40"/>
      <c r="I335" s="192">
        <f ca="1">_xll.DBRW(Server&amp;Cube1,$F$17,$F$18,$F$19,$F$16,$C$14,$F$15,$F$14,$F$20,I$2,I$1,$C335)</f>
        <v>0</v>
      </c>
      <c r="J335" s="192">
        <f ca="1">_xll.DBRW(Server&amp;Cube1,$F$17,$F$18,$F$19,$F$16,$C$14,$F$15,$F$14,$F$20,J$2,J$1,$C335)</f>
        <v>0</v>
      </c>
      <c r="K335" s="183"/>
      <c r="L335" s="185">
        <f ca="1">_xll.DBRW(Server&amp;Cube1,$F$17,$F$18,$F$19,$F$16,$C$14,$F$15,$F$14,$F$20,L$2,L$1,$C335)</f>
        <v>0</v>
      </c>
      <c r="M335" s="184"/>
      <c r="N335" s="185">
        <f ca="1">_xll.DBRW(Server&amp;Cube1,$F$17,$F$18,$F$19,$F$16,$C$14,$F$15,$F$14,$F$20,N$2,$N$1,$C335)</f>
        <v>0</v>
      </c>
      <c r="O335" s="185">
        <f ca="1">_xll.DBRW(Server&amp;Cube1,$F$17,$F$18,$F$19,$F$16,$C$14,$F$15,$F$14,$F$20,O$2,$N$1,$C335)</f>
        <v>0</v>
      </c>
      <c r="P335" s="185">
        <f ca="1">_xll.DBRW(Server&amp;Cube1,$F$17,$F$18,$F$19,$F$16,$C$14,$F$15,$F$14,$F$20,P$2,$N$1,$C335)</f>
        <v>0</v>
      </c>
      <c r="Q335" s="185">
        <f ca="1">_xll.DBRW(Server&amp;Cube1,$F$17,$F$18,$F$19,$F$16,$C$14,$F$15,$F$14,$F$20,Q$2,$N$1,$C335)</f>
        <v>0</v>
      </c>
      <c r="R335" s="185">
        <f ca="1">_xll.DBRW(Server&amp;Cube1,$F$17,$F$18,$F$19,$F$16,$C$14,$F$15,$F$14,$F$20,R$2,$N$1,$C335)</f>
        <v>0</v>
      </c>
      <c r="S335" s="185">
        <f ca="1">_xll.DBRW(Server&amp;Cube1,$F$17,$F$18,$F$19,$F$16,$C$14,$F$15,$F$14,$F$20,S$2,$N$1,$C335)</f>
        <v>0</v>
      </c>
      <c r="T335" s="185">
        <f ca="1">_xll.DBRW(Server&amp;Cube1,$F$17,$F$18,$F$19,$F$16,$C$14,$F$15,$F$14,$F$20,T$2,$N$1,$C335)</f>
        <v>0</v>
      </c>
      <c r="U335" s="185">
        <f ca="1">_xll.DBRW(Server&amp;Cube1,$F$17,$F$18,$F$19,$F$16,$C$14,$F$15,$F$14,$F$20,U$2,$N$1,$C335)</f>
        <v>0</v>
      </c>
      <c r="V335" s="185">
        <f ca="1">_xll.DBRW(Server&amp;Cube1,$F$17,$F$18,$F$19,$F$16,$C$14,$F$15,$F$14,$F$20,V$2,$N$1,$C335)</f>
        <v>0</v>
      </c>
      <c r="W335" s="185">
        <f ca="1">_xll.DBRW(Server&amp;Cube1,$F$17,$F$18,$F$19,$F$16,$C$14,$F$15,$F$14,$F$20,W$2,$N$1,$C335)</f>
        <v>0</v>
      </c>
      <c r="X335" s="185">
        <f ca="1">_xll.DBRW(Server&amp;Cube1,$F$17,$F$18,$F$19,$F$16,$C$14,$F$15,$F$14,$F$20,X$2,$N$1,$C335)</f>
        <v>0</v>
      </c>
      <c r="Y335" s="185">
        <f ca="1">_xll.DBRW(Server&amp;Cube1,$F$17,$F$18,$F$19,$F$16,$C$14,$F$15,$F$14,$F$20,Y$2,$N$1,$C335)</f>
        <v>0</v>
      </c>
      <c r="Z335" s="185">
        <f ca="1">_xll.DBRW(Server&amp;Cube1,$F$17,$F$18,$F$19,$F$16,$C$14,$F$15,$F$14,$F$20,Z$2,$N$1,$C335)</f>
        <v>0</v>
      </c>
      <c r="AA335" s="53"/>
      <c r="AB335" s="53"/>
      <c r="AC335" s="53"/>
      <c r="AD335" s="53"/>
      <c r="AE335" s="53"/>
      <c r="AF335" s="53"/>
      <c r="AG335" s="53"/>
      <c r="AH335" s="53"/>
      <c r="AI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</row>
    <row r="336" spans="1:47" s="9" customFormat="1" ht="24" customHeight="1" x14ac:dyDescent="0.35">
      <c r="A336" s="157">
        <f ca="1">IF($AN$35="YES",1,IF(_xll.ELCOMPN(Server&amp;$C$24,C336)&lt;&gt;0,1,IF(OR(B336=$AT$35,B336="ALL"),1,0)))</f>
        <v>1</v>
      </c>
      <c r="B336" s="139" t="str">
        <f t="shared" si="4"/>
        <v>CO</v>
      </c>
      <c r="C336" s="137" t="s">
        <v>397</v>
      </c>
      <c r="E336" s="219" t="str">
        <f ca="1">_xll.DBRA(Server&amp;$C$24,$C336,$F$21)</f>
        <v>Cout véhicules de fonction (CO)</v>
      </c>
      <c r="F336" s="219"/>
      <c r="G336" s="219"/>
      <c r="H336" s="40"/>
      <c r="I336" s="192">
        <f ca="1">_xll.DBRW(Server&amp;Cube1,$F$17,$F$18,$F$19,$F$16,$C$14,$F$15,$F$14,$F$20,I$2,I$1,$C336)</f>
        <v>0</v>
      </c>
      <c r="J336" s="192">
        <f ca="1">_xll.DBRW(Server&amp;Cube1,$F$17,$F$18,$F$19,$F$16,$C$14,$F$15,$F$14,$F$20,J$2,J$1,$C336)</f>
        <v>0</v>
      </c>
      <c r="K336" s="183"/>
      <c r="L336" s="185">
        <f ca="1">_xll.DBRW(Server&amp;Cube1,$F$17,$F$18,$F$19,$F$16,$C$14,$F$15,$F$14,$F$20,L$2,L$1,$C336)</f>
        <v>0</v>
      </c>
      <c r="M336" s="184"/>
      <c r="N336" s="185">
        <f ca="1">_xll.DBRW(Server&amp;Cube1,$F$17,$F$18,$F$19,$F$16,$C$14,$F$15,$F$14,$F$20,N$2,$N$1,$C336)</f>
        <v>0</v>
      </c>
      <c r="O336" s="185">
        <f ca="1">_xll.DBRW(Server&amp;Cube1,$F$17,$F$18,$F$19,$F$16,$C$14,$F$15,$F$14,$F$20,O$2,$N$1,$C336)</f>
        <v>0</v>
      </c>
      <c r="P336" s="185">
        <f ca="1">_xll.DBRW(Server&amp;Cube1,$F$17,$F$18,$F$19,$F$16,$C$14,$F$15,$F$14,$F$20,P$2,$N$1,$C336)</f>
        <v>0</v>
      </c>
      <c r="Q336" s="185">
        <f ca="1">_xll.DBRW(Server&amp;Cube1,$F$17,$F$18,$F$19,$F$16,$C$14,$F$15,$F$14,$F$20,Q$2,$N$1,$C336)</f>
        <v>0</v>
      </c>
      <c r="R336" s="185">
        <f ca="1">_xll.DBRW(Server&amp;Cube1,$F$17,$F$18,$F$19,$F$16,$C$14,$F$15,$F$14,$F$20,R$2,$N$1,$C336)</f>
        <v>0</v>
      </c>
      <c r="S336" s="185">
        <f ca="1">_xll.DBRW(Server&amp;Cube1,$F$17,$F$18,$F$19,$F$16,$C$14,$F$15,$F$14,$F$20,S$2,$N$1,$C336)</f>
        <v>0</v>
      </c>
      <c r="T336" s="185">
        <f ca="1">_xll.DBRW(Server&amp;Cube1,$F$17,$F$18,$F$19,$F$16,$C$14,$F$15,$F$14,$F$20,T$2,$N$1,$C336)</f>
        <v>0</v>
      </c>
      <c r="U336" s="185">
        <f ca="1">_xll.DBRW(Server&amp;Cube1,$F$17,$F$18,$F$19,$F$16,$C$14,$F$15,$F$14,$F$20,U$2,$N$1,$C336)</f>
        <v>0</v>
      </c>
      <c r="V336" s="185">
        <f ca="1">_xll.DBRW(Server&amp;Cube1,$F$17,$F$18,$F$19,$F$16,$C$14,$F$15,$F$14,$F$20,V$2,$N$1,$C336)</f>
        <v>0</v>
      </c>
      <c r="W336" s="185">
        <f ca="1">_xll.DBRW(Server&amp;Cube1,$F$17,$F$18,$F$19,$F$16,$C$14,$F$15,$F$14,$F$20,W$2,$N$1,$C336)</f>
        <v>0</v>
      </c>
      <c r="X336" s="185">
        <f ca="1">_xll.DBRW(Server&amp;Cube1,$F$17,$F$18,$F$19,$F$16,$C$14,$F$15,$F$14,$F$20,X$2,$N$1,$C336)</f>
        <v>0</v>
      </c>
      <c r="Y336" s="185">
        <f ca="1">_xll.DBRW(Server&amp;Cube1,$F$17,$F$18,$F$19,$F$16,$C$14,$F$15,$F$14,$F$20,Y$2,$N$1,$C336)</f>
        <v>0</v>
      </c>
      <c r="Z336" s="185">
        <f ca="1">_xll.DBRW(Server&amp;Cube1,$F$17,$F$18,$F$19,$F$16,$C$14,$F$15,$F$14,$F$20,Z$2,$N$1,$C336)</f>
        <v>0</v>
      </c>
      <c r="AA336" s="53"/>
      <c r="AB336" s="53"/>
      <c r="AC336" s="53"/>
      <c r="AD336" s="53"/>
      <c r="AE336" s="53"/>
      <c r="AF336" s="53"/>
      <c r="AG336" s="53"/>
      <c r="AH336" s="53"/>
      <c r="AI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</row>
    <row r="337" spans="1:47" s="9" customFormat="1" ht="24" customHeight="1" x14ac:dyDescent="0.35">
      <c r="A337" s="157">
        <f ca="1">IF($AN$35="YES",1,IF(_xll.ELCOMPN(Server&amp;$C$24,C337)&lt;&gt;0,1,IF(OR(B337=$AT$35,B337="ALL"),1,0)))</f>
        <v>1</v>
      </c>
      <c r="B337" s="139" t="str">
        <f t="shared" si="4"/>
        <v>GS</v>
      </c>
      <c r="C337" s="137" t="s">
        <v>398</v>
      </c>
      <c r="E337" s="219" t="str">
        <f ca="1">_xll.DBRA(Server&amp;$C$24,$C337,$F$21)</f>
        <v>Coût véhicules de fonction (SG)</v>
      </c>
      <c r="F337" s="219"/>
      <c r="G337" s="219"/>
      <c r="H337" s="40"/>
      <c r="I337" s="192">
        <f ca="1">_xll.DBRW(Server&amp;Cube1,$F$17,$F$18,$F$19,$F$16,$C$14,$F$15,$F$14,$F$20,I$2,I$1,$C337)</f>
        <v>0</v>
      </c>
      <c r="J337" s="192">
        <f ca="1">_xll.DBRW(Server&amp;Cube1,$F$17,$F$18,$F$19,$F$16,$C$14,$F$15,$F$14,$F$20,J$2,J$1,$C337)</f>
        <v>0</v>
      </c>
      <c r="K337" s="183"/>
      <c r="L337" s="185">
        <f ca="1">_xll.DBRW(Server&amp;Cube1,$F$17,$F$18,$F$19,$F$16,$C$14,$F$15,$F$14,$F$20,L$2,L$1,$C337)</f>
        <v>0</v>
      </c>
      <c r="M337" s="184"/>
      <c r="N337" s="185">
        <f ca="1">_xll.DBRW(Server&amp;Cube1,$F$17,$F$18,$F$19,$F$16,$C$14,$F$15,$F$14,$F$20,N$2,$N$1,$C337)</f>
        <v>0</v>
      </c>
      <c r="O337" s="185">
        <f ca="1">_xll.DBRW(Server&amp;Cube1,$F$17,$F$18,$F$19,$F$16,$C$14,$F$15,$F$14,$F$20,O$2,$N$1,$C337)</f>
        <v>0</v>
      </c>
      <c r="P337" s="185">
        <f ca="1">_xll.DBRW(Server&amp;Cube1,$F$17,$F$18,$F$19,$F$16,$C$14,$F$15,$F$14,$F$20,P$2,$N$1,$C337)</f>
        <v>0</v>
      </c>
      <c r="Q337" s="185">
        <f ca="1">_xll.DBRW(Server&amp;Cube1,$F$17,$F$18,$F$19,$F$16,$C$14,$F$15,$F$14,$F$20,Q$2,$N$1,$C337)</f>
        <v>0</v>
      </c>
      <c r="R337" s="185">
        <f ca="1">_xll.DBRW(Server&amp;Cube1,$F$17,$F$18,$F$19,$F$16,$C$14,$F$15,$F$14,$F$20,R$2,$N$1,$C337)</f>
        <v>0</v>
      </c>
      <c r="S337" s="185">
        <f ca="1">_xll.DBRW(Server&amp;Cube1,$F$17,$F$18,$F$19,$F$16,$C$14,$F$15,$F$14,$F$20,S$2,$N$1,$C337)</f>
        <v>0</v>
      </c>
      <c r="T337" s="185">
        <f ca="1">_xll.DBRW(Server&amp;Cube1,$F$17,$F$18,$F$19,$F$16,$C$14,$F$15,$F$14,$F$20,T$2,$N$1,$C337)</f>
        <v>0</v>
      </c>
      <c r="U337" s="185">
        <f ca="1">_xll.DBRW(Server&amp;Cube1,$F$17,$F$18,$F$19,$F$16,$C$14,$F$15,$F$14,$F$20,U$2,$N$1,$C337)</f>
        <v>0</v>
      </c>
      <c r="V337" s="185">
        <f ca="1">_xll.DBRW(Server&amp;Cube1,$F$17,$F$18,$F$19,$F$16,$C$14,$F$15,$F$14,$F$20,V$2,$N$1,$C337)</f>
        <v>0</v>
      </c>
      <c r="W337" s="185">
        <f ca="1">_xll.DBRW(Server&amp;Cube1,$F$17,$F$18,$F$19,$F$16,$C$14,$F$15,$F$14,$F$20,W$2,$N$1,$C337)</f>
        <v>0</v>
      </c>
      <c r="X337" s="185">
        <f ca="1">_xll.DBRW(Server&amp;Cube1,$F$17,$F$18,$F$19,$F$16,$C$14,$F$15,$F$14,$F$20,X$2,$N$1,$C337)</f>
        <v>0</v>
      </c>
      <c r="Y337" s="185">
        <f ca="1">_xll.DBRW(Server&amp;Cube1,$F$17,$F$18,$F$19,$F$16,$C$14,$F$15,$F$14,$F$20,Y$2,$N$1,$C337)</f>
        <v>0</v>
      </c>
      <c r="Z337" s="185">
        <f ca="1">_xll.DBRW(Server&amp;Cube1,$F$17,$F$18,$F$19,$F$16,$C$14,$F$15,$F$14,$F$20,Z$2,$N$1,$C337)</f>
        <v>0</v>
      </c>
      <c r="AA337" s="53"/>
      <c r="AB337" s="53"/>
      <c r="AC337" s="53"/>
      <c r="AD337" s="53"/>
      <c r="AE337" s="53"/>
      <c r="AF337" s="53"/>
      <c r="AG337" s="53"/>
      <c r="AH337" s="53"/>
      <c r="AI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</row>
    <row r="338" spans="1:47" s="9" customFormat="1" ht="24" customHeight="1" x14ac:dyDescent="0.35">
      <c r="A338" s="157">
        <f ca="1">IF($AN$35="YES",1,IF(_xll.ELCOMPN(Server&amp;$C$24,C338)&lt;&gt;0,1,IF(OR(B338=$AT$35,B338="ALL"),1,0)))</f>
        <v>1</v>
      </c>
      <c r="B338" s="139" t="str">
        <f t="shared" si="4"/>
        <v>RD</v>
      </c>
      <c r="C338" s="137" t="s">
        <v>399</v>
      </c>
      <c r="E338" s="219" t="str">
        <f ca="1">_xll.DBRA(Server&amp;$C$24,$C338,$F$21)</f>
        <v>Coût véhicules de fonction (RD)</v>
      </c>
      <c r="F338" s="219"/>
      <c r="G338" s="219"/>
      <c r="H338" s="40"/>
      <c r="I338" s="192">
        <f ca="1">_xll.DBRW(Server&amp;Cube1,$F$17,$F$18,$F$19,$F$16,$C$14,$F$15,$F$14,$F$20,I$2,I$1,$C338)</f>
        <v>0</v>
      </c>
      <c r="J338" s="192">
        <f ca="1">_xll.DBRW(Server&amp;Cube1,$F$17,$F$18,$F$19,$F$16,$C$14,$F$15,$F$14,$F$20,J$2,J$1,$C338)</f>
        <v>0</v>
      </c>
      <c r="K338" s="183"/>
      <c r="L338" s="185">
        <f ca="1">_xll.DBRW(Server&amp;Cube1,$F$17,$F$18,$F$19,$F$16,$C$14,$F$15,$F$14,$F$20,L$2,L$1,$C338)</f>
        <v>0</v>
      </c>
      <c r="M338" s="184"/>
      <c r="N338" s="185">
        <f ca="1">_xll.DBRW(Server&amp;Cube1,$F$17,$F$18,$F$19,$F$16,$C$14,$F$15,$F$14,$F$20,N$2,$N$1,$C338)</f>
        <v>0</v>
      </c>
      <c r="O338" s="185">
        <f ca="1">_xll.DBRW(Server&amp;Cube1,$F$17,$F$18,$F$19,$F$16,$C$14,$F$15,$F$14,$F$20,O$2,$N$1,$C338)</f>
        <v>0</v>
      </c>
      <c r="P338" s="185">
        <f ca="1">_xll.DBRW(Server&amp;Cube1,$F$17,$F$18,$F$19,$F$16,$C$14,$F$15,$F$14,$F$20,P$2,$N$1,$C338)</f>
        <v>0</v>
      </c>
      <c r="Q338" s="185">
        <f ca="1">_xll.DBRW(Server&amp;Cube1,$F$17,$F$18,$F$19,$F$16,$C$14,$F$15,$F$14,$F$20,Q$2,$N$1,$C338)</f>
        <v>0</v>
      </c>
      <c r="R338" s="185">
        <f ca="1">_xll.DBRW(Server&amp;Cube1,$F$17,$F$18,$F$19,$F$16,$C$14,$F$15,$F$14,$F$20,R$2,$N$1,$C338)</f>
        <v>0</v>
      </c>
      <c r="S338" s="185">
        <f ca="1">_xll.DBRW(Server&amp;Cube1,$F$17,$F$18,$F$19,$F$16,$C$14,$F$15,$F$14,$F$20,S$2,$N$1,$C338)</f>
        <v>0</v>
      </c>
      <c r="T338" s="185">
        <f ca="1">_xll.DBRW(Server&amp;Cube1,$F$17,$F$18,$F$19,$F$16,$C$14,$F$15,$F$14,$F$20,T$2,$N$1,$C338)</f>
        <v>0</v>
      </c>
      <c r="U338" s="185">
        <f ca="1">_xll.DBRW(Server&amp;Cube1,$F$17,$F$18,$F$19,$F$16,$C$14,$F$15,$F$14,$F$20,U$2,$N$1,$C338)</f>
        <v>0</v>
      </c>
      <c r="V338" s="185">
        <f ca="1">_xll.DBRW(Server&amp;Cube1,$F$17,$F$18,$F$19,$F$16,$C$14,$F$15,$F$14,$F$20,V$2,$N$1,$C338)</f>
        <v>0</v>
      </c>
      <c r="W338" s="185">
        <f ca="1">_xll.DBRW(Server&amp;Cube1,$F$17,$F$18,$F$19,$F$16,$C$14,$F$15,$F$14,$F$20,W$2,$N$1,$C338)</f>
        <v>0</v>
      </c>
      <c r="X338" s="185">
        <f ca="1">_xll.DBRW(Server&amp;Cube1,$F$17,$F$18,$F$19,$F$16,$C$14,$F$15,$F$14,$F$20,X$2,$N$1,$C338)</f>
        <v>0</v>
      </c>
      <c r="Y338" s="185">
        <f ca="1">_xll.DBRW(Server&amp;Cube1,$F$17,$F$18,$F$19,$F$16,$C$14,$F$15,$F$14,$F$20,Y$2,$N$1,$C338)</f>
        <v>0</v>
      </c>
      <c r="Z338" s="185">
        <f ca="1">_xll.DBRW(Server&amp;Cube1,$F$17,$F$18,$F$19,$F$16,$C$14,$F$15,$F$14,$F$20,Z$2,$N$1,$C338)</f>
        <v>0</v>
      </c>
      <c r="AA338" s="53"/>
      <c r="AB338" s="53"/>
      <c r="AC338" s="53"/>
      <c r="AD338" s="53"/>
      <c r="AE338" s="53"/>
      <c r="AF338" s="53"/>
      <c r="AG338" s="53"/>
      <c r="AH338" s="53"/>
      <c r="AI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</row>
    <row r="339" spans="1:47" s="9" customFormat="1" ht="24" customHeight="1" x14ac:dyDescent="0.35">
      <c r="A339" s="157">
        <f ca="1">IF($AN$35="YES",1,IF(_xll.ELCOMPN(Server&amp;$C$24,C339)&lt;&gt;0,1,IF(OR(B339=$AT$35,B339="ALL"),1,0)))</f>
        <v>1</v>
      </c>
      <c r="B339" s="139" t="str">
        <f t="shared" si="4"/>
        <v>ap</v>
      </c>
      <c r="C339" s="111" t="s">
        <v>119</v>
      </c>
      <c r="E339" s="221" t="str">
        <f ca="1">_xll.DBRA(Server&amp;$C$24,$C339,$F$21)</f>
        <v>Location Appartement de fonction</v>
      </c>
      <c r="F339" s="221"/>
      <c r="G339" s="221"/>
      <c r="H339" s="40"/>
      <c r="I339" s="192">
        <f ca="1">_xll.DBRW(Server&amp;Cube1,$F$17,$F$18,$F$19,$F$16,$C$14,$F$15,$F$14,$F$20,I$2,I$1,$C339)</f>
        <v>0</v>
      </c>
      <c r="J339" s="192">
        <f ca="1">_xll.DBRW(Server&amp;Cube1,$F$17,$F$18,$F$19,$F$16,$C$14,$F$15,$F$14,$F$20,J$2,J$1,$C339)</f>
        <v>0</v>
      </c>
      <c r="K339" s="183"/>
      <c r="L339" s="181">
        <f ca="1">_xll.DBRW(Server&amp;Cube1,$F$17,$F$18,$F$19,$F$16,$C$14,$F$15,$F$14,$F$20,L$2,L$1,$C339)</f>
        <v>0</v>
      </c>
      <c r="M339" s="181"/>
      <c r="N339" s="181">
        <f ca="1">_xll.DBRW(Server&amp;Cube1,$F$17,$F$18,$F$19,$F$16,$C$14,$F$15,$F$14,$F$20,N$2,$N$1,$C339)</f>
        <v>0</v>
      </c>
      <c r="O339" s="181">
        <f ca="1">_xll.DBRW(Server&amp;Cube1,$F$17,$F$18,$F$19,$F$16,$C$14,$F$15,$F$14,$F$20,O$2,$N$1,$C339)</f>
        <v>0</v>
      </c>
      <c r="P339" s="181">
        <f ca="1">_xll.DBRW(Server&amp;Cube1,$F$17,$F$18,$F$19,$F$16,$C$14,$F$15,$F$14,$F$20,P$2,$N$1,$C339)</f>
        <v>0</v>
      </c>
      <c r="Q339" s="181">
        <f ca="1">_xll.DBRW(Server&amp;Cube1,$F$17,$F$18,$F$19,$F$16,$C$14,$F$15,$F$14,$F$20,Q$2,$N$1,$C339)</f>
        <v>0</v>
      </c>
      <c r="R339" s="181">
        <f ca="1">_xll.DBRW(Server&amp;Cube1,$F$17,$F$18,$F$19,$F$16,$C$14,$F$15,$F$14,$F$20,R$2,$N$1,$C339)</f>
        <v>0</v>
      </c>
      <c r="S339" s="181">
        <f ca="1">_xll.DBRW(Server&amp;Cube1,$F$17,$F$18,$F$19,$F$16,$C$14,$F$15,$F$14,$F$20,S$2,$N$1,$C339)</f>
        <v>0</v>
      </c>
      <c r="T339" s="181">
        <f ca="1">_xll.DBRW(Server&amp;Cube1,$F$17,$F$18,$F$19,$F$16,$C$14,$F$15,$F$14,$F$20,T$2,$N$1,$C339)</f>
        <v>0</v>
      </c>
      <c r="U339" s="181">
        <f ca="1">_xll.DBRW(Server&amp;Cube1,$F$17,$F$18,$F$19,$F$16,$C$14,$F$15,$F$14,$F$20,U$2,$N$1,$C339)</f>
        <v>0</v>
      </c>
      <c r="V339" s="181">
        <f ca="1">_xll.DBRW(Server&amp;Cube1,$F$17,$F$18,$F$19,$F$16,$C$14,$F$15,$F$14,$F$20,V$2,$N$1,$C339)</f>
        <v>0</v>
      </c>
      <c r="W339" s="181">
        <f ca="1">_xll.DBRW(Server&amp;Cube1,$F$17,$F$18,$F$19,$F$16,$C$14,$F$15,$F$14,$F$20,W$2,$N$1,$C339)</f>
        <v>0</v>
      </c>
      <c r="X339" s="181">
        <f ca="1">_xll.DBRW(Server&amp;Cube1,$F$17,$F$18,$F$19,$F$16,$C$14,$F$15,$F$14,$F$20,X$2,$N$1,$C339)</f>
        <v>0</v>
      </c>
      <c r="Y339" s="181">
        <f ca="1">_xll.DBRW(Server&amp;Cube1,$F$17,$F$18,$F$19,$F$16,$C$14,$F$15,$F$14,$F$20,Y$2,$N$1,$C339)</f>
        <v>0</v>
      </c>
      <c r="Z339" s="181">
        <f ca="1">_xll.DBRW(Server&amp;Cube1,$F$17,$F$18,$F$19,$F$16,$C$14,$F$15,$F$14,$F$20,Z$2,$N$1,$C339)</f>
        <v>0</v>
      </c>
      <c r="AA339" s="53"/>
      <c r="AB339" s="53"/>
      <c r="AC339" s="53"/>
      <c r="AD339" s="53"/>
      <c r="AE339" s="53"/>
      <c r="AF339" s="53"/>
      <c r="AG339" s="53"/>
      <c r="AH339" s="53"/>
      <c r="AI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</row>
    <row r="340" spans="1:47" s="9" customFormat="1" ht="24" customHeight="1" x14ac:dyDescent="0.35">
      <c r="A340" s="157">
        <f ca="1">IF($AN$35="YES",1,IF(_xll.ELCOMPN(Server&amp;$C$24,C340)&lt;&gt;0,1,IF(OR(B340=$AT$35,B340="ALL"),1,0)))</f>
        <v>1</v>
      </c>
      <c r="B340" s="139" t="str">
        <f t="shared" si="4"/>
        <v>DS</v>
      </c>
      <c r="C340" s="137" t="s">
        <v>400</v>
      </c>
      <c r="E340" s="219" t="str">
        <f ca="1">_xll.DBRA(Server&amp;$C$24,$C340,$F$21)</f>
        <v>Location Appartement de fonction (SO)</v>
      </c>
      <c r="F340" s="219"/>
      <c r="G340" s="219"/>
      <c r="H340" s="40"/>
      <c r="I340" s="192">
        <f ca="1">_xll.DBRW(Server&amp;Cube1,$F$17,$F$18,$F$19,$F$16,$C$14,$F$15,$F$14,$F$20,I$2,I$1,$C340)</f>
        <v>0</v>
      </c>
      <c r="J340" s="192">
        <f ca="1">_xll.DBRW(Server&amp;Cube1,$F$17,$F$18,$F$19,$F$16,$C$14,$F$15,$F$14,$F$20,J$2,J$1,$C340)</f>
        <v>0</v>
      </c>
      <c r="K340" s="183"/>
      <c r="L340" s="185">
        <f ca="1">_xll.DBRW(Server&amp;Cube1,$F$17,$F$18,$F$19,$F$16,$C$14,$F$15,$F$14,$F$20,L$2,L$1,$C340)</f>
        <v>0</v>
      </c>
      <c r="M340" s="184"/>
      <c r="N340" s="185">
        <f ca="1">_xll.DBRW(Server&amp;Cube1,$F$17,$F$18,$F$19,$F$16,$C$14,$F$15,$F$14,$F$20,N$2,$N$1,$C340)</f>
        <v>0</v>
      </c>
      <c r="O340" s="185">
        <f ca="1">_xll.DBRW(Server&amp;Cube1,$F$17,$F$18,$F$19,$F$16,$C$14,$F$15,$F$14,$F$20,O$2,$N$1,$C340)</f>
        <v>0</v>
      </c>
      <c r="P340" s="185">
        <f ca="1">_xll.DBRW(Server&amp;Cube1,$F$17,$F$18,$F$19,$F$16,$C$14,$F$15,$F$14,$F$20,P$2,$N$1,$C340)</f>
        <v>0</v>
      </c>
      <c r="Q340" s="185">
        <f ca="1">_xll.DBRW(Server&amp;Cube1,$F$17,$F$18,$F$19,$F$16,$C$14,$F$15,$F$14,$F$20,Q$2,$N$1,$C340)</f>
        <v>0</v>
      </c>
      <c r="R340" s="185">
        <f ca="1">_xll.DBRW(Server&amp;Cube1,$F$17,$F$18,$F$19,$F$16,$C$14,$F$15,$F$14,$F$20,R$2,$N$1,$C340)</f>
        <v>0</v>
      </c>
      <c r="S340" s="185">
        <f ca="1">_xll.DBRW(Server&amp;Cube1,$F$17,$F$18,$F$19,$F$16,$C$14,$F$15,$F$14,$F$20,S$2,$N$1,$C340)</f>
        <v>0</v>
      </c>
      <c r="T340" s="185">
        <f ca="1">_xll.DBRW(Server&amp;Cube1,$F$17,$F$18,$F$19,$F$16,$C$14,$F$15,$F$14,$F$20,T$2,$N$1,$C340)</f>
        <v>0</v>
      </c>
      <c r="U340" s="185">
        <f ca="1">_xll.DBRW(Server&amp;Cube1,$F$17,$F$18,$F$19,$F$16,$C$14,$F$15,$F$14,$F$20,U$2,$N$1,$C340)</f>
        <v>0</v>
      </c>
      <c r="V340" s="185">
        <f ca="1">_xll.DBRW(Server&amp;Cube1,$F$17,$F$18,$F$19,$F$16,$C$14,$F$15,$F$14,$F$20,V$2,$N$1,$C340)</f>
        <v>0</v>
      </c>
      <c r="W340" s="185">
        <f ca="1">_xll.DBRW(Server&amp;Cube1,$F$17,$F$18,$F$19,$F$16,$C$14,$F$15,$F$14,$F$20,W$2,$N$1,$C340)</f>
        <v>0</v>
      </c>
      <c r="X340" s="185">
        <f ca="1">_xll.DBRW(Server&amp;Cube1,$F$17,$F$18,$F$19,$F$16,$C$14,$F$15,$F$14,$F$20,X$2,$N$1,$C340)</f>
        <v>0</v>
      </c>
      <c r="Y340" s="185">
        <f ca="1">_xll.DBRW(Server&amp;Cube1,$F$17,$F$18,$F$19,$F$16,$C$14,$F$15,$F$14,$F$20,Y$2,$N$1,$C340)</f>
        <v>0</v>
      </c>
      <c r="Z340" s="185">
        <f ca="1">_xll.DBRW(Server&amp;Cube1,$F$17,$F$18,$F$19,$F$16,$C$14,$F$15,$F$14,$F$20,Z$2,$N$1,$C340)</f>
        <v>0</v>
      </c>
      <c r="AA340" s="53"/>
      <c r="AB340" s="53"/>
      <c r="AC340" s="53"/>
      <c r="AD340" s="53"/>
      <c r="AE340" s="53"/>
      <c r="AF340" s="53"/>
      <c r="AG340" s="53"/>
      <c r="AH340" s="53"/>
      <c r="AI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</row>
    <row r="341" spans="1:47" s="9" customFormat="1" ht="24" customHeight="1" x14ac:dyDescent="0.35">
      <c r="A341" s="157">
        <f ca="1">IF($AN$35="YES",1,IF(_xll.ELCOMPN(Server&amp;$C$24,C341)&lt;&gt;0,1,IF(OR(B341=$AT$35,B341="ALL"),1,0)))</f>
        <v>1</v>
      </c>
      <c r="B341" s="139" t="str">
        <f t="shared" si="4"/>
        <v>BD</v>
      </c>
      <c r="C341" s="137" t="s">
        <v>401</v>
      </c>
      <c r="E341" s="219" t="str">
        <f ca="1">_xll.DBRA(Server&amp;$C$24,$C341,$F$21)</f>
        <v>Location Appartement de fonction (DC)</v>
      </c>
      <c r="F341" s="219"/>
      <c r="G341" s="219"/>
      <c r="H341" s="40"/>
      <c r="I341" s="192">
        <f ca="1">_xll.DBRW(Server&amp;Cube1,$F$17,$F$18,$F$19,$F$16,$C$14,$F$15,$F$14,$F$20,I$2,I$1,$C341)</f>
        <v>0</v>
      </c>
      <c r="J341" s="192">
        <f ca="1">_xll.DBRW(Server&amp;Cube1,$F$17,$F$18,$F$19,$F$16,$C$14,$F$15,$F$14,$F$20,J$2,J$1,$C341)</f>
        <v>0</v>
      </c>
      <c r="K341" s="183"/>
      <c r="L341" s="185">
        <f ca="1">_xll.DBRW(Server&amp;Cube1,$F$17,$F$18,$F$19,$F$16,$C$14,$F$15,$F$14,$F$20,L$2,L$1,$C341)</f>
        <v>0</v>
      </c>
      <c r="M341" s="184"/>
      <c r="N341" s="185">
        <f ca="1">_xll.DBRW(Server&amp;Cube1,$F$17,$F$18,$F$19,$F$16,$C$14,$F$15,$F$14,$F$20,N$2,$N$1,$C341)</f>
        <v>0</v>
      </c>
      <c r="O341" s="185">
        <f ca="1">_xll.DBRW(Server&amp;Cube1,$F$17,$F$18,$F$19,$F$16,$C$14,$F$15,$F$14,$F$20,O$2,$N$1,$C341)</f>
        <v>0</v>
      </c>
      <c r="P341" s="185">
        <f ca="1">_xll.DBRW(Server&amp;Cube1,$F$17,$F$18,$F$19,$F$16,$C$14,$F$15,$F$14,$F$20,P$2,$N$1,$C341)</f>
        <v>0</v>
      </c>
      <c r="Q341" s="185">
        <f ca="1">_xll.DBRW(Server&amp;Cube1,$F$17,$F$18,$F$19,$F$16,$C$14,$F$15,$F$14,$F$20,Q$2,$N$1,$C341)</f>
        <v>0</v>
      </c>
      <c r="R341" s="185">
        <f ca="1">_xll.DBRW(Server&amp;Cube1,$F$17,$F$18,$F$19,$F$16,$C$14,$F$15,$F$14,$F$20,R$2,$N$1,$C341)</f>
        <v>0</v>
      </c>
      <c r="S341" s="185">
        <f ca="1">_xll.DBRW(Server&amp;Cube1,$F$17,$F$18,$F$19,$F$16,$C$14,$F$15,$F$14,$F$20,S$2,$N$1,$C341)</f>
        <v>0</v>
      </c>
      <c r="T341" s="185">
        <f ca="1">_xll.DBRW(Server&amp;Cube1,$F$17,$F$18,$F$19,$F$16,$C$14,$F$15,$F$14,$F$20,T$2,$N$1,$C341)</f>
        <v>0</v>
      </c>
      <c r="U341" s="185">
        <f ca="1">_xll.DBRW(Server&amp;Cube1,$F$17,$F$18,$F$19,$F$16,$C$14,$F$15,$F$14,$F$20,U$2,$N$1,$C341)</f>
        <v>0</v>
      </c>
      <c r="V341" s="185">
        <f ca="1">_xll.DBRW(Server&amp;Cube1,$F$17,$F$18,$F$19,$F$16,$C$14,$F$15,$F$14,$F$20,V$2,$N$1,$C341)</f>
        <v>0</v>
      </c>
      <c r="W341" s="185">
        <f ca="1">_xll.DBRW(Server&amp;Cube1,$F$17,$F$18,$F$19,$F$16,$C$14,$F$15,$F$14,$F$20,W$2,$N$1,$C341)</f>
        <v>0</v>
      </c>
      <c r="X341" s="185">
        <f ca="1">_xll.DBRW(Server&amp;Cube1,$F$17,$F$18,$F$19,$F$16,$C$14,$F$15,$F$14,$F$20,X$2,$N$1,$C341)</f>
        <v>0</v>
      </c>
      <c r="Y341" s="185">
        <f ca="1">_xll.DBRW(Server&amp;Cube1,$F$17,$F$18,$F$19,$F$16,$C$14,$F$15,$F$14,$F$20,Y$2,$N$1,$C341)</f>
        <v>0</v>
      </c>
      <c r="Z341" s="185">
        <f ca="1">_xll.DBRW(Server&amp;Cube1,$F$17,$F$18,$F$19,$F$16,$C$14,$F$15,$F$14,$F$20,Z$2,$N$1,$C341)</f>
        <v>0</v>
      </c>
      <c r="AA341" s="53"/>
      <c r="AB341" s="53"/>
      <c r="AC341" s="53"/>
      <c r="AD341" s="53"/>
      <c r="AE341" s="53"/>
      <c r="AF341" s="53"/>
      <c r="AG341" s="53"/>
      <c r="AH341" s="53"/>
      <c r="AI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</row>
    <row r="342" spans="1:47" s="9" customFormat="1" ht="24" customHeight="1" x14ac:dyDescent="0.35">
      <c r="A342" s="157">
        <f ca="1">IF($AN$35="YES",1,IF(_xll.ELCOMPN(Server&amp;$C$24,C342)&lt;&gt;0,1,IF(OR(B342=$AT$35,B342="ALL"),1,0)))</f>
        <v>1</v>
      </c>
      <c r="B342" s="139" t="str">
        <f t="shared" si="4"/>
        <v>FI</v>
      </c>
      <c r="C342" s="137" t="s">
        <v>402</v>
      </c>
      <c r="E342" s="219" t="str">
        <f ca="1">_xll.DBRA(Server&amp;$C$24,$C342,$F$21)</f>
        <v>Location Appartement de fonction (DF)</v>
      </c>
      <c r="F342" s="219"/>
      <c r="G342" s="219"/>
      <c r="H342" s="40"/>
      <c r="I342" s="192">
        <f ca="1">_xll.DBRW(Server&amp;Cube1,$F$17,$F$18,$F$19,$F$16,$C$14,$F$15,$F$14,$F$20,I$2,I$1,$C342)</f>
        <v>0</v>
      </c>
      <c r="J342" s="192">
        <f ca="1">_xll.DBRW(Server&amp;Cube1,$F$17,$F$18,$F$19,$F$16,$C$14,$F$15,$F$14,$F$20,J$2,J$1,$C342)</f>
        <v>0</v>
      </c>
      <c r="K342" s="183"/>
      <c r="L342" s="185">
        <f ca="1">_xll.DBRW(Server&amp;Cube1,$F$17,$F$18,$F$19,$F$16,$C$14,$F$15,$F$14,$F$20,L$2,L$1,$C342)</f>
        <v>0</v>
      </c>
      <c r="M342" s="184"/>
      <c r="N342" s="185">
        <f ca="1">_xll.DBRW(Server&amp;Cube1,$F$17,$F$18,$F$19,$F$16,$C$14,$F$15,$F$14,$F$20,N$2,$N$1,$C342)</f>
        <v>0</v>
      </c>
      <c r="O342" s="185">
        <f ca="1">_xll.DBRW(Server&amp;Cube1,$F$17,$F$18,$F$19,$F$16,$C$14,$F$15,$F$14,$F$20,O$2,$N$1,$C342)</f>
        <v>0</v>
      </c>
      <c r="P342" s="185">
        <f ca="1">_xll.DBRW(Server&amp;Cube1,$F$17,$F$18,$F$19,$F$16,$C$14,$F$15,$F$14,$F$20,P$2,$N$1,$C342)</f>
        <v>0</v>
      </c>
      <c r="Q342" s="185">
        <f ca="1">_xll.DBRW(Server&amp;Cube1,$F$17,$F$18,$F$19,$F$16,$C$14,$F$15,$F$14,$F$20,Q$2,$N$1,$C342)</f>
        <v>0</v>
      </c>
      <c r="R342" s="185">
        <f ca="1">_xll.DBRW(Server&amp;Cube1,$F$17,$F$18,$F$19,$F$16,$C$14,$F$15,$F$14,$F$20,R$2,$N$1,$C342)</f>
        <v>0</v>
      </c>
      <c r="S342" s="185">
        <f ca="1">_xll.DBRW(Server&amp;Cube1,$F$17,$F$18,$F$19,$F$16,$C$14,$F$15,$F$14,$F$20,S$2,$N$1,$C342)</f>
        <v>0</v>
      </c>
      <c r="T342" s="185">
        <f ca="1">_xll.DBRW(Server&amp;Cube1,$F$17,$F$18,$F$19,$F$16,$C$14,$F$15,$F$14,$F$20,T$2,$N$1,$C342)</f>
        <v>0</v>
      </c>
      <c r="U342" s="185">
        <f ca="1">_xll.DBRW(Server&amp;Cube1,$F$17,$F$18,$F$19,$F$16,$C$14,$F$15,$F$14,$F$20,U$2,$N$1,$C342)</f>
        <v>0</v>
      </c>
      <c r="V342" s="185">
        <f ca="1">_xll.DBRW(Server&amp;Cube1,$F$17,$F$18,$F$19,$F$16,$C$14,$F$15,$F$14,$F$20,V$2,$N$1,$C342)</f>
        <v>0</v>
      </c>
      <c r="W342" s="185">
        <f ca="1">_xll.DBRW(Server&amp;Cube1,$F$17,$F$18,$F$19,$F$16,$C$14,$F$15,$F$14,$F$20,W$2,$N$1,$C342)</f>
        <v>0</v>
      </c>
      <c r="X342" s="185">
        <f ca="1">_xll.DBRW(Server&amp;Cube1,$F$17,$F$18,$F$19,$F$16,$C$14,$F$15,$F$14,$F$20,X$2,$N$1,$C342)</f>
        <v>0</v>
      </c>
      <c r="Y342" s="185">
        <f ca="1">_xll.DBRW(Server&amp;Cube1,$F$17,$F$18,$F$19,$F$16,$C$14,$F$15,$F$14,$F$20,Y$2,$N$1,$C342)</f>
        <v>0</v>
      </c>
      <c r="Z342" s="185">
        <f ca="1">_xll.DBRW(Server&amp;Cube1,$F$17,$F$18,$F$19,$F$16,$C$14,$F$15,$F$14,$F$20,Z$2,$N$1,$C342)</f>
        <v>0</v>
      </c>
      <c r="AA342" s="53"/>
      <c r="AB342" s="53"/>
      <c r="AC342" s="53"/>
      <c r="AD342" s="53"/>
      <c r="AE342" s="53"/>
      <c r="AF342" s="53"/>
      <c r="AG342" s="53"/>
      <c r="AH342" s="53"/>
      <c r="AI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</row>
    <row r="343" spans="1:47" s="9" customFormat="1" ht="24" customHeight="1" x14ac:dyDescent="0.35">
      <c r="A343" s="157">
        <f ca="1">IF($AN$35="YES",1,IF(_xll.ELCOMPN(Server&amp;$C$24,C343)&lt;&gt;0,1,IF(OR(B343=$AT$35,B343="ALL"),1,0)))</f>
        <v>1</v>
      </c>
      <c r="B343" s="139" t="str">
        <f t="shared" si="4"/>
        <v>IT</v>
      </c>
      <c r="C343" s="137" t="s">
        <v>403</v>
      </c>
      <c r="E343" s="219" t="str">
        <f ca="1">_xll.DBRA(Server&amp;$C$24,$C343,$F$21)</f>
        <v>Location Appartement de fonction (IT)</v>
      </c>
      <c r="F343" s="219"/>
      <c r="G343" s="219"/>
      <c r="H343" s="40"/>
      <c r="I343" s="192">
        <f ca="1">_xll.DBRW(Server&amp;Cube1,$F$17,$F$18,$F$19,$F$16,$C$14,$F$15,$F$14,$F$20,I$2,I$1,$C343)</f>
        <v>0</v>
      </c>
      <c r="J343" s="192">
        <f ca="1">_xll.DBRW(Server&amp;Cube1,$F$17,$F$18,$F$19,$F$16,$C$14,$F$15,$F$14,$F$20,J$2,J$1,$C343)</f>
        <v>0</v>
      </c>
      <c r="K343" s="183"/>
      <c r="L343" s="185">
        <f ca="1">_xll.DBRW(Server&amp;Cube1,$F$17,$F$18,$F$19,$F$16,$C$14,$F$15,$F$14,$F$20,L$2,L$1,$C343)</f>
        <v>0</v>
      </c>
      <c r="M343" s="184"/>
      <c r="N343" s="185">
        <f ca="1">_xll.DBRW(Server&amp;Cube1,$F$17,$F$18,$F$19,$F$16,$C$14,$F$15,$F$14,$F$20,N$2,$N$1,$C343)</f>
        <v>0</v>
      </c>
      <c r="O343" s="185">
        <f ca="1">_xll.DBRW(Server&amp;Cube1,$F$17,$F$18,$F$19,$F$16,$C$14,$F$15,$F$14,$F$20,O$2,$N$1,$C343)</f>
        <v>0</v>
      </c>
      <c r="P343" s="185">
        <f ca="1">_xll.DBRW(Server&amp;Cube1,$F$17,$F$18,$F$19,$F$16,$C$14,$F$15,$F$14,$F$20,P$2,$N$1,$C343)</f>
        <v>0</v>
      </c>
      <c r="Q343" s="185">
        <f ca="1">_xll.DBRW(Server&amp;Cube1,$F$17,$F$18,$F$19,$F$16,$C$14,$F$15,$F$14,$F$20,Q$2,$N$1,$C343)</f>
        <v>0</v>
      </c>
      <c r="R343" s="185">
        <f ca="1">_xll.DBRW(Server&amp;Cube1,$F$17,$F$18,$F$19,$F$16,$C$14,$F$15,$F$14,$F$20,R$2,$N$1,$C343)</f>
        <v>0</v>
      </c>
      <c r="S343" s="185">
        <f ca="1">_xll.DBRW(Server&amp;Cube1,$F$17,$F$18,$F$19,$F$16,$C$14,$F$15,$F$14,$F$20,S$2,$N$1,$C343)</f>
        <v>0</v>
      </c>
      <c r="T343" s="185">
        <f ca="1">_xll.DBRW(Server&amp;Cube1,$F$17,$F$18,$F$19,$F$16,$C$14,$F$15,$F$14,$F$20,T$2,$N$1,$C343)</f>
        <v>0</v>
      </c>
      <c r="U343" s="185">
        <f ca="1">_xll.DBRW(Server&amp;Cube1,$F$17,$F$18,$F$19,$F$16,$C$14,$F$15,$F$14,$F$20,U$2,$N$1,$C343)</f>
        <v>0</v>
      </c>
      <c r="V343" s="185">
        <f ca="1">_xll.DBRW(Server&amp;Cube1,$F$17,$F$18,$F$19,$F$16,$C$14,$F$15,$F$14,$F$20,V$2,$N$1,$C343)</f>
        <v>0</v>
      </c>
      <c r="W343" s="185">
        <f ca="1">_xll.DBRW(Server&amp;Cube1,$F$17,$F$18,$F$19,$F$16,$C$14,$F$15,$F$14,$F$20,W$2,$N$1,$C343)</f>
        <v>0</v>
      </c>
      <c r="X343" s="185">
        <f ca="1">_xll.DBRW(Server&amp;Cube1,$F$17,$F$18,$F$19,$F$16,$C$14,$F$15,$F$14,$F$20,X$2,$N$1,$C343)</f>
        <v>0</v>
      </c>
      <c r="Y343" s="185">
        <f ca="1">_xll.DBRW(Server&amp;Cube1,$F$17,$F$18,$F$19,$F$16,$C$14,$F$15,$F$14,$F$20,Y$2,$N$1,$C343)</f>
        <v>0</v>
      </c>
      <c r="Z343" s="185">
        <f ca="1">_xll.DBRW(Server&amp;Cube1,$F$17,$F$18,$F$19,$F$16,$C$14,$F$15,$F$14,$F$20,Z$2,$N$1,$C343)</f>
        <v>0</v>
      </c>
      <c r="AA343" s="53"/>
      <c r="AB343" s="53"/>
      <c r="AC343" s="53"/>
      <c r="AD343" s="53"/>
      <c r="AE343" s="53"/>
      <c r="AF343" s="53"/>
      <c r="AG343" s="53"/>
      <c r="AH343" s="53"/>
      <c r="AI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</row>
    <row r="344" spans="1:47" s="9" customFormat="1" ht="24" customHeight="1" x14ac:dyDescent="0.35">
      <c r="A344" s="157">
        <f ca="1">IF($AN$35="YES",1,IF(_xll.ELCOMPN(Server&amp;$C$24,C344)&lt;&gt;0,1,IF(OR(B344=$AT$35,B344="ALL"),1,0)))</f>
        <v>1</v>
      </c>
      <c r="B344" s="139" t="str">
        <f t="shared" si="4"/>
        <v>HR</v>
      </c>
      <c r="C344" s="137" t="s">
        <v>404</v>
      </c>
      <c r="E344" s="219" t="str">
        <f ca="1">_xll.DBRA(Server&amp;$C$24,$C344,$F$21)</f>
        <v>Location Appartement de fonction (RH)</v>
      </c>
      <c r="F344" s="219"/>
      <c r="G344" s="219"/>
      <c r="H344" s="40"/>
      <c r="I344" s="192">
        <f ca="1">_xll.DBRW(Server&amp;Cube1,$F$17,$F$18,$F$19,$F$16,$C$14,$F$15,$F$14,$F$20,I$2,I$1,$C344)</f>
        <v>0</v>
      </c>
      <c r="J344" s="192">
        <f ca="1">_xll.DBRW(Server&amp;Cube1,$F$17,$F$18,$F$19,$F$16,$C$14,$F$15,$F$14,$F$20,J$2,J$1,$C344)</f>
        <v>0</v>
      </c>
      <c r="K344" s="183"/>
      <c r="L344" s="185">
        <f ca="1">_xll.DBRW(Server&amp;Cube1,$F$17,$F$18,$F$19,$F$16,$C$14,$F$15,$F$14,$F$20,L$2,L$1,$C344)</f>
        <v>0</v>
      </c>
      <c r="M344" s="184"/>
      <c r="N344" s="185">
        <f ca="1">_xll.DBRW(Server&amp;Cube1,$F$17,$F$18,$F$19,$F$16,$C$14,$F$15,$F$14,$F$20,N$2,$N$1,$C344)</f>
        <v>0</v>
      </c>
      <c r="O344" s="185">
        <f ca="1">_xll.DBRW(Server&amp;Cube1,$F$17,$F$18,$F$19,$F$16,$C$14,$F$15,$F$14,$F$20,O$2,$N$1,$C344)</f>
        <v>0</v>
      </c>
      <c r="P344" s="185">
        <f ca="1">_xll.DBRW(Server&amp;Cube1,$F$17,$F$18,$F$19,$F$16,$C$14,$F$15,$F$14,$F$20,P$2,$N$1,$C344)</f>
        <v>0</v>
      </c>
      <c r="Q344" s="185">
        <f ca="1">_xll.DBRW(Server&amp;Cube1,$F$17,$F$18,$F$19,$F$16,$C$14,$F$15,$F$14,$F$20,Q$2,$N$1,$C344)</f>
        <v>0</v>
      </c>
      <c r="R344" s="185">
        <f ca="1">_xll.DBRW(Server&amp;Cube1,$F$17,$F$18,$F$19,$F$16,$C$14,$F$15,$F$14,$F$20,R$2,$N$1,$C344)</f>
        <v>0</v>
      </c>
      <c r="S344" s="185">
        <f ca="1">_xll.DBRW(Server&amp;Cube1,$F$17,$F$18,$F$19,$F$16,$C$14,$F$15,$F$14,$F$20,S$2,$N$1,$C344)</f>
        <v>0</v>
      </c>
      <c r="T344" s="185">
        <f ca="1">_xll.DBRW(Server&amp;Cube1,$F$17,$F$18,$F$19,$F$16,$C$14,$F$15,$F$14,$F$20,T$2,$N$1,$C344)</f>
        <v>0</v>
      </c>
      <c r="U344" s="185">
        <f ca="1">_xll.DBRW(Server&amp;Cube1,$F$17,$F$18,$F$19,$F$16,$C$14,$F$15,$F$14,$F$20,U$2,$N$1,$C344)</f>
        <v>0</v>
      </c>
      <c r="V344" s="185">
        <f ca="1">_xll.DBRW(Server&amp;Cube1,$F$17,$F$18,$F$19,$F$16,$C$14,$F$15,$F$14,$F$20,V$2,$N$1,$C344)</f>
        <v>0</v>
      </c>
      <c r="W344" s="185">
        <f ca="1">_xll.DBRW(Server&amp;Cube1,$F$17,$F$18,$F$19,$F$16,$C$14,$F$15,$F$14,$F$20,W$2,$N$1,$C344)</f>
        <v>0</v>
      </c>
      <c r="X344" s="185">
        <f ca="1">_xll.DBRW(Server&amp;Cube1,$F$17,$F$18,$F$19,$F$16,$C$14,$F$15,$F$14,$F$20,X$2,$N$1,$C344)</f>
        <v>0</v>
      </c>
      <c r="Y344" s="185">
        <f ca="1">_xll.DBRW(Server&amp;Cube1,$F$17,$F$18,$F$19,$F$16,$C$14,$F$15,$F$14,$F$20,Y$2,$N$1,$C344)</f>
        <v>0</v>
      </c>
      <c r="Z344" s="185">
        <f ca="1">_xll.DBRW(Server&amp;Cube1,$F$17,$F$18,$F$19,$F$16,$C$14,$F$15,$F$14,$F$20,Z$2,$N$1,$C344)</f>
        <v>0</v>
      </c>
      <c r="AA344" s="53"/>
      <c r="AB344" s="53"/>
      <c r="AC344" s="53"/>
      <c r="AD344" s="53"/>
      <c r="AE344" s="53"/>
      <c r="AF344" s="53"/>
      <c r="AG344" s="53"/>
      <c r="AH344" s="53"/>
      <c r="AI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</row>
    <row r="345" spans="1:47" s="9" customFormat="1" ht="24" customHeight="1" x14ac:dyDescent="0.35">
      <c r="A345" s="157">
        <f ca="1">IF($AN$35="YES",1,IF(_xll.ELCOMPN(Server&amp;$C$24,C345)&lt;&gt;0,1,IF(OR(B345=$AT$35,B345="ALL"),1,0)))</f>
        <v>1</v>
      </c>
      <c r="B345" s="139" t="str">
        <f t="shared" si="4"/>
        <v>GM</v>
      </c>
      <c r="C345" s="137" t="s">
        <v>405</v>
      </c>
      <c r="E345" s="219" t="str">
        <f ca="1">_xll.DBRA(Server&amp;$C$24,$C345,$F$21)</f>
        <v>Location Appartement de fonction (DG)</v>
      </c>
      <c r="F345" s="219"/>
      <c r="G345" s="219"/>
      <c r="H345" s="40"/>
      <c r="I345" s="192">
        <f ca="1">_xll.DBRW(Server&amp;Cube1,$F$17,$F$18,$F$19,$F$16,$C$14,$F$15,$F$14,$F$20,I$2,I$1,$C345)</f>
        <v>0</v>
      </c>
      <c r="J345" s="192">
        <f ca="1">_xll.DBRW(Server&amp;Cube1,$F$17,$F$18,$F$19,$F$16,$C$14,$F$15,$F$14,$F$20,J$2,J$1,$C345)</f>
        <v>0</v>
      </c>
      <c r="K345" s="183"/>
      <c r="L345" s="185">
        <f ca="1">_xll.DBRW(Server&amp;Cube1,$F$17,$F$18,$F$19,$F$16,$C$14,$F$15,$F$14,$F$20,L$2,L$1,$C345)</f>
        <v>0</v>
      </c>
      <c r="M345" s="184"/>
      <c r="N345" s="185">
        <f ca="1">_xll.DBRW(Server&amp;Cube1,$F$17,$F$18,$F$19,$F$16,$C$14,$F$15,$F$14,$F$20,N$2,$N$1,$C345)</f>
        <v>0</v>
      </c>
      <c r="O345" s="185">
        <f ca="1">_xll.DBRW(Server&amp;Cube1,$F$17,$F$18,$F$19,$F$16,$C$14,$F$15,$F$14,$F$20,O$2,$N$1,$C345)</f>
        <v>0</v>
      </c>
      <c r="P345" s="185">
        <f ca="1">_xll.DBRW(Server&amp;Cube1,$F$17,$F$18,$F$19,$F$16,$C$14,$F$15,$F$14,$F$20,P$2,$N$1,$C345)</f>
        <v>0</v>
      </c>
      <c r="Q345" s="185">
        <f ca="1">_xll.DBRW(Server&amp;Cube1,$F$17,$F$18,$F$19,$F$16,$C$14,$F$15,$F$14,$F$20,Q$2,$N$1,$C345)</f>
        <v>0</v>
      </c>
      <c r="R345" s="185">
        <f ca="1">_xll.DBRW(Server&amp;Cube1,$F$17,$F$18,$F$19,$F$16,$C$14,$F$15,$F$14,$F$20,R$2,$N$1,$C345)</f>
        <v>0</v>
      </c>
      <c r="S345" s="185">
        <f ca="1">_xll.DBRW(Server&amp;Cube1,$F$17,$F$18,$F$19,$F$16,$C$14,$F$15,$F$14,$F$20,S$2,$N$1,$C345)</f>
        <v>0</v>
      </c>
      <c r="T345" s="185">
        <f ca="1">_xll.DBRW(Server&amp;Cube1,$F$17,$F$18,$F$19,$F$16,$C$14,$F$15,$F$14,$F$20,T$2,$N$1,$C345)</f>
        <v>0</v>
      </c>
      <c r="U345" s="185">
        <f ca="1">_xll.DBRW(Server&amp;Cube1,$F$17,$F$18,$F$19,$F$16,$C$14,$F$15,$F$14,$F$20,U$2,$N$1,$C345)</f>
        <v>0</v>
      </c>
      <c r="V345" s="185">
        <f ca="1">_xll.DBRW(Server&amp;Cube1,$F$17,$F$18,$F$19,$F$16,$C$14,$F$15,$F$14,$F$20,V$2,$N$1,$C345)</f>
        <v>0</v>
      </c>
      <c r="W345" s="185">
        <f ca="1">_xll.DBRW(Server&amp;Cube1,$F$17,$F$18,$F$19,$F$16,$C$14,$F$15,$F$14,$F$20,W$2,$N$1,$C345)</f>
        <v>0</v>
      </c>
      <c r="X345" s="185">
        <f ca="1">_xll.DBRW(Server&amp;Cube1,$F$17,$F$18,$F$19,$F$16,$C$14,$F$15,$F$14,$F$20,X$2,$N$1,$C345)</f>
        <v>0</v>
      </c>
      <c r="Y345" s="185">
        <f ca="1">_xll.DBRW(Server&amp;Cube1,$F$17,$F$18,$F$19,$F$16,$C$14,$F$15,$F$14,$F$20,Y$2,$N$1,$C345)</f>
        <v>0</v>
      </c>
      <c r="Z345" s="185">
        <f ca="1">_xll.DBRW(Server&amp;Cube1,$F$17,$F$18,$F$19,$F$16,$C$14,$F$15,$F$14,$F$20,Z$2,$N$1,$C345)</f>
        <v>0</v>
      </c>
      <c r="AA345" s="53"/>
      <c r="AB345" s="53"/>
      <c r="AC345" s="53"/>
      <c r="AD345" s="53"/>
      <c r="AE345" s="53"/>
      <c r="AF345" s="53"/>
      <c r="AG345" s="53"/>
      <c r="AH345" s="53"/>
      <c r="AI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</row>
    <row r="346" spans="1:47" s="9" customFormat="1" ht="24" customHeight="1" x14ac:dyDescent="0.35">
      <c r="A346" s="157">
        <f ca="1">IF($AN$35="YES",1,IF(_xll.ELCOMPN(Server&amp;$C$24,C346)&lt;&gt;0,1,IF(OR(B346=$AT$35,B346="ALL"),1,0)))</f>
        <v>1</v>
      </c>
      <c r="B346" s="139" t="str">
        <f t="shared" si="4"/>
        <v>IA</v>
      </c>
      <c r="C346" s="137" t="s">
        <v>406</v>
      </c>
      <c r="E346" s="219" t="str">
        <f ca="1">_xll.DBRA(Server&amp;$C$24,$C346,$F$21)</f>
        <v>Location Appartement de fonction (AI)</v>
      </c>
      <c r="F346" s="219"/>
      <c r="G346" s="219"/>
      <c r="H346" s="40"/>
      <c r="I346" s="192">
        <f ca="1">_xll.DBRW(Server&amp;Cube1,$F$17,$F$18,$F$19,$F$16,$C$14,$F$15,$F$14,$F$20,I$2,I$1,$C346)</f>
        <v>0</v>
      </c>
      <c r="J346" s="192">
        <f ca="1">_xll.DBRW(Server&amp;Cube1,$F$17,$F$18,$F$19,$F$16,$C$14,$F$15,$F$14,$F$20,J$2,J$1,$C346)</f>
        <v>0</v>
      </c>
      <c r="K346" s="183"/>
      <c r="L346" s="185">
        <f ca="1">_xll.DBRW(Server&amp;Cube1,$F$17,$F$18,$F$19,$F$16,$C$14,$F$15,$F$14,$F$20,L$2,L$1,$C346)</f>
        <v>0</v>
      </c>
      <c r="M346" s="184"/>
      <c r="N346" s="185">
        <f ca="1">_xll.DBRW(Server&amp;Cube1,$F$17,$F$18,$F$19,$F$16,$C$14,$F$15,$F$14,$F$20,N$2,$N$1,$C346)</f>
        <v>0</v>
      </c>
      <c r="O346" s="185">
        <f ca="1">_xll.DBRW(Server&amp;Cube1,$F$17,$F$18,$F$19,$F$16,$C$14,$F$15,$F$14,$F$20,O$2,$N$1,$C346)</f>
        <v>0</v>
      </c>
      <c r="P346" s="185">
        <f ca="1">_xll.DBRW(Server&amp;Cube1,$F$17,$F$18,$F$19,$F$16,$C$14,$F$15,$F$14,$F$20,P$2,$N$1,$C346)</f>
        <v>0</v>
      </c>
      <c r="Q346" s="185">
        <f ca="1">_xll.DBRW(Server&amp;Cube1,$F$17,$F$18,$F$19,$F$16,$C$14,$F$15,$F$14,$F$20,Q$2,$N$1,$C346)</f>
        <v>0</v>
      </c>
      <c r="R346" s="185">
        <f ca="1">_xll.DBRW(Server&amp;Cube1,$F$17,$F$18,$F$19,$F$16,$C$14,$F$15,$F$14,$F$20,R$2,$N$1,$C346)</f>
        <v>0</v>
      </c>
      <c r="S346" s="185">
        <f ca="1">_xll.DBRW(Server&amp;Cube1,$F$17,$F$18,$F$19,$F$16,$C$14,$F$15,$F$14,$F$20,S$2,$N$1,$C346)</f>
        <v>0</v>
      </c>
      <c r="T346" s="185">
        <f ca="1">_xll.DBRW(Server&amp;Cube1,$F$17,$F$18,$F$19,$F$16,$C$14,$F$15,$F$14,$F$20,T$2,$N$1,$C346)</f>
        <v>0</v>
      </c>
      <c r="U346" s="185">
        <f ca="1">_xll.DBRW(Server&amp;Cube1,$F$17,$F$18,$F$19,$F$16,$C$14,$F$15,$F$14,$F$20,U$2,$N$1,$C346)</f>
        <v>0</v>
      </c>
      <c r="V346" s="185">
        <f ca="1">_xll.DBRW(Server&amp;Cube1,$F$17,$F$18,$F$19,$F$16,$C$14,$F$15,$F$14,$F$20,V$2,$N$1,$C346)</f>
        <v>0</v>
      </c>
      <c r="W346" s="185">
        <f ca="1">_xll.DBRW(Server&amp;Cube1,$F$17,$F$18,$F$19,$F$16,$C$14,$F$15,$F$14,$F$20,W$2,$N$1,$C346)</f>
        <v>0</v>
      </c>
      <c r="X346" s="185">
        <f ca="1">_xll.DBRW(Server&amp;Cube1,$F$17,$F$18,$F$19,$F$16,$C$14,$F$15,$F$14,$F$20,X$2,$N$1,$C346)</f>
        <v>0</v>
      </c>
      <c r="Y346" s="185">
        <f ca="1">_xll.DBRW(Server&amp;Cube1,$F$17,$F$18,$F$19,$F$16,$C$14,$F$15,$F$14,$F$20,Y$2,$N$1,$C346)</f>
        <v>0</v>
      </c>
      <c r="Z346" s="185">
        <f ca="1">_xll.DBRW(Server&amp;Cube1,$F$17,$F$18,$F$19,$F$16,$C$14,$F$15,$F$14,$F$20,Z$2,$N$1,$C346)</f>
        <v>0</v>
      </c>
      <c r="AA346" s="53"/>
      <c r="AB346" s="53"/>
      <c r="AC346" s="53"/>
      <c r="AD346" s="53"/>
      <c r="AE346" s="53"/>
      <c r="AF346" s="53"/>
      <c r="AG346" s="53"/>
      <c r="AH346" s="53"/>
      <c r="AI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</row>
    <row r="347" spans="1:47" s="9" customFormat="1" ht="24" customHeight="1" x14ac:dyDescent="0.35">
      <c r="A347" s="157">
        <f ca="1">IF($AN$35="YES",1,IF(_xll.ELCOMPN(Server&amp;$C$24,C347)&lt;&gt;0,1,IF(OR(B347=$AT$35,B347="ALL"),1,0)))</f>
        <v>1</v>
      </c>
      <c r="B347" s="139" t="str">
        <f t="shared" si="4"/>
        <v>LE</v>
      </c>
      <c r="C347" s="137" t="s">
        <v>407</v>
      </c>
      <c r="E347" s="219" t="str">
        <f ca="1">_xll.DBRA(Server&amp;$C$24,$C347,$F$21)</f>
        <v>Location Appartement de fonction (JU)</v>
      </c>
      <c r="F347" s="219"/>
      <c r="G347" s="219"/>
      <c r="H347" s="40"/>
      <c r="I347" s="192">
        <f ca="1">_xll.DBRW(Server&amp;Cube1,$F$17,$F$18,$F$19,$F$16,$C$14,$F$15,$F$14,$F$20,I$2,I$1,$C347)</f>
        <v>0</v>
      </c>
      <c r="J347" s="192">
        <f ca="1">_xll.DBRW(Server&amp;Cube1,$F$17,$F$18,$F$19,$F$16,$C$14,$F$15,$F$14,$F$20,J$2,J$1,$C347)</f>
        <v>0</v>
      </c>
      <c r="K347" s="183"/>
      <c r="L347" s="185">
        <f ca="1">_xll.DBRW(Server&amp;Cube1,$F$17,$F$18,$F$19,$F$16,$C$14,$F$15,$F$14,$F$20,L$2,L$1,$C347)</f>
        <v>0</v>
      </c>
      <c r="M347" s="184"/>
      <c r="N347" s="185">
        <f ca="1">_xll.DBRW(Server&amp;Cube1,$F$17,$F$18,$F$19,$F$16,$C$14,$F$15,$F$14,$F$20,N$2,$N$1,$C347)</f>
        <v>0</v>
      </c>
      <c r="O347" s="185">
        <f ca="1">_xll.DBRW(Server&amp;Cube1,$F$17,$F$18,$F$19,$F$16,$C$14,$F$15,$F$14,$F$20,O$2,$N$1,$C347)</f>
        <v>0</v>
      </c>
      <c r="P347" s="185">
        <f ca="1">_xll.DBRW(Server&amp;Cube1,$F$17,$F$18,$F$19,$F$16,$C$14,$F$15,$F$14,$F$20,P$2,$N$1,$C347)</f>
        <v>0</v>
      </c>
      <c r="Q347" s="185">
        <f ca="1">_xll.DBRW(Server&amp;Cube1,$F$17,$F$18,$F$19,$F$16,$C$14,$F$15,$F$14,$F$20,Q$2,$N$1,$C347)</f>
        <v>0</v>
      </c>
      <c r="R347" s="185">
        <f ca="1">_xll.DBRW(Server&amp;Cube1,$F$17,$F$18,$F$19,$F$16,$C$14,$F$15,$F$14,$F$20,R$2,$N$1,$C347)</f>
        <v>0</v>
      </c>
      <c r="S347" s="185">
        <f ca="1">_xll.DBRW(Server&amp;Cube1,$F$17,$F$18,$F$19,$F$16,$C$14,$F$15,$F$14,$F$20,S$2,$N$1,$C347)</f>
        <v>0</v>
      </c>
      <c r="T347" s="185">
        <f ca="1">_xll.DBRW(Server&amp;Cube1,$F$17,$F$18,$F$19,$F$16,$C$14,$F$15,$F$14,$F$20,T$2,$N$1,$C347)</f>
        <v>0</v>
      </c>
      <c r="U347" s="185">
        <f ca="1">_xll.DBRW(Server&amp;Cube1,$F$17,$F$18,$F$19,$F$16,$C$14,$F$15,$F$14,$F$20,U$2,$N$1,$C347)</f>
        <v>0</v>
      </c>
      <c r="V347" s="185">
        <f ca="1">_xll.DBRW(Server&amp;Cube1,$F$17,$F$18,$F$19,$F$16,$C$14,$F$15,$F$14,$F$20,V$2,$N$1,$C347)</f>
        <v>0</v>
      </c>
      <c r="W347" s="185">
        <f ca="1">_xll.DBRW(Server&amp;Cube1,$F$17,$F$18,$F$19,$F$16,$C$14,$F$15,$F$14,$F$20,W$2,$N$1,$C347)</f>
        <v>0</v>
      </c>
      <c r="X347" s="185">
        <f ca="1">_xll.DBRW(Server&amp;Cube1,$F$17,$F$18,$F$19,$F$16,$C$14,$F$15,$F$14,$F$20,X$2,$N$1,$C347)</f>
        <v>0</v>
      </c>
      <c r="Y347" s="185">
        <f ca="1">_xll.DBRW(Server&amp;Cube1,$F$17,$F$18,$F$19,$F$16,$C$14,$F$15,$F$14,$F$20,Y$2,$N$1,$C347)</f>
        <v>0</v>
      </c>
      <c r="Z347" s="185">
        <f ca="1">_xll.DBRW(Server&amp;Cube1,$F$17,$F$18,$F$19,$F$16,$C$14,$F$15,$F$14,$F$20,Z$2,$N$1,$C347)</f>
        <v>0</v>
      </c>
      <c r="AA347" s="53"/>
      <c r="AB347" s="53"/>
      <c r="AC347" s="53"/>
      <c r="AD347" s="53"/>
      <c r="AE347" s="53"/>
      <c r="AF347" s="53"/>
      <c r="AG347" s="53"/>
      <c r="AH347" s="53"/>
      <c r="AI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</row>
    <row r="348" spans="1:47" s="9" customFormat="1" ht="24" customHeight="1" x14ac:dyDescent="0.35">
      <c r="A348" s="157">
        <f ca="1">IF($AN$35="YES",1,IF(_xll.ELCOMPN(Server&amp;$C$24,C348)&lt;&gt;0,1,IF(OR(B348=$AT$35,B348="ALL"),1,0)))</f>
        <v>1</v>
      </c>
      <c r="B348" s="139" t="str">
        <f t="shared" si="4"/>
        <v>RM</v>
      </c>
      <c r="C348" s="137" t="s">
        <v>408</v>
      </c>
      <c r="E348" s="219" t="str">
        <f ca="1">_xll.DBRA(Server&amp;$C$24,$C348,$F$21)</f>
        <v>Location Appartement de fonction (GR)</v>
      </c>
      <c r="F348" s="219"/>
      <c r="G348" s="219"/>
      <c r="H348" s="40"/>
      <c r="I348" s="192">
        <f ca="1">_xll.DBRW(Server&amp;Cube1,$F$17,$F$18,$F$19,$F$16,$C$14,$F$15,$F$14,$F$20,I$2,I$1,$C348)</f>
        <v>0</v>
      </c>
      <c r="J348" s="192">
        <f ca="1">_xll.DBRW(Server&amp;Cube1,$F$17,$F$18,$F$19,$F$16,$C$14,$F$15,$F$14,$F$20,J$2,J$1,$C348)</f>
        <v>0</v>
      </c>
      <c r="K348" s="183"/>
      <c r="L348" s="185">
        <f ca="1">_xll.DBRW(Server&amp;Cube1,$F$17,$F$18,$F$19,$F$16,$C$14,$F$15,$F$14,$F$20,L$2,L$1,$C348)</f>
        <v>0</v>
      </c>
      <c r="M348" s="184"/>
      <c r="N348" s="185">
        <f ca="1">_xll.DBRW(Server&amp;Cube1,$F$17,$F$18,$F$19,$F$16,$C$14,$F$15,$F$14,$F$20,N$2,$N$1,$C348)</f>
        <v>0</v>
      </c>
      <c r="O348" s="185">
        <f ca="1">_xll.DBRW(Server&amp;Cube1,$F$17,$F$18,$F$19,$F$16,$C$14,$F$15,$F$14,$F$20,O$2,$N$1,$C348)</f>
        <v>0</v>
      </c>
      <c r="P348" s="185">
        <f ca="1">_xll.DBRW(Server&amp;Cube1,$F$17,$F$18,$F$19,$F$16,$C$14,$F$15,$F$14,$F$20,P$2,$N$1,$C348)</f>
        <v>0</v>
      </c>
      <c r="Q348" s="185">
        <f ca="1">_xll.DBRW(Server&amp;Cube1,$F$17,$F$18,$F$19,$F$16,$C$14,$F$15,$F$14,$F$20,Q$2,$N$1,$C348)</f>
        <v>0</v>
      </c>
      <c r="R348" s="185">
        <f ca="1">_xll.DBRW(Server&amp;Cube1,$F$17,$F$18,$F$19,$F$16,$C$14,$F$15,$F$14,$F$20,R$2,$N$1,$C348)</f>
        <v>0</v>
      </c>
      <c r="S348" s="185">
        <f ca="1">_xll.DBRW(Server&amp;Cube1,$F$17,$F$18,$F$19,$F$16,$C$14,$F$15,$F$14,$F$20,S$2,$N$1,$C348)</f>
        <v>0</v>
      </c>
      <c r="T348" s="185">
        <f ca="1">_xll.DBRW(Server&amp;Cube1,$F$17,$F$18,$F$19,$F$16,$C$14,$F$15,$F$14,$F$20,T$2,$N$1,$C348)</f>
        <v>0</v>
      </c>
      <c r="U348" s="185">
        <f ca="1">_xll.DBRW(Server&amp;Cube1,$F$17,$F$18,$F$19,$F$16,$C$14,$F$15,$F$14,$F$20,U$2,$N$1,$C348)</f>
        <v>0</v>
      </c>
      <c r="V348" s="185">
        <f ca="1">_xll.DBRW(Server&amp;Cube1,$F$17,$F$18,$F$19,$F$16,$C$14,$F$15,$F$14,$F$20,V$2,$N$1,$C348)</f>
        <v>0</v>
      </c>
      <c r="W348" s="185">
        <f ca="1">_xll.DBRW(Server&amp;Cube1,$F$17,$F$18,$F$19,$F$16,$C$14,$F$15,$F$14,$F$20,W$2,$N$1,$C348)</f>
        <v>0</v>
      </c>
      <c r="X348" s="185">
        <f ca="1">_xll.DBRW(Server&amp;Cube1,$F$17,$F$18,$F$19,$F$16,$C$14,$F$15,$F$14,$F$20,X$2,$N$1,$C348)</f>
        <v>0</v>
      </c>
      <c r="Y348" s="185">
        <f ca="1">_xll.DBRW(Server&amp;Cube1,$F$17,$F$18,$F$19,$F$16,$C$14,$F$15,$F$14,$F$20,Y$2,$N$1,$C348)</f>
        <v>0</v>
      </c>
      <c r="Z348" s="185">
        <f ca="1">_xll.DBRW(Server&amp;Cube1,$F$17,$F$18,$F$19,$F$16,$C$14,$F$15,$F$14,$F$20,Z$2,$N$1,$C348)</f>
        <v>0</v>
      </c>
      <c r="AA348" s="53"/>
      <c r="AB348" s="53"/>
      <c r="AC348" s="53"/>
      <c r="AD348" s="53"/>
      <c r="AE348" s="53"/>
      <c r="AF348" s="53"/>
      <c r="AG348" s="53"/>
      <c r="AH348" s="53"/>
      <c r="AI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</row>
    <row r="349" spans="1:47" s="9" customFormat="1" ht="24" customHeight="1" x14ac:dyDescent="0.35">
      <c r="A349" s="157">
        <f ca="1">IF($AN$35="YES",1,IF(_xll.ELCOMPN(Server&amp;$C$24,C349)&lt;&gt;0,1,IF(OR(B349=$AT$35,B349="ALL"),1,0)))</f>
        <v>1</v>
      </c>
      <c r="B349" s="139" t="str">
        <f t="shared" si="4"/>
        <v>PU</v>
      </c>
      <c r="C349" s="137" t="s">
        <v>409</v>
      </c>
      <c r="E349" s="219" t="str">
        <f ca="1">_xll.DBRA(Server&amp;$C$24,$C349,$F$21)</f>
        <v>Location Appartement de fonction (AC)</v>
      </c>
      <c r="F349" s="219"/>
      <c r="G349" s="219"/>
      <c r="H349" s="40"/>
      <c r="I349" s="192">
        <f ca="1">_xll.DBRW(Server&amp;Cube1,$F$17,$F$18,$F$19,$F$16,$C$14,$F$15,$F$14,$F$20,I$2,I$1,$C349)</f>
        <v>0</v>
      </c>
      <c r="J349" s="192">
        <f ca="1">_xll.DBRW(Server&amp;Cube1,$F$17,$F$18,$F$19,$F$16,$C$14,$F$15,$F$14,$F$20,J$2,J$1,$C349)</f>
        <v>0</v>
      </c>
      <c r="K349" s="183"/>
      <c r="L349" s="185">
        <f ca="1">_xll.DBRW(Server&amp;Cube1,$F$17,$F$18,$F$19,$F$16,$C$14,$F$15,$F$14,$F$20,L$2,L$1,$C349)</f>
        <v>0</v>
      </c>
      <c r="M349" s="184"/>
      <c r="N349" s="185">
        <f ca="1">_xll.DBRW(Server&amp;Cube1,$F$17,$F$18,$F$19,$F$16,$C$14,$F$15,$F$14,$F$20,N$2,$N$1,$C349)</f>
        <v>0</v>
      </c>
      <c r="O349" s="185">
        <f ca="1">_xll.DBRW(Server&amp;Cube1,$F$17,$F$18,$F$19,$F$16,$C$14,$F$15,$F$14,$F$20,O$2,$N$1,$C349)</f>
        <v>0</v>
      </c>
      <c r="P349" s="185">
        <f ca="1">_xll.DBRW(Server&amp;Cube1,$F$17,$F$18,$F$19,$F$16,$C$14,$F$15,$F$14,$F$20,P$2,$N$1,$C349)</f>
        <v>0</v>
      </c>
      <c r="Q349" s="185">
        <f ca="1">_xll.DBRW(Server&amp;Cube1,$F$17,$F$18,$F$19,$F$16,$C$14,$F$15,$F$14,$F$20,Q$2,$N$1,$C349)</f>
        <v>0</v>
      </c>
      <c r="R349" s="185">
        <f ca="1">_xll.DBRW(Server&amp;Cube1,$F$17,$F$18,$F$19,$F$16,$C$14,$F$15,$F$14,$F$20,R$2,$N$1,$C349)</f>
        <v>0</v>
      </c>
      <c r="S349" s="185">
        <f ca="1">_xll.DBRW(Server&amp;Cube1,$F$17,$F$18,$F$19,$F$16,$C$14,$F$15,$F$14,$F$20,S$2,$N$1,$C349)</f>
        <v>0</v>
      </c>
      <c r="T349" s="185">
        <f ca="1">_xll.DBRW(Server&amp;Cube1,$F$17,$F$18,$F$19,$F$16,$C$14,$F$15,$F$14,$F$20,T$2,$N$1,$C349)</f>
        <v>0</v>
      </c>
      <c r="U349" s="185">
        <f ca="1">_xll.DBRW(Server&amp;Cube1,$F$17,$F$18,$F$19,$F$16,$C$14,$F$15,$F$14,$F$20,U$2,$N$1,$C349)</f>
        <v>0</v>
      </c>
      <c r="V349" s="185">
        <f ca="1">_xll.DBRW(Server&amp;Cube1,$F$17,$F$18,$F$19,$F$16,$C$14,$F$15,$F$14,$F$20,V$2,$N$1,$C349)</f>
        <v>0</v>
      </c>
      <c r="W349" s="185">
        <f ca="1">_xll.DBRW(Server&amp;Cube1,$F$17,$F$18,$F$19,$F$16,$C$14,$F$15,$F$14,$F$20,W$2,$N$1,$C349)</f>
        <v>0</v>
      </c>
      <c r="X349" s="185">
        <f ca="1">_xll.DBRW(Server&amp;Cube1,$F$17,$F$18,$F$19,$F$16,$C$14,$F$15,$F$14,$F$20,X$2,$N$1,$C349)</f>
        <v>0</v>
      </c>
      <c r="Y349" s="185">
        <f ca="1">_xll.DBRW(Server&amp;Cube1,$F$17,$F$18,$F$19,$F$16,$C$14,$F$15,$F$14,$F$20,Y$2,$N$1,$C349)</f>
        <v>0</v>
      </c>
      <c r="Z349" s="185">
        <f ca="1">_xll.DBRW(Server&amp;Cube1,$F$17,$F$18,$F$19,$F$16,$C$14,$F$15,$F$14,$F$20,Z$2,$N$1,$C349)</f>
        <v>0</v>
      </c>
      <c r="AA349" s="53"/>
      <c r="AB349" s="53"/>
      <c r="AC349" s="53"/>
      <c r="AD349" s="53"/>
      <c r="AE349" s="53"/>
      <c r="AF349" s="53"/>
      <c r="AG349" s="53"/>
      <c r="AH349" s="53"/>
      <c r="AI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</row>
    <row r="350" spans="1:47" s="9" customFormat="1" ht="24" customHeight="1" x14ac:dyDescent="0.35">
      <c r="A350" s="157">
        <f ca="1">IF($AN$35="YES",1,IF(_xll.ELCOMPN(Server&amp;$C$24,C350)&lt;&gt;0,1,IF(OR(B350=$AT$35,B350="ALL"),1,0)))</f>
        <v>1</v>
      </c>
      <c r="B350" s="139" t="str">
        <f t="shared" si="4"/>
        <v>CO</v>
      </c>
      <c r="C350" s="137" t="s">
        <v>410</v>
      </c>
      <c r="E350" s="219" t="str">
        <f ca="1">_xll.DBRA(Server&amp;$C$24,$C350,$F$21)</f>
        <v>Location Appartement de fonction (CO)</v>
      </c>
      <c r="F350" s="219"/>
      <c r="G350" s="219"/>
      <c r="H350" s="40"/>
      <c r="I350" s="192">
        <f ca="1">_xll.DBRW(Server&amp;Cube1,$F$17,$F$18,$F$19,$F$16,$C$14,$F$15,$F$14,$F$20,I$2,I$1,$C350)</f>
        <v>0</v>
      </c>
      <c r="J350" s="192">
        <f ca="1">_xll.DBRW(Server&amp;Cube1,$F$17,$F$18,$F$19,$F$16,$C$14,$F$15,$F$14,$F$20,J$2,J$1,$C350)</f>
        <v>0</v>
      </c>
      <c r="K350" s="183"/>
      <c r="L350" s="185">
        <f ca="1">_xll.DBRW(Server&amp;Cube1,$F$17,$F$18,$F$19,$F$16,$C$14,$F$15,$F$14,$F$20,L$2,L$1,$C350)</f>
        <v>0</v>
      </c>
      <c r="M350" s="184"/>
      <c r="N350" s="185">
        <f ca="1">_xll.DBRW(Server&amp;Cube1,$F$17,$F$18,$F$19,$F$16,$C$14,$F$15,$F$14,$F$20,N$2,$N$1,$C350)</f>
        <v>0</v>
      </c>
      <c r="O350" s="185">
        <f ca="1">_xll.DBRW(Server&amp;Cube1,$F$17,$F$18,$F$19,$F$16,$C$14,$F$15,$F$14,$F$20,O$2,$N$1,$C350)</f>
        <v>0</v>
      </c>
      <c r="P350" s="185">
        <f ca="1">_xll.DBRW(Server&amp;Cube1,$F$17,$F$18,$F$19,$F$16,$C$14,$F$15,$F$14,$F$20,P$2,$N$1,$C350)</f>
        <v>0</v>
      </c>
      <c r="Q350" s="185">
        <f ca="1">_xll.DBRW(Server&amp;Cube1,$F$17,$F$18,$F$19,$F$16,$C$14,$F$15,$F$14,$F$20,Q$2,$N$1,$C350)</f>
        <v>0</v>
      </c>
      <c r="R350" s="185">
        <f ca="1">_xll.DBRW(Server&amp;Cube1,$F$17,$F$18,$F$19,$F$16,$C$14,$F$15,$F$14,$F$20,R$2,$N$1,$C350)</f>
        <v>0</v>
      </c>
      <c r="S350" s="185">
        <f ca="1">_xll.DBRW(Server&amp;Cube1,$F$17,$F$18,$F$19,$F$16,$C$14,$F$15,$F$14,$F$20,S$2,$N$1,$C350)</f>
        <v>0</v>
      </c>
      <c r="T350" s="185">
        <f ca="1">_xll.DBRW(Server&amp;Cube1,$F$17,$F$18,$F$19,$F$16,$C$14,$F$15,$F$14,$F$20,T$2,$N$1,$C350)</f>
        <v>0</v>
      </c>
      <c r="U350" s="185">
        <f ca="1">_xll.DBRW(Server&amp;Cube1,$F$17,$F$18,$F$19,$F$16,$C$14,$F$15,$F$14,$F$20,U$2,$N$1,$C350)</f>
        <v>0</v>
      </c>
      <c r="V350" s="185">
        <f ca="1">_xll.DBRW(Server&amp;Cube1,$F$17,$F$18,$F$19,$F$16,$C$14,$F$15,$F$14,$F$20,V$2,$N$1,$C350)</f>
        <v>0</v>
      </c>
      <c r="W350" s="185">
        <f ca="1">_xll.DBRW(Server&amp;Cube1,$F$17,$F$18,$F$19,$F$16,$C$14,$F$15,$F$14,$F$20,W$2,$N$1,$C350)</f>
        <v>0</v>
      </c>
      <c r="X350" s="185">
        <f ca="1">_xll.DBRW(Server&amp;Cube1,$F$17,$F$18,$F$19,$F$16,$C$14,$F$15,$F$14,$F$20,X$2,$N$1,$C350)</f>
        <v>0</v>
      </c>
      <c r="Y350" s="185">
        <f ca="1">_xll.DBRW(Server&amp;Cube1,$F$17,$F$18,$F$19,$F$16,$C$14,$F$15,$F$14,$F$20,Y$2,$N$1,$C350)</f>
        <v>0</v>
      </c>
      <c r="Z350" s="185">
        <f ca="1">_xll.DBRW(Server&amp;Cube1,$F$17,$F$18,$F$19,$F$16,$C$14,$F$15,$F$14,$F$20,Z$2,$N$1,$C350)</f>
        <v>0</v>
      </c>
      <c r="AA350" s="53"/>
      <c r="AB350" s="53"/>
      <c r="AC350" s="53"/>
      <c r="AD350" s="53"/>
      <c r="AE350" s="53"/>
      <c r="AF350" s="53"/>
      <c r="AG350" s="53"/>
      <c r="AH350" s="53"/>
      <c r="AI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</row>
    <row r="351" spans="1:47" s="9" customFormat="1" ht="24" customHeight="1" x14ac:dyDescent="0.35">
      <c r="A351" s="157">
        <f ca="1">IF($AN$35="YES",1,IF(_xll.ELCOMPN(Server&amp;$C$24,C351)&lt;&gt;0,1,IF(OR(B351=$AT$35,B351="ALL"),1,0)))</f>
        <v>1</v>
      </c>
      <c r="B351" s="139" t="str">
        <f t="shared" si="4"/>
        <v>GS</v>
      </c>
      <c r="C351" s="137" t="s">
        <v>411</v>
      </c>
      <c r="E351" s="219" t="str">
        <f ca="1">_xll.DBRA(Server&amp;$C$24,$C351,$F$21)</f>
        <v>Location Appartement de fonction (SG)</v>
      </c>
      <c r="F351" s="219"/>
      <c r="G351" s="219"/>
      <c r="H351" s="40"/>
      <c r="I351" s="192">
        <f ca="1">_xll.DBRW(Server&amp;Cube1,$F$17,$F$18,$F$19,$F$16,$C$14,$F$15,$F$14,$F$20,I$2,I$1,$C351)</f>
        <v>0</v>
      </c>
      <c r="J351" s="192">
        <f ca="1">_xll.DBRW(Server&amp;Cube1,$F$17,$F$18,$F$19,$F$16,$C$14,$F$15,$F$14,$F$20,J$2,J$1,$C351)</f>
        <v>0</v>
      </c>
      <c r="K351" s="183"/>
      <c r="L351" s="185">
        <f ca="1">_xll.DBRW(Server&amp;Cube1,$F$17,$F$18,$F$19,$F$16,$C$14,$F$15,$F$14,$F$20,L$2,L$1,$C351)</f>
        <v>0</v>
      </c>
      <c r="M351" s="184"/>
      <c r="N351" s="185">
        <f ca="1">_xll.DBRW(Server&amp;Cube1,$F$17,$F$18,$F$19,$F$16,$C$14,$F$15,$F$14,$F$20,N$2,$N$1,$C351)</f>
        <v>0</v>
      </c>
      <c r="O351" s="185">
        <f ca="1">_xll.DBRW(Server&amp;Cube1,$F$17,$F$18,$F$19,$F$16,$C$14,$F$15,$F$14,$F$20,O$2,$N$1,$C351)</f>
        <v>0</v>
      </c>
      <c r="P351" s="185">
        <f ca="1">_xll.DBRW(Server&amp;Cube1,$F$17,$F$18,$F$19,$F$16,$C$14,$F$15,$F$14,$F$20,P$2,$N$1,$C351)</f>
        <v>0</v>
      </c>
      <c r="Q351" s="185">
        <f ca="1">_xll.DBRW(Server&amp;Cube1,$F$17,$F$18,$F$19,$F$16,$C$14,$F$15,$F$14,$F$20,Q$2,$N$1,$C351)</f>
        <v>0</v>
      </c>
      <c r="R351" s="185">
        <f ca="1">_xll.DBRW(Server&amp;Cube1,$F$17,$F$18,$F$19,$F$16,$C$14,$F$15,$F$14,$F$20,R$2,$N$1,$C351)</f>
        <v>0</v>
      </c>
      <c r="S351" s="185">
        <f ca="1">_xll.DBRW(Server&amp;Cube1,$F$17,$F$18,$F$19,$F$16,$C$14,$F$15,$F$14,$F$20,S$2,$N$1,$C351)</f>
        <v>0</v>
      </c>
      <c r="T351" s="185">
        <f ca="1">_xll.DBRW(Server&amp;Cube1,$F$17,$F$18,$F$19,$F$16,$C$14,$F$15,$F$14,$F$20,T$2,$N$1,$C351)</f>
        <v>0</v>
      </c>
      <c r="U351" s="185">
        <f ca="1">_xll.DBRW(Server&amp;Cube1,$F$17,$F$18,$F$19,$F$16,$C$14,$F$15,$F$14,$F$20,U$2,$N$1,$C351)</f>
        <v>0</v>
      </c>
      <c r="V351" s="185">
        <f ca="1">_xll.DBRW(Server&amp;Cube1,$F$17,$F$18,$F$19,$F$16,$C$14,$F$15,$F$14,$F$20,V$2,$N$1,$C351)</f>
        <v>0</v>
      </c>
      <c r="W351" s="185">
        <f ca="1">_xll.DBRW(Server&amp;Cube1,$F$17,$F$18,$F$19,$F$16,$C$14,$F$15,$F$14,$F$20,W$2,$N$1,$C351)</f>
        <v>0</v>
      </c>
      <c r="X351" s="185">
        <f ca="1">_xll.DBRW(Server&amp;Cube1,$F$17,$F$18,$F$19,$F$16,$C$14,$F$15,$F$14,$F$20,X$2,$N$1,$C351)</f>
        <v>0</v>
      </c>
      <c r="Y351" s="185">
        <f ca="1">_xll.DBRW(Server&amp;Cube1,$F$17,$F$18,$F$19,$F$16,$C$14,$F$15,$F$14,$F$20,Y$2,$N$1,$C351)</f>
        <v>0</v>
      </c>
      <c r="Z351" s="185">
        <f ca="1">_xll.DBRW(Server&amp;Cube1,$F$17,$F$18,$F$19,$F$16,$C$14,$F$15,$F$14,$F$20,Z$2,$N$1,$C351)</f>
        <v>0</v>
      </c>
      <c r="AA351" s="53"/>
      <c r="AB351" s="53"/>
      <c r="AC351" s="53"/>
      <c r="AD351" s="53"/>
      <c r="AE351" s="53"/>
      <c r="AF351" s="53"/>
      <c r="AG351" s="53"/>
      <c r="AH351" s="53"/>
      <c r="AI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</row>
    <row r="352" spans="1:47" s="9" customFormat="1" ht="24" customHeight="1" x14ac:dyDescent="0.35">
      <c r="A352" s="157">
        <f ca="1">IF($AN$35="YES",1,IF(_xll.ELCOMPN(Server&amp;$C$24,C352)&lt;&gt;0,1,IF(OR(B352=$AT$35,B352="ALL"),1,0)))</f>
        <v>1</v>
      </c>
      <c r="B352" s="139" t="str">
        <f t="shared" si="4"/>
        <v>RD</v>
      </c>
      <c r="C352" s="137" t="s">
        <v>412</v>
      </c>
      <c r="E352" s="219" t="str">
        <f ca="1">_xll.DBRA(Server&amp;$C$24,$C352,$F$21)</f>
        <v>Location Appartement de fonction (RD)</v>
      </c>
      <c r="F352" s="219"/>
      <c r="G352" s="219"/>
      <c r="H352" s="40"/>
      <c r="I352" s="192">
        <f ca="1">_xll.DBRW(Server&amp;Cube1,$F$17,$F$18,$F$19,$F$16,$C$14,$F$15,$F$14,$F$20,I$2,I$1,$C352)</f>
        <v>0</v>
      </c>
      <c r="J352" s="192">
        <f ca="1">_xll.DBRW(Server&amp;Cube1,$F$17,$F$18,$F$19,$F$16,$C$14,$F$15,$F$14,$F$20,J$2,J$1,$C352)</f>
        <v>0</v>
      </c>
      <c r="K352" s="183"/>
      <c r="L352" s="185">
        <f ca="1">_xll.DBRW(Server&amp;Cube1,$F$17,$F$18,$F$19,$F$16,$C$14,$F$15,$F$14,$F$20,L$2,L$1,$C352)</f>
        <v>0</v>
      </c>
      <c r="M352" s="184"/>
      <c r="N352" s="185">
        <f ca="1">_xll.DBRW(Server&amp;Cube1,$F$17,$F$18,$F$19,$F$16,$C$14,$F$15,$F$14,$F$20,N$2,$N$1,$C352)</f>
        <v>0</v>
      </c>
      <c r="O352" s="185">
        <f ca="1">_xll.DBRW(Server&amp;Cube1,$F$17,$F$18,$F$19,$F$16,$C$14,$F$15,$F$14,$F$20,O$2,$N$1,$C352)</f>
        <v>0</v>
      </c>
      <c r="P352" s="185">
        <f ca="1">_xll.DBRW(Server&amp;Cube1,$F$17,$F$18,$F$19,$F$16,$C$14,$F$15,$F$14,$F$20,P$2,$N$1,$C352)</f>
        <v>0</v>
      </c>
      <c r="Q352" s="185">
        <f ca="1">_xll.DBRW(Server&amp;Cube1,$F$17,$F$18,$F$19,$F$16,$C$14,$F$15,$F$14,$F$20,Q$2,$N$1,$C352)</f>
        <v>0</v>
      </c>
      <c r="R352" s="185">
        <f ca="1">_xll.DBRW(Server&amp;Cube1,$F$17,$F$18,$F$19,$F$16,$C$14,$F$15,$F$14,$F$20,R$2,$N$1,$C352)</f>
        <v>0</v>
      </c>
      <c r="S352" s="185">
        <f ca="1">_xll.DBRW(Server&amp;Cube1,$F$17,$F$18,$F$19,$F$16,$C$14,$F$15,$F$14,$F$20,S$2,$N$1,$C352)</f>
        <v>0</v>
      </c>
      <c r="T352" s="185">
        <f ca="1">_xll.DBRW(Server&amp;Cube1,$F$17,$F$18,$F$19,$F$16,$C$14,$F$15,$F$14,$F$20,T$2,$N$1,$C352)</f>
        <v>0</v>
      </c>
      <c r="U352" s="185">
        <f ca="1">_xll.DBRW(Server&amp;Cube1,$F$17,$F$18,$F$19,$F$16,$C$14,$F$15,$F$14,$F$20,U$2,$N$1,$C352)</f>
        <v>0</v>
      </c>
      <c r="V352" s="185">
        <f ca="1">_xll.DBRW(Server&amp;Cube1,$F$17,$F$18,$F$19,$F$16,$C$14,$F$15,$F$14,$F$20,V$2,$N$1,$C352)</f>
        <v>0</v>
      </c>
      <c r="W352" s="185">
        <f ca="1">_xll.DBRW(Server&amp;Cube1,$F$17,$F$18,$F$19,$F$16,$C$14,$F$15,$F$14,$F$20,W$2,$N$1,$C352)</f>
        <v>0</v>
      </c>
      <c r="X352" s="185">
        <f ca="1">_xll.DBRW(Server&amp;Cube1,$F$17,$F$18,$F$19,$F$16,$C$14,$F$15,$F$14,$F$20,X$2,$N$1,$C352)</f>
        <v>0</v>
      </c>
      <c r="Y352" s="185">
        <f ca="1">_xll.DBRW(Server&amp;Cube1,$F$17,$F$18,$F$19,$F$16,$C$14,$F$15,$F$14,$F$20,Y$2,$N$1,$C352)</f>
        <v>0</v>
      </c>
      <c r="Z352" s="185">
        <f ca="1">_xll.DBRW(Server&amp;Cube1,$F$17,$F$18,$F$19,$F$16,$C$14,$F$15,$F$14,$F$20,Z$2,$N$1,$C352)</f>
        <v>0</v>
      </c>
      <c r="AA352" s="53"/>
      <c r="AB352" s="53"/>
      <c r="AC352" s="53"/>
      <c r="AD352" s="53"/>
      <c r="AE352" s="53"/>
      <c r="AF352" s="53"/>
      <c r="AG352" s="53"/>
      <c r="AH352" s="53"/>
      <c r="AI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</row>
    <row r="353" spans="1:47" s="9" customFormat="1" ht="24" customHeight="1" x14ac:dyDescent="0.35">
      <c r="A353" s="157">
        <f ca="1">IF($AN$35="YES",1,IF(_xll.ELCOMPN(Server&amp;$C$24,C353)&lt;&gt;0,1,IF(OR(B353=$AT$35,B353="ALL"),1,0)))</f>
        <v>1</v>
      </c>
      <c r="B353" s="139" t="str">
        <f t="shared" si="4"/>
        <v>mo</v>
      </c>
      <c r="C353" s="111" t="s">
        <v>120</v>
      </c>
      <c r="E353" s="97" t="s">
        <v>105</v>
      </c>
      <c r="F353" s="97"/>
      <c r="G353" s="97"/>
      <c r="H353" s="40"/>
      <c r="I353" s="192">
        <f ca="1">_xll.DBRW(Server&amp;Cube1,$F$17,$F$18,$F$19,$F$16,$C$14,$F$15,$F$14,$F$20,I$2,I$1,$C353)</f>
        <v>0</v>
      </c>
      <c r="J353" s="192">
        <f ca="1">_xll.DBRW(Server&amp;Cube1,$F$17,$F$18,$F$19,$F$16,$C$14,$F$15,$F$14,$F$20,J$2,J$1,$C353)</f>
        <v>0</v>
      </c>
      <c r="K353" s="183"/>
      <c r="L353" s="181">
        <f ca="1">_xll.DBRW(Server&amp;Cube1,$F$17,$F$18,$F$19,$F$16,$C$14,$F$15,$F$14,$F$20,L$2,L$1,$C353)</f>
        <v>0</v>
      </c>
      <c r="M353" s="181"/>
      <c r="N353" s="181">
        <f ca="1">_xll.DBRW(Server&amp;Cube1,$F$17,$F$18,$F$19,$F$16,$C$14,$F$15,$F$14,$F$20,N$2,$N$1,$C353)</f>
        <v>0</v>
      </c>
      <c r="O353" s="181">
        <f ca="1">_xll.DBRW(Server&amp;Cube1,$F$17,$F$18,$F$19,$F$16,$C$14,$F$15,$F$14,$F$20,O$2,$N$1,$C353)</f>
        <v>0</v>
      </c>
      <c r="P353" s="181">
        <f ca="1">_xll.DBRW(Server&amp;Cube1,$F$17,$F$18,$F$19,$F$16,$C$14,$F$15,$F$14,$F$20,P$2,$N$1,$C353)</f>
        <v>0</v>
      </c>
      <c r="Q353" s="181">
        <f ca="1">_xll.DBRW(Server&amp;Cube1,$F$17,$F$18,$F$19,$F$16,$C$14,$F$15,$F$14,$F$20,Q$2,$N$1,$C353)</f>
        <v>0</v>
      </c>
      <c r="R353" s="181">
        <f ca="1">_xll.DBRW(Server&amp;Cube1,$F$17,$F$18,$F$19,$F$16,$C$14,$F$15,$F$14,$F$20,R$2,$N$1,$C353)</f>
        <v>0</v>
      </c>
      <c r="S353" s="181">
        <f ca="1">_xll.DBRW(Server&amp;Cube1,$F$17,$F$18,$F$19,$F$16,$C$14,$F$15,$F$14,$F$20,S$2,$N$1,$C353)</f>
        <v>0</v>
      </c>
      <c r="T353" s="181">
        <f ca="1">_xll.DBRW(Server&amp;Cube1,$F$17,$F$18,$F$19,$F$16,$C$14,$F$15,$F$14,$F$20,T$2,$N$1,$C353)</f>
        <v>0</v>
      </c>
      <c r="U353" s="181">
        <f ca="1">_xll.DBRW(Server&amp;Cube1,$F$17,$F$18,$F$19,$F$16,$C$14,$F$15,$F$14,$F$20,U$2,$N$1,$C353)</f>
        <v>0</v>
      </c>
      <c r="V353" s="181">
        <f ca="1">_xll.DBRW(Server&amp;Cube1,$F$17,$F$18,$F$19,$F$16,$C$14,$F$15,$F$14,$F$20,V$2,$N$1,$C353)</f>
        <v>0</v>
      </c>
      <c r="W353" s="181">
        <f ca="1">_xll.DBRW(Server&amp;Cube1,$F$17,$F$18,$F$19,$F$16,$C$14,$F$15,$F$14,$F$20,W$2,$N$1,$C353)</f>
        <v>0</v>
      </c>
      <c r="X353" s="181">
        <f ca="1">_xll.DBRW(Server&amp;Cube1,$F$17,$F$18,$F$19,$F$16,$C$14,$F$15,$F$14,$F$20,X$2,$N$1,$C353)</f>
        <v>0</v>
      </c>
      <c r="Y353" s="181">
        <f ca="1">_xll.DBRW(Server&amp;Cube1,$F$17,$F$18,$F$19,$F$16,$C$14,$F$15,$F$14,$F$20,Y$2,$N$1,$C353)</f>
        <v>0</v>
      </c>
      <c r="Z353" s="181">
        <f ca="1">_xll.DBRW(Server&amp;Cube1,$F$17,$F$18,$F$19,$F$16,$C$14,$F$15,$F$14,$F$20,Z$2,$N$1,$C353)</f>
        <v>0</v>
      </c>
      <c r="AA353" s="53"/>
      <c r="AB353" s="53"/>
      <c r="AC353" s="53"/>
      <c r="AD353" s="53"/>
      <c r="AE353" s="53"/>
      <c r="AF353" s="53"/>
      <c r="AG353" s="53"/>
      <c r="AH353" s="53"/>
      <c r="AI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</row>
    <row r="354" spans="1:47" s="9" customFormat="1" ht="24" customHeight="1" x14ac:dyDescent="0.35">
      <c r="A354" s="157">
        <f ca="1">IF($AN$35="YES",1,IF(_xll.ELCOMPN(Server&amp;$C$24,C354)&lt;&gt;0,1,IF(OR(B354=$AT$35,B354="ALL"),1,0)))</f>
        <v>1</v>
      </c>
      <c r="B354" s="139" t="str">
        <f t="shared" si="4"/>
        <v>DS</v>
      </c>
      <c r="C354" s="137" t="s">
        <v>413</v>
      </c>
      <c r="E354" s="219" t="str">
        <f ca="1">_xll.DBRA(Server&amp;$C$24,$C354,$F$21)</f>
        <v>Téléphonie mobile (SO)</v>
      </c>
      <c r="F354" s="219"/>
      <c r="G354" s="219"/>
      <c r="H354" s="40"/>
      <c r="I354" s="192">
        <f ca="1">_xll.DBRW(Server&amp;Cube1,$F$17,$F$18,$F$19,$F$16,$C$14,$F$15,$F$14,$F$20,I$2,I$1,$C354)</f>
        <v>0</v>
      </c>
      <c r="J354" s="192">
        <f ca="1">_xll.DBRW(Server&amp;Cube1,$F$17,$F$18,$F$19,$F$16,$C$14,$F$15,$F$14,$F$20,J$2,J$1,$C354)</f>
        <v>0</v>
      </c>
      <c r="K354" s="183"/>
      <c r="L354" s="185">
        <f ca="1">_xll.DBRW(Server&amp;Cube1,$F$17,$F$18,$F$19,$F$16,$C$14,$F$15,$F$14,$F$20,L$2,L$1,$C354)</f>
        <v>0</v>
      </c>
      <c r="M354" s="184"/>
      <c r="N354" s="185">
        <f ca="1">_xll.DBRW(Server&amp;Cube1,$F$17,$F$18,$F$19,$F$16,$C$14,$F$15,$F$14,$F$20,N$2,$N$1,$C354)</f>
        <v>0</v>
      </c>
      <c r="O354" s="185">
        <f ca="1">_xll.DBRW(Server&amp;Cube1,$F$17,$F$18,$F$19,$F$16,$C$14,$F$15,$F$14,$F$20,O$2,$N$1,$C354)</f>
        <v>0</v>
      </c>
      <c r="P354" s="185">
        <f ca="1">_xll.DBRW(Server&amp;Cube1,$F$17,$F$18,$F$19,$F$16,$C$14,$F$15,$F$14,$F$20,P$2,$N$1,$C354)</f>
        <v>0</v>
      </c>
      <c r="Q354" s="185">
        <f ca="1">_xll.DBRW(Server&amp;Cube1,$F$17,$F$18,$F$19,$F$16,$C$14,$F$15,$F$14,$F$20,Q$2,$N$1,$C354)</f>
        <v>0</v>
      </c>
      <c r="R354" s="185">
        <f ca="1">_xll.DBRW(Server&amp;Cube1,$F$17,$F$18,$F$19,$F$16,$C$14,$F$15,$F$14,$F$20,R$2,$N$1,$C354)</f>
        <v>0</v>
      </c>
      <c r="S354" s="185">
        <f ca="1">_xll.DBRW(Server&amp;Cube1,$F$17,$F$18,$F$19,$F$16,$C$14,$F$15,$F$14,$F$20,S$2,$N$1,$C354)</f>
        <v>0</v>
      </c>
      <c r="T354" s="185">
        <f ca="1">_xll.DBRW(Server&amp;Cube1,$F$17,$F$18,$F$19,$F$16,$C$14,$F$15,$F$14,$F$20,T$2,$N$1,$C354)</f>
        <v>0</v>
      </c>
      <c r="U354" s="185">
        <f ca="1">_xll.DBRW(Server&amp;Cube1,$F$17,$F$18,$F$19,$F$16,$C$14,$F$15,$F$14,$F$20,U$2,$N$1,$C354)</f>
        <v>0</v>
      </c>
      <c r="V354" s="185">
        <f ca="1">_xll.DBRW(Server&amp;Cube1,$F$17,$F$18,$F$19,$F$16,$C$14,$F$15,$F$14,$F$20,V$2,$N$1,$C354)</f>
        <v>0</v>
      </c>
      <c r="W354" s="185">
        <f ca="1">_xll.DBRW(Server&amp;Cube1,$F$17,$F$18,$F$19,$F$16,$C$14,$F$15,$F$14,$F$20,W$2,$N$1,$C354)</f>
        <v>0</v>
      </c>
      <c r="X354" s="185">
        <f ca="1">_xll.DBRW(Server&amp;Cube1,$F$17,$F$18,$F$19,$F$16,$C$14,$F$15,$F$14,$F$20,X$2,$N$1,$C354)</f>
        <v>0</v>
      </c>
      <c r="Y354" s="185">
        <f ca="1">_xll.DBRW(Server&amp;Cube1,$F$17,$F$18,$F$19,$F$16,$C$14,$F$15,$F$14,$F$20,Y$2,$N$1,$C354)</f>
        <v>0</v>
      </c>
      <c r="Z354" s="185">
        <f ca="1">_xll.DBRW(Server&amp;Cube1,$F$17,$F$18,$F$19,$F$16,$C$14,$F$15,$F$14,$F$20,Z$2,$N$1,$C354)</f>
        <v>0</v>
      </c>
      <c r="AA354" s="53"/>
      <c r="AB354" s="53"/>
      <c r="AC354" s="53"/>
      <c r="AD354" s="53"/>
      <c r="AE354" s="53"/>
      <c r="AF354" s="53"/>
      <c r="AG354" s="53"/>
      <c r="AH354" s="53"/>
      <c r="AI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</row>
    <row r="355" spans="1:47" s="9" customFormat="1" ht="24" customHeight="1" x14ac:dyDescent="0.35">
      <c r="A355" s="157">
        <f ca="1">IF($AN$35="YES",1,IF(_xll.ELCOMPN(Server&amp;$C$24,C355)&lt;&gt;0,1,IF(OR(B355=$AT$35,B355="ALL"),1,0)))</f>
        <v>1</v>
      </c>
      <c r="B355" s="139" t="str">
        <f t="shared" si="4"/>
        <v>BD</v>
      </c>
      <c r="C355" s="137" t="s">
        <v>414</v>
      </c>
      <c r="E355" s="219" t="str">
        <f ca="1">_xll.DBRA(Server&amp;$C$24,$C355,$F$21)</f>
        <v>Téléphonie mobile (DC)</v>
      </c>
      <c r="F355" s="219"/>
      <c r="G355" s="219"/>
      <c r="H355" s="40"/>
      <c r="I355" s="192">
        <f ca="1">_xll.DBRW(Server&amp;Cube1,$F$17,$F$18,$F$19,$F$16,$C$14,$F$15,$F$14,$F$20,I$2,I$1,$C355)</f>
        <v>0</v>
      </c>
      <c r="J355" s="192">
        <f ca="1">_xll.DBRW(Server&amp;Cube1,$F$17,$F$18,$F$19,$F$16,$C$14,$F$15,$F$14,$F$20,J$2,J$1,$C355)</f>
        <v>0</v>
      </c>
      <c r="K355" s="183"/>
      <c r="L355" s="185">
        <f ca="1">_xll.DBRW(Server&amp;Cube1,$F$17,$F$18,$F$19,$F$16,$C$14,$F$15,$F$14,$F$20,L$2,L$1,$C355)</f>
        <v>0</v>
      </c>
      <c r="M355" s="184"/>
      <c r="N355" s="185">
        <f ca="1">_xll.DBRW(Server&amp;Cube1,$F$17,$F$18,$F$19,$F$16,$C$14,$F$15,$F$14,$F$20,N$2,$N$1,$C355)</f>
        <v>0</v>
      </c>
      <c r="O355" s="185">
        <f ca="1">_xll.DBRW(Server&amp;Cube1,$F$17,$F$18,$F$19,$F$16,$C$14,$F$15,$F$14,$F$20,O$2,$N$1,$C355)</f>
        <v>0</v>
      </c>
      <c r="P355" s="185">
        <f ca="1">_xll.DBRW(Server&amp;Cube1,$F$17,$F$18,$F$19,$F$16,$C$14,$F$15,$F$14,$F$20,P$2,$N$1,$C355)</f>
        <v>0</v>
      </c>
      <c r="Q355" s="185">
        <f ca="1">_xll.DBRW(Server&amp;Cube1,$F$17,$F$18,$F$19,$F$16,$C$14,$F$15,$F$14,$F$20,Q$2,$N$1,$C355)</f>
        <v>0</v>
      </c>
      <c r="R355" s="185">
        <f ca="1">_xll.DBRW(Server&amp;Cube1,$F$17,$F$18,$F$19,$F$16,$C$14,$F$15,$F$14,$F$20,R$2,$N$1,$C355)</f>
        <v>0</v>
      </c>
      <c r="S355" s="185">
        <f ca="1">_xll.DBRW(Server&amp;Cube1,$F$17,$F$18,$F$19,$F$16,$C$14,$F$15,$F$14,$F$20,S$2,$N$1,$C355)</f>
        <v>0</v>
      </c>
      <c r="T355" s="185">
        <f ca="1">_xll.DBRW(Server&amp;Cube1,$F$17,$F$18,$F$19,$F$16,$C$14,$F$15,$F$14,$F$20,T$2,$N$1,$C355)</f>
        <v>0</v>
      </c>
      <c r="U355" s="185">
        <f ca="1">_xll.DBRW(Server&amp;Cube1,$F$17,$F$18,$F$19,$F$16,$C$14,$F$15,$F$14,$F$20,U$2,$N$1,$C355)</f>
        <v>0</v>
      </c>
      <c r="V355" s="185">
        <f ca="1">_xll.DBRW(Server&amp;Cube1,$F$17,$F$18,$F$19,$F$16,$C$14,$F$15,$F$14,$F$20,V$2,$N$1,$C355)</f>
        <v>0</v>
      </c>
      <c r="W355" s="185">
        <f ca="1">_xll.DBRW(Server&amp;Cube1,$F$17,$F$18,$F$19,$F$16,$C$14,$F$15,$F$14,$F$20,W$2,$N$1,$C355)</f>
        <v>0</v>
      </c>
      <c r="X355" s="185">
        <f ca="1">_xll.DBRW(Server&amp;Cube1,$F$17,$F$18,$F$19,$F$16,$C$14,$F$15,$F$14,$F$20,X$2,$N$1,$C355)</f>
        <v>0</v>
      </c>
      <c r="Y355" s="185">
        <f ca="1">_xll.DBRW(Server&amp;Cube1,$F$17,$F$18,$F$19,$F$16,$C$14,$F$15,$F$14,$F$20,Y$2,$N$1,$C355)</f>
        <v>0</v>
      </c>
      <c r="Z355" s="185">
        <f ca="1">_xll.DBRW(Server&amp;Cube1,$F$17,$F$18,$F$19,$F$16,$C$14,$F$15,$F$14,$F$20,Z$2,$N$1,$C355)</f>
        <v>0</v>
      </c>
      <c r="AA355" s="53"/>
      <c r="AB355" s="53"/>
      <c r="AC355" s="53"/>
      <c r="AD355" s="53"/>
      <c r="AE355" s="53"/>
      <c r="AF355" s="53"/>
      <c r="AG355" s="53"/>
      <c r="AH355" s="53"/>
      <c r="AI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</row>
    <row r="356" spans="1:47" s="9" customFormat="1" ht="24" customHeight="1" x14ac:dyDescent="0.35">
      <c r="A356" s="157">
        <f ca="1">IF($AN$35="YES",1,IF(_xll.ELCOMPN(Server&amp;$C$24,C356)&lt;&gt;0,1,IF(OR(B356=$AT$35,B356="ALL"),1,0)))</f>
        <v>1</v>
      </c>
      <c r="B356" s="139" t="str">
        <f t="shared" si="4"/>
        <v>FI</v>
      </c>
      <c r="C356" s="137" t="s">
        <v>415</v>
      </c>
      <c r="E356" s="219" t="str">
        <f ca="1">_xll.DBRA(Server&amp;$C$24,$C356,$F$21)</f>
        <v>Téléphonie mobile (DF)</v>
      </c>
      <c r="F356" s="219"/>
      <c r="G356" s="219"/>
      <c r="H356" s="40"/>
      <c r="I356" s="192">
        <f ca="1">_xll.DBRW(Server&amp;Cube1,$F$17,$F$18,$F$19,$F$16,$C$14,$F$15,$F$14,$F$20,I$2,I$1,$C356)</f>
        <v>0</v>
      </c>
      <c r="J356" s="192">
        <f ca="1">_xll.DBRW(Server&amp;Cube1,$F$17,$F$18,$F$19,$F$16,$C$14,$F$15,$F$14,$F$20,J$2,J$1,$C356)</f>
        <v>0</v>
      </c>
      <c r="K356" s="183"/>
      <c r="L356" s="185">
        <f ca="1">_xll.DBRW(Server&amp;Cube1,$F$17,$F$18,$F$19,$F$16,$C$14,$F$15,$F$14,$F$20,L$2,L$1,$C356)</f>
        <v>0</v>
      </c>
      <c r="M356" s="184"/>
      <c r="N356" s="185">
        <f ca="1">_xll.DBRW(Server&amp;Cube1,$F$17,$F$18,$F$19,$F$16,$C$14,$F$15,$F$14,$F$20,N$2,$N$1,$C356)</f>
        <v>0</v>
      </c>
      <c r="O356" s="185">
        <f ca="1">_xll.DBRW(Server&amp;Cube1,$F$17,$F$18,$F$19,$F$16,$C$14,$F$15,$F$14,$F$20,O$2,$N$1,$C356)</f>
        <v>0</v>
      </c>
      <c r="P356" s="185">
        <f ca="1">_xll.DBRW(Server&amp;Cube1,$F$17,$F$18,$F$19,$F$16,$C$14,$F$15,$F$14,$F$20,P$2,$N$1,$C356)</f>
        <v>0</v>
      </c>
      <c r="Q356" s="185">
        <f ca="1">_xll.DBRW(Server&amp;Cube1,$F$17,$F$18,$F$19,$F$16,$C$14,$F$15,$F$14,$F$20,Q$2,$N$1,$C356)</f>
        <v>0</v>
      </c>
      <c r="R356" s="185">
        <f ca="1">_xll.DBRW(Server&amp;Cube1,$F$17,$F$18,$F$19,$F$16,$C$14,$F$15,$F$14,$F$20,R$2,$N$1,$C356)</f>
        <v>0</v>
      </c>
      <c r="S356" s="185">
        <f ca="1">_xll.DBRW(Server&amp;Cube1,$F$17,$F$18,$F$19,$F$16,$C$14,$F$15,$F$14,$F$20,S$2,$N$1,$C356)</f>
        <v>0</v>
      </c>
      <c r="T356" s="185">
        <f ca="1">_xll.DBRW(Server&amp;Cube1,$F$17,$F$18,$F$19,$F$16,$C$14,$F$15,$F$14,$F$20,T$2,$N$1,$C356)</f>
        <v>0</v>
      </c>
      <c r="U356" s="185">
        <f ca="1">_xll.DBRW(Server&amp;Cube1,$F$17,$F$18,$F$19,$F$16,$C$14,$F$15,$F$14,$F$20,U$2,$N$1,$C356)</f>
        <v>0</v>
      </c>
      <c r="V356" s="185">
        <f ca="1">_xll.DBRW(Server&amp;Cube1,$F$17,$F$18,$F$19,$F$16,$C$14,$F$15,$F$14,$F$20,V$2,$N$1,$C356)</f>
        <v>0</v>
      </c>
      <c r="W356" s="185">
        <f ca="1">_xll.DBRW(Server&amp;Cube1,$F$17,$F$18,$F$19,$F$16,$C$14,$F$15,$F$14,$F$20,W$2,$N$1,$C356)</f>
        <v>0</v>
      </c>
      <c r="X356" s="185">
        <f ca="1">_xll.DBRW(Server&amp;Cube1,$F$17,$F$18,$F$19,$F$16,$C$14,$F$15,$F$14,$F$20,X$2,$N$1,$C356)</f>
        <v>0</v>
      </c>
      <c r="Y356" s="185">
        <f ca="1">_xll.DBRW(Server&amp;Cube1,$F$17,$F$18,$F$19,$F$16,$C$14,$F$15,$F$14,$F$20,Y$2,$N$1,$C356)</f>
        <v>0</v>
      </c>
      <c r="Z356" s="185">
        <f ca="1">_xll.DBRW(Server&amp;Cube1,$F$17,$F$18,$F$19,$F$16,$C$14,$F$15,$F$14,$F$20,Z$2,$N$1,$C356)</f>
        <v>0</v>
      </c>
      <c r="AA356" s="53"/>
      <c r="AB356" s="53"/>
      <c r="AC356" s="53"/>
      <c r="AD356" s="53"/>
      <c r="AE356" s="53"/>
      <c r="AF356" s="53"/>
      <c r="AG356" s="53"/>
      <c r="AH356" s="53"/>
      <c r="AI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</row>
    <row r="357" spans="1:47" s="9" customFormat="1" ht="24" customHeight="1" x14ac:dyDescent="0.35">
      <c r="A357" s="157">
        <f ca="1">IF($AN$35="YES",1,IF(_xll.ELCOMPN(Server&amp;$C$24,C357)&lt;&gt;0,1,IF(OR(B357=$AT$35,B357="ALL"),1,0)))</f>
        <v>1</v>
      </c>
      <c r="B357" s="139" t="str">
        <f t="shared" ref="B357:B395" si="7">IF(ISERROR(MID(C357,FIND("_",C357,1)+1,2)),MID(C357,FIND("(",C357,1)+1,2),MID(C357,FIND("_",C357,1)+1,2))</f>
        <v>IT</v>
      </c>
      <c r="C357" s="137" t="s">
        <v>416</v>
      </c>
      <c r="E357" s="219" t="str">
        <f ca="1">_xll.DBRA(Server&amp;$C$24,$C357,$F$21)</f>
        <v>Téléphonie mobile (IT)</v>
      </c>
      <c r="F357" s="219"/>
      <c r="G357" s="219"/>
      <c r="H357" s="40"/>
      <c r="I357" s="192">
        <f ca="1">_xll.DBRW(Server&amp;Cube1,$F$17,$F$18,$F$19,$F$16,$C$14,$F$15,$F$14,$F$20,I$2,I$1,$C357)</f>
        <v>0</v>
      </c>
      <c r="J357" s="192">
        <f ca="1">_xll.DBRW(Server&amp;Cube1,$F$17,$F$18,$F$19,$F$16,$C$14,$F$15,$F$14,$F$20,J$2,J$1,$C357)</f>
        <v>0</v>
      </c>
      <c r="K357" s="183"/>
      <c r="L357" s="185">
        <f ca="1">_xll.DBRW(Server&amp;Cube1,$F$17,$F$18,$F$19,$F$16,$C$14,$F$15,$F$14,$F$20,L$2,L$1,$C357)</f>
        <v>0</v>
      </c>
      <c r="M357" s="184"/>
      <c r="N357" s="185">
        <f ca="1">_xll.DBRW(Server&amp;Cube1,$F$17,$F$18,$F$19,$F$16,$C$14,$F$15,$F$14,$F$20,N$2,$N$1,$C357)</f>
        <v>0</v>
      </c>
      <c r="O357" s="185">
        <f ca="1">_xll.DBRW(Server&amp;Cube1,$F$17,$F$18,$F$19,$F$16,$C$14,$F$15,$F$14,$F$20,O$2,$N$1,$C357)</f>
        <v>0</v>
      </c>
      <c r="P357" s="185">
        <f ca="1">_xll.DBRW(Server&amp;Cube1,$F$17,$F$18,$F$19,$F$16,$C$14,$F$15,$F$14,$F$20,P$2,$N$1,$C357)</f>
        <v>0</v>
      </c>
      <c r="Q357" s="185">
        <f ca="1">_xll.DBRW(Server&amp;Cube1,$F$17,$F$18,$F$19,$F$16,$C$14,$F$15,$F$14,$F$20,Q$2,$N$1,$C357)</f>
        <v>0</v>
      </c>
      <c r="R357" s="185">
        <f ca="1">_xll.DBRW(Server&amp;Cube1,$F$17,$F$18,$F$19,$F$16,$C$14,$F$15,$F$14,$F$20,R$2,$N$1,$C357)</f>
        <v>0</v>
      </c>
      <c r="S357" s="185">
        <f ca="1">_xll.DBRW(Server&amp;Cube1,$F$17,$F$18,$F$19,$F$16,$C$14,$F$15,$F$14,$F$20,S$2,$N$1,$C357)</f>
        <v>0</v>
      </c>
      <c r="T357" s="185">
        <f ca="1">_xll.DBRW(Server&amp;Cube1,$F$17,$F$18,$F$19,$F$16,$C$14,$F$15,$F$14,$F$20,T$2,$N$1,$C357)</f>
        <v>0</v>
      </c>
      <c r="U357" s="185">
        <f ca="1">_xll.DBRW(Server&amp;Cube1,$F$17,$F$18,$F$19,$F$16,$C$14,$F$15,$F$14,$F$20,U$2,$N$1,$C357)</f>
        <v>0</v>
      </c>
      <c r="V357" s="185">
        <f ca="1">_xll.DBRW(Server&amp;Cube1,$F$17,$F$18,$F$19,$F$16,$C$14,$F$15,$F$14,$F$20,V$2,$N$1,$C357)</f>
        <v>0</v>
      </c>
      <c r="W357" s="185">
        <f ca="1">_xll.DBRW(Server&amp;Cube1,$F$17,$F$18,$F$19,$F$16,$C$14,$F$15,$F$14,$F$20,W$2,$N$1,$C357)</f>
        <v>0</v>
      </c>
      <c r="X357" s="185">
        <f ca="1">_xll.DBRW(Server&amp;Cube1,$F$17,$F$18,$F$19,$F$16,$C$14,$F$15,$F$14,$F$20,X$2,$N$1,$C357)</f>
        <v>0</v>
      </c>
      <c r="Y357" s="185">
        <f ca="1">_xll.DBRW(Server&amp;Cube1,$F$17,$F$18,$F$19,$F$16,$C$14,$F$15,$F$14,$F$20,Y$2,$N$1,$C357)</f>
        <v>0</v>
      </c>
      <c r="Z357" s="185">
        <f ca="1">_xll.DBRW(Server&amp;Cube1,$F$17,$F$18,$F$19,$F$16,$C$14,$F$15,$F$14,$F$20,Z$2,$N$1,$C357)</f>
        <v>0</v>
      </c>
      <c r="AA357" s="53"/>
      <c r="AB357" s="53"/>
      <c r="AC357" s="53"/>
      <c r="AD357" s="53"/>
      <c r="AE357" s="53"/>
      <c r="AF357" s="53"/>
      <c r="AG357" s="53"/>
      <c r="AH357" s="53"/>
      <c r="AI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</row>
    <row r="358" spans="1:47" s="9" customFormat="1" ht="24" customHeight="1" x14ac:dyDescent="0.35">
      <c r="A358" s="157">
        <f ca="1">IF($AN$35="YES",1,IF(_xll.ELCOMPN(Server&amp;$C$24,C358)&lt;&gt;0,1,IF(OR(B358=$AT$35,B358="ALL"),1,0)))</f>
        <v>1</v>
      </c>
      <c r="B358" s="139" t="str">
        <f t="shared" si="7"/>
        <v>HR</v>
      </c>
      <c r="C358" s="137" t="s">
        <v>417</v>
      </c>
      <c r="E358" s="219" t="str">
        <f ca="1">_xll.DBRA(Server&amp;$C$24,$C358,$F$21)</f>
        <v>Téléphonie mobile (RH)</v>
      </c>
      <c r="F358" s="219"/>
      <c r="G358" s="219"/>
      <c r="H358" s="40"/>
      <c r="I358" s="192">
        <f ca="1">_xll.DBRW(Server&amp;Cube1,$F$17,$F$18,$F$19,$F$16,$C$14,$F$15,$F$14,$F$20,I$2,I$1,$C358)</f>
        <v>0</v>
      </c>
      <c r="J358" s="192">
        <f ca="1">_xll.DBRW(Server&amp;Cube1,$F$17,$F$18,$F$19,$F$16,$C$14,$F$15,$F$14,$F$20,J$2,J$1,$C358)</f>
        <v>0</v>
      </c>
      <c r="K358" s="183"/>
      <c r="L358" s="185">
        <f ca="1">_xll.DBRW(Server&amp;Cube1,$F$17,$F$18,$F$19,$F$16,$C$14,$F$15,$F$14,$F$20,L$2,L$1,$C358)</f>
        <v>0</v>
      </c>
      <c r="M358" s="184"/>
      <c r="N358" s="185">
        <f ca="1">_xll.DBRW(Server&amp;Cube1,$F$17,$F$18,$F$19,$F$16,$C$14,$F$15,$F$14,$F$20,N$2,$N$1,$C358)</f>
        <v>0</v>
      </c>
      <c r="O358" s="185">
        <f ca="1">_xll.DBRW(Server&amp;Cube1,$F$17,$F$18,$F$19,$F$16,$C$14,$F$15,$F$14,$F$20,O$2,$N$1,$C358)</f>
        <v>0</v>
      </c>
      <c r="P358" s="185">
        <f ca="1">_xll.DBRW(Server&amp;Cube1,$F$17,$F$18,$F$19,$F$16,$C$14,$F$15,$F$14,$F$20,P$2,$N$1,$C358)</f>
        <v>0</v>
      </c>
      <c r="Q358" s="185">
        <f ca="1">_xll.DBRW(Server&amp;Cube1,$F$17,$F$18,$F$19,$F$16,$C$14,$F$15,$F$14,$F$20,Q$2,$N$1,$C358)</f>
        <v>0</v>
      </c>
      <c r="R358" s="185">
        <f ca="1">_xll.DBRW(Server&amp;Cube1,$F$17,$F$18,$F$19,$F$16,$C$14,$F$15,$F$14,$F$20,R$2,$N$1,$C358)</f>
        <v>0</v>
      </c>
      <c r="S358" s="185">
        <f ca="1">_xll.DBRW(Server&amp;Cube1,$F$17,$F$18,$F$19,$F$16,$C$14,$F$15,$F$14,$F$20,S$2,$N$1,$C358)</f>
        <v>0</v>
      </c>
      <c r="T358" s="185">
        <f ca="1">_xll.DBRW(Server&amp;Cube1,$F$17,$F$18,$F$19,$F$16,$C$14,$F$15,$F$14,$F$20,T$2,$N$1,$C358)</f>
        <v>0</v>
      </c>
      <c r="U358" s="185">
        <f ca="1">_xll.DBRW(Server&amp;Cube1,$F$17,$F$18,$F$19,$F$16,$C$14,$F$15,$F$14,$F$20,U$2,$N$1,$C358)</f>
        <v>0</v>
      </c>
      <c r="V358" s="185">
        <f ca="1">_xll.DBRW(Server&amp;Cube1,$F$17,$F$18,$F$19,$F$16,$C$14,$F$15,$F$14,$F$20,V$2,$N$1,$C358)</f>
        <v>0</v>
      </c>
      <c r="W358" s="185">
        <f ca="1">_xll.DBRW(Server&amp;Cube1,$F$17,$F$18,$F$19,$F$16,$C$14,$F$15,$F$14,$F$20,W$2,$N$1,$C358)</f>
        <v>0</v>
      </c>
      <c r="X358" s="185">
        <f ca="1">_xll.DBRW(Server&amp;Cube1,$F$17,$F$18,$F$19,$F$16,$C$14,$F$15,$F$14,$F$20,X$2,$N$1,$C358)</f>
        <v>0</v>
      </c>
      <c r="Y358" s="185">
        <f ca="1">_xll.DBRW(Server&amp;Cube1,$F$17,$F$18,$F$19,$F$16,$C$14,$F$15,$F$14,$F$20,Y$2,$N$1,$C358)</f>
        <v>0</v>
      </c>
      <c r="Z358" s="185">
        <f ca="1">_xll.DBRW(Server&amp;Cube1,$F$17,$F$18,$F$19,$F$16,$C$14,$F$15,$F$14,$F$20,Z$2,$N$1,$C358)</f>
        <v>0</v>
      </c>
      <c r="AA358" s="53"/>
      <c r="AB358" s="53"/>
      <c r="AC358" s="53"/>
      <c r="AD358" s="53"/>
      <c r="AE358" s="53"/>
      <c r="AF358" s="53"/>
      <c r="AG358" s="53"/>
      <c r="AH358" s="53"/>
      <c r="AI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</row>
    <row r="359" spans="1:47" s="9" customFormat="1" ht="24" customHeight="1" x14ac:dyDescent="0.35">
      <c r="A359" s="157">
        <f ca="1">IF($AN$35="YES",1,IF(_xll.ELCOMPN(Server&amp;$C$24,C359)&lt;&gt;0,1,IF(OR(B359=$AT$35,B359="ALL"),1,0)))</f>
        <v>1</v>
      </c>
      <c r="B359" s="139" t="str">
        <f t="shared" si="7"/>
        <v>GM</v>
      </c>
      <c r="C359" s="137" t="s">
        <v>418</v>
      </c>
      <c r="E359" s="219" t="str">
        <f ca="1">_xll.DBRA(Server&amp;$C$24,$C359,$F$21)</f>
        <v>Téléphonie mobile (DG)</v>
      </c>
      <c r="F359" s="219"/>
      <c r="G359" s="219"/>
      <c r="H359" s="40"/>
      <c r="I359" s="192">
        <f ca="1">_xll.DBRW(Server&amp;Cube1,$F$17,$F$18,$F$19,$F$16,$C$14,$F$15,$F$14,$F$20,I$2,I$1,$C359)</f>
        <v>0</v>
      </c>
      <c r="J359" s="192">
        <f ca="1">_xll.DBRW(Server&amp;Cube1,$F$17,$F$18,$F$19,$F$16,$C$14,$F$15,$F$14,$F$20,J$2,J$1,$C359)</f>
        <v>0</v>
      </c>
      <c r="K359" s="183"/>
      <c r="L359" s="185">
        <f ca="1">_xll.DBRW(Server&amp;Cube1,$F$17,$F$18,$F$19,$F$16,$C$14,$F$15,$F$14,$F$20,L$2,L$1,$C359)</f>
        <v>0</v>
      </c>
      <c r="M359" s="184"/>
      <c r="N359" s="185">
        <f ca="1">_xll.DBRW(Server&amp;Cube1,$F$17,$F$18,$F$19,$F$16,$C$14,$F$15,$F$14,$F$20,N$2,$N$1,$C359)</f>
        <v>0</v>
      </c>
      <c r="O359" s="185">
        <f ca="1">_xll.DBRW(Server&amp;Cube1,$F$17,$F$18,$F$19,$F$16,$C$14,$F$15,$F$14,$F$20,O$2,$N$1,$C359)</f>
        <v>0</v>
      </c>
      <c r="P359" s="185">
        <f ca="1">_xll.DBRW(Server&amp;Cube1,$F$17,$F$18,$F$19,$F$16,$C$14,$F$15,$F$14,$F$20,P$2,$N$1,$C359)</f>
        <v>0</v>
      </c>
      <c r="Q359" s="185">
        <f ca="1">_xll.DBRW(Server&amp;Cube1,$F$17,$F$18,$F$19,$F$16,$C$14,$F$15,$F$14,$F$20,Q$2,$N$1,$C359)</f>
        <v>0</v>
      </c>
      <c r="R359" s="185">
        <f ca="1">_xll.DBRW(Server&amp;Cube1,$F$17,$F$18,$F$19,$F$16,$C$14,$F$15,$F$14,$F$20,R$2,$N$1,$C359)</f>
        <v>0</v>
      </c>
      <c r="S359" s="185">
        <f ca="1">_xll.DBRW(Server&amp;Cube1,$F$17,$F$18,$F$19,$F$16,$C$14,$F$15,$F$14,$F$20,S$2,$N$1,$C359)</f>
        <v>0</v>
      </c>
      <c r="T359" s="185">
        <f ca="1">_xll.DBRW(Server&amp;Cube1,$F$17,$F$18,$F$19,$F$16,$C$14,$F$15,$F$14,$F$20,T$2,$N$1,$C359)</f>
        <v>0</v>
      </c>
      <c r="U359" s="185">
        <f ca="1">_xll.DBRW(Server&amp;Cube1,$F$17,$F$18,$F$19,$F$16,$C$14,$F$15,$F$14,$F$20,U$2,$N$1,$C359)</f>
        <v>0</v>
      </c>
      <c r="V359" s="185">
        <f ca="1">_xll.DBRW(Server&amp;Cube1,$F$17,$F$18,$F$19,$F$16,$C$14,$F$15,$F$14,$F$20,V$2,$N$1,$C359)</f>
        <v>0</v>
      </c>
      <c r="W359" s="185">
        <f ca="1">_xll.DBRW(Server&amp;Cube1,$F$17,$F$18,$F$19,$F$16,$C$14,$F$15,$F$14,$F$20,W$2,$N$1,$C359)</f>
        <v>0</v>
      </c>
      <c r="X359" s="185">
        <f ca="1">_xll.DBRW(Server&amp;Cube1,$F$17,$F$18,$F$19,$F$16,$C$14,$F$15,$F$14,$F$20,X$2,$N$1,$C359)</f>
        <v>0</v>
      </c>
      <c r="Y359" s="185">
        <f ca="1">_xll.DBRW(Server&amp;Cube1,$F$17,$F$18,$F$19,$F$16,$C$14,$F$15,$F$14,$F$20,Y$2,$N$1,$C359)</f>
        <v>0</v>
      </c>
      <c r="Z359" s="185">
        <f ca="1">_xll.DBRW(Server&amp;Cube1,$F$17,$F$18,$F$19,$F$16,$C$14,$F$15,$F$14,$F$20,Z$2,$N$1,$C359)</f>
        <v>0</v>
      </c>
      <c r="AA359" s="53"/>
      <c r="AB359" s="53"/>
      <c r="AC359" s="53"/>
      <c r="AD359" s="53"/>
      <c r="AE359" s="53"/>
      <c r="AF359" s="53"/>
      <c r="AG359" s="53"/>
      <c r="AH359" s="53"/>
      <c r="AI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</row>
    <row r="360" spans="1:47" s="9" customFormat="1" ht="24" customHeight="1" x14ac:dyDescent="0.35">
      <c r="A360" s="157">
        <f ca="1">IF($AN$35="YES",1,IF(_xll.ELCOMPN(Server&amp;$C$24,C360)&lt;&gt;0,1,IF(OR(B360=$AT$35,B360="ALL"),1,0)))</f>
        <v>1</v>
      </c>
      <c r="B360" s="139" t="str">
        <f t="shared" si="7"/>
        <v>IA</v>
      </c>
      <c r="C360" s="137" t="s">
        <v>419</v>
      </c>
      <c r="E360" s="219" t="str">
        <f ca="1">_xll.DBRA(Server&amp;$C$24,$C360,$F$21)</f>
        <v>Téléphonie mobile (AI)</v>
      </c>
      <c r="F360" s="219"/>
      <c r="G360" s="219"/>
      <c r="H360" s="40"/>
      <c r="I360" s="192">
        <f ca="1">_xll.DBRW(Server&amp;Cube1,$F$17,$F$18,$F$19,$F$16,$C$14,$F$15,$F$14,$F$20,I$2,I$1,$C360)</f>
        <v>0</v>
      </c>
      <c r="J360" s="192">
        <f ca="1">_xll.DBRW(Server&amp;Cube1,$F$17,$F$18,$F$19,$F$16,$C$14,$F$15,$F$14,$F$20,J$2,J$1,$C360)</f>
        <v>0</v>
      </c>
      <c r="K360" s="183"/>
      <c r="L360" s="185">
        <f ca="1">_xll.DBRW(Server&amp;Cube1,$F$17,$F$18,$F$19,$F$16,$C$14,$F$15,$F$14,$F$20,L$2,L$1,$C360)</f>
        <v>0</v>
      </c>
      <c r="M360" s="184"/>
      <c r="N360" s="185">
        <f ca="1">_xll.DBRW(Server&amp;Cube1,$F$17,$F$18,$F$19,$F$16,$C$14,$F$15,$F$14,$F$20,N$2,$N$1,$C360)</f>
        <v>0</v>
      </c>
      <c r="O360" s="185">
        <f ca="1">_xll.DBRW(Server&amp;Cube1,$F$17,$F$18,$F$19,$F$16,$C$14,$F$15,$F$14,$F$20,O$2,$N$1,$C360)</f>
        <v>0</v>
      </c>
      <c r="P360" s="185">
        <f ca="1">_xll.DBRW(Server&amp;Cube1,$F$17,$F$18,$F$19,$F$16,$C$14,$F$15,$F$14,$F$20,P$2,$N$1,$C360)</f>
        <v>0</v>
      </c>
      <c r="Q360" s="185">
        <f ca="1">_xll.DBRW(Server&amp;Cube1,$F$17,$F$18,$F$19,$F$16,$C$14,$F$15,$F$14,$F$20,Q$2,$N$1,$C360)</f>
        <v>0</v>
      </c>
      <c r="R360" s="185">
        <f ca="1">_xll.DBRW(Server&amp;Cube1,$F$17,$F$18,$F$19,$F$16,$C$14,$F$15,$F$14,$F$20,R$2,$N$1,$C360)</f>
        <v>0</v>
      </c>
      <c r="S360" s="185">
        <f ca="1">_xll.DBRW(Server&amp;Cube1,$F$17,$F$18,$F$19,$F$16,$C$14,$F$15,$F$14,$F$20,S$2,$N$1,$C360)</f>
        <v>0</v>
      </c>
      <c r="T360" s="185">
        <f ca="1">_xll.DBRW(Server&amp;Cube1,$F$17,$F$18,$F$19,$F$16,$C$14,$F$15,$F$14,$F$20,T$2,$N$1,$C360)</f>
        <v>0</v>
      </c>
      <c r="U360" s="185">
        <f ca="1">_xll.DBRW(Server&amp;Cube1,$F$17,$F$18,$F$19,$F$16,$C$14,$F$15,$F$14,$F$20,U$2,$N$1,$C360)</f>
        <v>0</v>
      </c>
      <c r="V360" s="185">
        <f ca="1">_xll.DBRW(Server&amp;Cube1,$F$17,$F$18,$F$19,$F$16,$C$14,$F$15,$F$14,$F$20,V$2,$N$1,$C360)</f>
        <v>0</v>
      </c>
      <c r="W360" s="185">
        <f ca="1">_xll.DBRW(Server&amp;Cube1,$F$17,$F$18,$F$19,$F$16,$C$14,$F$15,$F$14,$F$20,W$2,$N$1,$C360)</f>
        <v>0</v>
      </c>
      <c r="X360" s="185">
        <f ca="1">_xll.DBRW(Server&amp;Cube1,$F$17,$F$18,$F$19,$F$16,$C$14,$F$15,$F$14,$F$20,X$2,$N$1,$C360)</f>
        <v>0</v>
      </c>
      <c r="Y360" s="185">
        <f ca="1">_xll.DBRW(Server&amp;Cube1,$F$17,$F$18,$F$19,$F$16,$C$14,$F$15,$F$14,$F$20,Y$2,$N$1,$C360)</f>
        <v>0</v>
      </c>
      <c r="Z360" s="185">
        <f ca="1">_xll.DBRW(Server&amp;Cube1,$F$17,$F$18,$F$19,$F$16,$C$14,$F$15,$F$14,$F$20,Z$2,$N$1,$C360)</f>
        <v>0</v>
      </c>
      <c r="AA360" s="53"/>
      <c r="AB360" s="53"/>
      <c r="AC360" s="53"/>
      <c r="AD360" s="53"/>
      <c r="AE360" s="53"/>
      <c r="AF360" s="53"/>
      <c r="AG360" s="53"/>
      <c r="AH360" s="53"/>
      <c r="AI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</row>
    <row r="361" spans="1:47" s="9" customFormat="1" ht="24" customHeight="1" x14ac:dyDescent="0.35">
      <c r="A361" s="157">
        <f ca="1">IF($AN$35="YES",1,IF(_xll.ELCOMPN(Server&amp;$C$24,C361)&lt;&gt;0,1,IF(OR(B361=$AT$35,B361="ALL"),1,0)))</f>
        <v>1</v>
      </c>
      <c r="B361" s="139" t="str">
        <f t="shared" si="7"/>
        <v>LE</v>
      </c>
      <c r="C361" s="137" t="s">
        <v>420</v>
      </c>
      <c r="E361" s="219" t="str">
        <f ca="1">_xll.DBRA(Server&amp;$C$24,$C361,$F$21)</f>
        <v>Téléphonie mobile (JU)</v>
      </c>
      <c r="F361" s="219"/>
      <c r="G361" s="219"/>
      <c r="H361" s="40"/>
      <c r="I361" s="192">
        <f ca="1">_xll.DBRW(Server&amp;Cube1,$F$17,$F$18,$F$19,$F$16,$C$14,$F$15,$F$14,$F$20,I$2,I$1,$C361)</f>
        <v>0</v>
      </c>
      <c r="J361" s="192">
        <f ca="1">_xll.DBRW(Server&amp;Cube1,$F$17,$F$18,$F$19,$F$16,$C$14,$F$15,$F$14,$F$20,J$2,J$1,$C361)</f>
        <v>0</v>
      </c>
      <c r="K361" s="183"/>
      <c r="L361" s="185">
        <f ca="1">_xll.DBRW(Server&amp;Cube1,$F$17,$F$18,$F$19,$F$16,$C$14,$F$15,$F$14,$F$20,L$2,L$1,$C361)</f>
        <v>0</v>
      </c>
      <c r="M361" s="184"/>
      <c r="N361" s="185">
        <f ca="1">_xll.DBRW(Server&amp;Cube1,$F$17,$F$18,$F$19,$F$16,$C$14,$F$15,$F$14,$F$20,N$2,$N$1,$C361)</f>
        <v>0</v>
      </c>
      <c r="O361" s="185">
        <f ca="1">_xll.DBRW(Server&amp;Cube1,$F$17,$F$18,$F$19,$F$16,$C$14,$F$15,$F$14,$F$20,O$2,$N$1,$C361)</f>
        <v>0</v>
      </c>
      <c r="P361" s="185">
        <f ca="1">_xll.DBRW(Server&amp;Cube1,$F$17,$F$18,$F$19,$F$16,$C$14,$F$15,$F$14,$F$20,P$2,$N$1,$C361)</f>
        <v>0</v>
      </c>
      <c r="Q361" s="185">
        <f ca="1">_xll.DBRW(Server&amp;Cube1,$F$17,$F$18,$F$19,$F$16,$C$14,$F$15,$F$14,$F$20,Q$2,$N$1,$C361)</f>
        <v>0</v>
      </c>
      <c r="R361" s="185">
        <f ca="1">_xll.DBRW(Server&amp;Cube1,$F$17,$F$18,$F$19,$F$16,$C$14,$F$15,$F$14,$F$20,R$2,$N$1,$C361)</f>
        <v>0</v>
      </c>
      <c r="S361" s="185">
        <f ca="1">_xll.DBRW(Server&amp;Cube1,$F$17,$F$18,$F$19,$F$16,$C$14,$F$15,$F$14,$F$20,S$2,$N$1,$C361)</f>
        <v>0</v>
      </c>
      <c r="T361" s="185">
        <f ca="1">_xll.DBRW(Server&amp;Cube1,$F$17,$F$18,$F$19,$F$16,$C$14,$F$15,$F$14,$F$20,T$2,$N$1,$C361)</f>
        <v>0</v>
      </c>
      <c r="U361" s="185">
        <f ca="1">_xll.DBRW(Server&amp;Cube1,$F$17,$F$18,$F$19,$F$16,$C$14,$F$15,$F$14,$F$20,U$2,$N$1,$C361)</f>
        <v>0</v>
      </c>
      <c r="V361" s="185">
        <f ca="1">_xll.DBRW(Server&amp;Cube1,$F$17,$F$18,$F$19,$F$16,$C$14,$F$15,$F$14,$F$20,V$2,$N$1,$C361)</f>
        <v>0</v>
      </c>
      <c r="W361" s="185">
        <f ca="1">_xll.DBRW(Server&amp;Cube1,$F$17,$F$18,$F$19,$F$16,$C$14,$F$15,$F$14,$F$20,W$2,$N$1,$C361)</f>
        <v>0</v>
      </c>
      <c r="X361" s="185">
        <f ca="1">_xll.DBRW(Server&amp;Cube1,$F$17,$F$18,$F$19,$F$16,$C$14,$F$15,$F$14,$F$20,X$2,$N$1,$C361)</f>
        <v>0</v>
      </c>
      <c r="Y361" s="185">
        <f ca="1">_xll.DBRW(Server&amp;Cube1,$F$17,$F$18,$F$19,$F$16,$C$14,$F$15,$F$14,$F$20,Y$2,$N$1,$C361)</f>
        <v>0</v>
      </c>
      <c r="Z361" s="185">
        <f ca="1">_xll.DBRW(Server&amp;Cube1,$F$17,$F$18,$F$19,$F$16,$C$14,$F$15,$F$14,$F$20,Z$2,$N$1,$C361)</f>
        <v>0</v>
      </c>
      <c r="AA361" s="53"/>
      <c r="AB361" s="53"/>
      <c r="AC361" s="53"/>
      <c r="AD361" s="53"/>
      <c r="AE361" s="53"/>
      <c r="AF361" s="53"/>
      <c r="AG361" s="53"/>
      <c r="AH361" s="53"/>
      <c r="AI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</row>
    <row r="362" spans="1:47" s="9" customFormat="1" ht="24" customHeight="1" x14ac:dyDescent="0.35">
      <c r="A362" s="157">
        <f ca="1">IF($AN$35="YES",1,IF(_xll.ELCOMPN(Server&amp;$C$24,C362)&lt;&gt;0,1,IF(OR(B362=$AT$35,B362="ALL"),1,0)))</f>
        <v>1</v>
      </c>
      <c r="B362" s="139" t="str">
        <f t="shared" si="7"/>
        <v>RM</v>
      </c>
      <c r="C362" s="137" t="s">
        <v>421</v>
      </c>
      <c r="E362" s="219" t="str">
        <f ca="1">_xll.DBRA(Server&amp;$C$24,$C362,$F$21)</f>
        <v>Téléphonie mobile (GR)</v>
      </c>
      <c r="F362" s="219"/>
      <c r="G362" s="219"/>
      <c r="H362" s="40"/>
      <c r="I362" s="192">
        <f ca="1">_xll.DBRW(Server&amp;Cube1,$F$17,$F$18,$F$19,$F$16,$C$14,$F$15,$F$14,$F$20,I$2,I$1,$C362)</f>
        <v>0</v>
      </c>
      <c r="J362" s="192">
        <f ca="1">_xll.DBRW(Server&amp;Cube1,$F$17,$F$18,$F$19,$F$16,$C$14,$F$15,$F$14,$F$20,J$2,J$1,$C362)</f>
        <v>0</v>
      </c>
      <c r="K362" s="183"/>
      <c r="L362" s="185">
        <f ca="1">_xll.DBRW(Server&amp;Cube1,$F$17,$F$18,$F$19,$F$16,$C$14,$F$15,$F$14,$F$20,L$2,L$1,$C362)</f>
        <v>0</v>
      </c>
      <c r="M362" s="184"/>
      <c r="N362" s="185">
        <f ca="1">_xll.DBRW(Server&amp;Cube1,$F$17,$F$18,$F$19,$F$16,$C$14,$F$15,$F$14,$F$20,N$2,$N$1,$C362)</f>
        <v>0</v>
      </c>
      <c r="O362" s="185">
        <f ca="1">_xll.DBRW(Server&amp;Cube1,$F$17,$F$18,$F$19,$F$16,$C$14,$F$15,$F$14,$F$20,O$2,$N$1,$C362)</f>
        <v>0</v>
      </c>
      <c r="P362" s="185">
        <f ca="1">_xll.DBRW(Server&amp;Cube1,$F$17,$F$18,$F$19,$F$16,$C$14,$F$15,$F$14,$F$20,P$2,$N$1,$C362)</f>
        <v>0</v>
      </c>
      <c r="Q362" s="185">
        <f ca="1">_xll.DBRW(Server&amp;Cube1,$F$17,$F$18,$F$19,$F$16,$C$14,$F$15,$F$14,$F$20,Q$2,$N$1,$C362)</f>
        <v>0</v>
      </c>
      <c r="R362" s="185">
        <f ca="1">_xll.DBRW(Server&amp;Cube1,$F$17,$F$18,$F$19,$F$16,$C$14,$F$15,$F$14,$F$20,R$2,$N$1,$C362)</f>
        <v>0</v>
      </c>
      <c r="S362" s="185">
        <f ca="1">_xll.DBRW(Server&amp;Cube1,$F$17,$F$18,$F$19,$F$16,$C$14,$F$15,$F$14,$F$20,S$2,$N$1,$C362)</f>
        <v>0</v>
      </c>
      <c r="T362" s="185">
        <f ca="1">_xll.DBRW(Server&amp;Cube1,$F$17,$F$18,$F$19,$F$16,$C$14,$F$15,$F$14,$F$20,T$2,$N$1,$C362)</f>
        <v>0</v>
      </c>
      <c r="U362" s="185">
        <f ca="1">_xll.DBRW(Server&amp;Cube1,$F$17,$F$18,$F$19,$F$16,$C$14,$F$15,$F$14,$F$20,U$2,$N$1,$C362)</f>
        <v>0</v>
      </c>
      <c r="V362" s="185">
        <f ca="1">_xll.DBRW(Server&amp;Cube1,$F$17,$F$18,$F$19,$F$16,$C$14,$F$15,$F$14,$F$20,V$2,$N$1,$C362)</f>
        <v>0</v>
      </c>
      <c r="W362" s="185">
        <f ca="1">_xll.DBRW(Server&amp;Cube1,$F$17,$F$18,$F$19,$F$16,$C$14,$F$15,$F$14,$F$20,W$2,$N$1,$C362)</f>
        <v>0</v>
      </c>
      <c r="X362" s="185">
        <f ca="1">_xll.DBRW(Server&amp;Cube1,$F$17,$F$18,$F$19,$F$16,$C$14,$F$15,$F$14,$F$20,X$2,$N$1,$C362)</f>
        <v>0</v>
      </c>
      <c r="Y362" s="185">
        <f ca="1">_xll.DBRW(Server&amp;Cube1,$F$17,$F$18,$F$19,$F$16,$C$14,$F$15,$F$14,$F$20,Y$2,$N$1,$C362)</f>
        <v>0</v>
      </c>
      <c r="Z362" s="185">
        <f ca="1">_xll.DBRW(Server&amp;Cube1,$F$17,$F$18,$F$19,$F$16,$C$14,$F$15,$F$14,$F$20,Z$2,$N$1,$C362)</f>
        <v>0</v>
      </c>
      <c r="AA362" s="53"/>
      <c r="AB362" s="53"/>
      <c r="AC362" s="53"/>
      <c r="AD362" s="53"/>
      <c r="AE362" s="53"/>
      <c r="AF362" s="53"/>
      <c r="AG362" s="53"/>
      <c r="AH362" s="53"/>
      <c r="AI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</row>
    <row r="363" spans="1:47" s="9" customFormat="1" ht="24" customHeight="1" x14ac:dyDescent="0.35">
      <c r="A363" s="157">
        <f ca="1">IF($AN$35="YES",1,IF(_xll.ELCOMPN(Server&amp;$C$24,C363)&lt;&gt;0,1,IF(OR(B363=$AT$35,B363="ALL"),1,0)))</f>
        <v>1</v>
      </c>
      <c r="B363" s="139" t="str">
        <f t="shared" si="7"/>
        <v>PU</v>
      </c>
      <c r="C363" s="137" t="s">
        <v>422</v>
      </c>
      <c r="E363" s="219" t="str">
        <f ca="1">_xll.DBRA(Server&amp;$C$24,$C363,$F$21)</f>
        <v>Téléphonie mobile (AC)</v>
      </c>
      <c r="F363" s="219"/>
      <c r="G363" s="219"/>
      <c r="H363" s="40"/>
      <c r="I363" s="192">
        <f ca="1">_xll.DBRW(Server&amp;Cube1,$F$17,$F$18,$F$19,$F$16,$C$14,$F$15,$F$14,$F$20,I$2,I$1,$C363)</f>
        <v>0</v>
      </c>
      <c r="J363" s="192">
        <f ca="1">_xll.DBRW(Server&amp;Cube1,$F$17,$F$18,$F$19,$F$16,$C$14,$F$15,$F$14,$F$20,J$2,J$1,$C363)</f>
        <v>0</v>
      </c>
      <c r="K363" s="183"/>
      <c r="L363" s="185">
        <f ca="1">_xll.DBRW(Server&amp;Cube1,$F$17,$F$18,$F$19,$F$16,$C$14,$F$15,$F$14,$F$20,L$2,L$1,$C363)</f>
        <v>0</v>
      </c>
      <c r="M363" s="184"/>
      <c r="N363" s="185">
        <f ca="1">_xll.DBRW(Server&amp;Cube1,$F$17,$F$18,$F$19,$F$16,$C$14,$F$15,$F$14,$F$20,N$2,$N$1,$C363)</f>
        <v>0</v>
      </c>
      <c r="O363" s="185">
        <f ca="1">_xll.DBRW(Server&amp;Cube1,$F$17,$F$18,$F$19,$F$16,$C$14,$F$15,$F$14,$F$20,O$2,$N$1,$C363)</f>
        <v>0</v>
      </c>
      <c r="P363" s="185">
        <f ca="1">_xll.DBRW(Server&amp;Cube1,$F$17,$F$18,$F$19,$F$16,$C$14,$F$15,$F$14,$F$20,P$2,$N$1,$C363)</f>
        <v>0</v>
      </c>
      <c r="Q363" s="185">
        <f ca="1">_xll.DBRW(Server&amp;Cube1,$F$17,$F$18,$F$19,$F$16,$C$14,$F$15,$F$14,$F$20,Q$2,$N$1,$C363)</f>
        <v>0</v>
      </c>
      <c r="R363" s="185">
        <f ca="1">_xll.DBRW(Server&amp;Cube1,$F$17,$F$18,$F$19,$F$16,$C$14,$F$15,$F$14,$F$20,R$2,$N$1,$C363)</f>
        <v>0</v>
      </c>
      <c r="S363" s="185">
        <f ca="1">_xll.DBRW(Server&amp;Cube1,$F$17,$F$18,$F$19,$F$16,$C$14,$F$15,$F$14,$F$20,S$2,$N$1,$C363)</f>
        <v>0</v>
      </c>
      <c r="T363" s="185">
        <f ca="1">_xll.DBRW(Server&amp;Cube1,$F$17,$F$18,$F$19,$F$16,$C$14,$F$15,$F$14,$F$20,T$2,$N$1,$C363)</f>
        <v>0</v>
      </c>
      <c r="U363" s="185">
        <f ca="1">_xll.DBRW(Server&amp;Cube1,$F$17,$F$18,$F$19,$F$16,$C$14,$F$15,$F$14,$F$20,U$2,$N$1,$C363)</f>
        <v>0</v>
      </c>
      <c r="V363" s="185">
        <f ca="1">_xll.DBRW(Server&amp;Cube1,$F$17,$F$18,$F$19,$F$16,$C$14,$F$15,$F$14,$F$20,V$2,$N$1,$C363)</f>
        <v>0</v>
      </c>
      <c r="W363" s="185">
        <f ca="1">_xll.DBRW(Server&amp;Cube1,$F$17,$F$18,$F$19,$F$16,$C$14,$F$15,$F$14,$F$20,W$2,$N$1,$C363)</f>
        <v>0</v>
      </c>
      <c r="X363" s="185">
        <f ca="1">_xll.DBRW(Server&amp;Cube1,$F$17,$F$18,$F$19,$F$16,$C$14,$F$15,$F$14,$F$20,X$2,$N$1,$C363)</f>
        <v>0</v>
      </c>
      <c r="Y363" s="185">
        <f ca="1">_xll.DBRW(Server&amp;Cube1,$F$17,$F$18,$F$19,$F$16,$C$14,$F$15,$F$14,$F$20,Y$2,$N$1,$C363)</f>
        <v>0</v>
      </c>
      <c r="Z363" s="185">
        <f ca="1">_xll.DBRW(Server&amp;Cube1,$F$17,$F$18,$F$19,$F$16,$C$14,$F$15,$F$14,$F$20,Z$2,$N$1,$C363)</f>
        <v>0</v>
      </c>
      <c r="AA363" s="53"/>
      <c r="AB363" s="53"/>
      <c r="AC363" s="53"/>
      <c r="AD363" s="53"/>
      <c r="AE363" s="53"/>
      <c r="AF363" s="53"/>
      <c r="AG363" s="53"/>
      <c r="AH363" s="53"/>
      <c r="AI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</row>
    <row r="364" spans="1:47" s="9" customFormat="1" ht="24" customHeight="1" x14ac:dyDescent="0.35">
      <c r="A364" s="157">
        <f ca="1">IF($AN$35="YES",1,IF(_xll.ELCOMPN(Server&amp;$C$24,C364)&lt;&gt;0,1,IF(OR(B364=$AT$35,B364="ALL"),1,0)))</f>
        <v>1</v>
      </c>
      <c r="B364" s="139" t="str">
        <f t="shared" si="7"/>
        <v>CO</v>
      </c>
      <c r="C364" s="137" t="s">
        <v>423</v>
      </c>
      <c r="E364" s="219" t="str">
        <f ca="1">_xll.DBRA(Server&amp;$C$24,$C364,$F$21)</f>
        <v>Téléphonie mobile (CO)</v>
      </c>
      <c r="F364" s="219"/>
      <c r="G364" s="219"/>
      <c r="H364" s="40"/>
      <c r="I364" s="192">
        <f ca="1">_xll.DBRW(Server&amp;Cube1,$F$17,$F$18,$F$19,$F$16,$C$14,$F$15,$F$14,$F$20,I$2,I$1,$C364)</f>
        <v>0</v>
      </c>
      <c r="J364" s="192">
        <f ca="1">_xll.DBRW(Server&amp;Cube1,$F$17,$F$18,$F$19,$F$16,$C$14,$F$15,$F$14,$F$20,J$2,J$1,$C364)</f>
        <v>0</v>
      </c>
      <c r="K364" s="183"/>
      <c r="L364" s="185">
        <f ca="1">_xll.DBRW(Server&amp;Cube1,$F$17,$F$18,$F$19,$F$16,$C$14,$F$15,$F$14,$F$20,L$2,L$1,$C364)</f>
        <v>0</v>
      </c>
      <c r="M364" s="184"/>
      <c r="N364" s="185">
        <f ca="1">_xll.DBRW(Server&amp;Cube1,$F$17,$F$18,$F$19,$F$16,$C$14,$F$15,$F$14,$F$20,N$2,$N$1,$C364)</f>
        <v>0</v>
      </c>
      <c r="O364" s="185">
        <f ca="1">_xll.DBRW(Server&amp;Cube1,$F$17,$F$18,$F$19,$F$16,$C$14,$F$15,$F$14,$F$20,O$2,$N$1,$C364)</f>
        <v>0</v>
      </c>
      <c r="P364" s="185">
        <f ca="1">_xll.DBRW(Server&amp;Cube1,$F$17,$F$18,$F$19,$F$16,$C$14,$F$15,$F$14,$F$20,P$2,$N$1,$C364)</f>
        <v>0</v>
      </c>
      <c r="Q364" s="185">
        <f ca="1">_xll.DBRW(Server&amp;Cube1,$F$17,$F$18,$F$19,$F$16,$C$14,$F$15,$F$14,$F$20,Q$2,$N$1,$C364)</f>
        <v>0</v>
      </c>
      <c r="R364" s="185">
        <f ca="1">_xll.DBRW(Server&amp;Cube1,$F$17,$F$18,$F$19,$F$16,$C$14,$F$15,$F$14,$F$20,R$2,$N$1,$C364)</f>
        <v>0</v>
      </c>
      <c r="S364" s="185">
        <f ca="1">_xll.DBRW(Server&amp;Cube1,$F$17,$F$18,$F$19,$F$16,$C$14,$F$15,$F$14,$F$20,S$2,$N$1,$C364)</f>
        <v>0</v>
      </c>
      <c r="T364" s="185">
        <f ca="1">_xll.DBRW(Server&amp;Cube1,$F$17,$F$18,$F$19,$F$16,$C$14,$F$15,$F$14,$F$20,T$2,$N$1,$C364)</f>
        <v>0</v>
      </c>
      <c r="U364" s="185">
        <f ca="1">_xll.DBRW(Server&amp;Cube1,$F$17,$F$18,$F$19,$F$16,$C$14,$F$15,$F$14,$F$20,U$2,$N$1,$C364)</f>
        <v>0</v>
      </c>
      <c r="V364" s="185">
        <f ca="1">_xll.DBRW(Server&amp;Cube1,$F$17,$F$18,$F$19,$F$16,$C$14,$F$15,$F$14,$F$20,V$2,$N$1,$C364)</f>
        <v>0</v>
      </c>
      <c r="W364" s="185">
        <f ca="1">_xll.DBRW(Server&amp;Cube1,$F$17,$F$18,$F$19,$F$16,$C$14,$F$15,$F$14,$F$20,W$2,$N$1,$C364)</f>
        <v>0</v>
      </c>
      <c r="X364" s="185">
        <f ca="1">_xll.DBRW(Server&amp;Cube1,$F$17,$F$18,$F$19,$F$16,$C$14,$F$15,$F$14,$F$20,X$2,$N$1,$C364)</f>
        <v>0</v>
      </c>
      <c r="Y364" s="185">
        <f ca="1">_xll.DBRW(Server&amp;Cube1,$F$17,$F$18,$F$19,$F$16,$C$14,$F$15,$F$14,$F$20,Y$2,$N$1,$C364)</f>
        <v>0</v>
      </c>
      <c r="Z364" s="185">
        <f ca="1">_xll.DBRW(Server&amp;Cube1,$F$17,$F$18,$F$19,$F$16,$C$14,$F$15,$F$14,$F$20,Z$2,$N$1,$C364)</f>
        <v>0</v>
      </c>
      <c r="AA364" s="53"/>
      <c r="AB364" s="53"/>
      <c r="AC364" s="53"/>
      <c r="AD364" s="53"/>
      <c r="AE364" s="53"/>
      <c r="AF364" s="53"/>
      <c r="AG364" s="53"/>
      <c r="AH364" s="53"/>
      <c r="AI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</row>
    <row r="365" spans="1:47" s="9" customFormat="1" ht="24" customHeight="1" x14ac:dyDescent="0.35">
      <c r="A365" s="157">
        <f ca="1">IF($AN$35="YES",1,IF(_xll.ELCOMPN(Server&amp;$C$24,C365)&lt;&gt;0,1,IF(OR(B365=$AT$35,B365="ALL"),1,0)))</f>
        <v>1</v>
      </c>
      <c r="B365" s="139" t="str">
        <f t="shared" si="7"/>
        <v>GS</v>
      </c>
      <c r="C365" s="137" t="s">
        <v>424</v>
      </c>
      <c r="E365" s="219" t="str">
        <f ca="1">_xll.DBRA(Server&amp;$C$24,$C365,$F$21)</f>
        <v>Téléphonie mobile (SG)</v>
      </c>
      <c r="F365" s="219"/>
      <c r="G365" s="219"/>
      <c r="H365" s="40"/>
      <c r="I365" s="192">
        <f ca="1">_xll.DBRW(Server&amp;Cube1,$F$17,$F$18,$F$19,$F$16,$C$14,$F$15,$F$14,$F$20,I$2,I$1,$C365)</f>
        <v>0</v>
      </c>
      <c r="J365" s="192">
        <f ca="1">_xll.DBRW(Server&amp;Cube1,$F$17,$F$18,$F$19,$F$16,$C$14,$F$15,$F$14,$F$20,J$2,J$1,$C365)</f>
        <v>0</v>
      </c>
      <c r="K365" s="183"/>
      <c r="L365" s="185">
        <f ca="1">_xll.DBRW(Server&amp;Cube1,$F$17,$F$18,$F$19,$F$16,$C$14,$F$15,$F$14,$F$20,L$2,L$1,$C365)</f>
        <v>0</v>
      </c>
      <c r="M365" s="184"/>
      <c r="N365" s="185">
        <f ca="1">_xll.DBRW(Server&amp;Cube1,$F$17,$F$18,$F$19,$F$16,$C$14,$F$15,$F$14,$F$20,N$2,$N$1,$C365)</f>
        <v>0</v>
      </c>
      <c r="O365" s="185">
        <f ca="1">_xll.DBRW(Server&amp;Cube1,$F$17,$F$18,$F$19,$F$16,$C$14,$F$15,$F$14,$F$20,O$2,$N$1,$C365)</f>
        <v>0</v>
      </c>
      <c r="P365" s="185">
        <f ca="1">_xll.DBRW(Server&amp;Cube1,$F$17,$F$18,$F$19,$F$16,$C$14,$F$15,$F$14,$F$20,P$2,$N$1,$C365)</f>
        <v>0</v>
      </c>
      <c r="Q365" s="185">
        <f ca="1">_xll.DBRW(Server&amp;Cube1,$F$17,$F$18,$F$19,$F$16,$C$14,$F$15,$F$14,$F$20,Q$2,$N$1,$C365)</f>
        <v>0</v>
      </c>
      <c r="R365" s="185">
        <f ca="1">_xll.DBRW(Server&amp;Cube1,$F$17,$F$18,$F$19,$F$16,$C$14,$F$15,$F$14,$F$20,R$2,$N$1,$C365)</f>
        <v>0</v>
      </c>
      <c r="S365" s="185">
        <f ca="1">_xll.DBRW(Server&amp;Cube1,$F$17,$F$18,$F$19,$F$16,$C$14,$F$15,$F$14,$F$20,S$2,$N$1,$C365)</f>
        <v>0</v>
      </c>
      <c r="T365" s="185">
        <f ca="1">_xll.DBRW(Server&amp;Cube1,$F$17,$F$18,$F$19,$F$16,$C$14,$F$15,$F$14,$F$20,T$2,$N$1,$C365)</f>
        <v>0</v>
      </c>
      <c r="U365" s="185">
        <f ca="1">_xll.DBRW(Server&amp;Cube1,$F$17,$F$18,$F$19,$F$16,$C$14,$F$15,$F$14,$F$20,U$2,$N$1,$C365)</f>
        <v>0</v>
      </c>
      <c r="V365" s="185">
        <f ca="1">_xll.DBRW(Server&amp;Cube1,$F$17,$F$18,$F$19,$F$16,$C$14,$F$15,$F$14,$F$20,V$2,$N$1,$C365)</f>
        <v>0</v>
      </c>
      <c r="W365" s="185">
        <f ca="1">_xll.DBRW(Server&amp;Cube1,$F$17,$F$18,$F$19,$F$16,$C$14,$F$15,$F$14,$F$20,W$2,$N$1,$C365)</f>
        <v>0</v>
      </c>
      <c r="X365" s="185">
        <f ca="1">_xll.DBRW(Server&amp;Cube1,$F$17,$F$18,$F$19,$F$16,$C$14,$F$15,$F$14,$F$20,X$2,$N$1,$C365)</f>
        <v>0</v>
      </c>
      <c r="Y365" s="185">
        <f ca="1">_xll.DBRW(Server&amp;Cube1,$F$17,$F$18,$F$19,$F$16,$C$14,$F$15,$F$14,$F$20,Y$2,$N$1,$C365)</f>
        <v>0</v>
      </c>
      <c r="Z365" s="185">
        <f ca="1">_xll.DBRW(Server&amp;Cube1,$F$17,$F$18,$F$19,$F$16,$C$14,$F$15,$F$14,$F$20,Z$2,$N$1,$C365)</f>
        <v>0</v>
      </c>
      <c r="AA365" s="53"/>
      <c r="AB365" s="53"/>
      <c r="AC365" s="53"/>
      <c r="AD365" s="53"/>
      <c r="AE365" s="53"/>
      <c r="AF365" s="53"/>
      <c r="AG365" s="53"/>
      <c r="AH365" s="53"/>
      <c r="AI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</row>
    <row r="366" spans="1:47" s="9" customFormat="1" ht="24" customHeight="1" x14ac:dyDescent="0.35">
      <c r="A366" s="157">
        <f ca="1">IF($AN$35="YES",1,IF(_xll.ELCOMPN(Server&amp;$C$24,C366)&lt;&gt;0,1,IF(OR(B366=$AT$35,B366="ALL"),1,0)))</f>
        <v>1</v>
      </c>
      <c r="B366" s="139" t="str">
        <f t="shared" si="7"/>
        <v>RD</v>
      </c>
      <c r="C366" s="137" t="s">
        <v>425</v>
      </c>
      <c r="E366" s="219" t="str">
        <f ca="1">_xll.DBRA(Server&amp;$C$24,$C366,$F$21)</f>
        <v>Téléphonie mobile (RD)</v>
      </c>
      <c r="F366" s="219"/>
      <c r="G366" s="219"/>
      <c r="H366" s="40"/>
      <c r="I366" s="192">
        <f ca="1">_xll.DBRW(Server&amp;Cube1,$F$17,$F$18,$F$19,$F$16,$C$14,$F$15,$F$14,$F$20,I$2,I$1,$C366)</f>
        <v>0</v>
      </c>
      <c r="J366" s="192">
        <f ca="1">_xll.DBRW(Server&amp;Cube1,$F$17,$F$18,$F$19,$F$16,$C$14,$F$15,$F$14,$F$20,J$2,J$1,$C366)</f>
        <v>0</v>
      </c>
      <c r="K366" s="183"/>
      <c r="L366" s="185">
        <f ca="1">_xll.DBRW(Server&amp;Cube1,$F$17,$F$18,$F$19,$F$16,$C$14,$F$15,$F$14,$F$20,L$2,L$1,$C366)</f>
        <v>0</v>
      </c>
      <c r="M366" s="184"/>
      <c r="N366" s="185">
        <f ca="1">_xll.DBRW(Server&amp;Cube1,$F$17,$F$18,$F$19,$F$16,$C$14,$F$15,$F$14,$F$20,N$2,$N$1,$C366)</f>
        <v>0</v>
      </c>
      <c r="O366" s="185">
        <f ca="1">_xll.DBRW(Server&amp;Cube1,$F$17,$F$18,$F$19,$F$16,$C$14,$F$15,$F$14,$F$20,O$2,$N$1,$C366)</f>
        <v>0</v>
      </c>
      <c r="P366" s="185">
        <f ca="1">_xll.DBRW(Server&amp;Cube1,$F$17,$F$18,$F$19,$F$16,$C$14,$F$15,$F$14,$F$20,P$2,$N$1,$C366)</f>
        <v>0</v>
      </c>
      <c r="Q366" s="185">
        <f ca="1">_xll.DBRW(Server&amp;Cube1,$F$17,$F$18,$F$19,$F$16,$C$14,$F$15,$F$14,$F$20,Q$2,$N$1,$C366)</f>
        <v>0</v>
      </c>
      <c r="R366" s="185">
        <f ca="1">_xll.DBRW(Server&amp;Cube1,$F$17,$F$18,$F$19,$F$16,$C$14,$F$15,$F$14,$F$20,R$2,$N$1,$C366)</f>
        <v>0</v>
      </c>
      <c r="S366" s="185">
        <f ca="1">_xll.DBRW(Server&amp;Cube1,$F$17,$F$18,$F$19,$F$16,$C$14,$F$15,$F$14,$F$20,S$2,$N$1,$C366)</f>
        <v>0</v>
      </c>
      <c r="T366" s="185">
        <f ca="1">_xll.DBRW(Server&amp;Cube1,$F$17,$F$18,$F$19,$F$16,$C$14,$F$15,$F$14,$F$20,T$2,$N$1,$C366)</f>
        <v>0</v>
      </c>
      <c r="U366" s="185">
        <f ca="1">_xll.DBRW(Server&amp;Cube1,$F$17,$F$18,$F$19,$F$16,$C$14,$F$15,$F$14,$F$20,U$2,$N$1,$C366)</f>
        <v>0</v>
      </c>
      <c r="V366" s="185">
        <f ca="1">_xll.DBRW(Server&amp;Cube1,$F$17,$F$18,$F$19,$F$16,$C$14,$F$15,$F$14,$F$20,V$2,$N$1,$C366)</f>
        <v>0</v>
      </c>
      <c r="W366" s="185">
        <f ca="1">_xll.DBRW(Server&amp;Cube1,$F$17,$F$18,$F$19,$F$16,$C$14,$F$15,$F$14,$F$20,W$2,$N$1,$C366)</f>
        <v>0</v>
      </c>
      <c r="X366" s="185">
        <f ca="1">_xll.DBRW(Server&amp;Cube1,$F$17,$F$18,$F$19,$F$16,$C$14,$F$15,$F$14,$F$20,X$2,$N$1,$C366)</f>
        <v>0</v>
      </c>
      <c r="Y366" s="185">
        <f ca="1">_xll.DBRW(Server&amp;Cube1,$F$17,$F$18,$F$19,$F$16,$C$14,$F$15,$F$14,$F$20,Y$2,$N$1,$C366)</f>
        <v>0</v>
      </c>
      <c r="Z366" s="185">
        <f ca="1">_xll.DBRW(Server&amp;Cube1,$F$17,$F$18,$F$19,$F$16,$C$14,$F$15,$F$14,$F$20,Z$2,$N$1,$C366)</f>
        <v>0</v>
      </c>
      <c r="AA366" s="53"/>
      <c r="AB366" s="53"/>
      <c r="AC366" s="53"/>
      <c r="AD366" s="53"/>
      <c r="AE366" s="53"/>
      <c r="AF366" s="53"/>
      <c r="AG366" s="53"/>
      <c r="AH366" s="53"/>
      <c r="AI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</row>
    <row r="367" spans="1:47" s="9" customFormat="1" ht="24" customHeight="1" x14ac:dyDescent="0.35">
      <c r="A367" s="157">
        <f ca="1">IF($AN$35="YES",1,IF(_xll.ELCOMPN(Server&amp;$C$24,C367)&lt;&gt;0,1,IF(OR(B367=$AT$35,B367="ALL"),1,0)))</f>
        <v>1</v>
      </c>
      <c r="B367" s="139" t="str">
        <f t="shared" si="7"/>
        <v>im</v>
      </c>
      <c r="C367" s="113" t="s">
        <v>121</v>
      </c>
      <c r="E367" s="220" t="str">
        <f ca="1">_xll.DBRA(Server&amp;$C$24,$C367,$F$21)</f>
        <v>Autres impôts et taxes</v>
      </c>
      <c r="F367" s="220"/>
      <c r="G367" s="220"/>
      <c r="H367" s="40"/>
      <c r="I367" s="190">
        <f ca="1">_xll.DBRW(Server&amp;Cube1,$F$17,$F$18,$F$19,$F$16,$C$14,$F$15,$F$14,$F$20,I$2,I$1,$C367)</f>
        <v>0</v>
      </c>
      <c r="J367" s="190">
        <f ca="1">_xll.DBRW(Server&amp;Cube1,$F$17,$F$18,$F$19,$F$16,$C$14,$F$15,$F$14,$F$20,J$2,J$1,$C367)</f>
        <v>0</v>
      </c>
      <c r="K367" s="180"/>
      <c r="L367" s="191">
        <f ca="1">_xll.DBRW(Server&amp;Cube1,$F$17,$F$18,$F$19,$F$16,$C$14,$F$15,$F$14,$F$20,L$2,L$1,$C367)</f>
        <v>0</v>
      </c>
      <c r="M367" s="181"/>
      <c r="N367" s="191">
        <f ca="1">_xll.DBRW(Server&amp;Cube1,$F$17,$F$18,$F$19,$F$16,$C$14,$F$15,$F$14,$F$20,N$2,$N$1,$C367)</f>
        <v>0</v>
      </c>
      <c r="O367" s="191">
        <f ca="1">_xll.DBRW(Server&amp;Cube1,$F$17,$F$18,$F$19,$F$16,$C$14,$F$15,$F$14,$F$20,O$2,$N$1,$C367)</f>
        <v>0</v>
      </c>
      <c r="P367" s="191">
        <f ca="1">_xll.DBRW(Server&amp;Cube1,$F$17,$F$18,$F$19,$F$16,$C$14,$F$15,$F$14,$F$20,P$2,$N$1,$C367)</f>
        <v>0</v>
      </c>
      <c r="Q367" s="191">
        <f ca="1">_xll.DBRW(Server&amp;Cube1,$F$17,$F$18,$F$19,$F$16,$C$14,$F$15,$F$14,$F$20,Q$2,$N$1,$C367)</f>
        <v>0</v>
      </c>
      <c r="R367" s="191">
        <f ca="1">_xll.DBRW(Server&amp;Cube1,$F$17,$F$18,$F$19,$F$16,$C$14,$F$15,$F$14,$F$20,R$2,$N$1,$C367)</f>
        <v>0</v>
      </c>
      <c r="S367" s="191">
        <f ca="1">_xll.DBRW(Server&amp;Cube1,$F$17,$F$18,$F$19,$F$16,$C$14,$F$15,$F$14,$F$20,S$2,$N$1,$C367)</f>
        <v>0</v>
      </c>
      <c r="T367" s="191">
        <f ca="1">_xll.DBRW(Server&amp;Cube1,$F$17,$F$18,$F$19,$F$16,$C$14,$F$15,$F$14,$F$20,T$2,$N$1,$C367)</f>
        <v>0</v>
      </c>
      <c r="U367" s="191">
        <f ca="1">_xll.DBRW(Server&amp;Cube1,$F$17,$F$18,$F$19,$F$16,$C$14,$F$15,$F$14,$F$20,U$2,$N$1,$C367)</f>
        <v>0</v>
      </c>
      <c r="V367" s="191">
        <f ca="1">_xll.DBRW(Server&amp;Cube1,$F$17,$F$18,$F$19,$F$16,$C$14,$F$15,$F$14,$F$20,V$2,$N$1,$C367)</f>
        <v>0</v>
      </c>
      <c r="W367" s="191">
        <f ca="1">_xll.DBRW(Server&amp;Cube1,$F$17,$F$18,$F$19,$F$16,$C$14,$F$15,$F$14,$F$20,W$2,$N$1,$C367)</f>
        <v>0</v>
      </c>
      <c r="X367" s="191">
        <f ca="1">_xll.DBRW(Server&amp;Cube1,$F$17,$F$18,$F$19,$F$16,$C$14,$F$15,$F$14,$F$20,X$2,$N$1,$C367)</f>
        <v>0</v>
      </c>
      <c r="Y367" s="191">
        <f ca="1">_xll.DBRW(Server&amp;Cube1,$F$17,$F$18,$F$19,$F$16,$C$14,$F$15,$F$14,$F$20,Y$2,$N$1,$C367)</f>
        <v>0</v>
      </c>
      <c r="Z367" s="191">
        <f ca="1">_xll.DBRW(Server&amp;Cube1,$F$17,$F$18,$F$19,$F$16,$C$14,$F$15,$F$14,$F$20,Z$2,$N$1,$C367)</f>
        <v>0</v>
      </c>
      <c r="AA367" s="53"/>
      <c r="AB367" s="53"/>
      <c r="AC367" s="53"/>
      <c r="AD367" s="53"/>
      <c r="AE367" s="53"/>
      <c r="AF367" s="53"/>
      <c r="AG367" s="53"/>
      <c r="AH367" s="53"/>
      <c r="AI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</row>
    <row r="368" spans="1:47" s="9" customFormat="1" ht="24" customHeight="1" x14ac:dyDescent="0.35">
      <c r="A368" s="157">
        <f ca="1">IF($AN$35="YES",1,IF(_xll.ELCOMPN(Server&amp;$C$24,C368)&lt;&gt;0,1,IF(OR(B368=$AT$35,B368="ALL"),1,0)))</f>
        <v>1</v>
      </c>
      <c r="B368" s="139" t="str">
        <f t="shared" si="7"/>
        <v>CV</v>
      </c>
      <c r="C368" s="111" t="s">
        <v>122</v>
      </c>
      <c r="E368" s="221" t="str">
        <f ca="1">_xll.DBRA(Server&amp;$C$24,$C368,$F$21)</f>
        <v>CET - CVAE</v>
      </c>
      <c r="F368" s="221"/>
      <c r="G368" s="221"/>
      <c r="H368" s="40"/>
      <c r="I368" s="192">
        <f ca="1">_xll.DBRW(Server&amp;Cube1,$F$17,$F$18,$F$19,$F$16,$C$14,$F$15,$F$14,$F$20,I$2,I$1,$C368)</f>
        <v>0</v>
      </c>
      <c r="J368" s="192">
        <f ca="1">_xll.DBRW(Server&amp;Cube1,$F$17,$F$18,$F$19,$F$16,$C$14,$F$15,$F$14,$F$20,J$2,J$1,$C368)</f>
        <v>0</v>
      </c>
      <c r="K368" s="183"/>
      <c r="L368" s="181">
        <f ca="1">_xll.DBRW(Server&amp;Cube1,$F$17,$F$18,$F$19,$F$16,$C$14,$F$15,$F$14,$F$20,L$2,L$1,$C368)</f>
        <v>0</v>
      </c>
      <c r="M368" s="181"/>
      <c r="N368" s="181">
        <f ca="1">_xll.DBRW(Server&amp;Cube1,$F$17,$F$18,$F$19,$F$16,$C$14,$F$15,$F$14,$F$20,N$2,$N$1,$C368)</f>
        <v>0</v>
      </c>
      <c r="O368" s="181">
        <f ca="1">_xll.DBRW(Server&amp;Cube1,$F$17,$F$18,$F$19,$F$16,$C$14,$F$15,$F$14,$F$20,O$2,$N$1,$C368)</f>
        <v>0</v>
      </c>
      <c r="P368" s="181">
        <f ca="1">_xll.DBRW(Server&amp;Cube1,$F$17,$F$18,$F$19,$F$16,$C$14,$F$15,$F$14,$F$20,P$2,$N$1,$C368)</f>
        <v>0</v>
      </c>
      <c r="Q368" s="181">
        <f ca="1">_xll.DBRW(Server&amp;Cube1,$F$17,$F$18,$F$19,$F$16,$C$14,$F$15,$F$14,$F$20,Q$2,$N$1,$C368)</f>
        <v>0</v>
      </c>
      <c r="R368" s="181">
        <f ca="1">_xll.DBRW(Server&amp;Cube1,$F$17,$F$18,$F$19,$F$16,$C$14,$F$15,$F$14,$F$20,R$2,$N$1,$C368)</f>
        <v>0</v>
      </c>
      <c r="S368" s="181">
        <f ca="1">_xll.DBRW(Server&amp;Cube1,$F$17,$F$18,$F$19,$F$16,$C$14,$F$15,$F$14,$F$20,S$2,$N$1,$C368)</f>
        <v>0</v>
      </c>
      <c r="T368" s="181">
        <f ca="1">_xll.DBRW(Server&amp;Cube1,$F$17,$F$18,$F$19,$F$16,$C$14,$F$15,$F$14,$F$20,T$2,$N$1,$C368)</f>
        <v>0</v>
      </c>
      <c r="U368" s="181">
        <f ca="1">_xll.DBRW(Server&amp;Cube1,$F$17,$F$18,$F$19,$F$16,$C$14,$F$15,$F$14,$F$20,U$2,$N$1,$C368)</f>
        <v>0</v>
      </c>
      <c r="V368" s="181">
        <f ca="1">_xll.DBRW(Server&amp;Cube1,$F$17,$F$18,$F$19,$F$16,$C$14,$F$15,$F$14,$F$20,V$2,$N$1,$C368)</f>
        <v>0</v>
      </c>
      <c r="W368" s="181">
        <f ca="1">_xll.DBRW(Server&amp;Cube1,$F$17,$F$18,$F$19,$F$16,$C$14,$F$15,$F$14,$F$20,W$2,$N$1,$C368)</f>
        <v>0</v>
      </c>
      <c r="X368" s="181">
        <f ca="1">_xll.DBRW(Server&amp;Cube1,$F$17,$F$18,$F$19,$F$16,$C$14,$F$15,$F$14,$F$20,X$2,$N$1,$C368)</f>
        <v>0</v>
      </c>
      <c r="Y368" s="181">
        <f ca="1">_xll.DBRW(Server&amp;Cube1,$F$17,$F$18,$F$19,$F$16,$C$14,$F$15,$F$14,$F$20,Y$2,$N$1,$C368)</f>
        <v>0</v>
      </c>
      <c r="Z368" s="181">
        <f ca="1">_xll.DBRW(Server&amp;Cube1,$F$17,$F$18,$F$19,$F$16,$C$14,$F$15,$F$14,$F$20,Z$2,$N$1,$C368)</f>
        <v>0</v>
      </c>
      <c r="AA368" s="53"/>
      <c r="AB368" s="53"/>
      <c r="AC368" s="53"/>
      <c r="AD368" s="53"/>
      <c r="AE368" s="53"/>
      <c r="AF368" s="53"/>
      <c r="AG368" s="53"/>
      <c r="AH368" s="53"/>
      <c r="AI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</row>
    <row r="369" spans="1:47" s="9" customFormat="1" ht="24" customHeight="1" x14ac:dyDescent="0.35">
      <c r="A369" s="157">
        <f ca="1">IF($AN$35="YES",1,IF(_xll.ELCOMPN(Server&amp;$C$24,C369)&lt;&gt;0,1,IF(OR(B369=$AT$35,B369="ALL"),1,0)))</f>
        <v>1</v>
      </c>
      <c r="B369" s="139" t="str">
        <f t="shared" si="7"/>
        <v>DS</v>
      </c>
      <c r="C369" s="111" t="s">
        <v>426</v>
      </c>
      <c r="E369" s="219" t="str">
        <f ca="1">_xll.DBRA(Server&amp;$C$24,$C369,$F$21)</f>
        <v>CET - CVAE (SO)</v>
      </c>
      <c r="F369" s="219"/>
      <c r="G369" s="219"/>
      <c r="H369" s="40"/>
      <c r="I369" s="192">
        <f ca="1">_xll.DBRW(Server&amp;Cube1,$F$17,$F$18,$F$19,$F$16,$C$14,$F$15,$F$14,$F$20,I$2,I$1,$C369)</f>
        <v>0</v>
      </c>
      <c r="J369" s="192">
        <f ca="1">_xll.DBRW(Server&amp;Cube1,$F$17,$F$18,$F$19,$F$16,$C$14,$F$15,$F$14,$F$20,J$2,J$1,$C369)</f>
        <v>0</v>
      </c>
      <c r="K369" s="183"/>
      <c r="L369" s="185">
        <f ca="1">_xll.DBRW(Server&amp;Cube1,$F$17,$F$18,$F$19,$F$16,$C$14,$F$15,$F$14,$F$20,L$2,L$1,$C369)</f>
        <v>0</v>
      </c>
      <c r="M369" s="184"/>
      <c r="N369" s="185">
        <f ca="1">_xll.DBRW(Server&amp;Cube1,$F$17,$F$18,$F$19,$F$16,$C$14,$F$15,$F$14,$F$20,N$2,$N$1,$C369)</f>
        <v>0</v>
      </c>
      <c r="O369" s="185">
        <f ca="1">_xll.DBRW(Server&amp;Cube1,$F$17,$F$18,$F$19,$F$16,$C$14,$F$15,$F$14,$F$20,O$2,$N$1,$C369)</f>
        <v>0</v>
      </c>
      <c r="P369" s="185">
        <f ca="1">_xll.DBRW(Server&amp;Cube1,$F$17,$F$18,$F$19,$F$16,$C$14,$F$15,$F$14,$F$20,P$2,$N$1,$C369)</f>
        <v>0</v>
      </c>
      <c r="Q369" s="185">
        <f ca="1">_xll.DBRW(Server&amp;Cube1,$F$17,$F$18,$F$19,$F$16,$C$14,$F$15,$F$14,$F$20,Q$2,$N$1,$C369)</f>
        <v>0</v>
      </c>
      <c r="R369" s="185">
        <f ca="1">_xll.DBRW(Server&amp;Cube1,$F$17,$F$18,$F$19,$F$16,$C$14,$F$15,$F$14,$F$20,R$2,$N$1,$C369)</f>
        <v>0</v>
      </c>
      <c r="S369" s="185">
        <f ca="1">_xll.DBRW(Server&amp;Cube1,$F$17,$F$18,$F$19,$F$16,$C$14,$F$15,$F$14,$F$20,S$2,$N$1,$C369)</f>
        <v>0</v>
      </c>
      <c r="T369" s="185">
        <f ca="1">_xll.DBRW(Server&amp;Cube1,$F$17,$F$18,$F$19,$F$16,$C$14,$F$15,$F$14,$F$20,T$2,$N$1,$C369)</f>
        <v>0</v>
      </c>
      <c r="U369" s="185">
        <f ca="1">_xll.DBRW(Server&amp;Cube1,$F$17,$F$18,$F$19,$F$16,$C$14,$F$15,$F$14,$F$20,U$2,$N$1,$C369)</f>
        <v>0</v>
      </c>
      <c r="V369" s="185">
        <f ca="1">_xll.DBRW(Server&amp;Cube1,$F$17,$F$18,$F$19,$F$16,$C$14,$F$15,$F$14,$F$20,V$2,$N$1,$C369)</f>
        <v>0</v>
      </c>
      <c r="W369" s="185">
        <f ca="1">_xll.DBRW(Server&amp;Cube1,$F$17,$F$18,$F$19,$F$16,$C$14,$F$15,$F$14,$F$20,W$2,$N$1,$C369)</f>
        <v>0</v>
      </c>
      <c r="X369" s="185">
        <f ca="1">_xll.DBRW(Server&amp;Cube1,$F$17,$F$18,$F$19,$F$16,$C$14,$F$15,$F$14,$F$20,X$2,$N$1,$C369)</f>
        <v>0</v>
      </c>
      <c r="Y369" s="185">
        <f ca="1">_xll.DBRW(Server&amp;Cube1,$F$17,$F$18,$F$19,$F$16,$C$14,$F$15,$F$14,$F$20,Y$2,$N$1,$C369)</f>
        <v>0</v>
      </c>
      <c r="Z369" s="185">
        <f ca="1">_xll.DBRW(Server&amp;Cube1,$F$17,$F$18,$F$19,$F$16,$C$14,$F$15,$F$14,$F$20,Z$2,$N$1,$C369)</f>
        <v>0</v>
      </c>
      <c r="AA369" s="53"/>
      <c r="AB369" s="53"/>
      <c r="AC369" s="53"/>
      <c r="AD369" s="53"/>
      <c r="AE369" s="53"/>
      <c r="AF369" s="53"/>
      <c r="AG369" s="53"/>
      <c r="AH369" s="53"/>
      <c r="AI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</row>
    <row r="370" spans="1:47" s="9" customFormat="1" ht="24" customHeight="1" x14ac:dyDescent="0.35">
      <c r="A370" s="157">
        <f ca="1">IF($AN$35="YES",1,IF(_xll.ELCOMPN(Server&amp;$C$24,C370)&lt;&gt;0,1,IF(OR(B370=$AT$35,B370="ALL"),1,0)))</f>
        <v>1</v>
      </c>
      <c r="B370" s="139" t="str">
        <f t="shared" si="7"/>
        <v>BD</v>
      </c>
      <c r="C370" s="111" t="s">
        <v>427</v>
      </c>
      <c r="E370" s="219" t="str">
        <f ca="1">_xll.DBRA(Server&amp;$C$24,$C370,$F$21)</f>
        <v>CET - CVAE (DC)</v>
      </c>
      <c r="F370" s="219"/>
      <c r="G370" s="219"/>
      <c r="H370" s="40"/>
      <c r="I370" s="192">
        <f ca="1">_xll.DBRW(Server&amp;Cube1,$F$17,$F$18,$F$19,$F$16,$C$14,$F$15,$F$14,$F$20,I$2,I$1,$C370)</f>
        <v>0</v>
      </c>
      <c r="J370" s="192">
        <f ca="1">_xll.DBRW(Server&amp;Cube1,$F$17,$F$18,$F$19,$F$16,$C$14,$F$15,$F$14,$F$20,J$2,J$1,$C370)</f>
        <v>0</v>
      </c>
      <c r="K370" s="183"/>
      <c r="L370" s="185">
        <f ca="1">_xll.DBRW(Server&amp;Cube1,$F$17,$F$18,$F$19,$F$16,$C$14,$F$15,$F$14,$F$20,L$2,L$1,$C370)</f>
        <v>0</v>
      </c>
      <c r="M370" s="184"/>
      <c r="N370" s="185">
        <f ca="1">_xll.DBRW(Server&amp;Cube1,$F$17,$F$18,$F$19,$F$16,$C$14,$F$15,$F$14,$F$20,N$2,$N$1,$C370)</f>
        <v>0</v>
      </c>
      <c r="O370" s="185">
        <f ca="1">_xll.DBRW(Server&amp;Cube1,$F$17,$F$18,$F$19,$F$16,$C$14,$F$15,$F$14,$F$20,O$2,$N$1,$C370)</f>
        <v>0</v>
      </c>
      <c r="P370" s="185">
        <f ca="1">_xll.DBRW(Server&amp;Cube1,$F$17,$F$18,$F$19,$F$16,$C$14,$F$15,$F$14,$F$20,P$2,$N$1,$C370)</f>
        <v>0</v>
      </c>
      <c r="Q370" s="185">
        <f ca="1">_xll.DBRW(Server&amp;Cube1,$F$17,$F$18,$F$19,$F$16,$C$14,$F$15,$F$14,$F$20,Q$2,$N$1,$C370)</f>
        <v>0</v>
      </c>
      <c r="R370" s="185">
        <f ca="1">_xll.DBRW(Server&amp;Cube1,$F$17,$F$18,$F$19,$F$16,$C$14,$F$15,$F$14,$F$20,R$2,$N$1,$C370)</f>
        <v>0</v>
      </c>
      <c r="S370" s="185">
        <f ca="1">_xll.DBRW(Server&amp;Cube1,$F$17,$F$18,$F$19,$F$16,$C$14,$F$15,$F$14,$F$20,S$2,$N$1,$C370)</f>
        <v>0</v>
      </c>
      <c r="T370" s="185">
        <f ca="1">_xll.DBRW(Server&amp;Cube1,$F$17,$F$18,$F$19,$F$16,$C$14,$F$15,$F$14,$F$20,T$2,$N$1,$C370)</f>
        <v>0</v>
      </c>
      <c r="U370" s="185">
        <f ca="1">_xll.DBRW(Server&amp;Cube1,$F$17,$F$18,$F$19,$F$16,$C$14,$F$15,$F$14,$F$20,U$2,$N$1,$C370)</f>
        <v>0</v>
      </c>
      <c r="V370" s="185">
        <f ca="1">_xll.DBRW(Server&amp;Cube1,$F$17,$F$18,$F$19,$F$16,$C$14,$F$15,$F$14,$F$20,V$2,$N$1,$C370)</f>
        <v>0</v>
      </c>
      <c r="W370" s="185">
        <f ca="1">_xll.DBRW(Server&amp;Cube1,$F$17,$F$18,$F$19,$F$16,$C$14,$F$15,$F$14,$F$20,W$2,$N$1,$C370)</f>
        <v>0</v>
      </c>
      <c r="X370" s="185">
        <f ca="1">_xll.DBRW(Server&amp;Cube1,$F$17,$F$18,$F$19,$F$16,$C$14,$F$15,$F$14,$F$20,X$2,$N$1,$C370)</f>
        <v>0</v>
      </c>
      <c r="Y370" s="185">
        <f ca="1">_xll.DBRW(Server&amp;Cube1,$F$17,$F$18,$F$19,$F$16,$C$14,$F$15,$F$14,$F$20,Y$2,$N$1,$C370)</f>
        <v>0</v>
      </c>
      <c r="Z370" s="185">
        <f ca="1">_xll.DBRW(Server&amp;Cube1,$F$17,$F$18,$F$19,$F$16,$C$14,$F$15,$F$14,$F$20,Z$2,$N$1,$C370)</f>
        <v>0</v>
      </c>
      <c r="AA370" s="53"/>
      <c r="AB370" s="53"/>
      <c r="AC370" s="53"/>
      <c r="AD370" s="53"/>
      <c r="AE370" s="53"/>
      <c r="AF370" s="53"/>
      <c r="AG370" s="53"/>
      <c r="AH370" s="53"/>
      <c r="AI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</row>
    <row r="371" spans="1:47" s="9" customFormat="1" ht="24" customHeight="1" x14ac:dyDescent="0.35">
      <c r="A371" s="157">
        <f ca="1">IF($AN$35="YES",1,IF(_xll.ELCOMPN(Server&amp;$C$24,C371)&lt;&gt;0,1,IF(OR(B371=$AT$35,B371="ALL"),1,0)))</f>
        <v>1</v>
      </c>
      <c r="B371" s="139" t="str">
        <f t="shared" si="7"/>
        <v>FI</v>
      </c>
      <c r="C371" s="111" t="s">
        <v>428</v>
      </c>
      <c r="E371" s="219" t="str">
        <f ca="1">_xll.DBRA(Server&amp;$C$24,$C371,$F$21)</f>
        <v>CET - CVAE (DF)</v>
      </c>
      <c r="F371" s="219"/>
      <c r="G371" s="219"/>
      <c r="H371" s="40"/>
      <c r="I371" s="192">
        <f ca="1">_xll.DBRW(Server&amp;Cube1,$F$17,$F$18,$F$19,$F$16,$C$14,$F$15,$F$14,$F$20,I$2,I$1,$C371)</f>
        <v>0</v>
      </c>
      <c r="J371" s="192">
        <f ca="1">_xll.DBRW(Server&amp;Cube1,$F$17,$F$18,$F$19,$F$16,$C$14,$F$15,$F$14,$F$20,J$2,J$1,$C371)</f>
        <v>0</v>
      </c>
      <c r="K371" s="183"/>
      <c r="L371" s="185">
        <f ca="1">_xll.DBRW(Server&amp;Cube1,$F$17,$F$18,$F$19,$F$16,$C$14,$F$15,$F$14,$F$20,L$2,L$1,$C371)</f>
        <v>0</v>
      </c>
      <c r="M371" s="184"/>
      <c r="N371" s="185">
        <f ca="1">_xll.DBRW(Server&amp;Cube1,$F$17,$F$18,$F$19,$F$16,$C$14,$F$15,$F$14,$F$20,N$2,$N$1,$C371)</f>
        <v>0</v>
      </c>
      <c r="O371" s="185">
        <f ca="1">_xll.DBRW(Server&amp;Cube1,$F$17,$F$18,$F$19,$F$16,$C$14,$F$15,$F$14,$F$20,O$2,$N$1,$C371)</f>
        <v>0</v>
      </c>
      <c r="P371" s="185">
        <f ca="1">_xll.DBRW(Server&amp;Cube1,$F$17,$F$18,$F$19,$F$16,$C$14,$F$15,$F$14,$F$20,P$2,$N$1,$C371)</f>
        <v>0</v>
      </c>
      <c r="Q371" s="185">
        <f ca="1">_xll.DBRW(Server&amp;Cube1,$F$17,$F$18,$F$19,$F$16,$C$14,$F$15,$F$14,$F$20,Q$2,$N$1,$C371)</f>
        <v>0</v>
      </c>
      <c r="R371" s="185">
        <f ca="1">_xll.DBRW(Server&amp;Cube1,$F$17,$F$18,$F$19,$F$16,$C$14,$F$15,$F$14,$F$20,R$2,$N$1,$C371)</f>
        <v>0</v>
      </c>
      <c r="S371" s="185">
        <f ca="1">_xll.DBRW(Server&amp;Cube1,$F$17,$F$18,$F$19,$F$16,$C$14,$F$15,$F$14,$F$20,S$2,$N$1,$C371)</f>
        <v>0</v>
      </c>
      <c r="T371" s="185">
        <f ca="1">_xll.DBRW(Server&amp;Cube1,$F$17,$F$18,$F$19,$F$16,$C$14,$F$15,$F$14,$F$20,T$2,$N$1,$C371)</f>
        <v>0</v>
      </c>
      <c r="U371" s="185">
        <f ca="1">_xll.DBRW(Server&amp;Cube1,$F$17,$F$18,$F$19,$F$16,$C$14,$F$15,$F$14,$F$20,U$2,$N$1,$C371)</f>
        <v>0</v>
      </c>
      <c r="V371" s="185">
        <f ca="1">_xll.DBRW(Server&amp;Cube1,$F$17,$F$18,$F$19,$F$16,$C$14,$F$15,$F$14,$F$20,V$2,$N$1,$C371)</f>
        <v>0</v>
      </c>
      <c r="W371" s="185">
        <f ca="1">_xll.DBRW(Server&amp;Cube1,$F$17,$F$18,$F$19,$F$16,$C$14,$F$15,$F$14,$F$20,W$2,$N$1,$C371)</f>
        <v>0</v>
      </c>
      <c r="X371" s="185">
        <f ca="1">_xll.DBRW(Server&amp;Cube1,$F$17,$F$18,$F$19,$F$16,$C$14,$F$15,$F$14,$F$20,X$2,$N$1,$C371)</f>
        <v>0</v>
      </c>
      <c r="Y371" s="185">
        <f ca="1">_xll.DBRW(Server&amp;Cube1,$F$17,$F$18,$F$19,$F$16,$C$14,$F$15,$F$14,$F$20,Y$2,$N$1,$C371)</f>
        <v>0</v>
      </c>
      <c r="Z371" s="185">
        <f ca="1">_xll.DBRW(Server&amp;Cube1,$F$17,$F$18,$F$19,$F$16,$C$14,$F$15,$F$14,$F$20,Z$2,$N$1,$C371)</f>
        <v>0</v>
      </c>
      <c r="AA371" s="53"/>
      <c r="AB371" s="53"/>
      <c r="AC371" s="53"/>
      <c r="AD371" s="53"/>
      <c r="AE371" s="53"/>
      <c r="AF371" s="53"/>
      <c r="AG371" s="53"/>
      <c r="AH371" s="53"/>
      <c r="AI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</row>
    <row r="372" spans="1:47" s="9" customFormat="1" ht="24" customHeight="1" x14ac:dyDescent="0.35">
      <c r="A372" s="157">
        <f ca="1">IF($AN$35="YES",1,IF(_xll.ELCOMPN(Server&amp;$C$24,C372)&lt;&gt;0,1,IF(OR(B372=$AT$35,B372="ALL"),1,0)))</f>
        <v>1</v>
      </c>
      <c r="B372" s="139" t="str">
        <f t="shared" si="7"/>
        <v>IT</v>
      </c>
      <c r="C372" s="111" t="s">
        <v>429</v>
      </c>
      <c r="E372" s="219" t="str">
        <f ca="1">_xll.DBRA(Server&amp;$C$24,$C372,$F$21)</f>
        <v>CET - CVAE (IT)</v>
      </c>
      <c r="F372" s="219"/>
      <c r="G372" s="219"/>
      <c r="H372" s="40"/>
      <c r="I372" s="192">
        <f ca="1">_xll.DBRW(Server&amp;Cube1,$F$17,$F$18,$F$19,$F$16,$C$14,$F$15,$F$14,$F$20,I$2,I$1,$C372)</f>
        <v>0</v>
      </c>
      <c r="J372" s="192">
        <f ca="1">_xll.DBRW(Server&amp;Cube1,$F$17,$F$18,$F$19,$F$16,$C$14,$F$15,$F$14,$F$20,J$2,J$1,$C372)</f>
        <v>0</v>
      </c>
      <c r="K372" s="183"/>
      <c r="L372" s="185">
        <f ca="1">_xll.DBRW(Server&amp;Cube1,$F$17,$F$18,$F$19,$F$16,$C$14,$F$15,$F$14,$F$20,L$2,L$1,$C372)</f>
        <v>0</v>
      </c>
      <c r="M372" s="184"/>
      <c r="N372" s="185">
        <f ca="1">_xll.DBRW(Server&amp;Cube1,$F$17,$F$18,$F$19,$F$16,$C$14,$F$15,$F$14,$F$20,N$2,$N$1,$C372)</f>
        <v>0</v>
      </c>
      <c r="O372" s="185">
        <f ca="1">_xll.DBRW(Server&amp;Cube1,$F$17,$F$18,$F$19,$F$16,$C$14,$F$15,$F$14,$F$20,O$2,$N$1,$C372)</f>
        <v>0</v>
      </c>
      <c r="P372" s="185">
        <f ca="1">_xll.DBRW(Server&amp;Cube1,$F$17,$F$18,$F$19,$F$16,$C$14,$F$15,$F$14,$F$20,P$2,$N$1,$C372)</f>
        <v>0</v>
      </c>
      <c r="Q372" s="185">
        <f ca="1">_xll.DBRW(Server&amp;Cube1,$F$17,$F$18,$F$19,$F$16,$C$14,$F$15,$F$14,$F$20,Q$2,$N$1,$C372)</f>
        <v>0</v>
      </c>
      <c r="R372" s="185">
        <f ca="1">_xll.DBRW(Server&amp;Cube1,$F$17,$F$18,$F$19,$F$16,$C$14,$F$15,$F$14,$F$20,R$2,$N$1,$C372)</f>
        <v>0</v>
      </c>
      <c r="S372" s="185">
        <f ca="1">_xll.DBRW(Server&amp;Cube1,$F$17,$F$18,$F$19,$F$16,$C$14,$F$15,$F$14,$F$20,S$2,$N$1,$C372)</f>
        <v>0</v>
      </c>
      <c r="T372" s="185">
        <f ca="1">_xll.DBRW(Server&amp;Cube1,$F$17,$F$18,$F$19,$F$16,$C$14,$F$15,$F$14,$F$20,T$2,$N$1,$C372)</f>
        <v>0</v>
      </c>
      <c r="U372" s="185">
        <f ca="1">_xll.DBRW(Server&amp;Cube1,$F$17,$F$18,$F$19,$F$16,$C$14,$F$15,$F$14,$F$20,U$2,$N$1,$C372)</f>
        <v>0</v>
      </c>
      <c r="V372" s="185">
        <f ca="1">_xll.DBRW(Server&amp;Cube1,$F$17,$F$18,$F$19,$F$16,$C$14,$F$15,$F$14,$F$20,V$2,$N$1,$C372)</f>
        <v>0</v>
      </c>
      <c r="W372" s="185">
        <f ca="1">_xll.DBRW(Server&amp;Cube1,$F$17,$F$18,$F$19,$F$16,$C$14,$F$15,$F$14,$F$20,W$2,$N$1,$C372)</f>
        <v>0</v>
      </c>
      <c r="X372" s="185">
        <f ca="1">_xll.DBRW(Server&amp;Cube1,$F$17,$F$18,$F$19,$F$16,$C$14,$F$15,$F$14,$F$20,X$2,$N$1,$C372)</f>
        <v>0</v>
      </c>
      <c r="Y372" s="185">
        <f ca="1">_xll.DBRW(Server&amp;Cube1,$F$17,$F$18,$F$19,$F$16,$C$14,$F$15,$F$14,$F$20,Y$2,$N$1,$C372)</f>
        <v>0</v>
      </c>
      <c r="Z372" s="185">
        <f ca="1">_xll.DBRW(Server&amp;Cube1,$F$17,$F$18,$F$19,$F$16,$C$14,$F$15,$F$14,$F$20,Z$2,$N$1,$C372)</f>
        <v>0</v>
      </c>
      <c r="AA372" s="53"/>
      <c r="AB372" s="53"/>
      <c r="AC372" s="53"/>
      <c r="AD372" s="53"/>
      <c r="AE372" s="53"/>
      <c r="AF372" s="53"/>
      <c r="AG372" s="53"/>
      <c r="AH372" s="53"/>
      <c r="AI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</row>
    <row r="373" spans="1:47" s="9" customFormat="1" ht="24" customHeight="1" x14ac:dyDescent="0.35">
      <c r="A373" s="157">
        <f ca="1">IF($AN$35="YES",1,IF(_xll.ELCOMPN(Server&amp;$C$24,C373)&lt;&gt;0,1,IF(OR(B373=$AT$35,B373="ALL"),1,0)))</f>
        <v>1</v>
      </c>
      <c r="B373" s="139" t="str">
        <f t="shared" si="7"/>
        <v>HR</v>
      </c>
      <c r="C373" s="111" t="s">
        <v>430</v>
      </c>
      <c r="E373" s="219" t="str">
        <f ca="1">_xll.DBRA(Server&amp;$C$24,$C373,$F$21)</f>
        <v>CET - CVAE (RH)</v>
      </c>
      <c r="F373" s="219"/>
      <c r="G373" s="219"/>
      <c r="H373" s="40"/>
      <c r="I373" s="192">
        <f ca="1">_xll.DBRW(Server&amp;Cube1,$F$17,$F$18,$F$19,$F$16,$C$14,$F$15,$F$14,$F$20,I$2,I$1,$C373)</f>
        <v>0</v>
      </c>
      <c r="J373" s="192">
        <f ca="1">_xll.DBRW(Server&amp;Cube1,$F$17,$F$18,$F$19,$F$16,$C$14,$F$15,$F$14,$F$20,J$2,J$1,$C373)</f>
        <v>0</v>
      </c>
      <c r="K373" s="183"/>
      <c r="L373" s="185">
        <f ca="1">_xll.DBRW(Server&amp;Cube1,$F$17,$F$18,$F$19,$F$16,$C$14,$F$15,$F$14,$F$20,L$2,L$1,$C373)</f>
        <v>0</v>
      </c>
      <c r="M373" s="184"/>
      <c r="N373" s="185">
        <f ca="1">_xll.DBRW(Server&amp;Cube1,$F$17,$F$18,$F$19,$F$16,$C$14,$F$15,$F$14,$F$20,N$2,$N$1,$C373)</f>
        <v>0</v>
      </c>
      <c r="O373" s="185">
        <f ca="1">_xll.DBRW(Server&amp;Cube1,$F$17,$F$18,$F$19,$F$16,$C$14,$F$15,$F$14,$F$20,O$2,$N$1,$C373)</f>
        <v>0</v>
      </c>
      <c r="P373" s="185">
        <f ca="1">_xll.DBRW(Server&amp;Cube1,$F$17,$F$18,$F$19,$F$16,$C$14,$F$15,$F$14,$F$20,P$2,$N$1,$C373)</f>
        <v>0</v>
      </c>
      <c r="Q373" s="185">
        <f ca="1">_xll.DBRW(Server&amp;Cube1,$F$17,$F$18,$F$19,$F$16,$C$14,$F$15,$F$14,$F$20,Q$2,$N$1,$C373)</f>
        <v>0</v>
      </c>
      <c r="R373" s="185">
        <f ca="1">_xll.DBRW(Server&amp;Cube1,$F$17,$F$18,$F$19,$F$16,$C$14,$F$15,$F$14,$F$20,R$2,$N$1,$C373)</f>
        <v>0</v>
      </c>
      <c r="S373" s="185">
        <f ca="1">_xll.DBRW(Server&amp;Cube1,$F$17,$F$18,$F$19,$F$16,$C$14,$F$15,$F$14,$F$20,S$2,$N$1,$C373)</f>
        <v>0</v>
      </c>
      <c r="T373" s="185">
        <f ca="1">_xll.DBRW(Server&amp;Cube1,$F$17,$F$18,$F$19,$F$16,$C$14,$F$15,$F$14,$F$20,T$2,$N$1,$C373)</f>
        <v>0</v>
      </c>
      <c r="U373" s="185">
        <f ca="1">_xll.DBRW(Server&amp;Cube1,$F$17,$F$18,$F$19,$F$16,$C$14,$F$15,$F$14,$F$20,U$2,$N$1,$C373)</f>
        <v>0</v>
      </c>
      <c r="V373" s="185">
        <f ca="1">_xll.DBRW(Server&amp;Cube1,$F$17,$F$18,$F$19,$F$16,$C$14,$F$15,$F$14,$F$20,V$2,$N$1,$C373)</f>
        <v>0</v>
      </c>
      <c r="W373" s="185">
        <f ca="1">_xll.DBRW(Server&amp;Cube1,$F$17,$F$18,$F$19,$F$16,$C$14,$F$15,$F$14,$F$20,W$2,$N$1,$C373)</f>
        <v>0</v>
      </c>
      <c r="X373" s="185">
        <f ca="1">_xll.DBRW(Server&amp;Cube1,$F$17,$F$18,$F$19,$F$16,$C$14,$F$15,$F$14,$F$20,X$2,$N$1,$C373)</f>
        <v>0</v>
      </c>
      <c r="Y373" s="185">
        <f ca="1">_xll.DBRW(Server&amp;Cube1,$F$17,$F$18,$F$19,$F$16,$C$14,$F$15,$F$14,$F$20,Y$2,$N$1,$C373)</f>
        <v>0</v>
      </c>
      <c r="Z373" s="185">
        <f ca="1">_xll.DBRW(Server&amp;Cube1,$F$17,$F$18,$F$19,$F$16,$C$14,$F$15,$F$14,$F$20,Z$2,$N$1,$C373)</f>
        <v>0</v>
      </c>
      <c r="AA373" s="53"/>
      <c r="AB373" s="53"/>
      <c r="AC373" s="53"/>
      <c r="AD373" s="53"/>
      <c r="AE373" s="53"/>
      <c r="AF373" s="53"/>
      <c r="AG373" s="53"/>
      <c r="AH373" s="53"/>
      <c r="AI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</row>
    <row r="374" spans="1:47" s="9" customFormat="1" ht="24" customHeight="1" x14ac:dyDescent="0.35">
      <c r="A374" s="157">
        <f ca="1">IF($AN$35="YES",1,IF(_xll.ELCOMPN(Server&amp;$C$24,C374)&lt;&gt;0,1,IF(OR(B374=$AT$35,B374="ALL"),1,0)))</f>
        <v>1</v>
      </c>
      <c r="B374" s="139" t="str">
        <f t="shared" si="7"/>
        <v>GM</v>
      </c>
      <c r="C374" s="111" t="s">
        <v>431</v>
      </c>
      <c r="E374" s="219" t="str">
        <f ca="1">_xll.DBRA(Server&amp;$C$24,$C374,$F$21)</f>
        <v>CET - CVAE (DG)</v>
      </c>
      <c r="F374" s="219"/>
      <c r="G374" s="219"/>
      <c r="H374" s="40"/>
      <c r="I374" s="192">
        <f ca="1">_xll.DBRW(Server&amp;Cube1,$F$17,$F$18,$F$19,$F$16,$C$14,$F$15,$F$14,$F$20,I$2,I$1,$C374)</f>
        <v>0</v>
      </c>
      <c r="J374" s="192">
        <f ca="1">_xll.DBRW(Server&amp;Cube1,$F$17,$F$18,$F$19,$F$16,$C$14,$F$15,$F$14,$F$20,J$2,J$1,$C374)</f>
        <v>0</v>
      </c>
      <c r="K374" s="183"/>
      <c r="L374" s="185">
        <f ca="1">_xll.DBRW(Server&amp;Cube1,$F$17,$F$18,$F$19,$F$16,$C$14,$F$15,$F$14,$F$20,L$2,L$1,$C374)</f>
        <v>0</v>
      </c>
      <c r="M374" s="184"/>
      <c r="N374" s="185">
        <f ca="1">_xll.DBRW(Server&amp;Cube1,$F$17,$F$18,$F$19,$F$16,$C$14,$F$15,$F$14,$F$20,N$2,$N$1,$C374)</f>
        <v>0</v>
      </c>
      <c r="O374" s="185">
        <f ca="1">_xll.DBRW(Server&amp;Cube1,$F$17,$F$18,$F$19,$F$16,$C$14,$F$15,$F$14,$F$20,O$2,$N$1,$C374)</f>
        <v>0</v>
      </c>
      <c r="P374" s="185">
        <f ca="1">_xll.DBRW(Server&amp;Cube1,$F$17,$F$18,$F$19,$F$16,$C$14,$F$15,$F$14,$F$20,P$2,$N$1,$C374)</f>
        <v>0</v>
      </c>
      <c r="Q374" s="185">
        <f ca="1">_xll.DBRW(Server&amp;Cube1,$F$17,$F$18,$F$19,$F$16,$C$14,$F$15,$F$14,$F$20,Q$2,$N$1,$C374)</f>
        <v>0</v>
      </c>
      <c r="R374" s="185">
        <f ca="1">_xll.DBRW(Server&amp;Cube1,$F$17,$F$18,$F$19,$F$16,$C$14,$F$15,$F$14,$F$20,R$2,$N$1,$C374)</f>
        <v>0</v>
      </c>
      <c r="S374" s="185">
        <f ca="1">_xll.DBRW(Server&amp;Cube1,$F$17,$F$18,$F$19,$F$16,$C$14,$F$15,$F$14,$F$20,S$2,$N$1,$C374)</f>
        <v>0</v>
      </c>
      <c r="T374" s="185">
        <f ca="1">_xll.DBRW(Server&amp;Cube1,$F$17,$F$18,$F$19,$F$16,$C$14,$F$15,$F$14,$F$20,T$2,$N$1,$C374)</f>
        <v>0</v>
      </c>
      <c r="U374" s="185">
        <f ca="1">_xll.DBRW(Server&amp;Cube1,$F$17,$F$18,$F$19,$F$16,$C$14,$F$15,$F$14,$F$20,U$2,$N$1,$C374)</f>
        <v>0</v>
      </c>
      <c r="V374" s="185">
        <f ca="1">_xll.DBRW(Server&amp;Cube1,$F$17,$F$18,$F$19,$F$16,$C$14,$F$15,$F$14,$F$20,V$2,$N$1,$C374)</f>
        <v>0</v>
      </c>
      <c r="W374" s="185">
        <f ca="1">_xll.DBRW(Server&amp;Cube1,$F$17,$F$18,$F$19,$F$16,$C$14,$F$15,$F$14,$F$20,W$2,$N$1,$C374)</f>
        <v>0</v>
      </c>
      <c r="X374" s="185">
        <f ca="1">_xll.DBRW(Server&amp;Cube1,$F$17,$F$18,$F$19,$F$16,$C$14,$F$15,$F$14,$F$20,X$2,$N$1,$C374)</f>
        <v>0</v>
      </c>
      <c r="Y374" s="185">
        <f ca="1">_xll.DBRW(Server&amp;Cube1,$F$17,$F$18,$F$19,$F$16,$C$14,$F$15,$F$14,$F$20,Y$2,$N$1,$C374)</f>
        <v>0</v>
      </c>
      <c r="Z374" s="185">
        <f ca="1">_xll.DBRW(Server&amp;Cube1,$F$17,$F$18,$F$19,$F$16,$C$14,$F$15,$F$14,$F$20,Z$2,$N$1,$C374)</f>
        <v>0</v>
      </c>
      <c r="AA374" s="53"/>
      <c r="AB374" s="53"/>
      <c r="AC374" s="53"/>
      <c r="AD374" s="53"/>
      <c r="AE374" s="53"/>
      <c r="AF374" s="53"/>
      <c r="AG374" s="53"/>
      <c r="AH374" s="53"/>
      <c r="AI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</row>
    <row r="375" spans="1:47" s="9" customFormat="1" ht="24" customHeight="1" x14ac:dyDescent="0.35">
      <c r="A375" s="157">
        <f ca="1">IF($AN$35="YES",1,IF(_xll.ELCOMPN(Server&amp;$C$24,C375)&lt;&gt;0,1,IF(OR(B375=$AT$35,B375="ALL"),1,0)))</f>
        <v>1</v>
      </c>
      <c r="B375" s="139" t="str">
        <f t="shared" si="7"/>
        <v>IA</v>
      </c>
      <c r="C375" s="111" t="s">
        <v>432</v>
      </c>
      <c r="E375" s="219" t="str">
        <f ca="1">_xll.DBRA(Server&amp;$C$24,$C375,$F$21)</f>
        <v>CET - CVAE (AI)</v>
      </c>
      <c r="F375" s="219"/>
      <c r="G375" s="219"/>
      <c r="H375" s="40"/>
      <c r="I375" s="192">
        <f ca="1">_xll.DBRW(Server&amp;Cube1,$F$17,$F$18,$F$19,$F$16,$C$14,$F$15,$F$14,$F$20,I$2,I$1,$C375)</f>
        <v>0</v>
      </c>
      <c r="J375" s="192">
        <f ca="1">_xll.DBRW(Server&amp;Cube1,$F$17,$F$18,$F$19,$F$16,$C$14,$F$15,$F$14,$F$20,J$2,J$1,$C375)</f>
        <v>0</v>
      </c>
      <c r="K375" s="183"/>
      <c r="L375" s="185">
        <f ca="1">_xll.DBRW(Server&amp;Cube1,$F$17,$F$18,$F$19,$F$16,$C$14,$F$15,$F$14,$F$20,L$2,L$1,$C375)</f>
        <v>0</v>
      </c>
      <c r="M375" s="184"/>
      <c r="N375" s="185">
        <f ca="1">_xll.DBRW(Server&amp;Cube1,$F$17,$F$18,$F$19,$F$16,$C$14,$F$15,$F$14,$F$20,N$2,$N$1,$C375)</f>
        <v>0</v>
      </c>
      <c r="O375" s="185">
        <f ca="1">_xll.DBRW(Server&amp;Cube1,$F$17,$F$18,$F$19,$F$16,$C$14,$F$15,$F$14,$F$20,O$2,$N$1,$C375)</f>
        <v>0</v>
      </c>
      <c r="P375" s="185">
        <f ca="1">_xll.DBRW(Server&amp;Cube1,$F$17,$F$18,$F$19,$F$16,$C$14,$F$15,$F$14,$F$20,P$2,$N$1,$C375)</f>
        <v>0</v>
      </c>
      <c r="Q375" s="185">
        <f ca="1">_xll.DBRW(Server&amp;Cube1,$F$17,$F$18,$F$19,$F$16,$C$14,$F$15,$F$14,$F$20,Q$2,$N$1,$C375)</f>
        <v>0</v>
      </c>
      <c r="R375" s="185">
        <f ca="1">_xll.DBRW(Server&amp;Cube1,$F$17,$F$18,$F$19,$F$16,$C$14,$F$15,$F$14,$F$20,R$2,$N$1,$C375)</f>
        <v>0</v>
      </c>
      <c r="S375" s="185">
        <f ca="1">_xll.DBRW(Server&amp;Cube1,$F$17,$F$18,$F$19,$F$16,$C$14,$F$15,$F$14,$F$20,S$2,$N$1,$C375)</f>
        <v>0</v>
      </c>
      <c r="T375" s="185">
        <f ca="1">_xll.DBRW(Server&amp;Cube1,$F$17,$F$18,$F$19,$F$16,$C$14,$F$15,$F$14,$F$20,T$2,$N$1,$C375)</f>
        <v>0</v>
      </c>
      <c r="U375" s="185">
        <f ca="1">_xll.DBRW(Server&amp;Cube1,$F$17,$F$18,$F$19,$F$16,$C$14,$F$15,$F$14,$F$20,U$2,$N$1,$C375)</f>
        <v>0</v>
      </c>
      <c r="V375" s="185">
        <f ca="1">_xll.DBRW(Server&amp;Cube1,$F$17,$F$18,$F$19,$F$16,$C$14,$F$15,$F$14,$F$20,V$2,$N$1,$C375)</f>
        <v>0</v>
      </c>
      <c r="W375" s="185">
        <f ca="1">_xll.DBRW(Server&amp;Cube1,$F$17,$F$18,$F$19,$F$16,$C$14,$F$15,$F$14,$F$20,W$2,$N$1,$C375)</f>
        <v>0</v>
      </c>
      <c r="X375" s="185">
        <f ca="1">_xll.DBRW(Server&amp;Cube1,$F$17,$F$18,$F$19,$F$16,$C$14,$F$15,$F$14,$F$20,X$2,$N$1,$C375)</f>
        <v>0</v>
      </c>
      <c r="Y375" s="185">
        <f ca="1">_xll.DBRW(Server&amp;Cube1,$F$17,$F$18,$F$19,$F$16,$C$14,$F$15,$F$14,$F$20,Y$2,$N$1,$C375)</f>
        <v>0</v>
      </c>
      <c r="Z375" s="185">
        <f ca="1">_xll.DBRW(Server&amp;Cube1,$F$17,$F$18,$F$19,$F$16,$C$14,$F$15,$F$14,$F$20,Z$2,$N$1,$C375)</f>
        <v>0</v>
      </c>
      <c r="AA375" s="53"/>
      <c r="AB375" s="53"/>
      <c r="AC375" s="53"/>
      <c r="AD375" s="53"/>
      <c r="AE375" s="53"/>
      <c r="AF375" s="53"/>
      <c r="AG375" s="53"/>
      <c r="AH375" s="53"/>
      <c r="AI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</row>
    <row r="376" spans="1:47" s="9" customFormat="1" ht="24" customHeight="1" x14ac:dyDescent="0.35">
      <c r="A376" s="157">
        <f ca="1">IF($AN$35="YES",1,IF(_xll.ELCOMPN(Server&amp;$C$24,C376)&lt;&gt;0,1,IF(OR(B376=$AT$35,B376="ALL"),1,0)))</f>
        <v>1</v>
      </c>
      <c r="B376" s="139" t="str">
        <f t="shared" si="7"/>
        <v>LE</v>
      </c>
      <c r="C376" s="111" t="s">
        <v>433</v>
      </c>
      <c r="E376" s="219" t="str">
        <f ca="1">_xll.DBRA(Server&amp;$C$24,$C376,$F$21)</f>
        <v>CET - CVAE (JU)</v>
      </c>
      <c r="F376" s="219"/>
      <c r="G376" s="219"/>
      <c r="H376" s="40"/>
      <c r="I376" s="192">
        <f ca="1">_xll.DBRW(Server&amp;Cube1,$F$17,$F$18,$F$19,$F$16,$C$14,$F$15,$F$14,$F$20,I$2,I$1,$C376)</f>
        <v>0</v>
      </c>
      <c r="J376" s="192">
        <f ca="1">_xll.DBRW(Server&amp;Cube1,$F$17,$F$18,$F$19,$F$16,$C$14,$F$15,$F$14,$F$20,J$2,J$1,$C376)</f>
        <v>0</v>
      </c>
      <c r="K376" s="183"/>
      <c r="L376" s="185">
        <f ca="1">_xll.DBRW(Server&amp;Cube1,$F$17,$F$18,$F$19,$F$16,$C$14,$F$15,$F$14,$F$20,L$2,L$1,$C376)</f>
        <v>0</v>
      </c>
      <c r="M376" s="184"/>
      <c r="N376" s="185">
        <f ca="1">_xll.DBRW(Server&amp;Cube1,$F$17,$F$18,$F$19,$F$16,$C$14,$F$15,$F$14,$F$20,N$2,$N$1,$C376)</f>
        <v>0</v>
      </c>
      <c r="O376" s="185">
        <f ca="1">_xll.DBRW(Server&amp;Cube1,$F$17,$F$18,$F$19,$F$16,$C$14,$F$15,$F$14,$F$20,O$2,$N$1,$C376)</f>
        <v>0</v>
      </c>
      <c r="P376" s="185">
        <f ca="1">_xll.DBRW(Server&amp;Cube1,$F$17,$F$18,$F$19,$F$16,$C$14,$F$15,$F$14,$F$20,P$2,$N$1,$C376)</f>
        <v>0</v>
      </c>
      <c r="Q376" s="185">
        <f ca="1">_xll.DBRW(Server&amp;Cube1,$F$17,$F$18,$F$19,$F$16,$C$14,$F$15,$F$14,$F$20,Q$2,$N$1,$C376)</f>
        <v>0</v>
      </c>
      <c r="R376" s="185">
        <f ca="1">_xll.DBRW(Server&amp;Cube1,$F$17,$F$18,$F$19,$F$16,$C$14,$F$15,$F$14,$F$20,R$2,$N$1,$C376)</f>
        <v>0</v>
      </c>
      <c r="S376" s="185">
        <f ca="1">_xll.DBRW(Server&amp;Cube1,$F$17,$F$18,$F$19,$F$16,$C$14,$F$15,$F$14,$F$20,S$2,$N$1,$C376)</f>
        <v>0</v>
      </c>
      <c r="T376" s="185">
        <f ca="1">_xll.DBRW(Server&amp;Cube1,$F$17,$F$18,$F$19,$F$16,$C$14,$F$15,$F$14,$F$20,T$2,$N$1,$C376)</f>
        <v>0</v>
      </c>
      <c r="U376" s="185">
        <f ca="1">_xll.DBRW(Server&amp;Cube1,$F$17,$F$18,$F$19,$F$16,$C$14,$F$15,$F$14,$F$20,U$2,$N$1,$C376)</f>
        <v>0</v>
      </c>
      <c r="V376" s="185">
        <f ca="1">_xll.DBRW(Server&amp;Cube1,$F$17,$F$18,$F$19,$F$16,$C$14,$F$15,$F$14,$F$20,V$2,$N$1,$C376)</f>
        <v>0</v>
      </c>
      <c r="W376" s="185">
        <f ca="1">_xll.DBRW(Server&amp;Cube1,$F$17,$F$18,$F$19,$F$16,$C$14,$F$15,$F$14,$F$20,W$2,$N$1,$C376)</f>
        <v>0</v>
      </c>
      <c r="X376" s="185">
        <f ca="1">_xll.DBRW(Server&amp;Cube1,$F$17,$F$18,$F$19,$F$16,$C$14,$F$15,$F$14,$F$20,X$2,$N$1,$C376)</f>
        <v>0</v>
      </c>
      <c r="Y376" s="185">
        <f ca="1">_xll.DBRW(Server&amp;Cube1,$F$17,$F$18,$F$19,$F$16,$C$14,$F$15,$F$14,$F$20,Y$2,$N$1,$C376)</f>
        <v>0</v>
      </c>
      <c r="Z376" s="185">
        <f ca="1">_xll.DBRW(Server&amp;Cube1,$F$17,$F$18,$F$19,$F$16,$C$14,$F$15,$F$14,$F$20,Z$2,$N$1,$C376)</f>
        <v>0</v>
      </c>
      <c r="AA376" s="53"/>
      <c r="AB376" s="53"/>
      <c r="AC376" s="53"/>
      <c r="AD376" s="53"/>
      <c r="AE376" s="53"/>
      <c r="AF376" s="53"/>
      <c r="AG376" s="53"/>
      <c r="AH376" s="53"/>
      <c r="AI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</row>
    <row r="377" spans="1:47" s="9" customFormat="1" ht="24" customHeight="1" x14ac:dyDescent="0.35">
      <c r="A377" s="157">
        <f ca="1">IF($AN$35="YES",1,IF(_xll.ELCOMPN(Server&amp;$C$24,C377)&lt;&gt;0,1,IF(OR(B377=$AT$35,B377="ALL"),1,0)))</f>
        <v>1</v>
      </c>
      <c r="B377" s="139" t="str">
        <f t="shared" si="7"/>
        <v>RM</v>
      </c>
      <c r="C377" s="111" t="s">
        <v>434</v>
      </c>
      <c r="E377" s="219" t="str">
        <f ca="1">_xll.DBRA(Server&amp;$C$24,$C377,$F$21)</f>
        <v>CET - CVAE (GR)</v>
      </c>
      <c r="F377" s="219"/>
      <c r="G377" s="219"/>
      <c r="H377" s="40"/>
      <c r="I377" s="192">
        <f ca="1">_xll.DBRW(Server&amp;Cube1,$F$17,$F$18,$F$19,$F$16,$C$14,$F$15,$F$14,$F$20,I$2,I$1,$C377)</f>
        <v>0</v>
      </c>
      <c r="J377" s="192">
        <f ca="1">_xll.DBRW(Server&amp;Cube1,$F$17,$F$18,$F$19,$F$16,$C$14,$F$15,$F$14,$F$20,J$2,J$1,$C377)</f>
        <v>0</v>
      </c>
      <c r="K377" s="183"/>
      <c r="L377" s="185">
        <f ca="1">_xll.DBRW(Server&amp;Cube1,$F$17,$F$18,$F$19,$F$16,$C$14,$F$15,$F$14,$F$20,L$2,L$1,$C377)</f>
        <v>0</v>
      </c>
      <c r="M377" s="184"/>
      <c r="N377" s="185">
        <f ca="1">_xll.DBRW(Server&amp;Cube1,$F$17,$F$18,$F$19,$F$16,$C$14,$F$15,$F$14,$F$20,N$2,$N$1,$C377)</f>
        <v>0</v>
      </c>
      <c r="O377" s="185">
        <f ca="1">_xll.DBRW(Server&amp;Cube1,$F$17,$F$18,$F$19,$F$16,$C$14,$F$15,$F$14,$F$20,O$2,$N$1,$C377)</f>
        <v>0</v>
      </c>
      <c r="P377" s="185">
        <f ca="1">_xll.DBRW(Server&amp;Cube1,$F$17,$F$18,$F$19,$F$16,$C$14,$F$15,$F$14,$F$20,P$2,$N$1,$C377)</f>
        <v>0</v>
      </c>
      <c r="Q377" s="185">
        <f ca="1">_xll.DBRW(Server&amp;Cube1,$F$17,$F$18,$F$19,$F$16,$C$14,$F$15,$F$14,$F$20,Q$2,$N$1,$C377)</f>
        <v>0</v>
      </c>
      <c r="R377" s="185">
        <f ca="1">_xll.DBRW(Server&amp;Cube1,$F$17,$F$18,$F$19,$F$16,$C$14,$F$15,$F$14,$F$20,R$2,$N$1,$C377)</f>
        <v>0</v>
      </c>
      <c r="S377" s="185">
        <f ca="1">_xll.DBRW(Server&amp;Cube1,$F$17,$F$18,$F$19,$F$16,$C$14,$F$15,$F$14,$F$20,S$2,$N$1,$C377)</f>
        <v>0</v>
      </c>
      <c r="T377" s="185">
        <f ca="1">_xll.DBRW(Server&amp;Cube1,$F$17,$F$18,$F$19,$F$16,$C$14,$F$15,$F$14,$F$20,T$2,$N$1,$C377)</f>
        <v>0</v>
      </c>
      <c r="U377" s="185">
        <f ca="1">_xll.DBRW(Server&amp;Cube1,$F$17,$F$18,$F$19,$F$16,$C$14,$F$15,$F$14,$F$20,U$2,$N$1,$C377)</f>
        <v>0</v>
      </c>
      <c r="V377" s="185">
        <f ca="1">_xll.DBRW(Server&amp;Cube1,$F$17,$F$18,$F$19,$F$16,$C$14,$F$15,$F$14,$F$20,V$2,$N$1,$C377)</f>
        <v>0</v>
      </c>
      <c r="W377" s="185">
        <f ca="1">_xll.DBRW(Server&amp;Cube1,$F$17,$F$18,$F$19,$F$16,$C$14,$F$15,$F$14,$F$20,W$2,$N$1,$C377)</f>
        <v>0</v>
      </c>
      <c r="X377" s="185">
        <f ca="1">_xll.DBRW(Server&amp;Cube1,$F$17,$F$18,$F$19,$F$16,$C$14,$F$15,$F$14,$F$20,X$2,$N$1,$C377)</f>
        <v>0</v>
      </c>
      <c r="Y377" s="185">
        <f ca="1">_xll.DBRW(Server&amp;Cube1,$F$17,$F$18,$F$19,$F$16,$C$14,$F$15,$F$14,$F$20,Y$2,$N$1,$C377)</f>
        <v>0</v>
      </c>
      <c r="Z377" s="185">
        <f ca="1">_xll.DBRW(Server&amp;Cube1,$F$17,$F$18,$F$19,$F$16,$C$14,$F$15,$F$14,$F$20,Z$2,$N$1,$C377)</f>
        <v>0</v>
      </c>
      <c r="AA377" s="53"/>
      <c r="AB377" s="53"/>
      <c r="AC377" s="53"/>
      <c r="AD377" s="53"/>
      <c r="AE377" s="53"/>
      <c r="AF377" s="53"/>
      <c r="AG377" s="53"/>
      <c r="AH377" s="53"/>
      <c r="AI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</row>
    <row r="378" spans="1:47" s="9" customFormat="1" ht="24" customHeight="1" x14ac:dyDescent="0.35">
      <c r="A378" s="157">
        <f ca="1">IF($AN$35="YES",1,IF(_xll.ELCOMPN(Server&amp;$C$24,C378)&lt;&gt;0,1,IF(OR(B378=$AT$35,B378="ALL"),1,0)))</f>
        <v>1</v>
      </c>
      <c r="B378" s="139" t="str">
        <f t="shared" si="7"/>
        <v>PU</v>
      </c>
      <c r="C378" s="111" t="s">
        <v>435</v>
      </c>
      <c r="E378" s="219" t="str">
        <f ca="1">_xll.DBRA(Server&amp;$C$24,$C378,$F$21)</f>
        <v>CET - CVAE (AC)</v>
      </c>
      <c r="F378" s="219"/>
      <c r="G378" s="219"/>
      <c r="H378" s="40"/>
      <c r="I378" s="192">
        <f ca="1">_xll.DBRW(Server&amp;Cube1,$F$17,$F$18,$F$19,$F$16,$C$14,$F$15,$F$14,$F$20,I$2,I$1,$C378)</f>
        <v>0</v>
      </c>
      <c r="J378" s="192">
        <f ca="1">_xll.DBRW(Server&amp;Cube1,$F$17,$F$18,$F$19,$F$16,$C$14,$F$15,$F$14,$F$20,J$2,J$1,$C378)</f>
        <v>0</v>
      </c>
      <c r="K378" s="183"/>
      <c r="L378" s="185">
        <f ca="1">_xll.DBRW(Server&amp;Cube1,$F$17,$F$18,$F$19,$F$16,$C$14,$F$15,$F$14,$F$20,L$2,L$1,$C378)</f>
        <v>0</v>
      </c>
      <c r="M378" s="184"/>
      <c r="N378" s="185">
        <f ca="1">_xll.DBRW(Server&amp;Cube1,$F$17,$F$18,$F$19,$F$16,$C$14,$F$15,$F$14,$F$20,N$2,$N$1,$C378)</f>
        <v>0</v>
      </c>
      <c r="O378" s="185">
        <f ca="1">_xll.DBRW(Server&amp;Cube1,$F$17,$F$18,$F$19,$F$16,$C$14,$F$15,$F$14,$F$20,O$2,$N$1,$C378)</f>
        <v>0</v>
      </c>
      <c r="P378" s="185">
        <f ca="1">_xll.DBRW(Server&amp;Cube1,$F$17,$F$18,$F$19,$F$16,$C$14,$F$15,$F$14,$F$20,P$2,$N$1,$C378)</f>
        <v>0</v>
      </c>
      <c r="Q378" s="185">
        <f ca="1">_xll.DBRW(Server&amp;Cube1,$F$17,$F$18,$F$19,$F$16,$C$14,$F$15,$F$14,$F$20,Q$2,$N$1,$C378)</f>
        <v>0</v>
      </c>
      <c r="R378" s="185">
        <f ca="1">_xll.DBRW(Server&amp;Cube1,$F$17,$F$18,$F$19,$F$16,$C$14,$F$15,$F$14,$F$20,R$2,$N$1,$C378)</f>
        <v>0</v>
      </c>
      <c r="S378" s="185">
        <f ca="1">_xll.DBRW(Server&amp;Cube1,$F$17,$F$18,$F$19,$F$16,$C$14,$F$15,$F$14,$F$20,S$2,$N$1,$C378)</f>
        <v>0</v>
      </c>
      <c r="T378" s="185">
        <f ca="1">_xll.DBRW(Server&amp;Cube1,$F$17,$F$18,$F$19,$F$16,$C$14,$F$15,$F$14,$F$20,T$2,$N$1,$C378)</f>
        <v>0</v>
      </c>
      <c r="U378" s="185">
        <f ca="1">_xll.DBRW(Server&amp;Cube1,$F$17,$F$18,$F$19,$F$16,$C$14,$F$15,$F$14,$F$20,U$2,$N$1,$C378)</f>
        <v>0</v>
      </c>
      <c r="V378" s="185">
        <f ca="1">_xll.DBRW(Server&amp;Cube1,$F$17,$F$18,$F$19,$F$16,$C$14,$F$15,$F$14,$F$20,V$2,$N$1,$C378)</f>
        <v>0</v>
      </c>
      <c r="W378" s="185">
        <f ca="1">_xll.DBRW(Server&amp;Cube1,$F$17,$F$18,$F$19,$F$16,$C$14,$F$15,$F$14,$F$20,W$2,$N$1,$C378)</f>
        <v>0</v>
      </c>
      <c r="X378" s="185">
        <f ca="1">_xll.DBRW(Server&amp;Cube1,$F$17,$F$18,$F$19,$F$16,$C$14,$F$15,$F$14,$F$20,X$2,$N$1,$C378)</f>
        <v>0</v>
      </c>
      <c r="Y378" s="185">
        <f ca="1">_xll.DBRW(Server&amp;Cube1,$F$17,$F$18,$F$19,$F$16,$C$14,$F$15,$F$14,$F$20,Y$2,$N$1,$C378)</f>
        <v>0</v>
      </c>
      <c r="Z378" s="185">
        <f ca="1">_xll.DBRW(Server&amp;Cube1,$F$17,$F$18,$F$19,$F$16,$C$14,$F$15,$F$14,$F$20,Z$2,$N$1,$C378)</f>
        <v>0</v>
      </c>
      <c r="AA378" s="53"/>
      <c r="AB378" s="53"/>
      <c r="AC378" s="53"/>
      <c r="AD378" s="53"/>
      <c r="AE378" s="53"/>
      <c r="AF378" s="53"/>
      <c r="AG378" s="53"/>
      <c r="AH378" s="53"/>
      <c r="AI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</row>
    <row r="379" spans="1:47" s="9" customFormat="1" ht="24" customHeight="1" x14ac:dyDescent="0.35">
      <c r="A379" s="157">
        <f ca="1">IF($AN$35="YES",1,IF(_xll.ELCOMPN(Server&amp;$C$24,C379)&lt;&gt;0,1,IF(OR(B379=$AT$35,B379="ALL"),1,0)))</f>
        <v>1</v>
      </c>
      <c r="B379" s="139" t="str">
        <f t="shared" si="7"/>
        <v>CO</v>
      </c>
      <c r="C379" s="111" t="s">
        <v>436</v>
      </c>
      <c r="E379" s="219" t="str">
        <f ca="1">_xll.DBRA(Server&amp;$C$24,$C379,$F$21)</f>
        <v>CET - CVAE (CO)</v>
      </c>
      <c r="F379" s="219"/>
      <c r="G379" s="219"/>
      <c r="H379" s="40"/>
      <c r="I379" s="192">
        <f ca="1">_xll.DBRW(Server&amp;Cube1,$F$17,$F$18,$F$19,$F$16,$C$14,$F$15,$F$14,$F$20,I$2,I$1,$C379)</f>
        <v>0</v>
      </c>
      <c r="J379" s="192">
        <f ca="1">_xll.DBRW(Server&amp;Cube1,$F$17,$F$18,$F$19,$F$16,$C$14,$F$15,$F$14,$F$20,J$2,J$1,$C379)</f>
        <v>0</v>
      </c>
      <c r="K379" s="183"/>
      <c r="L379" s="185">
        <f ca="1">_xll.DBRW(Server&amp;Cube1,$F$17,$F$18,$F$19,$F$16,$C$14,$F$15,$F$14,$F$20,L$2,L$1,$C379)</f>
        <v>0</v>
      </c>
      <c r="M379" s="184"/>
      <c r="N379" s="185">
        <f ca="1">_xll.DBRW(Server&amp;Cube1,$F$17,$F$18,$F$19,$F$16,$C$14,$F$15,$F$14,$F$20,N$2,$N$1,$C379)</f>
        <v>0</v>
      </c>
      <c r="O379" s="185">
        <f ca="1">_xll.DBRW(Server&amp;Cube1,$F$17,$F$18,$F$19,$F$16,$C$14,$F$15,$F$14,$F$20,O$2,$N$1,$C379)</f>
        <v>0</v>
      </c>
      <c r="P379" s="185">
        <f ca="1">_xll.DBRW(Server&amp;Cube1,$F$17,$F$18,$F$19,$F$16,$C$14,$F$15,$F$14,$F$20,P$2,$N$1,$C379)</f>
        <v>0</v>
      </c>
      <c r="Q379" s="185">
        <f ca="1">_xll.DBRW(Server&amp;Cube1,$F$17,$F$18,$F$19,$F$16,$C$14,$F$15,$F$14,$F$20,Q$2,$N$1,$C379)</f>
        <v>0</v>
      </c>
      <c r="R379" s="185">
        <f ca="1">_xll.DBRW(Server&amp;Cube1,$F$17,$F$18,$F$19,$F$16,$C$14,$F$15,$F$14,$F$20,R$2,$N$1,$C379)</f>
        <v>0</v>
      </c>
      <c r="S379" s="185">
        <f ca="1">_xll.DBRW(Server&amp;Cube1,$F$17,$F$18,$F$19,$F$16,$C$14,$F$15,$F$14,$F$20,S$2,$N$1,$C379)</f>
        <v>0</v>
      </c>
      <c r="T379" s="185">
        <f ca="1">_xll.DBRW(Server&amp;Cube1,$F$17,$F$18,$F$19,$F$16,$C$14,$F$15,$F$14,$F$20,T$2,$N$1,$C379)</f>
        <v>0</v>
      </c>
      <c r="U379" s="185">
        <f ca="1">_xll.DBRW(Server&amp;Cube1,$F$17,$F$18,$F$19,$F$16,$C$14,$F$15,$F$14,$F$20,U$2,$N$1,$C379)</f>
        <v>0</v>
      </c>
      <c r="V379" s="185">
        <f ca="1">_xll.DBRW(Server&amp;Cube1,$F$17,$F$18,$F$19,$F$16,$C$14,$F$15,$F$14,$F$20,V$2,$N$1,$C379)</f>
        <v>0</v>
      </c>
      <c r="W379" s="185">
        <f ca="1">_xll.DBRW(Server&amp;Cube1,$F$17,$F$18,$F$19,$F$16,$C$14,$F$15,$F$14,$F$20,W$2,$N$1,$C379)</f>
        <v>0</v>
      </c>
      <c r="X379" s="185">
        <f ca="1">_xll.DBRW(Server&amp;Cube1,$F$17,$F$18,$F$19,$F$16,$C$14,$F$15,$F$14,$F$20,X$2,$N$1,$C379)</f>
        <v>0</v>
      </c>
      <c r="Y379" s="185">
        <f ca="1">_xll.DBRW(Server&amp;Cube1,$F$17,$F$18,$F$19,$F$16,$C$14,$F$15,$F$14,$F$20,Y$2,$N$1,$C379)</f>
        <v>0</v>
      </c>
      <c r="Z379" s="185">
        <f ca="1">_xll.DBRW(Server&amp;Cube1,$F$17,$F$18,$F$19,$F$16,$C$14,$F$15,$F$14,$F$20,Z$2,$N$1,$C379)</f>
        <v>0</v>
      </c>
      <c r="AA379" s="53"/>
      <c r="AB379" s="53"/>
      <c r="AC379" s="53"/>
      <c r="AD379" s="53"/>
      <c r="AE379" s="53"/>
      <c r="AF379" s="53"/>
      <c r="AG379" s="53"/>
      <c r="AH379" s="53"/>
      <c r="AI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</row>
    <row r="380" spans="1:47" s="9" customFormat="1" ht="24" customHeight="1" x14ac:dyDescent="0.35">
      <c r="A380" s="157">
        <f ca="1">IF($AN$35="YES",1,IF(_xll.ELCOMPN(Server&amp;$C$24,C380)&lt;&gt;0,1,IF(OR(B380=$AT$35,B380="ALL"),1,0)))</f>
        <v>1</v>
      </c>
      <c r="B380" s="139" t="str">
        <f t="shared" si="7"/>
        <v>GS</v>
      </c>
      <c r="C380" s="111" t="s">
        <v>437</v>
      </c>
      <c r="E380" s="219" t="str">
        <f ca="1">_xll.DBRA(Server&amp;$C$24,$C380,$F$21)</f>
        <v>CET - CVAE (SG)</v>
      </c>
      <c r="F380" s="219"/>
      <c r="G380" s="219"/>
      <c r="H380" s="40"/>
      <c r="I380" s="192">
        <f ca="1">_xll.DBRW(Server&amp;Cube1,$F$17,$F$18,$F$19,$F$16,$C$14,$F$15,$F$14,$F$20,I$2,I$1,$C380)</f>
        <v>0</v>
      </c>
      <c r="J380" s="192">
        <f ca="1">_xll.DBRW(Server&amp;Cube1,$F$17,$F$18,$F$19,$F$16,$C$14,$F$15,$F$14,$F$20,J$2,J$1,$C380)</f>
        <v>0</v>
      </c>
      <c r="K380" s="183"/>
      <c r="L380" s="185">
        <f ca="1">_xll.DBRW(Server&amp;Cube1,$F$17,$F$18,$F$19,$F$16,$C$14,$F$15,$F$14,$F$20,L$2,L$1,$C380)</f>
        <v>0</v>
      </c>
      <c r="M380" s="184"/>
      <c r="N380" s="185">
        <f ca="1">_xll.DBRW(Server&amp;Cube1,$F$17,$F$18,$F$19,$F$16,$C$14,$F$15,$F$14,$F$20,N$2,$N$1,$C380)</f>
        <v>0</v>
      </c>
      <c r="O380" s="185">
        <f ca="1">_xll.DBRW(Server&amp;Cube1,$F$17,$F$18,$F$19,$F$16,$C$14,$F$15,$F$14,$F$20,O$2,$N$1,$C380)</f>
        <v>0</v>
      </c>
      <c r="P380" s="185">
        <f ca="1">_xll.DBRW(Server&amp;Cube1,$F$17,$F$18,$F$19,$F$16,$C$14,$F$15,$F$14,$F$20,P$2,$N$1,$C380)</f>
        <v>0</v>
      </c>
      <c r="Q380" s="185">
        <f ca="1">_xll.DBRW(Server&amp;Cube1,$F$17,$F$18,$F$19,$F$16,$C$14,$F$15,$F$14,$F$20,Q$2,$N$1,$C380)</f>
        <v>0</v>
      </c>
      <c r="R380" s="185">
        <f ca="1">_xll.DBRW(Server&amp;Cube1,$F$17,$F$18,$F$19,$F$16,$C$14,$F$15,$F$14,$F$20,R$2,$N$1,$C380)</f>
        <v>0</v>
      </c>
      <c r="S380" s="185">
        <f ca="1">_xll.DBRW(Server&amp;Cube1,$F$17,$F$18,$F$19,$F$16,$C$14,$F$15,$F$14,$F$20,S$2,$N$1,$C380)</f>
        <v>0</v>
      </c>
      <c r="T380" s="185">
        <f ca="1">_xll.DBRW(Server&amp;Cube1,$F$17,$F$18,$F$19,$F$16,$C$14,$F$15,$F$14,$F$20,T$2,$N$1,$C380)</f>
        <v>0</v>
      </c>
      <c r="U380" s="185">
        <f ca="1">_xll.DBRW(Server&amp;Cube1,$F$17,$F$18,$F$19,$F$16,$C$14,$F$15,$F$14,$F$20,U$2,$N$1,$C380)</f>
        <v>0</v>
      </c>
      <c r="V380" s="185">
        <f ca="1">_xll.DBRW(Server&amp;Cube1,$F$17,$F$18,$F$19,$F$16,$C$14,$F$15,$F$14,$F$20,V$2,$N$1,$C380)</f>
        <v>0</v>
      </c>
      <c r="W380" s="185">
        <f ca="1">_xll.DBRW(Server&amp;Cube1,$F$17,$F$18,$F$19,$F$16,$C$14,$F$15,$F$14,$F$20,W$2,$N$1,$C380)</f>
        <v>0</v>
      </c>
      <c r="X380" s="185">
        <f ca="1">_xll.DBRW(Server&amp;Cube1,$F$17,$F$18,$F$19,$F$16,$C$14,$F$15,$F$14,$F$20,X$2,$N$1,$C380)</f>
        <v>0</v>
      </c>
      <c r="Y380" s="185">
        <f ca="1">_xll.DBRW(Server&amp;Cube1,$F$17,$F$18,$F$19,$F$16,$C$14,$F$15,$F$14,$F$20,Y$2,$N$1,$C380)</f>
        <v>0</v>
      </c>
      <c r="Z380" s="185">
        <f ca="1">_xll.DBRW(Server&amp;Cube1,$F$17,$F$18,$F$19,$F$16,$C$14,$F$15,$F$14,$F$20,Z$2,$N$1,$C380)</f>
        <v>0</v>
      </c>
      <c r="AA380" s="53"/>
      <c r="AB380" s="53"/>
      <c r="AC380" s="53"/>
      <c r="AD380" s="53"/>
      <c r="AE380" s="53"/>
      <c r="AF380" s="53"/>
      <c r="AG380" s="53"/>
      <c r="AH380" s="53"/>
      <c r="AI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</row>
    <row r="381" spans="1:47" s="9" customFormat="1" ht="24" customHeight="1" x14ac:dyDescent="0.35">
      <c r="A381" s="157">
        <f ca="1">IF($AN$35="YES",1,IF(_xll.ELCOMPN(Server&amp;$C$24,C381)&lt;&gt;0,1,IF(OR(B381=$AT$35,B381="ALL"),1,0)))</f>
        <v>1</v>
      </c>
      <c r="B381" s="139" t="str">
        <f t="shared" si="7"/>
        <v>RD</v>
      </c>
      <c r="C381" s="111" t="s">
        <v>438</v>
      </c>
      <c r="E381" s="219" t="str">
        <f ca="1">_xll.DBRA(Server&amp;$C$24,$C381,$F$21)</f>
        <v>CET - CVAE (RD)</v>
      </c>
      <c r="F381" s="219"/>
      <c r="G381" s="219"/>
      <c r="H381" s="40"/>
      <c r="I381" s="192">
        <f ca="1">_xll.DBRW(Server&amp;Cube1,$F$17,$F$18,$F$19,$F$16,$C$14,$F$15,$F$14,$F$20,I$2,I$1,$C381)</f>
        <v>0</v>
      </c>
      <c r="J381" s="192">
        <f ca="1">_xll.DBRW(Server&amp;Cube1,$F$17,$F$18,$F$19,$F$16,$C$14,$F$15,$F$14,$F$20,J$2,J$1,$C381)</f>
        <v>0</v>
      </c>
      <c r="K381" s="183"/>
      <c r="L381" s="185">
        <f ca="1">_xll.DBRW(Server&amp;Cube1,$F$17,$F$18,$F$19,$F$16,$C$14,$F$15,$F$14,$F$20,L$2,L$1,$C381)</f>
        <v>0</v>
      </c>
      <c r="M381" s="184"/>
      <c r="N381" s="185">
        <f ca="1">_xll.DBRW(Server&amp;Cube1,$F$17,$F$18,$F$19,$F$16,$C$14,$F$15,$F$14,$F$20,N$2,$N$1,$C381)</f>
        <v>0</v>
      </c>
      <c r="O381" s="185">
        <f ca="1">_xll.DBRW(Server&amp;Cube1,$F$17,$F$18,$F$19,$F$16,$C$14,$F$15,$F$14,$F$20,O$2,$N$1,$C381)</f>
        <v>0</v>
      </c>
      <c r="P381" s="185">
        <f ca="1">_xll.DBRW(Server&amp;Cube1,$F$17,$F$18,$F$19,$F$16,$C$14,$F$15,$F$14,$F$20,P$2,$N$1,$C381)</f>
        <v>0</v>
      </c>
      <c r="Q381" s="185">
        <f ca="1">_xll.DBRW(Server&amp;Cube1,$F$17,$F$18,$F$19,$F$16,$C$14,$F$15,$F$14,$F$20,Q$2,$N$1,$C381)</f>
        <v>0</v>
      </c>
      <c r="R381" s="185">
        <f ca="1">_xll.DBRW(Server&amp;Cube1,$F$17,$F$18,$F$19,$F$16,$C$14,$F$15,$F$14,$F$20,R$2,$N$1,$C381)</f>
        <v>0</v>
      </c>
      <c r="S381" s="185">
        <f ca="1">_xll.DBRW(Server&amp;Cube1,$F$17,$F$18,$F$19,$F$16,$C$14,$F$15,$F$14,$F$20,S$2,$N$1,$C381)</f>
        <v>0</v>
      </c>
      <c r="T381" s="185">
        <f ca="1">_xll.DBRW(Server&amp;Cube1,$F$17,$F$18,$F$19,$F$16,$C$14,$F$15,$F$14,$F$20,T$2,$N$1,$C381)</f>
        <v>0</v>
      </c>
      <c r="U381" s="185">
        <f ca="1">_xll.DBRW(Server&amp;Cube1,$F$17,$F$18,$F$19,$F$16,$C$14,$F$15,$F$14,$F$20,U$2,$N$1,$C381)</f>
        <v>0</v>
      </c>
      <c r="V381" s="185">
        <f ca="1">_xll.DBRW(Server&amp;Cube1,$F$17,$F$18,$F$19,$F$16,$C$14,$F$15,$F$14,$F$20,V$2,$N$1,$C381)</f>
        <v>0</v>
      </c>
      <c r="W381" s="185">
        <f ca="1">_xll.DBRW(Server&amp;Cube1,$F$17,$F$18,$F$19,$F$16,$C$14,$F$15,$F$14,$F$20,W$2,$N$1,$C381)</f>
        <v>0</v>
      </c>
      <c r="X381" s="185">
        <f ca="1">_xll.DBRW(Server&amp;Cube1,$F$17,$F$18,$F$19,$F$16,$C$14,$F$15,$F$14,$F$20,X$2,$N$1,$C381)</f>
        <v>0</v>
      </c>
      <c r="Y381" s="185">
        <f ca="1">_xll.DBRW(Server&amp;Cube1,$F$17,$F$18,$F$19,$F$16,$C$14,$F$15,$F$14,$F$20,Y$2,$N$1,$C381)</f>
        <v>0</v>
      </c>
      <c r="Z381" s="185">
        <f ca="1">_xll.DBRW(Server&amp;Cube1,$F$17,$F$18,$F$19,$F$16,$C$14,$F$15,$F$14,$F$20,Z$2,$N$1,$C381)</f>
        <v>0</v>
      </c>
      <c r="AA381" s="53"/>
      <c r="AB381" s="53"/>
      <c r="AC381" s="53"/>
      <c r="AD381" s="53"/>
      <c r="AE381" s="53"/>
      <c r="AF381" s="53"/>
      <c r="AG381" s="53"/>
      <c r="AH381" s="53"/>
      <c r="AI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</row>
    <row r="382" spans="1:47" s="9" customFormat="1" ht="24" customHeight="1" x14ac:dyDescent="0.35">
      <c r="A382" s="157">
        <f ca="1">IF($AN$35="YES",1,IF(_xll.ELCOMPN(Server&amp;$C$24,C382)&lt;&gt;0,1,IF(OR(B382=$AT$35,B382="ALL"),1,0)))</f>
        <v>1</v>
      </c>
      <c r="B382" s="139" t="str">
        <f t="shared" si="7"/>
        <v>ta</v>
      </c>
      <c r="C382" s="111" t="s">
        <v>123</v>
      </c>
      <c r="E382" s="221" t="str">
        <f ca="1">_xll.DBRA(Server&amp;$C$24,$C382,$F$21)</f>
        <v>Impôts et taxes divers</v>
      </c>
      <c r="F382" s="221"/>
      <c r="G382" s="221"/>
      <c r="H382" s="40"/>
      <c r="I382" s="192">
        <f ca="1">_xll.DBRW(Server&amp;Cube1,$F$17,$F$18,$F$19,$F$16,$C$14,$F$15,$F$14,$F$20,I$2,I$1,$C382)</f>
        <v>0</v>
      </c>
      <c r="J382" s="192">
        <f ca="1">_xll.DBRW(Server&amp;Cube1,$F$17,$F$18,$F$19,$F$16,$C$14,$F$15,$F$14,$F$20,J$2,J$1,$C382)</f>
        <v>0</v>
      </c>
      <c r="K382" s="183"/>
      <c r="L382" s="181">
        <f ca="1">_xll.DBRW(Server&amp;Cube1,$F$17,$F$18,$F$19,$F$16,$C$14,$F$15,$F$14,$F$20,L$2,L$1,$C382)</f>
        <v>0</v>
      </c>
      <c r="M382" s="181"/>
      <c r="N382" s="181">
        <f ca="1">_xll.DBRW(Server&amp;Cube1,$F$17,$F$18,$F$19,$F$16,$C$14,$F$15,$F$14,$F$20,N$2,$N$1,$C382)</f>
        <v>0</v>
      </c>
      <c r="O382" s="181">
        <f ca="1">_xll.DBRW(Server&amp;Cube1,$F$17,$F$18,$F$19,$F$16,$C$14,$F$15,$F$14,$F$20,O$2,$N$1,$C382)</f>
        <v>0</v>
      </c>
      <c r="P382" s="181">
        <f ca="1">_xll.DBRW(Server&amp;Cube1,$F$17,$F$18,$F$19,$F$16,$C$14,$F$15,$F$14,$F$20,P$2,$N$1,$C382)</f>
        <v>0</v>
      </c>
      <c r="Q382" s="181">
        <f ca="1">_xll.DBRW(Server&amp;Cube1,$F$17,$F$18,$F$19,$F$16,$C$14,$F$15,$F$14,$F$20,Q$2,$N$1,$C382)</f>
        <v>0</v>
      </c>
      <c r="R382" s="181">
        <f ca="1">_xll.DBRW(Server&amp;Cube1,$F$17,$F$18,$F$19,$F$16,$C$14,$F$15,$F$14,$F$20,R$2,$N$1,$C382)</f>
        <v>0</v>
      </c>
      <c r="S382" s="181">
        <f ca="1">_xll.DBRW(Server&amp;Cube1,$F$17,$F$18,$F$19,$F$16,$C$14,$F$15,$F$14,$F$20,S$2,$N$1,$C382)</f>
        <v>0</v>
      </c>
      <c r="T382" s="181">
        <f ca="1">_xll.DBRW(Server&amp;Cube1,$F$17,$F$18,$F$19,$F$16,$C$14,$F$15,$F$14,$F$20,T$2,$N$1,$C382)</f>
        <v>0</v>
      </c>
      <c r="U382" s="181">
        <f ca="1">_xll.DBRW(Server&amp;Cube1,$F$17,$F$18,$F$19,$F$16,$C$14,$F$15,$F$14,$F$20,U$2,$N$1,$C382)</f>
        <v>0</v>
      </c>
      <c r="V382" s="181">
        <f ca="1">_xll.DBRW(Server&amp;Cube1,$F$17,$F$18,$F$19,$F$16,$C$14,$F$15,$F$14,$F$20,V$2,$N$1,$C382)</f>
        <v>0</v>
      </c>
      <c r="W382" s="181">
        <f ca="1">_xll.DBRW(Server&amp;Cube1,$F$17,$F$18,$F$19,$F$16,$C$14,$F$15,$F$14,$F$20,W$2,$N$1,$C382)</f>
        <v>0</v>
      </c>
      <c r="X382" s="181">
        <f ca="1">_xll.DBRW(Server&amp;Cube1,$F$17,$F$18,$F$19,$F$16,$C$14,$F$15,$F$14,$F$20,X$2,$N$1,$C382)</f>
        <v>0</v>
      </c>
      <c r="Y382" s="181">
        <f ca="1">_xll.DBRW(Server&amp;Cube1,$F$17,$F$18,$F$19,$F$16,$C$14,$F$15,$F$14,$F$20,Y$2,$N$1,$C382)</f>
        <v>0</v>
      </c>
      <c r="Z382" s="181">
        <f ca="1">_xll.DBRW(Server&amp;Cube1,$F$17,$F$18,$F$19,$F$16,$C$14,$F$15,$F$14,$F$20,Z$2,$N$1,$C382)</f>
        <v>0</v>
      </c>
      <c r="AA382" s="53"/>
      <c r="AB382" s="53"/>
      <c r="AC382" s="53"/>
      <c r="AD382" s="53"/>
      <c r="AE382" s="53"/>
      <c r="AF382" s="53"/>
      <c r="AG382" s="53"/>
      <c r="AH382" s="53"/>
      <c r="AI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</row>
    <row r="383" spans="1:47" s="9" customFormat="1" ht="24" customHeight="1" x14ac:dyDescent="0.35">
      <c r="A383" s="157">
        <f ca="1">IF($AN$35="YES",1,IF(_xll.ELCOMPN(Server&amp;$C$24,C383)&lt;&gt;0,1,IF(OR(B383=$AT$35,B383="ALL"),1,0)))</f>
        <v>1</v>
      </c>
      <c r="B383" s="139" t="str">
        <f t="shared" si="7"/>
        <v>DS</v>
      </c>
      <c r="C383" s="111" t="s">
        <v>439</v>
      </c>
      <c r="E383" s="219" t="str">
        <f ca="1">_xll.DBRA(Server&amp;$C$24,$C383,$F$21)</f>
        <v>Impôts et taxes divers (SO)</v>
      </c>
      <c r="F383" s="219"/>
      <c r="G383" s="219"/>
      <c r="H383" s="40"/>
      <c r="I383" s="192">
        <f ca="1">_xll.DBRW(Server&amp;Cube1,$F$17,$F$18,$F$19,$F$16,$C$14,$F$15,$F$14,$F$20,I$2,I$1,$C383)</f>
        <v>0</v>
      </c>
      <c r="J383" s="192">
        <f ca="1">_xll.DBRW(Server&amp;Cube1,$F$17,$F$18,$F$19,$F$16,$C$14,$F$15,$F$14,$F$20,J$2,J$1,$C383)</f>
        <v>0</v>
      </c>
      <c r="K383" s="183"/>
      <c r="L383" s="185">
        <f ca="1">_xll.DBRW(Server&amp;Cube1,$F$17,$F$18,$F$19,$F$16,$C$14,$F$15,$F$14,$F$20,L$2,L$1,$C383)</f>
        <v>0</v>
      </c>
      <c r="M383" s="184"/>
      <c r="N383" s="185">
        <f ca="1">_xll.DBRW(Server&amp;Cube1,$F$17,$F$18,$F$19,$F$16,$C$14,$F$15,$F$14,$F$20,N$2,$N$1,$C383)</f>
        <v>0</v>
      </c>
      <c r="O383" s="185">
        <f ca="1">_xll.DBRW(Server&amp;Cube1,$F$17,$F$18,$F$19,$F$16,$C$14,$F$15,$F$14,$F$20,O$2,$N$1,$C383)</f>
        <v>0</v>
      </c>
      <c r="P383" s="185">
        <f ca="1">_xll.DBRW(Server&amp;Cube1,$F$17,$F$18,$F$19,$F$16,$C$14,$F$15,$F$14,$F$20,P$2,$N$1,$C383)</f>
        <v>0</v>
      </c>
      <c r="Q383" s="185">
        <f ca="1">_xll.DBRW(Server&amp;Cube1,$F$17,$F$18,$F$19,$F$16,$C$14,$F$15,$F$14,$F$20,Q$2,$N$1,$C383)</f>
        <v>0</v>
      </c>
      <c r="R383" s="185">
        <f ca="1">_xll.DBRW(Server&amp;Cube1,$F$17,$F$18,$F$19,$F$16,$C$14,$F$15,$F$14,$F$20,R$2,$N$1,$C383)</f>
        <v>0</v>
      </c>
      <c r="S383" s="185">
        <f ca="1">_xll.DBRW(Server&amp;Cube1,$F$17,$F$18,$F$19,$F$16,$C$14,$F$15,$F$14,$F$20,S$2,$N$1,$C383)</f>
        <v>0</v>
      </c>
      <c r="T383" s="185">
        <f ca="1">_xll.DBRW(Server&amp;Cube1,$F$17,$F$18,$F$19,$F$16,$C$14,$F$15,$F$14,$F$20,T$2,$N$1,$C383)</f>
        <v>0</v>
      </c>
      <c r="U383" s="185">
        <f ca="1">_xll.DBRW(Server&amp;Cube1,$F$17,$F$18,$F$19,$F$16,$C$14,$F$15,$F$14,$F$20,U$2,$N$1,$C383)</f>
        <v>0</v>
      </c>
      <c r="V383" s="185">
        <f ca="1">_xll.DBRW(Server&amp;Cube1,$F$17,$F$18,$F$19,$F$16,$C$14,$F$15,$F$14,$F$20,V$2,$N$1,$C383)</f>
        <v>0</v>
      </c>
      <c r="W383" s="185">
        <f ca="1">_xll.DBRW(Server&amp;Cube1,$F$17,$F$18,$F$19,$F$16,$C$14,$F$15,$F$14,$F$20,W$2,$N$1,$C383)</f>
        <v>0</v>
      </c>
      <c r="X383" s="185">
        <f ca="1">_xll.DBRW(Server&amp;Cube1,$F$17,$F$18,$F$19,$F$16,$C$14,$F$15,$F$14,$F$20,X$2,$N$1,$C383)</f>
        <v>0</v>
      </c>
      <c r="Y383" s="185">
        <f ca="1">_xll.DBRW(Server&amp;Cube1,$F$17,$F$18,$F$19,$F$16,$C$14,$F$15,$F$14,$F$20,Y$2,$N$1,$C383)</f>
        <v>0</v>
      </c>
      <c r="Z383" s="185">
        <f ca="1">_xll.DBRW(Server&amp;Cube1,$F$17,$F$18,$F$19,$F$16,$C$14,$F$15,$F$14,$F$20,Z$2,$N$1,$C383)</f>
        <v>0</v>
      </c>
      <c r="AA383" s="53"/>
      <c r="AB383" s="53"/>
      <c r="AC383" s="53"/>
      <c r="AD383" s="53"/>
      <c r="AE383" s="53"/>
      <c r="AF383" s="53"/>
      <c r="AG383" s="53"/>
      <c r="AH383" s="53"/>
      <c r="AI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</row>
    <row r="384" spans="1:47" s="9" customFormat="1" ht="24" customHeight="1" x14ac:dyDescent="0.35">
      <c r="A384" s="157">
        <f ca="1">IF($AN$35="YES",1,IF(_xll.ELCOMPN(Server&amp;$C$24,C384)&lt;&gt;0,1,IF(OR(B384=$AT$35,B384="ALL"),1,0)))</f>
        <v>1</v>
      </c>
      <c r="B384" s="139" t="str">
        <f t="shared" si="7"/>
        <v>BD</v>
      </c>
      <c r="C384" s="111" t="s">
        <v>440</v>
      </c>
      <c r="E384" s="219" t="str">
        <f ca="1">_xll.DBRA(Server&amp;$C$24,$C384,$F$21)</f>
        <v>Impôts et taxes divers (DC)</v>
      </c>
      <c r="F384" s="219"/>
      <c r="G384" s="219"/>
      <c r="H384" s="40"/>
      <c r="I384" s="192">
        <f ca="1">_xll.DBRW(Server&amp;Cube1,$F$17,$F$18,$F$19,$F$16,$C$14,$F$15,$F$14,$F$20,I$2,I$1,$C384)</f>
        <v>0</v>
      </c>
      <c r="J384" s="192">
        <f ca="1">_xll.DBRW(Server&amp;Cube1,$F$17,$F$18,$F$19,$F$16,$C$14,$F$15,$F$14,$F$20,J$2,J$1,$C384)</f>
        <v>0</v>
      </c>
      <c r="K384" s="183"/>
      <c r="L384" s="185">
        <f ca="1">_xll.DBRW(Server&amp;Cube1,$F$17,$F$18,$F$19,$F$16,$C$14,$F$15,$F$14,$F$20,L$2,L$1,$C384)</f>
        <v>0</v>
      </c>
      <c r="M384" s="184"/>
      <c r="N384" s="185">
        <f ca="1">_xll.DBRW(Server&amp;Cube1,$F$17,$F$18,$F$19,$F$16,$C$14,$F$15,$F$14,$F$20,N$2,$N$1,$C384)</f>
        <v>0</v>
      </c>
      <c r="O384" s="185">
        <f ca="1">_xll.DBRW(Server&amp;Cube1,$F$17,$F$18,$F$19,$F$16,$C$14,$F$15,$F$14,$F$20,O$2,$N$1,$C384)</f>
        <v>0</v>
      </c>
      <c r="P384" s="185">
        <f ca="1">_xll.DBRW(Server&amp;Cube1,$F$17,$F$18,$F$19,$F$16,$C$14,$F$15,$F$14,$F$20,P$2,$N$1,$C384)</f>
        <v>0</v>
      </c>
      <c r="Q384" s="185">
        <f ca="1">_xll.DBRW(Server&amp;Cube1,$F$17,$F$18,$F$19,$F$16,$C$14,$F$15,$F$14,$F$20,Q$2,$N$1,$C384)</f>
        <v>0</v>
      </c>
      <c r="R384" s="185">
        <f ca="1">_xll.DBRW(Server&amp;Cube1,$F$17,$F$18,$F$19,$F$16,$C$14,$F$15,$F$14,$F$20,R$2,$N$1,$C384)</f>
        <v>0</v>
      </c>
      <c r="S384" s="185">
        <f ca="1">_xll.DBRW(Server&amp;Cube1,$F$17,$F$18,$F$19,$F$16,$C$14,$F$15,$F$14,$F$20,S$2,$N$1,$C384)</f>
        <v>0</v>
      </c>
      <c r="T384" s="185">
        <f ca="1">_xll.DBRW(Server&amp;Cube1,$F$17,$F$18,$F$19,$F$16,$C$14,$F$15,$F$14,$F$20,T$2,$N$1,$C384)</f>
        <v>0</v>
      </c>
      <c r="U384" s="185">
        <f ca="1">_xll.DBRW(Server&amp;Cube1,$F$17,$F$18,$F$19,$F$16,$C$14,$F$15,$F$14,$F$20,U$2,$N$1,$C384)</f>
        <v>0</v>
      </c>
      <c r="V384" s="185">
        <f ca="1">_xll.DBRW(Server&amp;Cube1,$F$17,$F$18,$F$19,$F$16,$C$14,$F$15,$F$14,$F$20,V$2,$N$1,$C384)</f>
        <v>0</v>
      </c>
      <c r="W384" s="185">
        <f ca="1">_xll.DBRW(Server&amp;Cube1,$F$17,$F$18,$F$19,$F$16,$C$14,$F$15,$F$14,$F$20,W$2,$N$1,$C384)</f>
        <v>0</v>
      </c>
      <c r="X384" s="185">
        <f ca="1">_xll.DBRW(Server&amp;Cube1,$F$17,$F$18,$F$19,$F$16,$C$14,$F$15,$F$14,$F$20,X$2,$N$1,$C384)</f>
        <v>0</v>
      </c>
      <c r="Y384" s="185">
        <f ca="1">_xll.DBRW(Server&amp;Cube1,$F$17,$F$18,$F$19,$F$16,$C$14,$F$15,$F$14,$F$20,Y$2,$N$1,$C384)</f>
        <v>0</v>
      </c>
      <c r="Z384" s="185">
        <f ca="1">_xll.DBRW(Server&amp;Cube1,$F$17,$F$18,$F$19,$F$16,$C$14,$F$15,$F$14,$F$20,Z$2,$N$1,$C384)</f>
        <v>0</v>
      </c>
      <c r="AA384" s="53"/>
      <c r="AB384" s="53"/>
      <c r="AC384" s="53"/>
      <c r="AD384" s="53"/>
      <c r="AE384" s="53"/>
      <c r="AF384" s="53"/>
      <c r="AG384" s="53"/>
      <c r="AH384" s="53"/>
      <c r="AI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</row>
    <row r="385" spans="1:47" s="9" customFormat="1" ht="24" customHeight="1" x14ac:dyDescent="0.35">
      <c r="A385" s="157">
        <f ca="1">IF($AN$35="YES",1,IF(_xll.ELCOMPN(Server&amp;$C$24,C385)&lt;&gt;0,1,IF(OR(B385=$AT$35,B385="ALL"),1,0)))</f>
        <v>1</v>
      </c>
      <c r="B385" s="139" t="str">
        <f t="shared" si="7"/>
        <v>FI</v>
      </c>
      <c r="C385" s="111" t="s">
        <v>441</v>
      </c>
      <c r="E385" s="219" t="str">
        <f ca="1">_xll.DBRA(Server&amp;$C$24,$C385,$F$21)</f>
        <v>Impôts et taxes divers (DF)</v>
      </c>
      <c r="F385" s="219"/>
      <c r="G385" s="219"/>
      <c r="H385" s="40"/>
      <c r="I385" s="192">
        <f ca="1">_xll.DBRW(Server&amp;Cube1,$F$17,$F$18,$F$19,$F$16,$C$14,$F$15,$F$14,$F$20,I$2,I$1,$C385)</f>
        <v>0</v>
      </c>
      <c r="J385" s="192">
        <f ca="1">_xll.DBRW(Server&amp;Cube1,$F$17,$F$18,$F$19,$F$16,$C$14,$F$15,$F$14,$F$20,J$2,J$1,$C385)</f>
        <v>0</v>
      </c>
      <c r="K385" s="183"/>
      <c r="L385" s="185">
        <f ca="1">_xll.DBRW(Server&amp;Cube1,$F$17,$F$18,$F$19,$F$16,$C$14,$F$15,$F$14,$F$20,L$2,L$1,$C385)</f>
        <v>0</v>
      </c>
      <c r="M385" s="184"/>
      <c r="N385" s="185">
        <f ca="1">_xll.DBRW(Server&amp;Cube1,$F$17,$F$18,$F$19,$F$16,$C$14,$F$15,$F$14,$F$20,N$2,$N$1,$C385)</f>
        <v>0</v>
      </c>
      <c r="O385" s="185">
        <f ca="1">_xll.DBRW(Server&amp;Cube1,$F$17,$F$18,$F$19,$F$16,$C$14,$F$15,$F$14,$F$20,O$2,$N$1,$C385)</f>
        <v>0</v>
      </c>
      <c r="P385" s="185">
        <f ca="1">_xll.DBRW(Server&amp;Cube1,$F$17,$F$18,$F$19,$F$16,$C$14,$F$15,$F$14,$F$20,P$2,$N$1,$C385)</f>
        <v>0</v>
      </c>
      <c r="Q385" s="185">
        <f ca="1">_xll.DBRW(Server&amp;Cube1,$F$17,$F$18,$F$19,$F$16,$C$14,$F$15,$F$14,$F$20,Q$2,$N$1,$C385)</f>
        <v>0</v>
      </c>
      <c r="R385" s="185">
        <f ca="1">_xll.DBRW(Server&amp;Cube1,$F$17,$F$18,$F$19,$F$16,$C$14,$F$15,$F$14,$F$20,R$2,$N$1,$C385)</f>
        <v>0</v>
      </c>
      <c r="S385" s="185">
        <f ca="1">_xll.DBRW(Server&amp;Cube1,$F$17,$F$18,$F$19,$F$16,$C$14,$F$15,$F$14,$F$20,S$2,$N$1,$C385)</f>
        <v>0</v>
      </c>
      <c r="T385" s="185">
        <f ca="1">_xll.DBRW(Server&amp;Cube1,$F$17,$F$18,$F$19,$F$16,$C$14,$F$15,$F$14,$F$20,T$2,$N$1,$C385)</f>
        <v>0</v>
      </c>
      <c r="U385" s="185">
        <f ca="1">_xll.DBRW(Server&amp;Cube1,$F$17,$F$18,$F$19,$F$16,$C$14,$F$15,$F$14,$F$20,U$2,$N$1,$C385)</f>
        <v>0</v>
      </c>
      <c r="V385" s="185">
        <f ca="1">_xll.DBRW(Server&amp;Cube1,$F$17,$F$18,$F$19,$F$16,$C$14,$F$15,$F$14,$F$20,V$2,$N$1,$C385)</f>
        <v>0</v>
      </c>
      <c r="W385" s="185">
        <f ca="1">_xll.DBRW(Server&amp;Cube1,$F$17,$F$18,$F$19,$F$16,$C$14,$F$15,$F$14,$F$20,W$2,$N$1,$C385)</f>
        <v>0</v>
      </c>
      <c r="X385" s="185">
        <f ca="1">_xll.DBRW(Server&amp;Cube1,$F$17,$F$18,$F$19,$F$16,$C$14,$F$15,$F$14,$F$20,X$2,$N$1,$C385)</f>
        <v>0</v>
      </c>
      <c r="Y385" s="185">
        <f ca="1">_xll.DBRW(Server&amp;Cube1,$F$17,$F$18,$F$19,$F$16,$C$14,$F$15,$F$14,$F$20,Y$2,$N$1,$C385)</f>
        <v>0</v>
      </c>
      <c r="Z385" s="185">
        <f ca="1">_xll.DBRW(Server&amp;Cube1,$F$17,$F$18,$F$19,$F$16,$C$14,$F$15,$F$14,$F$20,Z$2,$N$1,$C385)</f>
        <v>0</v>
      </c>
      <c r="AA385" s="53"/>
      <c r="AB385" s="53"/>
      <c r="AC385" s="53"/>
      <c r="AD385" s="53"/>
      <c r="AE385" s="53"/>
      <c r="AF385" s="53"/>
      <c r="AG385" s="53"/>
      <c r="AH385" s="53"/>
      <c r="AI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</row>
    <row r="386" spans="1:47" s="9" customFormat="1" ht="24" customHeight="1" x14ac:dyDescent="0.35">
      <c r="A386" s="157">
        <f ca="1">IF($AN$35="YES",1,IF(_xll.ELCOMPN(Server&amp;$C$24,C386)&lt;&gt;0,1,IF(OR(B386=$AT$35,B386="ALL"),1,0)))</f>
        <v>1</v>
      </c>
      <c r="B386" s="139" t="str">
        <f t="shared" si="7"/>
        <v>IT</v>
      </c>
      <c r="C386" s="111" t="s">
        <v>442</v>
      </c>
      <c r="E386" s="219" t="str">
        <f ca="1">_xll.DBRA(Server&amp;$C$24,$C386,$F$21)</f>
        <v>Impôts et taxes divers (IT)</v>
      </c>
      <c r="F386" s="219"/>
      <c r="G386" s="219"/>
      <c r="H386" s="40"/>
      <c r="I386" s="192">
        <f ca="1">_xll.DBRW(Server&amp;Cube1,$F$17,$F$18,$F$19,$F$16,$C$14,$F$15,$F$14,$F$20,I$2,I$1,$C386)</f>
        <v>0</v>
      </c>
      <c r="J386" s="192">
        <f ca="1">_xll.DBRW(Server&amp;Cube1,$F$17,$F$18,$F$19,$F$16,$C$14,$F$15,$F$14,$F$20,J$2,J$1,$C386)</f>
        <v>0</v>
      </c>
      <c r="K386" s="183"/>
      <c r="L386" s="185">
        <f ca="1">_xll.DBRW(Server&amp;Cube1,$F$17,$F$18,$F$19,$F$16,$C$14,$F$15,$F$14,$F$20,L$2,L$1,$C386)</f>
        <v>0</v>
      </c>
      <c r="M386" s="184"/>
      <c r="N386" s="185">
        <f ca="1">_xll.DBRW(Server&amp;Cube1,$F$17,$F$18,$F$19,$F$16,$C$14,$F$15,$F$14,$F$20,N$2,$N$1,$C386)</f>
        <v>0</v>
      </c>
      <c r="O386" s="185">
        <f ca="1">_xll.DBRW(Server&amp;Cube1,$F$17,$F$18,$F$19,$F$16,$C$14,$F$15,$F$14,$F$20,O$2,$N$1,$C386)</f>
        <v>0</v>
      </c>
      <c r="P386" s="185">
        <f ca="1">_xll.DBRW(Server&amp;Cube1,$F$17,$F$18,$F$19,$F$16,$C$14,$F$15,$F$14,$F$20,P$2,$N$1,$C386)</f>
        <v>0</v>
      </c>
      <c r="Q386" s="185">
        <f ca="1">_xll.DBRW(Server&amp;Cube1,$F$17,$F$18,$F$19,$F$16,$C$14,$F$15,$F$14,$F$20,Q$2,$N$1,$C386)</f>
        <v>0</v>
      </c>
      <c r="R386" s="185">
        <f ca="1">_xll.DBRW(Server&amp;Cube1,$F$17,$F$18,$F$19,$F$16,$C$14,$F$15,$F$14,$F$20,R$2,$N$1,$C386)</f>
        <v>0</v>
      </c>
      <c r="S386" s="185">
        <f ca="1">_xll.DBRW(Server&amp;Cube1,$F$17,$F$18,$F$19,$F$16,$C$14,$F$15,$F$14,$F$20,S$2,$N$1,$C386)</f>
        <v>0</v>
      </c>
      <c r="T386" s="185">
        <f ca="1">_xll.DBRW(Server&amp;Cube1,$F$17,$F$18,$F$19,$F$16,$C$14,$F$15,$F$14,$F$20,T$2,$N$1,$C386)</f>
        <v>0</v>
      </c>
      <c r="U386" s="185">
        <f ca="1">_xll.DBRW(Server&amp;Cube1,$F$17,$F$18,$F$19,$F$16,$C$14,$F$15,$F$14,$F$20,U$2,$N$1,$C386)</f>
        <v>0</v>
      </c>
      <c r="V386" s="185">
        <f ca="1">_xll.DBRW(Server&amp;Cube1,$F$17,$F$18,$F$19,$F$16,$C$14,$F$15,$F$14,$F$20,V$2,$N$1,$C386)</f>
        <v>0</v>
      </c>
      <c r="W386" s="185">
        <f ca="1">_xll.DBRW(Server&amp;Cube1,$F$17,$F$18,$F$19,$F$16,$C$14,$F$15,$F$14,$F$20,W$2,$N$1,$C386)</f>
        <v>0</v>
      </c>
      <c r="X386" s="185">
        <f ca="1">_xll.DBRW(Server&amp;Cube1,$F$17,$F$18,$F$19,$F$16,$C$14,$F$15,$F$14,$F$20,X$2,$N$1,$C386)</f>
        <v>0</v>
      </c>
      <c r="Y386" s="185">
        <f ca="1">_xll.DBRW(Server&amp;Cube1,$F$17,$F$18,$F$19,$F$16,$C$14,$F$15,$F$14,$F$20,Y$2,$N$1,$C386)</f>
        <v>0</v>
      </c>
      <c r="Z386" s="185">
        <f ca="1">_xll.DBRW(Server&amp;Cube1,$F$17,$F$18,$F$19,$F$16,$C$14,$F$15,$F$14,$F$20,Z$2,$N$1,$C386)</f>
        <v>0</v>
      </c>
      <c r="AA386" s="53"/>
      <c r="AB386" s="53"/>
      <c r="AC386" s="53"/>
      <c r="AD386" s="53"/>
      <c r="AE386" s="53"/>
      <c r="AF386" s="53"/>
      <c r="AG386" s="53"/>
      <c r="AH386" s="53"/>
      <c r="AI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</row>
    <row r="387" spans="1:47" s="9" customFormat="1" ht="24" customHeight="1" x14ac:dyDescent="0.35">
      <c r="A387" s="157">
        <f ca="1">IF($AN$35="YES",1,IF(_xll.ELCOMPN(Server&amp;$C$24,C387)&lt;&gt;0,1,IF(OR(B387=$AT$35,B387="ALL"),1,0)))</f>
        <v>1</v>
      </c>
      <c r="B387" s="139" t="str">
        <f t="shared" si="7"/>
        <v>HR</v>
      </c>
      <c r="C387" s="111" t="s">
        <v>443</v>
      </c>
      <c r="E387" s="219" t="str">
        <f ca="1">_xll.DBRA(Server&amp;$C$24,$C387,$F$21)</f>
        <v>Impôts et taxes divers (RH)</v>
      </c>
      <c r="F387" s="219"/>
      <c r="G387" s="219"/>
      <c r="H387" s="40"/>
      <c r="I387" s="192">
        <f ca="1">_xll.DBRW(Server&amp;Cube1,$F$17,$F$18,$F$19,$F$16,$C$14,$F$15,$F$14,$F$20,I$2,I$1,$C387)</f>
        <v>0</v>
      </c>
      <c r="J387" s="192">
        <f ca="1">_xll.DBRW(Server&amp;Cube1,$F$17,$F$18,$F$19,$F$16,$C$14,$F$15,$F$14,$F$20,J$2,J$1,$C387)</f>
        <v>0</v>
      </c>
      <c r="K387" s="183"/>
      <c r="L387" s="185">
        <f ca="1">_xll.DBRW(Server&amp;Cube1,$F$17,$F$18,$F$19,$F$16,$C$14,$F$15,$F$14,$F$20,L$2,L$1,$C387)</f>
        <v>0</v>
      </c>
      <c r="M387" s="184"/>
      <c r="N387" s="185">
        <f ca="1">_xll.DBRW(Server&amp;Cube1,$F$17,$F$18,$F$19,$F$16,$C$14,$F$15,$F$14,$F$20,N$2,$N$1,$C387)</f>
        <v>0</v>
      </c>
      <c r="O387" s="185">
        <f ca="1">_xll.DBRW(Server&amp;Cube1,$F$17,$F$18,$F$19,$F$16,$C$14,$F$15,$F$14,$F$20,O$2,$N$1,$C387)</f>
        <v>0</v>
      </c>
      <c r="P387" s="185">
        <f ca="1">_xll.DBRW(Server&amp;Cube1,$F$17,$F$18,$F$19,$F$16,$C$14,$F$15,$F$14,$F$20,P$2,$N$1,$C387)</f>
        <v>0</v>
      </c>
      <c r="Q387" s="185">
        <f ca="1">_xll.DBRW(Server&amp;Cube1,$F$17,$F$18,$F$19,$F$16,$C$14,$F$15,$F$14,$F$20,Q$2,$N$1,$C387)</f>
        <v>0</v>
      </c>
      <c r="R387" s="185">
        <f ca="1">_xll.DBRW(Server&amp;Cube1,$F$17,$F$18,$F$19,$F$16,$C$14,$F$15,$F$14,$F$20,R$2,$N$1,$C387)</f>
        <v>0</v>
      </c>
      <c r="S387" s="185">
        <f ca="1">_xll.DBRW(Server&amp;Cube1,$F$17,$F$18,$F$19,$F$16,$C$14,$F$15,$F$14,$F$20,S$2,$N$1,$C387)</f>
        <v>0</v>
      </c>
      <c r="T387" s="185">
        <f ca="1">_xll.DBRW(Server&amp;Cube1,$F$17,$F$18,$F$19,$F$16,$C$14,$F$15,$F$14,$F$20,T$2,$N$1,$C387)</f>
        <v>0</v>
      </c>
      <c r="U387" s="185">
        <f ca="1">_xll.DBRW(Server&amp;Cube1,$F$17,$F$18,$F$19,$F$16,$C$14,$F$15,$F$14,$F$20,U$2,$N$1,$C387)</f>
        <v>0</v>
      </c>
      <c r="V387" s="185">
        <f ca="1">_xll.DBRW(Server&amp;Cube1,$F$17,$F$18,$F$19,$F$16,$C$14,$F$15,$F$14,$F$20,V$2,$N$1,$C387)</f>
        <v>0</v>
      </c>
      <c r="W387" s="185">
        <f ca="1">_xll.DBRW(Server&amp;Cube1,$F$17,$F$18,$F$19,$F$16,$C$14,$F$15,$F$14,$F$20,W$2,$N$1,$C387)</f>
        <v>0</v>
      </c>
      <c r="X387" s="185">
        <f ca="1">_xll.DBRW(Server&amp;Cube1,$F$17,$F$18,$F$19,$F$16,$C$14,$F$15,$F$14,$F$20,X$2,$N$1,$C387)</f>
        <v>0</v>
      </c>
      <c r="Y387" s="185">
        <f ca="1">_xll.DBRW(Server&amp;Cube1,$F$17,$F$18,$F$19,$F$16,$C$14,$F$15,$F$14,$F$20,Y$2,$N$1,$C387)</f>
        <v>0</v>
      </c>
      <c r="Z387" s="185">
        <f ca="1">_xll.DBRW(Server&amp;Cube1,$F$17,$F$18,$F$19,$F$16,$C$14,$F$15,$F$14,$F$20,Z$2,$N$1,$C387)</f>
        <v>0</v>
      </c>
      <c r="AA387" s="53"/>
      <c r="AB387" s="53"/>
      <c r="AC387" s="53"/>
      <c r="AD387" s="53"/>
      <c r="AE387" s="53"/>
      <c r="AF387" s="53"/>
      <c r="AG387" s="53"/>
      <c r="AH387" s="53"/>
      <c r="AI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</row>
    <row r="388" spans="1:47" s="9" customFormat="1" ht="24" customHeight="1" x14ac:dyDescent="0.35">
      <c r="A388" s="157">
        <f ca="1">IF($AN$35="YES",1,IF(_xll.ELCOMPN(Server&amp;$C$24,C388)&lt;&gt;0,1,IF(OR(B388=$AT$35,B388="ALL"),1,0)))</f>
        <v>1</v>
      </c>
      <c r="B388" s="139" t="str">
        <f t="shared" si="7"/>
        <v>GM</v>
      </c>
      <c r="C388" s="111" t="s">
        <v>444</v>
      </c>
      <c r="E388" s="219" t="str">
        <f ca="1">_xll.DBRA(Server&amp;$C$24,$C388,$F$21)</f>
        <v>Impôts et taxes divers (DG)</v>
      </c>
      <c r="F388" s="219"/>
      <c r="G388" s="219"/>
      <c r="H388" s="40"/>
      <c r="I388" s="192">
        <f ca="1">_xll.DBRW(Server&amp;Cube1,$F$17,$F$18,$F$19,$F$16,$C$14,$F$15,$F$14,$F$20,I$2,I$1,$C388)</f>
        <v>0</v>
      </c>
      <c r="J388" s="192">
        <f ca="1">_xll.DBRW(Server&amp;Cube1,$F$17,$F$18,$F$19,$F$16,$C$14,$F$15,$F$14,$F$20,J$2,J$1,$C388)</f>
        <v>0</v>
      </c>
      <c r="K388" s="183"/>
      <c r="L388" s="185">
        <f ca="1">_xll.DBRW(Server&amp;Cube1,$F$17,$F$18,$F$19,$F$16,$C$14,$F$15,$F$14,$F$20,L$2,L$1,$C388)</f>
        <v>0</v>
      </c>
      <c r="M388" s="184"/>
      <c r="N388" s="185">
        <f ca="1">_xll.DBRW(Server&amp;Cube1,$F$17,$F$18,$F$19,$F$16,$C$14,$F$15,$F$14,$F$20,N$2,$N$1,$C388)</f>
        <v>0</v>
      </c>
      <c r="O388" s="185">
        <f ca="1">_xll.DBRW(Server&amp;Cube1,$F$17,$F$18,$F$19,$F$16,$C$14,$F$15,$F$14,$F$20,O$2,$N$1,$C388)</f>
        <v>0</v>
      </c>
      <c r="P388" s="185">
        <f ca="1">_xll.DBRW(Server&amp;Cube1,$F$17,$F$18,$F$19,$F$16,$C$14,$F$15,$F$14,$F$20,P$2,$N$1,$C388)</f>
        <v>0</v>
      </c>
      <c r="Q388" s="185">
        <f ca="1">_xll.DBRW(Server&amp;Cube1,$F$17,$F$18,$F$19,$F$16,$C$14,$F$15,$F$14,$F$20,Q$2,$N$1,$C388)</f>
        <v>0</v>
      </c>
      <c r="R388" s="185">
        <f ca="1">_xll.DBRW(Server&amp;Cube1,$F$17,$F$18,$F$19,$F$16,$C$14,$F$15,$F$14,$F$20,R$2,$N$1,$C388)</f>
        <v>0</v>
      </c>
      <c r="S388" s="185">
        <f ca="1">_xll.DBRW(Server&amp;Cube1,$F$17,$F$18,$F$19,$F$16,$C$14,$F$15,$F$14,$F$20,S$2,$N$1,$C388)</f>
        <v>0</v>
      </c>
      <c r="T388" s="185">
        <f ca="1">_xll.DBRW(Server&amp;Cube1,$F$17,$F$18,$F$19,$F$16,$C$14,$F$15,$F$14,$F$20,T$2,$N$1,$C388)</f>
        <v>0</v>
      </c>
      <c r="U388" s="185">
        <f ca="1">_xll.DBRW(Server&amp;Cube1,$F$17,$F$18,$F$19,$F$16,$C$14,$F$15,$F$14,$F$20,U$2,$N$1,$C388)</f>
        <v>0</v>
      </c>
      <c r="V388" s="185">
        <f ca="1">_xll.DBRW(Server&amp;Cube1,$F$17,$F$18,$F$19,$F$16,$C$14,$F$15,$F$14,$F$20,V$2,$N$1,$C388)</f>
        <v>0</v>
      </c>
      <c r="W388" s="185">
        <f ca="1">_xll.DBRW(Server&amp;Cube1,$F$17,$F$18,$F$19,$F$16,$C$14,$F$15,$F$14,$F$20,W$2,$N$1,$C388)</f>
        <v>0</v>
      </c>
      <c r="X388" s="185">
        <f ca="1">_xll.DBRW(Server&amp;Cube1,$F$17,$F$18,$F$19,$F$16,$C$14,$F$15,$F$14,$F$20,X$2,$N$1,$C388)</f>
        <v>0</v>
      </c>
      <c r="Y388" s="185">
        <f ca="1">_xll.DBRW(Server&amp;Cube1,$F$17,$F$18,$F$19,$F$16,$C$14,$F$15,$F$14,$F$20,Y$2,$N$1,$C388)</f>
        <v>0</v>
      </c>
      <c r="Z388" s="185">
        <f ca="1">_xll.DBRW(Server&amp;Cube1,$F$17,$F$18,$F$19,$F$16,$C$14,$F$15,$F$14,$F$20,Z$2,$N$1,$C388)</f>
        <v>0</v>
      </c>
      <c r="AA388" s="53"/>
      <c r="AB388" s="53"/>
      <c r="AC388" s="53"/>
      <c r="AD388" s="53"/>
      <c r="AE388" s="53"/>
      <c r="AF388" s="53"/>
      <c r="AG388" s="53"/>
      <c r="AH388" s="53"/>
      <c r="AI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</row>
    <row r="389" spans="1:47" s="9" customFormat="1" ht="24" customHeight="1" x14ac:dyDescent="0.35">
      <c r="A389" s="157">
        <f ca="1">IF($AN$35="YES",1,IF(_xll.ELCOMPN(Server&amp;$C$24,C389)&lt;&gt;0,1,IF(OR(B389=$AT$35,B389="ALL"),1,0)))</f>
        <v>1</v>
      </c>
      <c r="B389" s="139" t="str">
        <f t="shared" si="7"/>
        <v>IA</v>
      </c>
      <c r="C389" s="111" t="s">
        <v>445</v>
      </c>
      <c r="E389" s="219" t="str">
        <f ca="1">_xll.DBRA(Server&amp;$C$24,$C389,$F$21)</f>
        <v>Impôts et taxes divers (AI)</v>
      </c>
      <c r="F389" s="219"/>
      <c r="G389" s="219"/>
      <c r="H389" s="40"/>
      <c r="I389" s="192">
        <f ca="1">_xll.DBRW(Server&amp;Cube1,$F$17,$F$18,$F$19,$F$16,$C$14,$F$15,$F$14,$F$20,I$2,I$1,$C389)</f>
        <v>0</v>
      </c>
      <c r="J389" s="192">
        <f ca="1">_xll.DBRW(Server&amp;Cube1,$F$17,$F$18,$F$19,$F$16,$C$14,$F$15,$F$14,$F$20,J$2,J$1,$C389)</f>
        <v>0</v>
      </c>
      <c r="K389" s="183"/>
      <c r="L389" s="185">
        <f ca="1">_xll.DBRW(Server&amp;Cube1,$F$17,$F$18,$F$19,$F$16,$C$14,$F$15,$F$14,$F$20,L$2,L$1,$C389)</f>
        <v>0</v>
      </c>
      <c r="M389" s="184"/>
      <c r="N389" s="185">
        <f ca="1">_xll.DBRW(Server&amp;Cube1,$F$17,$F$18,$F$19,$F$16,$C$14,$F$15,$F$14,$F$20,N$2,$N$1,$C389)</f>
        <v>0</v>
      </c>
      <c r="O389" s="185">
        <f ca="1">_xll.DBRW(Server&amp;Cube1,$F$17,$F$18,$F$19,$F$16,$C$14,$F$15,$F$14,$F$20,O$2,$N$1,$C389)</f>
        <v>0</v>
      </c>
      <c r="P389" s="185">
        <f ca="1">_xll.DBRW(Server&amp;Cube1,$F$17,$F$18,$F$19,$F$16,$C$14,$F$15,$F$14,$F$20,P$2,$N$1,$C389)</f>
        <v>0</v>
      </c>
      <c r="Q389" s="185">
        <f ca="1">_xll.DBRW(Server&amp;Cube1,$F$17,$F$18,$F$19,$F$16,$C$14,$F$15,$F$14,$F$20,Q$2,$N$1,$C389)</f>
        <v>0</v>
      </c>
      <c r="R389" s="185">
        <f ca="1">_xll.DBRW(Server&amp;Cube1,$F$17,$F$18,$F$19,$F$16,$C$14,$F$15,$F$14,$F$20,R$2,$N$1,$C389)</f>
        <v>0</v>
      </c>
      <c r="S389" s="185">
        <f ca="1">_xll.DBRW(Server&amp;Cube1,$F$17,$F$18,$F$19,$F$16,$C$14,$F$15,$F$14,$F$20,S$2,$N$1,$C389)</f>
        <v>0</v>
      </c>
      <c r="T389" s="185">
        <f ca="1">_xll.DBRW(Server&amp;Cube1,$F$17,$F$18,$F$19,$F$16,$C$14,$F$15,$F$14,$F$20,T$2,$N$1,$C389)</f>
        <v>0</v>
      </c>
      <c r="U389" s="185">
        <f ca="1">_xll.DBRW(Server&amp;Cube1,$F$17,$F$18,$F$19,$F$16,$C$14,$F$15,$F$14,$F$20,U$2,$N$1,$C389)</f>
        <v>0</v>
      </c>
      <c r="V389" s="185">
        <f ca="1">_xll.DBRW(Server&amp;Cube1,$F$17,$F$18,$F$19,$F$16,$C$14,$F$15,$F$14,$F$20,V$2,$N$1,$C389)</f>
        <v>0</v>
      </c>
      <c r="W389" s="185">
        <f ca="1">_xll.DBRW(Server&amp;Cube1,$F$17,$F$18,$F$19,$F$16,$C$14,$F$15,$F$14,$F$20,W$2,$N$1,$C389)</f>
        <v>0</v>
      </c>
      <c r="X389" s="185">
        <f ca="1">_xll.DBRW(Server&amp;Cube1,$F$17,$F$18,$F$19,$F$16,$C$14,$F$15,$F$14,$F$20,X$2,$N$1,$C389)</f>
        <v>0</v>
      </c>
      <c r="Y389" s="185">
        <f ca="1">_xll.DBRW(Server&amp;Cube1,$F$17,$F$18,$F$19,$F$16,$C$14,$F$15,$F$14,$F$20,Y$2,$N$1,$C389)</f>
        <v>0</v>
      </c>
      <c r="Z389" s="185">
        <f ca="1">_xll.DBRW(Server&amp;Cube1,$F$17,$F$18,$F$19,$F$16,$C$14,$F$15,$F$14,$F$20,Z$2,$N$1,$C389)</f>
        <v>0</v>
      </c>
      <c r="AA389" s="53"/>
      <c r="AB389" s="53"/>
      <c r="AC389" s="53"/>
      <c r="AD389" s="53"/>
      <c r="AE389" s="53"/>
      <c r="AF389" s="53"/>
      <c r="AG389" s="53"/>
      <c r="AH389" s="53"/>
      <c r="AI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</row>
    <row r="390" spans="1:47" s="9" customFormat="1" ht="24" customHeight="1" x14ac:dyDescent="0.35">
      <c r="A390" s="157">
        <f ca="1">IF($AN$35="YES",1,IF(_xll.ELCOMPN(Server&amp;$C$24,C390)&lt;&gt;0,1,IF(OR(B390=$AT$35,B390="ALL"),1,0)))</f>
        <v>1</v>
      </c>
      <c r="B390" s="139" t="str">
        <f t="shared" si="7"/>
        <v>LE</v>
      </c>
      <c r="C390" s="111" t="s">
        <v>446</v>
      </c>
      <c r="E390" s="219" t="str">
        <f ca="1">_xll.DBRA(Server&amp;$C$24,$C390,$F$21)</f>
        <v>Impôts et taxes divers (JU)</v>
      </c>
      <c r="F390" s="219"/>
      <c r="G390" s="219"/>
      <c r="H390" s="40"/>
      <c r="I390" s="192">
        <f ca="1">_xll.DBRW(Server&amp;Cube1,$F$17,$F$18,$F$19,$F$16,$C$14,$F$15,$F$14,$F$20,I$2,I$1,$C390)</f>
        <v>0</v>
      </c>
      <c r="J390" s="192">
        <f ca="1">_xll.DBRW(Server&amp;Cube1,$F$17,$F$18,$F$19,$F$16,$C$14,$F$15,$F$14,$F$20,J$2,J$1,$C390)</f>
        <v>0</v>
      </c>
      <c r="K390" s="183"/>
      <c r="L390" s="185">
        <f ca="1">_xll.DBRW(Server&amp;Cube1,$F$17,$F$18,$F$19,$F$16,$C$14,$F$15,$F$14,$F$20,L$2,L$1,$C390)</f>
        <v>0</v>
      </c>
      <c r="M390" s="184"/>
      <c r="N390" s="185">
        <f ca="1">_xll.DBRW(Server&amp;Cube1,$F$17,$F$18,$F$19,$F$16,$C$14,$F$15,$F$14,$F$20,N$2,$N$1,$C390)</f>
        <v>0</v>
      </c>
      <c r="O390" s="185">
        <f ca="1">_xll.DBRW(Server&amp;Cube1,$F$17,$F$18,$F$19,$F$16,$C$14,$F$15,$F$14,$F$20,O$2,$N$1,$C390)</f>
        <v>0</v>
      </c>
      <c r="P390" s="185">
        <f ca="1">_xll.DBRW(Server&amp;Cube1,$F$17,$F$18,$F$19,$F$16,$C$14,$F$15,$F$14,$F$20,P$2,$N$1,$C390)</f>
        <v>0</v>
      </c>
      <c r="Q390" s="185">
        <f ca="1">_xll.DBRW(Server&amp;Cube1,$F$17,$F$18,$F$19,$F$16,$C$14,$F$15,$F$14,$F$20,Q$2,$N$1,$C390)</f>
        <v>0</v>
      </c>
      <c r="R390" s="185">
        <f ca="1">_xll.DBRW(Server&amp;Cube1,$F$17,$F$18,$F$19,$F$16,$C$14,$F$15,$F$14,$F$20,R$2,$N$1,$C390)</f>
        <v>0</v>
      </c>
      <c r="S390" s="185">
        <f ca="1">_xll.DBRW(Server&amp;Cube1,$F$17,$F$18,$F$19,$F$16,$C$14,$F$15,$F$14,$F$20,S$2,$N$1,$C390)</f>
        <v>0</v>
      </c>
      <c r="T390" s="185">
        <f ca="1">_xll.DBRW(Server&amp;Cube1,$F$17,$F$18,$F$19,$F$16,$C$14,$F$15,$F$14,$F$20,T$2,$N$1,$C390)</f>
        <v>0</v>
      </c>
      <c r="U390" s="185">
        <f ca="1">_xll.DBRW(Server&amp;Cube1,$F$17,$F$18,$F$19,$F$16,$C$14,$F$15,$F$14,$F$20,U$2,$N$1,$C390)</f>
        <v>0</v>
      </c>
      <c r="V390" s="185">
        <f ca="1">_xll.DBRW(Server&amp;Cube1,$F$17,$F$18,$F$19,$F$16,$C$14,$F$15,$F$14,$F$20,V$2,$N$1,$C390)</f>
        <v>0</v>
      </c>
      <c r="W390" s="185">
        <f ca="1">_xll.DBRW(Server&amp;Cube1,$F$17,$F$18,$F$19,$F$16,$C$14,$F$15,$F$14,$F$20,W$2,$N$1,$C390)</f>
        <v>0</v>
      </c>
      <c r="X390" s="185">
        <f ca="1">_xll.DBRW(Server&amp;Cube1,$F$17,$F$18,$F$19,$F$16,$C$14,$F$15,$F$14,$F$20,X$2,$N$1,$C390)</f>
        <v>0</v>
      </c>
      <c r="Y390" s="185">
        <f ca="1">_xll.DBRW(Server&amp;Cube1,$F$17,$F$18,$F$19,$F$16,$C$14,$F$15,$F$14,$F$20,Y$2,$N$1,$C390)</f>
        <v>0</v>
      </c>
      <c r="Z390" s="185">
        <f ca="1">_xll.DBRW(Server&amp;Cube1,$F$17,$F$18,$F$19,$F$16,$C$14,$F$15,$F$14,$F$20,Z$2,$N$1,$C390)</f>
        <v>0</v>
      </c>
      <c r="AA390" s="53"/>
      <c r="AB390" s="53"/>
      <c r="AC390" s="53"/>
      <c r="AD390" s="53"/>
      <c r="AE390" s="53"/>
      <c r="AF390" s="53"/>
      <c r="AG390" s="53"/>
      <c r="AH390" s="53"/>
      <c r="AI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</row>
    <row r="391" spans="1:47" s="9" customFormat="1" ht="24" customHeight="1" x14ac:dyDescent="0.35">
      <c r="A391" s="157">
        <f ca="1">IF($AN$35="YES",1,IF(_xll.ELCOMPN(Server&amp;$C$24,C391)&lt;&gt;0,1,IF(OR(B391=$AT$35,B391="ALL"),1,0)))</f>
        <v>1</v>
      </c>
      <c r="B391" s="139" t="str">
        <f t="shared" si="7"/>
        <v>RM</v>
      </c>
      <c r="C391" s="111" t="s">
        <v>447</v>
      </c>
      <c r="E391" s="219" t="str">
        <f ca="1">_xll.DBRA(Server&amp;$C$24,$C391,$F$21)</f>
        <v>Impôts et taxes divers (GR)</v>
      </c>
      <c r="F391" s="219"/>
      <c r="G391" s="219"/>
      <c r="H391" s="40"/>
      <c r="I391" s="192">
        <f ca="1">_xll.DBRW(Server&amp;Cube1,$F$17,$F$18,$F$19,$F$16,$C$14,$F$15,$F$14,$F$20,I$2,I$1,$C391)</f>
        <v>0</v>
      </c>
      <c r="J391" s="192">
        <f ca="1">_xll.DBRW(Server&amp;Cube1,$F$17,$F$18,$F$19,$F$16,$C$14,$F$15,$F$14,$F$20,J$2,J$1,$C391)</f>
        <v>0</v>
      </c>
      <c r="K391" s="183"/>
      <c r="L391" s="185">
        <f ca="1">_xll.DBRW(Server&amp;Cube1,$F$17,$F$18,$F$19,$F$16,$C$14,$F$15,$F$14,$F$20,L$2,L$1,$C391)</f>
        <v>0</v>
      </c>
      <c r="M391" s="184"/>
      <c r="N391" s="185">
        <f ca="1">_xll.DBRW(Server&amp;Cube1,$F$17,$F$18,$F$19,$F$16,$C$14,$F$15,$F$14,$F$20,N$2,$N$1,$C391)</f>
        <v>0</v>
      </c>
      <c r="O391" s="185">
        <f ca="1">_xll.DBRW(Server&amp;Cube1,$F$17,$F$18,$F$19,$F$16,$C$14,$F$15,$F$14,$F$20,O$2,$N$1,$C391)</f>
        <v>0</v>
      </c>
      <c r="P391" s="185">
        <f ca="1">_xll.DBRW(Server&amp;Cube1,$F$17,$F$18,$F$19,$F$16,$C$14,$F$15,$F$14,$F$20,P$2,$N$1,$C391)</f>
        <v>0</v>
      </c>
      <c r="Q391" s="185">
        <f ca="1">_xll.DBRW(Server&amp;Cube1,$F$17,$F$18,$F$19,$F$16,$C$14,$F$15,$F$14,$F$20,Q$2,$N$1,$C391)</f>
        <v>0</v>
      </c>
      <c r="R391" s="185">
        <f ca="1">_xll.DBRW(Server&amp;Cube1,$F$17,$F$18,$F$19,$F$16,$C$14,$F$15,$F$14,$F$20,R$2,$N$1,$C391)</f>
        <v>0</v>
      </c>
      <c r="S391" s="185">
        <f ca="1">_xll.DBRW(Server&amp;Cube1,$F$17,$F$18,$F$19,$F$16,$C$14,$F$15,$F$14,$F$20,S$2,$N$1,$C391)</f>
        <v>0</v>
      </c>
      <c r="T391" s="185">
        <f ca="1">_xll.DBRW(Server&amp;Cube1,$F$17,$F$18,$F$19,$F$16,$C$14,$F$15,$F$14,$F$20,T$2,$N$1,$C391)</f>
        <v>0</v>
      </c>
      <c r="U391" s="185">
        <f ca="1">_xll.DBRW(Server&amp;Cube1,$F$17,$F$18,$F$19,$F$16,$C$14,$F$15,$F$14,$F$20,U$2,$N$1,$C391)</f>
        <v>0</v>
      </c>
      <c r="V391" s="185">
        <f ca="1">_xll.DBRW(Server&amp;Cube1,$F$17,$F$18,$F$19,$F$16,$C$14,$F$15,$F$14,$F$20,V$2,$N$1,$C391)</f>
        <v>0</v>
      </c>
      <c r="W391" s="185">
        <f ca="1">_xll.DBRW(Server&amp;Cube1,$F$17,$F$18,$F$19,$F$16,$C$14,$F$15,$F$14,$F$20,W$2,$N$1,$C391)</f>
        <v>0</v>
      </c>
      <c r="X391" s="185">
        <f ca="1">_xll.DBRW(Server&amp;Cube1,$F$17,$F$18,$F$19,$F$16,$C$14,$F$15,$F$14,$F$20,X$2,$N$1,$C391)</f>
        <v>0</v>
      </c>
      <c r="Y391" s="185">
        <f ca="1">_xll.DBRW(Server&amp;Cube1,$F$17,$F$18,$F$19,$F$16,$C$14,$F$15,$F$14,$F$20,Y$2,$N$1,$C391)</f>
        <v>0</v>
      </c>
      <c r="Z391" s="185">
        <f ca="1">_xll.DBRW(Server&amp;Cube1,$F$17,$F$18,$F$19,$F$16,$C$14,$F$15,$F$14,$F$20,Z$2,$N$1,$C391)</f>
        <v>0</v>
      </c>
      <c r="AA391" s="53"/>
      <c r="AB391" s="53"/>
      <c r="AC391" s="53"/>
      <c r="AD391" s="53"/>
      <c r="AE391" s="53"/>
      <c r="AF391" s="53"/>
      <c r="AG391" s="53"/>
      <c r="AH391" s="53"/>
      <c r="AI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</row>
    <row r="392" spans="1:47" s="9" customFormat="1" ht="24" customHeight="1" x14ac:dyDescent="0.35">
      <c r="A392" s="157">
        <f ca="1">IF($AN$35="YES",1,IF(_xll.ELCOMPN(Server&amp;$C$24,C392)&lt;&gt;0,1,IF(OR(B392=$AT$35,B392="ALL"),1,0)))</f>
        <v>1</v>
      </c>
      <c r="B392" s="139" t="str">
        <f t="shared" si="7"/>
        <v>PU</v>
      </c>
      <c r="C392" s="111" t="s">
        <v>448</v>
      </c>
      <c r="E392" s="219" t="str">
        <f ca="1">_xll.DBRA(Server&amp;$C$24,$C392,$F$21)</f>
        <v>Impôts et taxes divers (AC)</v>
      </c>
      <c r="F392" s="219"/>
      <c r="G392" s="219"/>
      <c r="H392" s="40"/>
      <c r="I392" s="192">
        <f ca="1">_xll.DBRW(Server&amp;Cube1,$F$17,$F$18,$F$19,$F$16,$C$14,$F$15,$F$14,$F$20,I$2,I$1,$C392)</f>
        <v>0</v>
      </c>
      <c r="J392" s="192">
        <f ca="1">_xll.DBRW(Server&amp;Cube1,$F$17,$F$18,$F$19,$F$16,$C$14,$F$15,$F$14,$F$20,J$2,J$1,$C392)</f>
        <v>0</v>
      </c>
      <c r="K392" s="183"/>
      <c r="L392" s="185">
        <f ca="1">_xll.DBRW(Server&amp;Cube1,$F$17,$F$18,$F$19,$F$16,$C$14,$F$15,$F$14,$F$20,L$2,L$1,$C392)</f>
        <v>0</v>
      </c>
      <c r="M392" s="184"/>
      <c r="N392" s="185">
        <f ca="1">_xll.DBRW(Server&amp;Cube1,$F$17,$F$18,$F$19,$F$16,$C$14,$F$15,$F$14,$F$20,N$2,$N$1,$C392)</f>
        <v>0</v>
      </c>
      <c r="O392" s="185">
        <f ca="1">_xll.DBRW(Server&amp;Cube1,$F$17,$F$18,$F$19,$F$16,$C$14,$F$15,$F$14,$F$20,O$2,$N$1,$C392)</f>
        <v>0</v>
      </c>
      <c r="P392" s="185">
        <f ca="1">_xll.DBRW(Server&amp;Cube1,$F$17,$F$18,$F$19,$F$16,$C$14,$F$15,$F$14,$F$20,P$2,$N$1,$C392)</f>
        <v>0</v>
      </c>
      <c r="Q392" s="185">
        <f ca="1">_xll.DBRW(Server&amp;Cube1,$F$17,$F$18,$F$19,$F$16,$C$14,$F$15,$F$14,$F$20,Q$2,$N$1,$C392)</f>
        <v>0</v>
      </c>
      <c r="R392" s="185">
        <f ca="1">_xll.DBRW(Server&amp;Cube1,$F$17,$F$18,$F$19,$F$16,$C$14,$F$15,$F$14,$F$20,R$2,$N$1,$C392)</f>
        <v>0</v>
      </c>
      <c r="S392" s="185">
        <f ca="1">_xll.DBRW(Server&amp;Cube1,$F$17,$F$18,$F$19,$F$16,$C$14,$F$15,$F$14,$F$20,S$2,$N$1,$C392)</f>
        <v>0</v>
      </c>
      <c r="T392" s="185">
        <f ca="1">_xll.DBRW(Server&amp;Cube1,$F$17,$F$18,$F$19,$F$16,$C$14,$F$15,$F$14,$F$20,T$2,$N$1,$C392)</f>
        <v>0</v>
      </c>
      <c r="U392" s="185">
        <f ca="1">_xll.DBRW(Server&amp;Cube1,$F$17,$F$18,$F$19,$F$16,$C$14,$F$15,$F$14,$F$20,U$2,$N$1,$C392)</f>
        <v>0</v>
      </c>
      <c r="V392" s="185">
        <f ca="1">_xll.DBRW(Server&amp;Cube1,$F$17,$F$18,$F$19,$F$16,$C$14,$F$15,$F$14,$F$20,V$2,$N$1,$C392)</f>
        <v>0</v>
      </c>
      <c r="W392" s="185">
        <f ca="1">_xll.DBRW(Server&amp;Cube1,$F$17,$F$18,$F$19,$F$16,$C$14,$F$15,$F$14,$F$20,W$2,$N$1,$C392)</f>
        <v>0</v>
      </c>
      <c r="X392" s="185">
        <f ca="1">_xll.DBRW(Server&amp;Cube1,$F$17,$F$18,$F$19,$F$16,$C$14,$F$15,$F$14,$F$20,X$2,$N$1,$C392)</f>
        <v>0</v>
      </c>
      <c r="Y392" s="185">
        <f ca="1">_xll.DBRW(Server&amp;Cube1,$F$17,$F$18,$F$19,$F$16,$C$14,$F$15,$F$14,$F$20,Y$2,$N$1,$C392)</f>
        <v>0</v>
      </c>
      <c r="Z392" s="185">
        <f ca="1">_xll.DBRW(Server&amp;Cube1,$F$17,$F$18,$F$19,$F$16,$C$14,$F$15,$F$14,$F$20,Z$2,$N$1,$C392)</f>
        <v>0</v>
      </c>
      <c r="AA392" s="53"/>
      <c r="AB392" s="53"/>
      <c r="AC392" s="53"/>
      <c r="AD392" s="53"/>
      <c r="AE392" s="53"/>
      <c r="AF392" s="53"/>
      <c r="AG392" s="53"/>
      <c r="AH392" s="53"/>
      <c r="AI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</row>
    <row r="393" spans="1:47" s="9" customFormat="1" ht="24" customHeight="1" x14ac:dyDescent="0.35">
      <c r="A393" s="157">
        <f ca="1">IF($AN$35="YES",1,IF(_xll.ELCOMPN(Server&amp;$C$24,C393)&lt;&gt;0,1,IF(OR(B393=$AT$35,B393="ALL"),1,0)))</f>
        <v>1</v>
      </c>
      <c r="B393" s="139" t="str">
        <f t="shared" si="7"/>
        <v>CO</v>
      </c>
      <c r="C393" s="111" t="s">
        <v>449</v>
      </c>
      <c r="E393" s="219" t="str">
        <f ca="1">_xll.DBRA(Server&amp;$C$24,$C393,$F$21)</f>
        <v>Impôts et taxes divers (CO)</v>
      </c>
      <c r="F393" s="219"/>
      <c r="G393" s="219"/>
      <c r="H393" s="40"/>
      <c r="I393" s="192">
        <f ca="1">_xll.DBRW(Server&amp;Cube1,$F$17,$F$18,$F$19,$F$16,$C$14,$F$15,$F$14,$F$20,I$2,I$1,$C393)</f>
        <v>0</v>
      </c>
      <c r="J393" s="192">
        <f ca="1">_xll.DBRW(Server&amp;Cube1,$F$17,$F$18,$F$19,$F$16,$C$14,$F$15,$F$14,$F$20,J$2,J$1,$C393)</f>
        <v>0</v>
      </c>
      <c r="K393" s="183"/>
      <c r="L393" s="185">
        <f ca="1">_xll.DBRW(Server&amp;Cube1,$F$17,$F$18,$F$19,$F$16,$C$14,$F$15,$F$14,$F$20,L$2,L$1,$C393)</f>
        <v>0</v>
      </c>
      <c r="M393" s="184"/>
      <c r="N393" s="185">
        <f ca="1">_xll.DBRW(Server&amp;Cube1,$F$17,$F$18,$F$19,$F$16,$C$14,$F$15,$F$14,$F$20,N$2,$N$1,$C393)</f>
        <v>0</v>
      </c>
      <c r="O393" s="185">
        <f ca="1">_xll.DBRW(Server&amp;Cube1,$F$17,$F$18,$F$19,$F$16,$C$14,$F$15,$F$14,$F$20,O$2,$N$1,$C393)</f>
        <v>0</v>
      </c>
      <c r="P393" s="185">
        <f ca="1">_xll.DBRW(Server&amp;Cube1,$F$17,$F$18,$F$19,$F$16,$C$14,$F$15,$F$14,$F$20,P$2,$N$1,$C393)</f>
        <v>0</v>
      </c>
      <c r="Q393" s="185">
        <f ca="1">_xll.DBRW(Server&amp;Cube1,$F$17,$F$18,$F$19,$F$16,$C$14,$F$15,$F$14,$F$20,Q$2,$N$1,$C393)</f>
        <v>0</v>
      </c>
      <c r="R393" s="185">
        <f ca="1">_xll.DBRW(Server&amp;Cube1,$F$17,$F$18,$F$19,$F$16,$C$14,$F$15,$F$14,$F$20,R$2,$N$1,$C393)</f>
        <v>0</v>
      </c>
      <c r="S393" s="185">
        <f ca="1">_xll.DBRW(Server&amp;Cube1,$F$17,$F$18,$F$19,$F$16,$C$14,$F$15,$F$14,$F$20,S$2,$N$1,$C393)</f>
        <v>0</v>
      </c>
      <c r="T393" s="185">
        <f ca="1">_xll.DBRW(Server&amp;Cube1,$F$17,$F$18,$F$19,$F$16,$C$14,$F$15,$F$14,$F$20,T$2,$N$1,$C393)</f>
        <v>0</v>
      </c>
      <c r="U393" s="185">
        <f ca="1">_xll.DBRW(Server&amp;Cube1,$F$17,$F$18,$F$19,$F$16,$C$14,$F$15,$F$14,$F$20,U$2,$N$1,$C393)</f>
        <v>0</v>
      </c>
      <c r="V393" s="185">
        <f ca="1">_xll.DBRW(Server&amp;Cube1,$F$17,$F$18,$F$19,$F$16,$C$14,$F$15,$F$14,$F$20,V$2,$N$1,$C393)</f>
        <v>0</v>
      </c>
      <c r="W393" s="185">
        <f ca="1">_xll.DBRW(Server&amp;Cube1,$F$17,$F$18,$F$19,$F$16,$C$14,$F$15,$F$14,$F$20,W$2,$N$1,$C393)</f>
        <v>0</v>
      </c>
      <c r="X393" s="185">
        <f ca="1">_xll.DBRW(Server&amp;Cube1,$F$17,$F$18,$F$19,$F$16,$C$14,$F$15,$F$14,$F$20,X$2,$N$1,$C393)</f>
        <v>0</v>
      </c>
      <c r="Y393" s="185">
        <f ca="1">_xll.DBRW(Server&amp;Cube1,$F$17,$F$18,$F$19,$F$16,$C$14,$F$15,$F$14,$F$20,Y$2,$N$1,$C393)</f>
        <v>0</v>
      </c>
      <c r="Z393" s="185">
        <f ca="1">_xll.DBRW(Server&amp;Cube1,$F$17,$F$18,$F$19,$F$16,$C$14,$F$15,$F$14,$F$20,Z$2,$N$1,$C393)</f>
        <v>0</v>
      </c>
      <c r="AA393" s="53"/>
      <c r="AB393" s="53"/>
      <c r="AC393" s="53"/>
      <c r="AD393" s="53"/>
      <c r="AE393" s="53"/>
      <c r="AF393" s="53"/>
      <c r="AG393" s="53"/>
      <c r="AH393" s="53"/>
      <c r="AI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</row>
    <row r="394" spans="1:47" s="9" customFormat="1" ht="24" customHeight="1" x14ac:dyDescent="0.35">
      <c r="A394" s="157">
        <f ca="1">IF($AN$35="YES",1,IF(_xll.ELCOMPN(Server&amp;$C$24,C394)&lt;&gt;0,1,IF(OR(B394=$AT$35,B394="ALL"),1,0)))</f>
        <v>1</v>
      </c>
      <c r="B394" s="139" t="str">
        <f t="shared" si="7"/>
        <v>GS</v>
      </c>
      <c r="C394" s="111" t="s">
        <v>450</v>
      </c>
      <c r="E394" s="219" t="str">
        <f ca="1">_xll.DBRA(Server&amp;$C$24,$C394,$F$21)</f>
        <v>Impôts et taxes divers (SG)</v>
      </c>
      <c r="F394" s="219"/>
      <c r="G394" s="219"/>
      <c r="H394" s="40"/>
      <c r="I394" s="192">
        <f ca="1">_xll.DBRW(Server&amp;Cube1,$F$17,$F$18,$F$19,$F$16,$C$14,$F$15,$F$14,$F$20,I$2,I$1,$C394)</f>
        <v>0</v>
      </c>
      <c r="J394" s="192">
        <f ca="1">_xll.DBRW(Server&amp;Cube1,$F$17,$F$18,$F$19,$F$16,$C$14,$F$15,$F$14,$F$20,J$2,J$1,$C394)</f>
        <v>0</v>
      </c>
      <c r="K394" s="183"/>
      <c r="L394" s="185">
        <f ca="1">_xll.DBRW(Server&amp;Cube1,$F$17,$F$18,$F$19,$F$16,$C$14,$F$15,$F$14,$F$20,L$2,L$1,$C394)</f>
        <v>0</v>
      </c>
      <c r="M394" s="184"/>
      <c r="N394" s="185">
        <f ca="1">_xll.DBRW(Server&amp;Cube1,$F$17,$F$18,$F$19,$F$16,$C$14,$F$15,$F$14,$F$20,N$2,$N$1,$C394)</f>
        <v>0</v>
      </c>
      <c r="O394" s="185">
        <f ca="1">_xll.DBRW(Server&amp;Cube1,$F$17,$F$18,$F$19,$F$16,$C$14,$F$15,$F$14,$F$20,O$2,$N$1,$C394)</f>
        <v>0</v>
      </c>
      <c r="P394" s="185">
        <f ca="1">_xll.DBRW(Server&amp;Cube1,$F$17,$F$18,$F$19,$F$16,$C$14,$F$15,$F$14,$F$20,P$2,$N$1,$C394)</f>
        <v>0</v>
      </c>
      <c r="Q394" s="185">
        <f ca="1">_xll.DBRW(Server&amp;Cube1,$F$17,$F$18,$F$19,$F$16,$C$14,$F$15,$F$14,$F$20,Q$2,$N$1,$C394)</f>
        <v>0</v>
      </c>
      <c r="R394" s="185">
        <f ca="1">_xll.DBRW(Server&amp;Cube1,$F$17,$F$18,$F$19,$F$16,$C$14,$F$15,$F$14,$F$20,R$2,$N$1,$C394)</f>
        <v>0</v>
      </c>
      <c r="S394" s="185">
        <f ca="1">_xll.DBRW(Server&amp;Cube1,$F$17,$F$18,$F$19,$F$16,$C$14,$F$15,$F$14,$F$20,S$2,$N$1,$C394)</f>
        <v>0</v>
      </c>
      <c r="T394" s="185">
        <f ca="1">_xll.DBRW(Server&amp;Cube1,$F$17,$F$18,$F$19,$F$16,$C$14,$F$15,$F$14,$F$20,T$2,$N$1,$C394)</f>
        <v>0</v>
      </c>
      <c r="U394" s="185">
        <f ca="1">_xll.DBRW(Server&amp;Cube1,$F$17,$F$18,$F$19,$F$16,$C$14,$F$15,$F$14,$F$20,U$2,$N$1,$C394)</f>
        <v>0</v>
      </c>
      <c r="V394" s="185">
        <f ca="1">_xll.DBRW(Server&amp;Cube1,$F$17,$F$18,$F$19,$F$16,$C$14,$F$15,$F$14,$F$20,V$2,$N$1,$C394)</f>
        <v>0</v>
      </c>
      <c r="W394" s="185">
        <f ca="1">_xll.DBRW(Server&amp;Cube1,$F$17,$F$18,$F$19,$F$16,$C$14,$F$15,$F$14,$F$20,W$2,$N$1,$C394)</f>
        <v>0</v>
      </c>
      <c r="X394" s="185">
        <f ca="1">_xll.DBRW(Server&amp;Cube1,$F$17,$F$18,$F$19,$F$16,$C$14,$F$15,$F$14,$F$20,X$2,$N$1,$C394)</f>
        <v>0</v>
      </c>
      <c r="Y394" s="185">
        <f ca="1">_xll.DBRW(Server&amp;Cube1,$F$17,$F$18,$F$19,$F$16,$C$14,$F$15,$F$14,$F$20,Y$2,$N$1,$C394)</f>
        <v>0</v>
      </c>
      <c r="Z394" s="185">
        <f ca="1">_xll.DBRW(Server&amp;Cube1,$F$17,$F$18,$F$19,$F$16,$C$14,$F$15,$F$14,$F$20,Z$2,$N$1,$C394)</f>
        <v>0</v>
      </c>
      <c r="AA394" s="53"/>
      <c r="AB394" s="53"/>
      <c r="AC394" s="53"/>
      <c r="AD394" s="53"/>
      <c r="AE394" s="53"/>
      <c r="AF394" s="53"/>
      <c r="AG394" s="53"/>
      <c r="AH394" s="53"/>
      <c r="AI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</row>
    <row r="395" spans="1:47" s="9" customFormat="1" ht="24" customHeight="1" x14ac:dyDescent="0.35">
      <c r="A395" s="157">
        <f ca="1">IF($AN$35="YES",1,IF(_xll.ELCOMPN(Server&amp;$C$24,C395)&lt;&gt;0,1,IF(OR(B395=$AT$35,B395="ALL"),1,0)))</f>
        <v>1</v>
      </c>
      <c r="B395" s="139" t="str">
        <f t="shared" si="7"/>
        <v>RD</v>
      </c>
      <c r="C395" s="111" t="s">
        <v>451</v>
      </c>
      <c r="E395" s="219" t="str">
        <f ca="1">_xll.DBRA(Server&amp;$C$24,$C395,$F$21)</f>
        <v>Impôts et taxes divers (RD)</v>
      </c>
      <c r="F395" s="219"/>
      <c r="G395" s="219"/>
      <c r="H395" s="40"/>
      <c r="I395" s="192">
        <f ca="1">_xll.DBRW(Server&amp;Cube1,$F$17,$F$18,$F$19,$F$16,$C$14,$F$15,$F$14,$F$20,I$2,I$1,$C395)</f>
        <v>0</v>
      </c>
      <c r="J395" s="192">
        <f ca="1">_xll.DBRW(Server&amp;Cube1,$F$17,$F$18,$F$19,$F$16,$C$14,$F$15,$F$14,$F$20,J$2,J$1,$C395)</f>
        <v>0</v>
      </c>
      <c r="K395" s="183"/>
      <c r="L395" s="185">
        <f ca="1">_xll.DBRW(Server&amp;Cube1,$F$17,$F$18,$F$19,$F$16,$C$14,$F$15,$F$14,$F$20,L$2,L$1,$C395)</f>
        <v>0</v>
      </c>
      <c r="M395" s="184"/>
      <c r="N395" s="185">
        <f ca="1">_xll.DBRW(Server&amp;Cube1,$F$17,$F$18,$F$19,$F$16,$C$14,$F$15,$F$14,$F$20,N$2,$N$1,$C395)</f>
        <v>0</v>
      </c>
      <c r="O395" s="185">
        <f ca="1">_xll.DBRW(Server&amp;Cube1,$F$17,$F$18,$F$19,$F$16,$C$14,$F$15,$F$14,$F$20,O$2,$N$1,$C395)</f>
        <v>0</v>
      </c>
      <c r="P395" s="185">
        <f ca="1">_xll.DBRW(Server&amp;Cube1,$F$17,$F$18,$F$19,$F$16,$C$14,$F$15,$F$14,$F$20,P$2,$N$1,$C395)</f>
        <v>0</v>
      </c>
      <c r="Q395" s="185">
        <f ca="1">_xll.DBRW(Server&amp;Cube1,$F$17,$F$18,$F$19,$F$16,$C$14,$F$15,$F$14,$F$20,Q$2,$N$1,$C395)</f>
        <v>0</v>
      </c>
      <c r="R395" s="185">
        <f ca="1">_xll.DBRW(Server&amp;Cube1,$F$17,$F$18,$F$19,$F$16,$C$14,$F$15,$F$14,$F$20,R$2,$N$1,$C395)</f>
        <v>0</v>
      </c>
      <c r="S395" s="185">
        <f ca="1">_xll.DBRW(Server&amp;Cube1,$F$17,$F$18,$F$19,$F$16,$C$14,$F$15,$F$14,$F$20,S$2,$N$1,$C395)</f>
        <v>0</v>
      </c>
      <c r="T395" s="185">
        <f ca="1">_xll.DBRW(Server&amp;Cube1,$F$17,$F$18,$F$19,$F$16,$C$14,$F$15,$F$14,$F$20,T$2,$N$1,$C395)</f>
        <v>0</v>
      </c>
      <c r="U395" s="185">
        <f ca="1">_xll.DBRW(Server&amp;Cube1,$F$17,$F$18,$F$19,$F$16,$C$14,$F$15,$F$14,$F$20,U$2,$N$1,$C395)</f>
        <v>0</v>
      </c>
      <c r="V395" s="185">
        <f ca="1">_xll.DBRW(Server&amp;Cube1,$F$17,$F$18,$F$19,$F$16,$C$14,$F$15,$F$14,$F$20,V$2,$N$1,$C395)</f>
        <v>0</v>
      </c>
      <c r="W395" s="185">
        <f ca="1">_xll.DBRW(Server&amp;Cube1,$F$17,$F$18,$F$19,$F$16,$C$14,$F$15,$F$14,$F$20,W$2,$N$1,$C395)</f>
        <v>0</v>
      </c>
      <c r="X395" s="185">
        <f ca="1">_xll.DBRW(Server&amp;Cube1,$F$17,$F$18,$F$19,$F$16,$C$14,$F$15,$F$14,$F$20,X$2,$N$1,$C395)</f>
        <v>0</v>
      </c>
      <c r="Y395" s="185">
        <f ca="1">_xll.DBRW(Server&amp;Cube1,$F$17,$F$18,$F$19,$F$16,$C$14,$F$15,$F$14,$F$20,Y$2,$N$1,$C395)</f>
        <v>0</v>
      </c>
      <c r="Z395" s="185">
        <f ca="1">_xll.DBRW(Server&amp;Cube1,$F$17,$F$18,$F$19,$F$16,$C$14,$F$15,$F$14,$F$20,Z$2,$N$1,$C395)</f>
        <v>0</v>
      </c>
      <c r="AA395" s="53"/>
      <c r="AB395" s="53"/>
      <c r="AC395" s="53"/>
      <c r="AD395" s="53"/>
      <c r="AE395" s="53"/>
      <c r="AF395" s="53"/>
      <c r="AG395" s="53"/>
      <c r="AH395" s="53"/>
      <c r="AI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</row>
    <row r="396" spans="1:47" s="9" customFormat="1" ht="24" customHeight="1" x14ac:dyDescent="0.35">
      <c r="A396" s="157">
        <f ca="1">IF($AN$35="YES",1,IF(_xll.ELCOMPN(Server&amp;$C$24,C396)&lt;&gt;0,1,IF(OR(B396=$AT$35,B396="ALL"),1,0)))</f>
        <v>1</v>
      </c>
      <c r="B396" s="157" t="s">
        <v>488</v>
      </c>
      <c r="C396" s="113" t="s">
        <v>124</v>
      </c>
      <c r="E396" s="220" t="str">
        <f ca="1">_xll.DBRA(Server&amp;$C$24,$C396,$F$21)</f>
        <v>Dotations amortissements et provisions exceptionnelles</v>
      </c>
      <c r="F396" s="220"/>
      <c r="G396" s="220"/>
      <c r="H396" s="40"/>
      <c r="I396" s="190">
        <f ca="1">_xll.DBRW(Server&amp;Cube1,$F$17,$F$18,$F$19,$F$16,$C$14,$F$15,$F$14,$F$20,I$2,I$1,$C396)</f>
        <v>0</v>
      </c>
      <c r="J396" s="190">
        <f ca="1">_xll.DBRW(Server&amp;Cube1,$F$17,$F$18,$F$19,$F$16,$C$14,$F$15,$F$14,$F$20,J$2,J$1,$C396)</f>
        <v>0</v>
      </c>
      <c r="K396" s="180"/>
      <c r="L396" s="191">
        <f ca="1">_xll.DBRW(Server&amp;Cube1,$F$17,$F$18,$F$19,$F$16,$C$14,$F$15,$F$14,$F$20,L$2,L$1,$C396)</f>
        <v>0</v>
      </c>
      <c r="M396" s="181"/>
      <c r="N396" s="191">
        <f ca="1">_xll.DBRW(Server&amp;Cube1,$F$17,$F$18,$F$19,$F$16,$C$14,$F$15,$F$14,$F$20,N$2,$N$1,$C396)</f>
        <v>0</v>
      </c>
      <c r="O396" s="191">
        <f ca="1">_xll.DBRW(Server&amp;Cube1,$F$17,$F$18,$F$19,$F$16,$C$14,$F$15,$F$14,$F$20,O$2,$N$1,$C396)</f>
        <v>0</v>
      </c>
      <c r="P396" s="191">
        <f ca="1">_xll.DBRW(Server&amp;Cube1,$F$17,$F$18,$F$19,$F$16,$C$14,$F$15,$F$14,$F$20,P$2,$N$1,$C396)</f>
        <v>0</v>
      </c>
      <c r="Q396" s="191">
        <f ca="1">_xll.DBRW(Server&amp;Cube1,$F$17,$F$18,$F$19,$F$16,$C$14,$F$15,$F$14,$F$20,Q$2,$N$1,$C396)</f>
        <v>0</v>
      </c>
      <c r="R396" s="191">
        <f ca="1">_xll.DBRW(Server&amp;Cube1,$F$17,$F$18,$F$19,$F$16,$C$14,$F$15,$F$14,$F$20,R$2,$N$1,$C396)</f>
        <v>0</v>
      </c>
      <c r="S396" s="191">
        <f ca="1">_xll.DBRW(Server&amp;Cube1,$F$17,$F$18,$F$19,$F$16,$C$14,$F$15,$F$14,$F$20,S$2,$N$1,$C396)</f>
        <v>0</v>
      </c>
      <c r="T396" s="191">
        <f ca="1">_xll.DBRW(Server&amp;Cube1,$F$17,$F$18,$F$19,$F$16,$C$14,$F$15,$F$14,$F$20,T$2,$N$1,$C396)</f>
        <v>0</v>
      </c>
      <c r="U396" s="191">
        <f ca="1">_xll.DBRW(Server&amp;Cube1,$F$17,$F$18,$F$19,$F$16,$C$14,$F$15,$F$14,$F$20,U$2,$N$1,$C396)</f>
        <v>0</v>
      </c>
      <c r="V396" s="191">
        <f ca="1">_xll.DBRW(Server&amp;Cube1,$F$17,$F$18,$F$19,$F$16,$C$14,$F$15,$F$14,$F$20,V$2,$N$1,$C396)</f>
        <v>0</v>
      </c>
      <c r="W396" s="191">
        <f ca="1">_xll.DBRW(Server&amp;Cube1,$F$17,$F$18,$F$19,$F$16,$C$14,$F$15,$F$14,$F$20,W$2,$N$1,$C396)</f>
        <v>0</v>
      </c>
      <c r="X396" s="191">
        <f ca="1">_xll.DBRW(Server&amp;Cube1,$F$17,$F$18,$F$19,$F$16,$C$14,$F$15,$F$14,$F$20,X$2,$N$1,$C396)</f>
        <v>0</v>
      </c>
      <c r="Y396" s="191">
        <f ca="1">_xll.DBRW(Server&amp;Cube1,$F$17,$F$18,$F$19,$F$16,$C$14,$F$15,$F$14,$F$20,Y$2,$N$1,$C396)</f>
        <v>0</v>
      </c>
      <c r="Z396" s="191">
        <f ca="1">_xll.DBRW(Server&amp;Cube1,$F$17,$F$18,$F$19,$F$16,$C$14,$F$15,$F$14,$F$20,Z$2,$N$1,$C396)</f>
        <v>0</v>
      </c>
      <c r="AA396" s="53"/>
      <c r="AB396" s="53"/>
      <c r="AC396" s="53"/>
      <c r="AD396" s="53"/>
      <c r="AE396" s="53"/>
      <c r="AF396" s="53"/>
      <c r="AG396" s="53"/>
      <c r="AH396" s="53"/>
      <c r="AI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</row>
    <row r="397" spans="1:47" s="9" customFormat="1" ht="24" customHeight="1" x14ac:dyDescent="0.35">
      <c r="A397" s="157">
        <f ca="1">IF($AN$35="YES",1,IF(_xll.ELCOMPN(Server&amp;$C$24,C397)&lt;&gt;0,1,IF(OR(B397=$AT$35,B397="ALL"),1,0)))</f>
        <v>1</v>
      </c>
      <c r="B397" s="157" t="s">
        <v>488</v>
      </c>
      <c r="C397" s="111" t="s">
        <v>125</v>
      </c>
      <c r="E397" s="221" t="str">
        <f ca="1">_xll.DBRA(Server&amp;$C$24,$C397,$F$21)</f>
        <v>Amortissements exceptionnels</v>
      </c>
      <c r="F397" s="221"/>
      <c r="G397" s="221"/>
      <c r="H397" s="40"/>
      <c r="I397" s="192">
        <f ca="1">_xll.DBRW(Server&amp;Cube1,$F$17,$F$18,$F$19,$F$16,$C$14,$F$15,$F$14,$F$20,I$2,I$1,$C397)</f>
        <v>0</v>
      </c>
      <c r="J397" s="192">
        <f ca="1">_xll.DBRW(Server&amp;Cube1,$F$17,$F$18,$F$19,$F$16,$C$14,$F$15,$F$14,$F$20,J$2,J$1,$C397)</f>
        <v>0</v>
      </c>
      <c r="K397" s="183"/>
      <c r="L397" s="184">
        <f ca="1">_xll.DBRW(Server&amp;Cube1,$F$17,$F$18,$F$19,$F$16,$C$14,$F$15,$F$14,$F$20,L$2,L$1,$C397)</f>
        <v>0</v>
      </c>
      <c r="M397" s="184"/>
      <c r="N397" s="184">
        <f ca="1">_xll.DBRW(Server&amp;Cube1,$F$17,$F$18,$F$19,$F$16,$C$14,$F$15,$F$14,$F$20,N$2,$N$1,$C397)</f>
        <v>0</v>
      </c>
      <c r="O397" s="184">
        <f ca="1">_xll.DBRW(Server&amp;Cube1,$F$17,$F$18,$F$19,$F$16,$C$14,$F$15,$F$14,$F$20,O$2,$N$1,$C397)</f>
        <v>0</v>
      </c>
      <c r="P397" s="184">
        <f ca="1">_xll.DBRW(Server&amp;Cube1,$F$17,$F$18,$F$19,$F$16,$C$14,$F$15,$F$14,$F$20,P$2,$N$1,$C397)</f>
        <v>0</v>
      </c>
      <c r="Q397" s="184">
        <f ca="1">_xll.DBRW(Server&amp;Cube1,$F$17,$F$18,$F$19,$F$16,$C$14,$F$15,$F$14,$F$20,Q$2,$N$1,$C397)</f>
        <v>0</v>
      </c>
      <c r="R397" s="184">
        <f ca="1">_xll.DBRW(Server&amp;Cube1,$F$17,$F$18,$F$19,$F$16,$C$14,$F$15,$F$14,$F$20,R$2,$N$1,$C397)</f>
        <v>0</v>
      </c>
      <c r="S397" s="184">
        <f ca="1">_xll.DBRW(Server&amp;Cube1,$F$17,$F$18,$F$19,$F$16,$C$14,$F$15,$F$14,$F$20,S$2,$N$1,$C397)</f>
        <v>0</v>
      </c>
      <c r="T397" s="184">
        <f ca="1">_xll.DBRW(Server&amp;Cube1,$F$17,$F$18,$F$19,$F$16,$C$14,$F$15,$F$14,$F$20,T$2,$N$1,$C397)</f>
        <v>0</v>
      </c>
      <c r="U397" s="184">
        <f ca="1">_xll.DBRW(Server&amp;Cube1,$F$17,$F$18,$F$19,$F$16,$C$14,$F$15,$F$14,$F$20,U$2,$N$1,$C397)</f>
        <v>0</v>
      </c>
      <c r="V397" s="184">
        <f ca="1">_xll.DBRW(Server&amp;Cube1,$F$17,$F$18,$F$19,$F$16,$C$14,$F$15,$F$14,$F$20,V$2,$N$1,$C397)</f>
        <v>0</v>
      </c>
      <c r="W397" s="184">
        <f ca="1">_xll.DBRW(Server&amp;Cube1,$F$17,$F$18,$F$19,$F$16,$C$14,$F$15,$F$14,$F$20,W$2,$N$1,$C397)</f>
        <v>0</v>
      </c>
      <c r="X397" s="184">
        <f ca="1">_xll.DBRW(Server&amp;Cube1,$F$17,$F$18,$F$19,$F$16,$C$14,$F$15,$F$14,$F$20,X$2,$N$1,$C397)</f>
        <v>0</v>
      </c>
      <c r="Y397" s="184">
        <f ca="1">_xll.DBRW(Server&amp;Cube1,$F$17,$F$18,$F$19,$F$16,$C$14,$F$15,$F$14,$F$20,Y$2,$N$1,$C397)</f>
        <v>0</v>
      </c>
      <c r="Z397" s="184">
        <f ca="1">_xll.DBRW(Server&amp;Cube1,$F$17,$F$18,$F$19,$F$16,$C$14,$F$15,$F$14,$F$20,Z$2,$N$1,$C397)</f>
        <v>0</v>
      </c>
      <c r="AA397" s="53"/>
      <c r="AB397" s="53"/>
      <c r="AC397" s="53"/>
      <c r="AD397" s="53"/>
      <c r="AE397" s="53"/>
      <c r="AF397" s="53"/>
      <c r="AG397" s="53"/>
      <c r="AH397" s="53"/>
      <c r="AI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</row>
    <row r="398" spans="1:47" s="9" customFormat="1" ht="24" customHeight="1" x14ac:dyDescent="0.35">
      <c r="A398" s="157">
        <f ca="1">IF($AN$35="YES",1,IF(_xll.ELCOMPN(Server&amp;$C$24,C398)&lt;&gt;0,1,IF(OR(B398=$AT$35,B398="ALL"),1,0)))</f>
        <v>1</v>
      </c>
      <c r="B398" s="157" t="s">
        <v>488</v>
      </c>
      <c r="C398" s="137" t="s">
        <v>530</v>
      </c>
      <c r="E398" s="219" t="str">
        <f ca="1">_xll.DBRA(Server&amp;$C$24,$C398,$F$21)</f>
        <v>Amortissements exceptionnels (DG)</v>
      </c>
      <c r="F398" s="219"/>
      <c r="G398" s="219"/>
      <c r="H398" s="40"/>
      <c r="I398" s="192">
        <f ca="1">_xll.DBRW(Server&amp;Cube1,$F$17,$F$18,$F$19,$F$16,$C$14,$F$15,$F$14,$F$20,I$2,I$1,$C398)</f>
        <v>0</v>
      </c>
      <c r="J398" s="192">
        <f ca="1">_xll.DBRW(Server&amp;Cube1,$F$17,$F$18,$F$19,$F$16,$C$14,$F$15,$F$14,$F$20,J$2,J$1,$C398)</f>
        <v>0</v>
      </c>
      <c r="K398" s="183"/>
      <c r="L398" s="185">
        <f ca="1">_xll.DBRW(Server&amp;Cube1,$F$17,$F$18,$F$19,$F$16,$C$14,$F$15,$F$14,$F$20,L$2,L$1,$C398)</f>
        <v>0</v>
      </c>
      <c r="M398" s="184"/>
      <c r="N398" s="185">
        <f ca="1">_xll.DBRW(Server&amp;Cube1,$F$17,$F$18,$F$19,$F$16,$C$14,$F$15,$F$14,$F$20,N$2,$N$1,$C398)</f>
        <v>0</v>
      </c>
      <c r="O398" s="185">
        <f ca="1">_xll.DBRW(Server&amp;Cube1,$F$17,$F$18,$F$19,$F$16,$C$14,$F$15,$F$14,$F$20,O$2,$N$1,$C398)</f>
        <v>0</v>
      </c>
      <c r="P398" s="185">
        <f ca="1">_xll.DBRW(Server&amp;Cube1,$F$17,$F$18,$F$19,$F$16,$C$14,$F$15,$F$14,$F$20,P$2,$N$1,$C398)</f>
        <v>0</v>
      </c>
      <c r="Q398" s="185">
        <f ca="1">_xll.DBRW(Server&amp;Cube1,$F$17,$F$18,$F$19,$F$16,$C$14,$F$15,$F$14,$F$20,Q$2,$N$1,$C398)</f>
        <v>0</v>
      </c>
      <c r="R398" s="185">
        <f ca="1">_xll.DBRW(Server&amp;Cube1,$F$17,$F$18,$F$19,$F$16,$C$14,$F$15,$F$14,$F$20,R$2,$N$1,$C398)</f>
        <v>0</v>
      </c>
      <c r="S398" s="185">
        <f ca="1">_xll.DBRW(Server&amp;Cube1,$F$17,$F$18,$F$19,$F$16,$C$14,$F$15,$F$14,$F$20,S$2,$N$1,$C398)</f>
        <v>0</v>
      </c>
      <c r="T398" s="185">
        <f ca="1">_xll.DBRW(Server&amp;Cube1,$F$17,$F$18,$F$19,$F$16,$C$14,$F$15,$F$14,$F$20,T$2,$N$1,$C398)</f>
        <v>0</v>
      </c>
      <c r="U398" s="185">
        <f ca="1">_xll.DBRW(Server&amp;Cube1,$F$17,$F$18,$F$19,$F$16,$C$14,$F$15,$F$14,$F$20,U$2,$N$1,$C398)</f>
        <v>0</v>
      </c>
      <c r="V398" s="185">
        <f ca="1">_xll.DBRW(Server&amp;Cube1,$F$17,$F$18,$F$19,$F$16,$C$14,$F$15,$F$14,$F$20,V$2,$N$1,$C398)</f>
        <v>0</v>
      </c>
      <c r="W398" s="185">
        <f ca="1">_xll.DBRW(Server&amp;Cube1,$F$17,$F$18,$F$19,$F$16,$C$14,$F$15,$F$14,$F$20,W$2,$N$1,$C398)</f>
        <v>0</v>
      </c>
      <c r="X398" s="185">
        <f ca="1">_xll.DBRW(Server&amp;Cube1,$F$17,$F$18,$F$19,$F$16,$C$14,$F$15,$F$14,$F$20,X$2,$N$1,$C398)</f>
        <v>0</v>
      </c>
      <c r="Y398" s="185">
        <f ca="1">_xll.DBRW(Server&amp;Cube1,$F$17,$F$18,$F$19,$F$16,$C$14,$F$15,$F$14,$F$20,Y$2,$N$1,$C398)</f>
        <v>0</v>
      </c>
      <c r="Z398" s="185">
        <f ca="1">_xll.DBRW(Server&amp;Cube1,$F$17,$F$18,$F$19,$F$16,$C$14,$F$15,$F$14,$F$20,Z$2,$N$1,$C398)</f>
        <v>0</v>
      </c>
      <c r="AA398" s="53"/>
      <c r="AB398" s="53"/>
      <c r="AC398" s="53"/>
      <c r="AD398" s="53"/>
      <c r="AE398" s="53"/>
      <c r="AF398" s="53"/>
      <c r="AG398" s="53"/>
      <c r="AH398" s="53"/>
      <c r="AI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</row>
    <row r="399" spans="1:47" s="9" customFormat="1" ht="24" customHeight="1" x14ac:dyDescent="0.35">
      <c r="A399" s="157">
        <f ca="1">IF($AN$35="YES",1,IF(_xll.ELCOMPN(Server&amp;$C$24,C399)&lt;&gt;0,1,IF(OR(B399=$AT$35,B399="ALL"),1,0)))</f>
        <v>1</v>
      </c>
      <c r="B399" s="157" t="s">
        <v>488</v>
      </c>
      <c r="C399" s="111" t="s">
        <v>126</v>
      </c>
      <c r="E399" s="221" t="str">
        <f ca="1">_xll.DBRA(Server&amp;$C$24,$C399,$F$21)</f>
        <v>Provisions exceptionnelles</v>
      </c>
      <c r="F399" s="221"/>
      <c r="G399" s="221"/>
      <c r="H399" s="40"/>
      <c r="I399" s="192">
        <f ca="1">_xll.DBRW(Server&amp;Cube1,$F$17,$F$18,$F$19,$F$16,$C$14,$F$15,$F$14,$F$20,I$2,I$1,$C399)</f>
        <v>0</v>
      </c>
      <c r="J399" s="192">
        <f ca="1">_xll.DBRW(Server&amp;Cube1,$F$17,$F$18,$F$19,$F$16,$C$14,$F$15,$F$14,$F$20,J$2,J$1,$C399)</f>
        <v>0</v>
      </c>
      <c r="K399" s="183"/>
      <c r="L399" s="184">
        <f ca="1">_xll.DBRW(Server&amp;Cube1,$F$17,$F$18,$F$19,$F$16,$C$14,$F$15,$F$14,$F$20,L$2,L$1,$C399)</f>
        <v>0</v>
      </c>
      <c r="M399" s="184"/>
      <c r="N399" s="184">
        <f ca="1">_xll.DBRW(Server&amp;Cube1,$F$17,$F$18,$F$19,$F$16,$C$14,$F$15,$F$14,$F$20,N$2,$N$1,$C399)</f>
        <v>0</v>
      </c>
      <c r="O399" s="184">
        <f ca="1">_xll.DBRW(Server&amp;Cube1,$F$17,$F$18,$F$19,$F$16,$C$14,$F$15,$F$14,$F$20,O$2,$N$1,$C399)</f>
        <v>0</v>
      </c>
      <c r="P399" s="184">
        <f ca="1">_xll.DBRW(Server&amp;Cube1,$F$17,$F$18,$F$19,$F$16,$C$14,$F$15,$F$14,$F$20,P$2,$N$1,$C399)</f>
        <v>0</v>
      </c>
      <c r="Q399" s="184">
        <f ca="1">_xll.DBRW(Server&amp;Cube1,$F$17,$F$18,$F$19,$F$16,$C$14,$F$15,$F$14,$F$20,Q$2,$N$1,$C399)</f>
        <v>0</v>
      </c>
      <c r="R399" s="184">
        <f ca="1">_xll.DBRW(Server&amp;Cube1,$F$17,$F$18,$F$19,$F$16,$C$14,$F$15,$F$14,$F$20,R$2,$N$1,$C399)</f>
        <v>0</v>
      </c>
      <c r="S399" s="184">
        <f ca="1">_xll.DBRW(Server&amp;Cube1,$F$17,$F$18,$F$19,$F$16,$C$14,$F$15,$F$14,$F$20,S$2,$N$1,$C399)</f>
        <v>0</v>
      </c>
      <c r="T399" s="184">
        <f ca="1">_xll.DBRW(Server&amp;Cube1,$F$17,$F$18,$F$19,$F$16,$C$14,$F$15,$F$14,$F$20,T$2,$N$1,$C399)</f>
        <v>0</v>
      </c>
      <c r="U399" s="184">
        <f ca="1">_xll.DBRW(Server&amp;Cube1,$F$17,$F$18,$F$19,$F$16,$C$14,$F$15,$F$14,$F$20,U$2,$N$1,$C399)</f>
        <v>0</v>
      </c>
      <c r="V399" s="184">
        <f ca="1">_xll.DBRW(Server&amp;Cube1,$F$17,$F$18,$F$19,$F$16,$C$14,$F$15,$F$14,$F$20,V$2,$N$1,$C399)</f>
        <v>0</v>
      </c>
      <c r="W399" s="184">
        <f ca="1">_xll.DBRW(Server&amp;Cube1,$F$17,$F$18,$F$19,$F$16,$C$14,$F$15,$F$14,$F$20,W$2,$N$1,$C399)</f>
        <v>0</v>
      </c>
      <c r="X399" s="184">
        <f ca="1">_xll.DBRW(Server&amp;Cube1,$F$17,$F$18,$F$19,$F$16,$C$14,$F$15,$F$14,$F$20,X$2,$N$1,$C399)</f>
        <v>0</v>
      </c>
      <c r="Y399" s="184">
        <f ca="1">_xll.DBRW(Server&amp;Cube1,$F$17,$F$18,$F$19,$F$16,$C$14,$F$15,$F$14,$F$20,Y$2,$N$1,$C399)</f>
        <v>0</v>
      </c>
      <c r="Z399" s="184">
        <f ca="1">_xll.DBRW(Server&amp;Cube1,$F$17,$F$18,$F$19,$F$16,$C$14,$F$15,$F$14,$F$20,Z$2,$N$1,$C399)</f>
        <v>0</v>
      </c>
      <c r="AA399" s="53"/>
      <c r="AB399" s="53"/>
      <c r="AC399" s="53"/>
      <c r="AD399" s="53"/>
      <c r="AE399" s="53"/>
      <c r="AF399" s="53"/>
      <c r="AG399" s="53"/>
      <c r="AH399" s="53"/>
      <c r="AI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</row>
    <row r="400" spans="1:47" s="9" customFormat="1" ht="24" customHeight="1" x14ac:dyDescent="0.35">
      <c r="A400" s="157">
        <f ca="1">IF($AN$35="YES",1,IF(_xll.ELCOMPN(Server&amp;$C$24,C400)&lt;&gt;0,1,IF(OR(B400=$AT$35,B400="ALL"),1,0)))</f>
        <v>1</v>
      </c>
      <c r="B400" s="157" t="s">
        <v>488</v>
      </c>
      <c r="C400" s="137" t="s">
        <v>453</v>
      </c>
      <c r="E400" s="219" t="str">
        <f ca="1">_xll.DBRA(Server&amp;$C$24,$C400,$F$21)</f>
        <v>Pertes de valeurs (hors BFR) et provisions - liées aux frais de personnel (SO)</v>
      </c>
      <c r="F400" s="219"/>
      <c r="G400" s="219"/>
      <c r="H400" s="40"/>
      <c r="I400" s="192">
        <f ca="1">_xll.DBRW(Server&amp;Cube1,$F$17,$F$18,$F$19,$F$16,$C$14,$F$15,$F$14,$F$20,I$2,I$1,$C400)</f>
        <v>0</v>
      </c>
      <c r="J400" s="192">
        <f ca="1">_xll.DBRW(Server&amp;Cube1,$F$17,$F$18,$F$19,$F$16,$C$14,$F$15,$F$14,$F$20,J$2,J$1,$C400)</f>
        <v>0</v>
      </c>
      <c r="K400" s="183"/>
      <c r="L400" s="185">
        <f ca="1">_xll.DBRW(Server&amp;Cube1,$F$17,$F$18,$F$19,$F$16,$C$14,$F$15,$F$14,$F$20,L$2,L$1,$C400)</f>
        <v>0</v>
      </c>
      <c r="M400" s="184"/>
      <c r="N400" s="185">
        <f ca="1">_xll.DBRW(Server&amp;Cube1,$F$17,$F$18,$F$19,$F$16,$C$14,$F$15,$F$14,$F$20,N$2,$N$1,$C400)</f>
        <v>0</v>
      </c>
      <c r="O400" s="185">
        <f ca="1">_xll.DBRW(Server&amp;Cube1,$F$17,$F$18,$F$19,$F$16,$C$14,$F$15,$F$14,$F$20,O$2,$N$1,$C400)</f>
        <v>0</v>
      </c>
      <c r="P400" s="185">
        <f ca="1">_xll.DBRW(Server&amp;Cube1,$F$17,$F$18,$F$19,$F$16,$C$14,$F$15,$F$14,$F$20,P$2,$N$1,$C400)</f>
        <v>0</v>
      </c>
      <c r="Q400" s="185">
        <f ca="1">_xll.DBRW(Server&amp;Cube1,$F$17,$F$18,$F$19,$F$16,$C$14,$F$15,$F$14,$F$20,Q$2,$N$1,$C400)</f>
        <v>0</v>
      </c>
      <c r="R400" s="185">
        <f ca="1">_xll.DBRW(Server&amp;Cube1,$F$17,$F$18,$F$19,$F$16,$C$14,$F$15,$F$14,$F$20,R$2,$N$1,$C400)</f>
        <v>0</v>
      </c>
      <c r="S400" s="185">
        <f ca="1">_xll.DBRW(Server&amp;Cube1,$F$17,$F$18,$F$19,$F$16,$C$14,$F$15,$F$14,$F$20,S$2,$N$1,$C400)</f>
        <v>0</v>
      </c>
      <c r="T400" s="185">
        <f ca="1">_xll.DBRW(Server&amp;Cube1,$F$17,$F$18,$F$19,$F$16,$C$14,$F$15,$F$14,$F$20,T$2,$N$1,$C400)</f>
        <v>0</v>
      </c>
      <c r="U400" s="185">
        <f ca="1">_xll.DBRW(Server&amp;Cube1,$F$17,$F$18,$F$19,$F$16,$C$14,$F$15,$F$14,$F$20,U$2,$N$1,$C400)</f>
        <v>0</v>
      </c>
      <c r="V400" s="185">
        <f ca="1">_xll.DBRW(Server&amp;Cube1,$F$17,$F$18,$F$19,$F$16,$C$14,$F$15,$F$14,$F$20,V$2,$N$1,$C400)</f>
        <v>0</v>
      </c>
      <c r="W400" s="185">
        <f ca="1">_xll.DBRW(Server&amp;Cube1,$F$17,$F$18,$F$19,$F$16,$C$14,$F$15,$F$14,$F$20,W$2,$N$1,$C400)</f>
        <v>0</v>
      </c>
      <c r="X400" s="185">
        <f ca="1">_xll.DBRW(Server&amp;Cube1,$F$17,$F$18,$F$19,$F$16,$C$14,$F$15,$F$14,$F$20,X$2,$N$1,$C400)</f>
        <v>0</v>
      </c>
      <c r="Y400" s="185">
        <f ca="1">_xll.DBRW(Server&amp;Cube1,$F$17,$F$18,$F$19,$F$16,$C$14,$F$15,$F$14,$F$20,Y$2,$N$1,$C400)</f>
        <v>0</v>
      </c>
      <c r="Z400" s="185">
        <f ca="1">_xll.DBRW(Server&amp;Cube1,$F$17,$F$18,$F$19,$F$16,$C$14,$F$15,$F$14,$F$20,Z$2,$N$1,$C400)</f>
        <v>0</v>
      </c>
      <c r="AA400" s="53"/>
      <c r="AB400" s="53"/>
      <c r="AC400" s="53"/>
      <c r="AD400" s="53"/>
      <c r="AE400" s="53"/>
      <c r="AF400" s="53"/>
      <c r="AG400" s="53"/>
      <c r="AH400" s="53"/>
      <c r="AI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</row>
    <row r="401" spans="1:47" s="9" customFormat="1" ht="24" customHeight="1" x14ac:dyDescent="0.35">
      <c r="A401" s="157">
        <f ca="1">IF($AN$35="YES",1,IF(_xll.ELCOMPN(Server&amp;$C$24,C401)&lt;&gt;0,1,IF(OR(B401=$AT$35,B401="ALL"),1,0)))</f>
        <v>1</v>
      </c>
      <c r="B401" s="157" t="s">
        <v>488</v>
      </c>
      <c r="C401" s="137" t="s">
        <v>454</v>
      </c>
      <c r="E401" s="219" t="str">
        <f ca="1">_xll.DBRA(Server&amp;$C$24,$C401,$F$21)</f>
        <v>Dot. nettes Prov / restructurations (CA)</v>
      </c>
      <c r="F401" s="219"/>
      <c r="G401" s="219"/>
      <c r="H401" s="40"/>
      <c r="I401" s="192">
        <f ca="1">_xll.DBRW(Server&amp;Cube1,$F$17,$F$18,$F$19,$F$16,$C$14,$F$15,$F$14,$F$20,I$2,I$1,$C401)</f>
        <v>0</v>
      </c>
      <c r="J401" s="192">
        <f ca="1">_xll.DBRW(Server&amp;Cube1,$F$17,$F$18,$F$19,$F$16,$C$14,$F$15,$F$14,$F$20,J$2,J$1,$C401)</f>
        <v>0</v>
      </c>
      <c r="K401" s="183"/>
      <c r="L401" s="185">
        <f ca="1">_xll.DBRW(Server&amp;Cube1,$F$17,$F$18,$F$19,$F$16,$C$14,$F$15,$F$14,$F$20,L$2,L$1,$C401)</f>
        <v>0</v>
      </c>
      <c r="M401" s="184"/>
      <c r="N401" s="185">
        <f ca="1">_xll.DBRW(Server&amp;Cube1,$F$17,$F$18,$F$19,$F$16,$C$14,$F$15,$F$14,$F$20,N$2,$N$1,$C401)</f>
        <v>0</v>
      </c>
      <c r="O401" s="185">
        <f ca="1">_xll.DBRW(Server&amp;Cube1,$F$17,$F$18,$F$19,$F$16,$C$14,$F$15,$F$14,$F$20,O$2,$N$1,$C401)</f>
        <v>0</v>
      </c>
      <c r="P401" s="185">
        <f ca="1">_xll.DBRW(Server&amp;Cube1,$F$17,$F$18,$F$19,$F$16,$C$14,$F$15,$F$14,$F$20,P$2,$N$1,$C401)</f>
        <v>0</v>
      </c>
      <c r="Q401" s="185">
        <f ca="1">_xll.DBRW(Server&amp;Cube1,$F$17,$F$18,$F$19,$F$16,$C$14,$F$15,$F$14,$F$20,Q$2,$N$1,$C401)</f>
        <v>0</v>
      </c>
      <c r="R401" s="185">
        <f ca="1">_xll.DBRW(Server&amp;Cube1,$F$17,$F$18,$F$19,$F$16,$C$14,$F$15,$F$14,$F$20,R$2,$N$1,$C401)</f>
        <v>0</v>
      </c>
      <c r="S401" s="185">
        <f ca="1">_xll.DBRW(Server&amp;Cube1,$F$17,$F$18,$F$19,$F$16,$C$14,$F$15,$F$14,$F$20,S$2,$N$1,$C401)</f>
        <v>0</v>
      </c>
      <c r="T401" s="185">
        <f ca="1">_xll.DBRW(Server&amp;Cube1,$F$17,$F$18,$F$19,$F$16,$C$14,$F$15,$F$14,$F$20,T$2,$N$1,$C401)</f>
        <v>0</v>
      </c>
      <c r="U401" s="185">
        <f ca="1">_xll.DBRW(Server&amp;Cube1,$F$17,$F$18,$F$19,$F$16,$C$14,$F$15,$F$14,$F$20,U$2,$N$1,$C401)</f>
        <v>0</v>
      </c>
      <c r="V401" s="185">
        <f ca="1">_xll.DBRW(Server&amp;Cube1,$F$17,$F$18,$F$19,$F$16,$C$14,$F$15,$F$14,$F$20,V$2,$N$1,$C401)</f>
        <v>0</v>
      </c>
      <c r="W401" s="185">
        <f ca="1">_xll.DBRW(Server&amp;Cube1,$F$17,$F$18,$F$19,$F$16,$C$14,$F$15,$F$14,$F$20,W$2,$N$1,$C401)</f>
        <v>0</v>
      </c>
      <c r="X401" s="185">
        <f ca="1">_xll.DBRW(Server&amp;Cube1,$F$17,$F$18,$F$19,$F$16,$C$14,$F$15,$F$14,$F$20,X$2,$N$1,$C401)</f>
        <v>0</v>
      </c>
      <c r="Y401" s="185">
        <f ca="1">_xll.DBRW(Server&amp;Cube1,$F$17,$F$18,$F$19,$F$16,$C$14,$F$15,$F$14,$F$20,Y$2,$N$1,$C401)</f>
        <v>0</v>
      </c>
      <c r="Z401" s="185">
        <f ca="1">_xll.DBRW(Server&amp;Cube1,$F$17,$F$18,$F$19,$F$16,$C$14,$F$15,$F$14,$F$20,Z$2,$N$1,$C401)</f>
        <v>0</v>
      </c>
      <c r="AA401" s="53"/>
      <c r="AB401" s="53"/>
      <c r="AC401" s="53"/>
      <c r="AD401" s="53"/>
      <c r="AE401" s="53"/>
      <c r="AF401" s="53"/>
      <c r="AG401" s="53"/>
      <c r="AH401" s="53"/>
      <c r="AI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</row>
    <row r="402" spans="1:47" s="9" customFormat="1" ht="24" customHeight="1" x14ac:dyDescent="0.35">
      <c r="A402" s="157">
        <f ca="1">IF($AN$35="YES",1,IF(_xll.ELCOMPN(Server&amp;$C$24,C402)&lt;&gt;0,1,IF(OR(B402=$AT$35,B402="ALL"),1,0)))</f>
        <v>1</v>
      </c>
      <c r="B402" s="157" t="s">
        <v>488</v>
      </c>
      <c r="C402" s="137" t="s">
        <v>455</v>
      </c>
      <c r="E402" s="219" t="str">
        <f ca="1">_xll.DBRA(Server&amp;$C$24,$C402,$F$21)</f>
        <v>Dot. Nettes Prov / restructurations (DC)</v>
      </c>
      <c r="F402" s="219"/>
      <c r="G402" s="219"/>
      <c r="H402" s="40"/>
      <c r="I402" s="192">
        <f ca="1">_xll.DBRW(Server&amp;Cube1,$F$17,$F$18,$F$19,$F$16,$C$14,$F$15,$F$14,$F$20,I$2,I$1,$C402)</f>
        <v>0</v>
      </c>
      <c r="J402" s="192">
        <f ca="1">_xll.DBRW(Server&amp;Cube1,$F$17,$F$18,$F$19,$F$16,$C$14,$F$15,$F$14,$F$20,J$2,J$1,$C402)</f>
        <v>0</v>
      </c>
      <c r="K402" s="183"/>
      <c r="L402" s="185">
        <f ca="1">_xll.DBRW(Server&amp;Cube1,$F$17,$F$18,$F$19,$F$16,$C$14,$F$15,$F$14,$F$20,L$2,L$1,$C402)</f>
        <v>0</v>
      </c>
      <c r="M402" s="184"/>
      <c r="N402" s="185">
        <f ca="1">_xll.DBRW(Server&amp;Cube1,$F$17,$F$18,$F$19,$F$16,$C$14,$F$15,$F$14,$F$20,N$2,$N$1,$C402)</f>
        <v>0</v>
      </c>
      <c r="O402" s="185">
        <f ca="1">_xll.DBRW(Server&amp;Cube1,$F$17,$F$18,$F$19,$F$16,$C$14,$F$15,$F$14,$F$20,O$2,$N$1,$C402)</f>
        <v>0</v>
      </c>
      <c r="P402" s="185">
        <f ca="1">_xll.DBRW(Server&amp;Cube1,$F$17,$F$18,$F$19,$F$16,$C$14,$F$15,$F$14,$F$20,P$2,$N$1,$C402)</f>
        <v>0</v>
      </c>
      <c r="Q402" s="185">
        <f ca="1">_xll.DBRW(Server&amp;Cube1,$F$17,$F$18,$F$19,$F$16,$C$14,$F$15,$F$14,$F$20,Q$2,$N$1,$C402)</f>
        <v>0</v>
      </c>
      <c r="R402" s="185">
        <f ca="1">_xll.DBRW(Server&amp;Cube1,$F$17,$F$18,$F$19,$F$16,$C$14,$F$15,$F$14,$F$20,R$2,$N$1,$C402)</f>
        <v>0</v>
      </c>
      <c r="S402" s="185">
        <f ca="1">_xll.DBRW(Server&amp;Cube1,$F$17,$F$18,$F$19,$F$16,$C$14,$F$15,$F$14,$F$20,S$2,$N$1,$C402)</f>
        <v>0</v>
      </c>
      <c r="T402" s="185">
        <f ca="1">_xll.DBRW(Server&amp;Cube1,$F$17,$F$18,$F$19,$F$16,$C$14,$F$15,$F$14,$F$20,T$2,$N$1,$C402)</f>
        <v>0</v>
      </c>
      <c r="U402" s="185">
        <f ca="1">_xll.DBRW(Server&amp;Cube1,$F$17,$F$18,$F$19,$F$16,$C$14,$F$15,$F$14,$F$20,U$2,$N$1,$C402)</f>
        <v>0</v>
      </c>
      <c r="V402" s="185">
        <f ca="1">_xll.DBRW(Server&amp;Cube1,$F$17,$F$18,$F$19,$F$16,$C$14,$F$15,$F$14,$F$20,V$2,$N$1,$C402)</f>
        <v>0</v>
      </c>
      <c r="W402" s="185">
        <f ca="1">_xll.DBRW(Server&amp;Cube1,$F$17,$F$18,$F$19,$F$16,$C$14,$F$15,$F$14,$F$20,W$2,$N$1,$C402)</f>
        <v>0</v>
      </c>
      <c r="X402" s="185">
        <f ca="1">_xll.DBRW(Server&amp;Cube1,$F$17,$F$18,$F$19,$F$16,$C$14,$F$15,$F$14,$F$20,X$2,$N$1,$C402)</f>
        <v>0</v>
      </c>
      <c r="Y402" s="185">
        <f ca="1">_xll.DBRW(Server&amp;Cube1,$F$17,$F$18,$F$19,$F$16,$C$14,$F$15,$F$14,$F$20,Y$2,$N$1,$C402)</f>
        <v>0</v>
      </c>
      <c r="Z402" s="185">
        <f ca="1">_xll.DBRW(Server&amp;Cube1,$F$17,$F$18,$F$19,$F$16,$C$14,$F$15,$F$14,$F$20,Z$2,$N$1,$C402)</f>
        <v>0</v>
      </c>
      <c r="AA402" s="53"/>
      <c r="AB402" s="53"/>
      <c r="AC402" s="53"/>
      <c r="AD402" s="53"/>
      <c r="AE402" s="53"/>
      <c r="AF402" s="53"/>
      <c r="AG402" s="53"/>
      <c r="AH402" s="53"/>
      <c r="AI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</row>
    <row r="403" spans="1:47" s="9" customFormat="1" ht="24" customHeight="1" x14ac:dyDescent="0.35">
      <c r="A403" s="157">
        <f ca="1">IF($AN$35="YES",1,IF(_xll.ELCOMPN(Server&amp;$C$24,C403)&lt;&gt;0,1,IF(OR(B403=$AT$35,B403="ALL"),1,0)))</f>
        <v>1</v>
      </c>
      <c r="B403" s="157" t="s">
        <v>488</v>
      </c>
      <c r="C403" s="137" t="s">
        <v>456</v>
      </c>
      <c r="E403" s="219" t="str">
        <f ca="1">_xll.DBRA(Server&amp;$C$24,$C403,$F$21)</f>
        <v>Autres pertes de valeurs et provisions (DG)</v>
      </c>
      <c r="F403" s="219"/>
      <c r="G403" s="219"/>
      <c r="H403" s="40"/>
      <c r="I403" s="192">
        <f ca="1">_xll.DBRW(Server&amp;Cube1,$F$17,$F$18,$F$19,$F$16,$C$14,$F$15,$F$14,$F$20,I$2,I$1,$C403)</f>
        <v>0</v>
      </c>
      <c r="J403" s="192">
        <f ca="1">_xll.DBRW(Server&amp;Cube1,$F$17,$F$18,$F$19,$F$16,$C$14,$F$15,$F$14,$F$20,J$2,J$1,$C403)</f>
        <v>0</v>
      </c>
      <c r="K403" s="183"/>
      <c r="L403" s="185">
        <f ca="1">_xll.DBRW(Server&amp;Cube1,$F$17,$F$18,$F$19,$F$16,$C$14,$F$15,$F$14,$F$20,L$2,L$1,$C403)</f>
        <v>0</v>
      </c>
      <c r="M403" s="184"/>
      <c r="N403" s="185">
        <f ca="1">_xll.DBRW(Server&amp;Cube1,$F$17,$F$18,$F$19,$F$16,$C$14,$F$15,$F$14,$F$20,N$2,$N$1,$C403)</f>
        <v>0</v>
      </c>
      <c r="O403" s="185">
        <f ca="1">_xll.DBRW(Server&amp;Cube1,$F$17,$F$18,$F$19,$F$16,$C$14,$F$15,$F$14,$F$20,O$2,$N$1,$C403)</f>
        <v>0</v>
      </c>
      <c r="P403" s="185">
        <f ca="1">_xll.DBRW(Server&amp;Cube1,$F$17,$F$18,$F$19,$F$16,$C$14,$F$15,$F$14,$F$20,P$2,$N$1,$C403)</f>
        <v>0</v>
      </c>
      <c r="Q403" s="185">
        <f ca="1">_xll.DBRW(Server&amp;Cube1,$F$17,$F$18,$F$19,$F$16,$C$14,$F$15,$F$14,$F$20,Q$2,$N$1,$C403)</f>
        <v>0</v>
      </c>
      <c r="R403" s="185">
        <f ca="1">_xll.DBRW(Server&amp;Cube1,$F$17,$F$18,$F$19,$F$16,$C$14,$F$15,$F$14,$F$20,R$2,$N$1,$C403)</f>
        <v>0</v>
      </c>
      <c r="S403" s="185">
        <f ca="1">_xll.DBRW(Server&amp;Cube1,$F$17,$F$18,$F$19,$F$16,$C$14,$F$15,$F$14,$F$20,S$2,$N$1,$C403)</f>
        <v>0</v>
      </c>
      <c r="T403" s="185">
        <f ca="1">_xll.DBRW(Server&amp;Cube1,$F$17,$F$18,$F$19,$F$16,$C$14,$F$15,$F$14,$F$20,T$2,$N$1,$C403)</f>
        <v>0</v>
      </c>
      <c r="U403" s="185">
        <f ca="1">_xll.DBRW(Server&amp;Cube1,$F$17,$F$18,$F$19,$F$16,$C$14,$F$15,$F$14,$F$20,U$2,$N$1,$C403)</f>
        <v>0</v>
      </c>
      <c r="V403" s="185">
        <f ca="1">_xll.DBRW(Server&amp;Cube1,$F$17,$F$18,$F$19,$F$16,$C$14,$F$15,$F$14,$F$20,V$2,$N$1,$C403)</f>
        <v>0</v>
      </c>
      <c r="W403" s="185">
        <f ca="1">_xll.DBRW(Server&amp;Cube1,$F$17,$F$18,$F$19,$F$16,$C$14,$F$15,$F$14,$F$20,W$2,$N$1,$C403)</f>
        <v>0</v>
      </c>
      <c r="X403" s="185">
        <f ca="1">_xll.DBRW(Server&amp;Cube1,$F$17,$F$18,$F$19,$F$16,$C$14,$F$15,$F$14,$F$20,X$2,$N$1,$C403)</f>
        <v>0</v>
      </c>
      <c r="Y403" s="185">
        <f ca="1">_xll.DBRW(Server&amp;Cube1,$F$17,$F$18,$F$19,$F$16,$C$14,$F$15,$F$14,$F$20,Y$2,$N$1,$C403)</f>
        <v>0</v>
      </c>
      <c r="Z403" s="185">
        <f ca="1">_xll.DBRW(Server&amp;Cube1,$F$17,$F$18,$F$19,$F$16,$C$14,$F$15,$F$14,$F$20,Z$2,$N$1,$C403)</f>
        <v>0</v>
      </c>
      <c r="AA403" s="53"/>
      <c r="AB403" s="53"/>
      <c r="AC403" s="53"/>
      <c r="AD403" s="53"/>
      <c r="AE403" s="53"/>
      <c r="AF403" s="53"/>
      <c r="AG403" s="53"/>
      <c r="AH403" s="53"/>
      <c r="AI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</row>
    <row r="404" spans="1:47" s="9" customFormat="1" ht="24" customHeight="1" x14ac:dyDescent="0.35">
      <c r="A404" s="157">
        <f ca="1">IF($AN$35="YES",1,IF(_xll.ELCOMPN(Server&amp;$C$24,C404)&lt;&gt;0,1,IF(OR(B404=$AT$35,B404="ALL"),1,0)))</f>
        <v>1</v>
      </c>
      <c r="B404" s="157" t="s">
        <v>488</v>
      </c>
      <c r="C404" s="137" t="s">
        <v>457</v>
      </c>
      <c r="E404" s="219" t="str">
        <f ca="1">_xll.DBRA(Server&amp;$C$24,$C404,$F$21)</f>
        <v>Reprise des pertes de valeur sur titres cédés</v>
      </c>
      <c r="F404" s="219"/>
      <c r="G404" s="219"/>
      <c r="H404" s="40"/>
      <c r="I404" s="192">
        <f ca="1">_xll.DBRW(Server&amp;Cube1,$F$17,$F$18,$F$19,$F$16,$C$14,$F$15,$F$14,$F$20,I$2,I$1,$C404)</f>
        <v>0</v>
      </c>
      <c r="J404" s="192">
        <f ca="1">_xll.DBRW(Server&amp;Cube1,$F$17,$F$18,$F$19,$F$16,$C$14,$F$15,$F$14,$F$20,J$2,J$1,$C404)</f>
        <v>0</v>
      </c>
      <c r="K404" s="183"/>
      <c r="L404" s="185">
        <f ca="1">_xll.DBRW(Server&amp;Cube1,$F$17,$F$18,$F$19,$F$16,$C$14,$F$15,$F$14,$F$20,L$2,L$1,$C404)</f>
        <v>0</v>
      </c>
      <c r="M404" s="184"/>
      <c r="N404" s="185">
        <f ca="1">_xll.DBRW(Server&amp;Cube1,$F$17,$F$18,$F$19,$F$16,$C$14,$F$15,$F$14,$F$20,N$2,$N$1,$C404)</f>
        <v>0</v>
      </c>
      <c r="O404" s="185">
        <f ca="1">_xll.DBRW(Server&amp;Cube1,$F$17,$F$18,$F$19,$F$16,$C$14,$F$15,$F$14,$F$20,O$2,$N$1,$C404)</f>
        <v>0</v>
      </c>
      <c r="P404" s="185">
        <f ca="1">_xll.DBRW(Server&amp;Cube1,$F$17,$F$18,$F$19,$F$16,$C$14,$F$15,$F$14,$F$20,P$2,$N$1,$C404)</f>
        <v>0</v>
      </c>
      <c r="Q404" s="185">
        <f ca="1">_xll.DBRW(Server&amp;Cube1,$F$17,$F$18,$F$19,$F$16,$C$14,$F$15,$F$14,$F$20,Q$2,$N$1,$C404)</f>
        <v>0</v>
      </c>
      <c r="R404" s="185">
        <f ca="1">_xll.DBRW(Server&amp;Cube1,$F$17,$F$18,$F$19,$F$16,$C$14,$F$15,$F$14,$F$20,R$2,$N$1,$C404)</f>
        <v>0</v>
      </c>
      <c r="S404" s="185">
        <f ca="1">_xll.DBRW(Server&amp;Cube1,$F$17,$F$18,$F$19,$F$16,$C$14,$F$15,$F$14,$F$20,S$2,$N$1,$C404)</f>
        <v>0</v>
      </c>
      <c r="T404" s="185">
        <f ca="1">_xll.DBRW(Server&amp;Cube1,$F$17,$F$18,$F$19,$F$16,$C$14,$F$15,$F$14,$F$20,T$2,$N$1,$C404)</f>
        <v>0</v>
      </c>
      <c r="U404" s="185">
        <f ca="1">_xll.DBRW(Server&amp;Cube1,$F$17,$F$18,$F$19,$F$16,$C$14,$F$15,$F$14,$F$20,U$2,$N$1,$C404)</f>
        <v>0</v>
      </c>
      <c r="V404" s="185">
        <f ca="1">_xll.DBRW(Server&amp;Cube1,$F$17,$F$18,$F$19,$F$16,$C$14,$F$15,$F$14,$F$20,V$2,$N$1,$C404)</f>
        <v>0</v>
      </c>
      <c r="W404" s="185">
        <f ca="1">_xll.DBRW(Server&amp;Cube1,$F$17,$F$18,$F$19,$F$16,$C$14,$F$15,$F$14,$F$20,W$2,$N$1,$C404)</f>
        <v>0</v>
      </c>
      <c r="X404" s="185">
        <f ca="1">_xll.DBRW(Server&amp;Cube1,$F$17,$F$18,$F$19,$F$16,$C$14,$F$15,$F$14,$F$20,X$2,$N$1,$C404)</f>
        <v>0</v>
      </c>
      <c r="Y404" s="185">
        <f ca="1">_xll.DBRW(Server&amp;Cube1,$F$17,$F$18,$F$19,$F$16,$C$14,$F$15,$F$14,$F$20,Y$2,$N$1,$C404)</f>
        <v>0</v>
      </c>
      <c r="Z404" s="185">
        <f ca="1">_xll.DBRW(Server&amp;Cube1,$F$17,$F$18,$F$19,$F$16,$C$14,$F$15,$F$14,$F$20,Z$2,$N$1,$C404)</f>
        <v>0</v>
      </c>
      <c r="AA404" s="53"/>
      <c r="AB404" s="53"/>
      <c r="AC404" s="53"/>
      <c r="AD404" s="53"/>
      <c r="AE404" s="53"/>
      <c r="AF404" s="53"/>
      <c r="AG404" s="53"/>
      <c r="AH404" s="53"/>
      <c r="AI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</row>
    <row r="405" spans="1:47" s="9" customFormat="1" ht="24" customHeight="1" x14ac:dyDescent="0.35">
      <c r="A405" s="157">
        <f ca="1">IF($AN$35="YES",1,IF(_xll.ELCOMPN(Server&amp;$C$24,C405)&lt;&gt;0,1,IF(OR(B405=$AT$35,B405="ALL"),1,0)))</f>
        <v>1</v>
      </c>
      <c r="B405" s="157" t="s">
        <v>488</v>
      </c>
      <c r="C405" s="137" t="s">
        <v>458</v>
      </c>
      <c r="E405" s="219" t="str">
        <f ca="1">_xll.DBRA(Server&amp;$C$24,$C405,$F$21)</f>
        <v>Dot. Nettes Prov / restructurations (DG)</v>
      </c>
      <c r="F405" s="219"/>
      <c r="G405" s="219"/>
      <c r="H405" s="40"/>
      <c r="I405" s="192">
        <f ca="1">_xll.DBRW(Server&amp;Cube1,$F$17,$F$18,$F$19,$F$16,$C$14,$F$15,$F$14,$F$20,I$2,I$1,$C405)</f>
        <v>0</v>
      </c>
      <c r="J405" s="192">
        <f ca="1">_xll.DBRW(Server&amp;Cube1,$F$17,$F$18,$F$19,$F$16,$C$14,$F$15,$F$14,$F$20,J$2,J$1,$C405)</f>
        <v>0</v>
      </c>
      <c r="K405" s="183"/>
      <c r="L405" s="185">
        <f ca="1">_xll.DBRW(Server&amp;Cube1,$F$17,$F$18,$F$19,$F$16,$C$14,$F$15,$F$14,$F$20,L$2,L$1,$C405)</f>
        <v>0</v>
      </c>
      <c r="M405" s="184"/>
      <c r="N405" s="185">
        <f ca="1">_xll.DBRW(Server&amp;Cube1,$F$17,$F$18,$F$19,$F$16,$C$14,$F$15,$F$14,$F$20,N$2,$N$1,$C405)</f>
        <v>0</v>
      </c>
      <c r="O405" s="185">
        <f ca="1">_xll.DBRW(Server&amp;Cube1,$F$17,$F$18,$F$19,$F$16,$C$14,$F$15,$F$14,$F$20,O$2,$N$1,$C405)</f>
        <v>0</v>
      </c>
      <c r="P405" s="185">
        <f ca="1">_xll.DBRW(Server&amp;Cube1,$F$17,$F$18,$F$19,$F$16,$C$14,$F$15,$F$14,$F$20,P$2,$N$1,$C405)</f>
        <v>0</v>
      </c>
      <c r="Q405" s="185">
        <f ca="1">_xll.DBRW(Server&amp;Cube1,$F$17,$F$18,$F$19,$F$16,$C$14,$F$15,$F$14,$F$20,Q$2,$N$1,$C405)</f>
        <v>0</v>
      </c>
      <c r="R405" s="185">
        <f ca="1">_xll.DBRW(Server&amp;Cube1,$F$17,$F$18,$F$19,$F$16,$C$14,$F$15,$F$14,$F$20,R$2,$N$1,$C405)</f>
        <v>0</v>
      </c>
      <c r="S405" s="185">
        <f ca="1">_xll.DBRW(Server&amp;Cube1,$F$17,$F$18,$F$19,$F$16,$C$14,$F$15,$F$14,$F$20,S$2,$N$1,$C405)</f>
        <v>0</v>
      </c>
      <c r="T405" s="185">
        <f ca="1">_xll.DBRW(Server&amp;Cube1,$F$17,$F$18,$F$19,$F$16,$C$14,$F$15,$F$14,$F$20,T$2,$N$1,$C405)</f>
        <v>0</v>
      </c>
      <c r="U405" s="185">
        <f ca="1">_xll.DBRW(Server&amp;Cube1,$F$17,$F$18,$F$19,$F$16,$C$14,$F$15,$F$14,$F$20,U$2,$N$1,$C405)</f>
        <v>0</v>
      </c>
      <c r="V405" s="185">
        <f ca="1">_xll.DBRW(Server&amp;Cube1,$F$17,$F$18,$F$19,$F$16,$C$14,$F$15,$F$14,$F$20,V$2,$N$1,$C405)</f>
        <v>0</v>
      </c>
      <c r="W405" s="185">
        <f ca="1">_xll.DBRW(Server&amp;Cube1,$F$17,$F$18,$F$19,$F$16,$C$14,$F$15,$F$14,$F$20,W$2,$N$1,$C405)</f>
        <v>0</v>
      </c>
      <c r="X405" s="185">
        <f ca="1">_xll.DBRW(Server&amp;Cube1,$F$17,$F$18,$F$19,$F$16,$C$14,$F$15,$F$14,$F$20,X$2,$N$1,$C405)</f>
        <v>0</v>
      </c>
      <c r="Y405" s="185">
        <f ca="1">_xll.DBRW(Server&amp;Cube1,$F$17,$F$18,$F$19,$F$16,$C$14,$F$15,$F$14,$F$20,Y$2,$N$1,$C405)</f>
        <v>0</v>
      </c>
      <c r="Z405" s="185">
        <f ca="1">_xll.DBRW(Server&amp;Cube1,$F$17,$F$18,$F$19,$F$16,$C$14,$F$15,$F$14,$F$20,Z$2,$N$1,$C405)</f>
        <v>0</v>
      </c>
      <c r="AA405" s="53"/>
      <c r="AB405" s="53"/>
      <c r="AC405" s="53"/>
      <c r="AD405" s="53"/>
      <c r="AE405" s="53"/>
      <c r="AF405" s="53"/>
      <c r="AG405" s="53"/>
      <c r="AH405" s="53"/>
      <c r="AI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</row>
    <row r="406" spans="1:47" s="9" customFormat="1" ht="24" customHeight="1" x14ac:dyDescent="0.35">
      <c r="A406" s="157">
        <f ca="1">IF($AN$35="YES",1,IF(_xll.ELCOMPN(Server&amp;$C$24,C406)&lt;&gt;0,1,IF(OR(B406=$AT$35,B406="ALL"),1,0)))</f>
        <v>1</v>
      </c>
      <c r="B406" s="157" t="s">
        <v>488</v>
      </c>
      <c r="C406" s="113" t="s">
        <v>127</v>
      </c>
      <c r="E406" s="220" t="str">
        <f ca="1">_xll.DBRA(Server&amp;$C$24,$C406,$F$21)</f>
        <v>Autres produits et charges exceptionnelles</v>
      </c>
      <c r="F406" s="220"/>
      <c r="G406" s="220"/>
      <c r="H406" s="40"/>
      <c r="I406" s="190">
        <f ca="1">_xll.DBRW(Server&amp;Cube1,$F$17,$F$18,$F$19,$F$16,$C$14,$F$15,$F$14,$F$20,I$2,I$1,$C406)</f>
        <v>0</v>
      </c>
      <c r="J406" s="190">
        <f ca="1">_xll.DBRW(Server&amp;Cube1,$F$17,$F$18,$F$19,$F$16,$C$14,$F$15,$F$14,$F$20,J$2,J$1,$C406)</f>
        <v>0</v>
      </c>
      <c r="K406" s="180"/>
      <c r="L406" s="191">
        <f ca="1">_xll.DBRW(Server&amp;Cube1,$F$17,$F$18,$F$19,$F$16,$C$14,$F$15,$F$14,$F$20,L$2,L$1,$C406)</f>
        <v>0</v>
      </c>
      <c r="M406" s="181"/>
      <c r="N406" s="191">
        <f ca="1">_xll.DBRW(Server&amp;Cube1,$F$17,$F$18,$F$19,$F$16,$C$14,$F$15,$F$14,$F$20,N$2,$N$1,$C406)</f>
        <v>0</v>
      </c>
      <c r="O406" s="191">
        <f ca="1">_xll.DBRW(Server&amp;Cube1,$F$17,$F$18,$F$19,$F$16,$C$14,$F$15,$F$14,$F$20,O$2,$N$1,$C406)</f>
        <v>0</v>
      </c>
      <c r="P406" s="191">
        <f ca="1">_xll.DBRW(Server&amp;Cube1,$F$17,$F$18,$F$19,$F$16,$C$14,$F$15,$F$14,$F$20,P$2,$N$1,$C406)</f>
        <v>0</v>
      </c>
      <c r="Q406" s="191">
        <f ca="1">_xll.DBRW(Server&amp;Cube1,$F$17,$F$18,$F$19,$F$16,$C$14,$F$15,$F$14,$F$20,Q$2,$N$1,$C406)</f>
        <v>0</v>
      </c>
      <c r="R406" s="191">
        <f ca="1">_xll.DBRW(Server&amp;Cube1,$F$17,$F$18,$F$19,$F$16,$C$14,$F$15,$F$14,$F$20,R$2,$N$1,$C406)</f>
        <v>0</v>
      </c>
      <c r="S406" s="191">
        <f ca="1">_xll.DBRW(Server&amp;Cube1,$F$17,$F$18,$F$19,$F$16,$C$14,$F$15,$F$14,$F$20,S$2,$N$1,$C406)</f>
        <v>0</v>
      </c>
      <c r="T406" s="191">
        <f ca="1">_xll.DBRW(Server&amp;Cube1,$F$17,$F$18,$F$19,$F$16,$C$14,$F$15,$F$14,$F$20,T$2,$N$1,$C406)</f>
        <v>0</v>
      </c>
      <c r="U406" s="191">
        <f ca="1">_xll.DBRW(Server&amp;Cube1,$F$17,$F$18,$F$19,$F$16,$C$14,$F$15,$F$14,$F$20,U$2,$N$1,$C406)</f>
        <v>0</v>
      </c>
      <c r="V406" s="191">
        <f ca="1">_xll.DBRW(Server&amp;Cube1,$F$17,$F$18,$F$19,$F$16,$C$14,$F$15,$F$14,$F$20,V$2,$N$1,$C406)</f>
        <v>0</v>
      </c>
      <c r="W406" s="191">
        <f ca="1">_xll.DBRW(Server&amp;Cube1,$F$17,$F$18,$F$19,$F$16,$C$14,$F$15,$F$14,$F$20,W$2,$N$1,$C406)</f>
        <v>0</v>
      </c>
      <c r="X406" s="191">
        <f ca="1">_xll.DBRW(Server&amp;Cube1,$F$17,$F$18,$F$19,$F$16,$C$14,$F$15,$F$14,$F$20,X$2,$N$1,$C406)</f>
        <v>0</v>
      </c>
      <c r="Y406" s="191">
        <f ca="1">_xll.DBRW(Server&amp;Cube1,$F$17,$F$18,$F$19,$F$16,$C$14,$F$15,$F$14,$F$20,Y$2,$N$1,$C406)</f>
        <v>0</v>
      </c>
      <c r="Z406" s="191">
        <f ca="1">_xll.DBRW(Server&amp;Cube1,$F$17,$F$18,$F$19,$F$16,$C$14,$F$15,$F$14,$F$20,Z$2,$N$1,$C406)</f>
        <v>0</v>
      </c>
      <c r="AA406" s="53"/>
      <c r="AB406" s="53"/>
      <c r="AC406" s="53"/>
      <c r="AD406" s="53"/>
      <c r="AE406" s="53"/>
      <c r="AF406" s="53"/>
      <c r="AG406" s="53"/>
      <c r="AH406" s="53"/>
      <c r="AI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</row>
    <row r="407" spans="1:47" s="9" customFormat="1" ht="24" customHeight="1" x14ac:dyDescent="0.35">
      <c r="A407" s="157">
        <f ca="1">IF($AN$35="YES",1,IF(_xll.ELCOMPN(Server&amp;$C$24,C407)&lt;&gt;0,1,IF(OR(B407=$AT$35,B407="ALL"),1,0)))</f>
        <v>1</v>
      </c>
      <c r="B407" s="157" t="s">
        <v>488</v>
      </c>
      <c r="C407" s="137" t="s">
        <v>128</v>
      </c>
      <c r="E407" s="221" t="str">
        <f ca="1">_xll.DBRA(Server&amp;$C$24,$C407,$F$21)</f>
        <v>Autres produits exceptionnels</v>
      </c>
      <c r="F407" s="221"/>
      <c r="G407" s="221"/>
      <c r="H407" s="40"/>
      <c r="I407" s="192">
        <f ca="1">_xll.DBRW(Server&amp;Cube1,$F$17,$F$18,$F$19,$F$16,$C$14,$F$15,$F$14,$F$20,I$2,I$1,$C407)</f>
        <v>0</v>
      </c>
      <c r="J407" s="192">
        <f ca="1">_xll.DBRW(Server&amp;Cube1,$F$17,$F$18,$F$19,$F$16,$C$14,$F$15,$F$14,$F$20,J$2,J$1,$C407)</f>
        <v>0</v>
      </c>
      <c r="K407" s="183"/>
      <c r="L407" s="185">
        <f ca="1">_xll.DBRW(Server&amp;Cube1,$F$17,$F$18,$F$19,$F$16,$C$14,$F$15,$F$14,$F$20,L$2,L$1,$C407)</f>
        <v>0</v>
      </c>
      <c r="M407" s="184"/>
      <c r="N407" s="185">
        <f ca="1">_xll.DBRW(Server&amp;Cube1,$F$17,$F$18,$F$19,$F$16,$C$14,$F$15,$F$14,$F$20,N$2,$N$1,$C407)</f>
        <v>0</v>
      </c>
      <c r="O407" s="185">
        <f ca="1">_xll.DBRW(Server&amp;Cube1,$F$17,$F$18,$F$19,$F$16,$C$14,$F$15,$F$14,$F$20,O$2,$N$1,$C407)</f>
        <v>0</v>
      </c>
      <c r="P407" s="185">
        <f ca="1">_xll.DBRW(Server&amp;Cube1,$F$17,$F$18,$F$19,$F$16,$C$14,$F$15,$F$14,$F$20,P$2,$N$1,$C407)</f>
        <v>0</v>
      </c>
      <c r="Q407" s="185">
        <f ca="1">_xll.DBRW(Server&amp;Cube1,$F$17,$F$18,$F$19,$F$16,$C$14,$F$15,$F$14,$F$20,Q$2,$N$1,$C407)</f>
        <v>0</v>
      </c>
      <c r="R407" s="185">
        <f ca="1">_xll.DBRW(Server&amp;Cube1,$F$17,$F$18,$F$19,$F$16,$C$14,$F$15,$F$14,$F$20,R$2,$N$1,$C407)</f>
        <v>0</v>
      </c>
      <c r="S407" s="185">
        <f ca="1">_xll.DBRW(Server&amp;Cube1,$F$17,$F$18,$F$19,$F$16,$C$14,$F$15,$F$14,$F$20,S$2,$N$1,$C407)</f>
        <v>0</v>
      </c>
      <c r="T407" s="185">
        <f ca="1">_xll.DBRW(Server&amp;Cube1,$F$17,$F$18,$F$19,$F$16,$C$14,$F$15,$F$14,$F$20,T$2,$N$1,$C407)</f>
        <v>0</v>
      </c>
      <c r="U407" s="185">
        <f ca="1">_xll.DBRW(Server&amp;Cube1,$F$17,$F$18,$F$19,$F$16,$C$14,$F$15,$F$14,$F$20,U$2,$N$1,$C407)</f>
        <v>0</v>
      </c>
      <c r="V407" s="185">
        <f ca="1">_xll.DBRW(Server&amp;Cube1,$F$17,$F$18,$F$19,$F$16,$C$14,$F$15,$F$14,$F$20,V$2,$N$1,$C407)</f>
        <v>0</v>
      </c>
      <c r="W407" s="185">
        <f ca="1">_xll.DBRW(Server&amp;Cube1,$F$17,$F$18,$F$19,$F$16,$C$14,$F$15,$F$14,$F$20,W$2,$N$1,$C407)</f>
        <v>0</v>
      </c>
      <c r="X407" s="185">
        <f ca="1">_xll.DBRW(Server&amp;Cube1,$F$17,$F$18,$F$19,$F$16,$C$14,$F$15,$F$14,$F$20,X$2,$N$1,$C407)</f>
        <v>0</v>
      </c>
      <c r="Y407" s="185">
        <f ca="1">_xll.DBRW(Server&amp;Cube1,$F$17,$F$18,$F$19,$F$16,$C$14,$F$15,$F$14,$F$20,Y$2,$N$1,$C407)</f>
        <v>0</v>
      </c>
      <c r="Z407" s="185">
        <f ca="1">_xll.DBRW(Server&amp;Cube1,$F$17,$F$18,$F$19,$F$16,$C$14,$F$15,$F$14,$F$20,Z$2,$N$1,$C407)</f>
        <v>0</v>
      </c>
      <c r="AA407" s="53"/>
      <c r="AB407" s="53"/>
      <c r="AC407" s="53"/>
      <c r="AD407" s="53"/>
      <c r="AE407" s="53"/>
      <c r="AF407" s="53"/>
      <c r="AG407" s="53"/>
      <c r="AH407" s="53"/>
      <c r="AI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</row>
    <row r="408" spans="1:47" s="9" customFormat="1" ht="24" customHeight="1" x14ac:dyDescent="0.35">
      <c r="A408" s="157">
        <f ca="1">IF($AN$35="YES",1,IF(_xll.ELCOMPN(Server&amp;$C$24,C408)&lt;&gt;0,1,IF(OR(B408=$AT$35,B408="ALL"),1,0)))</f>
        <v>1</v>
      </c>
      <c r="B408" s="157" t="s">
        <v>488</v>
      </c>
      <c r="C408" s="111" t="s">
        <v>129</v>
      </c>
      <c r="E408" s="221" t="str">
        <f ca="1">_xll.DBRA(Server&amp;$C$24,$C408,$F$21)</f>
        <v>Autres charges exceptionnelles</v>
      </c>
      <c r="F408" s="221"/>
      <c r="G408" s="221"/>
      <c r="H408" s="40"/>
      <c r="I408" s="192">
        <f ca="1">_xll.DBRW(Server&amp;Cube1,$F$17,$F$18,$F$19,$F$16,$C$14,$F$15,$F$14,$F$20,I$2,I$1,$C408)</f>
        <v>0</v>
      </c>
      <c r="J408" s="192">
        <f ca="1">_xll.DBRW(Server&amp;Cube1,$F$17,$F$18,$F$19,$F$16,$C$14,$F$15,$F$14,$F$20,J$2,J$1,$C408)</f>
        <v>0</v>
      </c>
      <c r="K408" s="183"/>
      <c r="L408" s="181">
        <f ca="1">_xll.DBRW(Server&amp;Cube1,$F$17,$F$18,$F$19,$F$16,$C$14,$F$15,$F$14,$F$20,L$2,L$1,$C408)</f>
        <v>0</v>
      </c>
      <c r="M408" s="181"/>
      <c r="N408" s="181">
        <f ca="1">_xll.DBRW(Server&amp;Cube1,$F$17,$F$18,$F$19,$F$16,$C$14,$F$15,$F$14,$F$20,N$2,$N$1,$C408)</f>
        <v>0</v>
      </c>
      <c r="O408" s="181">
        <f ca="1">_xll.DBRW(Server&amp;Cube1,$F$17,$F$18,$F$19,$F$16,$C$14,$F$15,$F$14,$F$20,O$2,$N$1,$C408)</f>
        <v>0</v>
      </c>
      <c r="P408" s="181">
        <f ca="1">_xll.DBRW(Server&amp;Cube1,$F$17,$F$18,$F$19,$F$16,$C$14,$F$15,$F$14,$F$20,P$2,$N$1,$C408)</f>
        <v>0</v>
      </c>
      <c r="Q408" s="181">
        <f ca="1">_xll.DBRW(Server&amp;Cube1,$F$17,$F$18,$F$19,$F$16,$C$14,$F$15,$F$14,$F$20,Q$2,$N$1,$C408)</f>
        <v>0</v>
      </c>
      <c r="R408" s="181">
        <f ca="1">_xll.DBRW(Server&amp;Cube1,$F$17,$F$18,$F$19,$F$16,$C$14,$F$15,$F$14,$F$20,R$2,$N$1,$C408)</f>
        <v>0</v>
      </c>
      <c r="S408" s="181">
        <f ca="1">_xll.DBRW(Server&amp;Cube1,$F$17,$F$18,$F$19,$F$16,$C$14,$F$15,$F$14,$F$20,S$2,$N$1,$C408)</f>
        <v>0</v>
      </c>
      <c r="T408" s="181">
        <f ca="1">_xll.DBRW(Server&amp;Cube1,$F$17,$F$18,$F$19,$F$16,$C$14,$F$15,$F$14,$F$20,T$2,$N$1,$C408)</f>
        <v>0</v>
      </c>
      <c r="U408" s="181">
        <f ca="1">_xll.DBRW(Server&amp;Cube1,$F$17,$F$18,$F$19,$F$16,$C$14,$F$15,$F$14,$F$20,U$2,$N$1,$C408)</f>
        <v>0</v>
      </c>
      <c r="V408" s="181">
        <f ca="1">_xll.DBRW(Server&amp;Cube1,$F$17,$F$18,$F$19,$F$16,$C$14,$F$15,$F$14,$F$20,V$2,$N$1,$C408)</f>
        <v>0</v>
      </c>
      <c r="W408" s="181">
        <f ca="1">_xll.DBRW(Server&amp;Cube1,$F$17,$F$18,$F$19,$F$16,$C$14,$F$15,$F$14,$F$20,W$2,$N$1,$C408)</f>
        <v>0</v>
      </c>
      <c r="X408" s="181">
        <f ca="1">_xll.DBRW(Server&amp;Cube1,$F$17,$F$18,$F$19,$F$16,$C$14,$F$15,$F$14,$F$20,X$2,$N$1,$C408)</f>
        <v>0</v>
      </c>
      <c r="Y408" s="181">
        <f ca="1">_xll.DBRW(Server&amp;Cube1,$F$17,$F$18,$F$19,$F$16,$C$14,$F$15,$F$14,$F$20,Y$2,$N$1,$C408)</f>
        <v>0</v>
      </c>
      <c r="Z408" s="181">
        <f ca="1">_xll.DBRW(Server&amp;Cube1,$F$17,$F$18,$F$19,$F$16,$C$14,$F$15,$F$14,$F$20,Z$2,$N$1,$C408)</f>
        <v>0</v>
      </c>
      <c r="AA408" s="53"/>
      <c r="AB408" s="53"/>
      <c r="AC408" s="53"/>
      <c r="AD408" s="53"/>
      <c r="AE408" s="53"/>
      <c r="AF408" s="53"/>
      <c r="AG408" s="53"/>
      <c r="AH408" s="53"/>
      <c r="AI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</row>
    <row r="409" spans="1:47" s="9" customFormat="1" ht="24" customHeight="1" x14ac:dyDescent="0.35">
      <c r="A409" s="157">
        <f ca="1">IF($AN$35="YES",1,IF(_xll.ELCOMPN(Server&amp;$C$24,C409)&lt;&gt;0,1,IF(OR(B409=$AT$35,B409="ALL"),1,0)))</f>
        <v>1</v>
      </c>
      <c r="B409" s="157" t="s">
        <v>488</v>
      </c>
      <c r="C409" s="137" t="s">
        <v>459</v>
      </c>
      <c r="E409" s="219" t="str">
        <f ca="1">_xll.DBRA(Server&amp;$C$24,$C409,$F$21)</f>
        <v>Coûts de restructuration (CA)</v>
      </c>
      <c r="F409" s="219"/>
      <c r="G409" s="219"/>
      <c r="H409" s="40"/>
      <c r="I409" s="192">
        <f ca="1">_xll.DBRW(Server&amp;Cube1,$F$17,$F$18,$F$19,$F$16,$C$14,$F$15,$F$14,$F$20,I$2,I$1,$C409)</f>
        <v>0</v>
      </c>
      <c r="J409" s="192">
        <f ca="1">_xll.DBRW(Server&amp;Cube1,$F$17,$F$18,$F$19,$F$16,$C$14,$F$15,$F$14,$F$20,J$2,J$1,$C409)</f>
        <v>0</v>
      </c>
      <c r="K409" s="183"/>
      <c r="L409" s="185">
        <f ca="1">_xll.DBRW(Server&amp;Cube1,$F$17,$F$18,$F$19,$F$16,$C$14,$F$15,$F$14,$F$20,L$2,L$1,$C409)</f>
        <v>0</v>
      </c>
      <c r="M409" s="184"/>
      <c r="N409" s="185">
        <f ca="1">_xll.DBRW(Server&amp;Cube1,$F$17,$F$18,$F$19,$F$16,$C$14,$F$15,$F$14,$F$20,N$2,$N$1,$C409)</f>
        <v>0</v>
      </c>
      <c r="O409" s="185">
        <f ca="1">_xll.DBRW(Server&amp;Cube1,$F$17,$F$18,$F$19,$F$16,$C$14,$F$15,$F$14,$F$20,O$2,$N$1,$C409)</f>
        <v>0</v>
      </c>
      <c r="P409" s="185">
        <f ca="1">_xll.DBRW(Server&amp;Cube1,$F$17,$F$18,$F$19,$F$16,$C$14,$F$15,$F$14,$F$20,P$2,$N$1,$C409)</f>
        <v>0</v>
      </c>
      <c r="Q409" s="185">
        <f ca="1">_xll.DBRW(Server&amp;Cube1,$F$17,$F$18,$F$19,$F$16,$C$14,$F$15,$F$14,$F$20,Q$2,$N$1,$C409)</f>
        <v>0</v>
      </c>
      <c r="R409" s="185">
        <f ca="1">_xll.DBRW(Server&amp;Cube1,$F$17,$F$18,$F$19,$F$16,$C$14,$F$15,$F$14,$F$20,R$2,$N$1,$C409)</f>
        <v>0</v>
      </c>
      <c r="S409" s="185">
        <f ca="1">_xll.DBRW(Server&amp;Cube1,$F$17,$F$18,$F$19,$F$16,$C$14,$F$15,$F$14,$F$20,S$2,$N$1,$C409)</f>
        <v>0</v>
      </c>
      <c r="T409" s="185">
        <f ca="1">_xll.DBRW(Server&amp;Cube1,$F$17,$F$18,$F$19,$F$16,$C$14,$F$15,$F$14,$F$20,T$2,$N$1,$C409)</f>
        <v>0</v>
      </c>
      <c r="U409" s="185">
        <f ca="1">_xll.DBRW(Server&amp;Cube1,$F$17,$F$18,$F$19,$F$16,$C$14,$F$15,$F$14,$F$20,U$2,$N$1,$C409)</f>
        <v>0</v>
      </c>
      <c r="V409" s="185">
        <f ca="1">_xll.DBRW(Server&amp;Cube1,$F$17,$F$18,$F$19,$F$16,$C$14,$F$15,$F$14,$F$20,V$2,$N$1,$C409)</f>
        <v>0</v>
      </c>
      <c r="W409" s="185">
        <f ca="1">_xll.DBRW(Server&amp;Cube1,$F$17,$F$18,$F$19,$F$16,$C$14,$F$15,$F$14,$F$20,W$2,$N$1,$C409)</f>
        <v>0</v>
      </c>
      <c r="X409" s="185">
        <f ca="1">_xll.DBRW(Server&amp;Cube1,$F$17,$F$18,$F$19,$F$16,$C$14,$F$15,$F$14,$F$20,X$2,$N$1,$C409)</f>
        <v>0</v>
      </c>
      <c r="Y409" s="185">
        <f ca="1">_xll.DBRW(Server&amp;Cube1,$F$17,$F$18,$F$19,$F$16,$C$14,$F$15,$F$14,$F$20,Y$2,$N$1,$C409)</f>
        <v>0</v>
      </c>
      <c r="Z409" s="185">
        <f ca="1">_xll.DBRW(Server&amp;Cube1,$F$17,$F$18,$F$19,$F$16,$C$14,$F$15,$F$14,$F$20,Z$2,$N$1,$C409)</f>
        <v>0</v>
      </c>
      <c r="AA409" s="53"/>
      <c r="AB409" s="53"/>
      <c r="AC409" s="53"/>
      <c r="AD409" s="53"/>
      <c r="AE409" s="53"/>
      <c r="AF409" s="53"/>
      <c r="AG409" s="53"/>
      <c r="AH409" s="53"/>
      <c r="AI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</row>
    <row r="410" spans="1:47" s="9" customFormat="1" ht="24" customHeight="1" x14ac:dyDescent="0.35">
      <c r="A410" s="157">
        <f ca="1">IF($AN$35="YES",1,IF(_xll.ELCOMPN(Server&amp;$C$24,C410)&lt;&gt;0,1,IF(OR(B410=$AT$35,B410="ALL"),1,0)))</f>
        <v>1</v>
      </c>
      <c r="B410" s="157" t="s">
        <v>488</v>
      </c>
      <c r="C410" s="137" t="s">
        <v>460</v>
      </c>
      <c r="E410" s="219" t="str">
        <f ca="1">_xll.DBRA(Server&amp;$C$24,$C410,$F$21)</f>
        <v>Coûts de restructuration (DD)</v>
      </c>
      <c r="F410" s="219"/>
      <c r="G410" s="219"/>
      <c r="H410" s="40"/>
      <c r="I410" s="192">
        <f ca="1">_xll.DBRW(Server&amp;Cube1,$F$17,$F$18,$F$19,$F$16,$C$14,$F$15,$F$14,$F$20,I$2,I$1,$C410)</f>
        <v>0</v>
      </c>
      <c r="J410" s="192">
        <f ca="1">_xll.DBRW(Server&amp;Cube1,$F$17,$F$18,$F$19,$F$16,$C$14,$F$15,$F$14,$F$20,J$2,J$1,$C410)</f>
        <v>0</v>
      </c>
      <c r="K410" s="183"/>
      <c r="L410" s="185">
        <f ca="1">_xll.DBRW(Server&amp;Cube1,$F$17,$F$18,$F$19,$F$16,$C$14,$F$15,$F$14,$F$20,L$2,L$1,$C410)</f>
        <v>0</v>
      </c>
      <c r="M410" s="184"/>
      <c r="N410" s="185">
        <f ca="1">_xll.DBRW(Server&amp;Cube1,$F$17,$F$18,$F$19,$F$16,$C$14,$F$15,$F$14,$F$20,N$2,$N$1,$C410)</f>
        <v>0</v>
      </c>
      <c r="O410" s="185">
        <f ca="1">_xll.DBRW(Server&amp;Cube1,$F$17,$F$18,$F$19,$F$16,$C$14,$F$15,$F$14,$F$20,O$2,$N$1,$C410)</f>
        <v>0</v>
      </c>
      <c r="P410" s="185">
        <f ca="1">_xll.DBRW(Server&amp;Cube1,$F$17,$F$18,$F$19,$F$16,$C$14,$F$15,$F$14,$F$20,P$2,$N$1,$C410)</f>
        <v>0</v>
      </c>
      <c r="Q410" s="185">
        <f ca="1">_xll.DBRW(Server&amp;Cube1,$F$17,$F$18,$F$19,$F$16,$C$14,$F$15,$F$14,$F$20,Q$2,$N$1,$C410)</f>
        <v>0</v>
      </c>
      <c r="R410" s="185">
        <f ca="1">_xll.DBRW(Server&amp;Cube1,$F$17,$F$18,$F$19,$F$16,$C$14,$F$15,$F$14,$F$20,R$2,$N$1,$C410)</f>
        <v>0</v>
      </c>
      <c r="S410" s="185">
        <f ca="1">_xll.DBRW(Server&amp;Cube1,$F$17,$F$18,$F$19,$F$16,$C$14,$F$15,$F$14,$F$20,S$2,$N$1,$C410)</f>
        <v>0</v>
      </c>
      <c r="T410" s="185">
        <f ca="1">_xll.DBRW(Server&amp;Cube1,$F$17,$F$18,$F$19,$F$16,$C$14,$F$15,$F$14,$F$20,T$2,$N$1,$C410)</f>
        <v>0</v>
      </c>
      <c r="U410" s="185">
        <f ca="1">_xll.DBRW(Server&amp;Cube1,$F$17,$F$18,$F$19,$F$16,$C$14,$F$15,$F$14,$F$20,U$2,$N$1,$C410)</f>
        <v>0</v>
      </c>
      <c r="V410" s="185">
        <f ca="1">_xll.DBRW(Server&amp;Cube1,$F$17,$F$18,$F$19,$F$16,$C$14,$F$15,$F$14,$F$20,V$2,$N$1,$C410)</f>
        <v>0</v>
      </c>
      <c r="W410" s="185">
        <f ca="1">_xll.DBRW(Server&amp;Cube1,$F$17,$F$18,$F$19,$F$16,$C$14,$F$15,$F$14,$F$20,W$2,$N$1,$C410)</f>
        <v>0</v>
      </c>
      <c r="X410" s="185">
        <f ca="1">_xll.DBRW(Server&amp;Cube1,$F$17,$F$18,$F$19,$F$16,$C$14,$F$15,$F$14,$F$20,X$2,$N$1,$C410)</f>
        <v>0</v>
      </c>
      <c r="Y410" s="185">
        <f ca="1">_xll.DBRW(Server&amp;Cube1,$F$17,$F$18,$F$19,$F$16,$C$14,$F$15,$F$14,$F$20,Y$2,$N$1,$C410)</f>
        <v>0</v>
      </c>
      <c r="Z410" s="185">
        <f ca="1">_xll.DBRW(Server&amp;Cube1,$F$17,$F$18,$F$19,$F$16,$C$14,$F$15,$F$14,$F$20,Z$2,$N$1,$C410)</f>
        <v>0</v>
      </c>
      <c r="AA410" s="53"/>
      <c r="AB410" s="53"/>
      <c r="AC410" s="53"/>
      <c r="AD410" s="53"/>
      <c r="AE410" s="53"/>
      <c r="AF410" s="53"/>
      <c r="AG410" s="53"/>
      <c r="AH410" s="53"/>
      <c r="AI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</row>
    <row r="411" spans="1:47" s="9" customFormat="1" ht="24" customHeight="1" x14ac:dyDescent="0.35">
      <c r="A411" s="157">
        <f ca="1">IF($AN$35="YES",1,IF(_xll.ELCOMPN(Server&amp;$C$24,C411)&lt;&gt;0,1,IF(OR(B411=$AT$35,B411="ALL"),1,0)))</f>
        <v>1</v>
      </c>
      <c r="B411" s="157" t="s">
        <v>488</v>
      </c>
      <c r="C411" s="137" t="s">
        <v>461</v>
      </c>
      <c r="E411" s="219" t="str">
        <f ca="1">_xll.DBRA(Server&amp;$C$24,$C411,$F$21)</f>
        <v>Plus ou moins values de cessions s/ Immo. Corp. &amp;  Incorp. (DG)</v>
      </c>
      <c r="F411" s="219"/>
      <c r="G411" s="219"/>
      <c r="H411" s="40"/>
      <c r="I411" s="192">
        <f ca="1">_xll.DBRW(Server&amp;Cube1,$F$17,$F$18,$F$19,$F$16,$C$14,$F$15,$F$14,$F$20,I$2,I$1,$C411)</f>
        <v>0</v>
      </c>
      <c r="J411" s="192">
        <f ca="1">_xll.DBRW(Server&amp;Cube1,$F$17,$F$18,$F$19,$F$16,$C$14,$F$15,$F$14,$F$20,J$2,J$1,$C411)</f>
        <v>0</v>
      </c>
      <c r="K411" s="183"/>
      <c r="L411" s="185">
        <f ca="1">_xll.DBRW(Server&amp;Cube1,$F$17,$F$18,$F$19,$F$16,$C$14,$F$15,$F$14,$F$20,L$2,L$1,$C411)</f>
        <v>0</v>
      </c>
      <c r="M411" s="184"/>
      <c r="N411" s="185">
        <f ca="1">_xll.DBRW(Server&amp;Cube1,$F$17,$F$18,$F$19,$F$16,$C$14,$F$15,$F$14,$F$20,N$2,$N$1,$C411)</f>
        <v>0</v>
      </c>
      <c r="O411" s="185">
        <f ca="1">_xll.DBRW(Server&amp;Cube1,$F$17,$F$18,$F$19,$F$16,$C$14,$F$15,$F$14,$F$20,O$2,$N$1,$C411)</f>
        <v>0</v>
      </c>
      <c r="P411" s="185">
        <f ca="1">_xll.DBRW(Server&amp;Cube1,$F$17,$F$18,$F$19,$F$16,$C$14,$F$15,$F$14,$F$20,P$2,$N$1,$C411)</f>
        <v>0</v>
      </c>
      <c r="Q411" s="185">
        <f ca="1">_xll.DBRW(Server&amp;Cube1,$F$17,$F$18,$F$19,$F$16,$C$14,$F$15,$F$14,$F$20,Q$2,$N$1,$C411)</f>
        <v>0</v>
      </c>
      <c r="R411" s="185">
        <f ca="1">_xll.DBRW(Server&amp;Cube1,$F$17,$F$18,$F$19,$F$16,$C$14,$F$15,$F$14,$F$20,R$2,$N$1,$C411)</f>
        <v>0</v>
      </c>
      <c r="S411" s="185">
        <f ca="1">_xll.DBRW(Server&amp;Cube1,$F$17,$F$18,$F$19,$F$16,$C$14,$F$15,$F$14,$F$20,S$2,$N$1,$C411)</f>
        <v>0</v>
      </c>
      <c r="T411" s="185">
        <f ca="1">_xll.DBRW(Server&amp;Cube1,$F$17,$F$18,$F$19,$F$16,$C$14,$F$15,$F$14,$F$20,T$2,$N$1,$C411)</f>
        <v>0</v>
      </c>
      <c r="U411" s="185">
        <f ca="1">_xll.DBRW(Server&amp;Cube1,$F$17,$F$18,$F$19,$F$16,$C$14,$F$15,$F$14,$F$20,U$2,$N$1,$C411)</f>
        <v>0</v>
      </c>
      <c r="V411" s="185">
        <f ca="1">_xll.DBRW(Server&amp;Cube1,$F$17,$F$18,$F$19,$F$16,$C$14,$F$15,$F$14,$F$20,V$2,$N$1,$C411)</f>
        <v>0</v>
      </c>
      <c r="W411" s="185">
        <f ca="1">_xll.DBRW(Server&amp;Cube1,$F$17,$F$18,$F$19,$F$16,$C$14,$F$15,$F$14,$F$20,W$2,$N$1,$C411)</f>
        <v>0</v>
      </c>
      <c r="X411" s="185">
        <f ca="1">_xll.DBRW(Server&amp;Cube1,$F$17,$F$18,$F$19,$F$16,$C$14,$F$15,$F$14,$F$20,X$2,$N$1,$C411)</f>
        <v>0</v>
      </c>
      <c r="Y411" s="185">
        <f ca="1">_xll.DBRW(Server&amp;Cube1,$F$17,$F$18,$F$19,$F$16,$C$14,$F$15,$F$14,$F$20,Y$2,$N$1,$C411)</f>
        <v>0</v>
      </c>
      <c r="Z411" s="185">
        <f ca="1">_xll.DBRW(Server&amp;Cube1,$F$17,$F$18,$F$19,$F$16,$C$14,$F$15,$F$14,$F$20,Z$2,$N$1,$C411)</f>
        <v>0</v>
      </c>
      <c r="AA411" s="53"/>
      <c r="AB411" s="53"/>
      <c r="AC411" s="53"/>
      <c r="AD411" s="53"/>
      <c r="AE411" s="53"/>
      <c r="AF411" s="53"/>
      <c r="AG411" s="53"/>
      <c r="AH411" s="53"/>
      <c r="AI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</row>
    <row r="412" spans="1:47" s="9" customFormat="1" ht="24" customHeight="1" x14ac:dyDescent="0.35">
      <c r="A412" s="157">
        <f ca="1">IF($AN$35="YES",1,IF(_xll.ELCOMPN(Server&amp;$C$24,C412)&lt;&gt;0,1,IF(OR(B412=$AT$35,B412="ALL"),1,0)))</f>
        <v>1</v>
      </c>
      <c r="B412" s="157" t="s">
        <v>488</v>
      </c>
      <c r="C412" s="137" t="s">
        <v>462</v>
      </c>
      <c r="E412" s="219" t="str">
        <f ca="1">_xll.DBRA(Server&amp;$C$24,$C412,$F$21)</f>
        <v>Charges de restructuration (DG)</v>
      </c>
      <c r="F412" s="219"/>
      <c r="G412" s="219"/>
      <c r="H412" s="40"/>
      <c r="I412" s="192">
        <f ca="1">_xll.DBRW(Server&amp;Cube1,$F$17,$F$18,$F$19,$F$16,$C$14,$F$15,$F$14,$F$20,I$2,I$1,$C412)</f>
        <v>0</v>
      </c>
      <c r="J412" s="192">
        <f ca="1">_xll.DBRW(Server&amp;Cube1,$F$17,$F$18,$F$19,$F$16,$C$14,$F$15,$F$14,$F$20,J$2,J$1,$C412)</f>
        <v>0</v>
      </c>
      <c r="K412" s="183"/>
      <c r="L412" s="185">
        <f ca="1">_xll.DBRW(Server&amp;Cube1,$F$17,$F$18,$F$19,$F$16,$C$14,$F$15,$F$14,$F$20,L$2,L$1,$C412)</f>
        <v>0</v>
      </c>
      <c r="M412" s="184"/>
      <c r="N412" s="185">
        <f ca="1">_xll.DBRW(Server&amp;Cube1,$F$17,$F$18,$F$19,$F$16,$C$14,$F$15,$F$14,$F$20,N$2,$N$1,$C412)</f>
        <v>0</v>
      </c>
      <c r="O412" s="185">
        <f ca="1">_xll.DBRW(Server&amp;Cube1,$F$17,$F$18,$F$19,$F$16,$C$14,$F$15,$F$14,$F$20,O$2,$N$1,$C412)</f>
        <v>0</v>
      </c>
      <c r="P412" s="185">
        <f ca="1">_xll.DBRW(Server&amp;Cube1,$F$17,$F$18,$F$19,$F$16,$C$14,$F$15,$F$14,$F$20,P$2,$N$1,$C412)</f>
        <v>0</v>
      </c>
      <c r="Q412" s="185">
        <f ca="1">_xll.DBRW(Server&amp;Cube1,$F$17,$F$18,$F$19,$F$16,$C$14,$F$15,$F$14,$F$20,Q$2,$N$1,$C412)</f>
        <v>0</v>
      </c>
      <c r="R412" s="185">
        <f ca="1">_xll.DBRW(Server&amp;Cube1,$F$17,$F$18,$F$19,$F$16,$C$14,$F$15,$F$14,$F$20,R$2,$N$1,$C412)</f>
        <v>0</v>
      </c>
      <c r="S412" s="185">
        <f ca="1">_xll.DBRW(Server&amp;Cube1,$F$17,$F$18,$F$19,$F$16,$C$14,$F$15,$F$14,$F$20,S$2,$N$1,$C412)</f>
        <v>0</v>
      </c>
      <c r="T412" s="185">
        <f ca="1">_xll.DBRW(Server&amp;Cube1,$F$17,$F$18,$F$19,$F$16,$C$14,$F$15,$F$14,$F$20,T$2,$N$1,$C412)</f>
        <v>0</v>
      </c>
      <c r="U412" s="185">
        <f ca="1">_xll.DBRW(Server&amp;Cube1,$F$17,$F$18,$F$19,$F$16,$C$14,$F$15,$F$14,$F$20,U$2,$N$1,$C412)</f>
        <v>0</v>
      </c>
      <c r="V412" s="185">
        <f ca="1">_xll.DBRW(Server&amp;Cube1,$F$17,$F$18,$F$19,$F$16,$C$14,$F$15,$F$14,$F$20,V$2,$N$1,$C412)</f>
        <v>0</v>
      </c>
      <c r="W412" s="185">
        <f ca="1">_xll.DBRW(Server&amp;Cube1,$F$17,$F$18,$F$19,$F$16,$C$14,$F$15,$F$14,$F$20,W$2,$N$1,$C412)</f>
        <v>0</v>
      </c>
      <c r="X412" s="185">
        <f ca="1">_xll.DBRW(Server&amp;Cube1,$F$17,$F$18,$F$19,$F$16,$C$14,$F$15,$F$14,$F$20,X$2,$N$1,$C412)</f>
        <v>0</v>
      </c>
      <c r="Y412" s="185">
        <f ca="1">_xll.DBRW(Server&amp;Cube1,$F$17,$F$18,$F$19,$F$16,$C$14,$F$15,$F$14,$F$20,Y$2,$N$1,$C412)</f>
        <v>0</v>
      </c>
      <c r="Z412" s="185">
        <f ca="1">_xll.DBRW(Server&amp;Cube1,$F$17,$F$18,$F$19,$F$16,$C$14,$F$15,$F$14,$F$20,Z$2,$N$1,$C412)</f>
        <v>0</v>
      </c>
      <c r="AA412" s="53"/>
      <c r="AB412" s="53"/>
      <c r="AC412" s="53"/>
      <c r="AD412" s="53"/>
      <c r="AE412" s="53"/>
      <c r="AF412" s="53"/>
      <c r="AG412" s="53"/>
      <c r="AH412" s="53"/>
      <c r="AI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</row>
    <row r="413" spans="1:47" s="9" customFormat="1" ht="24" customHeight="1" x14ac:dyDescent="0.35">
      <c r="A413" s="157">
        <f ca="1">IF($AN$35="YES",1,IF(_xll.ELCOMPN(Server&amp;$C$24,C413)&lt;&gt;0,1,IF(OR(B413=$AT$35,B413="ALL"),1,0)))</f>
        <v>1</v>
      </c>
      <c r="B413" s="157" t="s">
        <v>488</v>
      </c>
      <c r="C413" s="137" t="s">
        <v>463</v>
      </c>
      <c r="E413" s="219" t="str">
        <f ca="1">_xll.DBRA(Server&amp;$C$24,$C413,$F$21)</f>
        <v>Impacts des fusions / absorptions (F88)</v>
      </c>
      <c r="F413" s="219"/>
      <c r="G413" s="219"/>
      <c r="H413" s="40"/>
      <c r="I413" s="192">
        <f ca="1">_xll.DBRW(Server&amp;Cube1,$F$17,$F$18,$F$19,$F$16,$C$14,$F$15,$F$14,$F$20,I$2,I$1,$C413)</f>
        <v>0</v>
      </c>
      <c r="J413" s="192">
        <f ca="1">_xll.DBRW(Server&amp;Cube1,$F$17,$F$18,$F$19,$F$16,$C$14,$F$15,$F$14,$F$20,J$2,J$1,$C413)</f>
        <v>0</v>
      </c>
      <c r="K413" s="183"/>
      <c r="L413" s="185">
        <f ca="1">_xll.DBRW(Server&amp;Cube1,$F$17,$F$18,$F$19,$F$16,$C$14,$F$15,$F$14,$F$20,L$2,L$1,$C413)</f>
        <v>0</v>
      </c>
      <c r="M413" s="184"/>
      <c r="N413" s="185">
        <f ca="1">_xll.DBRW(Server&amp;Cube1,$F$17,$F$18,$F$19,$F$16,$C$14,$F$15,$F$14,$F$20,N$2,$N$1,$C413)</f>
        <v>0</v>
      </c>
      <c r="O413" s="185">
        <f ca="1">_xll.DBRW(Server&amp;Cube1,$F$17,$F$18,$F$19,$F$16,$C$14,$F$15,$F$14,$F$20,O$2,$N$1,$C413)</f>
        <v>0</v>
      </c>
      <c r="P413" s="185">
        <f ca="1">_xll.DBRW(Server&amp;Cube1,$F$17,$F$18,$F$19,$F$16,$C$14,$F$15,$F$14,$F$20,P$2,$N$1,$C413)</f>
        <v>0</v>
      </c>
      <c r="Q413" s="185">
        <f ca="1">_xll.DBRW(Server&amp;Cube1,$F$17,$F$18,$F$19,$F$16,$C$14,$F$15,$F$14,$F$20,Q$2,$N$1,$C413)</f>
        <v>0</v>
      </c>
      <c r="R413" s="185">
        <f ca="1">_xll.DBRW(Server&amp;Cube1,$F$17,$F$18,$F$19,$F$16,$C$14,$F$15,$F$14,$F$20,R$2,$N$1,$C413)</f>
        <v>0</v>
      </c>
      <c r="S413" s="185">
        <f ca="1">_xll.DBRW(Server&amp;Cube1,$F$17,$F$18,$F$19,$F$16,$C$14,$F$15,$F$14,$F$20,S$2,$N$1,$C413)</f>
        <v>0</v>
      </c>
      <c r="T413" s="185">
        <f ca="1">_xll.DBRW(Server&amp;Cube1,$F$17,$F$18,$F$19,$F$16,$C$14,$F$15,$F$14,$F$20,T$2,$N$1,$C413)</f>
        <v>0</v>
      </c>
      <c r="U413" s="185">
        <f ca="1">_xll.DBRW(Server&amp;Cube1,$F$17,$F$18,$F$19,$F$16,$C$14,$F$15,$F$14,$F$20,U$2,$N$1,$C413)</f>
        <v>0</v>
      </c>
      <c r="V413" s="185">
        <f ca="1">_xll.DBRW(Server&amp;Cube1,$F$17,$F$18,$F$19,$F$16,$C$14,$F$15,$F$14,$F$20,V$2,$N$1,$C413)</f>
        <v>0</v>
      </c>
      <c r="W413" s="185">
        <f ca="1">_xll.DBRW(Server&amp;Cube1,$F$17,$F$18,$F$19,$F$16,$C$14,$F$15,$F$14,$F$20,W$2,$N$1,$C413)</f>
        <v>0</v>
      </c>
      <c r="X413" s="185">
        <f ca="1">_xll.DBRW(Server&amp;Cube1,$F$17,$F$18,$F$19,$F$16,$C$14,$F$15,$F$14,$F$20,X$2,$N$1,$C413)</f>
        <v>0</v>
      </c>
      <c r="Y413" s="185">
        <f ca="1">_xll.DBRW(Server&amp;Cube1,$F$17,$F$18,$F$19,$F$16,$C$14,$F$15,$F$14,$F$20,Y$2,$N$1,$C413)</f>
        <v>0</v>
      </c>
      <c r="Z413" s="185">
        <f ca="1">_xll.DBRW(Server&amp;Cube1,$F$17,$F$18,$F$19,$F$16,$C$14,$F$15,$F$14,$F$20,Z$2,$N$1,$C413)</f>
        <v>0</v>
      </c>
      <c r="AA413" s="53"/>
      <c r="AB413" s="53"/>
      <c r="AC413" s="53"/>
      <c r="AD413" s="53"/>
      <c r="AE413" s="53"/>
      <c r="AF413" s="53"/>
      <c r="AG413" s="53"/>
      <c r="AH413" s="53"/>
      <c r="AI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</row>
    <row r="414" spans="1:47" s="9" customFormat="1" ht="24" customHeight="1" x14ac:dyDescent="0.35">
      <c r="A414" s="157">
        <f ca="1">IF($AN$35="YES",1,IF(_xll.ELCOMPN(Server&amp;$C$24,C414)&lt;&gt;0,1,IF(OR(B414=$AT$35,B414="ALL"),1,0)))</f>
        <v>1</v>
      </c>
      <c r="B414" s="157" t="s">
        <v>488</v>
      </c>
      <c r="C414" s="111" t="s">
        <v>130</v>
      </c>
      <c r="E414" s="221" t="str">
        <f ca="1">_xll.DBRA(Server&amp;$C$24,$C414,$F$21)</f>
        <v>Résultats de cession</v>
      </c>
      <c r="F414" s="221"/>
      <c r="G414" s="221"/>
      <c r="H414" s="40"/>
      <c r="I414" s="192">
        <f ca="1">_xll.DBRW(Server&amp;Cube1,$F$17,$F$18,$F$19,$F$16,$C$14,$F$15,$F$14,$F$20,I$2,I$1,$C414)</f>
        <v>0</v>
      </c>
      <c r="J414" s="192">
        <f ca="1">_xll.DBRW(Server&amp;Cube1,$F$17,$F$18,$F$19,$F$16,$C$14,$F$15,$F$14,$F$20,J$2,J$1,$C414)</f>
        <v>0</v>
      </c>
      <c r="K414" s="183"/>
      <c r="L414" s="184">
        <f ca="1">_xll.DBRW(Server&amp;Cube1,$F$17,$F$18,$F$19,$F$16,$C$14,$F$15,$F$14,$F$20,L$2,L$1,$C414)</f>
        <v>0</v>
      </c>
      <c r="M414" s="184"/>
      <c r="N414" s="184">
        <f ca="1">_xll.DBRW(Server&amp;Cube1,$F$17,$F$18,$F$19,$F$16,$C$14,$F$15,$F$14,$F$20,N$2,$N$1,$C414)</f>
        <v>0</v>
      </c>
      <c r="O414" s="184">
        <f ca="1">_xll.DBRW(Server&amp;Cube1,$F$17,$F$18,$F$19,$F$16,$C$14,$F$15,$F$14,$F$20,O$2,$N$1,$C414)</f>
        <v>0</v>
      </c>
      <c r="P414" s="184">
        <f ca="1">_xll.DBRW(Server&amp;Cube1,$F$17,$F$18,$F$19,$F$16,$C$14,$F$15,$F$14,$F$20,P$2,$N$1,$C414)</f>
        <v>0</v>
      </c>
      <c r="Q414" s="184">
        <f ca="1">_xll.DBRW(Server&amp;Cube1,$F$17,$F$18,$F$19,$F$16,$C$14,$F$15,$F$14,$F$20,Q$2,$N$1,$C414)</f>
        <v>0</v>
      </c>
      <c r="R414" s="184">
        <f ca="1">_xll.DBRW(Server&amp;Cube1,$F$17,$F$18,$F$19,$F$16,$C$14,$F$15,$F$14,$F$20,R$2,$N$1,$C414)</f>
        <v>0</v>
      </c>
      <c r="S414" s="184">
        <f ca="1">_xll.DBRW(Server&amp;Cube1,$F$17,$F$18,$F$19,$F$16,$C$14,$F$15,$F$14,$F$20,S$2,$N$1,$C414)</f>
        <v>0</v>
      </c>
      <c r="T414" s="184">
        <f ca="1">_xll.DBRW(Server&amp;Cube1,$F$17,$F$18,$F$19,$F$16,$C$14,$F$15,$F$14,$F$20,T$2,$N$1,$C414)</f>
        <v>0</v>
      </c>
      <c r="U414" s="184">
        <f ca="1">_xll.DBRW(Server&amp;Cube1,$F$17,$F$18,$F$19,$F$16,$C$14,$F$15,$F$14,$F$20,U$2,$N$1,$C414)</f>
        <v>0</v>
      </c>
      <c r="V414" s="184">
        <f ca="1">_xll.DBRW(Server&amp;Cube1,$F$17,$F$18,$F$19,$F$16,$C$14,$F$15,$F$14,$F$20,V$2,$N$1,$C414)</f>
        <v>0</v>
      </c>
      <c r="W414" s="184">
        <f ca="1">_xll.DBRW(Server&amp;Cube1,$F$17,$F$18,$F$19,$F$16,$C$14,$F$15,$F$14,$F$20,W$2,$N$1,$C414)</f>
        <v>0</v>
      </c>
      <c r="X414" s="184">
        <f ca="1">_xll.DBRW(Server&amp;Cube1,$F$17,$F$18,$F$19,$F$16,$C$14,$F$15,$F$14,$F$20,X$2,$N$1,$C414)</f>
        <v>0</v>
      </c>
      <c r="Y414" s="184">
        <f ca="1">_xll.DBRW(Server&amp;Cube1,$F$17,$F$18,$F$19,$F$16,$C$14,$F$15,$F$14,$F$20,Y$2,$N$1,$C414)</f>
        <v>0</v>
      </c>
      <c r="Z414" s="184">
        <f ca="1">_xll.DBRW(Server&amp;Cube1,$F$17,$F$18,$F$19,$F$16,$C$14,$F$15,$F$14,$F$20,Z$2,$N$1,$C414)</f>
        <v>0</v>
      </c>
      <c r="AA414" s="53"/>
      <c r="AB414" s="53"/>
      <c r="AC414" s="53"/>
      <c r="AD414" s="53"/>
      <c r="AE414" s="53"/>
      <c r="AF414" s="53"/>
      <c r="AG414" s="53"/>
      <c r="AH414" s="53"/>
      <c r="AI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</row>
    <row r="415" spans="1:47" s="9" customFormat="1" ht="24" customHeight="1" x14ac:dyDescent="0.35">
      <c r="A415" s="157">
        <f ca="1">IF($AN$35="YES",1,IF(_xll.ELCOMPN(Server&amp;$C$24,C415)&lt;&gt;0,1,IF(OR(B415=$AT$35,B415="ALL"),1,0)))</f>
        <v>1</v>
      </c>
      <c r="B415" s="157" t="s">
        <v>488</v>
      </c>
      <c r="C415" s="137" t="s">
        <v>464</v>
      </c>
      <c r="E415" s="219" t="str">
        <f ca="1">_xll.DBRA(Server&amp;$C$24,$C415,$F$21)</f>
        <v>Valeurs de cession de titres participation &amp; entreprises associés</v>
      </c>
      <c r="F415" s="219"/>
      <c r="G415" s="219"/>
      <c r="H415" s="40"/>
      <c r="I415" s="192">
        <f ca="1">_xll.DBRW(Server&amp;Cube1,$F$17,$F$18,$F$19,$F$16,$C$14,$F$15,$F$14,$F$20,I$2,I$1,$C415)</f>
        <v>0</v>
      </c>
      <c r="J415" s="192">
        <f ca="1">_xll.DBRW(Server&amp;Cube1,$F$17,$F$18,$F$19,$F$16,$C$14,$F$15,$F$14,$F$20,J$2,J$1,$C415)</f>
        <v>0</v>
      </c>
      <c r="K415" s="183"/>
      <c r="L415" s="185">
        <f ca="1">_xll.DBRW(Server&amp;Cube1,$F$17,$F$18,$F$19,$F$16,$C$14,$F$15,$F$14,$F$20,L$2,L$1,$C415)</f>
        <v>0</v>
      </c>
      <c r="M415" s="184"/>
      <c r="N415" s="185">
        <f ca="1">_xll.DBRW(Server&amp;Cube1,$F$17,$F$18,$F$19,$F$16,$C$14,$F$15,$F$14,$F$20,N$2,$N$1,$C415)</f>
        <v>0</v>
      </c>
      <c r="O415" s="185">
        <f ca="1">_xll.DBRW(Server&amp;Cube1,$F$17,$F$18,$F$19,$F$16,$C$14,$F$15,$F$14,$F$20,O$2,$N$1,$C415)</f>
        <v>0</v>
      </c>
      <c r="P415" s="185">
        <f ca="1">_xll.DBRW(Server&amp;Cube1,$F$17,$F$18,$F$19,$F$16,$C$14,$F$15,$F$14,$F$20,P$2,$N$1,$C415)</f>
        <v>0</v>
      </c>
      <c r="Q415" s="185">
        <f ca="1">_xll.DBRW(Server&amp;Cube1,$F$17,$F$18,$F$19,$F$16,$C$14,$F$15,$F$14,$F$20,Q$2,$N$1,$C415)</f>
        <v>0</v>
      </c>
      <c r="R415" s="185">
        <f ca="1">_xll.DBRW(Server&amp;Cube1,$F$17,$F$18,$F$19,$F$16,$C$14,$F$15,$F$14,$F$20,R$2,$N$1,$C415)</f>
        <v>0</v>
      </c>
      <c r="S415" s="185">
        <f ca="1">_xll.DBRW(Server&amp;Cube1,$F$17,$F$18,$F$19,$F$16,$C$14,$F$15,$F$14,$F$20,S$2,$N$1,$C415)</f>
        <v>0</v>
      </c>
      <c r="T415" s="185">
        <f ca="1">_xll.DBRW(Server&amp;Cube1,$F$17,$F$18,$F$19,$F$16,$C$14,$F$15,$F$14,$F$20,T$2,$N$1,$C415)</f>
        <v>0</v>
      </c>
      <c r="U415" s="185">
        <f ca="1">_xll.DBRW(Server&amp;Cube1,$F$17,$F$18,$F$19,$F$16,$C$14,$F$15,$F$14,$F$20,U$2,$N$1,$C415)</f>
        <v>0</v>
      </c>
      <c r="V415" s="185">
        <f ca="1">_xll.DBRW(Server&amp;Cube1,$F$17,$F$18,$F$19,$F$16,$C$14,$F$15,$F$14,$F$20,V$2,$N$1,$C415)</f>
        <v>0</v>
      </c>
      <c r="W415" s="185">
        <f ca="1">_xll.DBRW(Server&amp;Cube1,$F$17,$F$18,$F$19,$F$16,$C$14,$F$15,$F$14,$F$20,W$2,$N$1,$C415)</f>
        <v>0</v>
      </c>
      <c r="X415" s="185">
        <f ca="1">_xll.DBRW(Server&amp;Cube1,$F$17,$F$18,$F$19,$F$16,$C$14,$F$15,$F$14,$F$20,X$2,$N$1,$C415)</f>
        <v>0</v>
      </c>
      <c r="Y415" s="185">
        <f ca="1">_xll.DBRW(Server&amp;Cube1,$F$17,$F$18,$F$19,$F$16,$C$14,$F$15,$F$14,$F$20,Y$2,$N$1,$C415)</f>
        <v>0</v>
      </c>
      <c r="Z415" s="185">
        <f ca="1">_xll.DBRW(Server&amp;Cube1,$F$17,$F$18,$F$19,$F$16,$C$14,$F$15,$F$14,$F$20,Z$2,$N$1,$C415)</f>
        <v>0</v>
      </c>
      <c r="AA415" s="53"/>
      <c r="AB415" s="53"/>
      <c r="AC415" s="53"/>
      <c r="AD415" s="53"/>
      <c r="AE415" s="53"/>
      <c r="AF415" s="53"/>
      <c r="AG415" s="53"/>
      <c r="AH415" s="53"/>
      <c r="AI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</row>
    <row r="416" spans="1:47" s="9" customFormat="1" ht="24" customHeight="1" x14ac:dyDescent="0.35">
      <c r="A416" s="157">
        <f ca="1">IF($AN$35="YES",1,IF(_xll.ELCOMPN(Server&amp;$C$24,C416)&lt;&gt;0,1,IF(OR(B416=$AT$35,B416="ALL"),1,0)))</f>
        <v>1</v>
      </c>
      <c r="B416" s="157" t="s">
        <v>488</v>
      </c>
      <c r="C416" s="113" t="s">
        <v>131</v>
      </c>
      <c r="E416" s="220" t="str">
        <f ca="1">_xll.DBRA(Server&amp;$C$24,$C416,$F$21)</f>
        <v>Dotations amortissements et provisions</v>
      </c>
      <c r="F416" s="220"/>
      <c r="G416" s="220"/>
      <c r="H416" s="40"/>
      <c r="I416" s="190">
        <f ca="1">_xll.DBRW(Server&amp;Cube1,$F$17,$F$18,$F$19,$F$16,$C$14,$F$15,$F$14,$F$20,I$2,I$1,$C416)</f>
        <v>0</v>
      </c>
      <c r="J416" s="190">
        <f ca="1">_xll.DBRW(Server&amp;Cube1,$F$17,$F$18,$F$19,$F$16,$C$14,$F$15,$F$14,$F$20,J$2,J$1,$C416)</f>
        <v>0</v>
      </c>
      <c r="K416" s="180"/>
      <c r="L416" s="191">
        <f ca="1">_xll.DBRW(Server&amp;Cube1,$F$17,$F$18,$F$19,$F$16,$C$14,$F$15,$F$14,$F$20,L$2,L$1,$C416)</f>
        <v>0</v>
      </c>
      <c r="M416" s="181"/>
      <c r="N416" s="191">
        <f ca="1">_xll.DBRW(Server&amp;Cube1,$F$17,$F$18,$F$19,$F$16,$C$14,$F$15,$F$14,$F$20,N$2,$N$1,$C416)</f>
        <v>0</v>
      </c>
      <c r="O416" s="191">
        <f ca="1">_xll.DBRW(Server&amp;Cube1,$F$17,$F$18,$F$19,$F$16,$C$14,$F$15,$F$14,$F$20,O$2,$N$1,$C416)</f>
        <v>0</v>
      </c>
      <c r="P416" s="191">
        <f ca="1">_xll.DBRW(Server&amp;Cube1,$F$17,$F$18,$F$19,$F$16,$C$14,$F$15,$F$14,$F$20,P$2,$N$1,$C416)</f>
        <v>0</v>
      </c>
      <c r="Q416" s="191">
        <f ca="1">_xll.DBRW(Server&amp;Cube1,$F$17,$F$18,$F$19,$F$16,$C$14,$F$15,$F$14,$F$20,Q$2,$N$1,$C416)</f>
        <v>0</v>
      </c>
      <c r="R416" s="191">
        <f ca="1">_xll.DBRW(Server&amp;Cube1,$F$17,$F$18,$F$19,$F$16,$C$14,$F$15,$F$14,$F$20,R$2,$N$1,$C416)</f>
        <v>0</v>
      </c>
      <c r="S416" s="191">
        <f ca="1">_xll.DBRW(Server&amp;Cube1,$F$17,$F$18,$F$19,$F$16,$C$14,$F$15,$F$14,$F$20,S$2,$N$1,$C416)</f>
        <v>0</v>
      </c>
      <c r="T416" s="191">
        <f ca="1">_xll.DBRW(Server&amp;Cube1,$F$17,$F$18,$F$19,$F$16,$C$14,$F$15,$F$14,$F$20,T$2,$N$1,$C416)</f>
        <v>0</v>
      </c>
      <c r="U416" s="191">
        <f ca="1">_xll.DBRW(Server&amp;Cube1,$F$17,$F$18,$F$19,$F$16,$C$14,$F$15,$F$14,$F$20,U$2,$N$1,$C416)</f>
        <v>0</v>
      </c>
      <c r="V416" s="191">
        <f ca="1">_xll.DBRW(Server&amp;Cube1,$F$17,$F$18,$F$19,$F$16,$C$14,$F$15,$F$14,$F$20,V$2,$N$1,$C416)</f>
        <v>0</v>
      </c>
      <c r="W416" s="191">
        <f ca="1">_xll.DBRW(Server&amp;Cube1,$F$17,$F$18,$F$19,$F$16,$C$14,$F$15,$F$14,$F$20,W$2,$N$1,$C416)</f>
        <v>0</v>
      </c>
      <c r="X416" s="191">
        <f ca="1">_xll.DBRW(Server&amp;Cube1,$F$17,$F$18,$F$19,$F$16,$C$14,$F$15,$F$14,$F$20,X$2,$N$1,$C416)</f>
        <v>0</v>
      </c>
      <c r="Y416" s="191">
        <f ca="1">_xll.DBRW(Server&amp;Cube1,$F$17,$F$18,$F$19,$F$16,$C$14,$F$15,$F$14,$F$20,Y$2,$N$1,$C416)</f>
        <v>0</v>
      </c>
      <c r="Z416" s="191">
        <f ca="1">_xll.DBRW(Server&amp;Cube1,$F$17,$F$18,$F$19,$F$16,$C$14,$F$15,$F$14,$F$20,Z$2,$N$1,$C416)</f>
        <v>0</v>
      </c>
      <c r="AA416" s="53"/>
      <c r="AB416" s="53"/>
      <c r="AC416" s="53"/>
      <c r="AD416" s="53"/>
      <c r="AE416" s="53"/>
      <c r="AF416" s="53"/>
      <c r="AG416" s="53"/>
      <c r="AH416" s="53"/>
      <c r="AI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</row>
    <row r="417" spans="1:47" s="9" customFormat="1" ht="24" customHeight="1" x14ac:dyDescent="0.35">
      <c r="A417" s="157">
        <f ca="1">IF($AN$35="YES",1,IF(_xll.ELCOMPN(Server&amp;$C$24,C417)&lt;&gt;0,1,IF(OR(B417=$AT$35,B417="ALL"),1,0)))</f>
        <v>1</v>
      </c>
      <c r="B417" s="157" t="s">
        <v>488</v>
      </c>
      <c r="C417" s="111" t="s">
        <v>132</v>
      </c>
      <c r="E417" s="221" t="str">
        <f ca="1">_xll.DBRA(Server&amp;$C$24,$C417,$F$21)</f>
        <v>Dotations aux Amortissements</v>
      </c>
      <c r="F417" s="221"/>
      <c r="G417" s="221"/>
      <c r="H417" s="40"/>
      <c r="I417" s="192">
        <f ca="1">_xll.DBRW(Server&amp;Cube1,$F$17,$F$18,$F$19,$F$16,$C$14,$F$15,$F$14,$F$20,I$2,I$1,$C417)</f>
        <v>0</v>
      </c>
      <c r="J417" s="192">
        <f ca="1">_xll.DBRW(Server&amp;Cube1,$F$17,$F$18,$F$19,$F$16,$C$14,$F$15,$F$14,$F$20,J$2,J$1,$C417)</f>
        <v>0</v>
      </c>
      <c r="K417" s="183"/>
      <c r="L417" s="184">
        <f ca="1">_xll.DBRW(Server&amp;Cube1,$F$17,$F$18,$F$19,$F$16,$C$14,$F$15,$F$14,$F$20,L$2,L$1,$C417)</f>
        <v>0</v>
      </c>
      <c r="M417" s="184"/>
      <c r="N417" s="184">
        <f ca="1">_xll.DBRW(Server&amp;Cube1,$F$17,$F$18,$F$19,$F$16,$C$14,$F$15,$F$14,$F$20,N$2,$N$1,$C417)</f>
        <v>0</v>
      </c>
      <c r="O417" s="184">
        <f ca="1">_xll.DBRW(Server&amp;Cube1,$F$17,$F$18,$F$19,$F$16,$C$14,$F$15,$F$14,$F$20,O$2,$N$1,$C417)</f>
        <v>0</v>
      </c>
      <c r="P417" s="184">
        <f ca="1">_xll.DBRW(Server&amp;Cube1,$F$17,$F$18,$F$19,$F$16,$C$14,$F$15,$F$14,$F$20,P$2,$N$1,$C417)</f>
        <v>0</v>
      </c>
      <c r="Q417" s="184">
        <f ca="1">_xll.DBRW(Server&amp;Cube1,$F$17,$F$18,$F$19,$F$16,$C$14,$F$15,$F$14,$F$20,Q$2,$N$1,$C417)</f>
        <v>0</v>
      </c>
      <c r="R417" s="184">
        <f ca="1">_xll.DBRW(Server&amp;Cube1,$F$17,$F$18,$F$19,$F$16,$C$14,$F$15,$F$14,$F$20,R$2,$N$1,$C417)</f>
        <v>0</v>
      </c>
      <c r="S417" s="184">
        <f ca="1">_xll.DBRW(Server&amp;Cube1,$F$17,$F$18,$F$19,$F$16,$C$14,$F$15,$F$14,$F$20,S$2,$N$1,$C417)</f>
        <v>0</v>
      </c>
      <c r="T417" s="184">
        <f ca="1">_xll.DBRW(Server&amp;Cube1,$F$17,$F$18,$F$19,$F$16,$C$14,$F$15,$F$14,$F$20,T$2,$N$1,$C417)</f>
        <v>0</v>
      </c>
      <c r="U417" s="184">
        <f ca="1">_xll.DBRW(Server&amp;Cube1,$F$17,$F$18,$F$19,$F$16,$C$14,$F$15,$F$14,$F$20,U$2,$N$1,$C417)</f>
        <v>0</v>
      </c>
      <c r="V417" s="184">
        <f ca="1">_xll.DBRW(Server&amp;Cube1,$F$17,$F$18,$F$19,$F$16,$C$14,$F$15,$F$14,$F$20,V$2,$N$1,$C417)</f>
        <v>0</v>
      </c>
      <c r="W417" s="184">
        <f ca="1">_xll.DBRW(Server&amp;Cube1,$F$17,$F$18,$F$19,$F$16,$C$14,$F$15,$F$14,$F$20,W$2,$N$1,$C417)</f>
        <v>0</v>
      </c>
      <c r="X417" s="184">
        <f ca="1">_xll.DBRW(Server&amp;Cube1,$F$17,$F$18,$F$19,$F$16,$C$14,$F$15,$F$14,$F$20,X$2,$N$1,$C417)</f>
        <v>0</v>
      </c>
      <c r="Y417" s="184">
        <f ca="1">_xll.DBRW(Server&amp;Cube1,$F$17,$F$18,$F$19,$F$16,$C$14,$F$15,$F$14,$F$20,Y$2,$N$1,$C417)</f>
        <v>0</v>
      </c>
      <c r="Z417" s="184">
        <f ca="1">_xll.DBRW(Server&amp;Cube1,$F$17,$F$18,$F$19,$F$16,$C$14,$F$15,$F$14,$F$20,Z$2,$N$1,$C417)</f>
        <v>0</v>
      </c>
      <c r="AA417" s="53"/>
      <c r="AB417" s="53"/>
      <c r="AC417" s="53"/>
      <c r="AD417" s="53"/>
      <c r="AE417" s="53"/>
      <c r="AF417" s="53"/>
      <c r="AG417" s="53"/>
      <c r="AH417" s="53"/>
      <c r="AI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</row>
    <row r="418" spans="1:47" s="9" customFormat="1" ht="24" customHeight="1" x14ac:dyDescent="0.35">
      <c r="A418" s="157">
        <f ca="1">IF($AN$35="YES",1,IF(_xll.ELCOMPN(Server&amp;$C$24,C418)&lt;&gt;0,1,IF(OR(B418=$AT$35,B418="ALL"),1,0)))</f>
        <v>1</v>
      </c>
      <c r="B418" s="157" t="s">
        <v>488</v>
      </c>
      <c r="C418" s="167" t="s">
        <v>452</v>
      </c>
      <c r="E418" s="219" t="str">
        <f ca="1">_xll.DBRA(Server&amp;$C$24,$C418,$F$21)</f>
        <v>Amortissements (DC)</v>
      </c>
      <c r="F418" s="219"/>
      <c r="G418" s="219"/>
      <c r="H418" s="40"/>
      <c r="I418" s="192">
        <f ca="1">_xll.DBRW(Server&amp;Cube1,$F$17,$F$18,$F$19,$F$16,$C$14,$F$15,$F$14,$F$20,I$2,I$1,$C418)</f>
        <v>0</v>
      </c>
      <c r="J418" s="192">
        <f ca="1">_xll.DBRW(Server&amp;Cube1,$F$17,$F$18,$F$19,$F$16,$C$14,$F$15,$F$14,$F$20,J$2,J$1,$C418)</f>
        <v>0</v>
      </c>
      <c r="K418" s="183"/>
      <c r="L418" s="185">
        <f ca="1">_xll.DBRW(Server&amp;Cube1,$F$17,$F$18,$F$19,$F$16,$C$14,$F$15,$F$14,$F$20,L$2,L$1,$C418)</f>
        <v>0</v>
      </c>
      <c r="M418" s="184"/>
      <c r="N418" s="185">
        <f ca="1">_xll.DBRW(Server&amp;Cube1,$F$17,$F$18,$F$19,$F$16,$C$14,$F$15,$F$14,$F$20,N$2,$N$1,$C418)</f>
        <v>0</v>
      </c>
      <c r="O418" s="185">
        <f ca="1">_xll.DBRW(Server&amp;Cube1,$F$17,$F$18,$F$19,$F$16,$C$14,$F$15,$F$14,$F$20,O$2,$N$1,$C418)</f>
        <v>0</v>
      </c>
      <c r="P418" s="185">
        <f ca="1">_xll.DBRW(Server&amp;Cube1,$F$17,$F$18,$F$19,$F$16,$C$14,$F$15,$F$14,$F$20,P$2,$N$1,$C418)</f>
        <v>0</v>
      </c>
      <c r="Q418" s="185">
        <f ca="1">_xll.DBRW(Server&amp;Cube1,$F$17,$F$18,$F$19,$F$16,$C$14,$F$15,$F$14,$F$20,Q$2,$N$1,$C418)</f>
        <v>0</v>
      </c>
      <c r="R418" s="185">
        <f ca="1">_xll.DBRW(Server&amp;Cube1,$F$17,$F$18,$F$19,$F$16,$C$14,$F$15,$F$14,$F$20,R$2,$N$1,$C418)</f>
        <v>0</v>
      </c>
      <c r="S418" s="185">
        <f ca="1">_xll.DBRW(Server&amp;Cube1,$F$17,$F$18,$F$19,$F$16,$C$14,$F$15,$F$14,$F$20,S$2,$N$1,$C418)</f>
        <v>0</v>
      </c>
      <c r="T418" s="185">
        <f ca="1">_xll.DBRW(Server&amp;Cube1,$F$17,$F$18,$F$19,$F$16,$C$14,$F$15,$F$14,$F$20,T$2,$N$1,$C418)</f>
        <v>0</v>
      </c>
      <c r="U418" s="185">
        <f ca="1">_xll.DBRW(Server&amp;Cube1,$F$17,$F$18,$F$19,$F$16,$C$14,$F$15,$F$14,$F$20,U$2,$N$1,$C418)</f>
        <v>0</v>
      </c>
      <c r="V418" s="185">
        <f ca="1">_xll.DBRW(Server&amp;Cube1,$F$17,$F$18,$F$19,$F$16,$C$14,$F$15,$F$14,$F$20,V$2,$N$1,$C418)</f>
        <v>0</v>
      </c>
      <c r="W418" s="185">
        <f ca="1">_xll.DBRW(Server&amp;Cube1,$F$17,$F$18,$F$19,$F$16,$C$14,$F$15,$F$14,$F$20,W$2,$N$1,$C418)</f>
        <v>0</v>
      </c>
      <c r="X418" s="185">
        <f ca="1">_xll.DBRW(Server&amp;Cube1,$F$17,$F$18,$F$19,$F$16,$C$14,$F$15,$F$14,$F$20,X$2,$N$1,$C418)</f>
        <v>0</v>
      </c>
      <c r="Y418" s="185">
        <f ca="1">_xll.DBRW(Server&amp;Cube1,$F$17,$F$18,$F$19,$F$16,$C$14,$F$15,$F$14,$F$20,Y$2,$N$1,$C418)</f>
        <v>0</v>
      </c>
      <c r="Z418" s="185">
        <f ca="1">_xll.DBRW(Server&amp;Cube1,$F$17,$F$18,$F$19,$F$16,$C$14,$F$15,$F$14,$F$20,Z$2,$N$1,$C418)</f>
        <v>0</v>
      </c>
      <c r="AA418" s="53"/>
      <c r="AB418" s="53"/>
      <c r="AC418" s="53"/>
      <c r="AD418" s="53"/>
      <c r="AE418" s="53"/>
      <c r="AF418" s="53"/>
      <c r="AG418" s="53"/>
      <c r="AH418" s="53"/>
      <c r="AI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</row>
    <row r="419" spans="1:47" s="9" customFormat="1" ht="24" customHeight="1" x14ac:dyDescent="0.35">
      <c r="A419" s="157">
        <f ca="1">IF($AN$35="YES",1,IF(_xll.ELCOMPN(Server&amp;$C$24,C419)&lt;&gt;0,1,IF(OR(B419=$AT$35,B419="ALL"),1,0)))</f>
        <v>1</v>
      </c>
      <c r="B419" s="157" t="s">
        <v>488</v>
      </c>
      <c r="C419" s="167" t="s">
        <v>531</v>
      </c>
      <c r="E419" s="219" t="str">
        <f ca="1">_xll.DBRA(Server&amp;$C$24,$C419,$F$21)</f>
        <v>Amortissement (DG)</v>
      </c>
      <c r="F419" s="219"/>
      <c r="G419" s="219"/>
      <c r="H419" s="40"/>
      <c r="I419" s="192">
        <f ca="1">_xll.DBRW(Server&amp;Cube1,$F$17,$F$18,$F$19,$F$16,$C$14,$F$15,$F$14,$F$20,I$2,I$1,$C419)</f>
        <v>0</v>
      </c>
      <c r="J419" s="192">
        <f ca="1">_xll.DBRW(Server&amp;Cube1,$F$17,$F$18,$F$19,$F$16,$C$14,$F$15,$F$14,$F$20,J$2,J$1,$C419)</f>
        <v>0</v>
      </c>
      <c r="K419" s="183"/>
      <c r="L419" s="185">
        <f ca="1">_xll.DBRW(Server&amp;Cube1,$F$17,$F$18,$F$19,$F$16,$C$14,$F$15,$F$14,$F$20,L$2,L$1,$C419)</f>
        <v>0</v>
      </c>
      <c r="M419" s="184"/>
      <c r="N419" s="185">
        <f ca="1">_xll.DBRW(Server&amp;Cube1,$F$17,$F$18,$F$19,$F$16,$C$14,$F$15,$F$14,$F$20,N$2,$N$1,$C419)</f>
        <v>0</v>
      </c>
      <c r="O419" s="185">
        <f ca="1">_xll.DBRW(Server&amp;Cube1,$F$17,$F$18,$F$19,$F$16,$C$14,$F$15,$F$14,$F$20,O$2,$N$1,$C419)</f>
        <v>0</v>
      </c>
      <c r="P419" s="185">
        <f ca="1">_xll.DBRW(Server&amp;Cube1,$F$17,$F$18,$F$19,$F$16,$C$14,$F$15,$F$14,$F$20,P$2,$N$1,$C419)</f>
        <v>0</v>
      </c>
      <c r="Q419" s="185">
        <f ca="1">_xll.DBRW(Server&amp;Cube1,$F$17,$F$18,$F$19,$F$16,$C$14,$F$15,$F$14,$F$20,Q$2,$N$1,$C419)</f>
        <v>0</v>
      </c>
      <c r="R419" s="185">
        <f ca="1">_xll.DBRW(Server&amp;Cube1,$F$17,$F$18,$F$19,$F$16,$C$14,$F$15,$F$14,$F$20,R$2,$N$1,$C419)</f>
        <v>0</v>
      </c>
      <c r="S419" s="185">
        <f ca="1">_xll.DBRW(Server&amp;Cube1,$F$17,$F$18,$F$19,$F$16,$C$14,$F$15,$F$14,$F$20,S$2,$N$1,$C419)</f>
        <v>0</v>
      </c>
      <c r="T419" s="185">
        <f ca="1">_xll.DBRW(Server&amp;Cube1,$F$17,$F$18,$F$19,$F$16,$C$14,$F$15,$F$14,$F$20,T$2,$N$1,$C419)</f>
        <v>0</v>
      </c>
      <c r="U419" s="185">
        <f ca="1">_xll.DBRW(Server&amp;Cube1,$F$17,$F$18,$F$19,$F$16,$C$14,$F$15,$F$14,$F$20,U$2,$N$1,$C419)</f>
        <v>0</v>
      </c>
      <c r="V419" s="185">
        <f ca="1">_xll.DBRW(Server&amp;Cube1,$F$17,$F$18,$F$19,$F$16,$C$14,$F$15,$F$14,$F$20,V$2,$N$1,$C419)</f>
        <v>0</v>
      </c>
      <c r="W419" s="185">
        <f ca="1">_xll.DBRW(Server&amp;Cube1,$F$17,$F$18,$F$19,$F$16,$C$14,$F$15,$F$14,$F$20,W$2,$N$1,$C419)</f>
        <v>0</v>
      </c>
      <c r="X419" s="185">
        <f ca="1">_xll.DBRW(Server&amp;Cube1,$F$17,$F$18,$F$19,$F$16,$C$14,$F$15,$F$14,$F$20,X$2,$N$1,$C419)</f>
        <v>0</v>
      </c>
      <c r="Y419" s="185">
        <f ca="1">_xll.DBRW(Server&amp;Cube1,$F$17,$F$18,$F$19,$F$16,$C$14,$F$15,$F$14,$F$20,Y$2,$N$1,$C419)</f>
        <v>0</v>
      </c>
      <c r="Z419" s="185">
        <f ca="1">_xll.DBRW(Server&amp;Cube1,$F$17,$F$18,$F$19,$F$16,$C$14,$F$15,$F$14,$F$20,Z$2,$N$1,$C419)</f>
        <v>0</v>
      </c>
      <c r="AA419" s="53"/>
      <c r="AB419" s="53"/>
      <c r="AC419" s="53"/>
      <c r="AD419" s="53"/>
      <c r="AE419" s="53"/>
      <c r="AF419" s="53"/>
      <c r="AG419" s="53"/>
      <c r="AH419" s="53"/>
      <c r="AI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</row>
    <row r="420" spans="1:47" s="9" customFormat="1" ht="24" customHeight="1" x14ac:dyDescent="0.35">
      <c r="A420" s="157">
        <f ca="1">IF($AN$35="YES",1,IF(_xll.ELCOMPN(Server&amp;$C$24,C420)&lt;&gt;0,1,IF(OR(B420=$AT$35,B420="ALL"),1,0)))</f>
        <v>1</v>
      </c>
      <c r="B420" s="157" t="s">
        <v>488</v>
      </c>
      <c r="C420" s="111" t="s">
        <v>133</v>
      </c>
      <c r="E420" s="221" t="str">
        <f ca="1">_xll.DBRA(Server&amp;$C$24,$C420,$F$21)</f>
        <v>Provisions</v>
      </c>
      <c r="F420" s="221"/>
      <c r="G420" s="221"/>
      <c r="H420" s="40"/>
      <c r="I420" s="192">
        <f ca="1">_xll.DBRW(Server&amp;Cube1,$F$17,$F$18,$F$19,$F$16,$C$14,$F$15,$F$14,$F$20,I$2,I$1,$C420)</f>
        <v>0</v>
      </c>
      <c r="J420" s="192">
        <f ca="1">_xll.DBRW(Server&amp;Cube1,$F$17,$F$18,$F$19,$F$16,$C$14,$F$15,$F$14,$F$20,J$2,J$1,$C420)</f>
        <v>0</v>
      </c>
      <c r="K420" s="183"/>
      <c r="L420" s="184">
        <f ca="1">_xll.DBRW(Server&amp;Cube1,$F$17,$F$18,$F$19,$F$16,$C$14,$F$15,$F$14,$F$20,L$2,L$1,$C420)</f>
        <v>0</v>
      </c>
      <c r="M420" s="184"/>
      <c r="N420" s="184">
        <f ca="1">_xll.DBRW(Server&amp;Cube1,$F$17,$F$18,$F$19,$F$16,$C$14,$F$15,$F$14,$F$20,N$2,$N$1,$C420)</f>
        <v>0</v>
      </c>
      <c r="O420" s="184">
        <f ca="1">_xll.DBRW(Server&amp;Cube1,$F$17,$F$18,$F$19,$F$16,$C$14,$F$15,$F$14,$F$20,O$2,$N$1,$C420)</f>
        <v>0</v>
      </c>
      <c r="P420" s="184">
        <f ca="1">_xll.DBRW(Server&amp;Cube1,$F$17,$F$18,$F$19,$F$16,$C$14,$F$15,$F$14,$F$20,P$2,$N$1,$C420)</f>
        <v>0</v>
      </c>
      <c r="Q420" s="184">
        <f ca="1">_xll.DBRW(Server&amp;Cube1,$F$17,$F$18,$F$19,$F$16,$C$14,$F$15,$F$14,$F$20,Q$2,$N$1,$C420)</f>
        <v>0</v>
      </c>
      <c r="R420" s="184">
        <f ca="1">_xll.DBRW(Server&amp;Cube1,$F$17,$F$18,$F$19,$F$16,$C$14,$F$15,$F$14,$F$20,R$2,$N$1,$C420)</f>
        <v>0</v>
      </c>
      <c r="S420" s="184">
        <f ca="1">_xll.DBRW(Server&amp;Cube1,$F$17,$F$18,$F$19,$F$16,$C$14,$F$15,$F$14,$F$20,S$2,$N$1,$C420)</f>
        <v>0</v>
      </c>
      <c r="T420" s="184">
        <f ca="1">_xll.DBRW(Server&amp;Cube1,$F$17,$F$18,$F$19,$F$16,$C$14,$F$15,$F$14,$F$20,T$2,$N$1,$C420)</f>
        <v>0</v>
      </c>
      <c r="U420" s="184">
        <f ca="1">_xll.DBRW(Server&amp;Cube1,$F$17,$F$18,$F$19,$F$16,$C$14,$F$15,$F$14,$F$20,U$2,$N$1,$C420)</f>
        <v>0</v>
      </c>
      <c r="V420" s="184">
        <f ca="1">_xll.DBRW(Server&amp;Cube1,$F$17,$F$18,$F$19,$F$16,$C$14,$F$15,$F$14,$F$20,V$2,$N$1,$C420)</f>
        <v>0</v>
      </c>
      <c r="W420" s="184">
        <f ca="1">_xll.DBRW(Server&amp;Cube1,$F$17,$F$18,$F$19,$F$16,$C$14,$F$15,$F$14,$F$20,W$2,$N$1,$C420)</f>
        <v>0</v>
      </c>
      <c r="X420" s="184">
        <f ca="1">_xll.DBRW(Server&amp;Cube1,$F$17,$F$18,$F$19,$F$16,$C$14,$F$15,$F$14,$F$20,X$2,$N$1,$C420)</f>
        <v>0</v>
      </c>
      <c r="Y420" s="184">
        <f ca="1">_xll.DBRW(Server&amp;Cube1,$F$17,$F$18,$F$19,$F$16,$C$14,$F$15,$F$14,$F$20,Y$2,$N$1,$C420)</f>
        <v>0</v>
      </c>
      <c r="Z420" s="184">
        <f ca="1">_xll.DBRW(Server&amp;Cube1,$F$17,$F$18,$F$19,$F$16,$C$14,$F$15,$F$14,$F$20,Z$2,$N$1,$C420)</f>
        <v>0</v>
      </c>
      <c r="AA420" s="53"/>
      <c r="AB420" s="53"/>
      <c r="AC420" s="53"/>
      <c r="AD420" s="53"/>
      <c r="AE420" s="53"/>
      <c r="AF420" s="53"/>
      <c r="AG420" s="53"/>
      <c r="AH420" s="53"/>
      <c r="AI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</row>
    <row r="421" spans="1:47" s="9" customFormat="1" ht="24" customHeight="1" x14ac:dyDescent="0.35">
      <c r="A421" s="157">
        <f ca="1">IF($AN$35="YES",1,IF(_xll.ELCOMPN(Server&amp;$C$24,C421)&lt;&gt;0,1,IF(OR(B421=$AT$35,B421="ALL"),1,0)))</f>
        <v>1</v>
      </c>
      <c r="B421" s="157" t="s">
        <v>488</v>
      </c>
      <c r="C421" s="137" t="s">
        <v>465</v>
      </c>
      <c r="E421" s="221" t="str">
        <f ca="1">_xll.DBRA(Server&amp;$C$24,$C421,$F$21)</f>
        <v>Pertes de valeur BFR (DG)</v>
      </c>
      <c r="F421" s="221"/>
      <c r="G421" s="221"/>
      <c r="H421" s="40"/>
      <c r="I421" s="192">
        <f ca="1">_xll.DBRW(Server&amp;Cube1,$F$17,$F$18,$F$19,$F$16,$C$14,$F$15,$F$14,$F$20,I$2,I$1,$C421)</f>
        <v>0</v>
      </c>
      <c r="J421" s="192">
        <f ca="1">_xll.DBRW(Server&amp;Cube1,$F$17,$F$18,$F$19,$F$16,$C$14,$F$15,$F$14,$F$20,J$2,J$1,$C421)</f>
        <v>0</v>
      </c>
      <c r="K421" s="183"/>
      <c r="L421" s="185">
        <f ca="1">_xll.DBRW(Server&amp;Cube1,$F$17,$F$18,$F$19,$F$16,$C$14,$F$15,$F$14,$F$20,L$2,L$1,$C421)</f>
        <v>0</v>
      </c>
      <c r="M421" s="184"/>
      <c r="N421" s="185">
        <f ca="1">_xll.DBRW(Server&amp;Cube1,$F$17,$F$18,$F$19,$F$16,$C$14,$F$15,$F$14,$F$20,N$2,$N$1,$C421)</f>
        <v>0</v>
      </c>
      <c r="O421" s="185">
        <f ca="1">_xll.DBRW(Server&amp;Cube1,$F$17,$F$18,$F$19,$F$16,$C$14,$F$15,$F$14,$F$20,O$2,$N$1,$C421)</f>
        <v>0</v>
      </c>
      <c r="P421" s="185">
        <f ca="1">_xll.DBRW(Server&amp;Cube1,$F$17,$F$18,$F$19,$F$16,$C$14,$F$15,$F$14,$F$20,P$2,$N$1,$C421)</f>
        <v>0</v>
      </c>
      <c r="Q421" s="185">
        <f ca="1">_xll.DBRW(Server&amp;Cube1,$F$17,$F$18,$F$19,$F$16,$C$14,$F$15,$F$14,$F$20,Q$2,$N$1,$C421)</f>
        <v>0</v>
      </c>
      <c r="R421" s="185">
        <f ca="1">_xll.DBRW(Server&amp;Cube1,$F$17,$F$18,$F$19,$F$16,$C$14,$F$15,$F$14,$F$20,R$2,$N$1,$C421)</f>
        <v>0</v>
      </c>
      <c r="S421" s="185">
        <f ca="1">_xll.DBRW(Server&amp;Cube1,$F$17,$F$18,$F$19,$F$16,$C$14,$F$15,$F$14,$F$20,S$2,$N$1,$C421)</f>
        <v>0</v>
      </c>
      <c r="T421" s="185">
        <f ca="1">_xll.DBRW(Server&amp;Cube1,$F$17,$F$18,$F$19,$F$16,$C$14,$F$15,$F$14,$F$20,T$2,$N$1,$C421)</f>
        <v>0</v>
      </c>
      <c r="U421" s="185">
        <f ca="1">_xll.DBRW(Server&amp;Cube1,$F$17,$F$18,$F$19,$F$16,$C$14,$F$15,$F$14,$F$20,U$2,$N$1,$C421)</f>
        <v>0</v>
      </c>
      <c r="V421" s="185">
        <f ca="1">_xll.DBRW(Server&amp;Cube1,$F$17,$F$18,$F$19,$F$16,$C$14,$F$15,$F$14,$F$20,V$2,$N$1,$C421)</f>
        <v>0</v>
      </c>
      <c r="W421" s="185">
        <f ca="1">_xll.DBRW(Server&amp;Cube1,$F$17,$F$18,$F$19,$F$16,$C$14,$F$15,$F$14,$F$20,W$2,$N$1,$C421)</f>
        <v>0</v>
      </c>
      <c r="X421" s="185">
        <f ca="1">_xll.DBRW(Server&amp;Cube1,$F$17,$F$18,$F$19,$F$16,$C$14,$F$15,$F$14,$F$20,X$2,$N$1,$C421)</f>
        <v>0</v>
      </c>
      <c r="Y421" s="185">
        <f ca="1">_xll.DBRW(Server&amp;Cube1,$F$17,$F$18,$F$19,$F$16,$C$14,$F$15,$F$14,$F$20,Y$2,$N$1,$C421)</f>
        <v>0</v>
      </c>
      <c r="Z421" s="185">
        <f ca="1">_xll.DBRW(Server&amp;Cube1,$F$17,$F$18,$F$19,$F$16,$C$14,$F$15,$F$14,$F$20,Z$2,$N$1,$C421)</f>
        <v>0</v>
      </c>
      <c r="AA421" s="53"/>
      <c r="AB421" s="53"/>
      <c r="AC421" s="53"/>
      <c r="AD421" s="53"/>
      <c r="AE421" s="53"/>
      <c r="AF421" s="53"/>
      <c r="AG421" s="53"/>
      <c r="AH421" s="53"/>
      <c r="AI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</row>
    <row r="422" spans="1:47" s="9" customFormat="1" ht="24" customHeight="1" x14ac:dyDescent="0.35">
      <c r="A422" s="157">
        <f ca="1">IF($AN$35="YES",1,IF(_xll.ELCOMPN(Server&amp;$C$24,C422)&lt;&gt;0,1,IF(OR(B422=$AT$35,B422="ALL"),1,0)))</f>
        <v>1</v>
      </c>
      <c r="B422" s="157" t="s">
        <v>488</v>
      </c>
      <c r="C422" s="111" t="s">
        <v>466</v>
      </c>
      <c r="E422" s="221" t="str">
        <f ca="1">_xll.DBRA(Server&amp;$C$24,$C422,$F$21)</f>
        <v>Pertes de valeur BFR - Dépenses commerciales</v>
      </c>
      <c r="F422" s="221"/>
      <c r="G422" s="221"/>
      <c r="H422" s="40"/>
      <c r="I422" s="192">
        <f ca="1">_xll.DBRW(Server&amp;Cube1,$F$17,$F$18,$F$19,$F$16,$C$14,$F$15,$F$14,$F$20,I$2,I$1,$C422)</f>
        <v>0</v>
      </c>
      <c r="J422" s="192">
        <f ca="1">_xll.DBRW(Server&amp;Cube1,$F$17,$F$18,$F$19,$F$16,$C$14,$F$15,$F$14,$F$20,J$2,J$1,$C422)</f>
        <v>0</v>
      </c>
      <c r="K422" s="183"/>
      <c r="L422" s="184">
        <f ca="1">_xll.DBRW(Server&amp;Cube1,$F$17,$F$18,$F$19,$F$16,$C$14,$F$15,$F$14,$F$20,L$2,L$1,$C422)</f>
        <v>0</v>
      </c>
      <c r="M422" s="184"/>
      <c r="N422" s="184">
        <f ca="1">_xll.DBRW(Server&amp;Cube1,$F$17,$F$18,$F$19,$F$16,$C$14,$F$15,$F$14,$F$20,N$2,$N$1,$C422)</f>
        <v>0</v>
      </c>
      <c r="O422" s="184">
        <f ca="1">_xll.DBRW(Server&amp;Cube1,$F$17,$F$18,$F$19,$F$16,$C$14,$F$15,$F$14,$F$20,O$2,$N$1,$C422)</f>
        <v>0</v>
      </c>
      <c r="P422" s="184">
        <f ca="1">_xll.DBRW(Server&amp;Cube1,$F$17,$F$18,$F$19,$F$16,$C$14,$F$15,$F$14,$F$20,P$2,$N$1,$C422)</f>
        <v>0</v>
      </c>
      <c r="Q422" s="184">
        <f ca="1">_xll.DBRW(Server&amp;Cube1,$F$17,$F$18,$F$19,$F$16,$C$14,$F$15,$F$14,$F$20,Q$2,$N$1,$C422)</f>
        <v>0</v>
      </c>
      <c r="R422" s="184">
        <f ca="1">_xll.DBRW(Server&amp;Cube1,$F$17,$F$18,$F$19,$F$16,$C$14,$F$15,$F$14,$F$20,R$2,$N$1,$C422)</f>
        <v>0</v>
      </c>
      <c r="S422" s="184">
        <f ca="1">_xll.DBRW(Server&amp;Cube1,$F$17,$F$18,$F$19,$F$16,$C$14,$F$15,$F$14,$F$20,S$2,$N$1,$C422)</f>
        <v>0</v>
      </c>
      <c r="T422" s="184">
        <f ca="1">_xll.DBRW(Server&amp;Cube1,$F$17,$F$18,$F$19,$F$16,$C$14,$F$15,$F$14,$F$20,T$2,$N$1,$C422)</f>
        <v>0</v>
      </c>
      <c r="U422" s="184">
        <f ca="1">_xll.DBRW(Server&amp;Cube1,$F$17,$F$18,$F$19,$F$16,$C$14,$F$15,$F$14,$F$20,U$2,$N$1,$C422)</f>
        <v>0</v>
      </c>
      <c r="V422" s="184">
        <f ca="1">_xll.DBRW(Server&amp;Cube1,$F$17,$F$18,$F$19,$F$16,$C$14,$F$15,$F$14,$F$20,V$2,$N$1,$C422)</f>
        <v>0</v>
      </c>
      <c r="W422" s="184">
        <f ca="1">_xll.DBRW(Server&amp;Cube1,$F$17,$F$18,$F$19,$F$16,$C$14,$F$15,$F$14,$F$20,W$2,$N$1,$C422)</f>
        <v>0</v>
      </c>
      <c r="X422" s="184">
        <f ca="1">_xll.DBRW(Server&amp;Cube1,$F$17,$F$18,$F$19,$F$16,$C$14,$F$15,$F$14,$F$20,X$2,$N$1,$C422)</f>
        <v>0</v>
      </c>
      <c r="Y422" s="184">
        <f ca="1">_xll.DBRW(Server&amp;Cube1,$F$17,$F$18,$F$19,$F$16,$C$14,$F$15,$F$14,$F$20,Y$2,$N$1,$C422)</f>
        <v>0</v>
      </c>
      <c r="Z422" s="184">
        <f ca="1">_xll.DBRW(Server&amp;Cube1,$F$17,$F$18,$F$19,$F$16,$C$14,$F$15,$F$14,$F$20,Z$2,$N$1,$C422)</f>
        <v>0</v>
      </c>
      <c r="AA422" s="53"/>
      <c r="AB422" s="53"/>
      <c r="AC422" s="53"/>
      <c r="AD422" s="53"/>
      <c r="AE422" s="53"/>
      <c r="AF422" s="53"/>
      <c r="AG422" s="53"/>
      <c r="AH422" s="53"/>
      <c r="AI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</row>
    <row r="423" spans="1:47" s="9" customFormat="1" ht="24" customHeight="1" x14ac:dyDescent="0.35">
      <c r="A423" s="157">
        <f ca="1">IF($AN$35="YES",1,IF(_xll.ELCOMPN(Server&amp;$C$24,C423)&lt;&gt;0,1,IF(OR(B423=$AT$35,B423="ALL"),1,0)))</f>
        <v>1</v>
      </c>
      <c r="B423" s="157" t="s">
        <v>488</v>
      </c>
      <c r="C423" s="137" t="s">
        <v>467</v>
      </c>
      <c r="E423" s="219" t="str">
        <f ca="1">_xll.DBRA(Server&amp;$C$24,$C423,$F$21)</f>
        <v>Pertes de valeur BFR (DC)</v>
      </c>
      <c r="F423" s="219"/>
      <c r="G423" s="219"/>
      <c r="H423" s="40"/>
      <c r="I423" s="192">
        <f ca="1">_xll.DBRW(Server&amp;Cube1,$F$17,$F$18,$F$19,$F$16,$C$14,$F$15,$F$14,$F$20,I$2,I$1,$C423)</f>
        <v>0</v>
      </c>
      <c r="J423" s="192">
        <f ca="1">_xll.DBRW(Server&amp;Cube1,$F$17,$F$18,$F$19,$F$16,$C$14,$F$15,$F$14,$F$20,J$2,J$1,$C423)</f>
        <v>0</v>
      </c>
      <c r="K423" s="183"/>
      <c r="L423" s="185">
        <f ca="1">_xll.DBRW(Server&amp;Cube1,$F$17,$F$18,$F$19,$F$16,$C$14,$F$15,$F$14,$F$20,L$2,L$1,$C423)</f>
        <v>0</v>
      </c>
      <c r="M423" s="184"/>
      <c r="N423" s="185">
        <f ca="1">_xll.DBRW(Server&amp;Cube1,$F$17,$F$18,$F$19,$F$16,$C$14,$F$15,$F$14,$F$20,N$2,$N$1,$C423)</f>
        <v>0</v>
      </c>
      <c r="O423" s="185">
        <f ca="1">_xll.DBRW(Server&amp;Cube1,$F$17,$F$18,$F$19,$F$16,$C$14,$F$15,$F$14,$F$20,O$2,$N$1,$C423)</f>
        <v>0</v>
      </c>
      <c r="P423" s="185">
        <f ca="1">_xll.DBRW(Server&amp;Cube1,$F$17,$F$18,$F$19,$F$16,$C$14,$F$15,$F$14,$F$20,P$2,$N$1,$C423)</f>
        <v>0</v>
      </c>
      <c r="Q423" s="185">
        <f ca="1">_xll.DBRW(Server&amp;Cube1,$F$17,$F$18,$F$19,$F$16,$C$14,$F$15,$F$14,$F$20,Q$2,$N$1,$C423)</f>
        <v>0</v>
      </c>
      <c r="R423" s="185">
        <f ca="1">_xll.DBRW(Server&amp;Cube1,$F$17,$F$18,$F$19,$F$16,$C$14,$F$15,$F$14,$F$20,R$2,$N$1,$C423)</f>
        <v>0</v>
      </c>
      <c r="S423" s="185">
        <f ca="1">_xll.DBRW(Server&amp;Cube1,$F$17,$F$18,$F$19,$F$16,$C$14,$F$15,$F$14,$F$20,S$2,$N$1,$C423)</f>
        <v>0</v>
      </c>
      <c r="T423" s="185">
        <f ca="1">_xll.DBRW(Server&amp;Cube1,$F$17,$F$18,$F$19,$F$16,$C$14,$F$15,$F$14,$F$20,T$2,$N$1,$C423)</f>
        <v>0</v>
      </c>
      <c r="U423" s="185">
        <f ca="1">_xll.DBRW(Server&amp;Cube1,$F$17,$F$18,$F$19,$F$16,$C$14,$F$15,$F$14,$F$20,U$2,$N$1,$C423)</f>
        <v>0</v>
      </c>
      <c r="V423" s="185">
        <f ca="1">_xll.DBRW(Server&amp;Cube1,$F$17,$F$18,$F$19,$F$16,$C$14,$F$15,$F$14,$F$20,V$2,$N$1,$C423)</f>
        <v>0</v>
      </c>
      <c r="W423" s="185">
        <f ca="1">_xll.DBRW(Server&amp;Cube1,$F$17,$F$18,$F$19,$F$16,$C$14,$F$15,$F$14,$F$20,W$2,$N$1,$C423)</f>
        <v>0</v>
      </c>
      <c r="X423" s="185">
        <f ca="1">_xll.DBRW(Server&amp;Cube1,$F$17,$F$18,$F$19,$F$16,$C$14,$F$15,$F$14,$F$20,X$2,$N$1,$C423)</f>
        <v>0</v>
      </c>
      <c r="Y423" s="185">
        <f ca="1">_xll.DBRW(Server&amp;Cube1,$F$17,$F$18,$F$19,$F$16,$C$14,$F$15,$F$14,$F$20,Y$2,$N$1,$C423)</f>
        <v>0</v>
      </c>
      <c r="Z423" s="185">
        <f ca="1">_xll.DBRW(Server&amp;Cube1,$F$17,$F$18,$F$19,$F$16,$C$14,$F$15,$F$14,$F$20,Z$2,$N$1,$C423)</f>
        <v>0</v>
      </c>
      <c r="AA423" s="53"/>
      <c r="AB423" s="53"/>
      <c r="AC423" s="53"/>
      <c r="AD423" s="53"/>
      <c r="AE423" s="53"/>
      <c r="AF423" s="53"/>
      <c r="AG423" s="53"/>
      <c r="AH423" s="53"/>
      <c r="AI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</row>
    <row r="424" spans="1:47" s="9" customFormat="1" ht="24" customHeight="1" x14ac:dyDescent="0.35">
      <c r="A424" s="157">
        <f ca="1">IF($AN$35="YES",1,IF(_xll.ELCOMPN(Server&amp;$C$24,C424)&lt;&gt;0,1,IF(OR(B424=$AT$35,B424="ALL"),1,0)))</f>
        <v>1</v>
      </c>
      <c r="B424" s="157" t="s">
        <v>488</v>
      </c>
      <c r="C424" s="111" t="s">
        <v>468</v>
      </c>
      <c r="E424" s="221" t="str">
        <f ca="1">_xll.DBRA(Server&amp;$C$24,$C424,$F$21)</f>
        <v>Pertes de valeur hors BFR - Dépenses commerciales</v>
      </c>
      <c r="F424" s="221"/>
      <c r="G424" s="221"/>
      <c r="H424" s="40"/>
      <c r="I424" s="192">
        <f ca="1">_xll.DBRW(Server&amp;Cube1,$F$17,$F$18,$F$19,$F$16,$C$14,$F$15,$F$14,$F$20,I$2,I$1,$C424)</f>
        <v>0</v>
      </c>
      <c r="J424" s="192">
        <f ca="1">_xll.DBRW(Server&amp;Cube1,$F$17,$F$18,$F$19,$F$16,$C$14,$F$15,$F$14,$F$20,J$2,J$1,$C424)</f>
        <v>0</v>
      </c>
      <c r="K424" s="183"/>
      <c r="L424" s="184">
        <f ca="1">_xll.DBRW(Server&amp;Cube1,$F$17,$F$18,$F$19,$F$16,$C$14,$F$15,$F$14,$F$20,L$2,L$1,$C424)</f>
        <v>0</v>
      </c>
      <c r="M424" s="184"/>
      <c r="N424" s="184">
        <f ca="1">_xll.DBRW(Server&amp;Cube1,$F$17,$F$18,$F$19,$F$16,$C$14,$F$15,$F$14,$F$20,N$2,$N$1,$C424)</f>
        <v>0</v>
      </c>
      <c r="O424" s="184">
        <f ca="1">_xll.DBRW(Server&amp;Cube1,$F$17,$F$18,$F$19,$F$16,$C$14,$F$15,$F$14,$F$20,O$2,$N$1,$C424)</f>
        <v>0</v>
      </c>
      <c r="P424" s="184">
        <f ca="1">_xll.DBRW(Server&amp;Cube1,$F$17,$F$18,$F$19,$F$16,$C$14,$F$15,$F$14,$F$20,P$2,$N$1,$C424)</f>
        <v>0</v>
      </c>
      <c r="Q424" s="184">
        <f ca="1">_xll.DBRW(Server&amp;Cube1,$F$17,$F$18,$F$19,$F$16,$C$14,$F$15,$F$14,$F$20,Q$2,$N$1,$C424)</f>
        <v>0</v>
      </c>
      <c r="R424" s="184">
        <f ca="1">_xll.DBRW(Server&amp;Cube1,$F$17,$F$18,$F$19,$F$16,$C$14,$F$15,$F$14,$F$20,R$2,$N$1,$C424)</f>
        <v>0</v>
      </c>
      <c r="S424" s="184">
        <f ca="1">_xll.DBRW(Server&amp;Cube1,$F$17,$F$18,$F$19,$F$16,$C$14,$F$15,$F$14,$F$20,S$2,$N$1,$C424)</f>
        <v>0</v>
      </c>
      <c r="T424" s="184">
        <f ca="1">_xll.DBRW(Server&amp;Cube1,$F$17,$F$18,$F$19,$F$16,$C$14,$F$15,$F$14,$F$20,T$2,$N$1,$C424)</f>
        <v>0</v>
      </c>
      <c r="U424" s="184">
        <f ca="1">_xll.DBRW(Server&amp;Cube1,$F$17,$F$18,$F$19,$F$16,$C$14,$F$15,$F$14,$F$20,U$2,$N$1,$C424)</f>
        <v>0</v>
      </c>
      <c r="V424" s="184">
        <f ca="1">_xll.DBRW(Server&amp;Cube1,$F$17,$F$18,$F$19,$F$16,$C$14,$F$15,$F$14,$F$20,V$2,$N$1,$C424)</f>
        <v>0</v>
      </c>
      <c r="W424" s="184">
        <f ca="1">_xll.DBRW(Server&amp;Cube1,$F$17,$F$18,$F$19,$F$16,$C$14,$F$15,$F$14,$F$20,W$2,$N$1,$C424)</f>
        <v>0</v>
      </c>
      <c r="X424" s="184">
        <f ca="1">_xll.DBRW(Server&amp;Cube1,$F$17,$F$18,$F$19,$F$16,$C$14,$F$15,$F$14,$F$20,X$2,$N$1,$C424)</f>
        <v>0</v>
      </c>
      <c r="Y424" s="184">
        <f ca="1">_xll.DBRW(Server&amp;Cube1,$F$17,$F$18,$F$19,$F$16,$C$14,$F$15,$F$14,$F$20,Y$2,$N$1,$C424)</f>
        <v>0</v>
      </c>
      <c r="Z424" s="184">
        <f ca="1">_xll.DBRW(Server&amp;Cube1,$F$17,$F$18,$F$19,$F$16,$C$14,$F$15,$F$14,$F$20,Z$2,$N$1,$C424)</f>
        <v>0</v>
      </c>
      <c r="AA424" s="53"/>
      <c r="AB424" s="53"/>
      <c r="AC424" s="53"/>
      <c r="AD424" s="53"/>
      <c r="AE424" s="53"/>
      <c r="AF424" s="53"/>
      <c r="AG424" s="53"/>
      <c r="AH424" s="53"/>
      <c r="AI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</row>
    <row r="425" spans="1:47" s="9" customFormat="1" ht="24" customHeight="1" x14ac:dyDescent="0.35">
      <c r="A425" s="157">
        <f ca="1">IF($AN$35="YES",1,IF(_xll.ELCOMPN(Server&amp;$C$24,C425)&lt;&gt;0,1,IF(OR(B425=$AT$35,B425="ALL"),1,0)))</f>
        <v>1</v>
      </c>
      <c r="B425" s="157" t="s">
        <v>488</v>
      </c>
      <c r="C425" s="137" t="s">
        <v>469</v>
      </c>
      <c r="E425" s="219" t="str">
        <f ca="1">_xll.DBRA(Server&amp;$C$24,$C425,$F$21)</f>
        <v>Pertes de valeurs (hors BFR) et provisions - liées aux frais de personnel (DC)</v>
      </c>
      <c r="F425" s="219"/>
      <c r="G425" s="219"/>
      <c r="H425" s="40"/>
      <c r="I425" s="192">
        <f ca="1">_xll.DBRW(Server&amp;Cube1,$F$17,$F$18,$F$19,$F$16,$C$14,$F$15,$F$14,$F$20,I$2,I$1,$C425)</f>
        <v>0</v>
      </c>
      <c r="J425" s="192">
        <f ca="1">_xll.DBRW(Server&amp;Cube1,$F$17,$F$18,$F$19,$F$16,$C$14,$F$15,$F$14,$F$20,J$2,J$1,$C425)</f>
        <v>0</v>
      </c>
      <c r="K425" s="183"/>
      <c r="L425" s="185">
        <f ca="1">_xll.DBRW(Server&amp;Cube1,$F$17,$F$18,$F$19,$F$16,$C$14,$F$15,$F$14,$F$20,L$2,L$1,$C425)</f>
        <v>0</v>
      </c>
      <c r="M425" s="184"/>
      <c r="N425" s="185">
        <f ca="1">_xll.DBRW(Server&amp;Cube1,$F$17,$F$18,$F$19,$F$16,$C$14,$F$15,$F$14,$F$20,N$2,$N$1,$C425)</f>
        <v>0</v>
      </c>
      <c r="O425" s="185">
        <f ca="1">_xll.DBRW(Server&amp;Cube1,$F$17,$F$18,$F$19,$F$16,$C$14,$F$15,$F$14,$F$20,O$2,$N$1,$C425)</f>
        <v>0</v>
      </c>
      <c r="P425" s="185">
        <f ca="1">_xll.DBRW(Server&amp;Cube1,$F$17,$F$18,$F$19,$F$16,$C$14,$F$15,$F$14,$F$20,P$2,$N$1,$C425)</f>
        <v>0</v>
      </c>
      <c r="Q425" s="185">
        <f ca="1">_xll.DBRW(Server&amp;Cube1,$F$17,$F$18,$F$19,$F$16,$C$14,$F$15,$F$14,$F$20,Q$2,$N$1,$C425)</f>
        <v>0</v>
      </c>
      <c r="R425" s="185">
        <f ca="1">_xll.DBRW(Server&amp;Cube1,$F$17,$F$18,$F$19,$F$16,$C$14,$F$15,$F$14,$F$20,R$2,$N$1,$C425)</f>
        <v>0</v>
      </c>
      <c r="S425" s="185">
        <f ca="1">_xll.DBRW(Server&amp;Cube1,$F$17,$F$18,$F$19,$F$16,$C$14,$F$15,$F$14,$F$20,S$2,$N$1,$C425)</f>
        <v>0</v>
      </c>
      <c r="T425" s="185">
        <f ca="1">_xll.DBRW(Server&amp;Cube1,$F$17,$F$18,$F$19,$F$16,$C$14,$F$15,$F$14,$F$20,T$2,$N$1,$C425)</f>
        <v>0</v>
      </c>
      <c r="U425" s="185">
        <f ca="1">_xll.DBRW(Server&amp;Cube1,$F$17,$F$18,$F$19,$F$16,$C$14,$F$15,$F$14,$F$20,U$2,$N$1,$C425)</f>
        <v>0</v>
      </c>
      <c r="V425" s="185">
        <f ca="1">_xll.DBRW(Server&amp;Cube1,$F$17,$F$18,$F$19,$F$16,$C$14,$F$15,$F$14,$F$20,V$2,$N$1,$C425)</f>
        <v>0</v>
      </c>
      <c r="W425" s="185">
        <f ca="1">_xll.DBRW(Server&amp;Cube1,$F$17,$F$18,$F$19,$F$16,$C$14,$F$15,$F$14,$F$20,W$2,$N$1,$C425)</f>
        <v>0</v>
      </c>
      <c r="X425" s="185">
        <f ca="1">_xll.DBRW(Server&amp;Cube1,$F$17,$F$18,$F$19,$F$16,$C$14,$F$15,$F$14,$F$20,X$2,$N$1,$C425)</f>
        <v>0</v>
      </c>
      <c r="Y425" s="185">
        <f ca="1">_xll.DBRW(Server&amp;Cube1,$F$17,$F$18,$F$19,$F$16,$C$14,$F$15,$F$14,$F$20,Y$2,$N$1,$C425)</f>
        <v>0</v>
      </c>
      <c r="Z425" s="185">
        <f ca="1">_xll.DBRW(Server&amp;Cube1,$F$17,$F$18,$F$19,$F$16,$C$14,$F$15,$F$14,$F$20,Z$2,$N$1,$C425)</f>
        <v>0</v>
      </c>
      <c r="AA425" s="53"/>
      <c r="AB425" s="53"/>
      <c r="AC425" s="53"/>
      <c r="AD425" s="53"/>
      <c r="AE425" s="53"/>
      <c r="AF425" s="53"/>
      <c r="AG425" s="53"/>
      <c r="AH425" s="53"/>
      <c r="AI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</row>
    <row r="426" spans="1:47" s="9" customFormat="1" ht="11.25" customHeight="1" thickBot="1" x14ac:dyDescent="0.4">
      <c r="A426" s="157">
        <f ca="1">IF($AN$35="YES",1,IF(_xll.ELCOMPN(Server&amp;$C$24,C426)&lt;&gt;0,1,IF(OR(B426=$AT$35,B426="ALL"),1,0)))</f>
        <v>1</v>
      </c>
      <c r="B426" s="157" t="s">
        <v>488</v>
      </c>
      <c r="C426" s="114"/>
      <c r="E426" s="88"/>
      <c r="F426" s="88"/>
      <c r="G426" s="88"/>
      <c r="H426" s="40"/>
      <c r="I426" s="193"/>
      <c r="J426" s="193"/>
      <c r="K426" s="194"/>
      <c r="L426" s="195"/>
      <c r="M426" s="195"/>
      <c r="N426" s="196"/>
      <c r="O426" s="196"/>
      <c r="P426" s="197"/>
      <c r="Q426" s="196"/>
      <c r="R426" s="193"/>
      <c r="S426" s="193"/>
      <c r="T426" s="193"/>
      <c r="U426" s="193"/>
      <c r="V426" s="193"/>
      <c r="W426" s="193"/>
      <c r="X426" s="193"/>
      <c r="Y426" s="193"/>
      <c r="Z426" s="193"/>
      <c r="AA426" s="53"/>
      <c r="AB426" s="53"/>
      <c r="AC426" s="53"/>
      <c r="AD426" s="53"/>
      <c r="AE426" s="53"/>
      <c r="AF426" s="53"/>
      <c r="AG426" s="53"/>
      <c r="AH426" s="53"/>
      <c r="AI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</row>
    <row r="427" spans="1:47" s="9" customFormat="1" ht="24" customHeight="1" thickBot="1" x14ac:dyDescent="0.4">
      <c r="A427" s="157">
        <f ca="1">IF($AN$35="YES",1,IF(_xll.ELCOMPN(Server&amp;$C$24,C427)&lt;&gt;0,1,IF(OR(B427=$AT$35,B427="ALL"),1,0)))</f>
        <v>1</v>
      </c>
      <c r="B427" s="157" t="s">
        <v>488</v>
      </c>
      <c r="C427" s="110" t="s">
        <v>135</v>
      </c>
      <c r="E427" s="234" t="str">
        <f ca="1">_xll.DBRA(Server&amp;$C$24,$C427,$F$21)</f>
        <v>RESULTAT OPERATIONNEL AVANT MANAGEMENT FEES</v>
      </c>
      <c r="F427" s="234"/>
      <c r="G427" s="234"/>
      <c r="H427" s="40"/>
      <c r="I427" s="198">
        <f ca="1">_xll.DBRW(Server&amp;Cube1,$F$17,$F$18,$F$19,$F$16,$C$14,$F$15,$F$14,$F$20,I$2,I$1,$C427)</f>
        <v>0</v>
      </c>
      <c r="J427" s="198">
        <f ca="1">_xll.DBRW(Server&amp;Cube1,$F$17,$F$18,$F$19,$F$16,$C$14,$F$15,$F$14,$F$20,J$2,J$1,$C427)</f>
        <v>0.12</v>
      </c>
      <c r="K427" s="188"/>
      <c r="L427" s="198">
        <f ca="1">_xll.DBRW(Server&amp;Cube1,$F$17,$F$18,$F$19,$F$16,$C$14,$F$15,$F$14,$F$20,L$2,L$1,$C427)</f>
        <v>0.12</v>
      </c>
      <c r="M427" s="189"/>
      <c r="N427" s="198">
        <f ca="1">_xll.DBRW(Server&amp;Cube1,$F$17,$F$18,$F$19,$F$16,$C$14,$F$15,$F$14,$F$20,N$2,$N$1,$C427)</f>
        <v>0.01</v>
      </c>
      <c r="O427" s="198">
        <f ca="1">_xll.DBRW(Server&amp;Cube1,$F$17,$F$18,$F$19,$F$16,$C$14,$F$15,$F$14,$F$20,O$2,$N$1,$C427)</f>
        <v>0.01</v>
      </c>
      <c r="P427" s="198">
        <f ca="1">_xll.DBRW(Server&amp;Cube1,$F$17,$F$18,$F$19,$F$16,$C$14,$F$15,$F$14,$F$20,P$2,$N$1,$C427)</f>
        <v>0.01</v>
      </c>
      <c r="Q427" s="198">
        <f ca="1">_xll.DBRW(Server&amp;Cube1,$F$17,$F$18,$F$19,$F$16,$C$14,$F$15,$F$14,$F$20,Q$2,$N$1,$C427)</f>
        <v>0.01</v>
      </c>
      <c r="R427" s="198">
        <f ca="1">_xll.DBRW(Server&amp;Cube1,$F$17,$F$18,$F$19,$F$16,$C$14,$F$15,$F$14,$F$20,R$2,$N$1,$C427)</f>
        <v>0.01</v>
      </c>
      <c r="S427" s="198">
        <f ca="1">_xll.DBRW(Server&amp;Cube1,$F$17,$F$18,$F$19,$F$16,$C$14,$F$15,$F$14,$F$20,S$2,$N$1,$C427)</f>
        <v>0.01</v>
      </c>
      <c r="T427" s="198">
        <f ca="1">_xll.DBRW(Server&amp;Cube1,$F$17,$F$18,$F$19,$F$16,$C$14,$F$15,$F$14,$F$20,T$2,$N$1,$C427)</f>
        <v>0.01</v>
      </c>
      <c r="U427" s="198">
        <f ca="1">_xll.DBRW(Server&amp;Cube1,$F$17,$F$18,$F$19,$F$16,$C$14,$F$15,$F$14,$F$20,U$2,$N$1,$C427)</f>
        <v>0.01</v>
      </c>
      <c r="V427" s="198">
        <f ca="1">_xll.DBRW(Server&amp;Cube1,$F$17,$F$18,$F$19,$F$16,$C$14,$F$15,$F$14,$F$20,V$2,$N$1,$C427)</f>
        <v>0.01</v>
      </c>
      <c r="W427" s="198">
        <f ca="1">_xll.DBRW(Server&amp;Cube1,$F$17,$F$18,$F$19,$F$16,$C$14,$F$15,$F$14,$F$20,W$2,$N$1,$C427)</f>
        <v>0.01</v>
      </c>
      <c r="X427" s="198">
        <f ca="1">_xll.DBRW(Server&amp;Cube1,$F$17,$F$18,$F$19,$F$16,$C$14,$F$15,$F$14,$F$20,X$2,$N$1,$C427)</f>
        <v>0.01</v>
      </c>
      <c r="Y427" s="198">
        <f ca="1">_xll.DBRW(Server&amp;Cube1,$F$17,$F$18,$F$19,$F$16,$C$14,$F$15,$F$14,$F$20,Y$2,$N$1,$C427)</f>
        <v>0.01</v>
      </c>
      <c r="Z427" s="198">
        <f ca="1">_xll.DBRW(Server&amp;Cube1,$F$17,$F$18,$F$19,$F$16,$C$14,$F$15,$F$14,$F$20,Z$2,$N$1,$C427)</f>
        <v>0.12</v>
      </c>
      <c r="AA427" s="53"/>
      <c r="AB427" s="53"/>
      <c r="AC427" s="53"/>
      <c r="AD427" s="53"/>
      <c r="AE427" s="53"/>
      <c r="AF427" s="53"/>
      <c r="AG427" s="53"/>
      <c r="AH427" s="53"/>
      <c r="AI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</row>
    <row r="428" spans="1:47" s="9" customFormat="1" ht="6" customHeight="1" x14ac:dyDescent="0.35">
      <c r="A428" s="157">
        <f ca="1">IF($AN$35="YES",1,IF(_xll.ELCOMPN(Server&amp;$C$24,C428)&lt;&gt;0,1,IF(OR(B428=$AT$35,B428="ALL"),1,0)))</f>
        <v>1</v>
      </c>
      <c r="B428" s="157" t="s">
        <v>488</v>
      </c>
      <c r="C428" s="113"/>
      <c r="E428" s="98"/>
      <c r="F428" s="99"/>
      <c r="G428" s="88"/>
      <c r="H428" s="40"/>
      <c r="I428" s="199"/>
      <c r="J428" s="199"/>
      <c r="K428" s="188"/>
      <c r="L428" s="189"/>
      <c r="M428" s="189"/>
      <c r="N428" s="189"/>
      <c r="O428" s="189"/>
      <c r="P428" s="189"/>
      <c r="Q428" s="189"/>
      <c r="R428" s="189"/>
      <c r="S428" s="189"/>
      <c r="T428" s="189"/>
      <c r="U428" s="189"/>
      <c r="V428" s="189"/>
      <c r="W428" s="189"/>
      <c r="X428" s="189"/>
      <c r="Y428" s="189"/>
      <c r="Z428" s="189"/>
      <c r="AA428" s="53"/>
      <c r="AB428" s="53"/>
      <c r="AC428" s="53"/>
      <c r="AD428" s="53"/>
      <c r="AE428" s="53"/>
      <c r="AF428" s="53"/>
      <c r="AG428" s="53"/>
      <c r="AH428" s="53"/>
      <c r="AI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</row>
    <row r="429" spans="1:47" s="9" customFormat="1" ht="19.5" customHeight="1" x14ac:dyDescent="0.35">
      <c r="A429" s="157">
        <f ca="1">IF($AN$35="YES",1,IF(_xll.ELCOMPN(Server&amp;$C$24,C429)&lt;&gt;0,1,IF(OR(B429=$AT$35,B429="ALL"),1,0)))</f>
        <v>1</v>
      </c>
      <c r="B429" s="157" t="s">
        <v>488</v>
      </c>
      <c r="C429" s="113" t="s">
        <v>136</v>
      </c>
      <c r="E429" s="220" t="str">
        <f ca="1">_xll.DBRA(Server&amp;$C$24,$C429,$F$21)</f>
        <v>Management fees - Refacturation de Managements Fees</v>
      </c>
      <c r="F429" s="220"/>
      <c r="G429" s="220"/>
      <c r="H429" s="40"/>
      <c r="I429" s="190">
        <f ca="1">_xll.DBRW(Server&amp;Cube1,$F$17,$F$18,$F$19,$F$16,$C$14,$F$15,$F$14,$F$20,I$2,I$1,$C429)</f>
        <v>0</v>
      </c>
      <c r="J429" s="190">
        <f ca="1">_xll.DBRW(Server&amp;Cube1,$F$17,$F$18,$F$19,$F$16,$C$14,$F$15,$F$14,$F$20,J$2,J$1,$C429)</f>
        <v>0</v>
      </c>
      <c r="K429" s="188"/>
      <c r="L429" s="191">
        <f ca="1">_xll.DBRW(Server&amp;Cube1,$F$17,$F$18,$F$19,$F$16,$C$14,$F$15,$F$14,$F$20,L$2,L$1,$C429)</f>
        <v>0</v>
      </c>
      <c r="M429" s="189"/>
      <c r="N429" s="191">
        <f ca="1">_xll.DBRW(Server&amp;Cube1,$F$17,$F$18,$F$19,$F$16,$C$14,$F$15,$F$14,$F$20,N$2,$N$1,$C429)</f>
        <v>0</v>
      </c>
      <c r="O429" s="191">
        <f ca="1">_xll.DBRW(Server&amp;Cube1,$F$17,$F$18,$F$19,$F$16,$C$14,$F$15,$F$14,$F$20,O$2,$N$1,$C429)</f>
        <v>0</v>
      </c>
      <c r="P429" s="191">
        <f ca="1">_xll.DBRW(Server&amp;Cube1,$F$17,$F$18,$F$19,$F$16,$C$14,$F$15,$F$14,$F$20,P$2,$N$1,$C429)</f>
        <v>0</v>
      </c>
      <c r="Q429" s="191">
        <f ca="1">_xll.DBRW(Server&amp;Cube1,$F$17,$F$18,$F$19,$F$16,$C$14,$F$15,$F$14,$F$20,Q$2,$N$1,$C429)</f>
        <v>0</v>
      </c>
      <c r="R429" s="191">
        <f ca="1">_xll.DBRW(Server&amp;Cube1,$F$17,$F$18,$F$19,$F$16,$C$14,$F$15,$F$14,$F$20,R$2,$N$1,$C429)</f>
        <v>0</v>
      </c>
      <c r="S429" s="191">
        <f ca="1">_xll.DBRW(Server&amp;Cube1,$F$17,$F$18,$F$19,$F$16,$C$14,$F$15,$F$14,$F$20,S$2,$N$1,$C429)</f>
        <v>0</v>
      </c>
      <c r="T429" s="191">
        <f ca="1">_xll.DBRW(Server&amp;Cube1,$F$17,$F$18,$F$19,$F$16,$C$14,$F$15,$F$14,$F$20,T$2,$N$1,$C429)</f>
        <v>0</v>
      </c>
      <c r="U429" s="191">
        <f ca="1">_xll.DBRW(Server&amp;Cube1,$F$17,$F$18,$F$19,$F$16,$C$14,$F$15,$F$14,$F$20,U$2,$N$1,$C429)</f>
        <v>0</v>
      </c>
      <c r="V429" s="191">
        <f ca="1">_xll.DBRW(Server&amp;Cube1,$F$17,$F$18,$F$19,$F$16,$C$14,$F$15,$F$14,$F$20,V$2,$N$1,$C429)</f>
        <v>0</v>
      </c>
      <c r="W429" s="191">
        <f ca="1">_xll.DBRW(Server&amp;Cube1,$F$17,$F$18,$F$19,$F$16,$C$14,$F$15,$F$14,$F$20,W$2,$N$1,$C429)</f>
        <v>0</v>
      </c>
      <c r="X429" s="191">
        <f ca="1">_xll.DBRW(Server&amp;Cube1,$F$17,$F$18,$F$19,$F$16,$C$14,$F$15,$F$14,$F$20,X$2,$N$1,$C429)</f>
        <v>0</v>
      </c>
      <c r="Y429" s="191">
        <f ca="1">_xll.DBRW(Server&amp;Cube1,$F$17,$F$18,$F$19,$F$16,$C$14,$F$15,$F$14,$F$20,Y$2,$N$1,$C429)</f>
        <v>0</v>
      </c>
      <c r="Z429" s="191">
        <f ca="1">_xll.DBRW(Server&amp;Cube1,$F$17,$F$18,$F$19,$F$16,$C$14,$F$15,$F$14,$F$20,Z$2,$N$1,$C429)</f>
        <v>0</v>
      </c>
      <c r="AA429" s="53"/>
      <c r="AB429" s="53"/>
      <c r="AC429" s="53"/>
      <c r="AD429" s="53"/>
      <c r="AE429" s="53"/>
      <c r="AF429" s="53"/>
      <c r="AG429" s="53"/>
      <c r="AH429" s="53"/>
      <c r="AI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</row>
    <row r="430" spans="1:47" s="9" customFormat="1" ht="19.5" customHeight="1" x14ac:dyDescent="0.35">
      <c r="A430" s="157">
        <f ca="1">IF($AN$35="YES",1,IF(_xll.ELCOMPN(Server&amp;$C$24,C430)&lt;&gt;0,1,IF(OR(B430=$AT$35,B430="ALL"),1,0)))</f>
        <v>1</v>
      </c>
      <c r="B430" s="157" t="s">
        <v>488</v>
      </c>
      <c r="C430" s="111" t="s">
        <v>534</v>
      </c>
      <c r="E430" s="221" t="str">
        <f ca="1">_xll.DBRA(Server&amp;$C$24,$C430,$F$21)</f>
        <v>Management Fees et redevance de marque (1)</v>
      </c>
      <c r="F430" s="221"/>
      <c r="G430" s="221"/>
      <c r="H430" s="40"/>
      <c r="I430" s="182">
        <f ca="1">_xll.DBRW(Server&amp;Cube1,$F$17,$F$18,$F$19,$F$16,$C$14,$F$15,$F$14,$F$20,I$2,I$1,$C430)</f>
        <v>0</v>
      </c>
      <c r="J430" s="182">
        <f ca="1">_xll.DBRW(Server&amp;Cube1,$F$17,$F$18,$F$19,$F$16,$C$14,$F$15,$F$14,$F$20,J$2,J$1,$C430)</f>
        <v>0</v>
      </c>
      <c r="K430" s="188"/>
      <c r="L430" s="185">
        <f ca="1">_xll.DBRW(Server&amp;Cube1,$F$17,$F$18,$F$19,$F$16,$C$14,$F$15,$F$14,$F$20,L$2,L$1,$C430)</f>
        <v>0</v>
      </c>
      <c r="M430" s="189"/>
      <c r="N430" s="185">
        <f ca="1">_xll.DBRW(Server&amp;Cube1,$F$17,$F$18,$F$19,$F$16,$C$14,$F$15,$F$14,$F$20,N$2,$N$1,$C430)</f>
        <v>0</v>
      </c>
      <c r="O430" s="185">
        <f ca="1">_xll.DBRW(Server&amp;Cube1,$F$17,$F$18,$F$19,$F$16,$C$14,$F$15,$F$14,$F$20,O$2,$N$1,$C430)</f>
        <v>0</v>
      </c>
      <c r="P430" s="185">
        <f ca="1">_xll.DBRW(Server&amp;Cube1,$F$17,$F$18,$F$19,$F$16,$C$14,$F$15,$F$14,$F$20,P$2,$N$1,$C430)</f>
        <v>0</v>
      </c>
      <c r="Q430" s="185">
        <f ca="1">_xll.DBRW(Server&amp;Cube1,$F$17,$F$18,$F$19,$F$16,$C$14,$F$15,$F$14,$F$20,Q$2,$N$1,$C430)</f>
        <v>0</v>
      </c>
      <c r="R430" s="185">
        <f ca="1">_xll.DBRW(Server&amp;Cube1,$F$17,$F$18,$F$19,$F$16,$C$14,$F$15,$F$14,$F$20,R$2,$N$1,$C430)</f>
        <v>0</v>
      </c>
      <c r="S430" s="185">
        <f ca="1">_xll.DBRW(Server&amp;Cube1,$F$17,$F$18,$F$19,$F$16,$C$14,$F$15,$F$14,$F$20,S$2,$N$1,$C430)</f>
        <v>0</v>
      </c>
      <c r="T430" s="185">
        <f ca="1">_xll.DBRW(Server&amp;Cube1,$F$17,$F$18,$F$19,$F$16,$C$14,$F$15,$F$14,$F$20,T$2,$N$1,$C430)</f>
        <v>0</v>
      </c>
      <c r="U430" s="185">
        <f ca="1">_xll.DBRW(Server&amp;Cube1,$F$17,$F$18,$F$19,$F$16,$C$14,$F$15,$F$14,$F$20,U$2,$N$1,$C430)</f>
        <v>0</v>
      </c>
      <c r="V430" s="185">
        <f ca="1">_xll.DBRW(Server&amp;Cube1,$F$17,$F$18,$F$19,$F$16,$C$14,$F$15,$F$14,$F$20,V$2,$N$1,$C430)</f>
        <v>0</v>
      </c>
      <c r="W430" s="185">
        <f ca="1">_xll.DBRW(Server&amp;Cube1,$F$17,$F$18,$F$19,$F$16,$C$14,$F$15,$F$14,$F$20,W$2,$N$1,$C430)</f>
        <v>0</v>
      </c>
      <c r="X430" s="185">
        <f ca="1">_xll.DBRW(Server&amp;Cube1,$F$17,$F$18,$F$19,$F$16,$C$14,$F$15,$F$14,$F$20,X$2,$N$1,$C430)</f>
        <v>0</v>
      </c>
      <c r="Y430" s="185">
        <f ca="1">_xll.DBRW(Server&amp;Cube1,$F$17,$F$18,$F$19,$F$16,$C$14,$F$15,$F$14,$F$20,Y$2,$N$1,$C430)</f>
        <v>0</v>
      </c>
      <c r="Z430" s="185">
        <f ca="1">_xll.DBRW(Server&amp;Cube1,$F$17,$F$18,$F$19,$F$16,$C$14,$F$15,$F$14,$F$20,Z$2,$N$1,$C430)</f>
        <v>0</v>
      </c>
      <c r="AA430" s="53"/>
      <c r="AB430" s="53"/>
      <c r="AC430" s="53"/>
      <c r="AD430" s="53"/>
      <c r="AE430" s="53"/>
      <c r="AF430" s="53"/>
      <c r="AG430" s="53"/>
      <c r="AH430" s="53"/>
      <c r="AI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</row>
    <row r="431" spans="1:47" s="9" customFormat="1" ht="24" customHeight="1" x14ac:dyDescent="0.35">
      <c r="A431" s="157">
        <f ca="1">IF($AN$35="YES",1,IF(_xll.ELCOMPN(Server&amp;$C$24,C431)&lt;&gt;0,1,IF(OR(B431=$AT$35,B431="ALL"),1,0)))</f>
        <v>1</v>
      </c>
      <c r="B431" s="157" t="s">
        <v>488</v>
      </c>
      <c r="C431" s="111" t="s">
        <v>535</v>
      </c>
      <c r="E431" s="221" t="str">
        <f ca="1">_xll.DBRA(Server&amp;$C$24,$C431,$F$21)</f>
        <v>Management Fees et redevance de marque (2)</v>
      </c>
      <c r="F431" s="221"/>
      <c r="G431" s="221"/>
      <c r="H431" s="40"/>
      <c r="I431" s="182">
        <f ca="1">_xll.DBRW(Server&amp;Cube1,$F$17,$F$18,$F$19,$F$16,$C$14,$F$15,$F$14,$F$20,I$2,I$1,$C431)</f>
        <v>0</v>
      </c>
      <c r="J431" s="182">
        <f ca="1">_xll.DBRW(Server&amp;Cube1,$F$17,$F$18,$F$19,$F$16,$C$14,$F$15,$F$14,$F$20,J$2,J$1,$C431)</f>
        <v>0</v>
      </c>
      <c r="K431" s="183"/>
      <c r="L431" s="185">
        <f ca="1">_xll.DBRW(Server&amp;Cube1,$F$17,$F$18,$F$19,$F$16,$C$14,$F$15,$F$14,$F$20,L$2,L$1,$C431)</f>
        <v>0</v>
      </c>
      <c r="M431" s="184"/>
      <c r="N431" s="185">
        <f ca="1">_xll.DBRW(Server&amp;Cube1,$F$17,$F$18,$F$19,$F$16,$C$14,$F$15,$F$14,$F$20,N$2,$N$1,$C431)</f>
        <v>0</v>
      </c>
      <c r="O431" s="185">
        <f ca="1">_xll.DBRW(Server&amp;Cube1,$F$17,$F$18,$F$19,$F$16,$C$14,$F$15,$F$14,$F$20,O$2,$N$1,$C431)</f>
        <v>0</v>
      </c>
      <c r="P431" s="185">
        <f ca="1">_xll.DBRW(Server&amp;Cube1,$F$17,$F$18,$F$19,$F$16,$C$14,$F$15,$F$14,$F$20,P$2,$N$1,$C431)</f>
        <v>0</v>
      </c>
      <c r="Q431" s="185">
        <f ca="1">_xll.DBRW(Server&amp;Cube1,$F$17,$F$18,$F$19,$F$16,$C$14,$F$15,$F$14,$F$20,Q$2,$N$1,$C431)</f>
        <v>0</v>
      </c>
      <c r="R431" s="185">
        <f ca="1">_xll.DBRW(Server&amp;Cube1,$F$17,$F$18,$F$19,$F$16,$C$14,$F$15,$F$14,$F$20,R$2,$N$1,$C431)</f>
        <v>0</v>
      </c>
      <c r="S431" s="185">
        <f ca="1">_xll.DBRW(Server&amp;Cube1,$F$17,$F$18,$F$19,$F$16,$C$14,$F$15,$F$14,$F$20,S$2,$N$1,$C431)</f>
        <v>0</v>
      </c>
      <c r="T431" s="185">
        <f ca="1">_xll.DBRW(Server&amp;Cube1,$F$17,$F$18,$F$19,$F$16,$C$14,$F$15,$F$14,$F$20,T$2,$N$1,$C431)</f>
        <v>0</v>
      </c>
      <c r="U431" s="185">
        <f ca="1">_xll.DBRW(Server&amp;Cube1,$F$17,$F$18,$F$19,$F$16,$C$14,$F$15,$F$14,$F$20,U$2,$N$1,$C431)</f>
        <v>0</v>
      </c>
      <c r="V431" s="185">
        <f ca="1">_xll.DBRW(Server&amp;Cube1,$F$17,$F$18,$F$19,$F$16,$C$14,$F$15,$F$14,$F$20,V$2,$N$1,$C431)</f>
        <v>0</v>
      </c>
      <c r="W431" s="185">
        <f ca="1">_xll.DBRW(Server&amp;Cube1,$F$17,$F$18,$F$19,$F$16,$C$14,$F$15,$F$14,$F$20,W$2,$N$1,$C431)</f>
        <v>0</v>
      </c>
      <c r="X431" s="185">
        <f ca="1">_xll.DBRW(Server&amp;Cube1,$F$17,$F$18,$F$19,$F$16,$C$14,$F$15,$F$14,$F$20,X$2,$N$1,$C431)</f>
        <v>0</v>
      </c>
      <c r="Y431" s="185">
        <f ca="1">_xll.DBRW(Server&amp;Cube1,$F$17,$F$18,$F$19,$F$16,$C$14,$F$15,$F$14,$F$20,Y$2,$N$1,$C431)</f>
        <v>0</v>
      </c>
      <c r="Z431" s="185">
        <f ca="1">_xll.DBRW(Server&amp;Cube1,$F$17,$F$18,$F$19,$F$16,$C$14,$F$15,$F$14,$F$20,Z$2,$N$1,$C431)</f>
        <v>0</v>
      </c>
      <c r="AA431" s="53"/>
      <c r="AB431" s="53"/>
      <c r="AC431" s="53"/>
      <c r="AD431" s="53"/>
      <c r="AE431" s="53"/>
      <c r="AF431" s="53"/>
      <c r="AG431" s="53"/>
      <c r="AH431" s="53"/>
      <c r="AI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</row>
    <row r="432" spans="1:47" s="9" customFormat="1" ht="7.5" customHeight="1" thickBot="1" x14ac:dyDescent="0.4">
      <c r="A432" s="157">
        <f ca="1">IF($AN$35="YES",1,IF(_xll.ELCOMPN(Server&amp;$C$24,C432)&lt;&gt;0,1,IF(OR(B432=$AT$35,B432="ALL"),1,0)))</f>
        <v>1</v>
      </c>
      <c r="B432" s="157" t="s">
        <v>488</v>
      </c>
      <c r="C432" s="113"/>
      <c r="E432" s="98"/>
      <c r="F432" s="99"/>
      <c r="G432" s="88"/>
      <c r="H432" s="40"/>
      <c r="I432" s="188"/>
      <c r="J432" s="188"/>
      <c r="K432" s="188"/>
      <c r="L432" s="189"/>
      <c r="M432" s="189"/>
      <c r="N432" s="200"/>
      <c r="O432" s="200"/>
      <c r="P432" s="201"/>
      <c r="Q432" s="200"/>
      <c r="R432" s="188"/>
      <c r="S432" s="188"/>
      <c r="T432" s="188"/>
      <c r="U432" s="188"/>
      <c r="V432" s="188"/>
      <c r="W432" s="188"/>
      <c r="X432" s="188"/>
      <c r="Y432" s="188"/>
      <c r="Z432" s="188"/>
      <c r="AA432" s="53"/>
      <c r="AB432" s="53"/>
      <c r="AC432" s="53"/>
      <c r="AD432" s="53"/>
      <c r="AE432" s="53"/>
      <c r="AF432" s="53"/>
      <c r="AG432" s="53"/>
      <c r="AH432" s="53"/>
      <c r="AI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</row>
    <row r="433" spans="1:47" s="9" customFormat="1" ht="24" customHeight="1" thickBot="1" x14ac:dyDescent="0.4">
      <c r="A433" s="157">
        <f ca="1">IF($AN$35="YES",1,IF(_xll.ELCOMPN(Server&amp;$C$24,C433)&lt;&gt;0,1,IF(OR(B433=$AT$35,B433="ALL"),1,0)))</f>
        <v>1</v>
      </c>
      <c r="B433" s="157" t="s">
        <v>488</v>
      </c>
      <c r="C433" s="110" t="s">
        <v>137</v>
      </c>
      <c r="E433" s="234" t="str">
        <f ca="1">_xll.DBRA(Server&amp;$C$24,$C433,$F$21)</f>
        <v>RESULTAT OPERATIONNEL APRES MANAGEMENT FEES</v>
      </c>
      <c r="F433" s="234"/>
      <c r="G433" s="234"/>
      <c r="H433" s="40"/>
      <c r="I433" s="198">
        <f ca="1">_xll.DBRW(Server&amp;Cube1,$F$17,$F$18,$F$19,$F$16,$C$14,$F$15,$F$14,$F$20,I$2,I$1,$C433)</f>
        <v>0</v>
      </c>
      <c r="J433" s="198">
        <f ca="1">_xll.DBRW(Server&amp;Cube1,$F$17,$F$18,$F$19,$F$16,$C$14,$F$15,$F$14,$F$20,J$2,J$1,$C433)</f>
        <v>0.12</v>
      </c>
      <c r="K433" s="188"/>
      <c r="L433" s="198">
        <f ca="1">_xll.DBRW(Server&amp;Cube1,$F$17,$F$18,$F$19,$F$16,$C$14,$F$15,$F$14,$F$20,L$2,L$1,$C433)</f>
        <v>0.12</v>
      </c>
      <c r="M433" s="189"/>
      <c r="N433" s="198">
        <f ca="1">_xll.DBRW(Server&amp;Cube1,$F$17,$F$18,$F$19,$F$16,$C$14,$F$15,$F$14,$F$20,N$2,$N$1,$C433)</f>
        <v>0.01</v>
      </c>
      <c r="O433" s="198">
        <f ca="1">_xll.DBRW(Server&amp;Cube1,$F$17,$F$18,$F$19,$F$16,$C$14,$F$15,$F$14,$F$20,O$2,$N$1,$C433)</f>
        <v>0.01</v>
      </c>
      <c r="P433" s="198">
        <f ca="1">_xll.DBRW(Server&amp;Cube1,$F$17,$F$18,$F$19,$F$16,$C$14,$F$15,$F$14,$F$20,P$2,$N$1,$C433)</f>
        <v>0.01</v>
      </c>
      <c r="Q433" s="198">
        <f ca="1">_xll.DBRW(Server&amp;Cube1,$F$17,$F$18,$F$19,$F$16,$C$14,$F$15,$F$14,$F$20,Q$2,$N$1,$C433)</f>
        <v>0.01</v>
      </c>
      <c r="R433" s="198">
        <f ca="1">_xll.DBRW(Server&amp;Cube1,$F$17,$F$18,$F$19,$F$16,$C$14,$F$15,$F$14,$F$20,R$2,$N$1,$C433)</f>
        <v>0.01</v>
      </c>
      <c r="S433" s="198">
        <f ca="1">_xll.DBRW(Server&amp;Cube1,$F$17,$F$18,$F$19,$F$16,$C$14,$F$15,$F$14,$F$20,S$2,$N$1,$C433)</f>
        <v>0.01</v>
      </c>
      <c r="T433" s="198">
        <f ca="1">_xll.DBRW(Server&amp;Cube1,$F$17,$F$18,$F$19,$F$16,$C$14,$F$15,$F$14,$F$20,T$2,$N$1,$C433)</f>
        <v>0.01</v>
      </c>
      <c r="U433" s="198">
        <f ca="1">_xll.DBRW(Server&amp;Cube1,$F$17,$F$18,$F$19,$F$16,$C$14,$F$15,$F$14,$F$20,U$2,$N$1,$C433)</f>
        <v>0.01</v>
      </c>
      <c r="V433" s="198">
        <f ca="1">_xll.DBRW(Server&amp;Cube1,$F$17,$F$18,$F$19,$F$16,$C$14,$F$15,$F$14,$F$20,V$2,$N$1,$C433)</f>
        <v>0.01</v>
      </c>
      <c r="W433" s="198">
        <f ca="1">_xll.DBRW(Server&amp;Cube1,$F$17,$F$18,$F$19,$F$16,$C$14,$F$15,$F$14,$F$20,W$2,$N$1,$C433)</f>
        <v>0.01</v>
      </c>
      <c r="X433" s="198">
        <f ca="1">_xll.DBRW(Server&amp;Cube1,$F$17,$F$18,$F$19,$F$16,$C$14,$F$15,$F$14,$F$20,X$2,$N$1,$C433)</f>
        <v>0.01</v>
      </c>
      <c r="Y433" s="198">
        <f ca="1">_xll.DBRW(Server&amp;Cube1,$F$17,$F$18,$F$19,$F$16,$C$14,$F$15,$F$14,$F$20,Y$2,$N$1,$C433)</f>
        <v>0.01</v>
      </c>
      <c r="Z433" s="198">
        <f ca="1">_xll.DBRW(Server&amp;Cube1,$F$17,$F$18,$F$19,$F$16,$C$14,$F$15,$F$14,$F$20,Z$2,$N$1,$C433)</f>
        <v>0.12</v>
      </c>
      <c r="AA433" s="53"/>
      <c r="AB433" s="53"/>
      <c r="AC433" s="53"/>
      <c r="AD433" s="53"/>
      <c r="AE433" s="53"/>
      <c r="AF433" s="53"/>
      <c r="AG433" s="53"/>
      <c r="AH433" s="53"/>
      <c r="AI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</row>
    <row r="434" spans="1:47" s="9" customFormat="1" ht="7.5" customHeight="1" thickBot="1" x14ac:dyDescent="0.4">
      <c r="A434" s="157">
        <f ca="1">IF($AN$35="YES",1,IF(_xll.ELCOMPN(Server&amp;$C$24,C434)&lt;&gt;0,1,IF(OR(B434=$AT$35,B434="ALL"),1,0)))</f>
        <v>1</v>
      </c>
      <c r="B434" s="157" t="s">
        <v>488</v>
      </c>
      <c r="C434" s="113"/>
      <c r="E434" s="100"/>
      <c r="F434" s="101"/>
      <c r="G434" s="88"/>
      <c r="H434" s="40"/>
      <c r="I434" s="202"/>
      <c r="J434" s="202"/>
      <c r="K434" s="202"/>
      <c r="L434" s="181"/>
      <c r="M434" s="181"/>
      <c r="N434" s="181"/>
      <c r="O434" s="181"/>
      <c r="P434" s="181"/>
      <c r="Q434" s="181"/>
      <c r="R434" s="181"/>
      <c r="S434" s="181"/>
      <c r="T434" s="181"/>
      <c r="U434" s="181"/>
      <c r="V434" s="181"/>
      <c r="W434" s="181"/>
      <c r="X434" s="181"/>
      <c r="Y434" s="181"/>
      <c r="Z434" s="181"/>
      <c r="AA434" s="53"/>
      <c r="AB434" s="53"/>
      <c r="AC434" s="53"/>
      <c r="AD434" s="53"/>
      <c r="AE434" s="53"/>
      <c r="AF434" s="53"/>
      <c r="AG434" s="53"/>
      <c r="AH434" s="53"/>
      <c r="AI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</row>
    <row r="435" spans="1:47" s="9" customFormat="1" ht="24" customHeight="1" thickBot="1" x14ac:dyDescent="0.4">
      <c r="A435" s="157">
        <f ca="1">IF($AN$35="YES",1,IF(_xll.ELCOMPN(Server&amp;$C$24,C435)&lt;&gt;0,1,IF(OR(B435=$AT$35,B435="ALL"),1,0)))</f>
        <v>1</v>
      </c>
      <c r="B435" s="157" t="s">
        <v>488</v>
      </c>
      <c r="C435" s="110" t="s">
        <v>138</v>
      </c>
      <c r="E435" s="234" t="str">
        <f ca="1">_xll.DBRA(Server&amp;$C$24,$C435,$F$21)</f>
        <v>Total CAPEX</v>
      </c>
      <c r="F435" s="234"/>
      <c r="G435" s="234"/>
      <c r="H435" s="40"/>
      <c r="I435" s="198">
        <f ca="1">_xll.DBRW(Server&amp;Cube1,$F$17,$F$18,$F$19,$F$16,$C$14,$F$15,$F$14,$F$20,I$2,I$1,$C435)</f>
        <v>0</v>
      </c>
      <c r="J435" s="198">
        <f ca="1">_xll.DBRW(Server&amp;Cube1,$F$17,$F$18,$F$19,$F$16,$C$14,$F$15,$F$14,$F$20,J$2,J$1,$C435)</f>
        <v>0</v>
      </c>
      <c r="K435" s="188"/>
      <c r="L435" s="203">
        <f ca="1">_xll.DBRW(Server&amp;Cube1,$F$17,$F$18,$F$19,$F$16,$C$14,$F$15,$F$14,$F$20,L$2,L$1,$C435)</f>
        <v>0</v>
      </c>
      <c r="M435" s="189"/>
      <c r="N435" s="203">
        <f ca="1">_xll.DBRW(Server&amp;Cube1,$F$17,$F$18,$F$19,$F$16,$C$14,$F$15,$F$14,$F$20,N$2,$N$1,$C435)</f>
        <v>0</v>
      </c>
      <c r="O435" s="203">
        <f ca="1">_xll.DBRW(Server&amp;Cube1,$F$17,$F$18,$F$19,$F$16,$C$14,$F$15,$F$14,$F$20,O$2,$N$1,$C435)</f>
        <v>0</v>
      </c>
      <c r="P435" s="203">
        <f ca="1">_xll.DBRW(Server&amp;Cube1,$F$17,$F$18,$F$19,$F$16,$C$14,$F$15,$F$14,$F$20,P$2,$N$1,$C435)</f>
        <v>0</v>
      </c>
      <c r="Q435" s="203">
        <f ca="1">_xll.DBRW(Server&amp;Cube1,$F$17,$F$18,$F$19,$F$16,$C$14,$F$15,$F$14,$F$20,Q$2,$N$1,$C435)</f>
        <v>0</v>
      </c>
      <c r="R435" s="203">
        <f ca="1">_xll.DBRW(Server&amp;Cube1,$F$17,$F$18,$F$19,$F$16,$C$14,$F$15,$F$14,$F$20,R$2,$N$1,$C435)</f>
        <v>0</v>
      </c>
      <c r="S435" s="203">
        <f ca="1">_xll.DBRW(Server&amp;Cube1,$F$17,$F$18,$F$19,$F$16,$C$14,$F$15,$F$14,$F$20,S$2,$N$1,$C435)</f>
        <v>0</v>
      </c>
      <c r="T435" s="203">
        <f ca="1">_xll.DBRW(Server&amp;Cube1,$F$17,$F$18,$F$19,$F$16,$C$14,$F$15,$F$14,$F$20,T$2,$N$1,$C435)</f>
        <v>0</v>
      </c>
      <c r="U435" s="203">
        <f ca="1">_xll.DBRW(Server&amp;Cube1,$F$17,$F$18,$F$19,$F$16,$C$14,$F$15,$F$14,$F$20,U$2,$N$1,$C435)</f>
        <v>0</v>
      </c>
      <c r="V435" s="203">
        <f ca="1">_xll.DBRW(Server&amp;Cube1,$F$17,$F$18,$F$19,$F$16,$C$14,$F$15,$F$14,$F$20,V$2,$N$1,$C435)</f>
        <v>0</v>
      </c>
      <c r="W435" s="203">
        <f ca="1">_xll.DBRW(Server&amp;Cube1,$F$17,$F$18,$F$19,$F$16,$C$14,$F$15,$F$14,$F$20,W$2,$N$1,$C435)</f>
        <v>0</v>
      </c>
      <c r="X435" s="203">
        <f ca="1">_xll.DBRW(Server&amp;Cube1,$F$17,$F$18,$F$19,$F$16,$C$14,$F$15,$F$14,$F$20,X$2,$N$1,$C435)</f>
        <v>0</v>
      </c>
      <c r="Y435" s="203">
        <f ca="1">_xll.DBRW(Server&amp;Cube1,$F$17,$F$18,$F$19,$F$16,$C$14,$F$15,$F$14,$F$20,Y$2,$N$1,$C435)</f>
        <v>0</v>
      </c>
      <c r="Z435" s="203">
        <f ca="1">_xll.DBRW(Server&amp;Cube1,$F$17,$F$18,$F$19,$F$16,$C$14,$F$15,$F$14,$F$20,Z$2,$N$1,$C435)</f>
        <v>0</v>
      </c>
      <c r="AA435" s="53"/>
      <c r="AB435" s="53"/>
      <c r="AC435" s="53"/>
      <c r="AD435" s="53"/>
      <c r="AE435" s="53"/>
      <c r="AF435" s="53"/>
      <c r="AG435" s="53"/>
      <c r="AH435" s="53"/>
      <c r="AI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</row>
    <row r="436" spans="1:47" s="9" customFormat="1" ht="9" customHeight="1" thickBot="1" x14ac:dyDescent="0.4">
      <c r="A436" s="157">
        <f ca="1">IF($AN$35="YES",1,IF(_xll.ELCOMPN(Server&amp;$C$24,C436)&lt;&gt;0,1,IF(OR(B436=$AT$35,B436="ALL"),1,0)))</f>
        <v>1</v>
      </c>
      <c r="B436" s="157" t="s">
        <v>488</v>
      </c>
      <c r="C436" s="113"/>
      <c r="E436" s="102"/>
      <c r="F436" s="103"/>
      <c r="G436" s="88"/>
      <c r="H436" s="40"/>
      <c r="I436" s="204"/>
      <c r="J436" s="204"/>
      <c r="K436" s="188"/>
      <c r="L436" s="189"/>
      <c r="M436" s="189"/>
      <c r="N436" s="189"/>
      <c r="O436" s="189"/>
      <c r="P436" s="189"/>
      <c r="Q436" s="189"/>
      <c r="R436" s="189"/>
      <c r="S436" s="189"/>
      <c r="T436" s="189"/>
      <c r="U436" s="189"/>
      <c r="V436" s="189"/>
      <c r="W436" s="189"/>
      <c r="X436" s="189"/>
      <c r="Y436" s="189"/>
      <c r="Z436" s="189"/>
      <c r="AA436" s="53"/>
      <c r="AB436" s="53"/>
      <c r="AC436" s="53"/>
      <c r="AD436" s="53"/>
      <c r="AE436" s="53"/>
      <c r="AF436" s="53"/>
      <c r="AG436" s="53"/>
      <c r="AH436" s="53"/>
      <c r="AI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</row>
    <row r="437" spans="1:47" ht="24" customHeight="1" thickBot="1" x14ac:dyDescent="0.4">
      <c r="A437" s="157">
        <f ca="1">IF($AN$35="YES",1,IF(_xll.ELCOMPN(Server&amp;$C$24,C437)&lt;&gt;0,1,IF(OR(B437=$AT$35,B437="ALL"),1,0)))</f>
        <v>1</v>
      </c>
      <c r="B437" s="157" t="s">
        <v>488</v>
      </c>
      <c r="C437" s="110" t="s">
        <v>134</v>
      </c>
      <c r="D437" s="24"/>
      <c r="E437" s="234" t="str">
        <f ca="1">_xll.DBRA(Server&amp;$C$24,$C437,$F$21)</f>
        <v>CAFOP</v>
      </c>
      <c r="F437" s="234"/>
      <c r="G437" s="234"/>
      <c r="H437" s="40"/>
      <c r="I437" s="198">
        <f ca="1">_xll.DBRW(Server&amp;Cube1,$F$17,$F$18,$F$19,$F$16,$C$14,$F$15,$F$14,$F$20,I$2,I$1,$C437)</f>
        <v>0</v>
      </c>
      <c r="J437" s="198">
        <f ca="1">_xll.DBRW(Server&amp;Cube1,$F$17,$F$18,$F$19,$F$16,$C$14,$F$15,$F$14,$F$20,J$2,J$1,$C437)</f>
        <v>0.12</v>
      </c>
      <c r="K437" s="188"/>
      <c r="L437" s="198">
        <f ca="1">_xll.DBRW(Server&amp;Cube1,$F$17,$F$18,$F$19,$F$16,$C$14,$F$15,$F$14,$F$20,L$2,L$1,$C437)</f>
        <v>0.12</v>
      </c>
      <c r="M437" s="189"/>
      <c r="N437" s="198">
        <f ca="1">_xll.DBRW(Server&amp;Cube1,$F$17,$F$18,$F$19,$F$16,$C$14,$F$15,$F$14,$F$20,N$2,$N$1,$C437)</f>
        <v>0.01</v>
      </c>
      <c r="O437" s="198">
        <f ca="1">_xll.DBRW(Server&amp;Cube1,$F$17,$F$18,$F$19,$F$16,$C$14,$F$15,$F$14,$F$20,O$2,$N$1,$C437)</f>
        <v>0.01</v>
      </c>
      <c r="P437" s="198">
        <f ca="1">_xll.DBRW(Server&amp;Cube1,$F$17,$F$18,$F$19,$F$16,$C$14,$F$15,$F$14,$F$20,P$2,$N$1,$C437)</f>
        <v>0.01</v>
      </c>
      <c r="Q437" s="198">
        <f ca="1">_xll.DBRW(Server&amp;Cube1,$F$17,$F$18,$F$19,$F$16,$C$14,$F$15,$F$14,$F$20,Q$2,$N$1,$C437)</f>
        <v>0.01</v>
      </c>
      <c r="R437" s="198">
        <f ca="1">_xll.DBRW(Server&amp;Cube1,$F$17,$F$18,$F$19,$F$16,$C$14,$F$15,$F$14,$F$20,R$2,$N$1,$C437)</f>
        <v>0.01</v>
      </c>
      <c r="S437" s="198">
        <f ca="1">_xll.DBRW(Server&amp;Cube1,$F$17,$F$18,$F$19,$F$16,$C$14,$F$15,$F$14,$F$20,S$2,$N$1,$C437)</f>
        <v>0.01</v>
      </c>
      <c r="T437" s="198">
        <f ca="1">_xll.DBRW(Server&amp;Cube1,$F$17,$F$18,$F$19,$F$16,$C$14,$F$15,$F$14,$F$20,T$2,$N$1,$C437)</f>
        <v>0.01</v>
      </c>
      <c r="U437" s="198">
        <f ca="1">_xll.DBRW(Server&amp;Cube1,$F$17,$F$18,$F$19,$F$16,$C$14,$F$15,$F$14,$F$20,U$2,$N$1,$C437)</f>
        <v>0.01</v>
      </c>
      <c r="V437" s="198">
        <f ca="1">_xll.DBRW(Server&amp;Cube1,$F$17,$F$18,$F$19,$F$16,$C$14,$F$15,$F$14,$F$20,V$2,$N$1,$C437)</f>
        <v>0.01</v>
      </c>
      <c r="W437" s="198">
        <f ca="1">_xll.DBRW(Server&amp;Cube1,$F$17,$F$18,$F$19,$F$16,$C$14,$F$15,$F$14,$F$20,W$2,$N$1,$C437)</f>
        <v>0.01</v>
      </c>
      <c r="X437" s="198">
        <f ca="1">_xll.DBRW(Server&amp;Cube1,$F$17,$F$18,$F$19,$F$16,$C$14,$F$15,$F$14,$F$20,X$2,$N$1,$C437)</f>
        <v>0.01</v>
      </c>
      <c r="Y437" s="198">
        <f ca="1">_xll.DBRW(Server&amp;Cube1,$F$17,$F$18,$F$19,$F$16,$C$14,$F$15,$F$14,$F$20,Y$2,$N$1,$C437)</f>
        <v>0.01</v>
      </c>
      <c r="Z437" s="198">
        <f ca="1">_xll.DBRW(Server&amp;Cube1,$F$17,$F$18,$F$19,$F$16,$C$14,$F$15,$F$14,$F$20,Z$2,$N$1,$C437)</f>
        <v>0.12</v>
      </c>
      <c r="AA437" s="53"/>
      <c r="AB437" s="53"/>
      <c r="AC437" s="53"/>
      <c r="AD437" s="53"/>
      <c r="AE437" s="53"/>
      <c r="AF437" s="53"/>
      <c r="AG437" s="53"/>
      <c r="AH437" s="53"/>
      <c r="AI437" s="53"/>
      <c r="AJ437" s="9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</row>
    <row r="438" spans="1:47" ht="22.5" customHeight="1" x14ac:dyDescent="0.35">
      <c r="C438" s="115"/>
      <c r="D438" s="57"/>
      <c r="E438" s="104"/>
      <c r="F438" s="104"/>
      <c r="G438" s="104"/>
      <c r="H438" s="81"/>
      <c r="I438" s="118"/>
      <c r="J438" s="118"/>
      <c r="K438" s="118"/>
      <c r="L438" s="118"/>
      <c r="M438" s="118"/>
      <c r="N438" s="118"/>
      <c r="O438" s="54"/>
      <c r="P438" s="54"/>
      <c r="Q438" s="118"/>
      <c r="R438" s="118"/>
      <c r="S438" s="54"/>
      <c r="T438" s="54"/>
      <c r="U438" s="54"/>
      <c r="V438" s="54"/>
      <c r="W438" s="54"/>
      <c r="X438" s="54"/>
      <c r="Y438" s="54"/>
      <c r="Z438" s="54"/>
      <c r="AA438" s="53"/>
      <c r="AB438" s="53"/>
      <c r="AC438" s="53"/>
      <c r="AD438" s="53"/>
      <c r="AE438" s="53"/>
      <c r="AF438" s="53"/>
      <c r="AG438" s="53"/>
      <c r="AH438" s="53"/>
      <c r="AI438" s="53"/>
      <c r="AJ438" s="9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</row>
    <row r="439" spans="1:47" ht="10.5" customHeight="1" x14ac:dyDescent="0.3">
      <c r="C439" s="116"/>
      <c r="D439" s="57"/>
      <c r="E439" s="42"/>
      <c r="F439" s="42"/>
      <c r="G439" s="42"/>
      <c r="H439" s="43"/>
      <c r="I439" s="119"/>
      <c r="J439" s="119"/>
      <c r="K439" s="120"/>
      <c r="L439" s="117"/>
      <c r="M439" s="117"/>
      <c r="N439" s="117"/>
      <c r="O439" s="10"/>
      <c r="P439" s="10"/>
      <c r="Q439" s="117"/>
      <c r="R439" s="117"/>
      <c r="S439" s="10"/>
      <c r="T439" s="10"/>
      <c r="U439" s="10"/>
      <c r="V439" s="10"/>
      <c r="W439" s="10"/>
      <c r="X439" s="10"/>
      <c r="Y439" s="10"/>
      <c r="Z439" s="10"/>
      <c r="AA439" s="53"/>
      <c r="AB439" s="53"/>
      <c r="AC439" s="53"/>
      <c r="AD439" s="53"/>
      <c r="AE439" s="53"/>
      <c r="AF439" s="53"/>
      <c r="AG439" s="53"/>
      <c r="AH439" s="53"/>
      <c r="AI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</row>
    <row r="440" spans="1:47" ht="22.5" customHeight="1" x14ac:dyDescent="0.3">
      <c r="C440" s="82"/>
      <c r="D440" s="24"/>
      <c r="E440" s="42"/>
      <c r="F440" s="42"/>
      <c r="G440" s="42"/>
      <c r="H440" s="43"/>
      <c r="I440" s="41"/>
      <c r="J440" s="41"/>
      <c r="K440" s="44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</row>
    <row r="441" spans="1:47" s="46" customFormat="1" ht="20.25" customHeight="1" thickBot="1" x14ac:dyDescent="0.35">
      <c r="A441" s="139"/>
      <c r="B441" s="139"/>
      <c r="C441" s="26" t="s">
        <v>10</v>
      </c>
      <c r="D441" s="45"/>
      <c r="E441" s="11" t="str">
        <f ca="1">_xll.DBRA(Server&amp;$AJ$11,C441,$AJ$10)</f>
        <v>Commentaires</v>
      </c>
      <c r="F441" s="11"/>
      <c r="G441" s="8"/>
      <c r="H441" s="4"/>
      <c r="I441" s="12"/>
      <c r="J441" s="13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23"/>
      <c r="AB441" s="23"/>
      <c r="AC441" s="23"/>
      <c r="AD441" s="23"/>
      <c r="AE441" s="23"/>
      <c r="AF441" s="23"/>
      <c r="AG441" s="23"/>
      <c r="AH441" s="23"/>
      <c r="AI441" s="23"/>
      <c r="AJ441" s="23"/>
      <c r="AK441" s="23"/>
      <c r="AL441" s="23"/>
      <c r="AM441" s="23"/>
      <c r="AN441" s="23"/>
      <c r="AO441" s="23"/>
      <c r="AP441" s="23"/>
      <c r="AQ441" s="23"/>
      <c r="AR441" s="23"/>
      <c r="AS441" s="23"/>
      <c r="AT441" s="23"/>
      <c r="AU441" s="23"/>
    </row>
    <row r="442" spans="1:47" s="46" customFormat="1" ht="23.25" customHeight="1" x14ac:dyDescent="0.2">
      <c r="A442" s="139"/>
      <c r="B442" s="139"/>
      <c r="C442" s="26" t="s">
        <v>28</v>
      </c>
      <c r="D442" s="45"/>
      <c r="E442" s="239" t="str">
        <f ca="1">_xll.DBRW(Server&amp;Cube2,$F$18,$F$19,$F$16,$F$15,$F$14,$F$20,$F$13,$N$1,$N$4,"Saisie_Compte_de_Resultat_Realise_Budget",C442)</f>
        <v/>
      </c>
      <c r="F442" s="240"/>
      <c r="G442" s="240"/>
      <c r="H442" s="240"/>
      <c r="I442" s="240"/>
      <c r="J442" s="240"/>
      <c r="K442" s="240"/>
      <c r="L442" s="240"/>
      <c r="M442" s="240"/>
      <c r="N442" s="240"/>
      <c r="O442" s="240"/>
      <c r="P442" s="240"/>
      <c r="Q442" s="240"/>
      <c r="R442" s="240"/>
      <c r="S442" s="240"/>
      <c r="T442" s="240"/>
      <c r="U442" s="240"/>
      <c r="V442" s="240"/>
      <c r="W442" s="240"/>
      <c r="X442" s="240"/>
      <c r="Y442" s="240"/>
      <c r="Z442" s="240"/>
      <c r="AA442" s="23"/>
      <c r="AB442" s="23"/>
      <c r="AC442" s="23"/>
      <c r="AD442" s="23"/>
      <c r="AE442" s="23"/>
      <c r="AF442" s="23"/>
      <c r="AG442" s="23"/>
      <c r="AH442" s="23"/>
      <c r="AI442" s="23"/>
      <c r="AJ442" s="23"/>
      <c r="AK442" s="23"/>
      <c r="AL442" s="23"/>
      <c r="AM442" s="23"/>
      <c r="AN442" s="23"/>
      <c r="AO442" s="23"/>
      <c r="AP442" s="23"/>
      <c r="AQ442" s="23"/>
      <c r="AR442" s="23"/>
      <c r="AS442" s="23"/>
      <c r="AT442" s="23"/>
      <c r="AU442" s="23"/>
    </row>
    <row r="443" spans="1:47" s="46" customFormat="1" ht="23.25" customHeight="1" x14ac:dyDescent="0.2">
      <c r="A443" s="139"/>
      <c r="B443" s="139"/>
      <c r="C443" s="26" t="s">
        <v>29</v>
      </c>
      <c r="D443" s="45"/>
      <c r="E443" s="235" t="str">
        <f ca="1">_xll.DBRW(Server&amp;Cube2,$F$18,$F$19,$F$16,$F$15,$F$14,$F$20,$F$13,$N$1,$N$4,"Saisie_Compte_de_Resultat_Realise_Budget",C443)</f>
        <v/>
      </c>
      <c r="F443" s="236"/>
      <c r="G443" s="236"/>
      <c r="H443" s="236"/>
      <c r="I443" s="236"/>
      <c r="J443" s="236"/>
      <c r="K443" s="236"/>
      <c r="L443" s="236"/>
      <c r="M443" s="236"/>
      <c r="N443" s="236"/>
      <c r="O443" s="236"/>
      <c r="P443" s="236"/>
      <c r="Q443" s="236"/>
      <c r="R443" s="236"/>
      <c r="S443" s="236"/>
      <c r="T443" s="236"/>
      <c r="U443" s="236"/>
      <c r="V443" s="236"/>
      <c r="W443" s="236"/>
      <c r="X443" s="236"/>
      <c r="Y443" s="236"/>
      <c r="Z443" s="236"/>
      <c r="AA443" s="23"/>
      <c r="AB443" s="23"/>
      <c r="AC443" s="23"/>
      <c r="AD443" s="23"/>
      <c r="AE443" s="23"/>
      <c r="AF443" s="23"/>
      <c r="AG443" s="23"/>
      <c r="AH443" s="23"/>
      <c r="AI443" s="23"/>
      <c r="AJ443" s="23"/>
      <c r="AK443" s="23"/>
      <c r="AL443" s="23"/>
      <c r="AM443" s="23"/>
      <c r="AN443" s="23"/>
      <c r="AO443" s="23"/>
      <c r="AP443" s="23"/>
      <c r="AQ443" s="23"/>
      <c r="AR443" s="23"/>
      <c r="AS443" s="23"/>
      <c r="AT443" s="23"/>
      <c r="AU443" s="23"/>
    </row>
    <row r="444" spans="1:47" s="46" customFormat="1" ht="23.25" customHeight="1" x14ac:dyDescent="0.2">
      <c r="A444" s="139"/>
      <c r="B444" s="139"/>
      <c r="C444" s="26" t="s">
        <v>30</v>
      </c>
      <c r="D444" s="45"/>
      <c r="E444" s="235" t="str">
        <f ca="1">_xll.DBRW(Server&amp;Cube2,$F$18,$F$19,$F$16,$F$15,$F$14,$F$20,$F$13,$N$1,$N$4,"Saisie_Compte_de_Resultat_Realise_Budget",C444)</f>
        <v/>
      </c>
      <c r="F444" s="236"/>
      <c r="G444" s="236"/>
      <c r="H444" s="236"/>
      <c r="I444" s="236"/>
      <c r="J444" s="236"/>
      <c r="K444" s="236"/>
      <c r="L444" s="236"/>
      <c r="M444" s="236"/>
      <c r="N444" s="236"/>
      <c r="O444" s="236"/>
      <c r="P444" s="236"/>
      <c r="Q444" s="236"/>
      <c r="R444" s="236"/>
      <c r="S444" s="236"/>
      <c r="T444" s="236"/>
      <c r="U444" s="236"/>
      <c r="V444" s="236"/>
      <c r="W444" s="236"/>
      <c r="X444" s="236"/>
      <c r="Y444" s="236"/>
      <c r="Z444" s="236"/>
      <c r="AA444" s="23"/>
      <c r="AB444" s="23"/>
      <c r="AC444" s="23"/>
      <c r="AD444" s="23"/>
      <c r="AE444" s="23"/>
      <c r="AF444" s="23"/>
      <c r="AG444" s="23"/>
      <c r="AH444" s="23"/>
      <c r="AI444" s="23"/>
      <c r="AJ444" s="23"/>
      <c r="AK444" s="23"/>
      <c r="AL444" s="23"/>
      <c r="AM444" s="23"/>
      <c r="AN444" s="23"/>
      <c r="AO444" s="23"/>
      <c r="AP444" s="23"/>
      <c r="AQ444" s="23"/>
      <c r="AR444" s="23"/>
      <c r="AS444" s="23"/>
      <c r="AT444" s="23"/>
      <c r="AU444" s="23"/>
    </row>
    <row r="445" spans="1:47" s="46" customFormat="1" ht="23.25" customHeight="1" thickBot="1" x14ac:dyDescent="0.25">
      <c r="A445" s="139"/>
      <c r="B445" s="139"/>
      <c r="C445" s="26" t="s">
        <v>31</v>
      </c>
      <c r="D445" s="45"/>
      <c r="E445" s="237" t="str">
        <f ca="1">_xll.DBRW(Server&amp;Cube2,$F$18,$F$19,$F$16,$F$15,$F$14,$F$20,$F$13,$N$1,$N$4,"Saisie_Compte_de_Resultat_Realise_Budget",C445)</f>
        <v/>
      </c>
      <c r="F445" s="238"/>
      <c r="G445" s="238"/>
      <c r="H445" s="238"/>
      <c r="I445" s="238"/>
      <c r="J445" s="238"/>
      <c r="K445" s="238"/>
      <c r="L445" s="238"/>
      <c r="M445" s="238"/>
      <c r="N445" s="238"/>
      <c r="O445" s="238"/>
      <c r="P445" s="238"/>
      <c r="Q445" s="238"/>
      <c r="R445" s="238"/>
      <c r="S445" s="238"/>
      <c r="T445" s="238"/>
      <c r="U445" s="238"/>
      <c r="V445" s="238"/>
      <c r="W445" s="238"/>
      <c r="X445" s="238"/>
      <c r="Y445" s="238"/>
      <c r="Z445" s="238"/>
      <c r="AA445" s="23"/>
      <c r="AB445" s="23"/>
      <c r="AC445" s="23"/>
      <c r="AD445" s="23"/>
      <c r="AE445" s="23"/>
      <c r="AF445" s="23"/>
      <c r="AG445" s="23"/>
      <c r="AH445" s="23"/>
      <c r="AI445" s="23"/>
      <c r="AJ445" s="23"/>
      <c r="AK445" s="23"/>
      <c r="AL445" s="23"/>
      <c r="AM445" s="23"/>
      <c r="AN445" s="23"/>
      <c r="AO445" s="23"/>
      <c r="AP445" s="23"/>
      <c r="AQ445" s="23"/>
      <c r="AR445" s="23"/>
      <c r="AS445" s="23"/>
      <c r="AT445" s="23"/>
      <c r="AU445" s="23"/>
    </row>
    <row r="446" spans="1:47" s="46" customFormat="1" ht="12.75" x14ac:dyDescent="0.2">
      <c r="A446" s="139"/>
      <c r="B446" s="139"/>
      <c r="C446" s="26"/>
      <c r="D446" s="45"/>
      <c r="AA446" s="23"/>
      <c r="AB446" s="23"/>
      <c r="AC446" s="23"/>
      <c r="AD446" s="23"/>
      <c r="AE446" s="23"/>
      <c r="AF446" s="23"/>
      <c r="AG446" s="23"/>
      <c r="AH446" s="23"/>
      <c r="AI446" s="23"/>
      <c r="AJ446" s="23"/>
      <c r="AK446" s="23"/>
      <c r="AL446" s="23"/>
      <c r="AM446" s="23"/>
      <c r="AN446" s="23"/>
      <c r="AO446" s="23"/>
      <c r="AP446" s="23"/>
      <c r="AQ446" s="23"/>
      <c r="AR446" s="23"/>
      <c r="AS446" s="23"/>
      <c r="AT446" s="23"/>
      <c r="AU446" s="23"/>
    </row>
    <row r="447" spans="1:47" s="46" customFormat="1" ht="12.75" x14ac:dyDescent="0.2">
      <c r="A447" s="139"/>
      <c r="B447" s="139"/>
      <c r="C447" s="26"/>
      <c r="D447" s="45"/>
      <c r="AA447" s="23"/>
      <c r="AB447" s="23"/>
      <c r="AC447" s="23"/>
      <c r="AD447" s="23"/>
      <c r="AE447" s="23"/>
      <c r="AF447" s="23"/>
      <c r="AG447" s="23"/>
      <c r="AH447" s="23"/>
      <c r="AI447" s="23"/>
      <c r="AJ447" s="23"/>
      <c r="AK447" s="23"/>
      <c r="AL447" s="23"/>
      <c r="AM447" s="23"/>
      <c r="AN447" s="23"/>
      <c r="AO447" s="23"/>
      <c r="AP447" s="23"/>
      <c r="AQ447" s="23"/>
      <c r="AR447" s="23"/>
      <c r="AS447" s="23"/>
      <c r="AT447" s="23"/>
      <c r="AU447" s="23"/>
    </row>
    <row r="448" spans="1:47" s="46" customFormat="1" ht="12.75" x14ac:dyDescent="0.2">
      <c r="A448" s="139"/>
      <c r="B448" s="139"/>
      <c r="C448" s="26"/>
      <c r="D448" s="45"/>
      <c r="AA448" s="23"/>
      <c r="AB448" s="23"/>
      <c r="AC448" s="23"/>
      <c r="AD448" s="23"/>
      <c r="AE448" s="23"/>
      <c r="AF448" s="23"/>
      <c r="AG448" s="23"/>
      <c r="AH448" s="23"/>
      <c r="AI448" s="23"/>
      <c r="AJ448" s="23"/>
      <c r="AK448" s="23"/>
      <c r="AL448" s="23"/>
      <c r="AM448" s="23"/>
      <c r="AN448" s="23"/>
      <c r="AO448" s="23"/>
      <c r="AP448" s="23"/>
      <c r="AQ448" s="23"/>
      <c r="AR448" s="23"/>
      <c r="AS448" s="23"/>
      <c r="AT448" s="23"/>
      <c r="AU448" s="23"/>
    </row>
    <row r="449" spans="1:26" s="23" customFormat="1" ht="12.75" x14ac:dyDescent="0.2">
      <c r="A449" s="139"/>
      <c r="B449" s="139"/>
      <c r="C449" s="26"/>
      <c r="D449" s="24"/>
      <c r="J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</row>
    <row r="450" spans="1:26" s="23" customFormat="1" ht="18" customHeight="1" x14ac:dyDescent="0.2">
      <c r="A450" s="139"/>
      <c r="B450" s="139"/>
      <c r="C450" s="26"/>
      <c r="D450" s="24"/>
      <c r="J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</row>
    <row r="451" spans="1:26" s="23" customFormat="1" ht="18" customHeight="1" x14ac:dyDescent="0.2">
      <c r="A451" s="139"/>
      <c r="B451" s="139"/>
      <c r="J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</row>
    <row r="452" spans="1:26" s="23" customFormat="1" ht="18" customHeight="1" x14ac:dyDescent="0.2">
      <c r="A452" s="139"/>
      <c r="B452" s="139"/>
      <c r="J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</row>
    <row r="453" spans="1:26" s="23" customFormat="1" ht="18" customHeight="1" x14ac:dyDescent="0.2">
      <c r="A453" s="139"/>
      <c r="B453" s="139"/>
      <c r="J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</row>
    <row r="454" spans="1:26" s="23" customFormat="1" ht="18" customHeight="1" x14ac:dyDescent="0.2">
      <c r="A454" s="139"/>
      <c r="B454" s="139"/>
      <c r="J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</row>
    <row r="455" spans="1:26" s="23" customFormat="1" ht="18" customHeight="1" x14ac:dyDescent="0.2">
      <c r="A455" s="139"/>
      <c r="B455" s="139"/>
      <c r="C455" s="55"/>
      <c r="J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</row>
    <row r="456" spans="1:26" s="23" customFormat="1" ht="18" customHeight="1" x14ac:dyDescent="0.2">
      <c r="A456" s="139"/>
      <c r="B456" s="139"/>
      <c r="J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</row>
    <row r="457" spans="1:26" s="23" customFormat="1" ht="18" customHeight="1" x14ac:dyDescent="0.2">
      <c r="A457" s="139"/>
      <c r="B457" s="139"/>
      <c r="J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</row>
    <row r="458" spans="1:26" s="23" customFormat="1" ht="18" customHeight="1" x14ac:dyDescent="0.2">
      <c r="A458" s="139"/>
      <c r="B458" s="139"/>
      <c r="J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</row>
    <row r="459" spans="1:26" s="23" customFormat="1" ht="18" customHeight="1" x14ac:dyDescent="0.2">
      <c r="A459" s="139"/>
      <c r="B459" s="139"/>
      <c r="J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</row>
    <row r="460" spans="1:26" s="23" customFormat="1" ht="18" customHeight="1" x14ac:dyDescent="0.2">
      <c r="A460" s="139"/>
      <c r="B460" s="139"/>
      <c r="J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</row>
    <row r="461" spans="1:26" s="23" customFormat="1" ht="18" customHeight="1" x14ac:dyDescent="0.2">
      <c r="A461" s="139"/>
      <c r="B461" s="139"/>
      <c r="J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</row>
    <row r="462" spans="1:26" s="23" customFormat="1" ht="18" customHeight="1" x14ac:dyDescent="0.2">
      <c r="A462" s="139"/>
      <c r="B462" s="139"/>
      <c r="J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</row>
    <row r="463" spans="1:26" s="23" customFormat="1" ht="18" customHeight="1" x14ac:dyDescent="0.2">
      <c r="A463" s="139"/>
      <c r="B463" s="139"/>
      <c r="J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</row>
    <row r="464" spans="1:26" s="23" customFormat="1" ht="18" customHeight="1" x14ac:dyDescent="0.2">
      <c r="A464" s="139"/>
      <c r="B464" s="139"/>
      <c r="J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</row>
    <row r="465" spans="1:26" s="23" customFormat="1" ht="18" customHeight="1" x14ac:dyDescent="0.2">
      <c r="A465" s="139"/>
      <c r="B465" s="139"/>
      <c r="J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</row>
    <row r="466" spans="1:26" s="23" customFormat="1" ht="18" customHeight="1" x14ac:dyDescent="0.2">
      <c r="A466" s="139"/>
      <c r="B466" s="139"/>
      <c r="J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</row>
    <row r="467" spans="1:26" s="23" customFormat="1" ht="18" customHeight="1" x14ac:dyDescent="0.2">
      <c r="A467" s="139"/>
      <c r="B467" s="139"/>
      <c r="J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</row>
    <row r="468" spans="1:26" s="23" customFormat="1" ht="18" customHeight="1" x14ac:dyDescent="0.2">
      <c r="A468" s="139"/>
      <c r="B468" s="139"/>
      <c r="J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</row>
    <row r="469" spans="1:26" s="23" customFormat="1" ht="18" customHeight="1" x14ac:dyDescent="0.2">
      <c r="A469" s="139"/>
      <c r="B469" s="139"/>
      <c r="J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</row>
    <row r="470" spans="1:26" s="23" customFormat="1" ht="18" customHeight="1" x14ac:dyDescent="0.2">
      <c r="A470" s="139"/>
      <c r="B470" s="139"/>
      <c r="J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</row>
    <row r="471" spans="1:26" s="23" customFormat="1" ht="18" customHeight="1" x14ac:dyDescent="0.2">
      <c r="A471" s="139"/>
      <c r="B471" s="139"/>
      <c r="J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</row>
    <row r="472" spans="1:26" s="23" customFormat="1" ht="18" customHeight="1" x14ac:dyDescent="0.2">
      <c r="A472" s="139"/>
      <c r="B472" s="139"/>
      <c r="J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</row>
    <row r="473" spans="1:26" s="23" customFormat="1" ht="18" customHeight="1" x14ac:dyDescent="0.2">
      <c r="A473" s="139"/>
      <c r="B473" s="139"/>
      <c r="J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</row>
    <row r="474" spans="1:26" s="23" customFormat="1" ht="18" customHeight="1" x14ac:dyDescent="0.2">
      <c r="A474" s="139"/>
      <c r="B474" s="139"/>
      <c r="J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</row>
    <row r="475" spans="1:26" s="23" customFormat="1" ht="18" customHeight="1" x14ac:dyDescent="0.2">
      <c r="A475" s="139"/>
      <c r="B475" s="139"/>
      <c r="J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</row>
    <row r="476" spans="1:26" s="23" customFormat="1" ht="18" customHeight="1" x14ac:dyDescent="0.2">
      <c r="A476" s="139"/>
      <c r="B476" s="139"/>
      <c r="J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</row>
    <row r="477" spans="1:26" s="23" customFormat="1" ht="18" customHeight="1" x14ac:dyDescent="0.2">
      <c r="A477" s="139"/>
      <c r="B477" s="139"/>
      <c r="J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</row>
    <row r="478" spans="1:26" s="23" customFormat="1" ht="18" customHeight="1" x14ac:dyDescent="0.2">
      <c r="A478" s="139"/>
      <c r="B478" s="139"/>
      <c r="J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</row>
    <row r="479" spans="1:26" s="23" customFormat="1" ht="18" customHeight="1" x14ac:dyDescent="0.2">
      <c r="A479" s="139"/>
      <c r="B479" s="139"/>
      <c r="J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</row>
    <row r="480" spans="1:26" s="23" customFormat="1" ht="18" customHeight="1" x14ac:dyDescent="0.2">
      <c r="A480" s="139"/>
      <c r="B480" s="139"/>
      <c r="J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</row>
    <row r="481" spans="1:26" s="23" customFormat="1" ht="18" customHeight="1" x14ac:dyDescent="0.2">
      <c r="A481" s="139"/>
      <c r="B481" s="139"/>
      <c r="J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</row>
    <row r="482" spans="1:26" s="23" customFormat="1" ht="18" customHeight="1" x14ac:dyDescent="0.2">
      <c r="A482" s="139"/>
      <c r="B482" s="139"/>
      <c r="J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</row>
    <row r="483" spans="1:26" s="23" customFormat="1" ht="18" customHeight="1" x14ac:dyDescent="0.2">
      <c r="A483" s="139"/>
      <c r="B483" s="139"/>
      <c r="J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</row>
    <row r="484" spans="1:26" s="23" customFormat="1" ht="18" customHeight="1" x14ac:dyDescent="0.2">
      <c r="A484" s="139"/>
      <c r="B484" s="139"/>
      <c r="J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</row>
    <row r="485" spans="1:26" s="23" customFormat="1" ht="18" customHeight="1" x14ac:dyDescent="0.2">
      <c r="A485" s="139"/>
      <c r="B485" s="139"/>
      <c r="J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</row>
    <row r="486" spans="1:26" s="23" customFormat="1" ht="18" customHeight="1" x14ac:dyDescent="0.2">
      <c r="A486" s="139"/>
      <c r="B486" s="139"/>
      <c r="J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</row>
    <row r="487" spans="1:26" s="23" customFormat="1" ht="18" customHeight="1" x14ac:dyDescent="0.2">
      <c r="A487" s="139"/>
      <c r="B487" s="139"/>
      <c r="J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</row>
    <row r="488" spans="1:26" s="23" customFormat="1" ht="18" customHeight="1" x14ac:dyDescent="0.2">
      <c r="A488" s="139"/>
      <c r="B488" s="139"/>
      <c r="J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</row>
    <row r="489" spans="1:26" s="23" customFormat="1" ht="18" customHeight="1" x14ac:dyDescent="0.2">
      <c r="A489" s="139"/>
      <c r="B489" s="139"/>
      <c r="J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</row>
    <row r="490" spans="1:26" s="23" customFormat="1" ht="18" customHeight="1" x14ac:dyDescent="0.2">
      <c r="A490" s="139"/>
      <c r="B490" s="139"/>
      <c r="J490" s="53"/>
      <c r="M490" s="53"/>
      <c r="N490" s="53"/>
      <c r="O490" s="53"/>
      <c r="P490" s="53"/>
      <c r="Q490" s="53"/>
      <c r="R490" s="53"/>
      <c r="S490" s="53"/>
      <c r="T490" s="53"/>
      <c r="U490" s="53"/>
      <c r="V490" s="53"/>
      <c r="W490" s="53"/>
      <c r="X490" s="53"/>
      <c r="Y490" s="53"/>
      <c r="Z490" s="53"/>
    </row>
    <row r="491" spans="1:26" s="23" customFormat="1" ht="18" customHeight="1" x14ac:dyDescent="0.2">
      <c r="A491" s="139"/>
      <c r="B491" s="139"/>
      <c r="J491" s="53"/>
      <c r="M491" s="53"/>
      <c r="N491" s="53"/>
      <c r="O491" s="53"/>
      <c r="P491" s="53"/>
      <c r="Q491" s="53"/>
      <c r="R491" s="53"/>
      <c r="S491" s="53"/>
      <c r="T491" s="53"/>
      <c r="U491" s="53"/>
      <c r="V491" s="53"/>
      <c r="W491" s="53"/>
      <c r="X491" s="53"/>
      <c r="Y491" s="53"/>
      <c r="Z491" s="53"/>
    </row>
    <row r="492" spans="1:26" s="23" customFormat="1" ht="18" customHeight="1" x14ac:dyDescent="0.2">
      <c r="A492" s="139"/>
      <c r="B492" s="139"/>
      <c r="J492" s="53"/>
      <c r="M492" s="53"/>
      <c r="N492" s="53"/>
      <c r="O492" s="53"/>
      <c r="P492" s="53"/>
      <c r="Q492" s="53"/>
      <c r="R492" s="53"/>
      <c r="S492" s="53"/>
      <c r="T492" s="53"/>
      <c r="U492" s="53"/>
      <c r="V492" s="53"/>
      <c r="W492" s="53"/>
      <c r="X492" s="53"/>
      <c r="Y492" s="53"/>
      <c r="Z492" s="53"/>
    </row>
    <row r="493" spans="1:26" s="23" customFormat="1" ht="18" customHeight="1" x14ac:dyDescent="0.2">
      <c r="A493" s="139"/>
      <c r="B493" s="139"/>
      <c r="J493" s="53"/>
      <c r="M493" s="53"/>
      <c r="N493" s="53"/>
      <c r="O493" s="53"/>
      <c r="P493" s="53"/>
      <c r="Q493" s="53"/>
      <c r="R493" s="53"/>
      <c r="S493" s="53"/>
      <c r="T493" s="53"/>
      <c r="U493" s="53"/>
      <c r="V493" s="53"/>
      <c r="W493" s="53"/>
      <c r="X493" s="53"/>
      <c r="Y493" s="53"/>
      <c r="Z493" s="53"/>
    </row>
    <row r="494" spans="1:26" s="23" customFormat="1" ht="18" customHeight="1" x14ac:dyDescent="0.2">
      <c r="A494" s="139"/>
      <c r="B494" s="139"/>
      <c r="J494" s="53"/>
      <c r="M494" s="53"/>
      <c r="N494" s="53"/>
      <c r="O494" s="53"/>
      <c r="P494" s="53"/>
      <c r="Q494" s="53"/>
      <c r="R494" s="53"/>
      <c r="S494" s="53"/>
      <c r="T494" s="53"/>
      <c r="U494" s="53"/>
      <c r="V494" s="53"/>
      <c r="W494" s="53"/>
      <c r="X494" s="53"/>
      <c r="Y494" s="53"/>
      <c r="Z494" s="53"/>
    </row>
    <row r="495" spans="1:26" s="23" customFormat="1" ht="18" customHeight="1" x14ac:dyDescent="0.2">
      <c r="A495" s="139"/>
      <c r="B495" s="139"/>
      <c r="J495" s="53"/>
      <c r="M495" s="53"/>
      <c r="N495" s="53"/>
      <c r="O495" s="53"/>
      <c r="P495" s="53"/>
      <c r="Q495" s="53"/>
      <c r="R495" s="53"/>
      <c r="S495" s="53"/>
      <c r="T495" s="53"/>
      <c r="U495" s="53"/>
      <c r="V495" s="53"/>
      <c r="W495" s="53"/>
      <c r="X495" s="53"/>
      <c r="Y495" s="53"/>
      <c r="Z495" s="53"/>
    </row>
    <row r="496" spans="1:26" s="23" customFormat="1" ht="18" customHeight="1" x14ac:dyDescent="0.2">
      <c r="A496" s="139"/>
      <c r="B496" s="139"/>
      <c r="J496" s="53"/>
      <c r="M496" s="53"/>
      <c r="N496" s="53"/>
      <c r="O496" s="53"/>
      <c r="P496" s="53"/>
      <c r="Q496" s="53"/>
      <c r="R496" s="53"/>
      <c r="S496" s="53"/>
      <c r="T496" s="53"/>
      <c r="U496" s="53"/>
      <c r="V496" s="53"/>
      <c r="W496" s="53"/>
      <c r="X496" s="53"/>
      <c r="Y496" s="53"/>
      <c r="Z496" s="53"/>
    </row>
    <row r="497" spans="1:26" s="23" customFormat="1" ht="18" customHeight="1" x14ac:dyDescent="0.2">
      <c r="A497" s="139"/>
      <c r="B497" s="139"/>
      <c r="J497" s="53"/>
      <c r="M497" s="53"/>
      <c r="N497" s="53"/>
      <c r="O497" s="53"/>
      <c r="P497" s="53"/>
      <c r="Q497" s="53"/>
      <c r="R497" s="53"/>
      <c r="S497" s="53"/>
      <c r="T497" s="53"/>
      <c r="U497" s="53"/>
      <c r="V497" s="53"/>
      <c r="W497" s="53"/>
      <c r="X497" s="53"/>
      <c r="Y497" s="53"/>
      <c r="Z497" s="53"/>
    </row>
    <row r="498" spans="1:26" s="23" customFormat="1" ht="18" customHeight="1" x14ac:dyDescent="0.2">
      <c r="A498" s="139"/>
      <c r="B498" s="139"/>
      <c r="J498" s="53"/>
      <c r="M498" s="53"/>
      <c r="N498" s="53"/>
      <c r="O498" s="53"/>
      <c r="P498" s="53"/>
      <c r="Q498" s="53"/>
      <c r="R498" s="53"/>
      <c r="S498" s="53"/>
      <c r="T498" s="53"/>
      <c r="U498" s="53"/>
      <c r="V498" s="53"/>
      <c r="W498" s="53"/>
      <c r="X498" s="53"/>
      <c r="Y498" s="53"/>
      <c r="Z498" s="53"/>
    </row>
    <row r="499" spans="1:26" s="23" customFormat="1" ht="18" customHeight="1" x14ac:dyDescent="0.2">
      <c r="A499" s="139"/>
      <c r="B499" s="139"/>
      <c r="J499" s="53"/>
      <c r="M499" s="53"/>
      <c r="N499" s="53"/>
      <c r="O499" s="53"/>
      <c r="P499" s="53"/>
      <c r="Q499" s="53"/>
      <c r="R499" s="53"/>
      <c r="S499" s="53"/>
      <c r="T499" s="53"/>
      <c r="U499" s="53"/>
      <c r="V499" s="53"/>
      <c r="W499" s="53"/>
      <c r="X499" s="53"/>
      <c r="Y499" s="53"/>
      <c r="Z499" s="53"/>
    </row>
    <row r="500" spans="1:26" s="23" customFormat="1" ht="18" customHeight="1" x14ac:dyDescent="0.2">
      <c r="A500" s="139"/>
      <c r="B500" s="139"/>
      <c r="J500" s="53"/>
      <c r="M500" s="53"/>
      <c r="N500" s="53"/>
      <c r="O500" s="53"/>
      <c r="P500" s="53"/>
      <c r="Q500" s="53"/>
      <c r="R500" s="53"/>
      <c r="S500" s="53"/>
      <c r="T500" s="53"/>
      <c r="U500" s="53"/>
      <c r="V500" s="53"/>
      <c r="W500" s="53"/>
      <c r="X500" s="53"/>
      <c r="Y500" s="53"/>
      <c r="Z500" s="53"/>
    </row>
    <row r="501" spans="1:26" s="23" customFormat="1" ht="18" customHeight="1" x14ac:dyDescent="0.2">
      <c r="A501" s="139"/>
      <c r="B501" s="139"/>
      <c r="J501" s="53"/>
      <c r="M501" s="53"/>
      <c r="N501" s="53"/>
      <c r="O501" s="53"/>
      <c r="P501" s="53"/>
      <c r="Q501" s="53"/>
      <c r="R501" s="53"/>
      <c r="S501" s="53"/>
      <c r="T501" s="53"/>
      <c r="U501" s="53"/>
      <c r="V501" s="53"/>
      <c r="W501" s="53"/>
      <c r="X501" s="53"/>
      <c r="Y501" s="53"/>
      <c r="Z501" s="53"/>
    </row>
    <row r="502" spans="1:26" s="23" customFormat="1" ht="18" customHeight="1" x14ac:dyDescent="0.2">
      <c r="A502" s="139"/>
      <c r="B502" s="139"/>
      <c r="J502" s="53"/>
      <c r="M502" s="53"/>
      <c r="N502" s="53"/>
      <c r="O502" s="53"/>
      <c r="P502" s="53"/>
      <c r="Q502" s="53"/>
      <c r="R502" s="53"/>
      <c r="S502" s="53"/>
      <c r="T502" s="53"/>
      <c r="U502" s="53"/>
      <c r="V502" s="53"/>
      <c r="W502" s="53"/>
      <c r="X502" s="53"/>
      <c r="Y502" s="53"/>
      <c r="Z502" s="53"/>
    </row>
    <row r="503" spans="1:26" s="23" customFormat="1" ht="18" customHeight="1" x14ac:dyDescent="0.2">
      <c r="A503" s="139"/>
      <c r="B503" s="139"/>
      <c r="J503" s="53"/>
      <c r="M503" s="53"/>
      <c r="N503" s="53"/>
      <c r="O503" s="53"/>
      <c r="P503" s="53"/>
      <c r="Q503" s="53"/>
      <c r="R503" s="53"/>
      <c r="S503" s="53"/>
      <c r="T503" s="53"/>
      <c r="U503" s="53"/>
      <c r="V503" s="53"/>
      <c r="W503" s="53"/>
      <c r="X503" s="53"/>
      <c r="Y503" s="53"/>
      <c r="Z503" s="53"/>
    </row>
    <row r="504" spans="1:26" s="23" customFormat="1" ht="18" customHeight="1" x14ac:dyDescent="0.2">
      <c r="A504" s="139"/>
      <c r="B504" s="139"/>
      <c r="J504" s="53"/>
      <c r="M504" s="53"/>
      <c r="N504" s="53"/>
      <c r="O504" s="53"/>
      <c r="P504" s="53"/>
      <c r="Q504" s="53"/>
      <c r="R504" s="53"/>
      <c r="S504" s="53"/>
      <c r="T504" s="53"/>
      <c r="U504" s="53"/>
      <c r="V504" s="53"/>
      <c r="W504" s="53"/>
      <c r="X504" s="53"/>
      <c r="Y504" s="53"/>
      <c r="Z504" s="53"/>
    </row>
    <row r="505" spans="1:26" s="23" customFormat="1" ht="18" customHeight="1" x14ac:dyDescent="0.2">
      <c r="A505" s="139"/>
      <c r="B505" s="139"/>
      <c r="J505" s="53"/>
      <c r="M505" s="53"/>
      <c r="N505" s="53"/>
      <c r="O505" s="53"/>
      <c r="P505" s="53"/>
      <c r="Q505" s="53"/>
      <c r="R505" s="53"/>
      <c r="S505" s="53"/>
      <c r="T505" s="53"/>
      <c r="U505" s="53"/>
      <c r="V505" s="53"/>
      <c r="W505" s="53"/>
      <c r="X505" s="53"/>
      <c r="Y505" s="53"/>
      <c r="Z505" s="53"/>
    </row>
    <row r="506" spans="1:26" s="23" customFormat="1" ht="18" customHeight="1" x14ac:dyDescent="0.2">
      <c r="A506" s="139"/>
      <c r="B506" s="139"/>
      <c r="J506" s="53"/>
      <c r="M506" s="53"/>
      <c r="N506" s="53"/>
      <c r="O506" s="53"/>
      <c r="P506" s="53"/>
      <c r="Q506" s="53"/>
      <c r="R506" s="53"/>
      <c r="S506" s="53"/>
      <c r="T506" s="53"/>
      <c r="U506" s="53"/>
      <c r="V506" s="53"/>
      <c r="W506" s="53"/>
      <c r="X506" s="53"/>
      <c r="Y506" s="53"/>
      <c r="Z506" s="53"/>
    </row>
    <row r="507" spans="1:26" s="23" customFormat="1" ht="18" customHeight="1" x14ac:dyDescent="0.2">
      <c r="A507" s="139"/>
      <c r="B507" s="139"/>
      <c r="J507" s="53"/>
      <c r="M507" s="53"/>
      <c r="N507" s="53"/>
      <c r="O507" s="53"/>
      <c r="P507" s="53"/>
      <c r="Q507" s="53"/>
      <c r="R507" s="53"/>
      <c r="S507" s="53"/>
      <c r="T507" s="53"/>
      <c r="U507" s="53"/>
      <c r="V507" s="53"/>
      <c r="W507" s="53"/>
      <c r="X507" s="53"/>
      <c r="Y507" s="53"/>
      <c r="Z507" s="53"/>
    </row>
    <row r="508" spans="1:26" s="23" customFormat="1" ht="18" customHeight="1" x14ac:dyDescent="0.2">
      <c r="A508" s="139"/>
      <c r="B508" s="139"/>
      <c r="J508" s="53"/>
      <c r="M508" s="53"/>
      <c r="N508" s="53"/>
      <c r="O508" s="53"/>
      <c r="P508" s="53"/>
      <c r="Q508" s="53"/>
      <c r="R508" s="53"/>
      <c r="S508" s="53"/>
      <c r="T508" s="53"/>
      <c r="U508" s="53"/>
      <c r="V508" s="53"/>
      <c r="W508" s="53"/>
      <c r="X508" s="53"/>
      <c r="Y508" s="53"/>
      <c r="Z508" s="53"/>
    </row>
    <row r="509" spans="1:26" s="23" customFormat="1" ht="18" customHeight="1" x14ac:dyDescent="0.2">
      <c r="A509" s="139"/>
      <c r="B509" s="139"/>
      <c r="J509" s="53"/>
      <c r="M509" s="53"/>
      <c r="N509" s="53"/>
      <c r="O509" s="53"/>
      <c r="P509" s="53"/>
      <c r="Q509" s="53"/>
      <c r="R509" s="53"/>
      <c r="S509" s="53"/>
      <c r="T509" s="53"/>
      <c r="U509" s="53"/>
      <c r="V509" s="53"/>
      <c r="W509" s="53"/>
      <c r="X509" s="53"/>
      <c r="Y509" s="53"/>
      <c r="Z509" s="53"/>
    </row>
    <row r="510" spans="1:26" s="23" customFormat="1" ht="18" customHeight="1" x14ac:dyDescent="0.2">
      <c r="A510" s="139"/>
      <c r="B510" s="139"/>
      <c r="J510" s="53"/>
      <c r="M510" s="53"/>
      <c r="N510" s="53"/>
      <c r="O510" s="53"/>
      <c r="P510" s="53"/>
      <c r="Q510" s="53"/>
      <c r="R510" s="53"/>
      <c r="S510" s="53"/>
      <c r="T510" s="53"/>
      <c r="U510" s="53"/>
      <c r="V510" s="53"/>
      <c r="W510" s="53"/>
      <c r="X510" s="53"/>
      <c r="Y510" s="53"/>
      <c r="Z510" s="53"/>
    </row>
    <row r="511" spans="1:26" s="23" customFormat="1" ht="18" customHeight="1" x14ac:dyDescent="0.2">
      <c r="A511" s="139"/>
      <c r="B511" s="139"/>
      <c r="J511" s="53"/>
      <c r="M511" s="53"/>
      <c r="N511" s="53"/>
      <c r="O511" s="53"/>
      <c r="P511" s="53"/>
      <c r="Q511" s="53"/>
      <c r="R511" s="53"/>
      <c r="S511" s="53"/>
      <c r="T511" s="53"/>
      <c r="U511" s="53"/>
      <c r="V511" s="53"/>
      <c r="W511" s="53"/>
      <c r="X511" s="53"/>
      <c r="Y511" s="53"/>
      <c r="Z511" s="53"/>
    </row>
    <row r="512" spans="1:26" s="23" customFormat="1" ht="18" customHeight="1" x14ac:dyDescent="0.2">
      <c r="A512" s="139"/>
      <c r="B512" s="139"/>
      <c r="J512" s="53"/>
      <c r="M512" s="53"/>
      <c r="N512" s="53"/>
      <c r="O512" s="53"/>
      <c r="P512" s="53"/>
      <c r="Q512" s="53"/>
      <c r="R512" s="53"/>
      <c r="S512" s="53"/>
      <c r="T512" s="53"/>
      <c r="U512" s="53"/>
      <c r="V512" s="53"/>
      <c r="W512" s="53"/>
      <c r="X512" s="53"/>
      <c r="Y512" s="53"/>
      <c r="Z512" s="53"/>
    </row>
    <row r="513" spans="1:26" s="23" customFormat="1" ht="18" customHeight="1" x14ac:dyDescent="0.2">
      <c r="A513" s="139"/>
      <c r="B513" s="139"/>
      <c r="J513" s="53"/>
      <c r="M513" s="53"/>
      <c r="N513" s="53"/>
      <c r="O513" s="53"/>
      <c r="P513" s="53"/>
      <c r="Q513" s="53"/>
      <c r="R513" s="53"/>
      <c r="S513" s="53"/>
      <c r="T513" s="53"/>
      <c r="U513" s="53"/>
      <c r="V513" s="53"/>
      <c r="W513" s="53"/>
      <c r="X513" s="53"/>
      <c r="Y513" s="53"/>
      <c r="Z513" s="53"/>
    </row>
    <row r="514" spans="1:26" s="23" customFormat="1" ht="18" customHeight="1" x14ac:dyDescent="0.2">
      <c r="A514" s="139"/>
      <c r="B514" s="139"/>
      <c r="J514" s="53"/>
      <c r="M514" s="53"/>
      <c r="N514" s="53"/>
      <c r="O514" s="53"/>
      <c r="P514" s="53"/>
      <c r="Q514" s="53"/>
      <c r="R514" s="53"/>
      <c r="S514" s="53"/>
      <c r="T514" s="53"/>
      <c r="U514" s="53"/>
      <c r="V514" s="53"/>
      <c r="W514" s="53"/>
      <c r="X514" s="53"/>
      <c r="Y514" s="53"/>
      <c r="Z514" s="53"/>
    </row>
    <row r="515" spans="1:26" s="23" customFormat="1" ht="18" customHeight="1" x14ac:dyDescent="0.2">
      <c r="A515" s="139"/>
      <c r="B515" s="139"/>
      <c r="J515" s="53"/>
      <c r="M515" s="53"/>
      <c r="N515" s="53"/>
      <c r="O515" s="53"/>
      <c r="P515" s="53"/>
      <c r="Q515" s="53"/>
      <c r="R515" s="53"/>
      <c r="S515" s="53"/>
      <c r="T515" s="53"/>
      <c r="U515" s="53"/>
      <c r="V515" s="53"/>
      <c r="W515" s="53"/>
      <c r="X515" s="53"/>
      <c r="Y515" s="53"/>
      <c r="Z515" s="53"/>
    </row>
    <row r="516" spans="1:26" s="23" customFormat="1" ht="18" customHeight="1" x14ac:dyDescent="0.2">
      <c r="A516" s="139"/>
      <c r="B516" s="139"/>
      <c r="J516" s="53"/>
      <c r="M516" s="53"/>
      <c r="N516" s="53"/>
      <c r="O516" s="53"/>
      <c r="P516" s="53"/>
      <c r="Q516" s="53"/>
      <c r="R516" s="53"/>
      <c r="S516" s="53"/>
      <c r="T516" s="53"/>
      <c r="U516" s="53"/>
      <c r="V516" s="53"/>
      <c r="W516" s="53"/>
      <c r="X516" s="53"/>
      <c r="Y516" s="53"/>
      <c r="Z516" s="53"/>
    </row>
    <row r="517" spans="1:26" s="23" customFormat="1" ht="18" customHeight="1" x14ac:dyDescent="0.2">
      <c r="A517" s="139"/>
      <c r="B517" s="139"/>
      <c r="J517" s="53"/>
      <c r="M517" s="53"/>
      <c r="N517" s="53"/>
      <c r="O517" s="53"/>
      <c r="P517" s="53"/>
      <c r="Q517" s="53"/>
      <c r="R517" s="53"/>
      <c r="S517" s="53"/>
      <c r="T517" s="53"/>
      <c r="U517" s="53"/>
      <c r="V517" s="53"/>
      <c r="W517" s="53"/>
      <c r="X517" s="53"/>
      <c r="Y517" s="53"/>
      <c r="Z517" s="53"/>
    </row>
  </sheetData>
  <sheetProtection formatColumns="0" formatRows="0"/>
  <protectedRanges>
    <protectedRange sqref="G442:Z444" name="Commentaires"/>
  </protectedRanges>
  <mergeCells count="453">
    <mergeCell ref="S1:Z1"/>
    <mergeCell ref="Q22:Q23"/>
    <mergeCell ref="R22:R23"/>
    <mergeCell ref="S22:S23"/>
    <mergeCell ref="Z22:Z23"/>
    <mergeCell ref="P22:P23"/>
    <mergeCell ref="G9:S10"/>
    <mergeCell ref="Z9:Z10"/>
    <mergeCell ref="I20:I21"/>
    <mergeCell ref="J20:J21"/>
    <mergeCell ref="L20:L21"/>
    <mergeCell ref="X9:X10"/>
    <mergeCell ref="N20:Z21"/>
    <mergeCell ref="N22:N23"/>
    <mergeCell ref="E444:Z444"/>
    <mergeCell ref="E445:Z445"/>
    <mergeCell ref="E443:Z443"/>
    <mergeCell ref="E442:Z442"/>
    <mergeCell ref="AL27:AN27"/>
    <mergeCell ref="E30:G30"/>
    <mergeCell ref="E31:G31"/>
    <mergeCell ref="E32:G32"/>
    <mergeCell ref="E33:G33"/>
    <mergeCell ref="E34:G34"/>
    <mergeCell ref="E35:G35"/>
    <mergeCell ref="E49:G49"/>
    <mergeCell ref="E63:G63"/>
    <mergeCell ref="E148:G148"/>
    <mergeCell ref="E437:G437"/>
    <mergeCell ref="E77:G77"/>
    <mergeCell ref="E27:G27"/>
    <mergeCell ref="AL34:AN34"/>
    <mergeCell ref="E105:G105"/>
    <mergeCell ref="E106:G106"/>
    <mergeCell ref="E120:G120"/>
    <mergeCell ref="E134:G134"/>
    <mergeCell ref="E91:G91"/>
    <mergeCell ref="E96:G96"/>
    <mergeCell ref="E97:G97"/>
    <mergeCell ref="E98:G98"/>
    <mergeCell ref="E99:G99"/>
    <mergeCell ref="E100:G100"/>
    <mergeCell ref="E101:G101"/>
    <mergeCell ref="E102:G102"/>
    <mergeCell ref="E103:G103"/>
    <mergeCell ref="E104:G104"/>
    <mergeCell ref="E107:G107"/>
    <mergeCell ref="E108:G108"/>
    <mergeCell ref="E295:G295"/>
    <mergeCell ref="E324:G324"/>
    <mergeCell ref="E251:G251"/>
    <mergeCell ref="E266:G266"/>
    <mergeCell ref="E280:G280"/>
    <mergeCell ref="E296:G296"/>
    <mergeCell ref="E310:G310"/>
    <mergeCell ref="E253:G253"/>
    <mergeCell ref="E254:G254"/>
    <mergeCell ref="E255:G255"/>
    <mergeCell ref="E256:G256"/>
    <mergeCell ref="E257:G257"/>
    <mergeCell ref="E258:G258"/>
    <mergeCell ref="E259:G259"/>
    <mergeCell ref="E260:G260"/>
    <mergeCell ref="E261:G261"/>
    <mergeCell ref="E294:G294"/>
    <mergeCell ref="E225:G225"/>
    <mergeCell ref="E226:G226"/>
    <mergeCell ref="E227:G227"/>
    <mergeCell ref="E228:G228"/>
    <mergeCell ref="E229:G229"/>
    <mergeCell ref="E230:G230"/>
    <mergeCell ref="E162:G162"/>
    <mergeCell ref="E176:G176"/>
    <mergeCell ref="E190:G190"/>
    <mergeCell ref="E204:G204"/>
    <mergeCell ref="E218:G218"/>
    <mergeCell ref="E163:G163"/>
    <mergeCell ref="E164:G164"/>
    <mergeCell ref="E165:G165"/>
    <mergeCell ref="E166:G166"/>
    <mergeCell ref="E167:G167"/>
    <mergeCell ref="E168:G168"/>
    <mergeCell ref="E169:G169"/>
    <mergeCell ref="E170:G170"/>
    <mergeCell ref="E171:G171"/>
    <mergeCell ref="E172:G172"/>
    <mergeCell ref="E173:G173"/>
    <mergeCell ref="E180:G180"/>
    <mergeCell ref="E181:G181"/>
    <mergeCell ref="E182:G182"/>
    <mergeCell ref="E183:G183"/>
    <mergeCell ref="E184:G184"/>
    <mergeCell ref="E174:G174"/>
    <mergeCell ref="E175:G175"/>
    <mergeCell ref="E177:G177"/>
    <mergeCell ref="E427:G427"/>
    <mergeCell ref="E431:G431"/>
    <mergeCell ref="E433:G433"/>
    <mergeCell ref="E435:G435"/>
    <mergeCell ref="E420:G420"/>
    <mergeCell ref="E422:G422"/>
    <mergeCell ref="E424:G424"/>
    <mergeCell ref="E423:G423"/>
    <mergeCell ref="E425:G425"/>
    <mergeCell ref="E429:G429"/>
    <mergeCell ref="E430:G430"/>
    <mergeCell ref="E37:G37"/>
    <mergeCell ref="E38:G38"/>
    <mergeCell ref="E39:G39"/>
    <mergeCell ref="E40:G40"/>
    <mergeCell ref="E41:G41"/>
    <mergeCell ref="X22:X23"/>
    <mergeCell ref="Y22:Y23"/>
    <mergeCell ref="E28:G28"/>
    <mergeCell ref="E29:G29"/>
    <mergeCell ref="E36:G36"/>
    <mergeCell ref="O22:O23"/>
    <mergeCell ref="T22:T23"/>
    <mergeCell ref="U22:U23"/>
    <mergeCell ref="V22:V23"/>
    <mergeCell ref="W22:W23"/>
    <mergeCell ref="E25:G25"/>
    <mergeCell ref="E26:G26"/>
    <mergeCell ref="I22:I23"/>
    <mergeCell ref="J22:J23"/>
    <mergeCell ref="K22:K23"/>
    <mergeCell ref="L22:L23"/>
    <mergeCell ref="E47:G47"/>
    <mergeCell ref="E48:G48"/>
    <mergeCell ref="E50:G50"/>
    <mergeCell ref="E51:G51"/>
    <mergeCell ref="E52:G52"/>
    <mergeCell ref="E42:G42"/>
    <mergeCell ref="E43:G43"/>
    <mergeCell ref="E44:G44"/>
    <mergeCell ref="E45:G45"/>
    <mergeCell ref="E46:G46"/>
    <mergeCell ref="E58:G58"/>
    <mergeCell ref="E59:G59"/>
    <mergeCell ref="E60:G60"/>
    <mergeCell ref="E61:G61"/>
    <mergeCell ref="E62:G62"/>
    <mergeCell ref="E53:G53"/>
    <mergeCell ref="E54:G54"/>
    <mergeCell ref="E55:G55"/>
    <mergeCell ref="E56:G56"/>
    <mergeCell ref="E57:G57"/>
    <mergeCell ref="E69:G69"/>
    <mergeCell ref="E70:G70"/>
    <mergeCell ref="E71:G71"/>
    <mergeCell ref="E72:G72"/>
    <mergeCell ref="E73:G73"/>
    <mergeCell ref="E64:G64"/>
    <mergeCell ref="E65:G65"/>
    <mergeCell ref="E66:G66"/>
    <mergeCell ref="E67:G67"/>
    <mergeCell ref="E68:G68"/>
    <mergeCell ref="E80:G80"/>
    <mergeCell ref="E81:G81"/>
    <mergeCell ref="E82:G82"/>
    <mergeCell ref="E83:G83"/>
    <mergeCell ref="E84:G84"/>
    <mergeCell ref="E74:G74"/>
    <mergeCell ref="E75:G75"/>
    <mergeCell ref="E76:G76"/>
    <mergeCell ref="E78:G78"/>
    <mergeCell ref="E79:G79"/>
    <mergeCell ref="E90:G90"/>
    <mergeCell ref="E92:G92"/>
    <mergeCell ref="E93:G93"/>
    <mergeCell ref="E94:G94"/>
    <mergeCell ref="E95:G95"/>
    <mergeCell ref="E85:G85"/>
    <mergeCell ref="E86:G86"/>
    <mergeCell ref="E87:G87"/>
    <mergeCell ref="E88:G88"/>
    <mergeCell ref="E89:G89"/>
    <mergeCell ref="E114:G114"/>
    <mergeCell ref="E115:G115"/>
    <mergeCell ref="E116:G116"/>
    <mergeCell ref="E117:G117"/>
    <mergeCell ref="E118:G118"/>
    <mergeCell ref="E109:G109"/>
    <mergeCell ref="E110:G110"/>
    <mergeCell ref="E111:G111"/>
    <mergeCell ref="E112:G112"/>
    <mergeCell ref="E113:G113"/>
    <mergeCell ref="E125:G125"/>
    <mergeCell ref="E126:G126"/>
    <mergeCell ref="E127:G127"/>
    <mergeCell ref="E128:G128"/>
    <mergeCell ref="E129:G129"/>
    <mergeCell ref="E119:G119"/>
    <mergeCell ref="E121:G121"/>
    <mergeCell ref="E122:G122"/>
    <mergeCell ref="E123:G123"/>
    <mergeCell ref="E124:G124"/>
    <mergeCell ref="E136:G136"/>
    <mergeCell ref="E137:G137"/>
    <mergeCell ref="E138:G138"/>
    <mergeCell ref="E139:G139"/>
    <mergeCell ref="E140:G140"/>
    <mergeCell ref="E130:G130"/>
    <mergeCell ref="E131:G131"/>
    <mergeCell ref="E132:G132"/>
    <mergeCell ref="E133:G133"/>
    <mergeCell ref="E135:G135"/>
    <mergeCell ref="E146:G146"/>
    <mergeCell ref="E147:G147"/>
    <mergeCell ref="E149:G149"/>
    <mergeCell ref="E150:G150"/>
    <mergeCell ref="E151:G151"/>
    <mergeCell ref="E141:G141"/>
    <mergeCell ref="E142:G142"/>
    <mergeCell ref="E143:G143"/>
    <mergeCell ref="E144:G144"/>
    <mergeCell ref="E145:G145"/>
    <mergeCell ref="E157:G157"/>
    <mergeCell ref="E158:G158"/>
    <mergeCell ref="E159:G159"/>
    <mergeCell ref="E160:G160"/>
    <mergeCell ref="E161:G161"/>
    <mergeCell ref="E152:G152"/>
    <mergeCell ref="E153:G153"/>
    <mergeCell ref="E154:G154"/>
    <mergeCell ref="E155:G155"/>
    <mergeCell ref="E156:G156"/>
    <mergeCell ref="E178:G178"/>
    <mergeCell ref="E179:G179"/>
    <mergeCell ref="E191:G191"/>
    <mergeCell ref="E192:G192"/>
    <mergeCell ref="E193:G193"/>
    <mergeCell ref="E194:G194"/>
    <mergeCell ref="E195:G195"/>
    <mergeCell ref="E185:G185"/>
    <mergeCell ref="E186:G186"/>
    <mergeCell ref="E187:G187"/>
    <mergeCell ref="E188:G188"/>
    <mergeCell ref="E189:G189"/>
    <mergeCell ref="E201:G201"/>
    <mergeCell ref="E202:G202"/>
    <mergeCell ref="E203:G203"/>
    <mergeCell ref="E205:G205"/>
    <mergeCell ref="E206:G206"/>
    <mergeCell ref="E196:G196"/>
    <mergeCell ref="E197:G197"/>
    <mergeCell ref="E198:G198"/>
    <mergeCell ref="E199:G199"/>
    <mergeCell ref="E200:G200"/>
    <mergeCell ref="E212:G212"/>
    <mergeCell ref="E213:G213"/>
    <mergeCell ref="E214:G214"/>
    <mergeCell ref="E215:G215"/>
    <mergeCell ref="E216:G216"/>
    <mergeCell ref="E207:G207"/>
    <mergeCell ref="E208:G208"/>
    <mergeCell ref="E209:G209"/>
    <mergeCell ref="E210:G210"/>
    <mergeCell ref="E211:G211"/>
    <mergeCell ref="E236:G236"/>
    <mergeCell ref="E238:G238"/>
    <mergeCell ref="E239:G239"/>
    <mergeCell ref="E240:G240"/>
    <mergeCell ref="E241:G241"/>
    <mergeCell ref="E217:G217"/>
    <mergeCell ref="E219:G219"/>
    <mergeCell ref="E222:G222"/>
    <mergeCell ref="E224:G224"/>
    <mergeCell ref="E223:G223"/>
    <mergeCell ref="E220:G220"/>
    <mergeCell ref="E221:G221"/>
    <mergeCell ref="E237:G237"/>
    <mergeCell ref="E231:G231"/>
    <mergeCell ref="E232:G232"/>
    <mergeCell ref="E233:G233"/>
    <mergeCell ref="E234:G234"/>
    <mergeCell ref="E235:G235"/>
    <mergeCell ref="E247:G247"/>
    <mergeCell ref="E248:G248"/>
    <mergeCell ref="E249:G249"/>
    <mergeCell ref="E250:G250"/>
    <mergeCell ref="E252:G252"/>
    <mergeCell ref="E242:G242"/>
    <mergeCell ref="E243:G243"/>
    <mergeCell ref="E244:G244"/>
    <mergeCell ref="E245:G245"/>
    <mergeCell ref="E246:G246"/>
    <mergeCell ref="E269:G269"/>
    <mergeCell ref="E270:G270"/>
    <mergeCell ref="E271:G271"/>
    <mergeCell ref="E272:G272"/>
    <mergeCell ref="E273:G273"/>
    <mergeCell ref="E262:G262"/>
    <mergeCell ref="E263:G263"/>
    <mergeCell ref="E264:G264"/>
    <mergeCell ref="E267:G267"/>
    <mergeCell ref="E268:G268"/>
    <mergeCell ref="E265:G265"/>
    <mergeCell ref="E279:G279"/>
    <mergeCell ref="E281:G281"/>
    <mergeCell ref="E282:G282"/>
    <mergeCell ref="E283:G283"/>
    <mergeCell ref="E284:G284"/>
    <mergeCell ref="E274:G274"/>
    <mergeCell ref="E275:G275"/>
    <mergeCell ref="E276:G276"/>
    <mergeCell ref="E277:G277"/>
    <mergeCell ref="E278:G278"/>
    <mergeCell ref="E290:G290"/>
    <mergeCell ref="E291:G291"/>
    <mergeCell ref="E292:G292"/>
    <mergeCell ref="E293:G293"/>
    <mergeCell ref="E285:G285"/>
    <mergeCell ref="E286:G286"/>
    <mergeCell ref="E287:G287"/>
    <mergeCell ref="E288:G288"/>
    <mergeCell ref="E289:G289"/>
    <mergeCell ref="E302:G302"/>
    <mergeCell ref="E303:G303"/>
    <mergeCell ref="E304:G304"/>
    <mergeCell ref="E305:G305"/>
    <mergeCell ref="E306:G306"/>
    <mergeCell ref="E297:G297"/>
    <mergeCell ref="E298:G298"/>
    <mergeCell ref="E299:G299"/>
    <mergeCell ref="E300:G300"/>
    <mergeCell ref="E301:G301"/>
    <mergeCell ref="E313:G313"/>
    <mergeCell ref="E314:G314"/>
    <mergeCell ref="E315:G315"/>
    <mergeCell ref="E316:G316"/>
    <mergeCell ref="E317:G317"/>
    <mergeCell ref="E307:G307"/>
    <mergeCell ref="E308:G308"/>
    <mergeCell ref="E309:G309"/>
    <mergeCell ref="E311:G311"/>
    <mergeCell ref="E312:G312"/>
    <mergeCell ref="E323:G323"/>
    <mergeCell ref="E326:G326"/>
    <mergeCell ref="E327:G327"/>
    <mergeCell ref="E328:G328"/>
    <mergeCell ref="E329:G329"/>
    <mergeCell ref="E318:G318"/>
    <mergeCell ref="E319:G319"/>
    <mergeCell ref="E320:G320"/>
    <mergeCell ref="E321:G321"/>
    <mergeCell ref="E322:G322"/>
    <mergeCell ref="E325:G325"/>
    <mergeCell ref="E335:G335"/>
    <mergeCell ref="E336:G336"/>
    <mergeCell ref="E337:G337"/>
    <mergeCell ref="E338:G338"/>
    <mergeCell ref="E340:G340"/>
    <mergeCell ref="E330:G330"/>
    <mergeCell ref="E331:G331"/>
    <mergeCell ref="E332:G332"/>
    <mergeCell ref="E333:G333"/>
    <mergeCell ref="E334:G334"/>
    <mergeCell ref="E339:G339"/>
    <mergeCell ref="E357:G357"/>
    <mergeCell ref="E341:G341"/>
    <mergeCell ref="E342:G342"/>
    <mergeCell ref="E343:G343"/>
    <mergeCell ref="E344:G344"/>
    <mergeCell ref="E345:G345"/>
    <mergeCell ref="E346:G346"/>
    <mergeCell ref="E347:G347"/>
    <mergeCell ref="E348:G348"/>
    <mergeCell ref="E349:G349"/>
    <mergeCell ref="E350:G350"/>
    <mergeCell ref="E351:G351"/>
    <mergeCell ref="E352:G352"/>
    <mergeCell ref="E354:G354"/>
    <mergeCell ref="E355:G355"/>
    <mergeCell ref="E356:G356"/>
    <mergeCell ref="E363:G363"/>
    <mergeCell ref="E364:G364"/>
    <mergeCell ref="E365:G365"/>
    <mergeCell ref="E366:G366"/>
    <mergeCell ref="E369:G369"/>
    <mergeCell ref="E358:G358"/>
    <mergeCell ref="E359:G359"/>
    <mergeCell ref="E360:G360"/>
    <mergeCell ref="E361:G361"/>
    <mergeCell ref="E362:G362"/>
    <mergeCell ref="E367:G367"/>
    <mergeCell ref="E368:G368"/>
    <mergeCell ref="E375:G375"/>
    <mergeCell ref="E376:G376"/>
    <mergeCell ref="E377:G377"/>
    <mergeCell ref="E378:G378"/>
    <mergeCell ref="E379:G379"/>
    <mergeCell ref="E370:G370"/>
    <mergeCell ref="E371:G371"/>
    <mergeCell ref="E372:G372"/>
    <mergeCell ref="E373:G373"/>
    <mergeCell ref="E374:G374"/>
    <mergeCell ref="E388:G388"/>
    <mergeCell ref="E389:G389"/>
    <mergeCell ref="E390:G390"/>
    <mergeCell ref="E380:G380"/>
    <mergeCell ref="E381:G381"/>
    <mergeCell ref="E383:G383"/>
    <mergeCell ref="E384:G384"/>
    <mergeCell ref="E385:G385"/>
    <mergeCell ref="E382:G382"/>
    <mergeCell ref="E419:G419"/>
    <mergeCell ref="E421:G421"/>
    <mergeCell ref="E404:G404"/>
    <mergeCell ref="E405:G405"/>
    <mergeCell ref="E409:G409"/>
    <mergeCell ref="E410:G410"/>
    <mergeCell ref="E411:G411"/>
    <mergeCell ref="E406:G406"/>
    <mergeCell ref="E416:G416"/>
    <mergeCell ref="E407:G407"/>
    <mergeCell ref="E408:G408"/>
    <mergeCell ref="E414:G414"/>
    <mergeCell ref="E417:G417"/>
    <mergeCell ref="E418:G418"/>
    <mergeCell ref="AR35:AS35"/>
    <mergeCell ref="AT35:AU35"/>
    <mergeCell ref="AL37:AL40"/>
    <mergeCell ref="AL41:AL47"/>
    <mergeCell ref="AL48:AL53"/>
    <mergeCell ref="AL54:AL57"/>
    <mergeCell ref="E412:G412"/>
    <mergeCell ref="E413:G413"/>
    <mergeCell ref="E415:G415"/>
    <mergeCell ref="E398:G398"/>
    <mergeCell ref="E400:G400"/>
    <mergeCell ref="E401:G401"/>
    <mergeCell ref="E402:G402"/>
    <mergeCell ref="E403:G403"/>
    <mergeCell ref="E391:G391"/>
    <mergeCell ref="E392:G392"/>
    <mergeCell ref="E393:G393"/>
    <mergeCell ref="E394:G394"/>
    <mergeCell ref="E395:G395"/>
    <mergeCell ref="E396:G396"/>
    <mergeCell ref="E397:G397"/>
    <mergeCell ref="E399:G399"/>
    <mergeCell ref="E386:G386"/>
    <mergeCell ref="E387:G387"/>
    <mergeCell ref="AL60:AL61"/>
    <mergeCell ref="AL62:AL66"/>
    <mergeCell ref="AL68:AL83"/>
    <mergeCell ref="AL84:AL85"/>
    <mergeCell ref="AL86:AL91"/>
    <mergeCell ref="AL92:AL94"/>
    <mergeCell ref="AL95:AL98"/>
    <mergeCell ref="AO35:AP35"/>
    <mergeCell ref="AL35:AM35"/>
  </mergeCells>
  <phoneticPr fontId="0" type="noConversion"/>
  <dataValidations count="2">
    <dataValidation type="list" allowBlank="1" showInputMessage="1" showErrorMessage="1" sqref="F21">
      <formula1>Language</formula1>
    </dataValidation>
    <dataValidation type="list" allowBlank="1" showInputMessage="1" showErrorMessage="1" sqref="F23">
      <formula1>$AK$12:$AK$13</formula1>
    </dataValidation>
  </dataValidations>
  <printOptions horizontalCentered="1"/>
  <pageMargins left="0.15748031496062992" right="0.11811023622047245" top="0.27559055118110237" bottom="0.19685039370078741" header="0.35433070866141736" footer="0.15748031496062992"/>
  <pageSetup paperSize="9" scale="30" orientation="landscape" r:id="rId1"/>
  <headerFooter alignWithMargins="0">
    <oddFooter>&amp;LConfidentiel&amp;C&amp;D&amp;RPage 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autoPict="0" r:id="rId5">
            <anchor moveWithCells="1">
              <from>
                <xdr:col>4</xdr:col>
                <xdr:colOff>95250</xdr:colOff>
                <xdr:row>5</xdr:row>
                <xdr:rowOff>142875</xdr:rowOff>
              </from>
              <to>
                <xdr:col>4</xdr:col>
                <xdr:colOff>2381250</xdr:colOff>
                <xdr:row>7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27" baseType="lpstr">
      <vt:lpstr>Context</vt:lpstr>
      <vt:lpstr>PL_Saisie_Realise_Budget</vt:lpstr>
      <vt:lpstr>ActualForecastAdmin</vt:lpstr>
      <vt:lpstr>ActualMonth</vt:lpstr>
      <vt:lpstr>ActualMonthYTD</vt:lpstr>
      <vt:lpstr>ActualYear</vt:lpstr>
      <vt:lpstr>AutoFit</vt:lpstr>
      <vt:lpstr>AutoRefresh_PL_Saisie_Realise_Budget</vt:lpstr>
      <vt:lpstr>Cube1</vt:lpstr>
      <vt:lpstr>Cube2</vt:lpstr>
      <vt:lpstr>DBS_COM_pl_1</vt:lpstr>
      <vt:lpstr>DBS_COM_pl_2</vt:lpstr>
      <vt:lpstr>DBS_COM_pl_3</vt:lpstr>
      <vt:lpstr>DBS_COM_pl_4</vt:lpstr>
      <vt:lpstr>First_Flag_Indicator</vt:lpstr>
      <vt:lpstr>Flag_Send_Comment</vt:lpstr>
      <vt:lpstr>Flag_Send_Data</vt:lpstr>
      <vt:lpstr>Language</vt:lpstr>
      <vt:lpstr>Last_Flag_Indicator</vt:lpstr>
      <vt:lpstr>LocalLanguage</vt:lpstr>
      <vt:lpstr>LocalLanguage2</vt:lpstr>
      <vt:lpstr>Note</vt:lpstr>
      <vt:lpstr>PL_Saisie_Realise_Budget!Print_Area</vt:lpstr>
      <vt:lpstr>PL_Saisie_Realise_Budget!Print_Titles</vt:lpstr>
      <vt:lpstr>Server</vt:lpstr>
      <vt:lpstr>xHost</vt:lpstr>
      <vt:lpstr>xServer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magali.escanes</cp:lastModifiedBy>
  <cp:lastPrinted>2012-05-31T14:03:26Z</cp:lastPrinted>
  <dcterms:created xsi:type="dcterms:W3CDTF">2011-06-21T16:52:24Z</dcterms:created>
  <dcterms:modified xsi:type="dcterms:W3CDTF">2012-10-09T17:28:40Z</dcterms:modified>
</cp:coreProperties>
</file>