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rwanTang\AppData\Local\Temp\"/>
    </mc:Choice>
  </mc:AlternateContent>
  <xr:revisionPtr revIDLastSave="0" documentId="8_{CDA121C9-C130-4CB6-8A32-75122E6AA1C4}" xr6:coauthVersionLast="47" xr6:coauthVersionMax="47" xr10:uidLastSave="{00000000-0000-0000-0000-000000000000}"/>
  <bookViews>
    <workbookView xWindow="-110" yWindow="-16310" windowWidth="29020" windowHeight="15700" firstSheet="2" activeTab="2" xr2:uid="{00000000-000D-0000-FFFF-FFFF00000000}"/>
  </bookViews>
  <sheets>
    <sheet name="Context" sheetId="9" state="hidden" r:id="rId1"/>
    <sheet name="Cognos_Office_Connection_Cache" sheetId="10" state="veryHidden" r:id="rId2"/>
    <sheet name="Process Reject CPP" sheetId="8" r:id="rId3"/>
  </sheets>
  <functionGroups builtInGroupCount="19"/>
  <definedNames>
    <definedName name="_xlnm._FilterDatabase" localSheetId="2" hidden="1">'Process Reject CPP'!#REF!</definedName>
    <definedName name="cafe_validation_temp" hidden="1">Cognos_Office_Connection_Cache!$B$2:$B$31</definedName>
    <definedName name="ID" localSheetId="1" hidden="1">"1f222e8c-ed8b-4f40-bece-151fea4f1c12"</definedName>
    <definedName name="ID" localSheetId="0" hidden="1">"e1085efe-e74c-4dd8-b1ef-ca084a695dfa"</definedName>
    <definedName name="ID" localSheetId="2" hidden="1">"ff61daf8-0029-4591-80a9-8741d5ba491b"</definedName>
    <definedName name="Month_Actual">Context!$B$22</definedName>
    <definedName name="Month_Actual_YTD">Context!$B$23</definedName>
    <definedName name="Period_YTD">'Process Reject CPP'!$G$12</definedName>
    <definedName name="Phase_List">Context!$D$2:$D$5</definedName>
    <definedName name="Server">Context!$B$4</definedName>
    <definedName name="Serveur">Context!$B$6</definedName>
    <definedName name="source_entity">Context!$B$21</definedName>
    <definedName name="TM1REBUILDOPTION">1</definedName>
    <definedName name="TM1RPTDATARNG1" localSheetId="2">'Process Reject CPP'!$28:$29</definedName>
    <definedName name="TM1RPTDATARNGARPT1" localSheetId="2">'Process Reject CPP'!$76:$113</definedName>
    <definedName name="TM1RPTDATARNGARPT2" localSheetId="2">'Process Reject CPP'!$38:$39</definedName>
    <definedName name="TM1RPTDATARNGARPT3" localSheetId="2">'Process Reject CPP'!$62:$62</definedName>
    <definedName name="TM1RPTDATARNGARPT4" localSheetId="2">'Process Reject CPP'!$52:$52</definedName>
    <definedName name="TM1RPTFMTIDCOL" localSheetId="2">'Process Reject CPP'!$A$1:$A$9</definedName>
    <definedName name="TM1RPTFMTRNG" localSheetId="2">'Process Reject CPP'!$C$1:$I$9</definedName>
    <definedName name="Total_Year_Budget_Forecast">Context!$B$25</definedName>
    <definedName name="xServer">Context!$B$5</definedName>
    <definedName name="xTM1User">Context!$B$13</definedName>
    <definedName name="Year_Budget_Forecast">Context!$B$24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8" i="8" l="1"/>
  <c r="C72" i="8"/>
  <c r="B5" i="9"/>
  <c r="A3" i="8"/>
  <c r="A2" i="8"/>
  <c r="A4" i="8"/>
  <c r="A5" i="8"/>
  <c r="A39" i="8"/>
  <c r="A29" i="8"/>
  <c r="A113" i="8"/>
  <c r="A109" i="8"/>
  <c r="A105" i="8"/>
  <c r="A101" i="8"/>
  <c r="A97" i="8"/>
  <c r="A93" i="8"/>
  <c r="A89" i="8"/>
  <c r="A85" i="8"/>
  <c r="A81" i="8"/>
  <c r="A77" i="8"/>
  <c r="A80" i="8"/>
  <c r="A110" i="8"/>
  <c r="A94" i="8"/>
  <c r="A82" i="8"/>
  <c r="A112" i="8"/>
  <c r="A108" i="8"/>
  <c r="A104" i="8"/>
  <c r="A100" i="8"/>
  <c r="A96" i="8"/>
  <c r="A92" i="8"/>
  <c r="A88" i="8"/>
  <c r="A84" i="8"/>
  <c r="A91" i="8"/>
  <c r="A83" i="8"/>
  <c r="A106" i="8"/>
  <c r="A90" i="8"/>
  <c r="A78" i="8"/>
  <c r="A103" i="8"/>
  <c r="A99" i="8"/>
  <c r="A95" i="8"/>
  <c r="A87" i="8"/>
  <c r="A79" i="8"/>
  <c r="A102" i="8"/>
  <c r="A86" i="8"/>
  <c r="A111" i="8"/>
  <c r="A107" i="8"/>
  <c r="A98" i="8"/>
  <c r="D17" i="8"/>
  <c r="B13" i="9"/>
  <c r="B14" i="9" s="1"/>
  <c r="A28" i="8"/>
  <c r="B6" i="9"/>
  <c r="A76" i="8"/>
  <c r="B15" i="9"/>
  <c r="D46" i="8"/>
  <c r="A38" i="8"/>
  <c r="C70" i="8"/>
  <c r="B22" i="9"/>
  <c r="B21" i="9"/>
  <c r="B24" i="9"/>
  <c r="A62" i="8"/>
  <c r="A52" i="8"/>
  <c r="B25" i="9" l="1"/>
  <c r="D58" i="8"/>
  <c r="E10" i="8"/>
  <c r="D34" i="8"/>
  <c r="B23" i="9"/>
  <c r="G12" i="8" s="1"/>
  <c r="D21" i="8"/>
  <c r="D47" i="8" l="1"/>
  <c r="C71" i="8"/>
  <c r="B68" i="8"/>
  <c r="C76" i="8"/>
  <c r="B76" i="8"/>
  <c r="D76" i="8" s="1"/>
  <c r="D78" i="8"/>
  <c r="D90" i="8"/>
  <c r="D98" i="8"/>
  <c r="D79" i="8"/>
  <c r="D83" i="8"/>
  <c r="D87" i="8"/>
  <c r="D91" i="8"/>
  <c r="D95" i="8"/>
  <c r="D99" i="8"/>
  <c r="D103" i="8"/>
  <c r="D107" i="8"/>
  <c r="D111" i="8"/>
  <c r="D82" i="8"/>
  <c r="D106" i="8"/>
  <c r="D86" i="8"/>
  <c r="D110" i="8"/>
  <c r="D80" i="8"/>
  <c r="D88" i="8"/>
  <c r="D92" i="8"/>
  <c r="D96" i="8"/>
  <c r="D100" i="8"/>
  <c r="D104" i="8"/>
  <c r="D108" i="8"/>
  <c r="D112" i="8"/>
  <c r="D94" i="8"/>
  <c r="D102" i="8"/>
  <c r="D84" i="8"/>
  <c r="D77" i="8"/>
  <c r="D81" i="8"/>
  <c r="D85" i="8"/>
  <c r="D89" i="8"/>
  <c r="D93" i="8"/>
  <c r="D97" i="8"/>
  <c r="D101" i="8"/>
  <c r="D105" i="8"/>
  <c r="D109" i="8"/>
  <c r="D113" i="8"/>
  <c r="D19" i="8" l="1"/>
  <c r="C10" i="8"/>
  <c r="C28" i="8"/>
  <c r="H28" i="8"/>
  <c r="I28" i="8"/>
  <c r="F28" i="8"/>
  <c r="E28" i="8"/>
  <c r="G28" i="8"/>
  <c r="D28" i="8"/>
  <c r="D29" i="8"/>
  <c r="E29" i="8"/>
  <c r="F29" i="8"/>
  <c r="G29" i="8"/>
  <c r="H29" i="8"/>
  <c r="I29" i="8"/>
  <c r="D33" i="8" l="1"/>
  <c r="D57" i="8"/>
  <c r="D45" i="8"/>
  <c r="C43" i="8"/>
  <c r="C31" i="8"/>
  <c r="C55" i="8"/>
  <c r="D52" i="8"/>
  <c r="C52" i="8"/>
  <c r="G52" i="8" s="1"/>
  <c r="E52" i="8"/>
  <c r="C38" i="8"/>
  <c r="C62" i="8"/>
  <c r="D62" i="8"/>
  <c r="E62" i="8" s="1"/>
  <c r="G62" i="8"/>
  <c r="H62" i="8"/>
  <c r="I38" i="8"/>
  <c r="D38" i="8"/>
  <c r="H38" i="8"/>
  <c r="E38" i="8"/>
  <c r="G38" i="8"/>
  <c r="F38" i="8"/>
  <c r="D39" i="8"/>
  <c r="E39" i="8"/>
  <c r="F39" i="8"/>
  <c r="I39" i="8"/>
  <c r="G39" i="8"/>
  <c r="H39" i="8"/>
</calcChain>
</file>

<file path=xl/sharedStrings.xml><?xml version="1.0" encoding="utf-8"?>
<sst xmlns="http://schemas.openxmlformats.org/spreadsheetml/2006/main" count="185" uniqueCount="110">
  <si>
    <t>}Processes</t>
  </si>
  <si>
    <t>zz_Date_Time_loading</t>
  </si>
  <si>
    <t>Period_YTD</t>
  </si>
  <si>
    <t>Phase</t>
  </si>
  <si>
    <t>Status</t>
  </si>
  <si>
    <t>DL_TANGO_FRANCE_OPE</t>
  </si>
  <si>
    <t>DL_TANGO_FRANCE_P&amp;L</t>
  </si>
  <si>
    <t>D</t>
  </si>
  <si>
    <t>N</t>
  </si>
  <si>
    <t>[Begin Format Range]</t>
  </si>
  <si>
    <t>[End Format Range]</t>
  </si>
  <si>
    <t>DL_ST_PL_YTD_ROLLOUT2</t>
  </si>
  <si>
    <t>ACT</t>
  </si>
  <si>
    <t>Country</t>
  </si>
  <si>
    <t>Tango upload Error Report</t>
  </si>
  <si>
    <t>Context</t>
  </si>
  <si>
    <t>Upload status</t>
  </si>
  <si>
    <t>Error report</t>
  </si>
  <si>
    <t>Start Date</t>
  </si>
  <si>
    <t>End Date</t>
  </si>
  <si>
    <t>Number of input records</t>
  </si>
  <si>
    <t>Number of reject records</t>
  </si>
  <si>
    <t>Number of load records</t>
  </si>
  <si>
    <t>Functional Message</t>
  </si>
  <si>
    <t>Administration Generic Context :</t>
  </si>
  <si>
    <t>Server Name :</t>
  </si>
  <si>
    <t>tango_core_model:</t>
  </si>
  <si>
    <t>xServer</t>
  </si>
  <si>
    <t>Host Server :</t>
  </si>
  <si>
    <t>Flag Send Data :</t>
  </si>
  <si>
    <t>Flag Send Comment :</t>
  </si>
  <si>
    <t>Excel Report Context :</t>
  </si>
  <si>
    <t>Cube n°1 :</t>
  </si>
  <si>
    <t>z_Contract_Pending_Approval</t>
  </si>
  <si>
    <t>Cube n°2 :</t>
  </si>
  <si>
    <t>z_Comments_Contract</t>
  </si>
  <si>
    <t>User :</t>
  </si>
  <si>
    <t>Organization :</t>
  </si>
  <si>
    <t>Local language :</t>
  </si>
  <si>
    <t>Language List :</t>
  </si>
  <si>
    <t>English</t>
  </si>
  <si>
    <t>French</t>
  </si>
  <si>
    <t>Dutch</t>
  </si>
  <si>
    <t>German</t>
  </si>
  <si>
    <t>Portugese</t>
  </si>
  <si>
    <t>Start_date</t>
  </si>
  <si>
    <t>Record</t>
  </si>
  <si>
    <t>Source entity</t>
  </si>
  <si>
    <t>zz_Process_Source</t>
  </si>
  <si>
    <t>Instruction to resolve the issue</t>
  </si>
  <si>
    <t>MONTH_ACTUAL</t>
  </si>
  <si>
    <t>End_Date</t>
  </si>
  <si>
    <t>H</t>
  </si>
  <si>
    <t>MONTH_ACTUAL_YTD</t>
  </si>
  <si>
    <t>DL_RP_PL_ST_PL_YTD_by_SRC_YEAR</t>
  </si>
  <si>
    <t>YEAR_BUDGET_FORECAST</t>
  </si>
  <si>
    <t>Total YEAR_BUDGET_Forecast</t>
  </si>
  <si>
    <t>BUDG_VC</t>
  </si>
  <si>
    <t>FC_1_VC</t>
  </si>
  <si>
    <t>FC_2_VC</t>
  </si>
  <si>
    <t>[Reject Log Automation.xlsm]Process Reject CPP'!D17</t>
  </si>
  <si>
    <t>TANGO_FRANCE</t>
  </si>
  <si>
    <t>IR</t>
  </si>
  <si>
    <t>FR_SCENARIO</t>
  </si>
  <si>
    <t>FR_TRAXX</t>
  </si>
  <si>
    <t>GE_COG_EXP</t>
  </si>
  <si>
    <t>NL_EXACT</t>
  </si>
  <si>
    <t>NL_EXACT_DOS</t>
  </si>
  <si>
    <t>US_YORK</t>
  </si>
  <si>
    <t>NL_TM1</t>
  </si>
  <si>
    <t>US_JDE</t>
  </si>
  <si>
    <t>US_ORACLE</t>
  </si>
  <si>
    <t>VTD_VECTOR</t>
  </si>
  <si>
    <t>VTD_VECTORENHANCED</t>
  </si>
  <si>
    <t>AUS_NZ</t>
  </si>
  <si>
    <t>UK</t>
  </si>
  <si>
    <t>POR</t>
  </si>
  <si>
    <t>POR_Hold</t>
  </si>
  <si>
    <t>CAN</t>
  </si>
  <si>
    <t>MR</t>
  </si>
  <si>
    <t>FR</t>
  </si>
  <si>
    <t>GE</t>
  </si>
  <si>
    <t>NL</t>
  </si>
  <si>
    <t>US</t>
  </si>
  <si>
    <t>CORE_MODEL</t>
  </si>
  <si>
    <t>SW</t>
  </si>
  <si>
    <t>CHL</t>
  </si>
  <si>
    <t>ESP</t>
  </si>
  <si>
    <t>DE</t>
  </si>
  <si>
    <t>IE</t>
  </si>
  <si>
    <t>GB</t>
  </si>
  <si>
    <t>2023-SEP-17</t>
  </si>
  <si>
    <t>2023-SEP-16</t>
  </si>
  <si>
    <t>2023-SEP-15</t>
  </si>
  <si>
    <t>2023-SEP-14</t>
  </si>
  <si>
    <t>2023-SEP-13</t>
  </si>
  <si>
    <t>2023-SEP-12</t>
  </si>
  <si>
    <t>2023-SEP-11</t>
  </si>
  <si>
    <t>2023-SEP-10</t>
  </si>
  <si>
    <t>2023-SEP-9</t>
  </si>
  <si>
    <t>2023-SEP-8</t>
  </si>
  <si>
    <t>2023-SEP-7</t>
  </si>
  <si>
    <t>2023-SEP-6</t>
  </si>
  <si>
    <t>2023-SEP-5</t>
  </si>
  <si>
    <t>2023-SEP-4</t>
  </si>
  <si>
    <t>2023-SEP-3</t>
  </si>
  <si>
    <t>2023-SEP-2</t>
  </si>
  <si>
    <t>2023-SEP-1</t>
  </si>
  <si>
    <t>2023-AUG-31</t>
  </si>
  <si>
    <t>2023-SEP-18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</si>
</sst>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_);\(#,##0\)"/>
  </numFmts>
  <fonts count="1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name val="SWISS"/>
    </font>
    <font>
      <b/>
      <sz val="9"/>
      <color theme="3"/>
      <name val="Calibri"/>
      <family val="2"/>
      <scheme val="minor"/>
    </font>
    <font>
      <b/>
      <sz val="9"/>
      <color rgb="FF3391AA"/>
      <name val="Calibri"/>
      <family val="2"/>
      <scheme val="minor"/>
    </font>
    <font>
      <b/>
      <sz val="12"/>
      <color indexed="45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color rgb="FF7E408F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auto="1"/>
      </patternFill>
    </fill>
    <fill>
      <patternFill patternType="solid">
        <fgColor rgb="FF7030A0"/>
        <bgColor indexed="64"/>
      </patternFill>
    </fill>
    <fill>
      <patternFill patternType="solid">
        <fgColor indexed="43"/>
        <bgColor indexed="64"/>
      </patternFill>
    </fill>
  </fills>
  <borders count="10">
    <border>
      <left/>
      <right/>
      <top/>
      <bottom/>
      <diagonal/>
    </border>
    <border>
      <left/>
      <right/>
      <top style="dotted">
        <color theme="8" tint="-0.24994659260841701"/>
      </top>
      <bottom style="dotted">
        <color theme="8" tint="-0.2499465926084170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rgb="FF7E408F"/>
      </right>
      <top style="thin">
        <color rgb="FF7E408F"/>
      </top>
      <bottom style="thin">
        <color rgb="FF7E408F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 style="thin">
        <color rgb="FF7E408F"/>
      </right>
      <top style="thin">
        <color rgb="FF7E408F"/>
      </top>
      <bottom style="thin">
        <color rgb="FF7E408F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dotted">
        <color theme="8" tint="-0.24994659260841701"/>
      </bottom>
      <diagonal/>
    </border>
  </borders>
  <cellStyleXfs count="2">
    <xf numFmtId="0" fontId="0" fillId="0" borderId="0"/>
    <xf numFmtId="164" fontId="7" fillId="0" borderId="0"/>
  </cellStyleXfs>
  <cellXfs count="46">
    <xf numFmtId="0" fontId="0" fillId="0" borderId="0" xfId="0"/>
    <xf numFmtId="0" fontId="0" fillId="2" borderId="0" xfId="0" applyFill="1"/>
    <xf numFmtId="0" fontId="1" fillId="2" borderId="0" xfId="0" applyFont="1" applyFill="1"/>
    <xf numFmtId="49" fontId="0" fillId="2" borderId="0" xfId="0" applyNumberFormat="1" applyFill="1"/>
    <xf numFmtId="0" fontId="3" fillId="2" borderId="0" xfId="0" applyFont="1" applyFill="1"/>
    <xf numFmtId="0" fontId="2" fillId="3" borderId="0" xfId="0" applyFont="1" applyFill="1" applyAlignment="1">
      <alignment horizontal="center"/>
    </xf>
    <xf numFmtId="0" fontId="0" fillId="3" borderId="0" xfId="0" applyFill="1"/>
    <xf numFmtId="0" fontId="3" fillId="3" borderId="0" xfId="0" applyFont="1" applyFill="1"/>
    <xf numFmtId="0" fontId="3" fillId="2" borderId="1" xfId="0" applyFont="1" applyFill="1" applyBorder="1"/>
    <xf numFmtId="49" fontId="0" fillId="2" borderId="1" xfId="0" applyNumberFormat="1" applyFill="1" applyBorder="1"/>
    <xf numFmtId="0" fontId="5" fillId="2" borderId="0" xfId="0" applyFont="1" applyFill="1"/>
    <xf numFmtId="0" fontId="5" fillId="0" borderId="0" xfId="0" applyFont="1"/>
    <xf numFmtId="0" fontId="6" fillId="2" borderId="0" xfId="0" applyFont="1" applyFill="1"/>
    <xf numFmtId="0" fontId="8" fillId="0" borderId="0" xfId="0" applyFont="1" applyAlignment="1">
      <alignment horizontal="right"/>
    </xf>
    <xf numFmtId="0" fontId="9" fillId="4" borderId="0" xfId="1" applyNumberFormat="1" applyFont="1" applyFill="1" applyAlignment="1">
      <alignment horizontal="center" vertical="center"/>
    </xf>
    <xf numFmtId="0" fontId="9" fillId="0" borderId="0" xfId="1" applyNumberFormat="1" applyFont="1" applyAlignment="1">
      <alignment horizontal="center" vertical="center"/>
    </xf>
    <xf numFmtId="0" fontId="2" fillId="3" borderId="0" xfId="0" applyFont="1" applyFill="1" applyAlignment="1">
      <alignment horizontal="left"/>
    </xf>
    <xf numFmtId="0" fontId="10" fillId="5" borderId="2" xfId="0" applyFont="1" applyFill="1" applyBorder="1" applyAlignment="1" applyProtection="1">
      <alignment horizontal="left"/>
      <protection locked="0"/>
    </xf>
    <xf numFmtId="0" fontId="11" fillId="0" borderId="0" xfId="0" applyFont="1" applyProtection="1">
      <protection locked="0"/>
    </xf>
    <xf numFmtId="0" fontId="12" fillId="5" borderId="3" xfId="0" applyFont="1" applyFill="1" applyBorder="1" applyProtection="1">
      <protection locked="0"/>
    </xf>
    <xf numFmtId="0" fontId="13" fillId="6" borderId="4" xfId="0" applyFont="1" applyFill="1" applyBorder="1" applyProtection="1">
      <protection locked="0"/>
    </xf>
    <xf numFmtId="0" fontId="13" fillId="0" borderId="4" xfId="0" applyFont="1" applyBorder="1" applyProtection="1">
      <protection locked="0"/>
    </xf>
    <xf numFmtId="0" fontId="0" fillId="0" borderId="0" xfId="0" applyProtection="1">
      <protection locked="0"/>
    </xf>
    <xf numFmtId="0" fontId="13" fillId="0" borderId="6" xfId="0" applyFont="1" applyBorder="1" applyProtection="1">
      <protection locked="0"/>
    </xf>
    <xf numFmtId="0" fontId="1" fillId="0" borderId="0" xfId="0" applyFont="1"/>
    <xf numFmtId="49" fontId="9" fillId="4" borderId="0" xfId="1" applyNumberFormat="1" applyFont="1" applyFill="1" applyAlignment="1">
      <alignment horizontal="center" vertical="center"/>
    </xf>
    <xf numFmtId="49" fontId="0" fillId="0" borderId="0" xfId="0" applyNumberFormat="1"/>
    <xf numFmtId="0" fontId="14" fillId="3" borderId="0" xfId="0" applyFont="1" applyFill="1"/>
    <xf numFmtId="0" fontId="12" fillId="5" borderId="0" xfId="0" applyFont="1" applyFill="1" applyProtection="1">
      <protection locked="0"/>
    </xf>
    <xf numFmtId="0" fontId="0" fillId="2" borderId="1" xfId="0" applyFill="1" applyBorder="1"/>
    <xf numFmtId="0" fontId="15" fillId="0" borderId="0" xfId="0" applyFont="1"/>
    <xf numFmtId="49" fontId="15" fillId="0" borderId="0" xfId="0" applyNumberFormat="1" applyFont="1"/>
    <xf numFmtId="49" fontId="0" fillId="2" borderId="9" xfId="0" applyNumberFormat="1" applyFill="1" applyBorder="1"/>
    <xf numFmtId="0" fontId="0" fillId="2" borderId="9" xfId="0" applyFill="1" applyBorder="1"/>
    <xf numFmtId="0" fontId="3" fillId="2" borderId="9" xfId="0" applyFont="1" applyFill="1" applyBorder="1"/>
    <xf numFmtId="0" fontId="16" fillId="0" borderId="0" xfId="0" applyFont="1"/>
    <xf numFmtId="0" fontId="14" fillId="0" borderId="0" xfId="0" applyFont="1" applyAlignment="1">
      <alignment horizontal="left"/>
    </xf>
    <xf numFmtId="0" fontId="14" fillId="0" borderId="0" xfId="0" applyFont="1"/>
    <xf numFmtId="0" fontId="14" fillId="0" borderId="0" xfId="0" applyFont="1" applyAlignment="1">
      <alignment horizontal="center"/>
    </xf>
    <xf numFmtId="0" fontId="12" fillId="5" borderId="5" xfId="0" applyFont="1" applyFill="1" applyBorder="1" applyAlignment="1" applyProtection="1">
      <alignment horizontal="left" vertical="center"/>
      <protection locked="0"/>
    </xf>
    <xf numFmtId="0" fontId="12" fillId="5" borderId="7" xfId="0" applyFont="1" applyFill="1" applyBorder="1" applyAlignment="1" applyProtection="1">
      <alignment horizontal="left" vertical="center"/>
      <protection locked="0"/>
    </xf>
    <xf numFmtId="0" fontId="12" fillId="5" borderId="8" xfId="0" applyFont="1" applyFill="1" applyBorder="1" applyAlignment="1" applyProtection="1">
      <alignment horizontal="left" vertical="center"/>
      <protection locked="0"/>
    </xf>
    <xf numFmtId="0" fontId="4" fillId="3" borderId="0" xfId="0" applyFont="1" applyFill="1" applyAlignment="1">
      <alignment horizontal="center" vertical="center"/>
    </xf>
    <xf numFmtId="0" fontId="0" fillId="0" borderId="0" xfId="0" quotePrefix="1"/>
    <xf numFmtId="49" fontId="0" fillId="2" borderId="1" xfId="0" applyNumberFormat="1" applyFill="1" applyBorder="1" applyAlignment="1"/>
    <xf numFmtId="49" fontId="15" fillId="0" borderId="0" xfId="0" applyNumberFormat="1" applyFont="1" applyAlignment="1"/>
  </cellXfs>
  <cellStyles count="2">
    <cellStyle name="Normal" xfId="0" builtinId="0"/>
    <cellStyle name="Normal_EBIT_EBITDA  groupe Actual 2003.12" xfId="1" xr:uid="{00000000-0005-0000-0000-000001000000}"/>
  </cellStyles>
  <dxfs count="30"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17</xdr:row>
      <xdr:rowOff>57150</xdr:rowOff>
    </xdr:from>
    <xdr:to>
      <xdr:col>4</xdr:col>
      <xdr:colOff>1381125</xdr:colOff>
      <xdr:row>20</xdr:row>
      <xdr:rowOff>152400</xdr:rowOff>
    </xdr:to>
    <xdr:sp macro="[0]!Chevron1_Cliquer" textlink="">
      <xdr:nvSpPr>
        <xdr:cNvPr id="2" name="Chevro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562350" y="1019175"/>
          <a:ext cx="1200150" cy="438150"/>
        </a:xfrm>
        <a:prstGeom prst="chevron">
          <a:avLst/>
        </a:prstGeom>
        <a:noFill/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chemeClr val="accent5">
                  <a:lumMod val="75000"/>
                </a:schemeClr>
              </a:solidFill>
            </a:rPr>
            <a:t>Refresh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E25"/>
  <sheetViews>
    <sheetView workbookViewId="0">
      <selection activeCell="F6" sqref="F6"/>
    </sheetView>
  </sheetViews>
  <sheetFormatPr baseColWidth="10" defaultRowHeight="14.5"/>
  <cols>
    <col min="1" max="1" width="37.453125" bestFit="1" customWidth="1"/>
    <col min="2" max="2" width="28.7265625" bestFit="1" customWidth="1"/>
  </cols>
  <sheetData>
    <row r="1" spans="1:5">
      <c r="D1" t="s">
        <v>3</v>
      </c>
    </row>
    <row r="2" spans="1:5">
      <c r="D2" t="s">
        <v>12</v>
      </c>
    </row>
    <row r="3" spans="1:5" ht="15.5">
      <c r="A3" s="17" t="s">
        <v>24</v>
      </c>
      <c r="B3" s="18"/>
      <c r="D3" t="s">
        <v>57</v>
      </c>
    </row>
    <row r="4" spans="1:5">
      <c r="A4" s="19" t="s">
        <v>25</v>
      </c>
      <c r="B4" s="20" t="s">
        <v>26</v>
      </c>
      <c r="D4" t="s">
        <v>58</v>
      </c>
    </row>
    <row r="5" spans="1:5">
      <c r="A5" s="19" t="s">
        <v>27</v>
      </c>
      <c r="B5" s="21" t="str">
        <f>LEFT(Server,LEN(Server)-1)</f>
        <v>tango_core_model</v>
      </c>
      <c r="D5" t="s">
        <v>59</v>
      </c>
    </row>
    <row r="6" spans="1:5">
      <c r="A6" s="19" t="s">
        <v>28</v>
      </c>
      <c r="B6" s="21" t="str">
        <f>_xll.DBRW("tango_core_model:Z_Admin_Param","SERVER_NAME","STR_VAR1")</f>
        <v>91.236.254.119</v>
      </c>
    </row>
    <row r="7" spans="1:5">
      <c r="A7" s="19" t="s">
        <v>29</v>
      </c>
      <c r="B7" s="21">
        <v>0</v>
      </c>
    </row>
    <row r="8" spans="1:5">
      <c r="A8" s="19" t="s">
        <v>30</v>
      </c>
      <c r="B8" s="21">
        <v>0</v>
      </c>
    </row>
    <row r="9" spans="1:5">
      <c r="A9" s="22"/>
      <c r="B9" s="22"/>
    </row>
    <row r="10" spans="1:5" ht="15.5">
      <c r="A10" s="17" t="s">
        <v>31</v>
      </c>
      <c r="B10" s="22"/>
    </row>
    <row r="11" spans="1:5">
      <c r="A11" s="19" t="s">
        <v>32</v>
      </c>
      <c r="B11" s="21" t="s">
        <v>33</v>
      </c>
    </row>
    <row r="12" spans="1:5">
      <c r="A12" s="19" t="s">
        <v>34</v>
      </c>
      <c r="B12" s="21" t="s">
        <v>35</v>
      </c>
    </row>
    <row r="13" spans="1:5">
      <c r="A13" s="19" t="s">
        <v>36</v>
      </c>
      <c r="B13" s="21" t="str">
        <f>_xll.TM1USER(xServer)</f>
        <v>erwan.tang</v>
      </c>
      <c r="E13" s="22"/>
    </row>
    <row r="14" spans="1:5">
      <c r="A14" s="19" t="s">
        <v>37</v>
      </c>
      <c r="B14" s="21" t="str">
        <f>_xll.DBRW(Server&amp;"z_Client_Properties","Default_Legal_Organization",xTM1User)</f>
        <v>VTD_corp</v>
      </c>
    </row>
    <row r="15" spans="1:5">
      <c r="A15" s="19" t="s">
        <v>38</v>
      </c>
      <c r="B15" s="21" t="str">
        <f>_xll.DBR(Server&amp;"z_Client_Properties","Language",xTM1User)</f>
        <v>French</v>
      </c>
    </row>
    <row r="16" spans="1:5">
      <c r="A16" s="39" t="s">
        <v>39</v>
      </c>
      <c r="B16" s="23" t="s">
        <v>40</v>
      </c>
    </row>
    <row r="17" spans="1:2">
      <c r="A17" s="40"/>
      <c r="B17" s="23" t="s">
        <v>41</v>
      </c>
    </row>
    <row r="18" spans="1:2">
      <c r="A18" s="40"/>
      <c r="B18" s="23" t="s">
        <v>42</v>
      </c>
    </row>
    <row r="19" spans="1:2">
      <c r="A19" s="40"/>
      <c r="B19" s="23" t="s">
        <v>43</v>
      </c>
    </row>
    <row r="20" spans="1:2">
      <c r="A20" s="41"/>
      <c r="B20" s="23" t="s">
        <v>44</v>
      </c>
    </row>
    <row r="21" spans="1:2">
      <c r="A21" s="19" t="s">
        <v>47</v>
      </c>
      <c r="B21" s="23" t="str">
        <f>_xll.DBRA(Server&amp;"Legal_Organization",_xll.DBR(Server&amp;"z_Client_Properties","Default_Legal_Organization",_xll.TM1USER(xServer)),"Source_Entity")</f>
        <v/>
      </c>
    </row>
    <row r="22" spans="1:2">
      <c r="A22" s="28" t="s">
        <v>50</v>
      </c>
      <c r="B22" s="23" t="str">
        <f>_xll.DBRW("tango_core_model:z_admin_param","MONTH_ACTUAL","STR_VAR1")</f>
        <v>2023.08</v>
      </c>
    </row>
    <row r="23" spans="1:2">
      <c r="A23" s="28" t="s">
        <v>53</v>
      </c>
      <c r="B23" s="23" t="str">
        <f>Month_Actual&amp;"_YTD"</f>
        <v>2023.08_YTD</v>
      </c>
    </row>
    <row r="24" spans="1:2">
      <c r="A24" s="28" t="s">
        <v>55</v>
      </c>
      <c r="B24" s="23" t="str">
        <f>_xll.DBRW("tango_core_model:z_admin_param","YEAR_BUDGET_FORECAST","STR_VAR1")</f>
        <v>2023</v>
      </c>
    </row>
    <row r="25" spans="1:2">
      <c r="A25" s="28" t="s">
        <v>56</v>
      </c>
      <c r="B25" s="23" t="str">
        <f>"Total_"&amp;Year_Budget_Forecast</f>
        <v>Total_2023</v>
      </c>
    </row>
  </sheetData>
  <mergeCells count="1">
    <mergeCell ref="A16:A2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9DD46-D40A-4389-A459-04713631B321}">
  <sheetPr codeName="Feuil2"/>
  <dimension ref="B1:B31"/>
  <sheetViews>
    <sheetView workbookViewId="0"/>
  </sheetViews>
  <sheetFormatPr baseColWidth="10" defaultRowHeight="14.5"/>
  <sheetData>
    <row r="1" spans="2:2">
      <c r="B1" s="43" t="s">
        <v>60</v>
      </c>
    </row>
    <row r="2" spans="2:2">
      <c r="B2" s="43" t="s">
        <v>61</v>
      </c>
    </row>
    <row r="3" spans="2:2">
      <c r="B3" s="43" t="s">
        <v>62</v>
      </c>
    </row>
    <row r="4" spans="2:2">
      <c r="B4" s="43" t="s">
        <v>63</v>
      </c>
    </row>
    <row r="5" spans="2:2">
      <c r="B5" s="43" t="s">
        <v>64</v>
      </c>
    </row>
    <row r="6" spans="2:2">
      <c r="B6" s="43" t="s">
        <v>65</v>
      </c>
    </row>
    <row r="7" spans="2:2">
      <c r="B7" s="43" t="s">
        <v>66</v>
      </c>
    </row>
    <row r="8" spans="2:2">
      <c r="B8" s="43" t="s">
        <v>67</v>
      </c>
    </row>
    <row r="9" spans="2:2">
      <c r="B9" s="43" t="s">
        <v>68</v>
      </c>
    </row>
    <row r="10" spans="2:2">
      <c r="B10" s="43" t="s">
        <v>69</v>
      </c>
    </row>
    <row r="11" spans="2:2">
      <c r="B11" s="43" t="s">
        <v>70</v>
      </c>
    </row>
    <row r="12" spans="2:2">
      <c r="B12" s="43" t="s">
        <v>71</v>
      </c>
    </row>
    <row r="13" spans="2:2">
      <c r="B13" s="43" t="s">
        <v>72</v>
      </c>
    </row>
    <row r="14" spans="2:2">
      <c r="B14" s="43" t="s">
        <v>73</v>
      </c>
    </row>
    <row r="15" spans="2:2">
      <c r="B15" s="43" t="s">
        <v>74</v>
      </c>
    </row>
    <row r="16" spans="2:2">
      <c r="B16" s="43" t="s">
        <v>75</v>
      </c>
    </row>
    <row r="17" spans="2:2">
      <c r="B17" s="43" t="s">
        <v>76</v>
      </c>
    </row>
    <row r="18" spans="2:2">
      <c r="B18" s="43" t="s">
        <v>77</v>
      </c>
    </row>
    <row r="19" spans="2:2">
      <c r="B19" s="43" t="s">
        <v>78</v>
      </c>
    </row>
    <row r="20" spans="2:2">
      <c r="B20" s="43" t="s">
        <v>79</v>
      </c>
    </row>
    <row r="21" spans="2:2">
      <c r="B21" s="43" t="s">
        <v>80</v>
      </c>
    </row>
    <row r="22" spans="2:2">
      <c r="B22" s="43" t="s">
        <v>81</v>
      </c>
    </row>
    <row r="23" spans="2:2">
      <c r="B23" s="43" t="s">
        <v>82</v>
      </c>
    </row>
    <row r="24" spans="2:2">
      <c r="B24" s="43" t="s">
        <v>83</v>
      </c>
    </row>
    <row r="25" spans="2:2">
      <c r="B25" s="43" t="s">
        <v>84</v>
      </c>
    </row>
    <row r="26" spans="2:2">
      <c r="B26" s="43" t="s">
        <v>85</v>
      </c>
    </row>
    <row r="27" spans="2:2">
      <c r="B27" s="43" t="s">
        <v>86</v>
      </c>
    </row>
    <row r="28" spans="2:2">
      <c r="B28" s="43" t="s">
        <v>87</v>
      </c>
    </row>
    <row r="29" spans="2:2">
      <c r="B29" s="43" t="s">
        <v>88</v>
      </c>
    </row>
    <row r="30" spans="2:2">
      <c r="B30" s="43" t="s">
        <v>89</v>
      </c>
    </row>
    <row r="31" spans="2:2">
      <c r="B31" s="43" t="s">
        <v>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LL116"/>
  <sheetViews>
    <sheetView showGridLines="0" tabSelected="1" topLeftCell="B13" workbookViewId="0"/>
  </sheetViews>
  <sheetFormatPr baseColWidth="10" defaultColWidth="11.453125" defaultRowHeight="14.5" outlineLevelRow="1"/>
  <cols>
    <col min="1" max="1" width="20.1796875" hidden="1" customWidth="1"/>
    <col min="2" max="2" width="3.54296875" customWidth="1"/>
    <col min="3" max="3" width="30.7265625" customWidth="1"/>
    <col min="4" max="4" width="18.7265625" customWidth="1"/>
    <col min="5" max="5" width="28.7265625" customWidth="1"/>
    <col min="6" max="6" width="37.453125" customWidth="1"/>
    <col min="7" max="7" width="80.54296875" customWidth="1"/>
    <col min="8" max="8" width="33.7265625" customWidth="1"/>
    <col min="9" max="9" width="20.1796875" customWidth="1"/>
  </cols>
  <sheetData>
    <row r="1" spans="1:10" hidden="1">
      <c r="A1" t="s">
        <v>9</v>
      </c>
    </row>
    <row r="2" spans="1:10" hidden="1">
      <c r="A2">
        <f>0</f>
        <v>0</v>
      </c>
      <c r="C2" s="6"/>
      <c r="D2" s="7"/>
      <c r="E2" s="7"/>
      <c r="F2" s="7"/>
      <c r="G2" s="7"/>
      <c r="H2" s="7"/>
      <c r="I2" s="7"/>
    </row>
    <row r="3" spans="1:10" hidden="1">
      <c r="A3">
        <f>1</f>
        <v>1</v>
      </c>
      <c r="C3" s="29"/>
      <c r="D3" s="29"/>
      <c r="E3" s="8"/>
      <c r="F3" s="8"/>
      <c r="G3" s="8"/>
      <c r="H3" s="8"/>
      <c r="I3" s="8"/>
    </row>
    <row r="4" spans="1:10" hidden="1">
      <c r="A4">
        <f>2</f>
        <v>2</v>
      </c>
      <c r="C4" s="29"/>
      <c r="D4" s="29"/>
      <c r="E4" s="8"/>
      <c r="F4" s="8"/>
      <c r="G4" s="8"/>
      <c r="H4" s="8"/>
      <c r="I4" s="8"/>
    </row>
    <row r="5" spans="1:10" hidden="1">
      <c r="A5">
        <f>3</f>
        <v>3</v>
      </c>
      <c r="C5" s="29"/>
      <c r="D5" s="29"/>
      <c r="E5" s="8"/>
      <c r="F5" s="8"/>
      <c r="G5" s="8"/>
      <c r="H5" s="8"/>
      <c r="I5" s="8"/>
    </row>
    <row r="6" spans="1:10" hidden="1">
      <c r="A6" t="s">
        <v>7</v>
      </c>
      <c r="B6" s="3"/>
      <c r="C6" s="9"/>
      <c r="D6" s="9"/>
      <c r="E6" s="9"/>
      <c r="F6" s="8"/>
      <c r="G6" s="8"/>
      <c r="H6" s="8"/>
      <c r="I6" s="8"/>
    </row>
    <row r="7" spans="1:10" hidden="1">
      <c r="A7" t="s">
        <v>8</v>
      </c>
      <c r="B7" s="3"/>
      <c r="C7" s="9"/>
      <c r="D7" s="9"/>
      <c r="E7" s="9"/>
      <c r="F7" s="8"/>
      <c r="G7" s="8"/>
      <c r="H7" s="8"/>
      <c r="I7" s="8"/>
    </row>
    <row r="8" spans="1:10" hidden="1">
      <c r="A8" s="30" t="s">
        <v>52</v>
      </c>
      <c r="B8" s="31"/>
      <c r="C8" s="31"/>
      <c r="D8" s="30"/>
      <c r="E8" s="30"/>
      <c r="F8" s="35"/>
      <c r="G8" s="35"/>
      <c r="H8" s="35"/>
      <c r="I8" s="35"/>
      <c r="J8" s="30"/>
    </row>
    <row r="9" spans="1:10" hidden="1">
      <c r="A9" t="s">
        <v>10</v>
      </c>
      <c r="C9" s="32"/>
      <c r="D9" s="33"/>
      <c r="E9" s="32"/>
      <c r="F9" s="34"/>
      <c r="G9" s="34"/>
      <c r="H9" s="34"/>
      <c r="I9" s="34"/>
    </row>
    <row r="10" spans="1:10" s="1" customFormat="1" hidden="1">
      <c r="C10" s="1" t="str">
        <f>_xll.TM1RPTVIEW("tango_core_model:zz_process_detail_cpp:1",1, _xll.TM1RPTTITLE("tango_core_model:}Processes",$D$12), _xll.TM1RPTTITLE("tango_core_model:zz_Date_Time_loading",$D$19), _xll.TM1RPTTITLE("tango_core_model:Period_YTD",$D$21), _xll.TM1RPTTITLE("tango_core_model:Phase",$D$23),TM1RPTFMTRNG,TM1RPTFMTIDCOL)</f>
        <v>tango_core_model:zz_process_detail_cpp:1</v>
      </c>
      <c r="E10" s="1" t="str">
        <f>"{TM1FILTERBYPATTERN( {TM1SUBSETALL( [}Chores] )}, """ &amp; "*_"&amp;D17&amp;"_*"&amp;""")}"</f>
        <v>{TM1FILTERBYPATTERN( {TM1SUBSETALL( [}Chores] )}, "*_TANGO_FRANCE_*")}</v>
      </c>
    </row>
    <row r="11" spans="1:10" s="1" customFormat="1" hidden="1"/>
    <row r="12" spans="1:10" s="1" customFormat="1" hidden="1">
      <c r="C12" s="2" t="s">
        <v>0</v>
      </c>
      <c r="D12" s="1" t="s">
        <v>11</v>
      </c>
      <c r="F12" s="1" t="s">
        <v>2</v>
      </c>
      <c r="G12" s="1" t="str">
        <f>IF(D23="ACT",Month_Actual_YTD,Total_Year_Budget_Forecast)</f>
        <v>2023.08_YTD</v>
      </c>
    </row>
    <row r="13" spans="1:10" s="1" customFormat="1" ht="15" customHeight="1">
      <c r="B13" s="42" t="s">
        <v>14</v>
      </c>
      <c r="C13" s="42"/>
      <c r="D13" s="42"/>
      <c r="E13" s="42"/>
      <c r="F13" s="42"/>
      <c r="G13" s="42"/>
      <c r="H13" s="42"/>
      <c r="I13" s="42"/>
    </row>
    <row r="14" spans="1:10" s="1" customFormat="1" ht="15" customHeight="1">
      <c r="B14" s="42"/>
      <c r="C14" s="42"/>
      <c r="D14" s="42"/>
      <c r="E14" s="42"/>
      <c r="F14" s="42"/>
      <c r="G14" s="42"/>
      <c r="H14" s="42"/>
      <c r="I14" s="42"/>
    </row>
    <row r="15" spans="1:10" s="1" customFormat="1" ht="15" customHeight="1">
      <c r="B15" s="42"/>
      <c r="C15" s="42"/>
      <c r="D15" s="42"/>
      <c r="E15" s="42"/>
      <c r="F15" s="42"/>
      <c r="G15" s="42"/>
      <c r="H15" s="42"/>
      <c r="I15" s="42"/>
    </row>
    <row r="16" spans="1:10" s="1" customFormat="1" ht="15.5">
      <c r="A16" s="10"/>
      <c r="B16" s="12">
        <v>1</v>
      </c>
      <c r="C16" s="12" t="s">
        <v>15</v>
      </c>
    </row>
    <row r="17" spans="1:999" s="1" customFormat="1">
      <c r="A17" s="10"/>
      <c r="B17" s="10"/>
      <c r="C17" s="13" t="s">
        <v>13</v>
      </c>
      <c r="D17" s="14" t="str">
        <f>_xll.SUBNM("tango_core_model:zz_process_source","L0","TANGO_FRANCE","MEMBER_NAME")</f>
        <v>TANGO_FRANCE</v>
      </c>
      <c r="F17"/>
    </row>
    <row r="18" spans="1:999" s="1" customFormat="1" ht="6" customHeight="1">
      <c r="A18" s="10"/>
      <c r="B18" s="10"/>
      <c r="C18" s="13"/>
      <c r="D18" s="15"/>
    </row>
    <row r="19" spans="1:999" s="1" customFormat="1">
      <c r="A19" s="10"/>
      <c r="B19" s="10"/>
      <c r="C19" s="13" t="s">
        <v>1</v>
      </c>
      <c r="D19" s="25" t="str">
        <f>C76</f>
        <v>2023-SEP-18</v>
      </c>
      <c r="F19"/>
    </row>
    <row r="20" spans="1:999" s="1" customFormat="1" ht="6" customHeight="1">
      <c r="A20" s="10"/>
      <c r="B20" s="10"/>
      <c r="C20" s="13"/>
      <c r="D20" s="15"/>
    </row>
    <row r="21" spans="1:999" s="1" customFormat="1">
      <c r="A21" s="10"/>
      <c r="B21" s="10"/>
      <c r="C21" s="13" t="s">
        <v>2</v>
      </c>
      <c r="D21" s="14" t="str">
        <f>_xll.SUBNM("tango_core_model:period_YTD","Default_Periods",Period_YTD)</f>
        <v>2023.08_YTD</v>
      </c>
    </row>
    <row r="22" spans="1:999" s="1" customFormat="1" ht="6" customHeight="1">
      <c r="A22" s="10"/>
      <c r="B22" s="10"/>
      <c r="C22" s="13"/>
      <c r="D22" s="15"/>
    </row>
    <row r="23" spans="1:999" s="1" customFormat="1">
      <c r="A23" s="10"/>
      <c r="B23" s="10"/>
      <c r="C23" s="13" t="s">
        <v>3</v>
      </c>
      <c r="D23" s="14" t="s">
        <v>12</v>
      </c>
    </row>
    <row r="24" spans="1:999" s="1" customFormat="1">
      <c r="A24" s="10"/>
      <c r="B24" s="10"/>
    </row>
    <row r="25" spans="1:999" s="1" customFormat="1">
      <c r="A25" s="10"/>
      <c r="B25" s="10"/>
    </row>
    <row r="26" spans="1:999" s="1" customFormat="1" ht="15.5">
      <c r="A26" s="10"/>
      <c r="B26" s="12">
        <v>2</v>
      </c>
      <c r="C26" s="12" t="s">
        <v>16</v>
      </c>
    </row>
    <row r="27" spans="1:999" s="1" customFormat="1">
      <c r="A27" s="10"/>
      <c r="B27" s="10"/>
      <c r="D27" s="16" t="s">
        <v>18</v>
      </c>
      <c r="E27" s="16" t="s">
        <v>19</v>
      </c>
      <c r="F27" s="16" t="s">
        <v>20</v>
      </c>
      <c r="G27" s="16" t="s">
        <v>21</v>
      </c>
      <c r="H27" s="16" t="s">
        <v>22</v>
      </c>
      <c r="I27" s="16" t="s">
        <v>4</v>
      </c>
    </row>
    <row r="28" spans="1:999">
      <c r="A28" t="str">
        <f>IF(_xll.TM1RPTELISCONSOLIDATED($C$28,$C28),IF(_xll.TM1RPTELLEV($C$28,$C28)&lt;=3,_xll.TM1RPTELLEV($C$28,$C28),"D"),"N")</f>
        <v>N</v>
      </c>
      <c r="B28" s="3"/>
      <c r="C28" s="44" t="str">
        <f>_xll.TM1RPTROW($C$10,"tango_core_model:}Chores","L0",,,,$E$10)</f>
        <v>DL_TANGO_FRANCE_OPE</v>
      </c>
      <c r="D28" s="9" t="str">
        <f>_xll.DBRW($C$10,$C28,$D$12,$D$19,$D$21,$D$23,D$27)</f>
        <v>2023-SEP-18 22:30:00</v>
      </c>
      <c r="E28" s="9" t="str">
        <f>_xll.DBRW($C$10,$C28,$D$12,$D$19,$D$21,$D$23,E$27)</f>
        <v>2023-SEP-18 22:30:00</v>
      </c>
      <c r="F28" s="8" t="str">
        <f>_xll.DBRW($C$10,$C28,$D$12,$D$19,$D$21,$D$23,F$27)</f>
        <v>3231</v>
      </c>
      <c r="G28" s="8" t="str">
        <f>_xll.DBRW($C$10,$C28,$D$12,$D$19,$D$21,$D$23,G$27)</f>
        <v>3231</v>
      </c>
      <c r="H28" s="8" t="str">
        <f>_xll.DBRW($C$10,$C28,$D$12,$D$19,$D$21,$D$23,H$27)</f>
        <v>0</v>
      </c>
      <c r="I28" s="8" t="str">
        <f>_xll.DBRW($C$10,$C28,$D$12,$D$19,$D$21,$D$23,I$27)</f>
        <v>KO</v>
      </c>
    </row>
    <row r="29" spans="1:999">
      <c r="A29" t="str">
        <f>IF(_xll.TM1RPTELISCONSOLIDATED($C$28,$C29),IF(_xll.TM1RPTELLEV($C$28,$C29)&lt;=3,_xll.TM1RPTELLEV($C$28,$C29),"D"),"N")</f>
        <v>N</v>
      </c>
      <c r="B29" s="3"/>
      <c r="C29" s="44" t="s">
        <v>6</v>
      </c>
      <c r="D29" s="9" t="str">
        <f>_xll.DBRW($C$10,$C29,$D$12,$D$19,$D$21,$D$23,D$27)</f>
        <v>2023-SEP-18 22:35:00</v>
      </c>
      <c r="E29" s="9" t="str">
        <f>_xll.DBRW($C$10,$C29,$D$12,$D$19,$D$21,$D$23,E$27)</f>
        <v>2023-SEP-18 22:35:02</v>
      </c>
      <c r="F29" s="8" t="str">
        <f>_xll.DBRW($C$10,$C29,$D$12,$D$19,$D$21,$D$23,F$27)</f>
        <v>30519</v>
      </c>
      <c r="G29" s="8" t="str">
        <f>_xll.DBRW($C$10,$C29,$D$12,$D$19,$D$21,$D$23,G$27)</f>
        <v>30519</v>
      </c>
      <c r="H29" s="8" t="str">
        <f>_xll.DBRW($C$10,$C29,$D$12,$D$19,$D$21,$D$23,H$27)</f>
        <v>0</v>
      </c>
      <c r="I29" s="8" t="str">
        <f>_xll.DBRW($C$10,$C29,$D$12,$D$19,$D$21,$D$23,I$27)</f>
        <v>KO</v>
      </c>
    </row>
    <row r="30" spans="1:999" hidden="1">
      <c r="A30" s="11"/>
      <c r="B30" s="11"/>
      <c r="C30" s="3"/>
      <c r="D30" s="4"/>
      <c r="E30" s="4"/>
      <c r="F30" s="4"/>
      <c r="G30" s="4"/>
      <c r="H30" s="4"/>
      <c r="I30" s="4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  <c r="VA30" s="1"/>
      <c r="VB30" s="1"/>
      <c r="VC30" s="1"/>
      <c r="VD30" s="1"/>
      <c r="VE30" s="1"/>
      <c r="VF30" s="1"/>
      <c r="VG30" s="1"/>
      <c r="VH30" s="1"/>
      <c r="VI30" s="1"/>
      <c r="VJ30" s="1"/>
      <c r="VK30" s="1"/>
      <c r="VL30" s="1"/>
      <c r="VM30" s="1"/>
      <c r="VN30" s="1"/>
      <c r="VO30" s="1"/>
      <c r="VP30" s="1"/>
      <c r="VQ30" s="1"/>
      <c r="VR30" s="1"/>
      <c r="VS30" s="1"/>
      <c r="VT30" s="1"/>
      <c r="VU30" s="1"/>
      <c r="VV30" s="1"/>
      <c r="VW30" s="1"/>
      <c r="VX30" s="1"/>
      <c r="VY30" s="1"/>
      <c r="VZ30" s="1"/>
      <c r="WA30" s="1"/>
      <c r="WB30" s="1"/>
      <c r="WC30" s="1"/>
      <c r="WD30" s="1"/>
      <c r="WE30" s="1"/>
      <c r="WF30" s="1"/>
      <c r="WG30" s="1"/>
      <c r="WH30" s="1"/>
      <c r="WI30" s="1"/>
      <c r="WJ30" s="1"/>
      <c r="WK30" s="1"/>
      <c r="WL30" s="1"/>
      <c r="WM30" s="1"/>
      <c r="WN30" s="1"/>
      <c r="WO30" s="1"/>
      <c r="WP30" s="1"/>
      <c r="WQ30" s="1"/>
      <c r="WR30" s="1"/>
      <c r="WS30" s="1"/>
      <c r="WT30" s="1"/>
      <c r="WU30" s="1"/>
      <c r="WV30" s="1"/>
      <c r="WW30" s="1"/>
      <c r="WX30" s="1"/>
      <c r="WY30" s="1"/>
      <c r="WZ30" s="1"/>
      <c r="XA30" s="1"/>
      <c r="XB30" s="1"/>
      <c r="XC30" s="1"/>
      <c r="XD30" s="1"/>
      <c r="XE30" s="1"/>
      <c r="XF30" s="1"/>
      <c r="XG30" s="1"/>
      <c r="XH30" s="1"/>
      <c r="XI30" s="1"/>
      <c r="XJ30" s="1"/>
      <c r="XK30" s="1"/>
      <c r="XL30" s="1"/>
      <c r="XM30" s="1"/>
      <c r="XN30" s="1"/>
      <c r="XO30" s="1"/>
      <c r="XP30" s="1"/>
      <c r="XQ30" s="1"/>
      <c r="XR30" s="1"/>
      <c r="XS30" s="1"/>
      <c r="XT30" s="1"/>
      <c r="XU30" s="1"/>
      <c r="XV30" s="1"/>
      <c r="XW30" s="1"/>
      <c r="XX30" s="1"/>
      <c r="XY30" s="1"/>
      <c r="XZ30" s="1"/>
      <c r="YA30" s="1"/>
      <c r="YB30" s="1"/>
      <c r="YC30" s="1"/>
      <c r="YD30" s="1"/>
      <c r="YE30" s="1"/>
      <c r="YF30" s="1"/>
      <c r="YG30" s="1"/>
      <c r="YH30" s="1"/>
      <c r="YI30" s="1"/>
      <c r="YJ30" s="1"/>
      <c r="YK30" s="1"/>
      <c r="YL30" s="1"/>
      <c r="YM30" s="1"/>
      <c r="YN30" s="1"/>
      <c r="YO30" s="1"/>
      <c r="YP30" s="1"/>
      <c r="YQ30" s="1"/>
      <c r="YR30" s="1"/>
      <c r="YS30" s="1"/>
      <c r="YT30" s="1"/>
      <c r="YU30" s="1"/>
      <c r="YV30" s="1"/>
      <c r="YW30" s="1"/>
      <c r="YX30" s="1"/>
      <c r="YY30" s="1"/>
      <c r="YZ30" s="1"/>
      <c r="ZA30" s="1"/>
      <c r="ZB30" s="1"/>
      <c r="ZC30" s="1"/>
      <c r="ZD30" s="1"/>
      <c r="ZE30" s="1"/>
      <c r="ZF30" s="1"/>
      <c r="ZG30" s="1"/>
      <c r="ZH30" s="1"/>
      <c r="ZI30" s="1"/>
      <c r="ZJ30" s="1"/>
      <c r="ZK30" s="1"/>
      <c r="ZL30" s="1"/>
      <c r="ZM30" s="1"/>
      <c r="ZN30" s="1"/>
      <c r="ZO30" s="1"/>
      <c r="ZP30" s="1"/>
      <c r="ZQ30" s="1"/>
      <c r="ZR30" s="1"/>
      <c r="ZS30" s="1"/>
      <c r="ZT30" s="1"/>
      <c r="ZU30" s="1"/>
      <c r="ZV30" s="1"/>
      <c r="ZW30" s="1"/>
      <c r="ZX30" s="1"/>
      <c r="ZY30" s="1"/>
      <c r="ZZ30" s="1"/>
      <c r="AAA30" s="1"/>
      <c r="AAB30" s="1"/>
      <c r="AAC30" s="1"/>
      <c r="AAD30" s="1"/>
      <c r="AAE30" s="1"/>
      <c r="AAF30" s="1"/>
      <c r="AAG30" s="1"/>
      <c r="AAH30" s="1"/>
      <c r="AAI30" s="1"/>
      <c r="AAJ30" s="1"/>
      <c r="AAK30" s="1"/>
      <c r="AAL30" s="1"/>
      <c r="AAM30" s="1"/>
      <c r="AAN30" s="1"/>
      <c r="AAO30" s="1"/>
      <c r="AAP30" s="1"/>
      <c r="AAQ30" s="1"/>
      <c r="AAR30" s="1"/>
      <c r="AAS30" s="1"/>
      <c r="AAT30" s="1"/>
      <c r="AAU30" s="1"/>
      <c r="AAV30" s="1"/>
      <c r="AAW30" s="1"/>
      <c r="AAX30" s="1"/>
      <c r="AAY30" s="1"/>
      <c r="AAZ30" s="1"/>
      <c r="ABA30" s="1"/>
      <c r="ABB30" s="1"/>
      <c r="ABC30" s="1"/>
      <c r="ABD30" s="1"/>
      <c r="ABE30" s="1"/>
      <c r="ABF30" s="1"/>
      <c r="ABG30" s="1"/>
      <c r="ABH30" s="1"/>
      <c r="ABI30" s="1"/>
      <c r="ABJ30" s="1"/>
      <c r="ABK30" s="1"/>
      <c r="ABL30" s="1"/>
      <c r="ABM30" s="1"/>
      <c r="ABN30" s="1"/>
      <c r="ABO30" s="1"/>
      <c r="ABP30" s="1"/>
      <c r="ABQ30" s="1"/>
      <c r="ABR30" s="1"/>
      <c r="ABS30" s="1"/>
      <c r="ABT30" s="1"/>
      <c r="ABU30" s="1"/>
      <c r="ABV30" s="1"/>
      <c r="ABW30" s="1"/>
      <c r="ABX30" s="1"/>
      <c r="ABY30" s="1"/>
      <c r="ABZ30" s="1"/>
      <c r="ACA30" s="1"/>
      <c r="ACB30" s="1"/>
      <c r="ACC30" s="1"/>
      <c r="ACD30" s="1"/>
      <c r="ACE30" s="1"/>
      <c r="ACF30" s="1"/>
      <c r="ACG30" s="1"/>
      <c r="ACH30" s="1"/>
      <c r="ACI30" s="1"/>
      <c r="ACJ30" s="1"/>
      <c r="ACK30" s="1"/>
      <c r="ACL30" s="1"/>
      <c r="ACM30" s="1"/>
      <c r="ACN30" s="1"/>
      <c r="ACO30" s="1"/>
      <c r="ACP30" s="1"/>
      <c r="ACQ30" s="1"/>
      <c r="ACR30" s="1"/>
      <c r="ACS30" s="1"/>
      <c r="ACT30" s="1"/>
      <c r="ACU30" s="1"/>
      <c r="ACV30" s="1"/>
      <c r="ACW30" s="1"/>
      <c r="ACX30" s="1"/>
      <c r="ACY30" s="1"/>
      <c r="ACZ30" s="1"/>
      <c r="ADA30" s="1"/>
      <c r="ADB30" s="1"/>
      <c r="ADC30" s="1"/>
      <c r="ADD30" s="1"/>
      <c r="ADE30" s="1"/>
      <c r="ADF30" s="1"/>
      <c r="ADG30" s="1"/>
      <c r="ADH30" s="1"/>
      <c r="ADI30" s="1"/>
      <c r="ADJ30" s="1"/>
      <c r="ADK30" s="1"/>
      <c r="ADL30" s="1"/>
      <c r="ADM30" s="1"/>
      <c r="ADN30" s="1"/>
      <c r="ADO30" s="1"/>
      <c r="ADP30" s="1"/>
      <c r="ADQ30" s="1"/>
      <c r="ADR30" s="1"/>
      <c r="ADS30" s="1"/>
      <c r="ADT30" s="1"/>
      <c r="ADU30" s="1"/>
      <c r="ADV30" s="1"/>
      <c r="ADW30" s="1"/>
      <c r="ADX30" s="1"/>
      <c r="ADY30" s="1"/>
      <c r="ADZ30" s="1"/>
      <c r="AEA30" s="1"/>
      <c r="AEB30" s="1"/>
      <c r="AEC30" s="1"/>
      <c r="AED30" s="1"/>
      <c r="AEE30" s="1"/>
      <c r="AEF30" s="1"/>
      <c r="AEG30" s="1"/>
      <c r="AEH30" s="1"/>
      <c r="AEI30" s="1"/>
      <c r="AEJ30" s="1"/>
      <c r="AEK30" s="1"/>
      <c r="AEL30" s="1"/>
      <c r="AEM30" s="1"/>
      <c r="AEN30" s="1"/>
      <c r="AEO30" s="1"/>
      <c r="AEP30" s="1"/>
      <c r="AEQ30" s="1"/>
      <c r="AER30" s="1"/>
      <c r="AES30" s="1"/>
      <c r="AET30" s="1"/>
      <c r="AEU30" s="1"/>
      <c r="AEV30" s="1"/>
      <c r="AEW30" s="1"/>
      <c r="AEX30" s="1"/>
      <c r="AEY30" s="1"/>
      <c r="AEZ30" s="1"/>
      <c r="AFA30" s="1"/>
      <c r="AFB30" s="1"/>
      <c r="AFC30" s="1"/>
      <c r="AFD30" s="1"/>
      <c r="AFE30" s="1"/>
      <c r="AFF30" s="1"/>
      <c r="AFG30" s="1"/>
      <c r="AFH30" s="1"/>
      <c r="AFI30" s="1"/>
      <c r="AFJ30" s="1"/>
      <c r="AFK30" s="1"/>
      <c r="AFL30" s="1"/>
      <c r="AFM30" s="1"/>
      <c r="AFN30" s="1"/>
      <c r="AFO30" s="1"/>
      <c r="AFP30" s="1"/>
      <c r="AFQ30" s="1"/>
      <c r="AFR30" s="1"/>
      <c r="AFS30" s="1"/>
      <c r="AFT30" s="1"/>
      <c r="AFU30" s="1"/>
      <c r="AFV30" s="1"/>
      <c r="AFW30" s="1"/>
      <c r="AFX30" s="1"/>
      <c r="AFY30" s="1"/>
      <c r="AFZ30" s="1"/>
      <c r="AGA30" s="1"/>
      <c r="AGB30" s="1"/>
      <c r="AGC30" s="1"/>
      <c r="AGD30" s="1"/>
      <c r="AGE30" s="1"/>
      <c r="AGF30" s="1"/>
      <c r="AGG30" s="1"/>
      <c r="AGH30" s="1"/>
      <c r="AGI30" s="1"/>
      <c r="AGJ30" s="1"/>
      <c r="AGK30" s="1"/>
      <c r="AGL30" s="1"/>
      <c r="AGM30" s="1"/>
      <c r="AGN30" s="1"/>
      <c r="AGO30" s="1"/>
      <c r="AGP30" s="1"/>
      <c r="AGQ30" s="1"/>
      <c r="AGR30" s="1"/>
      <c r="AGS30" s="1"/>
      <c r="AGT30" s="1"/>
      <c r="AGU30" s="1"/>
      <c r="AGV30" s="1"/>
      <c r="AGW30" s="1"/>
      <c r="AGX30" s="1"/>
      <c r="AGY30" s="1"/>
      <c r="AGZ30" s="1"/>
      <c r="AHA30" s="1"/>
      <c r="AHB30" s="1"/>
      <c r="AHC30" s="1"/>
      <c r="AHD30" s="1"/>
      <c r="AHE30" s="1"/>
      <c r="AHF30" s="1"/>
      <c r="AHG30" s="1"/>
      <c r="AHH30" s="1"/>
      <c r="AHI30" s="1"/>
      <c r="AHJ30" s="1"/>
      <c r="AHK30" s="1"/>
      <c r="AHL30" s="1"/>
      <c r="AHM30" s="1"/>
      <c r="AHN30" s="1"/>
      <c r="AHO30" s="1"/>
      <c r="AHP30" s="1"/>
      <c r="AHQ30" s="1"/>
      <c r="AHR30" s="1"/>
      <c r="AHS30" s="1"/>
      <c r="AHT30" s="1"/>
      <c r="AHU30" s="1"/>
      <c r="AHV30" s="1"/>
      <c r="AHW30" s="1"/>
      <c r="AHX30" s="1"/>
      <c r="AHY30" s="1"/>
      <c r="AHZ30" s="1"/>
      <c r="AIA30" s="1"/>
      <c r="AIB30" s="1"/>
      <c r="AIC30" s="1"/>
      <c r="AID30" s="1"/>
      <c r="AIE30" s="1"/>
      <c r="AIF30" s="1"/>
      <c r="AIG30" s="1"/>
      <c r="AIH30" s="1"/>
      <c r="AII30" s="1"/>
      <c r="AIJ30" s="1"/>
      <c r="AIK30" s="1"/>
      <c r="AIL30" s="1"/>
      <c r="AIM30" s="1"/>
      <c r="AIN30" s="1"/>
      <c r="AIO30" s="1"/>
      <c r="AIP30" s="1"/>
      <c r="AIQ30" s="1"/>
      <c r="AIR30" s="1"/>
      <c r="AIS30" s="1"/>
      <c r="AIT30" s="1"/>
      <c r="AIU30" s="1"/>
      <c r="AIV30" s="1"/>
      <c r="AIW30" s="1"/>
      <c r="AIX30" s="1"/>
      <c r="AIY30" s="1"/>
      <c r="AIZ30" s="1"/>
      <c r="AJA30" s="1"/>
      <c r="AJB30" s="1"/>
      <c r="AJC30" s="1"/>
      <c r="AJD30" s="1"/>
      <c r="AJE30" s="1"/>
      <c r="AJF30" s="1"/>
      <c r="AJG30" s="1"/>
      <c r="AJH30" s="1"/>
      <c r="AJI30" s="1"/>
      <c r="AJJ30" s="1"/>
      <c r="AJK30" s="1"/>
      <c r="AJL30" s="1"/>
      <c r="AJM30" s="1"/>
      <c r="AJN30" s="1"/>
      <c r="AJO30" s="1"/>
      <c r="AJP30" s="1"/>
      <c r="AJQ30" s="1"/>
      <c r="AJR30" s="1"/>
      <c r="AJS30" s="1"/>
      <c r="AJT30" s="1"/>
      <c r="AJU30" s="1"/>
      <c r="AJV30" s="1"/>
      <c r="AJW30" s="1"/>
      <c r="AJX30" s="1"/>
      <c r="AJY30" s="1"/>
      <c r="AJZ30" s="1"/>
      <c r="AKA30" s="1"/>
      <c r="AKB30" s="1"/>
      <c r="AKC30" s="1"/>
      <c r="AKD30" s="1"/>
      <c r="AKE30" s="1"/>
      <c r="AKF30" s="1"/>
      <c r="AKG30" s="1"/>
      <c r="AKH30" s="1"/>
      <c r="AKI30" s="1"/>
      <c r="AKJ30" s="1"/>
      <c r="AKK30" s="1"/>
      <c r="AKL30" s="1"/>
      <c r="AKM30" s="1"/>
      <c r="AKN30" s="1"/>
      <c r="AKO30" s="1"/>
      <c r="AKP30" s="1"/>
      <c r="AKQ30" s="1"/>
      <c r="AKR30" s="1"/>
      <c r="AKS30" s="1"/>
      <c r="AKT30" s="1"/>
      <c r="AKU30" s="1"/>
      <c r="AKV30" s="1"/>
      <c r="AKW30" s="1"/>
      <c r="AKX30" s="1"/>
      <c r="AKY30" s="1"/>
      <c r="AKZ30" s="1"/>
      <c r="ALA30" s="1"/>
      <c r="ALB30" s="1"/>
      <c r="ALC30" s="1"/>
      <c r="ALD30" s="1"/>
      <c r="ALE30" s="1"/>
      <c r="ALF30" s="1"/>
      <c r="ALG30" s="1"/>
      <c r="ALH30" s="1"/>
      <c r="ALI30" s="1"/>
      <c r="ALJ30" s="1"/>
      <c r="ALK30" s="1"/>
    </row>
    <row r="31" spans="1:999" hidden="1">
      <c r="C31" t="str">
        <f>_xll.TM1RPTVIEW("tango_core_model:zz_Process_Detail_By_Source:ARPT2", 1, _xll.TM1RPTTITLE("tango_core_model:zz_Process_Source",$D$34), _xll.TM1RPTTITLE("tango_core_model:zz_Date_Time_loading",$D$33),TM1RPTFMTRNG,TM1RPTFMTIDCOL)</f>
        <v>tango_core_model:zz_Process_Detail_By_Source:ARPT2</v>
      </c>
    </row>
    <row r="32" spans="1:999" hidden="1"/>
    <row r="33" spans="1:1000" hidden="1">
      <c r="C33" s="24" t="s">
        <v>1</v>
      </c>
      <c r="D33" s="26" t="str">
        <f>D19</f>
        <v>2023-SEP-18</v>
      </c>
    </row>
    <row r="34" spans="1:1000" hidden="1">
      <c r="C34" s="24" t="s">
        <v>48</v>
      </c>
      <c r="D34" t="str">
        <f>D17</f>
        <v>TANGO_FRANCE</v>
      </c>
    </row>
    <row r="35" spans="1:1000" hidden="1"/>
    <row r="36" spans="1:1000" hidden="1"/>
    <row r="37" spans="1:1000" hidden="1">
      <c r="D37" s="16" t="s">
        <v>18</v>
      </c>
      <c r="E37" s="16" t="s">
        <v>51</v>
      </c>
      <c r="F37" s="16" t="s">
        <v>20</v>
      </c>
      <c r="G37" s="16" t="s">
        <v>21</v>
      </c>
      <c r="H37" s="16" t="s">
        <v>22</v>
      </c>
      <c r="I37" s="16" t="s">
        <v>4</v>
      </c>
    </row>
    <row r="38" spans="1:1000">
      <c r="A38" t="str">
        <f>IF(_xll.TM1RPTELISCONSOLIDATED($C$38,$C38),IF(_xll.TM1RPTELLEV($C$38,$C38)&lt;=3,_xll.TM1RPTELLEV($C$38,$C38),"D"),"N")</f>
        <v>N</v>
      </c>
      <c r="B38" s="3"/>
      <c r="C38" s="44" t="str">
        <f>_xll.TM1RPTROW($C$31,"tango_core_model:}Processes")</f>
        <v>DL_RP_PL_ST_PL_YTD_by_SRC</v>
      </c>
      <c r="D38" s="9" t="str">
        <f>_xll.DBRW($C$31,$D$34,$C38,$D$33,D$37)</f>
        <v>2023-SEP-18 22:35:02</v>
      </c>
      <c r="E38" s="9" t="str">
        <f>_xll.DBRW($C$31,$D$34,$C38,$D$33,E$37)</f>
        <v>2023-SEP-18 22:35:03</v>
      </c>
      <c r="F38" s="8" t="str">
        <f>_xll.DBRW($C$31,$D$34,$C38,$D$33,F$37)</f>
        <v>23512</v>
      </c>
      <c r="G38" s="8" t="str">
        <f>_xll.DBRW($C$31,$D$34,$C38,$D$33,G$37)</f>
        <v>0</v>
      </c>
      <c r="H38" s="8" t="str">
        <f>_xll.DBRW($C$31,$D$34,$C38,$D$33,H$37)</f>
        <v>23512</v>
      </c>
      <c r="I38" s="8" t="str">
        <f>_xll.DBRW($C$31,$D$34,$C38,$D$33,I$37)</f>
        <v>OK</v>
      </c>
    </row>
    <row r="39" spans="1:1000">
      <c r="A39" t="str">
        <f>IF(_xll.TM1RPTELISCONSOLIDATED($C$38,$C39),IF(_xll.TM1RPTELLEV($C$38,$C39)&lt;=3,_xll.TM1RPTELLEV($C$38,$C39),"D"),"N")</f>
        <v>N</v>
      </c>
      <c r="B39" s="3"/>
      <c r="C39" s="44" t="s">
        <v>54</v>
      </c>
      <c r="D39" s="9" t="str">
        <f>_xll.DBRW($C$31,$D$34,$C39,$D$33,D$37)</f>
        <v>2023-SEP-18 22:00:20</v>
      </c>
      <c r="E39" s="9" t="str">
        <f>_xll.DBRW($C$31,$D$34,$C39,$D$33,E$37)</f>
        <v>2023-SEP-18 22:00:34</v>
      </c>
      <c r="F39" s="8" t="str">
        <f>_xll.DBRW($C$31,$D$34,$C39,$D$33,F$37)</f>
        <v>267989</v>
      </c>
      <c r="G39" s="8" t="str">
        <f>_xll.DBRW($C$31,$D$34,$C39,$D$33,G$37)</f>
        <v>0</v>
      </c>
      <c r="H39" s="8" t="str">
        <f>_xll.DBRW($C$31,$D$34,$C39,$D$33,H$37)</f>
        <v>267989</v>
      </c>
      <c r="I39" s="8" t="str">
        <f>_xll.DBRW($C$31,$D$34,$C39,$D$33,I$37)</f>
        <v>OK</v>
      </c>
    </row>
    <row r="40" spans="1:1000">
      <c r="A40" s="11"/>
      <c r="B40" s="11"/>
      <c r="C40" s="3"/>
      <c r="D40" s="4"/>
      <c r="E40" s="4"/>
      <c r="F40" s="4"/>
      <c r="G40" s="4"/>
      <c r="H40" s="4"/>
      <c r="I40" s="4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  <c r="VA40" s="1"/>
      <c r="VB40" s="1"/>
      <c r="VC40" s="1"/>
      <c r="VD40" s="1"/>
      <c r="VE40" s="1"/>
      <c r="VF40" s="1"/>
      <c r="VG40" s="1"/>
      <c r="VH40" s="1"/>
      <c r="VI40" s="1"/>
      <c r="VJ40" s="1"/>
      <c r="VK40" s="1"/>
      <c r="VL40" s="1"/>
      <c r="VM40" s="1"/>
      <c r="VN40" s="1"/>
      <c r="VO40" s="1"/>
      <c r="VP40" s="1"/>
      <c r="VQ40" s="1"/>
      <c r="VR40" s="1"/>
      <c r="VS40" s="1"/>
      <c r="VT40" s="1"/>
      <c r="VU40" s="1"/>
      <c r="VV40" s="1"/>
      <c r="VW40" s="1"/>
      <c r="VX40" s="1"/>
      <c r="VY40" s="1"/>
      <c r="VZ40" s="1"/>
      <c r="WA40" s="1"/>
      <c r="WB40" s="1"/>
      <c r="WC40" s="1"/>
      <c r="WD40" s="1"/>
      <c r="WE40" s="1"/>
      <c r="WF40" s="1"/>
      <c r="WG40" s="1"/>
      <c r="WH40" s="1"/>
      <c r="WI40" s="1"/>
      <c r="WJ40" s="1"/>
      <c r="WK40" s="1"/>
      <c r="WL40" s="1"/>
      <c r="WM40" s="1"/>
      <c r="WN40" s="1"/>
      <c r="WO40" s="1"/>
      <c r="WP40" s="1"/>
      <c r="WQ40" s="1"/>
      <c r="WR40" s="1"/>
      <c r="WS40" s="1"/>
      <c r="WT40" s="1"/>
      <c r="WU40" s="1"/>
      <c r="WV40" s="1"/>
      <c r="WW40" s="1"/>
      <c r="WX40" s="1"/>
      <c r="WY40" s="1"/>
      <c r="WZ40" s="1"/>
      <c r="XA40" s="1"/>
      <c r="XB40" s="1"/>
      <c r="XC40" s="1"/>
      <c r="XD40" s="1"/>
      <c r="XE40" s="1"/>
      <c r="XF40" s="1"/>
      <c r="XG40" s="1"/>
      <c r="XH40" s="1"/>
      <c r="XI40" s="1"/>
      <c r="XJ40" s="1"/>
      <c r="XK40" s="1"/>
      <c r="XL40" s="1"/>
      <c r="XM40" s="1"/>
      <c r="XN40" s="1"/>
      <c r="XO40" s="1"/>
      <c r="XP40" s="1"/>
      <c r="XQ40" s="1"/>
      <c r="XR40" s="1"/>
      <c r="XS40" s="1"/>
      <c r="XT40" s="1"/>
      <c r="XU40" s="1"/>
      <c r="XV40" s="1"/>
      <c r="XW40" s="1"/>
      <c r="XX40" s="1"/>
      <c r="XY40" s="1"/>
      <c r="XZ40" s="1"/>
      <c r="YA40" s="1"/>
      <c r="YB40" s="1"/>
      <c r="YC40" s="1"/>
      <c r="YD40" s="1"/>
      <c r="YE40" s="1"/>
      <c r="YF40" s="1"/>
      <c r="YG40" s="1"/>
      <c r="YH40" s="1"/>
      <c r="YI40" s="1"/>
      <c r="YJ40" s="1"/>
      <c r="YK40" s="1"/>
      <c r="YL40" s="1"/>
      <c r="YM40" s="1"/>
      <c r="YN40" s="1"/>
      <c r="YO40" s="1"/>
      <c r="YP40" s="1"/>
      <c r="YQ40" s="1"/>
      <c r="YR40" s="1"/>
      <c r="YS40" s="1"/>
      <c r="YT40" s="1"/>
      <c r="YU40" s="1"/>
      <c r="YV40" s="1"/>
      <c r="YW40" s="1"/>
      <c r="YX40" s="1"/>
      <c r="YY40" s="1"/>
      <c r="YZ40" s="1"/>
      <c r="ZA40" s="1"/>
      <c r="ZB40" s="1"/>
      <c r="ZC40" s="1"/>
      <c r="ZD40" s="1"/>
      <c r="ZE40" s="1"/>
      <c r="ZF40" s="1"/>
      <c r="ZG40" s="1"/>
      <c r="ZH40" s="1"/>
      <c r="ZI40" s="1"/>
      <c r="ZJ40" s="1"/>
      <c r="ZK40" s="1"/>
      <c r="ZL40" s="1"/>
      <c r="ZM40" s="1"/>
      <c r="ZN40" s="1"/>
      <c r="ZO40" s="1"/>
      <c r="ZP40" s="1"/>
      <c r="ZQ40" s="1"/>
      <c r="ZR40" s="1"/>
      <c r="ZS40" s="1"/>
      <c r="ZT40" s="1"/>
      <c r="ZU40" s="1"/>
      <c r="ZV40" s="1"/>
      <c r="ZW40" s="1"/>
      <c r="ZX40" s="1"/>
      <c r="ZY40" s="1"/>
      <c r="ZZ40" s="1"/>
      <c r="AAA40" s="1"/>
      <c r="AAB40" s="1"/>
      <c r="AAC40" s="1"/>
      <c r="AAD40" s="1"/>
      <c r="AAE40" s="1"/>
      <c r="AAF40" s="1"/>
      <c r="AAG40" s="1"/>
      <c r="AAH40" s="1"/>
      <c r="AAI40" s="1"/>
      <c r="AAJ40" s="1"/>
      <c r="AAK40" s="1"/>
      <c r="AAL40" s="1"/>
      <c r="AAM40" s="1"/>
      <c r="AAN40" s="1"/>
      <c r="AAO40" s="1"/>
      <c r="AAP40" s="1"/>
      <c r="AAQ40" s="1"/>
      <c r="AAR40" s="1"/>
      <c r="AAS40" s="1"/>
      <c r="AAT40" s="1"/>
      <c r="AAU40" s="1"/>
      <c r="AAV40" s="1"/>
      <c r="AAW40" s="1"/>
      <c r="AAX40" s="1"/>
      <c r="AAY40" s="1"/>
      <c r="AAZ40" s="1"/>
      <c r="ABA40" s="1"/>
      <c r="ABB40" s="1"/>
      <c r="ABC40" s="1"/>
      <c r="ABD40" s="1"/>
      <c r="ABE40" s="1"/>
      <c r="ABF40" s="1"/>
      <c r="ABG40" s="1"/>
      <c r="ABH40" s="1"/>
      <c r="ABI40" s="1"/>
      <c r="ABJ40" s="1"/>
      <c r="ABK40" s="1"/>
      <c r="ABL40" s="1"/>
      <c r="ABM40" s="1"/>
      <c r="ABN40" s="1"/>
      <c r="ABO40" s="1"/>
      <c r="ABP40" s="1"/>
      <c r="ABQ40" s="1"/>
      <c r="ABR40" s="1"/>
      <c r="ABS40" s="1"/>
      <c r="ABT40" s="1"/>
      <c r="ABU40" s="1"/>
      <c r="ABV40" s="1"/>
      <c r="ABW40" s="1"/>
      <c r="ABX40" s="1"/>
      <c r="ABY40" s="1"/>
      <c r="ABZ40" s="1"/>
      <c r="ACA40" s="1"/>
      <c r="ACB40" s="1"/>
      <c r="ACC40" s="1"/>
      <c r="ACD40" s="1"/>
      <c r="ACE40" s="1"/>
      <c r="ACF40" s="1"/>
      <c r="ACG40" s="1"/>
      <c r="ACH40" s="1"/>
      <c r="ACI40" s="1"/>
      <c r="ACJ40" s="1"/>
      <c r="ACK40" s="1"/>
      <c r="ACL40" s="1"/>
      <c r="ACM40" s="1"/>
      <c r="ACN40" s="1"/>
      <c r="ACO40" s="1"/>
      <c r="ACP40" s="1"/>
      <c r="ACQ40" s="1"/>
      <c r="ACR40" s="1"/>
      <c r="ACS40" s="1"/>
      <c r="ACT40" s="1"/>
      <c r="ACU40" s="1"/>
      <c r="ACV40" s="1"/>
      <c r="ACW40" s="1"/>
      <c r="ACX40" s="1"/>
      <c r="ACY40" s="1"/>
      <c r="ACZ40" s="1"/>
      <c r="ADA40" s="1"/>
      <c r="ADB40" s="1"/>
      <c r="ADC40" s="1"/>
      <c r="ADD40" s="1"/>
      <c r="ADE40" s="1"/>
      <c r="ADF40" s="1"/>
      <c r="ADG40" s="1"/>
      <c r="ADH40" s="1"/>
      <c r="ADI40" s="1"/>
      <c r="ADJ40" s="1"/>
      <c r="ADK40" s="1"/>
      <c r="ADL40" s="1"/>
      <c r="ADM40" s="1"/>
      <c r="ADN40" s="1"/>
      <c r="ADO40" s="1"/>
      <c r="ADP40" s="1"/>
      <c r="ADQ40" s="1"/>
      <c r="ADR40" s="1"/>
      <c r="ADS40" s="1"/>
      <c r="ADT40" s="1"/>
      <c r="ADU40" s="1"/>
      <c r="ADV40" s="1"/>
      <c r="ADW40" s="1"/>
      <c r="ADX40" s="1"/>
      <c r="ADY40" s="1"/>
      <c r="ADZ40" s="1"/>
      <c r="AEA40" s="1"/>
      <c r="AEB40" s="1"/>
      <c r="AEC40" s="1"/>
      <c r="AED40" s="1"/>
      <c r="AEE40" s="1"/>
      <c r="AEF40" s="1"/>
      <c r="AEG40" s="1"/>
      <c r="AEH40" s="1"/>
      <c r="AEI40" s="1"/>
      <c r="AEJ40" s="1"/>
      <c r="AEK40" s="1"/>
      <c r="AEL40" s="1"/>
      <c r="AEM40" s="1"/>
      <c r="AEN40" s="1"/>
      <c r="AEO40" s="1"/>
      <c r="AEP40" s="1"/>
      <c r="AEQ40" s="1"/>
      <c r="AER40" s="1"/>
      <c r="AES40" s="1"/>
      <c r="AET40" s="1"/>
      <c r="AEU40" s="1"/>
      <c r="AEV40" s="1"/>
      <c r="AEW40" s="1"/>
      <c r="AEX40" s="1"/>
      <c r="AEY40" s="1"/>
      <c r="AEZ40" s="1"/>
      <c r="AFA40" s="1"/>
      <c r="AFB40" s="1"/>
      <c r="AFC40" s="1"/>
      <c r="AFD40" s="1"/>
      <c r="AFE40" s="1"/>
      <c r="AFF40" s="1"/>
      <c r="AFG40" s="1"/>
      <c r="AFH40" s="1"/>
      <c r="AFI40" s="1"/>
      <c r="AFJ40" s="1"/>
      <c r="AFK40" s="1"/>
      <c r="AFL40" s="1"/>
      <c r="AFM40" s="1"/>
      <c r="AFN40" s="1"/>
      <c r="AFO40" s="1"/>
      <c r="AFP40" s="1"/>
      <c r="AFQ40" s="1"/>
      <c r="AFR40" s="1"/>
      <c r="AFS40" s="1"/>
      <c r="AFT40" s="1"/>
      <c r="AFU40" s="1"/>
      <c r="AFV40" s="1"/>
      <c r="AFW40" s="1"/>
      <c r="AFX40" s="1"/>
      <c r="AFY40" s="1"/>
      <c r="AFZ40" s="1"/>
      <c r="AGA40" s="1"/>
      <c r="AGB40" s="1"/>
      <c r="AGC40" s="1"/>
      <c r="AGD40" s="1"/>
      <c r="AGE40" s="1"/>
      <c r="AGF40" s="1"/>
      <c r="AGG40" s="1"/>
      <c r="AGH40" s="1"/>
      <c r="AGI40" s="1"/>
      <c r="AGJ40" s="1"/>
      <c r="AGK40" s="1"/>
      <c r="AGL40" s="1"/>
      <c r="AGM40" s="1"/>
      <c r="AGN40" s="1"/>
      <c r="AGO40" s="1"/>
      <c r="AGP40" s="1"/>
      <c r="AGQ40" s="1"/>
      <c r="AGR40" s="1"/>
      <c r="AGS40" s="1"/>
      <c r="AGT40" s="1"/>
      <c r="AGU40" s="1"/>
      <c r="AGV40" s="1"/>
      <c r="AGW40" s="1"/>
      <c r="AGX40" s="1"/>
      <c r="AGY40" s="1"/>
      <c r="AGZ40" s="1"/>
      <c r="AHA40" s="1"/>
      <c r="AHB40" s="1"/>
      <c r="AHC40" s="1"/>
      <c r="AHD40" s="1"/>
      <c r="AHE40" s="1"/>
      <c r="AHF40" s="1"/>
      <c r="AHG40" s="1"/>
      <c r="AHH40" s="1"/>
      <c r="AHI40" s="1"/>
      <c r="AHJ40" s="1"/>
      <c r="AHK40" s="1"/>
      <c r="AHL40" s="1"/>
      <c r="AHM40" s="1"/>
      <c r="AHN40" s="1"/>
      <c r="AHO40" s="1"/>
      <c r="AHP40" s="1"/>
      <c r="AHQ40" s="1"/>
      <c r="AHR40" s="1"/>
      <c r="AHS40" s="1"/>
      <c r="AHT40" s="1"/>
      <c r="AHU40" s="1"/>
      <c r="AHV40" s="1"/>
      <c r="AHW40" s="1"/>
      <c r="AHX40" s="1"/>
      <c r="AHY40" s="1"/>
      <c r="AHZ40" s="1"/>
      <c r="AIA40" s="1"/>
      <c r="AIB40" s="1"/>
      <c r="AIC40" s="1"/>
      <c r="AID40" s="1"/>
      <c r="AIE40" s="1"/>
      <c r="AIF40" s="1"/>
      <c r="AIG40" s="1"/>
      <c r="AIH40" s="1"/>
      <c r="AII40" s="1"/>
      <c r="AIJ40" s="1"/>
      <c r="AIK40" s="1"/>
      <c r="AIL40" s="1"/>
      <c r="AIM40" s="1"/>
      <c r="AIN40" s="1"/>
      <c r="AIO40" s="1"/>
      <c r="AIP40" s="1"/>
      <c r="AIQ40" s="1"/>
      <c r="AIR40" s="1"/>
      <c r="AIS40" s="1"/>
      <c r="AIT40" s="1"/>
      <c r="AIU40" s="1"/>
      <c r="AIV40" s="1"/>
      <c r="AIW40" s="1"/>
      <c r="AIX40" s="1"/>
      <c r="AIY40" s="1"/>
      <c r="AIZ40" s="1"/>
      <c r="AJA40" s="1"/>
      <c r="AJB40" s="1"/>
      <c r="AJC40" s="1"/>
      <c r="AJD40" s="1"/>
      <c r="AJE40" s="1"/>
      <c r="AJF40" s="1"/>
      <c r="AJG40" s="1"/>
      <c r="AJH40" s="1"/>
      <c r="AJI40" s="1"/>
      <c r="AJJ40" s="1"/>
      <c r="AJK40" s="1"/>
      <c r="AJL40" s="1"/>
      <c r="AJM40" s="1"/>
      <c r="AJN40" s="1"/>
      <c r="AJO40" s="1"/>
      <c r="AJP40" s="1"/>
      <c r="AJQ40" s="1"/>
      <c r="AJR40" s="1"/>
      <c r="AJS40" s="1"/>
      <c r="AJT40" s="1"/>
      <c r="AJU40" s="1"/>
      <c r="AJV40" s="1"/>
      <c r="AJW40" s="1"/>
      <c r="AJX40" s="1"/>
      <c r="AJY40" s="1"/>
      <c r="AJZ40" s="1"/>
      <c r="AKA40" s="1"/>
      <c r="AKB40" s="1"/>
      <c r="AKC40" s="1"/>
      <c r="AKD40" s="1"/>
      <c r="AKE40" s="1"/>
      <c r="AKF40" s="1"/>
      <c r="AKG40" s="1"/>
      <c r="AKH40" s="1"/>
      <c r="AKI40" s="1"/>
      <c r="AKJ40" s="1"/>
      <c r="AKK40" s="1"/>
      <c r="AKL40" s="1"/>
      <c r="AKM40" s="1"/>
      <c r="AKN40" s="1"/>
      <c r="AKO40" s="1"/>
      <c r="AKP40" s="1"/>
      <c r="AKQ40" s="1"/>
      <c r="AKR40" s="1"/>
      <c r="AKS40" s="1"/>
      <c r="AKT40" s="1"/>
      <c r="AKU40" s="1"/>
      <c r="AKV40" s="1"/>
      <c r="AKW40" s="1"/>
      <c r="AKX40" s="1"/>
      <c r="AKY40" s="1"/>
      <c r="AKZ40" s="1"/>
      <c r="ALA40" s="1"/>
      <c r="ALB40" s="1"/>
      <c r="ALC40" s="1"/>
      <c r="ALD40" s="1"/>
      <c r="ALE40" s="1"/>
      <c r="ALF40" s="1"/>
      <c r="ALG40" s="1"/>
      <c r="ALH40" s="1"/>
      <c r="ALI40" s="1"/>
      <c r="ALJ40" s="1"/>
      <c r="ALK40" s="1"/>
    </row>
    <row r="41" spans="1:1000">
      <c r="A41" s="11"/>
      <c r="B41" s="11"/>
      <c r="C41" s="3"/>
      <c r="D41" s="4"/>
      <c r="E41" s="4"/>
      <c r="F41" s="4"/>
      <c r="G41" s="4"/>
      <c r="H41" s="4"/>
      <c r="I41" s="4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  <c r="VA41" s="1"/>
      <c r="VB41" s="1"/>
      <c r="VC41" s="1"/>
      <c r="VD41" s="1"/>
      <c r="VE41" s="1"/>
      <c r="VF41" s="1"/>
      <c r="VG41" s="1"/>
      <c r="VH41" s="1"/>
      <c r="VI41" s="1"/>
      <c r="VJ41" s="1"/>
      <c r="VK41" s="1"/>
      <c r="VL41" s="1"/>
      <c r="VM41" s="1"/>
      <c r="VN41" s="1"/>
      <c r="VO41" s="1"/>
      <c r="VP41" s="1"/>
      <c r="VQ41" s="1"/>
      <c r="VR41" s="1"/>
      <c r="VS41" s="1"/>
      <c r="VT41" s="1"/>
      <c r="VU41" s="1"/>
      <c r="VV41" s="1"/>
      <c r="VW41" s="1"/>
      <c r="VX41" s="1"/>
      <c r="VY41" s="1"/>
      <c r="VZ41" s="1"/>
      <c r="WA41" s="1"/>
      <c r="WB41" s="1"/>
      <c r="WC41" s="1"/>
      <c r="WD41" s="1"/>
      <c r="WE41" s="1"/>
      <c r="WF41" s="1"/>
      <c r="WG41" s="1"/>
      <c r="WH41" s="1"/>
      <c r="WI41" s="1"/>
      <c r="WJ41" s="1"/>
      <c r="WK41" s="1"/>
      <c r="WL41" s="1"/>
      <c r="WM41" s="1"/>
      <c r="WN41" s="1"/>
      <c r="WO41" s="1"/>
      <c r="WP41" s="1"/>
      <c r="WQ41" s="1"/>
      <c r="WR41" s="1"/>
      <c r="WS41" s="1"/>
      <c r="WT41" s="1"/>
      <c r="WU41" s="1"/>
      <c r="WV41" s="1"/>
      <c r="WW41" s="1"/>
      <c r="WX41" s="1"/>
      <c r="WY41" s="1"/>
      <c r="WZ41" s="1"/>
      <c r="XA41" s="1"/>
      <c r="XB41" s="1"/>
      <c r="XC41" s="1"/>
      <c r="XD41" s="1"/>
      <c r="XE41" s="1"/>
      <c r="XF41" s="1"/>
      <c r="XG41" s="1"/>
      <c r="XH41" s="1"/>
      <c r="XI41" s="1"/>
      <c r="XJ41" s="1"/>
      <c r="XK41" s="1"/>
      <c r="XL41" s="1"/>
      <c r="XM41" s="1"/>
      <c r="XN41" s="1"/>
      <c r="XO41" s="1"/>
      <c r="XP41" s="1"/>
      <c r="XQ41" s="1"/>
      <c r="XR41" s="1"/>
      <c r="XS41" s="1"/>
      <c r="XT41" s="1"/>
      <c r="XU41" s="1"/>
      <c r="XV41" s="1"/>
      <c r="XW41" s="1"/>
      <c r="XX41" s="1"/>
      <c r="XY41" s="1"/>
      <c r="XZ41" s="1"/>
      <c r="YA41" s="1"/>
      <c r="YB41" s="1"/>
      <c r="YC41" s="1"/>
      <c r="YD41" s="1"/>
      <c r="YE41" s="1"/>
      <c r="YF41" s="1"/>
      <c r="YG41" s="1"/>
      <c r="YH41" s="1"/>
      <c r="YI41" s="1"/>
      <c r="YJ41" s="1"/>
      <c r="YK41" s="1"/>
      <c r="YL41" s="1"/>
      <c r="YM41" s="1"/>
      <c r="YN41" s="1"/>
      <c r="YO41" s="1"/>
      <c r="YP41" s="1"/>
      <c r="YQ41" s="1"/>
      <c r="YR41" s="1"/>
      <c r="YS41" s="1"/>
      <c r="YT41" s="1"/>
      <c r="YU41" s="1"/>
      <c r="YV41" s="1"/>
      <c r="YW41" s="1"/>
      <c r="YX41" s="1"/>
      <c r="YY41" s="1"/>
      <c r="YZ41" s="1"/>
      <c r="ZA41" s="1"/>
      <c r="ZB41" s="1"/>
      <c r="ZC41" s="1"/>
      <c r="ZD41" s="1"/>
      <c r="ZE41" s="1"/>
      <c r="ZF41" s="1"/>
      <c r="ZG41" s="1"/>
      <c r="ZH41" s="1"/>
      <c r="ZI41" s="1"/>
      <c r="ZJ41" s="1"/>
      <c r="ZK41" s="1"/>
      <c r="ZL41" s="1"/>
      <c r="ZM41" s="1"/>
      <c r="ZN41" s="1"/>
      <c r="ZO41" s="1"/>
      <c r="ZP41" s="1"/>
      <c r="ZQ41" s="1"/>
      <c r="ZR41" s="1"/>
      <c r="ZS41" s="1"/>
      <c r="ZT41" s="1"/>
      <c r="ZU41" s="1"/>
      <c r="ZV41" s="1"/>
      <c r="ZW41" s="1"/>
      <c r="ZX41" s="1"/>
      <c r="ZY41" s="1"/>
      <c r="ZZ41" s="1"/>
      <c r="AAA41" s="1"/>
      <c r="AAB41" s="1"/>
      <c r="AAC41" s="1"/>
      <c r="AAD41" s="1"/>
      <c r="AAE41" s="1"/>
      <c r="AAF41" s="1"/>
      <c r="AAG41" s="1"/>
      <c r="AAH41" s="1"/>
      <c r="AAI41" s="1"/>
      <c r="AAJ41" s="1"/>
      <c r="AAK41" s="1"/>
      <c r="AAL41" s="1"/>
      <c r="AAM41" s="1"/>
      <c r="AAN41" s="1"/>
      <c r="AAO41" s="1"/>
      <c r="AAP41" s="1"/>
      <c r="AAQ41" s="1"/>
      <c r="AAR41" s="1"/>
      <c r="AAS41" s="1"/>
      <c r="AAT41" s="1"/>
      <c r="AAU41" s="1"/>
      <c r="AAV41" s="1"/>
      <c r="AAW41" s="1"/>
      <c r="AAX41" s="1"/>
      <c r="AAY41" s="1"/>
      <c r="AAZ41" s="1"/>
      <c r="ABA41" s="1"/>
      <c r="ABB41" s="1"/>
      <c r="ABC41" s="1"/>
      <c r="ABD41" s="1"/>
      <c r="ABE41" s="1"/>
      <c r="ABF41" s="1"/>
      <c r="ABG41" s="1"/>
      <c r="ABH41" s="1"/>
      <c r="ABI41" s="1"/>
      <c r="ABJ41" s="1"/>
      <c r="ABK41" s="1"/>
      <c r="ABL41" s="1"/>
      <c r="ABM41" s="1"/>
      <c r="ABN41" s="1"/>
      <c r="ABO41" s="1"/>
      <c r="ABP41" s="1"/>
      <c r="ABQ41" s="1"/>
      <c r="ABR41" s="1"/>
      <c r="ABS41" s="1"/>
      <c r="ABT41" s="1"/>
      <c r="ABU41" s="1"/>
      <c r="ABV41" s="1"/>
      <c r="ABW41" s="1"/>
      <c r="ABX41" s="1"/>
      <c r="ABY41" s="1"/>
      <c r="ABZ41" s="1"/>
      <c r="ACA41" s="1"/>
      <c r="ACB41" s="1"/>
      <c r="ACC41" s="1"/>
      <c r="ACD41" s="1"/>
      <c r="ACE41" s="1"/>
      <c r="ACF41" s="1"/>
      <c r="ACG41" s="1"/>
      <c r="ACH41" s="1"/>
      <c r="ACI41" s="1"/>
      <c r="ACJ41" s="1"/>
      <c r="ACK41" s="1"/>
      <c r="ACL41" s="1"/>
      <c r="ACM41" s="1"/>
      <c r="ACN41" s="1"/>
      <c r="ACO41" s="1"/>
      <c r="ACP41" s="1"/>
      <c r="ACQ41" s="1"/>
      <c r="ACR41" s="1"/>
      <c r="ACS41" s="1"/>
      <c r="ACT41" s="1"/>
      <c r="ACU41" s="1"/>
      <c r="ACV41" s="1"/>
      <c r="ACW41" s="1"/>
      <c r="ACX41" s="1"/>
      <c r="ACY41" s="1"/>
      <c r="ACZ41" s="1"/>
      <c r="ADA41" s="1"/>
      <c r="ADB41" s="1"/>
      <c r="ADC41" s="1"/>
      <c r="ADD41" s="1"/>
      <c r="ADE41" s="1"/>
      <c r="ADF41" s="1"/>
      <c r="ADG41" s="1"/>
      <c r="ADH41" s="1"/>
      <c r="ADI41" s="1"/>
      <c r="ADJ41" s="1"/>
      <c r="ADK41" s="1"/>
      <c r="ADL41" s="1"/>
      <c r="ADM41" s="1"/>
      <c r="ADN41" s="1"/>
      <c r="ADO41" s="1"/>
      <c r="ADP41" s="1"/>
      <c r="ADQ41" s="1"/>
      <c r="ADR41" s="1"/>
      <c r="ADS41" s="1"/>
      <c r="ADT41" s="1"/>
      <c r="ADU41" s="1"/>
      <c r="ADV41" s="1"/>
      <c r="ADW41" s="1"/>
      <c r="ADX41" s="1"/>
      <c r="ADY41" s="1"/>
      <c r="ADZ41" s="1"/>
      <c r="AEA41" s="1"/>
      <c r="AEB41" s="1"/>
      <c r="AEC41" s="1"/>
      <c r="AED41" s="1"/>
      <c r="AEE41" s="1"/>
      <c r="AEF41" s="1"/>
      <c r="AEG41" s="1"/>
      <c r="AEH41" s="1"/>
      <c r="AEI41" s="1"/>
      <c r="AEJ41" s="1"/>
      <c r="AEK41" s="1"/>
      <c r="AEL41" s="1"/>
      <c r="AEM41" s="1"/>
      <c r="AEN41" s="1"/>
      <c r="AEO41" s="1"/>
      <c r="AEP41" s="1"/>
      <c r="AEQ41" s="1"/>
      <c r="AER41" s="1"/>
      <c r="AES41" s="1"/>
      <c r="AET41" s="1"/>
      <c r="AEU41" s="1"/>
      <c r="AEV41" s="1"/>
      <c r="AEW41" s="1"/>
      <c r="AEX41" s="1"/>
      <c r="AEY41" s="1"/>
      <c r="AEZ41" s="1"/>
      <c r="AFA41" s="1"/>
      <c r="AFB41" s="1"/>
      <c r="AFC41" s="1"/>
      <c r="AFD41" s="1"/>
      <c r="AFE41" s="1"/>
      <c r="AFF41" s="1"/>
      <c r="AFG41" s="1"/>
      <c r="AFH41" s="1"/>
      <c r="AFI41" s="1"/>
      <c r="AFJ41" s="1"/>
      <c r="AFK41" s="1"/>
      <c r="AFL41" s="1"/>
      <c r="AFM41" s="1"/>
      <c r="AFN41" s="1"/>
      <c r="AFO41" s="1"/>
      <c r="AFP41" s="1"/>
      <c r="AFQ41" s="1"/>
      <c r="AFR41" s="1"/>
      <c r="AFS41" s="1"/>
      <c r="AFT41" s="1"/>
      <c r="AFU41" s="1"/>
      <c r="AFV41" s="1"/>
      <c r="AFW41" s="1"/>
      <c r="AFX41" s="1"/>
      <c r="AFY41" s="1"/>
      <c r="AFZ41" s="1"/>
      <c r="AGA41" s="1"/>
      <c r="AGB41" s="1"/>
      <c r="AGC41" s="1"/>
      <c r="AGD41" s="1"/>
      <c r="AGE41" s="1"/>
      <c r="AGF41" s="1"/>
      <c r="AGG41" s="1"/>
      <c r="AGH41" s="1"/>
      <c r="AGI41" s="1"/>
      <c r="AGJ41" s="1"/>
      <c r="AGK41" s="1"/>
      <c r="AGL41" s="1"/>
      <c r="AGM41" s="1"/>
      <c r="AGN41" s="1"/>
      <c r="AGO41" s="1"/>
      <c r="AGP41" s="1"/>
      <c r="AGQ41" s="1"/>
      <c r="AGR41" s="1"/>
      <c r="AGS41" s="1"/>
      <c r="AGT41" s="1"/>
      <c r="AGU41" s="1"/>
      <c r="AGV41" s="1"/>
      <c r="AGW41" s="1"/>
      <c r="AGX41" s="1"/>
      <c r="AGY41" s="1"/>
      <c r="AGZ41" s="1"/>
      <c r="AHA41" s="1"/>
      <c r="AHB41" s="1"/>
      <c r="AHC41" s="1"/>
      <c r="AHD41" s="1"/>
      <c r="AHE41" s="1"/>
      <c r="AHF41" s="1"/>
      <c r="AHG41" s="1"/>
      <c r="AHH41" s="1"/>
      <c r="AHI41" s="1"/>
      <c r="AHJ41" s="1"/>
      <c r="AHK41" s="1"/>
      <c r="AHL41" s="1"/>
      <c r="AHM41" s="1"/>
      <c r="AHN41" s="1"/>
      <c r="AHO41" s="1"/>
      <c r="AHP41" s="1"/>
      <c r="AHQ41" s="1"/>
      <c r="AHR41" s="1"/>
      <c r="AHS41" s="1"/>
      <c r="AHT41" s="1"/>
      <c r="AHU41" s="1"/>
      <c r="AHV41" s="1"/>
      <c r="AHW41" s="1"/>
      <c r="AHX41" s="1"/>
      <c r="AHY41" s="1"/>
      <c r="AHZ41" s="1"/>
      <c r="AIA41" s="1"/>
      <c r="AIB41" s="1"/>
      <c r="AIC41" s="1"/>
      <c r="AID41" s="1"/>
      <c r="AIE41" s="1"/>
      <c r="AIF41" s="1"/>
      <c r="AIG41" s="1"/>
      <c r="AIH41" s="1"/>
      <c r="AII41" s="1"/>
      <c r="AIJ41" s="1"/>
      <c r="AIK41" s="1"/>
      <c r="AIL41" s="1"/>
      <c r="AIM41" s="1"/>
      <c r="AIN41" s="1"/>
      <c r="AIO41" s="1"/>
      <c r="AIP41" s="1"/>
      <c r="AIQ41" s="1"/>
      <c r="AIR41" s="1"/>
      <c r="AIS41" s="1"/>
      <c r="AIT41" s="1"/>
      <c r="AIU41" s="1"/>
      <c r="AIV41" s="1"/>
      <c r="AIW41" s="1"/>
      <c r="AIX41" s="1"/>
      <c r="AIY41" s="1"/>
      <c r="AIZ41" s="1"/>
      <c r="AJA41" s="1"/>
      <c r="AJB41" s="1"/>
      <c r="AJC41" s="1"/>
      <c r="AJD41" s="1"/>
      <c r="AJE41" s="1"/>
      <c r="AJF41" s="1"/>
      <c r="AJG41" s="1"/>
      <c r="AJH41" s="1"/>
      <c r="AJI41" s="1"/>
      <c r="AJJ41" s="1"/>
      <c r="AJK41" s="1"/>
      <c r="AJL41" s="1"/>
      <c r="AJM41" s="1"/>
      <c r="AJN41" s="1"/>
      <c r="AJO41" s="1"/>
      <c r="AJP41" s="1"/>
      <c r="AJQ41" s="1"/>
      <c r="AJR41" s="1"/>
      <c r="AJS41" s="1"/>
      <c r="AJT41" s="1"/>
      <c r="AJU41" s="1"/>
      <c r="AJV41" s="1"/>
      <c r="AJW41" s="1"/>
      <c r="AJX41" s="1"/>
      <c r="AJY41" s="1"/>
      <c r="AJZ41" s="1"/>
      <c r="AKA41" s="1"/>
      <c r="AKB41" s="1"/>
      <c r="AKC41" s="1"/>
      <c r="AKD41" s="1"/>
      <c r="AKE41" s="1"/>
      <c r="AKF41" s="1"/>
      <c r="AKG41" s="1"/>
      <c r="AKH41" s="1"/>
      <c r="AKI41" s="1"/>
      <c r="AKJ41" s="1"/>
      <c r="AKK41" s="1"/>
      <c r="AKL41" s="1"/>
      <c r="AKM41" s="1"/>
      <c r="AKN41" s="1"/>
      <c r="AKO41" s="1"/>
      <c r="AKP41" s="1"/>
      <c r="AKQ41" s="1"/>
      <c r="AKR41" s="1"/>
      <c r="AKS41" s="1"/>
      <c r="AKT41" s="1"/>
      <c r="AKU41" s="1"/>
      <c r="AKV41" s="1"/>
      <c r="AKW41" s="1"/>
      <c r="AKX41" s="1"/>
      <c r="AKY41" s="1"/>
      <c r="AKZ41" s="1"/>
      <c r="ALA41" s="1"/>
      <c r="ALB41" s="1"/>
      <c r="ALC41" s="1"/>
      <c r="ALD41" s="1"/>
      <c r="ALE41" s="1"/>
      <c r="ALF41" s="1"/>
      <c r="ALG41" s="1"/>
      <c r="ALH41" s="1"/>
      <c r="ALI41" s="1"/>
      <c r="ALJ41" s="1"/>
      <c r="ALK41" s="1"/>
      <c r="ALL41" s="1"/>
    </row>
    <row r="43" spans="1:1000" hidden="1">
      <c r="C43" t="str">
        <f>_xll.TM1RPTVIEW("tango_core_model:zz_process_reject_cpp:ARPT4", 1, _xll.TM1RPTTITLE("tango_core_model:}Processes",$D$46), _xll.TM1RPTTITLE("tango_core_model:zz_Date_Time_loading",$D$45), _xll.TM1RPTTITLE("tango_core_model:Period_YTD",$D$47), _xll.TM1RPTTITLE("tango_core_model:Phase",$D$48),TM1RPTFMTRNG,TM1RPTFMTIDCOL)</f>
        <v>tango_core_model:zz_process_reject_cpp:ARPT4</v>
      </c>
    </row>
    <row r="44" spans="1:1000" hidden="1"/>
    <row r="45" spans="1:1000" hidden="1">
      <c r="C45" s="24" t="s">
        <v>1</v>
      </c>
      <c r="D45" s="26" t="str">
        <f>D19</f>
        <v>2023-SEP-18</v>
      </c>
    </row>
    <row r="46" spans="1:1000" hidden="1">
      <c r="C46" s="24" t="s">
        <v>0</v>
      </c>
      <c r="D46" t="str">
        <f>_xll.SUBNM("tango_core_model:}Processes","","DL_ST_PL_YTD_ROLLOUT2")</f>
        <v>DL_ST_PL_YTD_ROLLOUT2</v>
      </c>
    </row>
    <row r="47" spans="1:1000" hidden="1">
      <c r="C47" s="24" t="s">
        <v>2</v>
      </c>
      <c r="D47" t="str">
        <f>D21</f>
        <v>2023.08_YTD</v>
      </c>
    </row>
    <row r="48" spans="1:1000" hidden="1">
      <c r="C48" s="24" t="s">
        <v>3</v>
      </c>
      <c r="D48" t="str">
        <f>D23</f>
        <v>ACT</v>
      </c>
    </row>
    <row r="49" spans="1:9" hidden="1"/>
    <row r="50" spans="1:9" ht="15.5">
      <c r="B50" s="12">
        <v>3</v>
      </c>
      <c r="C50" s="12" t="s">
        <v>17</v>
      </c>
    </row>
    <row r="51" spans="1:9">
      <c r="D51" s="6"/>
      <c r="E51" s="16" t="s">
        <v>23</v>
      </c>
      <c r="F51" s="5"/>
      <c r="G51" s="16" t="s">
        <v>49</v>
      </c>
      <c r="H51" s="16" t="s">
        <v>46</v>
      </c>
      <c r="I51" s="5"/>
    </row>
    <row r="52" spans="1:9">
      <c r="A52" t="e">
        <f>IF(_xll.TM1RPTELISCONSOLIDATED($D$52,$D52),IF(_xll.TM1RPTELLEV($D$52,$D52)&lt;=3,_xll.TM1RPTELLEV($D$52,$D52),"D"),"N")</f>
        <v>#REF!</v>
      </c>
      <c r="B52" s="3"/>
      <c r="C52" s="9" t="str">
        <f>_xll.TM1RPTROW($C$43,"tango_core_model:}Chores","L0",,,,$E$10)</f>
        <v/>
      </c>
      <c r="D52" s="9" t="str">
        <f>_xll.TM1RPTROW($C$43,"tango_core_model:zz_Num_Lign","First 25")</f>
        <v/>
      </c>
      <c r="E52" s="9" t="e">
        <f>_xll.DBRW($C$43,$C52,$D$46,$D$45,$D52,$D$47,$D$48,E$51)</f>
        <v>#VALUE!</v>
      </c>
      <c r="F52" s="8"/>
      <c r="G52" s="8" t="e">
        <f>_xll.DBRW($C$43,$C52,$D$46,$D$45,$D52,$D$47,$D$48,G$51)</f>
        <v>#VALUE!</v>
      </c>
      <c r="H52" s="8"/>
      <c r="I52" s="8"/>
    </row>
    <row r="53" spans="1:9" hidden="1"/>
    <row r="54" spans="1:9" hidden="1"/>
    <row r="55" spans="1:9" hidden="1">
      <c r="C55" t="str">
        <f>_xll.TM1RPTVIEW("tango_core_model:zz_Process_Reject_By_Source:ARPT3", 1, _xll.TM1RPTTITLE("tango_core_model:zz_Process_Source",$D$58), _xll.TM1RPTTITLE("tango_core_model:zz_Date_Time_loading",$D$57),TM1RPTFMTRNG,TM1RPTFMTIDCOL)</f>
        <v>tango_core_model:zz_Process_Reject_By_Source:ARPT3</v>
      </c>
    </row>
    <row r="56" spans="1:9" hidden="1"/>
    <row r="57" spans="1:9" hidden="1">
      <c r="C57" s="24" t="s">
        <v>1</v>
      </c>
      <c r="D57" s="26" t="str">
        <f>D19</f>
        <v>2023-SEP-18</v>
      </c>
    </row>
    <row r="58" spans="1:9" hidden="1">
      <c r="C58" s="24" t="s">
        <v>48</v>
      </c>
      <c r="D58" t="str">
        <f>D17</f>
        <v>TANGO_FRANCE</v>
      </c>
    </row>
    <row r="59" spans="1:9" hidden="1"/>
    <row r="60" spans="1:9" hidden="1"/>
    <row r="61" spans="1:9" hidden="1">
      <c r="D61" s="6"/>
      <c r="E61" s="16" t="s">
        <v>23</v>
      </c>
      <c r="F61" s="5"/>
      <c r="G61" s="16" t="s">
        <v>49</v>
      </c>
      <c r="H61" s="16" t="s">
        <v>46</v>
      </c>
      <c r="I61" s="5"/>
    </row>
    <row r="62" spans="1:9">
      <c r="A62" t="e">
        <f>IF(_xll.TM1RPTELISCONSOLIDATED($D$62,$D62),IF(_xll.TM1RPTELLEV($D$62,$D62)&lt;=3,_xll.TM1RPTELLEV($D$62,$D62),"D"),"N")</f>
        <v>#REF!</v>
      </c>
      <c r="B62" s="3"/>
      <c r="C62" s="9" t="str">
        <f>_xll.TM1RPTROW($C$55,"tango_core_model:}Processes")</f>
        <v/>
      </c>
      <c r="D62" s="9" t="str">
        <f>_xll.TM1RPTROW($C$55,"tango_core_model:zz_Num_Lign","First 25")</f>
        <v/>
      </c>
      <c r="E62" s="9" t="e">
        <f>_xll.DBRW($C$55,$D$58,$C62,$D$57,$D62,E$61)</f>
        <v>#VALUE!</v>
      </c>
      <c r="F62" s="8"/>
      <c r="G62" s="8" t="e">
        <f>_xll.DBRW($C$55,$D$58,$C62,$D$57,$D62,G$61)</f>
        <v>#VALUE!</v>
      </c>
      <c r="H62" s="8" t="e">
        <f>_xll.DBRW($C$55,$D$58,$C62,$D$57,$D62,H$61)</f>
        <v>#VALUE!</v>
      </c>
      <c r="I62" s="8"/>
    </row>
    <row r="67" spans="1:10" hidden="1" outlineLevel="1"/>
    <row r="68" spans="1:10" hidden="1" outlineLevel="1">
      <c r="B68" t="str">
        <f>_xll.TM1RPTVIEW("tango_core_model:zz_process_detail_cpp:ARPT1", 1, _xll.TM1RPTTITLE("tango_core_model:}Processes",$C$70), _xll.TM1RPTTITLE("tango_core_model:Period_YTD",$C$71), _xll.TM1RPTTITLE("tango_core_model:Phase",$C$72),TM1RPTFMTRNG,TM1RPTFMTIDCOL)</f>
        <v>tango_core_model:zz_process_detail_cpp:ARPT1</v>
      </c>
    </row>
    <row r="69" spans="1:10" hidden="1" outlineLevel="1"/>
    <row r="70" spans="1:10" hidden="1" outlineLevel="1">
      <c r="B70" s="24" t="s">
        <v>0</v>
      </c>
      <c r="C70" t="str">
        <f>_xll.SUBNM("tango_core_model:}Processes","","DL_ST_PL_YTD_ROLLOUT2")</f>
        <v>DL_ST_PL_YTD_ROLLOUT2</v>
      </c>
    </row>
    <row r="71" spans="1:10" hidden="1" outlineLevel="1">
      <c r="B71" s="24" t="s">
        <v>2</v>
      </c>
      <c r="C71" t="str">
        <f>D21</f>
        <v>2023.08_YTD</v>
      </c>
    </row>
    <row r="72" spans="1:10" hidden="1" outlineLevel="1">
      <c r="B72" s="24" t="s">
        <v>3</v>
      </c>
      <c r="C72" t="str">
        <f>D23</f>
        <v>ACT</v>
      </c>
    </row>
    <row r="73" spans="1:10" hidden="1" outlineLevel="1"/>
    <row r="74" spans="1:10" hidden="1" outlineLevel="1"/>
    <row r="75" spans="1:10" hidden="1" outlineLevel="1">
      <c r="D75" s="27" t="s">
        <v>45</v>
      </c>
      <c r="E75" s="36"/>
      <c r="F75" s="37"/>
      <c r="G75" s="36"/>
      <c r="H75" s="37"/>
      <c r="I75" s="38"/>
    </row>
    <row r="76" spans="1:10" collapsed="1">
      <c r="A76" s="30" t="str">
        <f>IF(_xll.TM1RPTELISCONSOLIDATED($C$76,$C76),IF(_xll.TM1RPTELLEV($C$76,$C76)&lt;=3,_xll.TM1RPTELLEV($C$76,$C76),"D"),"H")</f>
        <v>H</v>
      </c>
      <c r="B76" s="45" t="str">
        <f>_xll.TM1RPTROW($B$68,"tango_core_model:}Chores","L0",,,,$E$10)</f>
        <v>DL_TANGO_FRANCE_OPE</v>
      </c>
      <c r="C76" s="45" t="str">
        <f>_xll.TM1RPTROW($B$68,"tango_core_model:zz_Date_Time_loading","L0")</f>
        <v>2023-SEP-18</v>
      </c>
      <c r="D76" s="30" t="str">
        <f>_xll.DBRW($B$68,$B76,$C$70,$C76,$C$71,$C$72,D$75)</f>
        <v>2023-SEP-18 22:30:00</v>
      </c>
      <c r="E76" s="30"/>
      <c r="F76" s="35"/>
      <c r="G76" s="35"/>
      <c r="H76" s="35"/>
      <c r="I76" s="35"/>
      <c r="J76" s="30"/>
    </row>
    <row r="77" spans="1:10">
      <c r="A77" s="30" t="str">
        <f>IF(_xll.TM1RPTELISCONSOLIDATED($C$76,$C77),IF(_xll.TM1RPTELLEV($C$76,$C77)&lt;=3,_xll.TM1RPTELLEV($C$76,$C77),"D"),"H")</f>
        <v>H</v>
      </c>
      <c r="B77" s="45" t="s">
        <v>5</v>
      </c>
      <c r="C77" s="45" t="s">
        <v>91</v>
      </c>
      <c r="D77" s="30" t="str">
        <f>_xll.DBRW($B$68,$B77,$C$70,$C77,$C$71,$C$72,D$75)</f>
        <v>2023-SEP-17 22:30:03</v>
      </c>
      <c r="E77" s="30"/>
      <c r="F77" s="35"/>
      <c r="G77" s="35"/>
      <c r="H77" s="35"/>
      <c r="I77" s="35"/>
      <c r="J77" s="30"/>
    </row>
    <row r="78" spans="1:10">
      <c r="A78" s="30" t="str">
        <f>IF(_xll.TM1RPTELISCONSOLIDATED($C$76,$C78),IF(_xll.TM1RPTELLEV($C$76,$C78)&lt;=3,_xll.TM1RPTELLEV($C$76,$C78),"D"),"H")</f>
        <v>H</v>
      </c>
      <c r="B78" s="45" t="s">
        <v>5</v>
      </c>
      <c r="C78" s="45" t="s">
        <v>92</v>
      </c>
      <c r="D78" s="30" t="str">
        <f>_xll.DBRW($B$68,$B78,$C$70,$C78,$C$71,$C$72,D$75)</f>
        <v>2023-SEP-16 22:30:00</v>
      </c>
      <c r="E78" s="30"/>
      <c r="F78" s="35"/>
      <c r="G78" s="35"/>
      <c r="H78" s="35"/>
      <c r="I78" s="35"/>
      <c r="J78" s="30"/>
    </row>
    <row r="79" spans="1:10">
      <c r="A79" s="30" t="str">
        <f>IF(_xll.TM1RPTELISCONSOLIDATED($C$76,$C79),IF(_xll.TM1RPTELLEV($C$76,$C79)&lt;=3,_xll.TM1RPTELLEV($C$76,$C79),"D"),"H")</f>
        <v>H</v>
      </c>
      <c r="B79" s="45" t="s">
        <v>5</v>
      </c>
      <c r="C79" s="45" t="s">
        <v>93</v>
      </c>
      <c r="D79" s="30" t="str">
        <f>_xll.DBRW($B$68,$B79,$C$70,$C79,$C$71,$C$72,D$75)</f>
        <v>2023-SEP-15 22:30:03</v>
      </c>
      <c r="E79" s="30"/>
      <c r="F79" s="35"/>
      <c r="G79" s="35"/>
      <c r="H79" s="35"/>
      <c r="I79" s="35"/>
      <c r="J79" s="30"/>
    </row>
    <row r="80" spans="1:10">
      <c r="A80" s="30" t="str">
        <f>IF(_xll.TM1RPTELISCONSOLIDATED($C$76,$C80),IF(_xll.TM1RPTELLEV($C$76,$C80)&lt;=3,_xll.TM1RPTELLEV($C$76,$C80),"D"),"H")</f>
        <v>H</v>
      </c>
      <c r="B80" s="45" t="s">
        <v>5</v>
      </c>
      <c r="C80" s="45" t="s">
        <v>94</v>
      </c>
      <c r="D80" s="30" t="str">
        <f>_xll.DBRW($B$68,$B80,$C$70,$C80,$C$71,$C$72,D$75)</f>
        <v>2023-SEP-14 22:30:02</v>
      </c>
      <c r="E80" s="30"/>
      <c r="F80" s="35"/>
      <c r="G80" s="35"/>
      <c r="H80" s="35"/>
      <c r="I80" s="35"/>
      <c r="J80" s="30"/>
    </row>
    <row r="81" spans="1:10">
      <c r="A81" s="30" t="str">
        <f>IF(_xll.TM1RPTELISCONSOLIDATED($C$76,$C81),IF(_xll.TM1RPTELLEV($C$76,$C81)&lt;=3,_xll.TM1RPTELLEV($C$76,$C81),"D"),"H")</f>
        <v>H</v>
      </c>
      <c r="B81" s="45" t="s">
        <v>5</v>
      </c>
      <c r="C81" s="45" t="s">
        <v>95</v>
      </c>
      <c r="D81" s="30" t="str">
        <f>_xll.DBRW($B$68,$B81,$C$70,$C81,$C$71,$C$72,D$75)</f>
        <v>2023-SEP-13 22:30:00</v>
      </c>
      <c r="E81" s="30"/>
      <c r="F81" s="35"/>
      <c r="G81" s="35"/>
      <c r="H81" s="35"/>
      <c r="I81" s="35"/>
      <c r="J81" s="30"/>
    </row>
    <row r="82" spans="1:10">
      <c r="A82" s="30" t="str">
        <f>IF(_xll.TM1RPTELISCONSOLIDATED($C$76,$C82),IF(_xll.TM1RPTELLEV($C$76,$C82)&lt;=3,_xll.TM1RPTELLEV($C$76,$C82),"D"),"H")</f>
        <v>H</v>
      </c>
      <c r="B82" s="45" t="s">
        <v>5</v>
      </c>
      <c r="C82" s="45" t="s">
        <v>96</v>
      </c>
      <c r="D82" s="30" t="str">
        <f>_xll.DBRW($B$68,$B82,$C$70,$C82,$C$71,$C$72,D$75)</f>
        <v>2023-SEP-12 22:30:00</v>
      </c>
      <c r="E82" s="30"/>
      <c r="F82" s="35"/>
      <c r="G82" s="35"/>
      <c r="H82" s="35"/>
      <c r="I82" s="35"/>
      <c r="J82" s="30"/>
    </row>
    <row r="83" spans="1:10">
      <c r="A83" s="30" t="str">
        <f>IF(_xll.TM1RPTELISCONSOLIDATED($C$76,$C83),IF(_xll.TM1RPTELLEV($C$76,$C83)&lt;=3,_xll.TM1RPTELLEV($C$76,$C83),"D"),"H")</f>
        <v>H</v>
      </c>
      <c r="B83" s="45" t="s">
        <v>5</v>
      </c>
      <c r="C83" s="45" t="s">
        <v>97</v>
      </c>
      <c r="D83" s="30" t="str">
        <f>_xll.DBRW($B$68,$B83,$C$70,$C83,$C$71,$C$72,D$75)</f>
        <v>2023-SEP-11 22:30:00</v>
      </c>
      <c r="E83" s="30"/>
      <c r="F83" s="35"/>
      <c r="G83" s="35"/>
      <c r="H83" s="35"/>
      <c r="I83" s="35"/>
      <c r="J83" s="30"/>
    </row>
    <row r="84" spans="1:10">
      <c r="A84" s="30" t="str">
        <f>IF(_xll.TM1RPTELISCONSOLIDATED($C$76,$C84),IF(_xll.TM1RPTELLEV($C$76,$C84)&lt;=3,_xll.TM1RPTELLEV($C$76,$C84),"D"),"H")</f>
        <v>H</v>
      </c>
      <c r="B84" s="45" t="s">
        <v>5</v>
      </c>
      <c r="C84" s="45" t="s">
        <v>98</v>
      </c>
      <c r="D84" s="30" t="str">
        <f>_xll.DBRW($B$68,$B84,$C$70,$C84,$C$71,$C$72,D$75)</f>
        <v>2023-SEP-10 22:30:03</v>
      </c>
      <c r="E84" s="30"/>
      <c r="F84" s="35"/>
      <c r="G84" s="35"/>
      <c r="H84" s="35"/>
      <c r="I84" s="35"/>
      <c r="J84" s="30"/>
    </row>
    <row r="85" spans="1:10">
      <c r="A85" s="30" t="str">
        <f>IF(_xll.TM1RPTELISCONSOLIDATED($C$76,$C85),IF(_xll.TM1RPTELLEV($C$76,$C85)&lt;=3,_xll.TM1RPTELLEV($C$76,$C85),"D"),"H")</f>
        <v>H</v>
      </c>
      <c r="B85" s="45" t="s">
        <v>5</v>
      </c>
      <c r="C85" s="45" t="s">
        <v>99</v>
      </c>
      <c r="D85" s="30" t="str">
        <f>_xll.DBRW($B$68,$B85,$C$70,$C85,$C$71,$C$72,D$75)</f>
        <v>2023-SEP-9 22:30:03</v>
      </c>
      <c r="E85" s="30"/>
      <c r="F85" s="35"/>
      <c r="G85" s="35"/>
      <c r="H85" s="35"/>
      <c r="I85" s="35"/>
      <c r="J85" s="30"/>
    </row>
    <row r="86" spans="1:10">
      <c r="A86" s="30" t="str">
        <f>IF(_xll.TM1RPTELISCONSOLIDATED($C$76,$C86),IF(_xll.TM1RPTELLEV($C$76,$C86)&lt;=3,_xll.TM1RPTELLEV($C$76,$C86),"D"),"H")</f>
        <v>H</v>
      </c>
      <c r="B86" s="45" t="s">
        <v>5</v>
      </c>
      <c r="C86" s="45" t="s">
        <v>100</v>
      </c>
      <c r="D86" s="30" t="str">
        <f>_xll.DBRW($B$68,$B86,$C$70,$C86,$C$71,$C$72,D$75)</f>
        <v>2023-SEP-8 22:30:02</v>
      </c>
      <c r="E86" s="30"/>
      <c r="F86" s="35"/>
      <c r="G86" s="35"/>
      <c r="H86" s="35"/>
      <c r="I86" s="35"/>
      <c r="J86" s="30"/>
    </row>
    <row r="87" spans="1:10">
      <c r="A87" s="30" t="str">
        <f>IF(_xll.TM1RPTELISCONSOLIDATED($C$76,$C87),IF(_xll.TM1RPTELLEV($C$76,$C87)&lt;=3,_xll.TM1RPTELLEV($C$76,$C87),"D"),"H")</f>
        <v>H</v>
      </c>
      <c r="B87" s="45" t="s">
        <v>5</v>
      </c>
      <c r="C87" s="45" t="s">
        <v>101</v>
      </c>
      <c r="D87" s="30" t="str">
        <f>_xll.DBRW($B$68,$B87,$C$70,$C87,$C$71,$C$72,D$75)</f>
        <v>2023-SEP-7 22:30:03</v>
      </c>
      <c r="E87" s="30"/>
      <c r="F87" s="35"/>
      <c r="G87" s="35"/>
      <c r="H87" s="35"/>
      <c r="I87" s="35"/>
      <c r="J87" s="30"/>
    </row>
    <row r="88" spans="1:10">
      <c r="A88" s="30" t="str">
        <f>IF(_xll.TM1RPTELISCONSOLIDATED($C$76,$C88),IF(_xll.TM1RPTELLEV($C$76,$C88)&lt;=3,_xll.TM1RPTELLEV($C$76,$C88),"D"),"H")</f>
        <v>H</v>
      </c>
      <c r="B88" s="45" t="s">
        <v>5</v>
      </c>
      <c r="C88" s="45" t="s">
        <v>102</v>
      </c>
      <c r="D88" s="30" t="str">
        <f>_xll.DBRW($B$68,$B88,$C$70,$C88,$C$71,$C$72,D$75)</f>
        <v>2023-SEP-6 22:30:02</v>
      </c>
      <c r="E88" s="30"/>
      <c r="F88" s="35"/>
      <c r="G88" s="35"/>
      <c r="H88" s="35"/>
      <c r="I88" s="35"/>
      <c r="J88" s="30"/>
    </row>
    <row r="89" spans="1:10">
      <c r="A89" s="30" t="str">
        <f>IF(_xll.TM1RPTELISCONSOLIDATED($C$76,$C89),IF(_xll.TM1RPTELLEV($C$76,$C89)&lt;=3,_xll.TM1RPTELLEV($C$76,$C89),"D"),"H")</f>
        <v>H</v>
      </c>
      <c r="B89" s="45" t="s">
        <v>5</v>
      </c>
      <c r="C89" s="45" t="s">
        <v>103</v>
      </c>
      <c r="D89" s="30" t="str">
        <f>_xll.DBRW($B$68,$B89,$C$70,$C89,$C$71,$C$72,D$75)</f>
        <v>2023-SEP-5 22:30:00</v>
      </c>
      <c r="E89" s="30"/>
      <c r="F89" s="35"/>
      <c r="G89" s="35"/>
      <c r="H89" s="35"/>
      <c r="I89" s="35"/>
      <c r="J89" s="30"/>
    </row>
    <row r="90" spans="1:10">
      <c r="A90" s="30" t="str">
        <f>IF(_xll.TM1RPTELISCONSOLIDATED($C$76,$C90),IF(_xll.TM1RPTELLEV($C$76,$C90)&lt;=3,_xll.TM1RPTELLEV($C$76,$C90),"D"),"H")</f>
        <v>H</v>
      </c>
      <c r="B90" s="45" t="s">
        <v>5</v>
      </c>
      <c r="C90" s="45" t="s">
        <v>104</v>
      </c>
      <c r="D90" s="30" t="str">
        <f>_xll.DBRW($B$68,$B90,$C$70,$C90,$C$71,$C$72,D$75)</f>
        <v>2023-SEP-4 22:30:00</v>
      </c>
      <c r="E90" s="30"/>
      <c r="F90" s="35"/>
      <c r="G90" s="35"/>
      <c r="H90" s="35"/>
      <c r="I90" s="35"/>
      <c r="J90" s="30"/>
    </row>
    <row r="91" spans="1:10">
      <c r="A91" s="30" t="str">
        <f>IF(_xll.TM1RPTELISCONSOLIDATED($C$76,$C91),IF(_xll.TM1RPTELLEV($C$76,$C91)&lt;=3,_xll.TM1RPTELLEV($C$76,$C91),"D"),"H")</f>
        <v>H</v>
      </c>
      <c r="B91" s="45" t="s">
        <v>5</v>
      </c>
      <c r="C91" s="45" t="s">
        <v>105</v>
      </c>
      <c r="D91" s="30" t="str">
        <f>_xll.DBRW($B$68,$B91,$C$70,$C91,$C$71,$C$72,D$75)</f>
        <v>2023-SEP-3 22:30:00</v>
      </c>
      <c r="E91" s="30"/>
      <c r="F91" s="35"/>
      <c r="G91" s="35"/>
      <c r="H91" s="35"/>
      <c r="I91" s="35"/>
      <c r="J91" s="30"/>
    </row>
    <row r="92" spans="1:10">
      <c r="A92" s="30" t="str">
        <f>IF(_xll.TM1RPTELISCONSOLIDATED($C$76,$C92),IF(_xll.TM1RPTELLEV($C$76,$C92)&lt;=3,_xll.TM1RPTELLEV($C$76,$C92),"D"),"H")</f>
        <v>H</v>
      </c>
      <c r="B92" s="45" t="s">
        <v>5</v>
      </c>
      <c r="C92" s="45" t="s">
        <v>106</v>
      </c>
      <c r="D92" s="30" t="str">
        <f>_xll.DBRW($B$68,$B92,$C$70,$C92,$C$71,$C$72,D$75)</f>
        <v>2023-SEP-2 22:30:00</v>
      </c>
      <c r="E92" s="30"/>
      <c r="F92" s="35"/>
      <c r="G92" s="35"/>
      <c r="H92" s="35"/>
      <c r="I92" s="35"/>
      <c r="J92" s="30"/>
    </row>
    <row r="93" spans="1:10">
      <c r="A93" s="30" t="str">
        <f>IF(_xll.TM1RPTELISCONSOLIDATED($C$76,$C93),IF(_xll.TM1RPTELLEV($C$76,$C93)&lt;=3,_xll.TM1RPTELLEV($C$76,$C93),"D"),"H")</f>
        <v>H</v>
      </c>
      <c r="B93" s="45" t="s">
        <v>5</v>
      </c>
      <c r="C93" s="45" t="s">
        <v>107</v>
      </c>
      <c r="D93" s="30" t="str">
        <f>_xll.DBRW($B$68,$B93,$C$70,$C93,$C$71,$C$72,D$75)</f>
        <v>2023-SEP-1 22:30:03</v>
      </c>
      <c r="E93" s="30"/>
      <c r="F93" s="35"/>
      <c r="G93" s="35"/>
      <c r="H93" s="35"/>
      <c r="I93" s="35"/>
      <c r="J93" s="30"/>
    </row>
    <row r="94" spans="1:10">
      <c r="A94" s="30" t="str">
        <f>IF(_xll.TM1RPTELISCONSOLIDATED($C$76,$C94),IF(_xll.TM1RPTELLEV($C$76,$C94)&lt;=3,_xll.TM1RPTELLEV($C$76,$C94),"D"),"H")</f>
        <v>H</v>
      </c>
      <c r="B94" s="45" t="s">
        <v>5</v>
      </c>
      <c r="C94" s="45" t="s">
        <v>108</v>
      </c>
      <c r="D94" s="30" t="str">
        <f>_xll.DBRW($B$68,$B94,$C$70,$C94,$C$71,$C$72,D$75)</f>
        <v>2023-AUG-31 22:30:03</v>
      </c>
      <c r="E94" s="30"/>
      <c r="F94" s="35"/>
      <c r="G94" s="35"/>
      <c r="H94" s="35"/>
      <c r="I94" s="35"/>
      <c r="J94" s="30"/>
    </row>
    <row r="95" spans="1:10">
      <c r="A95" s="30" t="str">
        <f>IF(_xll.TM1RPTELISCONSOLIDATED($C$76,$C95),IF(_xll.TM1RPTELLEV($C$76,$C95)&lt;=3,_xll.TM1RPTELLEV($C$76,$C95),"D"),"H")</f>
        <v>H</v>
      </c>
      <c r="B95" s="45" t="s">
        <v>6</v>
      </c>
      <c r="C95" s="45" t="s">
        <v>109</v>
      </c>
      <c r="D95" s="30" t="str">
        <f>_xll.DBRW($B$68,$B95,$C$70,$C95,$C$71,$C$72,D$75)</f>
        <v>2023-SEP-18 22:35:00</v>
      </c>
      <c r="E95" s="30"/>
      <c r="F95" s="35"/>
      <c r="G95" s="35"/>
      <c r="H95" s="35"/>
      <c r="I95" s="35"/>
      <c r="J95" s="30"/>
    </row>
    <row r="96" spans="1:10">
      <c r="A96" s="30" t="str">
        <f>IF(_xll.TM1RPTELISCONSOLIDATED($C$76,$C96),IF(_xll.TM1RPTELLEV($C$76,$C96)&lt;=3,_xll.TM1RPTELLEV($C$76,$C96),"D"),"H")</f>
        <v>H</v>
      </c>
      <c r="B96" s="45" t="s">
        <v>6</v>
      </c>
      <c r="C96" s="45" t="s">
        <v>91</v>
      </c>
      <c r="D96" s="30" t="str">
        <f>_xll.DBRW($B$68,$B96,$C$70,$C96,$C$71,$C$72,D$75)</f>
        <v>2023-SEP-17 22:35:03</v>
      </c>
      <c r="E96" s="30"/>
      <c r="F96" s="35"/>
      <c r="G96" s="35"/>
      <c r="H96" s="35"/>
      <c r="I96" s="35"/>
      <c r="J96" s="30"/>
    </row>
    <row r="97" spans="1:10">
      <c r="A97" s="30" t="str">
        <f>IF(_xll.TM1RPTELISCONSOLIDATED($C$76,$C97),IF(_xll.TM1RPTELLEV($C$76,$C97)&lt;=3,_xll.TM1RPTELLEV($C$76,$C97),"D"),"H")</f>
        <v>H</v>
      </c>
      <c r="B97" s="45" t="s">
        <v>6</v>
      </c>
      <c r="C97" s="45" t="s">
        <v>92</v>
      </c>
      <c r="D97" s="30" t="str">
        <f>_xll.DBRW($B$68,$B97,$C$70,$C97,$C$71,$C$72,D$75)</f>
        <v>2023-SEP-16 22:35:03</v>
      </c>
      <c r="E97" s="30"/>
      <c r="F97" s="35"/>
      <c r="G97" s="35"/>
      <c r="H97" s="35"/>
      <c r="I97" s="35"/>
      <c r="J97" s="30"/>
    </row>
    <row r="98" spans="1:10">
      <c r="A98" s="30" t="str">
        <f>IF(_xll.TM1RPTELISCONSOLIDATED($C$76,$C98),IF(_xll.TM1RPTELLEV($C$76,$C98)&lt;=3,_xll.TM1RPTELLEV($C$76,$C98),"D"),"H")</f>
        <v>H</v>
      </c>
      <c r="B98" s="45" t="s">
        <v>6</v>
      </c>
      <c r="C98" s="45" t="s">
        <v>93</v>
      </c>
      <c r="D98" s="30" t="str">
        <f>_xll.DBRW($B$68,$B98,$C$70,$C98,$C$71,$C$72,D$75)</f>
        <v>2023-SEP-15 22:35:00</v>
      </c>
      <c r="E98" s="30"/>
      <c r="F98" s="35"/>
      <c r="G98" s="35"/>
      <c r="H98" s="35"/>
      <c r="I98" s="35"/>
      <c r="J98" s="30"/>
    </row>
    <row r="99" spans="1:10">
      <c r="A99" s="30" t="str">
        <f>IF(_xll.TM1RPTELISCONSOLIDATED($C$76,$C99),IF(_xll.TM1RPTELLEV($C$76,$C99)&lt;=3,_xll.TM1RPTELLEV($C$76,$C99),"D"),"H")</f>
        <v>H</v>
      </c>
      <c r="B99" s="45" t="s">
        <v>6</v>
      </c>
      <c r="C99" s="45" t="s">
        <v>94</v>
      </c>
      <c r="D99" s="30" t="str">
        <f>_xll.DBRW($B$68,$B99,$C$70,$C99,$C$71,$C$72,D$75)</f>
        <v>2023-SEP-14 22:35:00</v>
      </c>
      <c r="E99" s="30"/>
      <c r="F99" s="35"/>
      <c r="G99" s="35"/>
      <c r="H99" s="35"/>
      <c r="I99" s="35"/>
      <c r="J99" s="30"/>
    </row>
    <row r="100" spans="1:10">
      <c r="A100" s="30" t="str">
        <f>IF(_xll.TM1RPTELISCONSOLIDATED($C$76,$C100),IF(_xll.TM1RPTELLEV($C$76,$C100)&lt;=3,_xll.TM1RPTELLEV($C$76,$C100),"D"),"H")</f>
        <v>H</v>
      </c>
      <c r="B100" s="45" t="s">
        <v>6</v>
      </c>
      <c r="C100" s="45" t="s">
        <v>95</v>
      </c>
      <c r="D100" s="30" t="str">
        <f>_xll.DBRW($B$68,$B100,$C$70,$C100,$C$71,$C$72,D$75)</f>
        <v>2023-SEP-13 22:35:00</v>
      </c>
      <c r="E100" s="30"/>
      <c r="F100" s="35"/>
      <c r="G100" s="35"/>
      <c r="H100" s="35"/>
      <c r="I100" s="35"/>
      <c r="J100" s="30"/>
    </row>
    <row r="101" spans="1:10">
      <c r="A101" s="30" t="str">
        <f>IF(_xll.TM1RPTELISCONSOLIDATED($C$76,$C101),IF(_xll.TM1RPTELLEV($C$76,$C101)&lt;=3,_xll.TM1RPTELLEV($C$76,$C101),"D"),"H")</f>
        <v>H</v>
      </c>
      <c r="B101" s="45" t="s">
        <v>6</v>
      </c>
      <c r="C101" s="45" t="s">
        <v>96</v>
      </c>
      <c r="D101" s="30" t="str">
        <f>_xll.DBRW($B$68,$B101,$C$70,$C101,$C$71,$C$72,D$75)</f>
        <v>2023-SEP-12 22:35:00</v>
      </c>
      <c r="E101" s="30"/>
      <c r="F101" s="35"/>
      <c r="G101" s="35"/>
      <c r="H101" s="35"/>
      <c r="I101" s="35"/>
      <c r="J101" s="30"/>
    </row>
    <row r="102" spans="1:10">
      <c r="A102" s="30" t="str">
        <f>IF(_xll.TM1RPTELISCONSOLIDATED($C$76,$C102),IF(_xll.TM1RPTELLEV($C$76,$C102)&lt;=3,_xll.TM1RPTELLEV($C$76,$C102),"D"),"H")</f>
        <v>H</v>
      </c>
      <c r="B102" s="45" t="s">
        <v>6</v>
      </c>
      <c r="C102" s="45" t="s">
        <v>97</v>
      </c>
      <c r="D102" s="30" t="str">
        <f>_xll.DBRW($B$68,$B102,$C$70,$C102,$C$71,$C$72,D$75)</f>
        <v>2023-SEP-11 22:35:00</v>
      </c>
      <c r="E102" s="30"/>
      <c r="F102" s="35"/>
      <c r="G102" s="35"/>
      <c r="H102" s="35"/>
      <c r="I102" s="35"/>
      <c r="J102" s="30"/>
    </row>
    <row r="103" spans="1:10">
      <c r="A103" s="30" t="str">
        <f>IF(_xll.TM1RPTELISCONSOLIDATED($C$76,$C103),IF(_xll.TM1RPTELLEV($C$76,$C103)&lt;=3,_xll.TM1RPTELLEV($C$76,$C103),"D"),"H")</f>
        <v>H</v>
      </c>
      <c r="B103" s="45" t="s">
        <v>6</v>
      </c>
      <c r="C103" s="45" t="s">
        <v>98</v>
      </c>
      <c r="D103" s="30" t="str">
        <f>_xll.DBRW($B$68,$B103,$C$70,$C103,$C$71,$C$72,D$75)</f>
        <v>2023-SEP-10 22:35:00</v>
      </c>
      <c r="E103" s="30"/>
      <c r="F103" s="35"/>
      <c r="G103" s="35"/>
      <c r="H103" s="35"/>
      <c r="I103" s="35"/>
      <c r="J103" s="30"/>
    </row>
    <row r="104" spans="1:10">
      <c r="A104" s="30" t="str">
        <f>IF(_xll.TM1RPTELISCONSOLIDATED($C$76,$C104),IF(_xll.TM1RPTELLEV($C$76,$C104)&lt;=3,_xll.TM1RPTELLEV($C$76,$C104),"D"),"H")</f>
        <v>H</v>
      </c>
      <c r="B104" s="45" t="s">
        <v>6</v>
      </c>
      <c r="C104" s="45" t="s">
        <v>99</v>
      </c>
      <c r="D104" s="30" t="str">
        <f>_xll.DBRW($B$68,$B104,$C$70,$C104,$C$71,$C$72,D$75)</f>
        <v>2023-SEP-9 22:35:02</v>
      </c>
      <c r="E104" s="30"/>
      <c r="F104" s="35"/>
      <c r="G104" s="35"/>
      <c r="H104" s="35"/>
      <c r="I104" s="35"/>
      <c r="J104" s="30"/>
    </row>
    <row r="105" spans="1:10">
      <c r="A105" s="30" t="str">
        <f>IF(_xll.TM1RPTELISCONSOLIDATED($C$76,$C105),IF(_xll.TM1RPTELLEV($C$76,$C105)&lt;=3,_xll.TM1RPTELLEV($C$76,$C105),"D"),"H")</f>
        <v>H</v>
      </c>
      <c r="B105" s="45" t="s">
        <v>6</v>
      </c>
      <c r="C105" s="45" t="s">
        <v>100</v>
      </c>
      <c r="D105" s="30" t="str">
        <f>_xll.DBRW($B$68,$B105,$C$70,$C105,$C$71,$C$72,D$75)</f>
        <v>2023-SEP-8 22:35:03</v>
      </c>
      <c r="E105" s="30"/>
      <c r="F105" s="35"/>
      <c r="G105" s="35"/>
      <c r="H105" s="35"/>
      <c r="I105" s="35"/>
      <c r="J105" s="30"/>
    </row>
    <row r="106" spans="1:10">
      <c r="A106" s="30" t="str">
        <f>IF(_xll.TM1RPTELISCONSOLIDATED($C$76,$C106),IF(_xll.TM1RPTELLEV($C$76,$C106)&lt;=3,_xll.TM1RPTELLEV($C$76,$C106),"D"),"H")</f>
        <v>H</v>
      </c>
      <c r="B106" s="45" t="s">
        <v>6</v>
      </c>
      <c r="C106" s="45" t="s">
        <v>101</v>
      </c>
      <c r="D106" s="30" t="str">
        <f>_xll.DBRW($B$68,$B106,$C$70,$C106,$C$71,$C$72,D$75)</f>
        <v>2023-SEP-7 22:35:03</v>
      </c>
      <c r="E106" s="30"/>
      <c r="F106" s="35"/>
      <c r="G106" s="35"/>
      <c r="H106" s="35"/>
      <c r="I106" s="35"/>
      <c r="J106" s="30"/>
    </row>
    <row r="107" spans="1:10">
      <c r="A107" s="30" t="str">
        <f>IF(_xll.TM1RPTELISCONSOLIDATED($C$76,$C107),IF(_xll.TM1RPTELLEV($C$76,$C107)&lt;=3,_xll.TM1RPTELLEV($C$76,$C107),"D"),"H")</f>
        <v>H</v>
      </c>
      <c r="B107" s="45" t="s">
        <v>6</v>
      </c>
      <c r="C107" s="45" t="s">
        <v>102</v>
      </c>
      <c r="D107" s="30" t="str">
        <f>_xll.DBRW($B$68,$B107,$C$70,$C107,$C$71,$C$72,D$75)</f>
        <v>2023-SEP-6 22:35:03</v>
      </c>
      <c r="E107" s="30"/>
      <c r="F107" s="35"/>
      <c r="G107" s="35"/>
      <c r="H107" s="35"/>
      <c r="I107" s="35"/>
      <c r="J107" s="30"/>
    </row>
    <row r="108" spans="1:10">
      <c r="A108" s="30" t="str">
        <f>IF(_xll.TM1RPTELISCONSOLIDATED($C$76,$C108),IF(_xll.TM1RPTELLEV($C$76,$C108)&lt;=3,_xll.TM1RPTELLEV($C$76,$C108),"D"),"H")</f>
        <v>H</v>
      </c>
      <c r="B108" s="45" t="s">
        <v>6</v>
      </c>
      <c r="C108" s="45" t="s">
        <v>103</v>
      </c>
      <c r="D108" s="30" t="str">
        <f>_xll.DBRW($B$68,$B108,$C$70,$C108,$C$71,$C$72,D$75)</f>
        <v>2023-SEP-5 22:35:04</v>
      </c>
      <c r="E108" s="30"/>
      <c r="F108" s="35"/>
      <c r="G108" s="35"/>
      <c r="H108" s="35"/>
      <c r="I108" s="35"/>
      <c r="J108" s="30"/>
    </row>
    <row r="109" spans="1:10">
      <c r="A109" s="30" t="str">
        <f>IF(_xll.TM1RPTELISCONSOLIDATED($C$76,$C109),IF(_xll.TM1RPTELLEV($C$76,$C109)&lt;=3,_xll.TM1RPTELLEV($C$76,$C109),"D"),"H")</f>
        <v>H</v>
      </c>
      <c r="B109" s="45" t="s">
        <v>6</v>
      </c>
      <c r="C109" s="45" t="s">
        <v>104</v>
      </c>
      <c r="D109" s="30" t="str">
        <f>_xll.DBRW($B$68,$B109,$C$70,$C109,$C$71,$C$72,D$75)</f>
        <v>2023-SEP-4 22:35:00</v>
      </c>
      <c r="E109" s="30"/>
      <c r="F109" s="35"/>
      <c r="G109" s="35"/>
      <c r="H109" s="35"/>
      <c r="I109" s="35"/>
      <c r="J109" s="30"/>
    </row>
    <row r="110" spans="1:10">
      <c r="A110" s="30" t="str">
        <f>IF(_xll.TM1RPTELISCONSOLIDATED($C$76,$C110),IF(_xll.TM1RPTELLEV($C$76,$C110)&lt;=3,_xll.TM1RPTELLEV($C$76,$C110),"D"),"H")</f>
        <v>H</v>
      </c>
      <c r="B110" s="45" t="s">
        <v>6</v>
      </c>
      <c r="C110" s="45" t="s">
        <v>105</v>
      </c>
      <c r="D110" s="30" t="str">
        <f>_xll.DBRW($B$68,$B110,$C$70,$C110,$C$71,$C$72,D$75)</f>
        <v>2023-SEP-3 22:35:02</v>
      </c>
      <c r="E110" s="30"/>
      <c r="F110" s="35"/>
      <c r="G110" s="35"/>
      <c r="H110" s="35"/>
      <c r="I110" s="35"/>
      <c r="J110" s="30"/>
    </row>
    <row r="111" spans="1:10">
      <c r="A111" s="30" t="str">
        <f>IF(_xll.TM1RPTELISCONSOLIDATED($C$76,$C111),IF(_xll.TM1RPTELLEV($C$76,$C111)&lt;=3,_xll.TM1RPTELLEV($C$76,$C111),"D"),"H")</f>
        <v>H</v>
      </c>
      <c r="B111" s="45" t="s">
        <v>6</v>
      </c>
      <c r="C111" s="45" t="s">
        <v>106</v>
      </c>
      <c r="D111" s="30" t="str">
        <f>_xll.DBRW($B$68,$B111,$C$70,$C111,$C$71,$C$72,D$75)</f>
        <v>2023-SEP-2 22:35:03</v>
      </c>
      <c r="E111" s="30"/>
      <c r="F111" s="35"/>
      <c r="G111" s="35"/>
      <c r="H111" s="35"/>
      <c r="I111" s="35"/>
      <c r="J111" s="30"/>
    </row>
    <row r="112" spans="1:10">
      <c r="A112" s="30" t="str">
        <f>IF(_xll.TM1RPTELISCONSOLIDATED($C$76,$C112),IF(_xll.TM1RPTELLEV($C$76,$C112)&lt;=3,_xll.TM1RPTELLEV($C$76,$C112),"D"),"H")</f>
        <v>H</v>
      </c>
      <c r="B112" s="45" t="s">
        <v>6</v>
      </c>
      <c r="C112" s="45" t="s">
        <v>107</v>
      </c>
      <c r="D112" s="30" t="str">
        <f>_xll.DBRW($B$68,$B112,$C$70,$C112,$C$71,$C$72,D$75)</f>
        <v>2023-SEP-1 22:35:03</v>
      </c>
      <c r="E112" s="30"/>
      <c r="F112" s="35"/>
      <c r="G112" s="35"/>
      <c r="H112" s="35"/>
      <c r="I112" s="35"/>
      <c r="J112" s="30"/>
    </row>
    <row r="113" spans="1:10">
      <c r="A113" s="30" t="str">
        <f>IF(_xll.TM1RPTELISCONSOLIDATED($C$76,$C113),IF(_xll.TM1RPTELLEV($C$76,$C113)&lt;=3,_xll.TM1RPTELLEV($C$76,$C113),"D"),"H")</f>
        <v>H</v>
      </c>
      <c r="B113" s="45" t="s">
        <v>6</v>
      </c>
      <c r="C113" s="45" t="s">
        <v>108</v>
      </c>
      <c r="D113" s="30" t="str">
        <f>_xll.DBRW($B$68,$B113,$C$70,$C113,$C$71,$C$72,D$75)</f>
        <v>2023-AUG-31 22:35:04</v>
      </c>
      <c r="E113" s="30"/>
      <c r="F113" s="35"/>
      <c r="G113" s="35"/>
      <c r="H113" s="35"/>
      <c r="I113" s="35"/>
      <c r="J113" s="30"/>
    </row>
    <row r="114" spans="1:10" hidden="1" outlineLevel="1"/>
    <row r="115" spans="1:10" hidden="1" outlineLevel="1"/>
    <row r="116" spans="1:10" collapsed="1"/>
  </sheetData>
  <mergeCells count="1">
    <mergeCell ref="B13:I15"/>
  </mergeCells>
  <conditionalFormatting sqref="I8 I30 I65:I74 I53 I10:I27 I40:I42 I76:I1045">
    <cfRule type="containsText" dxfId="29" priority="997" operator="containsText" text="KO">
      <formula>NOT(ISERROR(SEARCH("KO",I8)))</formula>
    </cfRule>
    <cfRule type="containsText" dxfId="28" priority="998" operator="containsText" text="OK">
      <formula>NOT(ISERROR(SEARCH("OK",I8)))</formula>
    </cfRule>
  </conditionalFormatting>
  <conditionalFormatting sqref="I75">
    <cfRule type="containsText" dxfId="27" priority="869" operator="containsText" text="KO">
      <formula>NOT(ISERROR(SEARCH("KO",I75)))</formula>
    </cfRule>
    <cfRule type="containsText" dxfId="26" priority="870" operator="containsText" text="OK">
      <formula>NOT(ISERROR(SEARCH("OK",I75)))</formula>
    </cfRule>
  </conditionalFormatting>
  <conditionalFormatting sqref="I9">
    <cfRule type="containsText" dxfId="25" priority="639" operator="containsText" text="KO">
      <formula>NOT(ISERROR(SEARCH("KO",I9)))</formula>
    </cfRule>
    <cfRule type="containsText" dxfId="24" priority="640" operator="containsText" text="OK">
      <formula>NOT(ISERROR(SEARCH("OK",I9)))</formula>
    </cfRule>
  </conditionalFormatting>
  <conditionalFormatting sqref="I37">
    <cfRule type="containsText" dxfId="23" priority="831" operator="containsText" text="KO">
      <formula>NOT(ISERROR(SEARCH("KO",I37)))</formula>
    </cfRule>
    <cfRule type="containsText" dxfId="22" priority="832" operator="containsText" text="OK">
      <formula>NOT(ISERROR(SEARCH("OK",I37)))</formula>
    </cfRule>
  </conditionalFormatting>
  <conditionalFormatting sqref="I3:I6">
    <cfRule type="containsText" dxfId="21" priority="641" operator="containsText" text="KO">
      <formula>NOT(ISERROR(SEARCH("KO",I3)))</formula>
    </cfRule>
    <cfRule type="containsText" dxfId="20" priority="642" operator="containsText" text="OK">
      <formula>NOT(ISERROR(SEARCH("OK",I3)))</formula>
    </cfRule>
  </conditionalFormatting>
  <conditionalFormatting sqref="I7">
    <cfRule type="containsText" dxfId="19" priority="129" operator="containsText" text="KO">
      <formula>NOT(ISERROR(SEARCH("KO",I7)))</formula>
    </cfRule>
    <cfRule type="containsText" dxfId="18" priority="130" operator="containsText" text="OK">
      <formula>NOT(ISERROR(SEARCH("OK",I7)))</formula>
    </cfRule>
  </conditionalFormatting>
  <conditionalFormatting sqref="I62">
    <cfRule type="containsText" dxfId="17" priority="71" operator="containsText" text="KO">
      <formula>NOT(ISERROR(SEARCH("KO",I62)))</formula>
    </cfRule>
    <cfRule type="containsText" dxfId="16" priority="72" operator="containsText" text="OK">
      <formula>NOT(ISERROR(SEARCH("OK",I62)))</formula>
    </cfRule>
  </conditionalFormatting>
  <conditionalFormatting sqref="I52">
    <cfRule type="containsText" dxfId="13" priority="17" operator="containsText" text="KO">
      <formula>NOT(ISERROR(SEARCH("KO",I52)))</formula>
    </cfRule>
    <cfRule type="containsText" dxfId="12" priority="18" operator="containsText" text="OK">
      <formula>NOT(ISERROR(SEARCH("OK",I52)))</formula>
    </cfRule>
  </conditionalFormatting>
  <conditionalFormatting sqref="I38:I39">
    <cfRule type="containsText" dxfId="3" priority="3" operator="containsText" text="KO">
      <formula>NOT(ISERROR(SEARCH("KO",I38)))</formula>
    </cfRule>
    <cfRule type="containsText" dxfId="2" priority="4" operator="containsText" text="OK">
      <formula>NOT(ISERROR(SEARCH("OK",I38)))</formula>
    </cfRule>
  </conditionalFormatting>
  <conditionalFormatting sqref="I28:I29">
    <cfRule type="containsText" dxfId="1" priority="1" operator="containsText" text="KO">
      <formula>NOT(ISERROR(SEARCH("KO",I28)))</formula>
    </cfRule>
    <cfRule type="containsText" dxfId="0" priority="2" operator="containsText" text="OK">
      <formula>NOT(ISERROR(SEARCH("OK",I28)))</formula>
    </cfRule>
  </conditionalFormatting>
  <dataValidations disablePrompts="1" count="4">
    <dataValidation showDropDown="1" showInputMessage="1" showErrorMessage="1" sqref="G19" xr:uid="{00000000-0002-0000-0100-000000000000}"/>
    <dataValidation type="list" allowBlank="1" showInputMessage="1" showErrorMessage="1" sqref="E19:E20" xr:uid="{00000000-0002-0000-0100-000001000000}">
      <formula1>#REF!</formula1>
    </dataValidation>
    <dataValidation type="list" allowBlank="1" showInputMessage="1" showErrorMessage="1" sqref="D12 D16 F20:G20 D22" xr:uid="{00000000-0002-0000-0100-000002000000}">
      <formula1>#REF!</formula1>
    </dataValidation>
    <dataValidation type="list" allowBlank="1" showInputMessage="1" showErrorMessage="1" sqref="D23" xr:uid="{00000000-0002-0000-0100-000003000000}">
      <formula1>Phase_List</formula1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haredContentType xmlns="Microsoft.SharePoint.Taxonomy.ContentTypeSync" SourceId="b49a2378-73c7-4e4c-bff8-b85a2f404b86" ContentTypeId="0x0101" PreviousValue="false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8F41DDFC12A047B89ADFEAFA8CA40C" ma:contentTypeVersion="18" ma:contentTypeDescription="Crée un document." ma:contentTypeScope="" ma:versionID="1f7140a7bbedc0c2710b5bb791715270">
  <xsd:schema xmlns:xsd="http://www.w3.org/2001/XMLSchema" xmlns:xs="http://www.w3.org/2001/XMLSchema" xmlns:p="http://schemas.microsoft.com/office/2006/metadata/properties" xmlns:ns2="37c46d26-95e5-4380-a06b-df42f7fe1bef" xmlns:ns3="7ab32658-e8b5-4d7e-b280-1fb722dd2be1" targetNamespace="http://schemas.microsoft.com/office/2006/metadata/properties" ma:root="true" ma:fieldsID="99e5fd3a55f4560dcbc440286aaed2a9" ns2:_="" ns3:_="">
    <xsd:import namespace="37c46d26-95e5-4380-a06b-df42f7fe1bef"/>
    <xsd:import namespace="7ab32658-e8b5-4d7e-b280-1fb722dd2b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c46d26-95e5-4380-a06b-df42f7fe1b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b32658-e8b5-4d7e-b280-1fb722dd2be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869B577-1F5E-4A6D-BF5A-1C1745E6EFD7}">
  <ds:schemaRefs>
    <ds:schemaRef ds:uri="http://schemas.microsoft.com/office/infopath/2007/PartnerControls"/>
    <ds:schemaRef ds:uri="http://www.w3.org/XML/1998/namespace"/>
    <ds:schemaRef ds:uri="http://purl.org/dc/terms/"/>
    <ds:schemaRef ds:uri="http://purl.org/dc/elements/1.1/"/>
    <ds:schemaRef ds:uri="http://purl.org/dc/dcmitype/"/>
    <ds:schemaRef ds:uri="http://schemas.microsoft.com/office/2006/metadata/properties"/>
    <ds:schemaRef ds:uri="7ab32658-e8b5-4d7e-b280-1fb722dd2be1"/>
    <ds:schemaRef ds:uri="http://schemas.openxmlformats.org/package/2006/metadata/core-properties"/>
    <ds:schemaRef ds:uri="http://schemas.microsoft.com/office/2006/documentManagement/types"/>
    <ds:schemaRef ds:uri="37c46d26-95e5-4380-a06b-df42f7fe1bef"/>
  </ds:schemaRefs>
</ds:datastoreItem>
</file>

<file path=customXml/itemProps2.xml><?xml version="1.0" encoding="utf-8"?>
<ds:datastoreItem xmlns:ds="http://schemas.openxmlformats.org/officeDocument/2006/customXml" ds:itemID="{0F2E2DDD-9DD0-404A-97C4-40B39B58236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DDE55A6-0099-4DE4-844D-5003A03D9045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3ED66BEE-CFBC-4F5E-A12D-4507A31A6B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c46d26-95e5-4380-a06b-df42f7fe1bef"/>
    <ds:schemaRef ds:uri="7ab32658-e8b5-4d7e-b280-1fb722dd2b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18</vt:i4>
      </vt:variant>
    </vt:vector>
  </HeadingPairs>
  <TitlesOfParts>
    <vt:vector size="20" baseType="lpstr">
      <vt:lpstr>Context</vt:lpstr>
      <vt:lpstr>Process Reject CPP</vt:lpstr>
      <vt:lpstr>Month_Actual</vt:lpstr>
      <vt:lpstr>Month_Actual_YTD</vt:lpstr>
      <vt:lpstr>Period_YTD</vt:lpstr>
      <vt:lpstr>Phase_List</vt:lpstr>
      <vt:lpstr>Server</vt:lpstr>
      <vt:lpstr>Serveur</vt:lpstr>
      <vt:lpstr>source_entity</vt:lpstr>
      <vt:lpstr>'Process Reject CPP'!TM1RPTDATARNG1</vt:lpstr>
      <vt:lpstr>'Process Reject CPP'!TM1RPTDATARNGARPT1</vt:lpstr>
      <vt:lpstr>'Process Reject CPP'!TM1RPTDATARNGARPT2</vt:lpstr>
      <vt:lpstr>'Process Reject CPP'!TM1RPTDATARNGARPT3</vt:lpstr>
      <vt:lpstr>'Process Reject CPP'!TM1RPTDATARNGARPT4</vt:lpstr>
      <vt:lpstr>'Process Reject CPP'!TM1RPTFMTIDCOL</vt:lpstr>
      <vt:lpstr>'Process Reject CPP'!TM1RPTFMTRNG</vt:lpstr>
      <vt:lpstr>Total_Year_Budget_Forecast</vt:lpstr>
      <vt:lpstr>xServer</vt:lpstr>
      <vt:lpstr>xTM1User</vt:lpstr>
      <vt:lpstr>Year_Budget_Forecast</vt:lpstr>
    </vt:vector>
  </TitlesOfParts>
  <Company>TRANSDEV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Gurav, Omkar</dc:creator>
  <cp:lastModifiedBy>Erwan Tang</cp:lastModifiedBy>
  <cp:lastPrinted>2022-02-21T10:13:52Z</cp:lastPrinted>
  <dcterms:created xsi:type="dcterms:W3CDTF">2022-02-09T11:49:39Z</dcterms:created>
  <dcterms:modified xsi:type="dcterms:W3CDTF">2024-09-04T15:02:04Z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0x010100CF8F41DDFC12A047B89ADFEAFA8CA40C</vt:lpwstr>
  </property>
</Properties>
</file>