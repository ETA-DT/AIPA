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100" yWindow="150" windowWidth="12465" windowHeight="10050" firstSheet="1" activeTab="1"/>
  </bookViews>
  <sheets>
    <sheet name="Context" sheetId="1" state="hidden" r:id="rId1"/>
    <sheet name="Cost of damages" sheetId="2" r:id="rId2"/>
    <sheet name="{PL}PickLst" sheetId="6" state="hidden" r:id="rId3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'Cost of damages'!$I$19:$V$43</definedName>
    <definedName name="AutoRefresh_PL" localSheetId="1">'Cost of damages'!$F$1</definedName>
    <definedName name="AutoRefresh_PL_aggregated">'Cost of damages'!$G$3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1">'Cost of damages'!$D$18:$V$42</definedName>
    <definedName name="Print_Titles" localSheetId="1">'Cost of damages'!$7:$9</definedName>
    <definedName name="PriorYear">'Cost of damages'!$I$2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B6" i="1" l="1"/>
  <c r="B5" i="1"/>
  <c r="B17" i="1"/>
  <c r="G17" i="2"/>
  <c r="G13" i="2"/>
  <c r="G14" i="2"/>
  <c r="G15" i="2"/>
  <c r="G16" i="2"/>
  <c r="G11" i="2"/>
  <c r="G12" i="2"/>
  <c r="B14" i="1"/>
  <c r="I18" i="2"/>
  <c r="I2" i="2"/>
  <c r="L18" i="2"/>
  <c r="L42" i="2"/>
  <c r="I19" i="2"/>
  <c r="I1" i="2"/>
  <c r="I42" i="2"/>
  <c r="T42" i="2"/>
  <c r="U42" i="2"/>
  <c r="V42" i="2"/>
  <c r="L40" i="2"/>
  <c r="I40" i="2"/>
  <c r="T40" i="2"/>
  <c r="U40" i="2"/>
  <c r="V40" i="2"/>
  <c r="L38" i="2"/>
  <c r="I38" i="2"/>
  <c r="T38" i="2"/>
  <c r="U38" i="2"/>
  <c r="V38" i="2"/>
  <c r="L36" i="2"/>
  <c r="I36" i="2"/>
  <c r="T36" i="2"/>
  <c r="U36" i="2"/>
  <c r="V36" i="2"/>
  <c r="L35" i="2"/>
  <c r="I35" i="2"/>
  <c r="T35" i="2"/>
  <c r="U35" i="2"/>
  <c r="V35" i="2"/>
  <c r="L34" i="2"/>
  <c r="I34" i="2"/>
  <c r="T34" i="2"/>
  <c r="U34" i="2"/>
  <c r="V34" i="2"/>
  <c r="L33" i="2"/>
  <c r="I33" i="2"/>
  <c r="T33" i="2"/>
  <c r="U33" i="2"/>
  <c r="V33" i="2"/>
  <c r="L32" i="2"/>
  <c r="I32" i="2"/>
  <c r="T32" i="2"/>
  <c r="U32" i="2"/>
  <c r="V32" i="2"/>
  <c r="L31" i="2"/>
  <c r="I31" i="2"/>
  <c r="T31" i="2"/>
  <c r="U31" i="2"/>
  <c r="V31" i="2"/>
  <c r="L29" i="2"/>
  <c r="I29" i="2"/>
  <c r="T29" i="2"/>
  <c r="U29" i="2"/>
  <c r="V29" i="2"/>
  <c r="L28" i="2"/>
  <c r="I28" i="2"/>
  <c r="T28" i="2"/>
  <c r="U28" i="2"/>
  <c r="V28" i="2"/>
  <c r="L27" i="2"/>
  <c r="I27" i="2"/>
  <c r="T27" i="2"/>
  <c r="U27" i="2"/>
  <c r="V27" i="2"/>
  <c r="L25" i="2"/>
  <c r="I25" i="2"/>
  <c r="T25" i="2"/>
  <c r="U25" i="2"/>
  <c r="V25" i="2"/>
  <c r="L23" i="2"/>
  <c r="I23" i="2"/>
  <c r="T23" i="2"/>
  <c r="U23" i="2"/>
  <c r="V23" i="2"/>
  <c r="K18" i="2"/>
  <c r="B16" i="1"/>
  <c r="K19" i="2"/>
  <c r="K1" i="2"/>
  <c r="K42" i="2"/>
  <c r="Q42" i="2"/>
  <c r="R42" i="2"/>
  <c r="S42" i="2"/>
  <c r="K40" i="2"/>
  <c r="Q40" i="2"/>
  <c r="R40" i="2"/>
  <c r="S40" i="2"/>
  <c r="K38" i="2"/>
  <c r="Q38" i="2"/>
  <c r="R38" i="2"/>
  <c r="S38" i="2"/>
  <c r="K36" i="2"/>
  <c r="Q36" i="2"/>
  <c r="R36" i="2"/>
  <c r="S36" i="2"/>
  <c r="K35" i="2"/>
  <c r="Q35" i="2"/>
  <c r="R35" i="2"/>
  <c r="S35" i="2"/>
  <c r="K34" i="2"/>
  <c r="Q34" i="2"/>
  <c r="R34" i="2"/>
  <c r="S34" i="2"/>
  <c r="K33" i="2"/>
  <c r="Q33" i="2"/>
  <c r="R33" i="2"/>
  <c r="S33" i="2"/>
  <c r="K32" i="2"/>
  <c r="Q32" i="2"/>
  <c r="R32" i="2"/>
  <c r="S32" i="2"/>
  <c r="K31" i="2"/>
  <c r="Q31" i="2"/>
  <c r="R31" i="2"/>
  <c r="S31" i="2"/>
  <c r="K29" i="2"/>
  <c r="Q29" i="2"/>
  <c r="R29" i="2"/>
  <c r="S29" i="2"/>
  <c r="K28" i="2"/>
  <c r="Q28" i="2"/>
  <c r="R28" i="2"/>
  <c r="S28" i="2"/>
  <c r="K27" i="2"/>
  <c r="Q27" i="2"/>
  <c r="R27" i="2"/>
  <c r="S27" i="2"/>
  <c r="K25" i="2"/>
  <c r="Q25" i="2"/>
  <c r="R25" i="2"/>
  <c r="S25" i="2"/>
  <c r="K23" i="2"/>
  <c r="Q23" i="2"/>
  <c r="R23" i="2"/>
  <c r="S23" i="2"/>
  <c r="L21" i="2"/>
  <c r="I21" i="2"/>
  <c r="T21" i="2"/>
  <c r="U21" i="2"/>
  <c r="V21" i="2"/>
  <c r="K21" i="2"/>
  <c r="Q21" i="2"/>
  <c r="R21" i="2"/>
  <c r="S21" i="2"/>
  <c r="J18" i="2"/>
  <c r="B15" i="1"/>
  <c r="J19" i="2"/>
  <c r="J1" i="2"/>
  <c r="J42" i="2"/>
  <c r="N42" i="2"/>
  <c r="O42" i="2"/>
  <c r="P42" i="2"/>
  <c r="J40" i="2"/>
  <c r="N40" i="2"/>
  <c r="O40" i="2"/>
  <c r="P40" i="2"/>
  <c r="J38" i="2"/>
  <c r="N38" i="2"/>
  <c r="O38" i="2"/>
  <c r="P38" i="2"/>
  <c r="J36" i="2"/>
  <c r="N36" i="2"/>
  <c r="O36" i="2"/>
  <c r="P36" i="2"/>
  <c r="J35" i="2"/>
  <c r="N35" i="2"/>
  <c r="O35" i="2"/>
  <c r="P35" i="2"/>
  <c r="J34" i="2"/>
  <c r="N34" i="2"/>
  <c r="O34" i="2"/>
  <c r="P34" i="2"/>
  <c r="J33" i="2"/>
  <c r="N33" i="2"/>
  <c r="O33" i="2"/>
  <c r="P33" i="2"/>
  <c r="J32" i="2"/>
  <c r="N32" i="2"/>
  <c r="O32" i="2"/>
  <c r="P32" i="2"/>
  <c r="J31" i="2"/>
  <c r="N31" i="2"/>
  <c r="O31" i="2"/>
  <c r="P31" i="2"/>
  <c r="J29" i="2"/>
  <c r="N29" i="2"/>
  <c r="O29" i="2"/>
  <c r="P29" i="2"/>
  <c r="J28" i="2"/>
  <c r="N28" i="2"/>
  <c r="O28" i="2"/>
  <c r="P28" i="2"/>
  <c r="J27" i="2"/>
  <c r="N27" i="2"/>
  <c r="O27" i="2"/>
  <c r="P27" i="2"/>
  <c r="J25" i="2"/>
  <c r="N25" i="2"/>
  <c r="O25" i="2"/>
  <c r="P25" i="2"/>
  <c r="J23" i="2"/>
  <c r="N23" i="2"/>
  <c r="O23" i="2"/>
  <c r="P23" i="2"/>
  <c r="J21" i="2"/>
  <c r="N21" i="2"/>
  <c r="O21" i="2"/>
  <c r="P21" i="2"/>
  <c r="C26" i="2"/>
  <c r="L30" i="2"/>
  <c r="K30" i="2"/>
  <c r="J30" i="2"/>
  <c r="I30" i="2"/>
  <c r="F30" i="2"/>
  <c r="C30" i="2"/>
  <c r="F29" i="2"/>
  <c r="C29" i="2"/>
  <c r="F28" i="2"/>
  <c r="C28" i="2"/>
  <c r="F27" i="2"/>
  <c r="C27" i="2"/>
  <c r="F25" i="2"/>
  <c r="C25" i="2"/>
  <c r="C22" i="2"/>
  <c r="F23" i="2"/>
  <c r="C23" i="2"/>
  <c r="L19" i="2"/>
  <c r="D7" i="2"/>
  <c r="L41" i="2"/>
  <c r="K41" i="2"/>
  <c r="J41" i="2"/>
  <c r="I41" i="2"/>
  <c r="L39" i="2"/>
  <c r="K39" i="2"/>
  <c r="J39" i="2"/>
  <c r="I39" i="2"/>
  <c r="F42" i="2"/>
  <c r="F41" i="2"/>
  <c r="F40" i="2"/>
  <c r="F39" i="2"/>
  <c r="F38" i="2"/>
  <c r="F37" i="2"/>
  <c r="F36" i="2"/>
  <c r="F35" i="2"/>
  <c r="F34" i="2"/>
  <c r="F33" i="2"/>
  <c r="F32" i="2"/>
  <c r="F31" i="2"/>
  <c r="F21" i="2"/>
  <c r="C24" i="2"/>
  <c r="C31" i="2"/>
  <c r="C32" i="2"/>
  <c r="C33" i="2"/>
  <c r="C34" i="2"/>
  <c r="C35" i="2"/>
  <c r="C36" i="2"/>
  <c r="C37" i="2"/>
  <c r="C38" i="2"/>
  <c r="C39" i="2"/>
  <c r="C40" i="2"/>
  <c r="C41" i="2"/>
  <c r="C42" i="2"/>
  <c r="C21" i="2"/>
  <c r="T19" i="2"/>
  <c r="Q19" i="2"/>
  <c r="N19" i="2"/>
  <c r="J2" i="2"/>
  <c r="G19" i="2"/>
  <c r="F19" i="2"/>
  <c r="F10" i="2"/>
  <c r="H2" i="2"/>
  <c r="V19" i="2"/>
  <c r="S19" i="2"/>
  <c r="B13" i="1"/>
</calcChain>
</file>

<file path=xl/sharedStrings.xml><?xml version="1.0" encoding="utf-8"?>
<sst xmlns="http://schemas.openxmlformats.org/spreadsheetml/2006/main" count="78" uniqueCount="73">
  <si>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</si>
  <si>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</si>
  <si>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</si>
  <si>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</si>
  <si>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</si>
  <si>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</si>
  <si>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</si>
  <si>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</si>
  <si>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</si>
  <si>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</si>
  <si>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</si>
  <si>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</si>
  <si>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</si>
  <si>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</si>
  <si>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</si>
  <si>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</si>
  <si>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</si>
  <si>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</si>
  <si>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</si>
  <si>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</si>
  <si>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</si>
  <si>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</si>
  <si>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</si>
  <si>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</si>
  <si>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</si>
  <si>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</si>
  <si>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</si>
  <si>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</si>
  <si>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</si>
  <si>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</si>
  <si>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</si>
  <si>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</si>
  <si>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</si>
  <si>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</si>
  <si>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</si>
  <si>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</si>
  <si>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</si>
  <si>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</si>
  <si>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</si>
  <si>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</si>
  <si>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</si>
  <si>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</si>
  <si>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</si>
  <si>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Management_organization</t>
  </si>
  <si>
    <t>Language</t>
  </si>
  <si>
    <t>Indicator</t>
  </si>
  <si>
    <t>Activity</t>
  </si>
  <si>
    <t>Currency</t>
  </si>
  <si>
    <t>Gaap</t>
  </si>
  <si>
    <t>PL0000_CD</t>
  </si>
  <si>
    <t>FC_ALL</t>
  </si>
  <si>
    <t>FC_1_TOT</t>
  </si>
  <si>
    <t>FC_2_TOT</t>
  </si>
  <si>
    <t>Legal organization</t>
  </si>
  <si>
    <t>Integration rate</t>
  </si>
  <si>
    <t>PL1110_CD_20</t>
  </si>
  <si>
    <t>PL0000_CD_OE</t>
  </si>
  <si>
    <t>PL1115_CD_99</t>
  </si>
  <si>
    <t>PL1115_CD_45</t>
  </si>
  <si>
    <t>PL1115_CD_40</t>
  </si>
  <si>
    <t>PL1115_CD_50</t>
  </si>
  <si>
    <t>PL1115_CD_51</t>
  </si>
  <si>
    <t>PL0000_CD_INS</t>
  </si>
  <si>
    <t>PL1120_CD</t>
  </si>
  <si>
    <t>PL1125_CD</t>
  </si>
  <si>
    <t>PL1155_CD_99</t>
  </si>
  <si>
    <t>PL0000_CD_CAFOP</t>
  </si>
  <si>
    <t>PL0000_CD_IM</t>
  </si>
  <si>
    <t>cost_of_damages</t>
  </si>
  <si>
    <t>CAFOP</t>
  </si>
  <si>
    <t>RESOP</t>
  </si>
  <si>
    <t>PL1110_CD_30</t>
  </si>
  <si>
    <t>Variances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</si>
</sst>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.0"/>
    <numFmt numFmtId="165" formatCode="0.0%"/>
    <numFmt numFmtId="166" formatCode="_-* #,##0.00\ _F_-;\-* #,##0.00\ _F_-;_-* &quot;-&quot;??\ _F_-;_-@_-"/>
    <numFmt numFmtId="167" formatCode="_(* #,##0.00_);_(* \(#,##0.00\);_(* &quot;-&quot;??_);_(@_)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#,##0_);\(#,##0\)"/>
  </numFmts>
  <fonts count="9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8"/>
      <color indexed="57"/>
      <name val="Wingdings"/>
      <charset val="2"/>
    </font>
    <font>
      <sz val="18"/>
      <color indexed="9"/>
      <name val="Calibri"/>
      <family val="2"/>
    </font>
    <font>
      <b/>
      <sz val="16"/>
      <color indexed="57"/>
      <name val="Wingdings"/>
      <charset val="2"/>
    </font>
    <font>
      <b/>
      <sz val="16"/>
      <color indexed="22"/>
      <name val="Wingdings"/>
      <charset val="2"/>
    </font>
    <font>
      <i/>
      <sz val="10"/>
      <name val="Calibri"/>
      <family val="2"/>
    </font>
    <font>
      <b/>
      <sz val="16"/>
      <color indexed="52"/>
      <name val="Wingdings"/>
      <charset val="2"/>
    </font>
    <font>
      <sz val="12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57"/>
      <name val="Wingdings"/>
      <charset val="2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sz val="11"/>
      <color indexed="61"/>
      <name val="Calibri"/>
      <family val="2"/>
      <scheme val="minor"/>
    </font>
    <font>
      <b/>
      <sz val="16"/>
      <color indexed="23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6"/>
      <color indexed="23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b/>
      <sz val="12"/>
      <color indexed="10"/>
      <name val="Arial"/>
      <family val="2"/>
    </font>
    <font>
      <sz val="18"/>
      <color indexed="63"/>
      <name val="Calibri"/>
      <family val="2"/>
      <scheme val="minor"/>
    </font>
    <font>
      <sz val="15"/>
      <color indexed="9"/>
      <name val="Calibri"/>
      <family val="2"/>
    </font>
    <font>
      <sz val="15"/>
      <color indexed="57"/>
      <name val="Wingdings"/>
      <charset val="2"/>
    </font>
    <font>
      <b/>
      <sz val="16"/>
      <name val="Calibri"/>
      <family val="2"/>
    </font>
    <font>
      <b/>
      <sz val="18"/>
      <color rgb="FFFF0000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5"/>
      <color rgb="FFFF0000"/>
      <name val="Wingdings"/>
      <charset val="2"/>
    </font>
  </fonts>
  <fills count="4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B5B8BF"/>
      </top>
      <bottom style="thin">
        <color rgb="FFB5B8BF"/>
      </bottom>
      <diagonal/>
    </border>
    <border>
      <left/>
      <right/>
      <top/>
      <bottom style="thin">
        <color rgb="FFB5B8B6"/>
      </bottom>
      <diagonal/>
    </border>
    <border>
      <left/>
      <right style="thick">
        <color theme="0"/>
      </right>
      <top/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</borders>
  <cellStyleXfs count="234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13" borderId="0" applyNumberFormat="0" applyBorder="0" applyAlignment="0" applyProtection="0"/>
    <xf numFmtId="0" fontId="25" fillId="13" borderId="0" applyNumberFormat="0" applyBorder="0" applyAlignment="0" applyProtection="0"/>
    <xf numFmtId="0" fontId="25" fillId="13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5" borderId="0" applyNumberFormat="0" applyBorder="0" applyAlignment="0" applyProtection="0"/>
    <xf numFmtId="0" fontId="25" fillId="15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8" borderId="0" applyNumberFormat="0" applyBorder="0" applyAlignment="0" applyProtection="0"/>
    <xf numFmtId="0" fontId="25" fillId="18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19" borderId="0" applyNumberFormat="0" applyBorder="0" applyAlignment="0" applyProtection="0"/>
    <xf numFmtId="0" fontId="25" fillId="19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9" borderId="0" applyNumberFormat="0" applyBorder="0" applyAlignment="0" applyProtection="0"/>
    <xf numFmtId="0" fontId="25" fillId="19" borderId="0" applyNumberFormat="0" applyBorder="0" applyAlignment="0" applyProtection="0"/>
    <xf numFmtId="0" fontId="25" fillId="19" borderId="0" applyNumberFormat="0" applyBorder="0" applyAlignment="0" applyProtection="0"/>
    <xf numFmtId="0" fontId="25" fillId="19" borderId="0" applyNumberFormat="0" applyBorder="0" applyAlignment="0" applyProtection="0"/>
    <xf numFmtId="0" fontId="25" fillId="22" borderId="0" applyNumberFormat="0" applyBorder="0" applyAlignment="0" applyProtection="0"/>
    <xf numFmtId="0" fontId="25" fillId="22" borderId="0" applyNumberFormat="0" applyBorder="0" applyAlignment="0" applyProtection="0"/>
    <xf numFmtId="0" fontId="25" fillId="22" borderId="0" applyNumberFormat="0" applyBorder="0" applyAlignment="0" applyProtection="0"/>
    <xf numFmtId="0" fontId="25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3" borderId="0" applyNumberFormat="0" applyBorder="0" applyAlignment="0" applyProtection="0"/>
    <xf numFmtId="0" fontId="26" fillId="23" borderId="0" applyNumberFormat="0" applyBorder="0" applyAlignment="0" applyProtection="0"/>
    <xf numFmtId="0" fontId="26" fillId="23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6" borderId="0" applyNumberFormat="0" applyBorder="0" applyAlignment="0" applyProtection="0"/>
    <xf numFmtId="0" fontId="26" fillId="26" borderId="0" applyNumberFormat="0" applyBorder="0" applyAlignment="0" applyProtection="0"/>
    <xf numFmtId="0" fontId="26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25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8" fillId="18" borderId="13" applyNumberFormat="0" applyAlignment="0" applyProtection="0"/>
    <xf numFmtId="0" fontId="28" fillId="18" borderId="13" applyNumberFormat="0" applyAlignment="0" applyProtection="0"/>
    <xf numFmtId="0" fontId="28" fillId="18" borderId="13" applyNumberFormat="0" applyAlignment="0" applyProtection="0"/>
    <xf numFmtId="0" fontId="28" fillId="18" borderId="13" applyNumberFormat="0" applyAlignment="0" applyProtection="0"/>
    <xf numFmtId="0" fontId="29" fillId="31" borderId="14" applyNumberFormat="0" applyAlignment="0" applyProtection="0"/>
    <xf numFmtId="0" fontId="29" fillId="31" borderId="14" applyNumberFormat="0" applyAlignment="0" applyProtection="0"/>
    <xf numFmtId="0" fontId="29" fillId="31" borderId="14" applyNumberFormat="0" applyAlignment="0" applyProtection="0"/>
    <xf numFmtId="0" fontId="29" fillId="31" borderId="14" applyNumberFormat="0" applyAlignment="0" applyProtection="0"/>
    <xf numFmtId="0" fontId="30" fillId="0" borderId="5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3" fillId="0" borderId="15" applyNumberFormat="0" applyFill="0" applyAlignment="0" applyProtection="0"/>
    <xf numFmtId="0" fontId="33" fillId="0" borderId="15" applyNumberFormat="0" applyFill="0" applyAlignment="0" applyProtection="0"/>
    <xf numFmtId="0" fontId="33" fillId="0" borderId="15" applyNumberFormat="0" applyFill="0" applyAlignment="0" applyProtection="0"/>
    <xf numFmtId="0" fontId="33" fillId="0" borderId="15" applyNumberFormat="0" applyFill="0" applyAlignment="0" applyProtection="0"/>
    <xf numFmtId="0" fontId="34" fillId="0" borderId="16" applyNumberFormat="0" applyFill="0" applyAlignment="0" applyProtection="0"/>
    <xf numFmtId="0" fontId="34" fillId="0" borderId="16" applyNumberFormat="0" applyFill="0" applyAlignment="0" applyProtection="0"/>
    <xf numFmtId="0" fontId="34" fillId="0" borderId="16" applyNumberFormat="0" applyFill="0" applyAlignment="0" applyProtection="0"/>
    <xf numFmtId="0" fontId="34" fillId="0" borderId="16" applyNumberFormat="0" applyFill="0" applyAlignment="0" applyProtection="0"/>
    <xf numFmtId="0" fontId="35" fillId="0" borderId="17" applyNumberFormat="0" applyFill="0" applyAlignment="0" applyProtection="0"/>
    <xf numFmtId="0" fontId="35" fillId="0" borderId="17" applyNumberFormat="0" applyFill="0" applyAlignment="0" applyProtection="0"/>
    <xf numFmtId="0" fontId="35" fillId="0" borderId="17" applyNumberFormat="0" applyFill="0" applyAlignment="0" applyProtection="0"/>
    <xf numFmtId="0" fontId="35" fillId="0" borderId="17" applyNumberFormat="0" applyFill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 applyNumberFormat="0" applyFill="0" applyBorder="0" applyAlignment="0" applyProtection="0">
      <alignment vertical="top"/>
      <protection locked="0"/>
    </xf>
    <xf numFmtId="0" fontId="38" fillId="18" borderId="13" applyNumberFormat="0" applyAlignment="0" applyProtection="0"/>
    <xf numFmtId="0" fontId="38" fillId="18" borderId="13" applyNumberFormat="0" applyAlignment="0" applyProtection="0"/>
    <xf numFmtId="0" fontId="38" fillId="18" borderId="13" applyNumberFormat="0" applyAlignment="0" applyProtection="0"/>
    <xf numFmtId="0" fontId="38" fillId="18" borderId="13" applyNumberFormat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168" fontId="39" fillId="32" borderId="0" applyNumberFormat="0" applyBorder="0">
      <alignment horizontal="right"/>
      <protection locked="0"/>
    </xf>
    <xf numFmtId="0" fontId="40" fillId="0" borderId="18" applyNumberFormat="0" applyFill="0" applyAlignment="0" applyProtection="0"/>
    <xf numFmtId="0" fontId="40" fillId="0" borderId="18" applyNumberFormat="0" applyFill="0" applyAlignment="0" applyProtection="0"/>
    <xf numFmtId="0" fontId="40" fillId="0" borderId="18" applyNumberFormat="0" applyFill="0" applyAlignment="0" applyProtection="0"/>
    <xf numFmtId="0" fontId="40" fillId="0" borderId="18" applyNumberFormat="0" applyFill="0" applyAlignment="0" applyProtection="0"/>
    <xf numFmtId="169" fontId="41" fillId="33" borderId="0" applyNumberFormat="0" applyBorder="0">
      <alignment horizontal="right" vertical="center"/>
      <protection locked="0"/>
    </xf>
    <xf numFmtId="170" fontId="41" fillId="34" borderId="0" applyNumberFormat="0" applyBorder="0">
      <alignment horizontal="right" vertical="center"/>
      <protection locked="0"/>
    </xf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42" fillId="7" borderId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2" fillId="7" borderId="0"/>
    <xf numFmtId="0" fontId="42" fillId="7" borderId="0"/>
    <xf numFmtId="171" fontId="44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36" borderId="19" applyNumberFormat="0" applyFont="0" applyAlignment="0" applyProtection="0"/>
    <xf numFmtId="0" fontId="25" fillId="36" borderId="19" applyNumberFormat="0" applyFont="0" applyAlignment="0" applyProtection="0"/>
    <xf numFmtId="0" fontId="25" fillId="36" borderId="19" applyNumberFormat="0" applyFont="0" applyAlignment="0" applyProtection="0"/>
    <xf numFmtId="0" fontId="25" fillId="36" borderId="19" applyNumberFormat="0" applyFont="0" applyAlignment="0" applyProtection="0"/>
    <xf numFmtId="0" fontId="42" fillId="7" borderId="0"/>
    <xf numFmtId="0" fontId="45" fillId="18" borderId="20" applyNumberFormat="0" applyAlignment="0" applyProtection="0"/>
    <xf numFmtId="0" fontId="45" fillId="18" borderId="20" applyNumberFormat="0" applyAlignment="0" applyProtection="0"/>
    <xf numFmtId="0" fontId="45" fillId="18" borderId="20" applyNumberFormat="0" applyAlignment="0" applyProtection="0"/>
    <xf numFmtId="0" fontId="45" fillId="18" borderId="20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72" fontId="47" fillId="37" borderId="0" applyNumberFormat="0" applyBorder="0">
      <alignment horizontal="left" vertical="center"/>
      <protection locked="0"/>
    </xf>
    <xf numFmtId="172" fontId="48" fillId="32" borderId="0" applyNumberFormat="0" applyBorder="0">
      <alignment horizontal="left"/>
      <protection locked="0"/>
    </xf>
    <xf numFmtId="0" fontId="49" fillId="0" borderId="21" applyNumberFormat="0" applyFill="0" applyAlignment="0" applyProtection="0"/>
    <xf numFmtId="0" fontId="49" fillId="0" borderId="21" applyNumberFormat="0" applyFill="0" applyAlignment="0" applyProtection="0"/>
    <xf numFmtId="0" fontId="49" fillId="0" borderId="21" applyNumberFormat="0" applyFill="0" applyAlignment="0" applyProtection="0"/>
    <xf numFmtId="0" fontId="49" fillId="0" borderId="21" applyNumberFormat="0" applyFill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173" fontId="53" fillId="0" borderId="0"/>
  </cellStyleXfs>
  <cellXfs count="165">
    <xf numFmtId="0" fontId="0" fillId="0" borderId="0" xfId="0"/>
    <xf numFmtId="0" fontId="2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3" xfId="1" applyNumberFormat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 applyProtection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Fill="1" applyBorder="1" applyAlignment="1" applyProtection="1">
      <alignment vertical="center"/>
    </xf>
    <xf numFmtId="0" fontId="8" fillId="0" borderId="0" xfId="2" applyFont="1" applyFill="1" applyBorder="1" applyAlignment="1" applyProtection="1">
      <alignment vertical="center"/>
    </xf>
    <xf numFmtId="0" fontId="1" fillId="0" borderId="0" xfId="1" applyFill="1" applyBorder="1" applyProtection="1"/>
    <xf numFmtId="0" fontId="9" fillId="0" borderId="0" xfId="2" applyFont="1" applyFill="1" applyBorder="1" applyAlignment="1" applyProtection="1">
      <alignment vertical="center"/>
    </xf>
    <xf numFmtId="0" fontId="8" fillId="7" borderId="0" xfId="2" applyFont="1" applyFill="1" applyBorder="1" applyAlignment="1" applyProtection="1">
      <alignment vertical="center"/>
    </xf>
    <xf numFmtId="0" fontId="7" fillId="0" borderId="0" xfId="1" applyFont="1" applyFill="1" applyBorder="1" applyAlignment="1">
      <alignment vertical="center"/>
    </xf>
    <xf numFmtId="0" fontId="1" fillId="0" borderId="0" xfId="1" applyFill="1" applyAlignment="1"/>
    <xf numFmtId="0" fontId="12" fillId="0" borderId="0" xfId="1" applyFont="1" applyFill="1" applyBorder="1" applyAlignment="1">
      <alignment horizontal="center" vertical="center" wrapText="1"/>
    </xf>
    <xf numFmtId="0" fontId="7" fillId="0" borderId="0" xfId="2" applyFont="1" applyFill="1" applyAlignment="1" applyProtection="1">
      <alignment vertical="center"/>
    </xf>
    <xf numFmtId="0" fontId="16" fillId="0" borderId="0" xfId="2" applyFont="1" applyFill="1" applyBorder="1" applyAlignment="1" applyProtection="1">
      <alignment vertical="center"/>
    </xf>
    <xf numFmtId="0" fontId="17" fillId="0" borderId="0" xfId="4" applyFont="1" applyFill="1" applyBorder="1" applyAlignment="1">
      <alignment horizontal="center" vertical="center"/>
    </xf>
    <xf numFmtId="0" fontId="18" fillId="0" borderId="0" xfId="2" applyFont="1" applyFill="1" applyBorder="1" applyAlignment="1" applyProtection="1">
      <alignment vertical="center"/>
    </xf>
    <xf numFmtId="0" fontId="19" fillId="0" borderId="0" xfId="4" applyFont="1" applyFill="1" applyBorder="1" applyAlignment="1">
      <alignment horizontal="center" vertical="center"/>
    </xf>
    <xf numFmtId="165" fontId="20" fillId="0" borderId="0" xfId="3" applyNumberFormat="1" applyFont="1" applyFill="1" applyBorder="1" applyAlignment="1">
      <alignment horizontal="center" vertical="center" wrapText="1"/>
    </xf>
    <xf numFmtId="0" fontId="21" fillId="0" borderId="0" xfId="2" applyFont="1" applyFill="1" applyBorder="1" applyAlignment="1" applyProtection="1">
      <alignment vertical="center"/>
    </xf>
    <xf numFmtId="165" fontId="22" fillId="0" borderId="0" xfId="3" applyNumberFormat="1" applyFont="1" applyFill="1" applyBorder="1" applyAlignment="1">
      <alignment horizontal="center" vertical="center" wrapText="1"/>
    </xf>
    <xf numFmtId="0" fontId="23" fillId="0" borderId="0" xfId="2" applyFont="1" applyFill="1" applyBorder="1" applyAlignment="1" applyProtection="1">
      <alignment vertical="center"/>
    </xf>
    <xf numFmtId="0" fontId="24" fillId="0" borderId="0" xfId="2" applyFont="1" applyFill="1" applyBorder="1" applyAlignment="1" applyProtection="1">
      <alignment vertical="center"/>
    </xf>
    <xf numFmtId="0" fontId="52" fillId="0" borderId="0" xfId="4" applyFont="1" applyFill="1" applyBorder="1" applyAlignment="1">
      <alignment horizontal="center" vertical="center"/>
    </xf>
    <xf numFmtId="0" fontId="26" fillId="0" borderId="0" xfId="2" applyFont="1" applyFill="1" applyBorder="1" applyAlignment="1" applyProtection="1">
      <alignment vertical="center"/>
    </xf>
    <xf numFmtId="0" fontId="56" fillId="0" borderId="0" xfId="2" applyFont="1" applyFill="1" applyBorder="1" applyAlignment="1" applyProtection="1">
      <alignment vertical="center"/>
    </xf>
    <xf numFmtId="0" fontId="57" fillId="0" borderId="0" xfId="2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center"/>
    </xf>
    <xf numFmtId="0" fontId="58" fillId="0" borderId="0" xfId="1" applyFont="1" applyFill="1" applyBorder="1" applyAlignment="1" applyProtection="1">
      <alignment horizontal="right"/>
    </xf>
    <xf numFmtId="0" fontId="56" fillId="5" borderId="5" xfId="1" applyFont="1" applyFill="1" applyBorder="1" applyProtection="1"/>
    <xf numFmtId="0" fontId="56" fillId="2" borderId="5" xfId="1" applyFont="1" applyFill="1" applyBorder="1" applyProtection="1">
      <protection locked="0"/>
    </xf>
    <xf numFmtId="0" fontId="59" fillId="0" borderId="0" xfId="2" applyFont="1" applyFill="1" applyBorder="1" applyAlignment="1" applyProtection="1">
      <alignment vertical="center"/>
    </xf>
    <xf numFmtId="0" fontId="56" fillId="0" borderId="0" xfId="2" applyFont="1" applyFill="1" applyBorder="1" applyAlignment="1" applyProtection="1">
      <alignment horizontal="left" vertical="center"/>
    </xf>
    <xf numFmtId="0" fontId="58" fillId="0" borderId="0" xfId="0" applyFont="1" applyAlignment="1" applyProtection="1">
      <alignment horizontal="right"/>
    </xf>
    <xf numFmtId="0" fontId="51" fillId="0" borderId="0" xfId="0" applyFont="1" applyProtection="1"/>
    <xf numFmtId="0" fontId="51" fillId="0" borderId="6" xfId="0" applyFont="1" applyFill="1" applyBorder="1" applyProtection="1"/>
    <xf numFmtId="0" fontId="57" fillId="0" borderId="0" xfId="2" applyFont="1" applyFill="1" applyBorder="1" applyAlignment="1" applyProtection="1">
      <alignment vertical="center"/>
    </xf>
    <xf numFmtId="0" fontId="56" fillId="0" borderId="0" xfId="3" applyFont="1" applyFill="1" applyBorder="1" applyAlignment="1" applyProtection="1">
      <alignment vertical="center"/>
    </xf>
    <xf numFmtId="0" fontId="60" fillId="0" borderId="0" xfId="2" applyFont="1" applyFill="1" applyBorder="1" applyAlignment="1" applyProtection="1">
      <alignment vertical="center"/>
    </xf>
    <xf numFmtId="0" fontId="55" fillId="4" borderId="5" xfId="0" applyFont="1" applyFill="1" applyBorder="1" applyAlignment="1" applyProtection="1">
      <alignment horizontal="center"/>
    </xf>
    <xf numFmtId="0" fontId="61" fillId="0" borderId="0" xfId="3" applyFont="1" applyFill="1" applyBorder="1" applyAlignment="1" applyProtection="1">
      <alignment horizontal="right" vertical="center"/>
    </xf>
    <xf numFmtId="164" fontId="61" fillId="0" borderId="0" xfId="3" applyNumberFormat="1" applyFont="1" applyFill="1" applyBorder="1" applyAlignment="1" applyProtection="1">
      <alignment horizontal="right" vertical="center"/>
    </xf>
    <xf numFmtId="2" fontId="62" fillId="0" borderId="0" xfId="3" applyNumberFormat="1" applyFont="1" applyFill="1" applyBorder="1" applyAlignment="1" applyProtection="1">
      <alignment vertical="center"/>
    </xf>
    <xf numFmtId="0" fontId="63" fillId="0" borderId="0" xfId="2" applyFont="1" applyFill="1" applyBorder="1" applyAlignment="1" applyProtection="1">
      <alignment horizontal="left" vertical="center"/>
    </xf>
    <xf numFmtId="0" fontId="56" fillId="0" borderId="0" xfId="1" applyFont="1" applyFill="1" applyBorder="1" applyAlignment="1">
      <alignment vertical="center"/>
    </xf>
    <xf numFmtId="0" fontId="56" fillId="0" borderId="0" xfId="1" applyFont="1" applyFill="1" applyAlignment="1">
      <alignment horizontal="left" indent="1"/>
    </xf>
    <xf numFmtId="0" fontId="56" fillId="0" borderId="0" xfId="1" applyFont="1" applyFill="1" applyAlignment="1"/>
    <xf numFmtId="0" fontId="64" fillId="9" borderId="0" xfId="1" applyFont="1" applyFill="1" applyBorder="1" applyAlignment="1">
      <alignment horizontal="left" vertical="center"/>
    </xf>
    <xf numFmtId="0" fontId="65" fillId="0" borderId="0" xfId="2" applyFont="1" applyFill="1" applyBorder="1" applyAlignment="1" applyProtection="1">
      <alignment horizontal="center" vertical="center"/>
    </xf>
    <xf numFmtId="0" fontId="56" fillId="0" borderId="0" xfId="2" applyFont="1" applyFill="1" applyAlignment="1" applyProtection="1">
      <alignment vertical="center"/>
    </xf>
    <xf numFmtId="0" fontId="66" fillId="0" borderId="0" xfId="4" applyFont="1" applyFill="1" applyBorder="1" applyAlignment="1">
      <alignment horizontal="center" vertical="center" wrapText="1"/>
    </xf>
    <xf numFmtId="0" fontId="58" fillId="0" borderId="0" xfId="1" applyFont="1" applyFill="1" applyBorder="1" applyAlignment="1" applyProtection="1">
      <alignment horizontal="left"/>
    </xf>
    <xf numFmtId="0" fontId="56" fillId="0" borderId="0" xfId="1" applyFont="1" applyFill="1" applyBorder="1" applyAlignment="1">
      <alignment vertical="center" wrapText="1"/>
    </xf>
    <xf numFmtId="0" fontId="67" fillId="0" borderId="0" xfId="1" applyFont="1" applyFill="1" applyBorder="1" applyAlignment="1">
      <alignment horizontal="center" vertical="center" wrapText="1"/>
    </xf>
    <xf numFmtId="0" fontId="68" fillId="0" borderId="0" xfId="1" applyFont="1" applyFill="1" applyBorder="1" applyAlignment="1">
      <alignment horizontal="center" vertical="center" wrapText="1"/>
    </xf>
    <xf numFmtId="0" fontId="69" fillId="0" borderId="0" xfId="2" applyFont="1" applyFill="1" applyBorder="1" applyAlignment="1" applyProtection="1">
      <alignment vertical="center"/>
    </xf>
    <xf numFmtId="164" fontId="71" fillId="0" borderId="0" xfId="2" applyNumberFormat="1" applyFont="1" applyFill="1" applyBorder="1" applyAlignment="1" applyProtection="1">
      <alignment horizontal="right" vertical="center" indent="1"/>
    </xf>
    <xf numFmtId="164" fontId="71" fillId="0" borderId="0" xfId="3" applyNumberFormat="1" applyFont="1" applyFill="1" applyBorder="1" applyAlignment="1">
      <alignment horizontal="right" vertical="center" wrapText="1" indent="1"/>
    </xf>
    <xf numFmtId="165" fontId="71" fillId="0" borderId="0" xfId="3" applyNumberFormat="1" applyFont="1" applyFill="1" applyBorder="1" applyAlignment="1">
      <alignment horizontal="right" vertical="center" wrapText="1" indent="1"/>
    </xf>
    <xf numFmtId="0" fontId="72" fillId="0" borderId="0" xfId="2" applyFont="1" applyFill="1" applyBorder="1" applyAlignment="1" applyProtection="1">
      <alignment vertical="center"/>
    </xf>
    <xf numFmtId="0" fontId="74" fillId="0" borderId="0" xfId="3" applyFont="1" applyFill="1" applyBorder="1" applyAlignment="1" applyProtection="1">
      <alignment horizontal="center" vertical="center" textRotation="90"/>
    </xf>
    <xf numFmtId="0" fontId="75" fillId="0" borderId="0" xfId="2" applyFont="1" applyFill="1" applyBorder="1" applyAlignment="1" applyProtection="1">
      <alignment vertical="center"/>
    </xf>
    <xf numFmtId="0" fontId="76" fillId="0" borderId="0" xfId="3" applyFont="1" applyFill="1" applyBorder="1" applyAlignment="1" applyProtection="1">
      <alignment horizontal="center" vertical="center" textRotation="90"/>
    </xf>
    <xf numFmtId="0" fontId="70" fillId="0" borderId="12" xfId="4" applyFont="1" applyFill="1" applyBorder="1" applyAlignment="1">
      <alignment horizontal="center"/>
    </xf>
    <xf numFmtId="0" fontId="59" fillId="7" borderId="0" xfId="2" applyFont="1" applyFill="1" applyBorder="1" applyAlignment="1" applyProtection="1">
      <alignment vertical="center"/>
    </xf>
    <xf numFmtId="0" fontId="77" fillId="0" borderId="0" xfId="1" applyFont="1" applyFill="1" applyBorder="1" applyAlignment="1">
      <alignment horizontal="center" vertical="center" wrapText="1"/>
    </xf>
    <xf numFmtId="0" fontId="14" fillId="0" borderId="0" xfId="2" applyFont="1" applyFill="1" applyBorder="1" applyAlignment="1" applyProtection="1">
      <alignment vertical="center"/>
    </xf>
    <xf numFmtId="0" fontId="78" fillId="0" borderId="0" xfId="1" applyFont="1" applyFill="1" applyBorder="1" applyProtection="1"/>
    <xf numFmtId="0" fontId="14" fillId="7" borderId="0" xfId="2" applyFont="1" applyFill="1" applyBorder="1" applyAlignment="1" applyProtection="1">
      <alignment vertical="center"/>
    </xf>
    <xf numFmtId="0" fontId="15" fillId="0" borderId="0" xfId="1" applyFont="1" applyFill="1" applyBorder="1" applyAlignment="1">
      <alignment vertical="center"/>
    </xf>
    <xf numFmtId="0" fontId="78" fillId="0" borderId="0" xfId="1" applyFont="1" applyFill="1" applyAlignment="1"/>
    <xf numFmtId="0" fontId="54" fillId="38" borderId="0" xfId="233" applyNumberFormat="1" applyFont="1" applyFill="1" applyBorder="1" applyAlignment="1" applyProtection="1">
      <alignment horizontal="left" vertical="center"/>
    </xf>
    <xf numFmtId="0" fontId="79" fillId="0" borderId="0" xfId="4" applyFont="1" applyFill="1" applyBorder="1" applyAlignment="1">
      <alignment horizontal="center"/>
    </xf>
    <xf numFmtId="0" fontId="80" fillId="11" borderId="10" xfId="4" applyFont="1" applyFill="1" applyBorder="1" applyAlignment="1">
      <alignment horizontal="center" vertical="center"/>
    </xf>
    <xf numFmtId="0" fontId="80" fillId="0" borderId="0" xfId="4" applyFont="1" applyFill="1" applyBorder="1" applyAlignment="1">
      <alignment horizontal="center" vertical="center"/>
    </xf>
    <xf numFmtId="0" fontId="80" fillId="0" borderId="11" xfId="4" applyFont="1" applyFill="1" applyBorder="1" applyAlignment="1">
      <alignment horizontal="center" vertical="center"/>
    </xf>
    <xf numFmtId="0" fontId="81" fillId="0" borderId="0" xfId="2" applyFont="1" applyFill="1" applyBorder="1" applyAlignment="1" applyProtection="1">
      <alignment vertical="center"/>
    </xf>
    <xf numFmtId="0" fontId="55" fillId="0" borderId="0" xfId="1" applyFont="1" applyFill="1" applyBorder="1" applyAlignment="1">
      <alignment vertical="center" wrapText="1"/>
    </xf>
    <xf numFmtId="0" fontId="11" fillId="0" borderId="0" xfId="1" applyFont="1" applyFill="1" applyBorder="1" applyAlignment="1"/>
    <xf numFmtId="0" fontId="56" fillId="0" borderId="0" xfId="2" applyFont="1" applyFill="1" applyAlignment="1" applyProtection="1">
      <alignment vertical="center" wrapText="1"/>
    </xf>
    <xf numFmtId="0" fontId="57" fillId="0" borderId="0" xfId="2" applyFont="1" applyFill="1" applyBorder="1" applyAlignment="1" applyProtection="1">
      <alignment horizontal="center" vertical="center" wrapText="1"/>
    </xf>
    <xf numFmtId="0" fontId="58" fillId="0" borderId="0" xfId="1" applyFont="1" applyFill="1" applyBorder="1" applyAlignment="1" applyProtection="1">
      <alignment horizontal="left" wrapText="1"/>
    </xf>
    <xf numFmtId="0" fontId="65" fillId="0" borderId="0" xfId="2" applyFont="1" applyFill="1" applyBorder="1" applyAlignment="1" applyProtection="1">
      <alignment horizontal="center" vertical="center" wrapText="1"/>
    </xf>
    <xf numFmtId="0" fontId="54" fillId="38" borderId="0" xfId="233" applyNumberFormat="1" applyFont="1" applyFill="1" applyBorder="1" applyAlignment="1" applyProtection="1">
      <alignment horizontal="center" vertical="center" wrapText="1"/>
    </xf>
    <xf numFmtId="0" fontId="54" fillId="39" borderId="0" xfId="233" applyNumberFormat="1" applyFont="1" applyFill="1" applyBorder="1" applyAlignment="1" applyProtection="1">
      <alignment horizontal="center" vertical="center" wrapText="1"/>
    </xf>
    <xf numFmtId="0" fontId="9" fillId="0" borderId="0" xfId="2" applyFont="1" applyFill="1" applyBorder="1" applyAlignment="1" applyProtection="1">
      <alignment vertical="center" wrapText="1"/>
    </xf>
    <xf numFmtId="0" fontId="7" fillId="0" borderId="0" xfId="2" applyFont="1" applyFill="1" applyAlignment="1" applyProtection="1">
      <alignment vertical="center" wrapText="1"/>
    </xf>
    <xf numFmtId="0" fontId="83" fillId="0" borderId="0" xfId="2" applyFont="1" applyFill="1" applyBorder="1" applyAlignment="1" applyProtection="1">
      <alignment vertical="center" wrapText="1"/>
    </xf>
    <xf numFmtId="0" fontId="54" fillId="0" borderId="0" xfId="233" applyNumberFormat="1" applyFont="1" applyFill="1" applyBorder="1" applyAlignment="1" applyProtection="1">
      <alignment horizontal="right" vertical="center" wrapText="1"/>
    </xf>
    <xf numFmtId="0" fontId="82" fillId="0" borderId="0" xfId="2" applyFont="1" applyFill="1" applyBorder="1" applyAlignment="1" applyProtection="1">
      <alignment vertical="center"/>
    </xf>
    <xf numFmtId="0" fontId="55" fillId="0" borderId="0" xfId="2" applyFont="1" applyFill="1" applyBorder="1" applyAlignment="1" applyProtection="1">
      <alignment horizontal="center" vertical="center"/>
    </xf>
    <xf numFmtId="0" fontId="82" fillId="39" borderId="0" xfId="1" applyFont="1" applyFill="1" applyBorder="1" applyAlignment="1">
      <alignment horizontal="left" vertical="center"/>
    </xf>
    <xf numFmtId="0" fontId="82" fillId="0" borderId="0" xfId="1" applyFont="1" applyFill="1" applyAlignment="1">
      <alignment horizontal="left" indent="1"/>
    </xf>
    <xf numFmtId="0" fontId="82" fillId="0" borderId="0" xfId="1" applyFont="1" applyFill="1" applyAlignment="1"/>
    <xf numFmtId="0" fontId="84" fillId="7" borderId="0" xfId="2" applyFont="1" applyFill="1" applyBorder="1" applyAlignment="1" applyProtection="1">
      <alignment vertical="center"/>
    </xf>
    <xf numFmtId="0" fontId="81" fillId="7" borderId="0" xfId="2" applyFont="1" applyFill="1" applyBorder="1" applyAlignment="1" applyProtection="1">
      <alignment vertical="center"/>
    </xf>
    <xf numFmtId="0" fontId="84" fillId="0" borderId="0" xfId="2" applyFont="1" applyFill="1" applyBorder="1" applyAlignment="1" applyProtection="1">
      <alignment vertical="center"/>
    </xf>
    <xf numFmtId="0" fontId="85" fillId="0" borderId="0" xfId="2" applyNumberFormat="1" applyFont="1" applyFill="1" applyBorder="1" applyAlignment="1" applyProtection="1">
      <alignment vertical="center"/>
    </xf>
    <xf numFmtId="0" fontId="86" fillId="0" borderId="0" xfId="2" applyFont="1" applyFill="1" applyBorder="1" applyAlignment="1" applyProtection="1">
      <alignment horizontal="center" vertical="center"/>
    </xf>
    <xf numFmtId="0" fontId="87" fillId="0" borderId="0" xfId="2" applyNumberFormat="1" applyFont="1" applyFill="1" applyBorder="1" applyAlignment="1" applyProtection="1">
      <alignment vertical="center"/>
    </xf>
    <xf numFmtId="164" fontId="88" fillId="0" borderId="0" xfId="2" applyNumberFormat="1" applyFont="1" applyFill="1" applyBorder="1" applyAlignment="1" applyProtection="1">
      <alignment horizontal="left" vertical="center"/>
    </xf>
    <xf numFmtId="0" fontId="89" fillId="0" borderId="0" xfId="1" applyFont="1" applyFill="1" applyBorder="1" applyAlignment="1">
      <alignment horizontal="center" vertical="center" wrapText="1"/>
    </xf>
    <xf numFmtId="0" fontId="13" fillId="6" borderId="5" xfId="2" applyFont="1" applyFill="1" applyBorder="1" applyAlignment="1" applyProtection="1">
      <alignment horizontal="center" vertical="center"/>
    </xf>
    <xf numFmtId="0" fontId="90" fillId="0" borderId="0" xfId="2" applyFont="1" applyBorder="1" applyAlignment="1" applyProtection="1">
      <alignment vertical="center"/>
    </xf>
    <xf numFmtId="0" fontId="82" fillId="0" borderId="0" xfId="2" applyFont="1" applyFill="1" applyAlignment="1" applyProtection="1">
      <alignment vertical="center"/>
    </xf>
    <xf numFmtId="0" fontId="86" fillId="0" borderId="0" xfId="2" applyFont="1" applyBorder="1" applyAlignment="1" applyProtection="1">
      <alignment horizontal="center" vertical="center"/>
    </xf>
    <xf numFmtId="0" fontId="83" fillId="0" borderId="7" xfId="4" applyFont="1" applyFill="1" applyBorder="1" applyAlignment="1">
      <alignment horizontal="center" vertical="center" wrapText="1"/>
    </xf>
    <xf numFmtId="0" fontId="23" fillId="0" borderId="0" xfId="2" applyFont="1" applyFill="1" applyAlignment="1" applyProtection="1">
      <alignment vertical="center"/>
    </xf>
    <xf numFmtId="0" fontId="23" fillId="0" borderId="8" xfId="2" applyFont="1" applyFill="1" applyBorder="1" applyAlignment="1" applyProtection="1">
      <alignment vertical="center"/>
    </xf>
    <xf numFmtId="0" fontId="82" fillId="0" borderId="0" xfId="2" applyFont="1" applyFill="1" applyAlignment="1" applyProtection="1">
      <alignment vertical="center" wrapText="1"/>
    </xf>
    <xf numFmtId="0" fontId="55" fillId="0" borderId="0" xfId="2" applyFont="1" applyFill="1" applyBorder="1" applyAlignment="1" applyProtection="1">
      <alignment horizontal="center" vertical="center" wrapText="1"/>
    </xf>
    <xf numFmtId="0" fontId="86" fillId="0" borderId="0" xfId="2" applyFont="1" applyFill="1" applyBorder="1" applyAlignment="1" applyProtection="1">
      <alignment horizontal="center" vertical="center" wrapText="1"/>
    </xf>
    <xf numFmtId="0" fontId="82" fillId="39" borderId="0" xfId="4" applyFont="1" applyFill="1" applyBorder="1" applyAlignment="1">
      <alignment horizontal="left" vertical="center" wrapText="1"/>
    </xf>
    <xf numFmtId="0" fontId="83" fillId="0" borderId="0" xfId="4" applyFont="1" applyFill="1" applyBorder="1" applyAlignment="1">
      <alignment horizontal="center" vertical="center" wrapText="1"/>
    </xf>
    <xf numFmtId="0" fontId="84" fillId="0" borderId="0" xfId="2" applyFont="1" applyFill="1" applyBorder="1" applyAlignment="1" applyProtection="1">
      <alignment vertical="center" wrapText="1"/>
    </xf>
    <xf numFmtId="0" fontId="23" fillId="0" borderId="0" xfId="2" applyFont="1" applyFill="1" applyAlignment="1" applyProtection="1">
      <alignment vertical="center" wrapText="1"/>
    </xf>
    <xf numFmtId="0" fontId="23" fillId="0" borderId="0" xfId="2" quotePrefix="1" applyFont="1" applyFill="1" applyAlignment="1" applyProtection="1">
      <alignment vertical="center"/>
    </xf>
    <xf numFmtId="0" fontId="91" fillId="0" borderId="26" xfId="0" applyFont="1" applyBorder="1" applyProtection="1"/>
    <xf numFmtId="0" fontId="1" fillId="0" borderId="26" xfId="0" applyFont="1" applyBorder="1" applyProtection="1"/>
    <xf numFmtId="0" fontId="7" fillId="0" borderId="26" xfId="2" applyFont="1" applyFill="1" applyBorder="1" applyAlignment="1" applyProtection="1">
      <alignment vertical="center"/>
    </xf>
    <xf numFmtId="0" fontId="9" fillId="12" borderId="0" xfId="2" applyFont="1" applyFill="1" applyBorder="1" applyAlignment="1" applyProtection="1">
      <alignment vertical="center"/>
    </xf>
    <xf numFmtId="0" fontId="70" fillId="12" borderId="0" xfId="4" applyFont="1" applyFill="1" applyBorder="1" applyAlignment="1">
      <alignment horizontal="center"/>
    </xf>
    <xf numFmtId="164" fontId="71" fillId="12" borderId="0" xfId="3" applyNumberFormat="1" applyFont="1" applyFill="1" applyBorder="1" applyAlignment="1">
      <alignment horizontal="right" vertical="center" wrapText="1" indent="1"/>
    </xf>
    <xf numFmtId="164" fontId="71" fillId="12" borderId="0" xfId="2" applyNumberFormat="1" applyFont="1" applyFill="1" applyBorder="1" applyAlignment="1" applyProtection="1">
      <alignment horizontal="right" vertical="center" indent="1"/>
    </xf>
    <xf numFmtId="165" fontId="71" fillId="12" borderId="0" xfId="3" applyNumberFormat="1" applyFont="1" applyFill="1" applyBorder="1" applyAlignment="1">
      <alignment horizontal="right" vertical="center" wrapText="1" indent="1"/>
    </xf>
    <xf numFmtId="0" fontId="80" fillId="12" borderId="0" xfId="4" applyFont="1" applyFill="1" applyBorder="1" applyAlignment="1">
      <alignment horizontal="center" vertical="center"/>
    </xf>
    <xf numFmtId="0" fontId="80" fillId="12" borderId="11" xfId="4" applyFont="1" applyFill="1" applyBorder="1" applyAlignment="1">
      <alignment horizontal="center" vertical="center"/>
    </xf>
    <xf numFmtId="0" fontId="73" fillId="12" borderId="0" xfId="4" applyFont="1" applyFill="1" applyBorder="1" applyAlignment="1">
      <alignment horizontal="center"/>
    </xf>
    <xf numFmtId="0" fontId="70" fillId="12" borderId="12" xfId="4" applyFont="1" applyFill="1" applyBorder="1" applyAlignment="1">
      <alignment horizontal="center"/>
    </xf>
    <xf numFmtId="164" fontId="71" fillId="10" borderId="9" xfId="1" applyNumberFormat="1" applyFont="1" applyFill="1" applyBorder="1" applyAlignment="1">
      <alignment horizontal="right" vertical="center" wrapText="1" indent="1"/>
    </xf>
    <xf numFmtId="0" fontId="93" fillId="12" borderId="0" xfId="2" applyFont="1" applyFill="1" applyBorder="1" applyAlignment="1" applyProtection="1">
      <alignment vertical="center"/>
    </xf>
    <xf numFmtId="165" fontId="71" fillId="10" borderId="9" xfId="1" applyNumberFormat="1" applyFont="1" applyFill="1" applyBorder="1" applyAlignment="1">
      <alignment horizontal="right" vertical="center" wrapText="1" indent="1"/>
    </xf>
    <xf numFmtId="0" fontId="94" fillId="11" borderId="10" xfId="4" applyFont="1" applyFill="1" applyBorder="1" applyAlignment="1">
      <alignment horizontal="center" vertical="center"/>
    </xf>
    <xf numFmtId="0" fontId="94" fillId="12" borderId="0" xfId="4" applyFont="1" applyFill="1" applyBorder="1" applyAlignment="1">
      <alignment horizontal="center" vertical="center"/>
    </xf>
    <xf numFmtId="0" fontId="69" fillId="10" borderId="0" xfId="1" applyFont="1" applyFill="1" applyBorder="1" applyAlignment="1">
      <alignment horizontal="left" vertical="center"/>
    </xf>
    <xf numFmtId="164" fontId="71" fillId="10" borderId="0" xfId="1" applyNumberFormat="1" applyFont="1" applyFill="1" applyBorder="1" applyAlignment="1">
      <alignment horizontal="right" vertical="center" wrapText="1" indent="1"/>
    </xf>
    <xf numFmtId="165" fontId="71" fillId="10" borderId="0" xfId="1" applyNumberFormat="1" applyFont="1" applyFill="1" applyBorder="1" applyAlignment="1">
      <alignment horizontal="right" vertical="center" wrapText="1" indent="1"/>
    </xf>
    <xf numFmtId="0" fontId="94" fillId="11" borderId="0" xfId="4" applyFont="1" applyFill="1" applyBorder="1" applyAlignment="1">
      <alignment horizontal="center" vertical="center"/>
    </xf>
    <xf numFmtId="0" fontId="80" fillId="11" borderId="0" xfId="4" applyFont="1" applyFill="1" applyBorder="1" applyAlignment="1">
      <alignment horizontal="center" vertical="center"/>
    </xf>
    <xf numFmtId="0" fontId="98" fillId="38" borderId="0" xfId="4" applyFont="1" applyFill="1" applyBorder="1" applyAlignment="1">
      <alignment horizontal="center" vertical="center"/>
    </xf>
    <xf numFmtId="165" fontId="97" fillId="38" borderId="0" xfId="1" applyNumberFormat="1" applyFont="1" applyFill="1" applyBorder="1" applyAlignment="1">
      <alignment horizontal="right" vertical="center" wrapText="1" indent="1"/>
    </xf>
    <xf numFmtId="164" fontId="97" fillId="38" borderId="0" xfId="233" applyNumberFormat="1" applyFont="1" applyFill="1" applyBorder="1" applyAlignment="1" applyProtection="1">
      <alignment horizontal="right" vertical="center" wrapText="1"/>
    </xf>
    <xf numFmtId="0" fontId="54" fillId="38" borderId="0" xfId="233" applyNumberFormat="1" applyFont="1" applyFill="1" applyBorder="1" applyAlignment="1" applyProtection="1">
      <alignment horizontal="left" vertical="center" wrapText="1"/>
      <protection locked="0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69" fillId="10" borderId="9" xfId="1" applyFont="1" applyFill="1" applyBorder="1" applyAlignment="1">
      <alignment horizontal="left" vertical="center"/>
    </xf>
    <xf numFmtId="0" fontId="69" fillId="12" borderId="0" xfId="3" applyFont="1" applyFill="1" applyBorder="1" applyAlignment="1">
      <alignment horizontal="left" vertical="center" wrapText="1" indent="1"/>
    </xf>
    <xf numFmtId="0" fontId="10" fillId="8" borderId="0" xfId="1" applyFont="1" applyFill="1" applyAlignment="1">
      <alignment horizontal="center" vertical="center"/>
    </xf>
    <xf numFmtId="0" fontId="95" fillId="0" borderId="27" xfId="2" applyFont="1" applyFill="1" applyBorder="1" applyAlignment="1" applyProtection="1">
      <alignment horizontal="center" vertical="center" textRotation="90"/>
    </xf>
    <xf numFmtId="0" fontId="54" fillId="39" borderId="22" xfId="233" applyNumberFormat="1" applyFont="1" applyFill="1" applyBorder="1" applyAlignment="1" applyProtection="1">
      <alignment horizontal="center" vertical="center" wrapText="1"/>
    </xf>
    <xf numFmtId="0" fontId="54" fillId="39" borderId="23" xfId="233" applyNumberFormat="1" applyFont="1" applyFill="1" applyBorder="1" applyAlignment="1" applyProtection="1">
      <alignment horizontal="center" vertical="center" wrapText="1"/>
    </xf>
    <xf numFmtId="0" fontId="54" fillId="39" borderId="24" xfId="233" applyNumberFormat="1" applyFont="1" applyFill="1" applyBorder="1" applyAlignment="1" applyProtection="1">
      <alignment horizontal="center" vertical="center" wrapText="1"/>
    </xf>
    <xf numFmtId="0" fontId="54" fillId="39" borderId="25" xfId="233" applyNumberFormat="1" applyFont="1" applyFill="1" applyBorder="1" applyAlignment="1" applyProtection="1">
      <alignment horizontal="center" vertical="center" wrapText="1"/>
    </xf>
    <xf numFmtId="0" fontId="96" fillId="38" borderId="28" xfId="233" applyNumberFormat="1" applyFont="1" applyFill="1" applyBorder="1" applyAlignment="1" applyProtection="1">
      <alignment horizontal="left" vertical="center" wrapText="1"/>
    </xf>
    <xf numFmtId="0" fontId="96" fillId="38" borderId="0" xfId="233" applyNumberFormat="1" applyFont="1" applyFill="1" applyBorder="1" applyAlignment="1" applyProtection="1">
      <alignment horizontal="left" vertical="center" wrapText="1"/>
    </xf>
    <xf numFmtId="0" fontId="92" fillId="12" borderId="0" xfId="3" applyFont="1" applyFill="1" applyBorder="1" applyAlignment="1">
      <alignment horizontal="left" vertical="center"/>
    </xf>
    <xf numFmtId="0" fontId="71" fillId="0" borderId="0" xfId="3" applyFont="1" applyFill="1" applyBorder="1" applyAlignment="1">
      <alignment horizontal="left" vertical="center" wrapText="1" indent="1"/>
    </xf>
  </cellXfs>
  <cellStyles count="234">
    <cellStyle name="20% - Accent1 2" xfId="5"/>
    <cellStyle name="20% - Accent1 3" xfId="6"/>
    <cellStyle name="20% - Accent1 4" xfId="7"/>
    <cellStyle name="20% - Accent1 5" xfId="8"/>
    <cellStyle name="20% - Accent2 2" xfId="9"/>
    <cellStyle name="20% - Accent2 3" xfId="10"/>
    <cellStyle name="20% - Accent2 4" xfId="11"/>
    <cellStyle name="20% - Accent2 5" xfId="12"/>
    <cellStyle name="20% - Accent3 2" xfId="13"/>
    <cellStyle name="20% - Accent3 3" xfId="14"/>
    <cellStyle name="20% - Accent3 4" xfId="15"/>
    <cellStyle name="20% - Accent3 5" xfId="16"/>
    <cellStyle name="20% - Accent4 2" xfId="17"/>
    <cellStyle name="20% - Accent4 3" xfId="18"/>
    <cellStyle name="20% - Accent4 4" xfId="19"/>
    <cellStyle name="20% - Accent4 5" xfId="20"/>
    <cellStyle name="20% - Accent5 2" xfId="21"/>
    <cellStyle name="20% - Accent5 3" xfId="22"/>
    <cellStyle name="20% - Accent5 4" xfId="23"/>
    <cellStyle name="20% - Accent5 5" xfId="24"/>
    <cellStyle name="20% - Accent6 2" xfId="25"/>
    <cellStyle name="20% - Accent6 3" xfId="26"/>
    <cellStyle name="20% - Accent6 4" xfId="27"/>
    <cellStyle name="20% - Accent6 5" xfId="28"/>
    <cellStyle name="40% - Accent1 2" xfId="29"/>
    <cellStyle name="40% - Accent1 3" xfId="30"/>
    <cellStyle name="40% - Accent1 4" xfId="31"/>
    <cellStyle name="40% - Accent1 5" xfId="32"/>
    <cellStyle name="40% - Accent2 2" xfId="33"/>
    <cellStyle name="40% - Accent2 3" xfId="34"/>
    <cellStyle name="40% - Accent2 4" xfId="35"/>
    <cellStyle name="40% - Accent2 5" xfId="36"/>
    <cellStyle name="40% - Accent3 2" xfId="37"/>
    <cellStyle name="40% - Accent3 3" xfId="38"/>
    <cellStyle name="40% - Accent3 4" xfId="39"/>
    <cellStyle name="40% - Accent3 5" xfId="40"/>
    <cellStyle name="40% - Accent4 2" xfId="41"/>
    <cellStyle name="40% - Accent4 3" xfId="42"/>
    <cellStyle name="40% - Accent4 4" xfId="43"/>
    <cellStyle name="40% - Accent4 5" xfId="44"/>
    <cellStyle name="40% - Accent5 2" xfId="45"/>
    <cellStyle name="40% - Accent5 3" xfId="46"/>
    <cellStyle name="40% - Accent5 4" xfId="47"/>
    <cellStyle name="40% - Accent5 5" xfId="48"/>
    <cellStyle name="40% - Accent6 2" xfId="49"/>
    <cellStyle name="40% - Accent6 3" xfId="50"/>
    <cellStyle name="40% - Accent6 4" xfId="51"/>
    <cellStyle name="40% - Accent6 5" xfId="52"/>
    <cellStyle name="60% - Accent1 2" xfId="53"/>
    <cellStyle name="60% - Accent1 3" xfId="54"/>
    <cellStyle name="60% - Accent1 4" xfId="55"/>
    <cellStyle name="60% - Accent1 5" xfId="56"/>
    <cellStyle name="60% - Accent2 2" xfId="57"/>
    <cellStyle name="60% - Accent2 3" xfId="58"/>
    <cellStyle name="60% - Accent2 4" xfId="59"/>
    <cellStyle name="60% - Accent2 5" xfId="60"/>
    <cellStyle name="60% - Accent3 2" xfId="61"/>
    <cellStyle name="60% - Accent3 3" xfId="62"/>
    <cellStyle name="60% - Accent3 4" xfId="63"/>
    <cellStyle name="60% - Accent3 5" xfId="64"/>
    <cellStyle name="60% - Accent4 2" xfId="65"/>
    <cellStyle name="60% - Accent4 3" xfId="66"/>
    <cellStyle name="60% - Accent4 4" xfId="67"/>
    <cellStyle name="60% - Accent4 5" xfId="68"/>
    <cellStyle name="60% - Accent5 2" xfId="69"/>
    <cellStyle name="60% - Accent5 3" xfId="70"/>
    <cellStyle name="60% - Accent5 4" xfId="71"/>
    <cellStyle name="60% - Accent5 5" xfId="72"/>
    <cellStyle name="60% - Accent6 2" xfId="73"/>
    <cellStyle name="60% - Accent6 3" xfId="74"/>
    <cellStyle name="60% - Accent6 4" xfId="75"/>
    <cellStyle name="60% - Accent6 5" xfId="76"/>
    <cellStyle name="Accent1 2" xfId="77"/>
    <cellStyle name="Accent1 3" xfId="78"/>
    <cellStyle name="Accent1 4" xfId="79"/>
    <cellStyle name="Accent1 5" xfId="80"/>
    <cellStyle name="Accent2 2" xfId="81"/>
    <cellStyle name="Accent2 3" xfId="82"/>
    <cellStyle name="Accent2 4" xfId="83"/>
    <cellStyle name="Accent2 5" xfId="84"/>
    <cellStyle name="Accent3 2" xfId="85"/>
    <cellStyle name="Accent3 3" xfId="86"/>
    <cellStyle name="Accent3 4" xfId="87"/>
    <cellStyle name="Accent3 5" xfId="88"/>
    <cellStyle name="Accent4 2" xfId="89"/>
    <cellStyle name="Accent4 3" xfId="90"/>
    <cellStyle name="Accent4 4" xfId="91"/>
    <cellStyle name="Accent4 5" xfId="92"/>
    <cellStyle name="Accent5 2" xfId="93"/>
    <cellStyle name="Accent5 3" xfId="94"/>
    <cellStyle name="Accent5 4" xfId="95"/>
    <cellStyle name="Accent5 5" xfId="96"/>
    <cellStyle name="Accent6 2" xfId="97"/>
    <cellStyle name="Accent6 3" xfId="98"/>
    <cellStyle name="Accent6 4" xfId="99"/>
    <cellStyle name="Accent6 5" xfId="100"/>
    <cellStyle name="Bad 2" xfId="101"/>
    <cellStyle name="Bad 3" xfId="102"/>
    <cellStyle name="Bad 4" xfId="103"/>
    <cellStyle name="Bad 5" xfId="104"/>
    <cellStyle name="Calculation 2" xfId="105"/>
    <cellStyle name="Calculation 3" xfId="106"/>
    <cellStyle name="Calculation 4" xfId="107"/>
    <cellStyle name="Calculation 5" xfId="108"/>
    <cellStyle name="Check Cell 2" xfId="109"/>
    <cellStyle name="Check Cell 3" xfId="110"/>
    <cellStyle name="Check Cell 4" xfId="111"/>
    <cellStyle name="Check Cell 5" xfId="112"/>
    <cellStyle name="ColumnHeading" xfId="113"/>
    <cellStyle name="Comma 2" xfId="114"/>
    <cellStyle name="Comma 3" xfId="115"/>
    <cellStyle name="Comma 4" xfId="116"/>
    <cellStyle name="Comma 5" xfId="117"/>
    <cellStyle name="Comma 6" xfId="118"/>
    <cellStyle name="Comma 7" xfId="119"/>
    <cellStyle name="Comma 8" xfId="120"/>
    <cellStyle name="Euro" xfId="121"/>
    <cellStyle name="Explanatory Text 2" xfId="122"/>
    <cellStyle name="Explanatory Text 3" xfId="123"/>
    <cellStyle name="Explanatory Text 4" xfId="124"/>
    <cellStyle name="Explanatory Text 5" xfId="125"/>
    <cellStyle name="Good 2" xfId="126"/>
    <cellStyle name="Good 3" xfId="127"/>
    <cellStyle name="Good 4" xfId="128"/>
    <cellStyle name="Good 5" xfId="129"/>
    <cellStyle name="Heading 1 2" xfId="130"/>
    <cellStyle name="Heading 1 3" xfId="131"/>
    <cellStyle name="Heading 1 4" xfId="132"/>
    <cellStyle name="Heading 1 5" xfId="133"/>
    <cellStyle name="Heading 2 2" xfId="134"/>
    <cellStyle name="Heading 2 3" xfId="135"/>
    <cellStyle name="Heading 2 4" xfId="136"/>
    <cellStyle name="Heading 2 5" xfId="137"/>
    <cellStyle name="Heading 3 2" xfId="138"/>
    <cellStyle name="Heading 3 3" xfId="139"/>
    <cellStyle name="Heading 3 4" xfId="140"/>
    <cellStyle name="Heading 3 5" xfId="141"/>
    <cellStyle name="Heading 4 2" xfId="142"/>
    <cellStyle name="Heading 4 3" xfId="143"/>
    <cellStyle name="Heading 4 4" xfId="144"/>
    <cellStyle name="Heading 4 5" xfId="145"/>
    <cellStyle name="Hyperlink 2" xfId="146"/>
    <cellStyle name="Hyperlink 3" xfId="147"/>
    <cellStyle name="Input 2" xfId="148"/>
    <cellStyle name="Input 3" xfId="149"/>
    <cellStyle name="Input 4" xfId="150"/>
    <cellStyle name="Input 5" xfId="151"/>
    <cellStyle name="Lien hypertexte 3" xfId="152"/>
    <cellStyle name="Ligne détail" xfId="153"/>
    <cellStyle name="Linked Cell 2" xfId="154"/>
    <cellStyle name="Linked Cell 3" xfId="155"/>
    <cellStyle name="Linked Cell 4" xfId="156"/>
    <cellStyle name="Linked Cell 5" xfId="157"/>
    <cellStyle name="MEV4" xfId="158"/>
    <cellStyle name="MEV5" xfId="159"/>
    <cellStyle name="Milliers 2" xfId="160"/>
    <cellStyle name="Milliers 3" xfId="161"/>
    <cellStyle name="Milliers 4" xfId="162"/>
    <cellStyle name="N?rmal_la?oux_larou?" xfId="163"/>
    <cellStyle name="Neutral 2" xfId="164"/>
    <cellStyle name="Neutral 3" xfId="165"/>
    <cellStyle name="Neutral 4" xfId="166"/>
    <cellStyle name="Neutral 5" xfId="167"/>
    <cellStyle name="Norma?_On Hol?" xfId="168"/>
    <cellStyle name="Normaᷬ_On Holᷤ" xfId="169"/>
    <cellStyle name="Normal" xfId="0" builtinId="0"/>
    <cellStyle name="Normal - Style1" xfId="170"/>
    <cellStyle name="Normal 10" xfId="4"/>
    <cellStyle name="Normal 11" xfId="171"/>
    <cellStyle name="Normal 2" xfId="1"/>
    <cellStyle name="Normal 2 2" xfId="172"/>
    <cellStyle name="Normal 2 3" xfId="173"/>
    <cellStyle name="Normal 2 4" xfId="174"/>
    <cellStyle name="Normal 2 5" xfId="175"/>
    <cellStyle name="Normal 2_CRD hybride yc EMB" xfId="176"/>
    <cellStyle name="Normal 3" xfId="177"/>
    <cellStyle name="Normal 3 2" xfId="2"/>
    <cellStyle name="Normal 3 3" xfId="178"/>
    <cellStyle name="Normal 3 4" xfId="179"/>
    <cellStyle name="Normal 3 5" xfId="180"/>
    <cellStyle name="Normal 3 6" xfId="181"/>
    <cellStyle name="Normal 3_0. Investissement" xfId="182"/>
    <cellStyle name="Normal 4" xfId="183"/>
    <cellStyle name="Normal 5" xfId="184"/>
    <cellStyle name="Normal 6" xfId="185"/>
    <cellStyle name="Normal 6 2" xfId="186"/>
    <cellStyle name="Normal 6 3" xfId="187"/>
    <cellStyle name="Normal 6 4" xfId="188"/>
    <cellStyle name="Normal 6 5" xfId="189"/>
    <cellStyle name="Normal 6_0. Investissement" xfId="190"/>
    <cellStyle name="Normal 7" xfId="191"/>
    <cellStyle name="Normal 8" xfId="192"/>
    <cellStyle name="Normal 9" xfId="193"/>
    <cellStyle name="Normal_Copie de CRD_CRC_domaine TER_ergo" xfId="3"/>
    <cellStyle name="Normal_EBIT_EBITDA  groupe Actual 2003.12" xfId="233"/>
    <cellStyle name="Note 2" xfId="194"/>
    <cellStyle name="Note 3" xfId="195"/>
    <cellStyle name="Note 4" xfId="196"/>
    <cellStyle name="Note 5" xfId="197"/>
    <cellStyle name="N䃯rmal_la䇲oux_larou᷸" xfId="198"/>
    <cellStyle name="Output 2" xfId="199"/>
    <cellStyle name="Output 3" xfId="200"/>
    <cellStyle name="Output 4" xfId="201"/>
    <cellStyle name="Output 5" xfId="202"/>
    <cellStyle name="Percent 10" xfId="203"/>
    <cellStyle name="Percent 2" xfId="204"/>
    <cellStyle name="Percent 2 2" xfId="205"/>
    <cellStyle name="Percent 3" xfId="206"/>
    <cellStyle name="Percent 4" xfId="207"/>
    <cellStyle name="Percent 5" xfId="208"/>
    <cellStyle name="Percent 5 2" xfId="209"/>
    <cellStyle name="Percent 5 3" xfId="210"/>
    <cellStyle name="Percent 5 4" xfId="211"/>
    <cellStyle name="Percent 5 5" xfId="212"/>
    <cellStyle name="Percent 6" xfId="213"/>
    <cellStyle name="Percent 7" xfId="214"/>
    <cellStyle name="Percent 8" xfId="215"/>
    <cellStyle name="Percent 9" xfId="216"/>
    <cellStyle name="Pourcentage 2" xfId="217"/>
    <cellStyle name="Pourcentage 3" xfId="218"/>
    <cellStyle name="Title 2" xfId="219"/>
    <cellStyle name="Title 3" xfId="220"/>
    <cellStyle name="Title 4" xfId="221"/>
    <cellStyle name="Title 5" xfId="222"/>
    <cellStyle name="Titre colonnes" xfId="223"/>
    <cellStyle name="Titre lignes" xfId="224"/>
    <cellStyle name="Total 2" xfId="225"/>
    <cellStyle name="Total 3" xfId="226"/>
    <cellStyle name="Total 4" xfId="227"/>
    <cellStyle name="Total 5" xfId="228"/>
    <cellStyle name="Warning Text 2" xfId="229"/>
    <cellStyle name="Warning Text 3" xfId="230"/>
    <cellStyle name="Warning Text 4" xfId="231"/>
    <cellStyle name="Warning Text 5" xfId="232"/>
  </cellStyles>
  <dxfs count="93"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1409700</xdr:colOff>
          <xdr:row>12</xdr:row>
          <xdr:rowOff>66675</xdr:rowOff>
        </xdr:from>
        <xdr:to>
          <xdr:col>11</xdr:col>
          <xdr:colOff>66675</xdr:colOff>
          <xdr:row>15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133350</xdr:colOff>
      <xdr:row>5</xdr:row>
      <xdr:rowOff>209551</xdr:rowOff>
    </xdr:from>
    <xdr:to>
      <xdr:col>5</xdr:col>
      <xdr:colOff>1813214</xdr:colOff>
      <xdr:row>7</xdr:row>
      <xdr:rowOff>191806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09551"/>
          <a:ext cx="2476500" cy="842970"/>
        </a:xfrm>
        <a:prstGeom prst="rect">
          <a:avLst/>
        </a:prstGeom>
      </xdr:spPr>
    </xdr:pic>
    <xdr:clientData/>
  </xdr:twoCellAnchor>
  <xdr:twoCellAnchor>
    <xdr:from>
      <xdr:col>6</xdr:col>
      <xdr:colOff>4727864</xdr:colOff>
      <xdr:row>10</xdr:row>
      <xdr:rowOff>0</xdr:rowOff>
    </xdr:from>
    <xdr:to>
      <xdr:col>8</xdr:col>
      <xdr:colOff>121227</xdr:colOff>
      <xdr:row>16</xdr:row>
      <xdr:rowOff>218208</xdr:rowOff>
    </xdr:to>
    <xdr:sp macro="" textlink="">
      <xdr:nvSpPr>
        <xdr:cNvPr id="3" name="Accolade fermante 2"/>
        <xdr:cNvSpPr/>
      </xdr:nvSpPr>
      <xdr:spPr>
        <a:xfrm>
          <a:off x="9334500" y="2736273"/>
          <a:ext cx="640772" cy="156902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31172</xdr:colOff>
      <xdr:row>15</xdr:row>
      <xdr:rowOff>48485</xdr:rowOff>
    </xdr:from>
    <xdr:to>
      <xdr:col>10</xdr:col>
      <xdr:colOff>1887683</xdr:colOff>
      <xdr:row>17</xdr:row>
      <xdr:rowOff>17314</xdr:rowOff>
    </xdr:to>
    <xdr:sp macro="" textlink="">
      <xdr:nvSpPr>
        <xdr:cNvPr id="6" name="Accolade fermante 5"/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173182</xdr:colOff>
      <xdr:row>12</xdr:row>
      <xdr:rowOff>103909</xdr:rowOff>
    </xdr:from>
    <xdr:to>
      <xdr:col>9</xdr:col>
      <xdr:colOff>1108364</xdr:colOff>
      <xdr:row>14</xdr:row>
      <xdr:rowOff>259771</xdr:rowOff>
    </xdr:to>
    <xdr:sp macro="" textlink="">
      <xdr:nvSpPr>
        <xdr:cNvPr id="5" name="Arrondir un rectangle avec un coin diagonal 4"/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31"/>
  <sheetViews>
    <sheetView workbookViewId="0">
      <selection activeCell="D10" sqref="D10"/>
    </sheetView>
  </sheetViews>
  <sheetFormatPr baseColWidth="10" defaultColWidth="9.140625" defaultRowHeight="12.75"/>
  <cols>
    <col min="1" max="1" width="44.140625" style="3" customWidth="1"/>
    <col min="2" max="2" width="17.85546875" style="3" bestFit="1" customWidth="1"/>
    <col min="3" max="3" width="9.140625" style="3"/>
    <col min="4" max="4" width="27.7109375" style="3" customWidth="1"/>
    <col min="5" max="16384" width="9.140625" style="3"/>
  </cols>
  <sheetData>
    <row r="1" spans="1:2" ht="18">
      <c r="A1" s="1" t="s">
        <v>50</v>
      </c>
      <c r="B1" s="2"/>
    </row>
    <row r="2" spans="1:2">
      <c r="A2" s="2" t="s">
        <v>51</v>
      </c>
      <c r="B2" s="2"/>
    </row>
    <row r="3" spans="1:2" ht="15.75">
      <c r="A3" s="4" t="s">
        <v>52</v>
      </c>
      <c r="B3" s="2"/>
    </row>
    <row r="4" spans="1:2">
      <c r="A4" s="5" t="s">
        <v>0</v>
      </c>
      <c r="B4" s="6" t="s">
        <v>1</v>
      </c>
    </row>
    <row r="5" spans="1:2">
      <c r="A5" s="5" t="s">
        <v>2</v>
      </c>
      <c r="B5" s="7" t="str">
        <f>LEFT(Server,LEN(Server)-1)</f>
        <v>tango_core_model</v>
      </c>
    </row>
    <row r="6" spans="1:2">
      <c r="A6" s="5" t="s">
        <v>3</v>
      </c>
      <c r="B6" s="7" t="str">
        <f ca="1">Host_Serveur</f>
        <v>FRSAPP021269</v>
      </c>
    </row>
    <row r="7" spans="1:2">
      <c r="A7" s="5" t="s">
        <v>4</v>
      </c>
      <c r="B7" s="7">
        <v>0</v>
      </c>
    </row>
    <row r="8" spans="1:2">
      <c r="A8" s="5" t="s">
        <v>5</v>
      </c>
      <c r="B8" s="7">
        <v>0</v>
      </c>
    </row>
    <row r="10" spans="1:2" ht="15.75">
      <c r="A10" s="4" t="s">
        <v>6</v>
      </c>
    </row>
    <row r="11" spans="1:2" ht="13.5" customHeight="1">
      <c r="A11" s="5" t="s">
        <v>7</v>
      </c>
      <c r="B11" s="7" t="s">
        <v>8</v>
      </c>
    </row>
    <row r="12" spans="1:2" ht="13.5" customHeight="1">
      <c r="A12" s="5" t="s">
        <v>9</v>
      </c>
      <c r="B12" s="7" t="s">
        <v>10</v>
      </c>
    </row>
    <row r="13" spans="1:2">
      <c r="A13" s="5" t="s">
        <v>11</v>
      </c>
      <c r="B13" s="7" t="str">
        <f ca="1">_xll.DBR(Server&amp;"z_Admin_Param","YEAR_ACTUAL","STR_VAR1")</f>
        <v>2020</v>
      </c>
    </row>
    <row r="14" spans="1:2">
      <c r="A14" s="5" t="s">
        <v>12</v>
      </c>
      <c r="B14" s="7" t="str">
        <f ca="1">_xll.DBR(Server&amp;"z_Admin_Param","MONTH_ACTUAL","STR_VAR1")</f>
        <v>2020.02</v>
      </c>
    </row>
    <row r="15" spans="1:2">
      <c r="A15" s="5" t="s">
        <v>13</v>
      </c>
      <c r="B15" s="7" t="str">
        <f ca="1">_xll.DBR(Server&amp;"z_Admin_Param","BUDGET_VERSION","STR_VAR1")</f>
        <v>BUDG_TOT</v>
      </c>
    </row>
    <row r="16" spans="1:2">
      <c r="A16" s="5" t="s">
        <v>14</v>
      </c>
      <c r="B16" s="7" t="str">
        <f ca="1">_xll.DBR(Server&amp;"z_Admin_Param","FORECAST_VERSION","STR_VAR1")</f>
        <v>FC_2_TOT</v>
      </c>
    </row>
    <row r="17" spans="1:2">
      <c r="A17" s="5" t="s">
        <v>15</v>
      </c>
      <c r="B17" s="8" t="str">
        <f ca="1">_xll.DBR(Server&amp;"z_Client_Properties","Language",_xll.TM1USER(xServer))</f>
        <v>French</v>
      </c>
    </row>
    <row r="18" spans="1:2">
      <c r="A18" s="152" t="s">
        <v>16</v>
      </c>
      <c r="B18" s="9" t="s">
        <v>17</v>
      </c>
    </row>
    <row r="19" spans="1:2">
      <c r="A19" s="152"/>
      <c r="B19" s="9" t="s">
        <v>18</v>
      </c>
    </row>
    <row r="20" spans="1:2">
      <c r="A20" s="152"/>
      <c r="B20" s="9" t="s">
        <v>19</v>
      </c>
    </row>
    <row r="21" spans="1:2">
      <c r="A21" s="152"/>
      <c r="B21" s="9" t="s">
        <v>20</v>
      </c>
    </row>
    <row r="22" spans="1:2">
      <c r="A22" s="152"/>
      <c r="B22" s="9" t="s">
        <v>21</v>
      </c>
    </row>
    <row r="23" spans="1:2">
      <c r="A23" s="152" t="s">
        <v>22</v>
      </c>
      <c r="B23" s="9" t="s">
        <v>23</v>
      </c>
    </row>
    <row r="24" spans="1:2">
      <c r="A24" s="152"/>
      <c r="B24" s="9" t="s">
        <v>24</v>
      </c>
    </row>
    <row r="25" spans="1:2">
      <c r="A25" s="152"/>
      <c r="B25" s="9" t="s">
        <v>25</v>
      </c>
    </row>
    <row r="27" spans="1:2" ht="15.75">
      <c r="A27" s="4" t="s">
        <v>26</v>
      </c>
    </row>
    <row r="28" spans="1:2" ht="13.5" customHeight="1">
      <c r="A28" s="3" t="s">
        <v>27</v>
      </c>
      <c r="B28" s="10"/>
    </row>
    <row r="29" spans="1:2">
      <c r="A29" s="3" t="s">
        <v>28</v>
      </c>
      <c r="B29" s="11"/>
    </row>
    <row r="30" spans="1:2">
      <c r="A30" s="3" t="s">
        <v>29</v>
      </c>
      <c r="B30" s="12"/>
    </row>
    <row r="31" spans="1:2">
      <c r="A31" s="3" t="s">
        <v>30</v>
      </c>
      <c r="B31" s="13"/>
    </row>
  </sheetData>
  <sheetProtection sheet="1" objects="1" scenarios="1"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Z44"/>
  <sheetViews>
    <sheetView showGridLines="0" tabSelected="1" topLeftCell="D7" zoomScale="55" zoomScaleNormal="55" zoomScaleSheetLayoutView="40" workbookViewId="0">
      <selection activeCell="G48" sqref="G48"/>
    </sheetView>
  </sheetViews>
  <sheetFormatPr baseColWidth="10" defaultColWidth="11.42578125" defaultRowHeight="18" customHeight="1"/>
  <cols>
    <col min="1" max="1" width="9.140625" style="34" hidden="1" customWidth="1"/>
    <col min="2" max="2" width="19.5703125" style="35" hidden="1" customWidth="1"/>
    <col min="3" max="3" width="74.5703125" style="35" hidden="1" customWidth="1"/>
    <col min="4" max="5" width="6" style="35" customWidth="1"/>
    <col min="6" max="6" width="57.140625" style="41" customWidth="1"/>
    <col min="7" max="7" width="72.28515625" style="41" customWidth="1"/>
    <col min="8" max="8" width="6.42578125" style="34" customWidth="1"/>
    <col min="9" max="9" width="12.85546875" style="34" customWidth="1"/>
    <col min="10" max="10" width="24.5703125" style="34" customWidth="1"/>
    <col min="11" max="11" width="29.7109375" style="34" customWidth="1"/>
    <col min="12" max="12" width="25.85546875" style="34" customWidth="1"/>
    <col min="13" max="13" width="2.7109375" style="40" customWidth="1"/>
    <col min="14" max="14" width="12.85546875" style="40" customWidth="1"/>
    <col min="15" max="15" width="12.85546875" style="47" customWidth="1"/>
    <col min="16" max="16" width="5.85546875" style="18" customWidth="1"/>
    <col min="17" max="17" width="12.85546875" style="73" customWidth="1"/>
    <col min="18" max="18" width="3.7109375" style="73" customWidth="1"/>
    <col min="19" max="19" width="5.85546875" style="77" customWidth="1"/>
    <col min="20" max="21" width="12.85546875" style="47" customWidth="1"/>
    <col min="22" max="22" width="5.5703125" style="75" customWidth="1"/>
    <col min="23" max="23" width="5" style="17" customWidth="1"/>
    <col min="24" max="24" width="7.140625" style="17" customWidth="1"/>
    <col min="25" max="25" width="29.7109375" style="17" customWidth="1"/>
    <col min="26" max="26" width="25.7109375" style="17" hidden="1" customWidth="1"/>
    <col min="27" max="27" width="16.5703125" style="17" customWidth="1"/>
    <col min="28" max="28" width="25.42578125" style="17" customWidth="1"/>
    <col min="29" max="39" width="9" style="17" customWidth="1"/>
    <col min="40" max="41" width="10.140625" style="14" customWidth="1"/>
    <col min="42" max="51" width="6.5703125" style="14" customWidth="1"/>
    <col min="52" max="53" width="6.42578125" style="14" customWidth="1"/>
    <col min="54" max="16384" width="11.42578125" style="14"/>
  </cols>
  <sheetData>
    <row r="1" spans="1:52" ht="18" hidden="1" customHeight="1">
      <c r="F1" s="36"/>
      <c r="G1" s="37" t="s">
        <v>31</v>
      </c>
      <c r="I1" s="38" t="str">
        <f ca="1">I19</f>
        <v>Actual</v>
      </c>
      <c r="J1" s="39" t="str">
        <f ca="1">J19</f>
        <v>Budget V current</v>
      </c>
      <c r="K1" s="39" t="str">
        <f ca="1">K19</f>
        <v>Forecast 2 V current</v>
      </c>
      <c r="L1" s="38" t="s">
        <v>32</v>
      </c>
      <c r="N1" s="38" t="s">
        <v>33</v>
      </c>
      <c r="O1" s="38" t="s">
        <v>34</v>
      </c>
      <c r="P1" s="16"/>
      <c r="Q1" s="38" t="s">
        <v>35</v>
      </c>
      <c r="R1" s="38" t="s">
        <v>36</v>
      </c>
      <c r="S1" s="76"/>
      <c r="T1" s="38" t="s">
        <v>37</v>
      </c>
      <c r="U1" s="38" t="s">
        <v>38</v>
      </c>
      <c r="V1" s="76"/>
    </row>
    <row r="2" spans="1:52" ht="18" hidden="1" customHeight="1">
      <c r="G2" s="42" t="s">
        <v>39</v>
      </c>
      <c r="H2" s="43" t="str">
        <f ca="1">_xll.SUBNM(Server&amp;"Period","",#REF!,"")</f>
        <v/>
      </c>
      <c r="I2" s="44" t="str">
        <f ca="1">_xll.DBRA(Server&amp;$G$2,I18,"Prior Year")</f>
        <v>2019.02_YTD</v>
      </c>
      <c r="J2" s="45" t="str">
        <f ca="1">SUBSTITUTE(ActualBudget,"_TOT","_VC")</f>
        <v>BUDG_VC</v>
      </c>
      <c r="K2" s="46"/>
      <c r="L2" s="46"/>
      <c r="P2" s="15"/>
      <c r="Q2" s="40"/>
      <c r="R2" s="40"/>
      <c r="S2" s="75"/>
    </row>
    <row r="3" spans="1:52" ht="18" hidden="1" customHeight="1">
      <c r="G3" s="48" t="s">
        <v>40</v>
      </c>
      <c r="H3" s="49"/>
      <c r="J3" s="45"/>
      <c r="K3" s="46"/>
      <c r="L3" s="46"/>
      <c r="P3" s="15"/>
      <c r="Q3" s="40"/>
      <c r="R3" s="40"/>
      <c r="S3" s="75"/>
    </row>
    <row r="4" spans="1:52" ht="18" hidden="1" customHeight="1">
      <c r="H4" s="50"/>
      <c r="J4" s="45"/>
      <c r="K4" s="46"/>
      <c r="L4" s="51"/>
    </row>
    <row r="5" spans="1:52" ht="18" hidden="1" customHeight="1">
      <c r="G5" s="52"/>
      <c r="H5" s="49"/>
      <c r="I5" s="53"/>
      <c r="J5" s="45"/>
      <c r="K5" s="53"/>
      <c r="L5" s="53"/>
      <c r="M5" s="53"/>
      <c r="N5" s="53"/>
      <c r="O5" s="53"/>
      <c r="P5" s="19"/>
      <c r="Q5" s="53"/>
      <c r="R5" s="53"/>
      <c r="S5" s="78"/>
      <c r="T5" s="53"/>
      <c r="U5" s="53"/>
    </row>
    <row r="6" spans="1:52" ht="18" hidden="1" customHeight="1">
      <c r="G6" s="54"/>
    </row>
    <row r="7" spans="1:52" ht="51" customHeight="1">
      <c r="C7" s="35" t="s">
        <v>68</v>
      </c>
      <c r="D7" s="155" t="str">
        <f ca="1">_xll.DBRA(Server&amp;$Z$15,$C$7,$G$17)&amp;" - "&amp;G11&amp;" - "&amp;G12&amp;" - "&amp;G13</f>
        <v>Coût du Risque - TRANSDEV All - TRANSDEV All - Total Activités</v>
      </c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87"/>
    </row>
    <row r="8" spans="1:52" ht="18" customHeight="1"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87"/>
    </row>
    <row r="9" spans="1:52" ht="18" customHeight="1">
      <c r="F9" s="34"/>
      <c r="G9" s="54"/>
      <c r="H9" s="54"/>
      <c r="I9" s="55"/>
      <c r="J9" s="55"/>
      <c r="K9" s="55"/>
      <c r="L9" s="55"/>
      <c r="M9" s="55"/>
      <c r="N9" s="55"/>
      <c r="O9" s="55"/>
      <c r="P9" s="20"/>
      <c r="Q9" s="55"/>
      <c r="R9" s="55"/>
      <c r="S9" s="79"/>
      <c r="T9" s="55"/>
      <c r="U9" s="55"/>
      <c r="V9" s="79"/>
      <c r="W9" s="20"/>
    </row>
    <row r="10" spans="1:52" ht="23.25" customHeight="1">
      <c r="F10" s="56" t="str">
        <f ca="1">_xll.DBRA(Server&amp;$Z$15,$Z16,$G$17)</f>
        <v>Sélection du contexte</v>
      </c>
      <c r="H10" s="54"/>
      <c r="I10" s="55"/>
      <c r="J10" s="55"/>
      <c r="K10" s="55"/>
      <c r="L10" s="55"/>
      <c r="M10" s="55"/>
      <c r="N10" s="55"/>
      <c r="O10" s="55"/>
      <c r="P10" s="20"/>
      <c r="Q10" s="55"/>
      <c r="R10" s="55"/>
      <c r="S10" s="79"/>
      <c r="T10" s="55"/>
      <c r="U10" s="55"/>
      <c r="V10" s="79"/>
      <c r="W10" s="20"/>
    </row>
    <row r="11" spans="1:52" s="30" customFormat="1" ht="17.25" customHeight="1">
      <c r="A11" s="98"/>
      <c r="B11" s="99"/>
      <c r="C11" s="99"/>
      <c r="D11" s="99"/>
      <c r="E11" s="99"/>
      <c r="F11" s="100" t="s">
        <v>53</v>
      </c>
      <c r="G11" s="80" t="str">
        <f ca="1">_xll.SUBNM(Server&amp;"Legal_Organization","default",_xll.DBR(Server&amp;"z_Client_Properties","Default_Legal_Organization",_xll.TM1USER(xServer)),G17)</f>
        <v>TRANSDEV All</v>
      </c>
      <c r="H11" s="101"/>
      <c r="I11" s="102"/>
      <c r="J11" s="98"/>
      <c r="K11" s="98"/>
      <c r="L11" s="98"/>
      <c r="M11" s="85"/>
      <c r="N11" s="85"/>
      <c r="O11" s="85"/>
      <c r="P11" s="103"/>
      <c r="Q11" s="104"/>
      <c r="R11" s="104"/>
      <c r="S11" s="103"/>
      <c r="T11" s="85"/>
      <c r="U11" s="8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5"/>
      <c r="AL11" s="105"/>
      <c r="AM11" s="105"/>
    </row>
    <row r="12" spans="1:52" s="30" customFormat="1" ht="17.25" customHeight="1">
      <c r="A12" s="98"/>
      <c r="B12" s="99"/>
      <c r="C12" s="99"/>
      <c r="D12" s="99"/>
      <c r="E12" s="99"/>
      <c r="F12" s="100" t="s">
        <v>43</v>
      </c>
      <c r="G12" s="80" t="str">
        <f ca="1">_xll.SUBNM(Server&amp;"Management_Organization","default",_xll.DBR(Server&amp;"z_Client_Properties","Default_Management_Organization",_xll.TM1USER(xServer)),G17)</f>
        <v>TRANSDEV All</v>
      </c>
      <c r="H12" s="101"/>
      <c r="I12" s="102"/>
      <c r="J12" s="102"/>
      <c r="K12" s="102"/>
      <c r="L12" s="98"/>
      <c r="M12" s="85"/>
      <c r="N12" s="85"/>
      <c r="O12" s="85"/>
      <c r="P12" s="103"/>
      <c r="Q12" s="104"/>
      <c r="R12" s="104"/>
      <c r="S12" s="103"/>
      <c r="T12" s="85"/>
      <c r="U12" s="8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</row>
    <row r="13" spans="1:52" s="30" customFormat="1" ht="17.25" customHeight="1">
      <c r="A13" s="98"/>
      <c r="B13" s="99"/>
      <c r="C13" s="99"/>
      <c r="D13" s="99"/>
      <c r="E13" s="99"/>
      <c r="F13" s="100" t="s">
        <v>46</v>
      </c>
      <c r="G13" s="80" t="str">
        <f ca="1">_xll.SUBNM(Server&amp;"Activity","default","Tot_act",G17)</f>
        <v>Total Activités</v>
      </c>
      <c r="H13" s="98"/>
      <c r="I13" s="102"/>
      <c r="J13" s="102"/>
      <c r="K13" s="102"/>
      <c r="L13" s="98"/>
      <c r="M13" s="85"/>
      <c r="N13" s="85"/>
      <c r="O13" s="85"/>
      <c r="P13" s="103"/>
      <c r="Q13" s="104"/>
      <c r="R13" s="104"/>
      <c r="S13" s="103"/>
      <c r="T13" s="85"/>
      <c r="U13" s="8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</row>
    <row r="14" spans="1:52" s="30" customFormat="1" ht="17.25" customHeight="1">
      <c r="A14" s="98"/>
      <c r="B14" s="99"/>
      <c r="C14" s="99"/>
      <c r="D14" s="99"/>
      <c r="E14" s="106"/>
      <c r="F14" s="100" t="s">
        <v>47</v>
      </c>
      <c r="G14" s="80" t="str">
        <f ca="1">_xll.SUBNM(Server&amp;"Currency","default","KEUR",G17)</f>
        <v>K€</v>
      </c>
      <c r="H14" s="98"/>
      <c r="I14" s="102"/>
      <c r="J14" s="102"/>
      <c r="K14" s="102"/>
      <c r="L14" s="98"/>
      <c r="M14" s="85"/>
      <c r="N14" s="85"/>
      <c r="O14" s="85"/>
      <c r="P14" s="103"/>
      <c r="Q14" s="104"/>
      <c r="R14" s="104"/>
      <c r="S14" s="103"/>
      <c r="T14" s="85"/>
      <c r="U14" s="8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</row>
    <row r="15" spans="1:52" s="30" customFormat="1" ht="17.25" customHeight="1">
      <c r="A15" s="98"/>
      <c r="B15" s="99"/>
      <c r="C15" s="99"/>
      <c r="D15" s="107"/>
      <c r="E15" s="108"/>
      <c r="F15" s="100" t="s">
        <v>48</v>
      </c>
      <c r="G15" s="80" t="str">
        <f ca="1">_xll.SUBNM(Server&amp;"Gaap","default","Total_conso_wo_opt_dis")</f>
        <v>Total_conso_wo_opt_dis</v>
      </c>
      <c r="H15" s="109"/>
      <c r="I15" s="98"/>
      <c r="J15" s="98"/>
      <c r="K15" s="98"/>
      <c r="L15" s="98"/>
      <c r="M15" s="85"/>
      <c r="N15" s="85"/>
      <c r="O15" s="85"/>
      <c r="P15" s="103"/>
      <c r="Q15" s="104"/>
      <c r="R15" s="104"/>
      <c r="S15" s="103"/>
      <c r="T15" s="85"/>
      <c r="U15" s="85"/>
      <c r="V15" s="105"/>
      <c r="W15" s="110"/>
      <c r="X15" s="105"/>
      <c r="Y15" s="105"/>
      <c r="Z15" s="111" t="s">
        <v>41</v>
      </c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12"/>
      <c r="AO15" s="112"/>
      <c r="AP15" s="112"/>
      <c r="AQ15" s="112"/>
      <c r="AR15" s="112"/>
      <c r="AS15" s="112"/>
      <c r="AT15" s="112"/>
      <c r="AU15" s="112"/>
      <c r="AV15" s="112"/>
      <c r="AW15" s="112"/>
      <c r="AX15" s="112"/>
      <c r="AY15" s="112"/>
      <c r="AZ15" s="112"/>
    </row>
    <row r="16" spans="1:52" s="116" customFormat="1" ht="17.25" customHeight="1">
      <c r="A16" s="113"/>
      <c r="B16" s="99"/>
      <c r="C16" s="99"/>
      <c r="D16" s="114"/>
      <c r="E16" s="107"/>
      <c r="F16" s="100" t="s">
        <v>54</v>
      </c>
      <c r="G16" s="80" t="str">
        <f ca="1">_xll.SUBNM(Server&amp;"Integration_Rate","default","APP")</f>
        <v>APP</v>
      </c>
      <c r="H16" s="115"/>
      <c r="O16" s="125"/>
      <c r="W16" s="110"/>
      <c r="X16" s="105"/>
      <c r="Z16" s="117" t="s">
        <v>42</v>
      </c>
      <c r="AL16" s="105"/>
      <c r="AM16" s="105"/>
    </row>
    <row r="17" spans="1:39" s="124" customFormat="1" ht="17.25" customHeight="1">
      <c r="A17" s="118"/>
      <c r="B17" s="119"/>
      <c r="C17" s="99"/>
      <c r="D17" s="118"/>
      <c r="E17" s="120"/>
      <c r="F17" s="121" t="s">
        <v>44</v>
      </c>
      <c r="G17" s="151" t="str">
        <f ca="1">LocalLanguage</f>
        <v>French</v>
      </c>
      <c r="H17" s="122"/>
      <c r="I17" s="113"/>
      <c r="J17" s="113"/>
      <c r="K17" s="113"/>
      <c r="L17" s="113"/>
      <c r="M17" s="113"/>
      <c r="N17" s="113"/>
      <c r="O17" s="113"/>
      <c r="P17" s="116"/>
      <c r="Q17" s="113"/>
      <c r="R17" s="113"/>
      <c r="S17" s="116"/>
      <c r="T17" s="113"/>
      <c r="U17" s="113"/>
      <c r="V17" s="116"/>
      <c r="W17" s="110"/>
      <c r="X17" s="123"/>
      <c r="Y17" s="123"/>
      <c r="Z17" s="17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</row>
    <row r="18" spans="1:39" s="95" customFormat="1" ht="40.5" customHeight="1" thickBot="1">
      <c r="A18" s="88"/>
      <c r="B18" s="89"/>
      <c r="C18" s="99"/>
      <c r="D18" s="88"/>
      <c r="E18" s="91"/>
      <c r="F18" s="88"/>
      <c r="H18" s="59"/>
      <c r="I18" s="92" t="str">
        <f ca="1">_xll.SUBNM(Server&amp;$G$2,"default",ActualMonth&amp;"_YTD","English")</f>
        <v>February 2020 YTD</v>
      </c>
      <c r="J18" s="92" t="str">
        <f ca="1">_xll.SUBNM(Server&amp;$G$2,"default",I18,"English")</f>
        <v>February 2020 YTD</v>
      </c>
      <c r="K18" s="92" t="str">
        <f ca="1">_xll.SUBNM(Server&amp;$G$2,"default",I18,"English")</f>
        <v>February 2020 YTD</v>
      </c>
      <c r="L18" s="93" t="str">
        <f ca="1">_xll.SUBNM(Server&amp;$G$2,"default",PriorYear,"English")</f>
        <v>February 2019 YTD</v>
      </c>
      <c r="M18" s="96"/>
      <c r="N18" s="160" t="s">
        <v>72</v>
      </c>
      <c r="O18" s="160"/>
      <c r="P18" s="160"/>
      <c r="Q18" s="160"/>
      <c r="R18" s="160"/>
      <c r="S18" s="160"/>
      <c r="T18" s="160"/>
      <c r="U18" s="160"/>
      <c r="V18" s="160"/>
      <c r="W18" s="21"/>
      <c r="X18" s="94"/>
      <c r="Y18" s="94"/>
      <c r="Z18" s="17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</row>
    <row r="19" spans="1:39" s="95" customFormat="1" ht="40.5" customHeight="1" thickBot="1">
      <c r="A19" s="88"/>
      <c r="B19" s="89"/>
      <c r="C19" s="99"/>
      <c r="D19" s="90"/>
      <c r="E19" s="91"/>
      <c r="F19" s="97" t="str">
        <f ca="1">G15</f>
        <v>Total_conso_wo_opt_dis</v>
      </c>
      <c r="G19" s="97" t="str">
        <f ca="1">G14</f>
        <v>K€</v>
      </c>
      <c r="H19" s="59"/>
      <c r="I19" s="92" t="str">
        <f ca="1">_xll.SUBNM(Server&amp;$G$1,"default","ACT_TOT","English")</f>
        <v>Actual</v>
      </c>
      <c r="J19" s="92" t="str">
        <f ca="1">_xll.SUBNM(Server&amp;$G$1,"default",SUBSTITUTE(ActualBudget,"_TOT","_VC_TOT"),"English")</f>
        <v>Budget V current</v>
      </c>
      <c r="K19" s="92" t="str">
        <f ca="1">_xll.SUBNM(Server&amp;$G$1,"default",SUBSTITUTE(ActualForecast,"_TOT","_VC_TOT"),"English")</f>
        <v>Forecast 2 V current</v>
      </c>
      <c r="L19" s="93" t="str">
        <f ca="1">_xll.DBRA(Server&amp;$Z$15,"Prior_year",$G$17)</f>
        <v>Année précédente</v>
      </c>
      <c r="M19" s="86"/>
      <c r="N19" s="157" t="str">
        <f ca="1">$I19&amp;" vs "&amp;J19</f>
        <v>Actual vs Budget V current</v>
      </c>
      <c r="O19" s="158"/>
      <c r="P19" s="159"/>
      <c r="Q19" s="157" t="str">
        <f ca="1">$I19&amp;" vs "&amp;K19</f>
        <v>Actual vs Forecast 2 V current</v>
      </c>
      <c r="R19" s="158"/>
      <c r="S19" s="159" t="str">
        <f ca="1">_xll.DBRA(Server&amp;$Z$15,$Z37,$G$17)</f>
        <v/>
      </c>
      <c r="T19" s="157" t="str">
        <f ca="1">$I19&amp;" vs "&amp;L19</f>
        <v>Actual vs Année précédente</v>
      </c>
      <c r="U19" s="158"/>
      <c r="V19" s="159" t="str">
        <f ca="1">_xll.DBRA(Server&amp;$Z$15,$Z37,$G$17)</f>
        <v/>
      </c>
      <c r="W19" s="21"/>
      <c r="X19" s="94"/>
      <c r="Y19" s="94"/>
      <c r="Z19" s="17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</row>
    <row r="20" spans="1:39" s="22" customFormat="1" ht="15.75" customHeight="1">
      <c r="A20" s="58"/>
      <c r="B20" s="126" t="s">
        <v>45</v>
      </c>
      <c r="C20" s="60" t="s">
        <v>45</v>
      </c>
      <c r="D20" s="60"/>
      <c r="E20" s="57"/>
      <c r="F20" s="58"/>
      <c r="H20" s="59"/>
      <c r="I20" s="62"/>
      <c r="J20" s="62"/>
      <c r="K20" s="62"/>
      <c r="L20" s="62"/>
      <c r="M20" s="61"/>
      <c r="N20" s="62"/>
      <c r="O20" s="63"/>
      <c r="P20" s="21"/>
      <c r="Q20" s="74"/>
      <c r="R20" s="74"/>
      <c r="S20" s="21"/>
      <c r="T20" s="62"/>
      <c r="U20" s="63"/>
      <c r="V20" s="21"/>
      <c r="W20" s="21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23" customFormat="1" ht="23.25">
      <c r="A21" s="64"/>
      <c r="B21" s="127" t="s">
        <v>55</v>
      </c>
      <c r="C21" s="64" t="str">
        <f ca="1">_xll.DBRA(Server&amp;$C$20,$B21,$G$17)</f>
        <v>Coûts des accidents du travail</v>
      </c>
      <c r="D21" s="156" t="s">
        <v>70</v>
      </c>
      <c r="E21" s="156" t="s">
        <v>69</v>
      </c>
      <c r="F21" s="153" t="str">
        <f ca="1">_xll.DBRA(Server&amp;$C$20,$B21,$G$17)</f>
        <v>Coûts des accidents du travail</v>
      </c>
      <c r="G21" s="153"/>
      <c r="H21" s="81"/>
      <c r="I21" s="138">
        <f ca="1">_xll.DBRW(Server&amp;Cube1,$G$13,$G$14,$G$15,$G$16,$G$11,$G$12,I$18,I$1,$B21)</f>
        <v>-1041.2766348318812</v>
      </c>
      <c r="J21" s="138">
        <f ca="1">_xll.DBRW(Server&amp;Cube1,$G$13,$G$14,$G$15,$G$16,$G$11,$G$12,J$18,J$1,$B21)</f>
        <v>-5313.5951195920325</v>
      </c>
      <c r="K21" s="138">
        <f ca="1">_xll.DBRW(Server&amp;Cube1,$G$13,$G$14,$G$15,$G$16,$G$11,$G$12,K$18,K$1,$B21)</f>
        <v>0</v>
      </c>
      <c r="L21" s="138">
        <f ca="1">_xll.DBRW(Server&amp;Cube1,$G$13,$G$14,$G$15,$G$16,$G$11,$G$12,L$18,L$1,$B21)</f>
        <v>-979.27934104806752</v>
      </c>
      <c r="M21" s="65"/>
      <c r="N21" s="138">
        <f ca="1">IF(OR($I21="",J21=""),"-",IFERROR(($I21-J21),""))</f>
        <v>4272.3184847601515</v>
      </c>
      <c r="O21" s="140">
        <f ca="1">IF(OR($J21=0,N21=0),"-",IF(ABS(N21/$J21)&gt;2,"-",N21/$J21))</f>
        <v>-0.80403538256188622</v>
      </c>
      <c r="P21" s="141" t="str">
        <f ca="1">IF(OR(AND(O21&gt;0.01,N21&lt;0),AND(O21&lt;-0.01,N21&lt;0)),"î",IF(OR(AND(O21&lt;-0.01,N21&gt;0),AND(O21&gt;0.01,N21&gt;0)),"ì","è"))</f>
        <v>ì</v>
      </c>
      <c r="Q21" s="138">
        <f ca="1">IF(OR($I21="",K21=""),"-",IFERROR(($I21-K21),""))</f>
        <v>-1041.2766348318812</v>
      </c>
      <c r="R21" s="140" t="str">
        <f ca="1">IF(OR($K21=0,Q21=0),"-",IF(ABS(Q21/$K21)&gt;2,"-",Q21/$K21))</f>
        <v>-</v>
      </c>
      <c r="S21" s="141" t="str">
        <f ca="1">IF(OR(AND(R21&gt;0.01,Q21&lt;0),AND(R21&lt;-0.01,Q21&lt;0)),"î",IF(OR(AND(R21&lt;-0.01,Q21&gt;0),AND(R21&gt;0.01,Q21&gt;0)),"ì","è"))</f>
        <v>î</v>
      </c>
      <c r="T21" s="138">
        <f ca="1">IF(OR($I21="",L21=""),"-",IFERROR(($I21-L21),""))</f>
        <v>-61.997293783813689</v>
      </c>
      <c r="U21" s="140">
        <f ca="1">IF(OR($L21=0,T21=0),"-",IF(ABS(T21/$L21)&gt;2,"-",T21/$L21))</f>
        <v>6.3309100054598805E-2</v>
      </c>
      <c r="V21" s="141" t="str">
        <f ca="1">IF(OR(AND(U21&gt;0.01,T21&lt;0),AND(U21&lt;-0.01,T21&lt;0)),"î",IF(OR(AND(U21&lt;-0.01,T21&gt;0),AND(U21&gt;0.01,T21&gt;0)),"ì","è"))</f>
        <v>î</v>
      </c>
      <c r="W21" s="24"/>
      <c r="X21" s="25"/>
      <c r="Y21" s="25"/>
      <c r="Z21" s="17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</row>
    <row r="22" spans="1:39" ht="23.25">
      <c r="B22" s="127"/>
      <c r="C22" s="64" t="str">
        <f ca="1">_xll.DBRA(Server&amp;$C$20,$B22,$G$17)</f>
        <v/>
      </c>
      <c r="D22" s="156"/>
      <c r="E22" s="156"/>
      <c r="F22" s="129"/>
      <c r="G22" s="129"/>
      <c r="H22" s="12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29"/>
    </row>
    <row r="23" spans="1:39" s="23" customFormat="1" ht="23.25">
      <c r="A23" s="64"/>
      <c r="B23" s="127" t="s">
        <v>71</v>
      </c>
      <c r="C23" s="64" t="str">
        <f ca="1">_xll.DBRA(Server&amp;$C$20,$B23,$G$17)</f>
        <v>Coûts des accidents du travail - assurance</v>
      </c>
      <c r="D23" s="156" t="s">
        <v>70</v>
      </c>
      <c r="E23" s="156" t="s">
        <v>69</v>
      </c>
      <c r="F23" s="143" t="str">
        <f ca="1">_xll.DBRA(Server&amp;$C$20,$B23,$G$17)</f>
        <v>Coûts des accidents du travail - assurance</v>
      </c>
      <c r="G23" s="143"/>
      <c r="H23" s="81"/>
      <c r="I23" s="144">
        <f ca="1">_xll.DBRW(Server&amp;Cube1,$G$13,$G$14,$G$15,$G$16,$G$11,$G$12,I$18,I$1,$B23)</f>
        <v>0</v>
      </c>
      <c r="J23" s="144">
        <f ca="1">_xll.DBRW(Server&amp;Cube1,$G$13,$G$14,$G$15,$G$16,$G$11,$G$12,J$18,J$1,$B23)</f>
        <v>-694.93847368421075</v>
      </c>
      <c r="K23" s="144">
        <f ca="1">_xll.DBRW(Server&amp;Cube1,$G$13,$G$14,$G$15,$G$16,$G$11,$G$12,K$18,K$1,$B23)</f>
        <v>0</v>
      </c>
      <c r="L23" s="144">
        <f ca="1">_xll.DBRW(Server&amp;Cube1,$G$13,$G$14,$G$15,$G$16,$G$11,$G$12,L$18,L$1,$B23)</f>
        <v>-770.35482941518546</v>
      </c>
      <c r="M23" s="65"/>
      <c r="N23" s="144">
        <f ca="1">IF(OR($I23="",J23=""),"-",IFERROR(($I23-J23),""))</f>
        <v>694.93847368421075</v>
      </c>
      <c r="O23" s="145">
        <f ca="1">IF(OR($J23=0,N23=0),"-",IF(ABS(N23/$J23)&gt;2,"-",N23/$J23))</f>
        <v>-1</v>
      </c>
      <c r="P23" s="146" t="str">
        <f ca="1">IF(OR(AND(O23&gt;0.01,N23&lt;0),AND(O23&lt;-0.01,N23&lt;0)),"î",IF(OR(AND(O23&lt;-0.01,N23&gt;0),AND(O23&gt;0.01,N23&gt;0)),"ì","è"))</f>
        <v>ì</v>
      </c>
      <c r="Q23" s="144">
        <f ca="1">IF(OR($I23="",K23=""),"-",IFERROR(($I23-K23),""))</f>
        <v>0</v>
      </c>
      <c r="R23" s="145" t="str">
        <f ca="1">IF(OR($K23=0,Q23=0),"-",IF(ABS(Q23/$K23)&gt;2,"-",Q23/$K23))</f>
        <v>-</v>
      </c>
      <c r="S23" s="146" t="str">
        <f ca="1">IF(OR(AND(R23&gt;0.01,Q23&lt;0),AND(R23&lt;-0.01,Q23&lt;0)),"î",IF(OR(AND(R23&lt;-0.01,Q23&gt;0),AND(R23&gt;0.01,Q23&gt;0)),"ì","è"))</f>
        <v>è</v>
      </c>
      <c r="T23" s="144">
        <f ca="1">IF(OR($I23="",L23=""),"-",IFERROR(($I23-L23),""))</f>
        <v>770.35482941518546</v>
      </c>
      <c r="U23" s="145">
        <f ca="1">IF(OR($L23=0,T23=0),"-",IF(ABS(T23/$L23)&gt;2,"-",T23/$L23))</f>
        <v>-1</v>
      </c>
      <c r="V23" s="147" t="str">
        <f ca="1">IF(OR(AND(U23&gt;0.01,T23&lt;0),AND(U23&lt;-0.01,T23&lt;0)),"î",IF(OR(AND(U23&lt;-0.01,T23&gt;0),AND(U23&gt;0.01,T23&gt;0)),"ì","è"))</f>
        <v>ì</v>
      </c>
      <c r="W23" s="24"/>
      <c r="X23" s="25"/>
      <c r="Y23" s="25"/>
      <c r="Z23" s="17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</row>
    <row r="24" spans="1:39" ht="23.25">
      <c r="B24" s="127"/>
      <c r="C24" s="64" t="str">
        <f ca="1">_xll.DBRA(Server&amp;$C$20,$B24,$G$17)</f>
        <v/>
      </c>
      <c r="D24" s="156"/>
      <c r="E24" s="156"/>
      <c r="F24" s="129"/>
      <c r="G24" s="129"/>
      <c r="H24" s="12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29"/>
    </row>
    <row r="25" spans="1:39" s="31" customFormat="1" ht="23.25">
      <c r="A25" s="68"/>
      <c r="B25" s="127" t="s">
        <v>65</v>
      </c>
      <c r="C25" s="64" t="str">
        <f ca="1">_xll.DBRA(Server&amp;$C$20,$B25,$G$17)</f>
        <v>Refacturation - Autres (CR)</v>
      </c>
      <c r="D25" s="156"/>
      <c r="E25" s="156"/>
      <c r="F25" s="153" t="str">
        <f ca="1">_xll.DBRA(Server&amp;$C$20,$B25,$G$17)</f>
        <v>Refacturation - Autres (CR)</v>
      </c>
      <c r="G25" s="153"/>
      <c r="H25" s="81"/>
      <c r="I25" s="138">
        <f ca="1">_xll.DBRW(Server&amp;Cube1,$G$13,$G$14,$G$15,$G$16,$G$11,$G$12,I$18,I$1,$B25)</f>
        <v>0</v>
      </c>
      <c r="J25" s="138">
        <f ca="1">_xll.DBRW(Server&amp;Cube1,$G$13,$G$14,$G$15,$G$16,$G$11,$G$12,J$18,J$1,$B25)</f>
        <v>0</v>
      </c>
      <c r="K25" s="138">
        <f ca="1">_xll.DBRW(Server&amp;Cube1,$G$13,$G$14,$G$15,$G$16,$G$11,$G$12,K$18,K$1,$B25)</f>
        <v>0</v>
      </c>
      <c r="L25" s="138">
        <f ca="1">_xll.DBRW(Server&amp;Cube1,$G$13,$G$14,$G$15,$G$16,$G$11,$G$12,L$18,L$1,$B25)</f>
        <v>0</v>
      </c>
      <c r="M25" s="65"/>
      <c r="N25" s="138">
        <f t="shared" ref="N25:N29" ca="1" si="0">IF(OR($I25="",J25=""),"-",IFERROR(($I25-J25),""))</f>
        <v>0</v>
      </c>
      <c r="O25" s="140" t="str">
        <f t="shared" ref="O25:O29" ca="1" si="1">IF(OR($J25=0,N25=0),"-",IF(ABS(N25/$J25)&gt;2,"-",N25/$J25))</f>
        <v>-</v>
      </c>
      <c r="P25" s="141" t="str">
        <f ca="1">IF(OR(AND(O25&gt;0.01,N25&lt;0),AND(O25&lt;-0.01,N25&lt;0)),"î",IF(OR(AND(O25&lt;-0.01,N25&gt;0),AND(O25&gt;0.01,N25&gt;0)),"ì","è"))</f>
        <v>è</v>
      </c>
      <c r="Q25" s="138">
        <f t="shared" ref="Q25:Q29" ca="1" si="2">IF(OR($I25="",K25=""),"-",IFERROR(($I25-K25),""))</f>
        <v>0</v>
      </c>
      <c r="R25" s="140" t="str">
        <f t="shared" ref="R25:R29" ca="1" si="3">IF(OR($K25=0,Q25=0),"-",IF(ABS(Q25/$K25)&gt;2,"-",Q25/$K25))</f>
        <v>-</v>
      </c>
      <c r="S25" s="141" t="str">
        <f ca="1">IF(OR(AND(R25&gt;0.01,Q25&lt;0),AND(R25&lt;-0.01,Q25&lt;0)),"î",IF(OR(AND(R25&lt;-0.01,Q25&gt;0),AND(R25&gt;0.01,Q25&gt;0)),"ì","è"))</f>
        <v>è</v>
      </c>
      <c r="T25" s="138">
        <f t="shared" ref="T25:T29" ca="1" si="4">IF(OR($I25="",L25=""),"-",IFERROR(($I25-L25),""))</f>
        <v>0</v>
      </c>
      <c r="U25" s="140" t="str">
        <f t="shared" ref="U25:U29" ca="1" si="5">IF(OR($L25=0,T25=0),"-",IF(ABS(T25/$L25)&gt;2,"-",T25/$L25))</f>
        <v>-</v>
      </c>
      <c r="V25" s="82" t="str">
        <f ca="1">IF(OR(AND(U25&gt;0.01,T25&lt;0),AND(U25&lt;-0.01,T25&lt;0)),"î",IF(OR(AND(U25&lt;-0.01,T25&gt;0),AND(U25&gt;0.01,T25&gt;0)),"ì","è"))</f>
        <v>è</v>
      </c>
      <c r="W25" s="32"/>
      <c r="X25" s="33"/>
      <c r="Y25" s="33"/>
      <c r="Z25" s="17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</row>
    <row r="26" spans="1:39" ht="23.25">
      <c r="B26" s="127"/>
      <c r="C26" s="64" t="str">
        <f ca="1">_xll.DBRA(Server&amp;$C$20,$B26,$G$17)</f>
        <v/>
      </c>
      <c r="D26" s="156"/>
      <c r="E26" s="156"/>
      <c r="F26" s="129"/>
      <c r="G26" s="129"/>
      <c r="H26" s="129"/>
      <c r="I26" s="139"/>
      <c r="J26" s="139"/>
      <c r="K26" s="139"/>
      <c r="L26" s="139"/>
      <c r="M26" s="139"/>
      <c r="N26" s="139"/>
      <c r="O26" s="139"/>
      <c r="P26" s="139"/>
      <c r="Q26" s="139"/>
      <c r="R26" s="139"/>
      <c r="S26" s="139"/>
      <c r="T26" s="139"/>
      <c r="U26" s="139"/>
      <c r="V26" s="129"/>
    </row>
    <row r="27" spans="1:39" ht="23.25" customHeight="1">
      <c r="B27" s="127" t="s">
        <v>62</v>
      </c>
      <c r="C27" s="64" t="str">
        <f ca="1">_xll.DBRA(Server&amp;$C$20,$B27,$G$17)</f>
        <v>Indemnisation assurance interne groupe</v>
      </c>
      <c r="D27" s="156"/>
      <c r="E27" s="156"/>
      <c r="F27" s="153" t="str">
        <f ca="1">_xll.DBRA(Server&amp;$C$20,$B27,$G$17)</f>
        <v>Indemnisation assurance interne groupe</v>
      </c>
      <c r="G27" s="153"/>
      <c r="H27" s="81"/>
      <c r="I27" s="138">
        <f ca="1">_xll.DBRW(Server&amp;Cube1,$G$13,$G$14,$G$15,$G$16,$G$11,$G$12,I$18,I$1,$B27)</f>
        <v>0</v>
      </c>
      <c r="J27" s="138">
        <f ca="1">_xll.DBRW(Server&amp;Cube1,$G$13,$G$14,$G$15,$G$16,$G$11,$G$12,J$18,J$1,$B27)</f>
        <v>0</v>
      </c>
      <c r="K27" s="138">
        <f ca="1">_xll.DBRW(Server&amp;Cube1,$G$13,$G$14,$G$15,$G$16,$G$11,$G$12,K$18,K$1,$B27)</f>
        <v>0</v>
      </c>
      <c r="L27" s="138">
        <f ca="1">_xll.DBRW(Server&amp;Cube1,$G$13,$G$14,$G$15,$G$16,$G$11,$G$12,L$18,L$1,$B27)</f>
        <v>0</v>
      </c>
      <c r="M27" s="65"/>
      <c r="N27" s="138">
        <f t="shared" ca="1" si="0"/>
        <v>0</v>
      </c>
      <c r="O27" s="140" t="str">
        <f t="shared" ca="1" si="1"/>
        <v>-</v>
      </c>
      <c r="P27" s="141" t="str">
        <f ca="1">IF(OR(AND(O27&gt;0.01,N27&lt;0),AND(O27&lt;-0.01,N27&lt;0)),"î",IF(OR(AND(O27&lt;-0.01,N27&gt;0),AND(O27&gt;0.01,N27&gt;0)),"ì","è"))</f>
        <v>è</v>
      </c>
      <c r="Q27" s="138">
        <f t="shared" ca="1" si="2"/>
        <v>0</v>
      </c>
      <c r="R27" s="140" t="str">
        <f t="shared" ca="1" si="3"/>
        <v>-</v>
      </c>
      <c r="S27" s="141" t="str">
        <f t="shared" ref="S27:S29" ca="1" si="6">IF(OR(AND(R27&gt;0.01,Q27&lt;0),AND(R27&lt;-0.01,Q27&lt;0)),"î",IF(OR(AND(R27&lt;-0.01,Q27&gt;0),AND(R27&gt;0.01,Q27&gt;0)),"ì","è"))</f>
        <v>è</v>
      </c>
      <c r="T27" s="138">
        <f t="shared" ca="1" si="4"/>
        <v>0</v>
      </c>
      <c r="U27" s="140" t="str">
        <f t="shared" ca="1" si="5"/>
        <v>-</v>
      </c>
      <c r="V27" s="82" t="str">
        <f t="shared" ref="V27:V29" ca="1" si="7">IF(OR(AND(U27&gt;0.01,T27&lt;0),AND(U27&lt;-0.01,T27&lt;0)),"î",IF(OR(AND(U27&lt;-0.01,T27&gt;0),AND(U27&gt;0.01,T27&gt;0)),"ì","è"))</f>
        <v>è</v>
      </c>
      <c r="W27" s="26"/>
    </row>
    <row r="28" spans="1:39" ht="23.25">
      <c r="B28" s="127" t="s">
        <v>63</v>
      </c>
      <c r="C28" s="64" t="str">
        <f ca="1">_xll.DBRA(Server&amp;$C$20,$B28,$G$17)</f>
        <v>Indemnisation reçue assurance interne Groupe (CR)</v>
      </c>
      <c r="D28" s="156"/>
      <c r="E28" s="156"/>
      <c r="F28" s="154" t="str">
        <f ca="1">_xll.DBRA(Server&amp;$C$20,$B28,$G$17)</f>
        <v>Indemnisation reçue assurance interne Groupe (CR)</v>
      </c>
      <c r="G28" s="154"/>
      <c r="H28" s="130"/>
      <c r="I28" s="131">
        <f ca="1">_xll.DBRW(Server&amp;Cube1,$G$13,$G$14,$G$15,$G$16,$G$11,$G$12,I$18,I$1,$B28)</f>
        <v>0</v>
      </c>
      <c r="J28" s="131">
        <f ca="1">_xll.DBRW(Server&amp;Cube1,$G$13,$G$14,$G$15,$G$16,$G$11,$G$12,J$18,J$1,$B28)</f>
        <v>0</v>
      </c>
      <c r="K28" s="131">
        <f ca="1">_xll.DBRW(Server&amp;Cube1,$G$13,$G$14,$G$15,$G$16,$G$11,$G$12,K$18,K$1,$B28)</f>
        <v>0</v>
      </c>
      <c r="L28" s="131">
        <f ca="1">_xll.DBRW(Server&amp;Cube1,$G$13,$G$14,$G$15,$G$16,$G$11,$G$12,L$18,L$1,$B28)</f>
        <v>0</v>
      </c>
      <c r="M28" s="132"/>
      <c r="N28" s="131">
        <f t="shared" ca="1" si="0"/>
        <v>0</v>
      </c>
      <c r="O28" s="133" t="str">
        <f t="shared" ca="1" si="1"/>
        <v>-</v>
      </c>
      <c r="P28" s="142" t="str">
        <f t="shared" ref="P28:P29" ca="1" si="8">IF(OR(AND(O28&gt;0.01,N28&lt;0),AND(O28&lt;-0.01,N28&lt;0)),"î",IF(OR(AND(O28&lt;-0.01,N28&gt;0),AND(O28&gt;0.01,N28&gt;0)),"ì","è"))</f>
        <v>è</v>
      </c>
      <c r="Q28" s="131">
        <f t="shared" ca="1" si="2"/>
        <v>0</v>
      </c>
      <c r="R28" s="133" t="str">
        <f t="shared" ca="1" si="3"/>
        <v>-</v>
      </c>
      <c r="S28" s="142" t="str">
        <f t="shared" ca="1" si="6"/>
        <v>è</v>
      </c>
      <c r="T28" s="131">
        <f t="shared" ca="1" si="4"/>
        <v>0</v>
      </c>
      <c r="U28" s="133" t="str">
        <f t="shared" ca="1" si="5"/>
        <v>-</v>
      </c>
      <c r="V28" s="135" t="str">
        <f t="shared" ca="1" si="7"/>
        <v>è</v>
      </c>
      <c r="W28" s="26"/>
    </row>
    <row r="29" spans="1:39" s="31" customFormat="1" ht="23.25">
      <c r="A29" s="68"/>
      <c r="B29" s="127" t="s">
        <v>64</v>
      </c>
      <c r="C29" s="64" t="str">
        <f ca="1">_xll.DBRA(Server&amp;$C$20,$B29,$G$17)</f>
        <v>Indemnisation versée assurance interne Groupe (CR)</v>
      </c>
      <c r="D29" s="156"/>
      <c r="E29" s="156"/>
      <c r="F29" s="154" t="str">
        <f ca="1">_xll.DBRA(Server&amp;$C$20,$B29,$G$17)</f>
        <v>Indemnisation versée assurance interne Groupe (CR)</v>
      </c>
      <c r="G29" s="154"/>
      <c r="H29" s="136"/>
      <c r="I29" s="131">
        <f ca="1">_xll.DBRW(Server&amp;Cube1,$G$13,$G$14,$G$15,$G$16,$G$11,$G$12,I$18,I$1,$B29)</f>
        <v>0</v>
      </c>
      <c r="J29" s="131">
        <f ca="1">_xll.DBRW(Server&amp;Cube1,$G$13,$G$14,$G$15,$G$16,$G$11,$G$12,J$18,J$1,$B29)</f>
        <v>0</v>
      </c>
      <c r="K29" s="131">
        <f ca="1">_xll.DBRW(Server&amp;Cube1,$G$13,$G$14,$G$15,$G$16,$G$11,$G$12,K$18,K$1,$B29)</f>
        <v>0</v>
      </c>
      <c r="L29" s="131">
        <f ca="1">_xll.DBRW(Server&amp;Cube1,$G$13,$G$14,$G$15,$G$16,$G$11,$G$12,L$18,L$1,$B29)</f>
        <v>0</v>
      </c>
      <c r="M29" s="132"/>
      <c r="N29" s="131">
        <f t="shared" ca="1" si="0"/>
        <v>0</v>
      </c>
      <c r="O29" s="133" t="str">
        <f t="shared" ca="1" si="1"/>
        <v>-</v>
      </c>
      <c r="P29" s="142" t="str">
        <f t="shared" ca="1" si="8"/>
        <v>è</v>
      </c>
      <c r="Q29" s="131">
        <f t="shared" ca="1" si="2"/>
        <v>0</v>
      </c>
      <c r="R29" s="133" t="str">
        <f t="shared" ca="1" si="3"/>
        <v>-</v>
      </c>
      <c r="S29" s="142" t="str">
        <f t="shared" ca="1" si="6"/>
        <v>è</v>
      </c>
      <c r="T29" s="131">
        <f t="shared" ca="1" si="4"/>
        <v>0</v>
      </c>
      <c r="U29" s="133" t="str">
        <f t="shared" ca="1" si="5"/>
        <v>-</v>
      </c>
      <c r="V29" s="135" t="str">
        <f t="shared" ca="1" si="7"/>
        <v>è</v>
      </c>
      <c r="W29" s="32"/>
      <c r="X29" s="33"/>
      <c r="Y29" s="33"/>
      <c r="Z29" s="17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</row>
    <row r="30" spans="1:39" s="31" customFormat="1" ht="19.5" customHeight="1">
      <c r="A30" s="68"/>
      <c r="B30" s="127"/>
      <c r="C30" s="64" t="str">
        <f ca="1">_xll.DBRA(Server&amp;$C$20,$B30,$G$17)</f>
        <v/>
      </c>
      <c r="D30" s="156"/>
      <c r="E30" s="156"/>
      <c r="F30" s="154" t="str">
        <f ca="1">_xll.DBRA(Server&amp;$C$20,$B30,$G$17)</f>
        <v/>
      </c>
      <c r="G30" s="154"/>
      <c r="H30" s="136"/>
      <c r="I30" s="131" t="str">
        <f ca="1">_xll.DBRW(Server&amp;Cube1,$G$13,$G$14,$G$15,$G$16,$G$11,$G$12,I$18,I$1,$B30)</f>
        <v/>
      </c>
      <c r="J30" s="131" t="str">
        <f ca="1">_xll.DBRW(Server&amp;Cube1,$G$13,$G$14,$G$15,$G$16,$G$11,$G$12,J$18,J$1,$B30)</f>
        <v/>
      </c>
      <c r="K30" s="131" t="str">
        <f ca="1">_xll.DBRW(Server&amp;Cube1,$G$13,$G$14,$G$15,$G$16,$G$11,$G$12,K$18,K$1,$B30)</f>
        <v/>
      </c>
      <c r="L30" s="131" t="str">
        <f ca="1">_xll.DBRW(Server&amp;Cube1,$G$13,$G$14,$G$15,$G$16,$G$11,$G$12,L$18,L$1,$B30)</f>
        <v/>
      </c>
      <c r="M30" s="132"/>
      <c r="N30" s="131"/>
      <c r="O30" s="133"/>
      <c r="P30" s="142"/>
      <c r="Q30" s="131"/>
      <c r="R30" s="133"/>
      <c r="S30" s="142"/>
      <c r="T30" s="131"/>
      <c r="U30" s="133"/>
      <c r="V30" s="135"/>
      <c r="W30" s="32"/>
      <c r="X30" s="33"/>
      <c r="Y30" s="33"/>
      <c r="Z30" s="17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</row>
    <row r="31" spans="1:39" ht="23.25">
      <c r="B31" s="127" t="s">
        <v>56</v>
      </c>
      <c r="C31" s="64" t="str">
        <f ca="1">_xll.DBRA(Server&amp;$C$20,$B31,$G$17)</f>
        <v>Autres charges (CR)</v>
      </c>
      <c r="D31" s="156"/>
      <c r="E31" s="156"/>
      <c r="F31" s="153" t="str">
        <f ca="1">_xll.DBRA(Server&amp;$C$20,$B31,$G$17)</f>
        <v>Autres charges (CR)</v>
      </c>
      <c r="G31" s="153"/>
      <c r="H31" s="81"/>
      <c r="I31" s="138">
        <f ca="1">_xll.DBRW(Server&amp;Cube1,$G$13,$G$14,$G$15,$G$16,$G$11,$G$12,I$18,I$1,$B31)</f>
        <v>-5110.2218682818102</v>
      </c>
      <c r="J31" s="138">
        <f ca="1">_xll.DBRW(Server&amp;Cube1,$G$13,$G$14,$G$15,$G$16,$G$11,$G$12,J$18,J$1,$B31)</f>
        <v>-15733.419717794446</v>
      </c>
      <c r="K31" s="138">
        <f ca="1">_xll.DBRW(Server&amp;Cube1,$G$13,$G$14,$G$15,$G$16,$G$11,$G$12,K$18,K$1,$B31)</f>
        <v>0</v>
      </c>
      <c r="L31" s="138">
        <f ca="1">_xll.DBRW(Server&amp;Cube1,$G$13,$G$14,$G$15,$G$16,$G$11,$G$12,L$18,L$1,$B31)</f>
        <v>-29977.782018069131</v>
      </c>
      <c r="M31" s="65"/>
      <c r="N31" s="138">
        <f t="shared" ref="N31:N40" ca="1" si="9">IF(OR($I31="",J31=""),"-",IFERROR(($I31-J31),""))</f>
        <v>10623.197849512635</v>
      </c>
      <c r="O31" s="140">
        <f t="shared" ref="O31:O40" ca="1" si="10">IF(OR($J31=0,N31=0),"-",IF(ABS(N31/$J31)&gt;2,"-",N31/$J31))</f>
        <v>-0.67519954593837173</v>
      </c>
      <c r="P31" s="141" t="str">
        <f t="shared" ref="P31:P36" ca="1" si="11">IF(OR(AND(O31&gt;0.01,N31&lt;0),AND(O31&lt;-0.01,N31&lt;0)),"î",IF(OR(AND(O31&lt;-0.01,N31&gt;0),AND(O31&gt;0.01,N31&gt;0)),"ì","è"))</f>
        <v>ì</v>
      </c>
      <c r="Q31" s="138">
        <f t="shared" ref="Q31:Q40" ca="1" si="12">IF(OR($I31="",K31=""),"-",IFERROR(($I31-K31),""))</f>
        <v>-5110.2218682818102</v>
      </c>
      <c r="R31" s="140" t="str">
        <f t="shared" ref="R31:R40" ca="1" si="13">IF(OR($K31=0,Q31=0),"-",IF(ABS(Q31/$K31)&gt;2,"-",Q31/$K31))</f>
        <v>-</v>
      </c>
      <c r="S31" s="141" t="str">
        <f t="shared" ref="S31:S36" ca="1" si="14">IF(OR(AND(R31&gt;0.01,Q31&lt;0),AND(R31&lt;-0.01,Q31&lt;0)),"î",IF(OR(AND(R31&lt;-0.01,Q31&gt;0),AND(R31&gt;0.01,Q31&gt;0)),"ì","è"))</f>
        <v>î</v>
      </c>
      <c r="T31" s="138">
        <f t="shared" ref="T31:T40" ca="1" si="15">IF(OR($I31="",L31=""),"-",IFERROR(($I31-L31),""))</f>
        <v>24867.560149787321</v>
      </c>
      <c r="U31" s="140">
        <f t="shared" ref="U31:U40" ca="1" si="16">IF(OR($L31=0,T31=0),"-",IF(ABS(T31/$L31)&gt;2,"-",T31/$L31))</f>
        <v>-0.82953302331701462</v>
      </c>
      <c r="V31" s="82" t="str">
        <f t="shared" ref="V31:V36" ca="1" si="17">IF(OR(AND(U31&gt;0.01,T31&lt;0),AND(U31&lt;-0.01,T31&lt;0)),"î",IF(OR(AND(U31&lt;-0.01,T31&gt;0),AND(U31&gt;0.01,T31&gt;0)),"ì","è"))</f>
        <v>ì</v>
      </c>
      <c r="W31" s="26"/>
    </row>
    <row r="32" spans="1:39" ht="23.25">
      <c r="B32" s="128" t="s">
        <v>59</v>
      </c>
      <c r="C32" s="64" t="str">
        <f ca="1">_xll.DBRA(Server&amp;$C$20,$B32,$G$17)</f>
        <v>Réparations</v>
      </c>
      <c r="D32" s="156"/>
      <c r="E32" s="156"/>
      <c r="F32" s="154" t="str">
        <f ca="1">_xll.DBRA(Server&amp;$C$20,$B32,$G$17)</f>
        <v>Réparations</v>
      </c>
      <c r="G32" s="154"/>
      <c r="H32" s="130"/>
      <c r="I32" s="131">
        <f ca="1">_xll.DBRW(Server&amp;Cube1,$G$13,$G$14,$G$15,$G$16,$G$11,$G$12,I$18,I$1,$B32)</f>
        <v>-1273.8960330278278</v>
      </c>
      <c r="J32" s="131">
        <f ca="1">_xll.DBRW(Server&amp;Cube1,$G$13,$G$14,$G$15,$G$16,$G$11,$G$12,J$18,J$1,$B32)</f>
        <v>-2554.1142013294188</v>
      </c>
      <c r="K32" s="131">
        <f ca="1">_xll.DBRW(Server&amp;Cube1,$G$13,$G$14,$G$15,$G$16,$G$11,$G$12,K$18,K$1,$B32)</f>
        <v>0</v>
      </c>
      <c r="L32" s="131">
        <f ca="1">_xll.DBRW(Server&amp;Cube1,$G$13,$G$14,$G$15,$G$16,$G$11,$G$12,L$18,L$1,$B32)</f>
        <v>-3121.5289509561362</v>
      </c>
      <c r="M32" s="132"/>
      <c r="N32" s="131">
        <f t="shared" ca="1" si="9"/>
        <v>1280.218168301591</v>
      </c>
      <c r="O32" s="133">
        <f t="shared" ca="1" si="10"/>
        <v>-0.50123763754777928</v>
      </c>
      <c r="P32" s="142" t="str">
        <f t="shared" ca="1" si="11"/>
        <v>ì</v>
      </c>
      <c r="Q32" s="131">
        <f t="shared" ca="1" si="12"/>
        <v>-1273.8960330278278</v>
      </c>
      <c r="R32" s="133" t="str">
        <f t="shared" ca="1" si="13"/>
        <v>-</v>
      </c>
      <c r="S32" s="142" t="str">
        <f t="shared" ca="1" si="14"/>
        <v>î</v>
      </c>
      <c r="T32" s="131">
        <f t="shared" ca="1" si="15"/>
        <v>1847.6329179283084</v>
      </c>
      <c r="U32" s="133">
        <f t="shared" ca="1" si="16"/>
        <v>-0.59189997817011164</v>
      </c>
      <c r="V32" s="135" t="str">
        <f t="shared" ca="1" si="17"/>
        <v>ì</v>
      </c>
      <c r="W32" s="26"/>
    </row>
    <row r="33" spans="1:39" ht="23.25">
      <c r="B33" s="128" t="s">
        <v>58</v>
      </c>
      <c r="C33" s="64" t="str">
        <f ca="1">_xll.DBRA(Server&amp;$C$20,$B33,$G$17)</f>
        <v>Indemnisation tiers</v>
      </c>
      <c r="D33" s="156"/>
      <c r="E33" s="156"/>
      <c r="F33" s="154" t="str">
        <f ca="1">_xll.DBRA(Server&amp;$C$20,$B33,$G$17)</f>
        <v>Indemnisation tiers</v>
      </c>
      <c r="G33" s="154"/>
      <c r="H33" s="130"/>
      <c r="I33" s="131">
        <f ca="1">_xll.DBRW(Server&amp;Cube1,$G$13,$G$14,$G$15,$G$16,$G$11,$G$12,I$18,I$1,$B33)</f>
        <v>-1819.6982114233747</v>
      </c>
      <c r="J33" s="131">
        <f ca="1">_xll.DBRW(Server&amp;Cube1,$G$13,$G$14,$G$15,$G$16,$G$11,$G$12,J$18,J$1,$B33)</f>
        <v>-8762.1390209257879</v>
      </c>
      <c r="K33" s="131">
        <f ca="1">_xll.DBRW(Server&amp;Cube1,$G$13,$G$14,$G$15,$G$16,$G$11,$G$12,K$18,K$1,$B33)</f>
        <v>0</v>
      </c>
      <c r="L33" s="131">
        <f ca="1">_xll.DBRW(Server&amp;Cube1,$G$13,$G$14,$G$15,$G$16,$G$11,$G$12,L$18,L$1,$B33)</f>
        <v>-18871.437051484252</v>
      </c>
      <c r="M33" s="132"/>
      <c r="N33" s="131">
        <f t="shared" ca="1" si="9"/>
        <v>6942.4408095024137</v>
      </c>
      <c r="O33" s="133">
        <f t="shared" ca="1" si="10"/>
        <v>-0.79232260443739122</v>
      </c>
      <c r="P33" s="142" t="str">
        <f t="shared" ca="1" si="11"/>
        <v>ì</v>
      </c>
      <c r="Q33" s="131">
        <f t="shared" ca="1" si="12"/>
        <v>-1819.6982114233747</v>
      </c>
      <c r="R33" s="133" t="str">
        <f t="shared" ca="1" si="13"/>
        <v>-</v>
      </c>
      <c r="S33" s="142" t="str">
        <f t="shared" ca="1" si="14"/>
        <v>î</v>
      </c>
      <c r="T33" s="131">
        <f t="shared" ca="1" si="15"/>
        <v>17051.738840060876</v>
      </c>
      <c r="U33" s="133">
        <f t="shared" ca="1" si="16"/>
        <v>-0.90357394582834616</v>
      </c>
      <c r="V33" s="135" t="str">
        <f t="shared" ca="1" si="17"/>
        <v>ì</v>
      </c>
      <c r="W33" s="26"/>
    </row>
    <row r="34" spans="1:39" ht="23.25">
      <c r="B34" s="128" t="s">
        <v>60</v>
      </c>
      <c r="C34" s="64" t="str">
        <f ca="1">_xll.DBRA(Server&amp;$C$20,$B34,$G$17)</f>
        <v>Prime d'assurance versé</v>
      </c>
      <c r="D34" s="156"/>
      <c r="E34" s="156"/>
      <c r="F34" s="154" t="str">
        <f ca="1">_xll.DBRA(Server&amp;$C$20,$B34,$G$17)</f>
        <v>Prime d'assurance versé</v>
      </c>
      <c r="G34" s="154"/>
      <c r="H34" s="130"/>
      <c r="I34" s="131">
        <f ca="1">_xll.DBRW(Server&amp;Cube1,$G$13,$G$14,$G$15,$G$16,$G$11,$G$12,I$18,I$1,$B34)</f>
        <v>-3069.5107304676117</v>
      </c>
      <c r="J34" s="131">
        <f ca="1">_xll.DBRW(Server&amp;Cube1,$G$13,$G$14,$G$15,$G$16,$G$11,$G$12,J$18,J$1,$B34)</f>
        <v>-4792.2231100746121</v>
      </c>
      <c r="K34" s="131">
        <f ca="1">_xll.DBRW(Server&amp;Cube1,$G$13,$G$14,$G$15,$G$16,$G$11,$G$12,K$18,K$1,$B34)</f>
        <v>0</v>
      </c>
      <c r="L34" s="131">
        <f ca="1">_xll.DBRW(Server&amp;Cube1,$G$13,$G$14,$G$15,$G$16,$G$11,$G$12,L$18,L$1,$B34)</f>
        <v>-9304.3188976654255</v>
      </c>
      <c r="M34" s="132"/>
      <c r="N34" s="131">
        <f t="shared" ca="1" si="9"/>
        <v>1722.7123796070005</v>
      </c>
      <c r="O34" s="133">
        <f t="shared" ca="1" si="10"/>
        <v>-0.35948083802387465</v>
      </c>
      <c r="P34" s="142" t="str">
        <f t="shared" ca="1" si="11"/>
        <v>ì</v>
      </c>
      <c r="Q34" s="131">
        <f t="shared" ca="1" si="12"/>
        <v>-3069.5107304676117</v>
      </c>
      <c r="R34" s="133" t="str">
        <f t="shared" ca="1" si="13"/>
        <v>-</v>
      </c>
      <c r="S34" s="142" t="str">
        <f t="shared" ca="1" si="14"/>
        <v>î</v>
      </c>
      <c r="T34" s="131">
        <f t="shared" ca="1" si="15"/>
        <v>6234.8081671978143</v>
      </c>
      <c r="U34" s="133">
        <f t="shared" ca="1" si="16"/>
        <v>-0.67009828830804674</v>
      </c>
      <c r="V34" s="135" t="str">
        <f t="shared" ca="1" si="17"/>
        <v>ì</v>
      </c>
      <c r="W34" s="26"/>
    </row>
    <row r="35" spans="1:39" ht="23.25">
      <c r="B35" s="128" t="s">
        <v>61</v>
      </c>
      <c r="C35" s="64" t="str">
        <f ca="1">_xll.DBRA(Server&amp;$C$20,$B35,$G$17)</f>
        <v>Indemnités d'assurance reçues</v>
      </c>
      <c r="D35" s="156"/>
      <c r="E35" s="156"/>
      <c r="F35" s="154" t="str">
        <f ca="1">_xll.DBRA(Server&amp;$C$20,$B35,$G$17)</f>
        <v>Indemnités d'assurance reçues</v>
      </c>
      <c r="G35" s="154"/>
      <c r="H35" s="130"/>
      <c r="I35" s="131">
        <f ca="1">_xll.DBRW(Server&amp;Cube1,$G$13,$G$14,$G$15,$G$16,$G$11,$G$12,I$18,I$1,$B35)</f>
        <v>1212.3853524861731</v>
      </c>
      <c r="J35" s="131">
        <f ca="1">_xll.DBRW(Server&amp;Cube1,$G$13,$G$14,$G$15,$G$16,$G$11,$G$12,J$18,J$1,$B35)</f>
        <v>824.86774611798705</v>
      </c>
      <c r="K35" s="131">
        <f ca="1">_xll.DBRW(Server&amp;Cube1,$G$13,$G$14,$G$15,$G$16,$G$11,$G$12,K$18,K$1,$B35)</f>
        <v>0</v>
      </c>
      <c r="L35" s="131">
        <f ca="1">_xll.DBRW(Server&amp;Cube1,$G$13,$G$14,$G$15,$G$16,$G$11,$G$12,L$18,L$1,$B35)</f>
        <v>1755.2610650455829</v>
      </c>
      <c r="M35" s="132"/>
      <c r="N35" s="131">
        <f t="shared" ca="1" si="9"/>
        <v>387.51760636818608</v>
      </c>
      <c r="O35" s="133">
        <f t="shared" ca="1" si="10"/>
        <v>0.46979362230118826</v>
      </c>
      <c r="P35" s="142" t="str">
        <f t="shared" ca="1" si="11"/>
        <v>ì</v>
      </c>
      <c r="Q35" s="131">
        <f t="shared" ca="1" si="12"/>
        <v>1212.3853524861731</v>
      </c>
      <c r="R35" s="133" t="str">
        <f t="shared" ca="1" si="13"/>
        <v>-</v>
      </c>
      <c r="S35" s="142" t="str">
        <f t="shared" ca="1" si="14"/>
        <v>ì</v>
      </c>
      <c r="T35" s="131">
        <f t="shared" ca="1" si="15"/>
        <v>-542.87571255940975</v>
      </c>
      <c r="U35" s="133">
        <f t="shared" ca="1" si="16"/>
        <v>-0.30928488267089299</v>
      </c>
      <c r="V35" s="135" t="str">
        <f t="shared" ca="1" si="17"/>
        <v>î</v>
      </c>
      <c r="W35" s="26"/>
    </row>
    <row r="36" spans="1:39" ht="23.25">
      <c r="B36" s="127" t="s">
        <v>57</v>
      </c>
      <c r="C36" s="64" t="str">
        <f ca="1">_xll.DBRA(Server&amp;$C$20,$B36,$G$17)</f>
        <v>Autres (CR)</v>
      </c>
      <c r="D36" s="156"/>
      <c r="E36" s="156"/>
      <c r="F36" s="154" t="str">
        <f ca="1">_xll.DBRA(Server&amp;$C$20,$B36,$G$17)</f>
        <v>Autres (CR)</v>
      </c>
      <c r="G36" s="154"/>
      <c r="H36" s="130"/>
      <c r="I36" s="131">
        <f ca="1">_xll.DBRW(Server&amp;Cube1,$G$13,$G$14,$G$15,$G$16,$G$11,$G$12,I$18,I$1,$B36)</f>
        <v>-159.50224584916793</v>
      </c>
      <c r="J36" s="131">
        <f ca="1">_xll.DBRW(Server&amp;Cube1,$G$13,$G$14,$G$15,$G$16,$G$11,$G$12,J$18,J$1,$B36)</f>
        <v>-449.81113158261405</v>
      </c>
      <c r="K36" s="131">
        <f ca="1">_xll.DBRW(Server&amp;Cube1,$G$13,$G$14,$G$15,$G$16,$G$11,$G$12,K$18,K$1,$B36)</f>
        <v>0</v>
      </c>
      <c r="L36" s="131">
        <f ca="1">_xll.DBRW(Server&amp;Cube1,$G$13,$G$14,$G$15,$G$16,$G$11,$G$12,L$18,L$1,$B36)</f>
        <v>-435.75818300890188</v>
      </c>
      <c r="M36" s="132"/>
      <c r="N36" s="131">
        <f t="shared" ca="1" si="9"/>
        <v>290.30888573344612</v>
      </c>
      <c r="O36" s="133">
        <f t="shared" ca="1" si="10"/>
        <v>-0.64540173719584093</v>
      </c>
      <c r="P36" s="142" t="str">
        <f t="shared" ca="1" si="11"/>
        <v>ì</v>
      </c>
      <c r="Q36" s="131">
        <f t="shared" ca="1" si="12"/>
        <v>-159.50224584916793</v>
      </c>
      <c r="R36" s="133" t="str">
        <f t="shared" ca="1" si="13"/>
        <v>-</v>
      </c>
      <c r="S36" s="142" t="str">
        <f t="shared" ca="1" si="14"/>
        <v>î</v>
      </c>
      <c r="T36" s="131">
        <f t="shared" ca="1" si="15"/>
        <v>276.25593715973395</v>
      </c>
      <c r="U36" s="133">
        <f t="shared" ca="1" si="16"/>
        <v>-0.63396614895948022</v>
      </c>
      <c r="V36" s="135" t="str">
        <f t="shared" ca="1" si="17"/>
        <v>ì</v>
      </c>
      <c r="W36" s="26"/>
    </row>
    <row r="37" spans="1:39" ht="23.25">
      <c r="B37" s="128"/>
      <c r="C37" s="64" t="str">
        <f ca="1">_xll.DBRA(Server&amp;$C$20,$B37,$G$17)</f>
        <v/>
      </c>
      <c r="D37" s="156"/>
      <c r="E37" s="156"/>
      <c r="F37" s="154" t="str">
        <f ca="1">_xll.DBRA(Server&amp;$C$20,$B37,$G$17)</f>
        <v/>
      </c>
      <c r="G37" s="154"/>
      <c r="H37" s="130"/>
      <c r="I37" s="131"/>
      <c r="J37" s="131"/>
      <c r="K37" s="131"/>
      <c r="L37" s="131"/>
      <c r="M37" s="132"/>
      <c r="N37" s="131"/>
      <c r="O37" s="133"/>
      <c r="P37" s="142"/>
      <c r="Q37" s="131"/>
      <c r="R37" s="133"/>
      <c r="S37" s="142"/>
      <c r="T37" s="131"/>
      <c r="U37" s="133"/>
      <c r="V37" s="135"/>
      <c r="W37" s="26"/>
    </row>
    <row r="38" spans="1:39" ht="23.25">
      <c r="B38" s="127" t="s">
        <v>66</v>
      </c>
      <c r="C38" s="64" t="str">
        <f ca="1">_xll.DBRA(Server&amp;$C$20,$B38,$G$17)</f>
        <v>Coût du risque (CAFOP)</v>
      </c>
      <c r="D38" s="156"/>
      <c r="E38" s="156"/>
      <c r="F38" s="161" t="str">
        <f ca="1">_xll.DBRA(Server&amp;$C$20,$B38,$G$17)</f>
        <v>Coût du risque (CAFOP)</v>
      </c>
      <c r="G38" s="162"/>
      <c r="H38" s="81"/>
      <c r="I38" s="150">
        <f ca="1">_xll.DBRW(Server&amp;Cube1,$G$13,$G$14,$G$15,$G$16,$G$11,$G$12,I$18,I$1,$B38)</f>
        <v>-6151.4985031136912</v>
      </c>
      <c r="J38" s="150">
        <f ca="1">_xll.DBRW(Server&amp;Cube1,$G$13,$G$14,$G$15,$G$16,$G$11,$G$12,J$18,J$1,$B38)</f>
        <v>-21741.953311070691</v>
      </c>
      <c r="K38" s="150">
        <f ca="1">_xll.DBRW(Server&amp;Cube1,$G$13,$G$14,$G$15,$G$16,$G$11,$G$12,K$18,K$1,$B38)</f>
        <v>0</v>
      </c>
      <c r="L38" s="150">
        <f ca="1">_xll.DBRW(Server&amp;Cube1,$G$13,$G$14,$G$15,$G$16,$G$11,$G$12,L$18,L$1,$B38)</f>
        <v>-31727.416188532385</v>
      </c>
      <c r="M38" s="65"/>
      <c r="N38" s="150">
        <f t="shared" ca="1" si="9"/>
        <v>15590.454807957</v>
      </c>
      <c r="O38" s="149">
        <f t="shared" ca="1" si="10"/>
        <v>-0.71706780825522998</v>
      </c>
      <c r="P38" s="148" t="str">
        <f ca="1">IF(OR(AND(O38&gt;0.01,N38&lt;0),AND(O38&lt;-0.01,N38&lt;0)),"î",IF(OR(AND(O38&lt;-0.01,N38&gt;0),AND(O38&gt;0.01,N38&gt;0)),"ì","è"))</f>
        <v>ì</v>
      </c>
      <c r="Q38" s="150">
        <f t="shared" ca="1" si="12"/>
        <v>-6151.4985031136912</v>
      </c>
      <c r="R38" s="149" t="str">
        <f t="shared" ca="1" si="13"/>
        <v>-</v>
      </c>
      <c r="S38" s="148" t="str">
        <f ca="1">IF(OR(AND(R38&gt;0.01,Q38&lt;0),AND(R38&lt;-0.01,Q38&lt;0)),"î",IF(OR(AND(R38&lt;-0.01,Q38&gt;0),AND(R38&gt;0.01,Q38&gt;0)),"ì","è"))</f>
        <v>î</v>
      </c>
      <c r="T38" s="150">
        <f t="shared" ca="1" si="15"/>
        <v>25575.917685418695</v>
      </c>
      <c r="U38" s="149">
        <f t="shared" ca="1" si="16"/>
        <v>-0.80611410438972031</v>
      </c>
      <c r="V38" s="148" t="str">
        <f ca="1">IF(OR(AND(U38&gt;0.01,T38&lt;0),AND(U38&lt;-0.01,T38&lt;0)),"î",IF(OR(AND(U38&lt;-0.01,T38&gt;0),AND(U38&gt;0.01,T38&gt;0)),"ì","è"))</f>
        <v>ì</v>
      </c>
      <c r="W38" s="26"/>
    </row>
    <row r="39" spans="1:39" ht="23.25">
      <c r="B39" s="127"/>
      <c r="C39" s="64" t="str">
        <f ca="1">_xll.DBRA(Server&amp;$C$20,$B39,$G$17)</f>
        <v/>
      </c>
      <c r="D39" s="156"/>
      <c r="E39" s="69"/>
      <c r="F39" s="163" t="str">
        <f ca="1">_xll.DBRA(Server&amp;$C$20,$B39,$G$17)</f>
        <v/>
      </c>
      <c r="G39" s="163"/>
      <c r="H39" s="130"/>
      <c r="I39" s="131" t="str">
        <f ca="1">_xll.DBRW(Server&amp;Cube1,$G$13,$G$14,$G$15,$G$16,$G$11,$G$12,I$18,I$1,$B39)</f>
        <v/>
      </c>
      <c r="J39" s="131" t="str">
        <f ca="1">_xll.DBRW(Server&amp;Cube1,$G$13,$G$14,$G$15,$G$16,$G$11,$G$12,J$18,J$1,$B39)</f>
        <v/>
      </c>
      <c r="K39" s="131" t="str">
        <f ca="1">_xll.DBRW(Server&amp;Cube1,$G$13,$G$14,$G$15,$G$16,$G$11,$G$12,K$18,K$1,$B39)</f>
        <v/>
      </c>
      <c r="L39" s="131" t="str">
        <f ca="1">_xll.DBRW(Server&amp;Cube1,$G$13,$G$14,$G$15,$G$16,$G$11,$G$12,L$18,L$1,$B39)</f>
        <v/>
      </c>
      <c r="M39" s="132"/>
      <c r="N39" s="131"/>
      <c r="O39" s="133"/>
      <c r="P39" s="142"/>
      <c r="Q39" s="131"/>
      <c r="R39" s="133"/>
      <c r="S39" s="142"/>
      <c r="T39" s="131"/>
      <c r="U39" s="133"/>
      <c r="V39" s="135"/>
      <c r="W39" s="26"/>
    </row>
    <row r="40" spans="1:39" s="28" customFormat="1" ht="23.25">
      <c r="A40" s="70"/>
      <c r="B40" s="127" t="s">
        <v>67</v>
      </c>
      <c r="C40" s="64" t="str">
        <f ca="1">_xll.DBRA(Server&amp;$C$20,$B40,$G$17)</f>
        <v>Pertes de valeurs (hors BFR) et provisions (CR)</v>
      </c>
      <c r="D40" s="156"/>
      <c r="E40" s="71"/>
      <c r="F40" s="153" t="str">
        <f ca="1">_xll.DBRA(Server&amp;$C$20,$B40,$G$17)</f>
        <v>Pertes de valeurs (hors BFR) et provisions (CR)</v>
      </c>
      <c r="G40" s="153"/>
      <c r="H40" s="81"/>
      <c r="I40" s="138">
        <f ca="1">_xll.DBRW(Server&amp;Cube1,$G$13,$G$14,$G$15,$G$16,$G$11,$G$12,I$18,I$1,$B40)</f>
        <v>187.88981012231363</v>
      </c>
      <c r="J40" s="138">
        <f ca="1">_xll.DBRW(Server&amp;Cube1,$G$13,$G$14,$G$15,$G$16,$G$11,$G$12,J$18,J$1,$B40)</f>
        <v>720.25766081871348</v>
      </c>
      <c r="K40" s="138">
        <f ca="1">_xll.DBRW(Server&amp;Cube1,$G$13,$G$14,$G$15,$G$16,$G$11,$G$12,K$18,K$1,$B40)</f>
        <v>0</v>
      </c>
      <c r="L40" s="138">
        <f ca="1">_xll.DBRW(Server&amp;Cube1,$G$13,$G$14,$G$15,$G$16,$G$11,$G$12,L$18,L$1,$B40)</f>
        <v>1831.5230194575565</v>
      </c>
      <c r="M40" s="65"/>
      <c r="N40" s="138">
        <f t="shared" ca="1" si="9"/>
        <v>-532.36785069639984</v>
      </c>
      <c r="O40" s="140">
        <f t="shared" ca="1" si="10"/>
        <v>-0.73913528401941586</v>
      </c>
      <c r="P40" s="142" t="str">
        <f ca="1">IF(OR(AND(O40&gt;0.01,N40&lt;0),AND(O40&lt;-0.01,N40&lt;0)),"î",IF(OR(AND(O40&lt;-0.01,N40&gt;0),AND(O40&gt;0.01,N40&gt;0)),"ì","è"))</f>
        <v>î</v>
      </c>
      <c r="Q40" s="138">
        <f t="shared" ca="1" si="12"/>
        <v>187.88981012231363</v>
      </c>
      <c r="R40" s="140" t="str">
        <f t="shared" ca="1" si="13"/>
        <v>-</v>
      </c>
      <c r="S40" s="142" t="str">
        <f ca="1">IF(OR(AND(R40&gt;0.01,Q40&lt;0),AND(R40&lt;-0.01,Q40&lt;0)),"î",IF(OR(AND(R40&lt;-0.01,Q40&gt;0),AND(R40&gt;0.01,Q40&gt;0)),"ì","è"))</f>
        <v>ì</v>
      </c>
      <c r="T40" s="138">
        <f t="shared" ca="1" si="15"/>
        <v>-1643.633209335243</v>
      </c>
      <c r="U40" s="140">
        <f t="shared" ca="1" si="16"/>
        <v>-0.89741335045957493</v>
      </c>
      <c r="V40" s="134" t="str">
        <f ca="1">IF(OR(AND(U40&gt;0.01,T40&lt;0),AND(U40&lt;-0.01,T40&lt;0)),"î",IF(OR(AND(U40&lt;-0.01,T40&gt;0),AND(U40&gt;0.01,T40&gt;0)),"ì","è"))</f>
        <v>î</v>
      </c>
      <c r="W40" s="2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</row>
    <row r="41" spans="1:39" ht="23.25">
      <c r="B41" s="127"/>
      <c r="C41" s="64" t="str">
        <f ca="1">_xll.DBRA(Server&amp;$C$20,$B41,$G$17)</f>
        <v/>
      </c>
      <c r="D41" s="156"/>
      <c r="E41" s="69"/>
      <c r="F41" s="154" t="str">
        <f ca="1">_xll.DBRA(Server&amp;$C$20,$B41,$G$17)</f>
        <v/>
      </c>
      <c r="G41" s="154"/>
      <c r="H41" s="137"/>
      <c r="I41" s="131" t="str">
        <f ca="1">_xll.DBRW(Server&amp;Cube1,$G$13,$G$14,$G$15,$G$16,$G$11,$G$12,I$18,I$1,$B41)</f>
        <v/>
      </c>
      <c r="J41" s="131" t="str">
        <f ca="1">_xll.DBRW(Server&amp;Cube1,$G$13,$G$14,$G$15,$G$16,$G$11,$G$12,J$18,J$1,$B41)</f>
        <v/>
      </c>
      <c r="K41" s="131" t="str">
        <f ca="1">_xll.DBRW(Server&amp;Cube1,$G$13,$G$14,$G$15,$G$16,$G$11,$G$12,K$18,K$1,$B41)</f>
        <v/>
      </c>
      <c r="L41" s="131" t="str">
        <f ca="1">_xll.DBRW(Server&amp;Cube1,$G$13,$G$14,$G$15,$G$16,$G$11,$G$12,L$18,L$1,$B41)</f>
        <v/>
      </c>
      <c r="M41" s="132"/>
      <c r="N41" s="131"/>
      <c r="O41" s="133"/>
      <c r="P41" s="142"/>
      <c r="Q41" s="131"/>
      <c r="R41" s="133"/>
      <c r="S41" s="142"/>
      <c r="T41" s="131"/>
      <c r="U41" s="133"/>
      <c r="V41" s="135"/>
      <c r="W41" s="29"/>
    </row>
    <row r="42" spans="1:39" ht="23.25">
      <c r="B42" s="127" t="s">
        <v>49</v>
      </c>
      <c r="C42" s="64" t="str">
        <f ca="1">_xll.DBRA(Server&amp;$C$20,$B42,$G$17)</f>
        <v>Coût du risque (RESOP)</v>
      </c>
      <c r="D42" s="156"/>
      <c r="E42" s="69"/>
      <c r="F42" s="161" t="str">
        <f ca="1">_xll.DBRA(Server&amp;$C$20,$B42,$G$17)</f>
        <v>Coût du risque (RESOP)</v>
      </c>
      <c r="G42" s="162"/>
      <c r="H42" s="81"/>
      <c r="I42" s="150">
        <f ca="1">_xll.DBRW(Server&amp;Cube1,$G$13,$G$14,$G$15,$G$16,$G$11,$G$12,I$18,I$1,$B42)</f>
        <v>-5963.6086929913781</v>
      </c>
      <c r="J42" s="150">
        <f ca="1">_xll.DBRW(Server&amp;Cube1,$G$13,$G$14,$G$15,$G$16,$G$11,$G$12,J$18,J$1,$B42)</f>
        <v>-21021.695650251975</v>
      </c>
      <c r="K42" s="150">
        <f ca="1">_xll.DBRW(Server&amp;Cube1,$G$13,$G$14,$G$15,$G$16,$G$11,$G$12,K$18,K$1,$B42)</f>
        <v>0</v>
      </c>
      <c r="L42" s="150">
        <f ca="1">_xll.DBRW(Server&amp;Cube1,$G$13,$G$14,$G$15,$G$16,$G$11,$G$12,L$18,L$1,$B42)</f>
        <v>-29895.893169074825</v>
      </c>
      <c r="M42" s="65"/>
      <c r="N42" s="150">
        <f t="shared" ref="N42" ca="1" si="18">IF(OR($I42="",J42=""),"-",IFERROR(($I42-J42),""))</f>
        <v>15058.086957260597</v>
      </c>
      <c r="O42" s="149">
        <f t="shared" ref="O42" ca="1" si="19">IF(OR($J42=0,N42=0),"-",IF(ABS(N42/$J42)&gt;2,"-",N42/$J42))</f>
        <v>-0.71631171946303507</v>
      </c>
      <c r="P42" s="148" t="str">
        <f ca="1">IF(OR(AND(O42&gt;0.01,N42&lt;0),AND(O42&lt;-0.01,N42&lt;0)),"î",IF(OR(AND(O42&lt;-0.01,N42&gt;0),AND(O42&gt;0.01,N42&gt;0)),"ì","è"))</f>
        <v>ì</v>
      </c>
      <c r="Q42" s="150">
        <f t="shared" ref="Q42" ca="1" si="20">IF(OR($I42="",K42=""),"-",IFERROR(($I42-K42),""))</f>
        <v>-5963.6086929913781</v>
      </c>
      <c r="R42" s="149" t="str">
        <f t="shared" ref="R42" ca="1" si="21">IF(OR($K42=0,Q42=0),"-",IF(ABS(Q42/$K42)&gt;2,"-",Q42/$K42))</f>
        <v>-</v>
      </c>
      <c r="S42" s="148" t="str">
        <f ca="1">IF(OR(AND(R42&gt;0.01,Q42&lt;0),AND(R42&lt;-0.01,Q42&lt;0)),"î",IF(OR(AND(R42&lt;-0.01,Q42&gt;0),AND(R42&gt;0.01,Q42&gt;0)),"ì","è"))</f>
        <v>î</v>
      </c>
      <c r="T42" s="150">
        <f t="shared" ref="T42" ca="1" si="22">IF(OR($I42="",L42=""),"-",IFERROR(($I42-L42),""))</f>
        <v>23932.284476083449</v>
      </c>
      <c r="U42" s="149">
        <f t="shared" ref="U42" ca="1" si="23">IF(OR($L42=0,T42=0),"-",IF(ABS(T42/$L42)&gt;2,"-",T42/$L42))</f>
        <v>-0.8005208053405708</v>
      </c>
      <c r="V42" s="148" t="str">
        <f ca="1">IF(OR(AND(U42&gt;0.01,T42&lt;0),AND(U42&lt;-0.01,T42&lt;0)),"î",IF(OR(AND(U42&lt;-0.01,T42&gt;0),AND(U42&gt;0.01,T42&gt;0)),"ì","è"))</f>
        <v>ì</v>
      </c>
      <c r="W42" s="29"/>
    </row>
    <row r="43" spans="1:39" ht="19.5">
      <c r="E43" s="69"/>
      <c r="F43" s="164"/>
      <c r="G43" s="164"/>
      <c r="H43" s="72"/>
      <c r="I43" s="66"/>
      <c r="J43" s="66"/>
      <c r="K43" s="66"/>
      <c r="L43" s="66"/>
      <c r="M43" s="65"/>
      <c r="N43" s="66"/>
      <c r="O43" s="67"/>
      <c r="P43" s="83"/>
      <c r="Q43" s="66"/>
      <c r="R43" s="67"/>
      <c r="S43" s="83"/>
      <c r="T43" s="66"/>
      <c r="U43" s="67"/>
      <c r="V43" s="84"/>
      <c r="W43" s="29"/>
    </row>
    <row r="44" spans="1:39" ht="18.75"/>
  </sheetData>
  <sheetProtection password="D70F" sheet="1" objects="1" scenarios="1" formatColumns="0" formatRows="0"/>
  <mergeCells count="26">
    <mergeCell ref="F33:G33"/>
    <mergeCell ref="F34:G34"/>
    <mergeCell ref="F36:G36"/>
    <mergeCell ref="F41:G41"/>
    <mergeCell ref="F43:G43"/>
    <mergeCell ref="D7:V8"/>
    <mergeCell ref="E21:E38"/>
    <mergeCell ref="D21:D42"/>
    <mergeCell ref="F35:G35"/>
    <mergeCell ref="N19:P19"/>
    <mergeCell ref="Q19:S19"/>
    <mergeCell ref="T19:V19"/>
    <mergeCell ref="N18:V18"/>
    <mergeCell ref="F42:G42"/>
    <mergeCell ref="F21:G21"/>
    <mergeCell ref="F31:G31"/>
    <mergeCell ref="F38:G38"/>
    <mergeCell ref="F37:G37"/>
    <mergeCell ref="F39:G39"/>
    <mergeCell ref="F40:G40"/>
    <mergeCell ref="F32:G32"/>
    <mergeCell ref="F25:G25"/>
    <mergeCell ref="F27:G27"/>
    <mergeCell ref="F28:G28"/>
    <mergeCell ref="F29:G29"/>
    <mergeCell ref="F30:G30"/>
  </mergeCells>
  <conditionalFormatting sqref="S37 V37 V43 S43 V39 S39 S41 V41 P41">
    <cfRule type="cellIs" dxfId="92" priority="280" stopIfTrue="1" operator="equal">
      <formula>"ì"</formula>
    </cfRule>
    <cfRule type="cellIs" dxfId="91" priority="281" stopIfTrue="1" operator="equal">
      <formula>"î"</formula>
    </cfRule>
    <cfRule type="cellIs" dxfId="90" priority="282" stopIfTrue="1" operator="equal">
      <formula>"è"</formula>
    </cfRule>
  </conditionalFormatting>
  <conditionalFormatting sqref="S23">
    <cfRule type="cellIs" dxfId="89" priority="277" stopIfTrue="1" operator="equal">
      <formula>"ì"</formula>
    </cfRule>
    <cfRule type="cellIs" dxfId="88" priority="278" stopIfTrue="1" operator="equal">
      <formula>"î"</formula>
    </cfRule>
    <cfRule type="cellIs" dxfId="87" priority="279" stopIfTrue="1" operator="equal">
      <formula>"è"</formula>
    </cfRule>
  </conditionalFormatting>
  <conditionalFormatting sqref="V23">
    <cfRule type="cellIs" dxfId="86" priority="274" stopIfTrue="1" operator="equal">
      <formula>"ì"</formula>
    </cfRule>
    <cfRule type="cellIs" dxfId="85" priority="275" stopIfTrue="1" operator="equal">
      <formula>"î"</formula>
    </cfRule>
    <cfRule type="cellIs" dxfId="84" priority="276" stopIfTrue="1" operator="equal">
      <formula>"è"</formula>
    </cfRule>
  </conditionalFormatting>
  <conditionalFormatting sqref="P21 P23">
    <cfRule type="cellIs" dxfId="83" priority="217" stopIfTrue="1" operator="equal">
      <formula>"ì"</formula>
    </cfRule>
    <cfRule type="cellIs" dxfId="82" priority="218" stopIfTrue="1" operator="equal">
      <formula>"î"</formula>
    </cfRule>
    <cfRule type="cellIs" dxfId="81" priority="219" stopIfTrue="1" operator="equal">
      <formula>"è"</formula>
    </cfRule>
  </conditionalFormatting>
  <conditionalFormatting sqref="V32:V36 S32:S36">
    <cfRule type="cellIs" dxfId="80" priority="241" stopIfTrue="1" operator="equal">
      <formula>"ì"</formula>
    </cfRule>
    <cfRule type="cellIs" dxfId="79" priority="242" stopIfTrue="1" operator="equal">
      <formula>"î"</formula>
    </cfRule>
    <cfRule type="cellIs" dxfId="78" priority="243" stopIfTrue="1" operator="equal">
      <formula>"è"</formula>
    </cfRule>
  </conditionalFormatting>
  <conditionalFormatting sqref="P37 P43 P39">
    <cfRule type="cellIs" dxfId="77" priority="220" stopIfTrue="1" operator="equal">
      <formula>"ì"</formula>
    </cfRule>
    <cfRule type="cellIs" dxfId="76" priority="221" stopIfTrue="1" operator="equal">
      <formula>"î"</formula>
    </cfRule>
    <cfRule type="cellIs" dxfId="75" priority="222" stopIfTrue="1" operator="equal">
      <formula>"è"</formula>
    </cfRule>
  </conditionalFormatting>
  <conditionalFormatting sqref="P32:P36">
    <cfRule type="cellIs" dxfId="74" priority="199" stopIfTrue="1" operator="equal">
      <formula>"ì"</formula>
    </cfRule>
    <cfRule type="cellIs" dxfId="73" priority="200" stopIfTrue="1" operator="equal">
      <formula>"î"</formula>
    </cfRule>
    <cfRule type="cellIs" dxfId="72" priority="201" stopIfTrue="1" operator="equal">
      <formula>"è"</formula>
    </cfRule>
  </conditionalFormatting>
  <conditionalFormatting sqref="S31">
    <cfRule type="cellIs" dxfId="71" priority="142" stopIfTrue="1" operator="equal">
      <formula>"ì"</formula>
    </cfRule>
    <cfRule type="cellIs" dxfId="70" priority="143" stopIfTrue="1" operator="equal">
      <formula>"î"</formula>
    </cfRule>
    <cfRule type="cellIs" dxfId="69" priority="144" stopIfTrue="1" operator="equal">
      <formula>"è"</formula>
    </cfRule>
  </conditionalFormatting>
  <conditionalFormatting sqref="V31">
    <cfRule type="cellIs" dxfId="68" priority="139" stopIfTrue="1" operator="equal">
      <formula>"ì"</formula>
    </cfRule>
    <cfRule type="cellIs" dxfId="67" priority="140" stopIfTrue="1" operator="equal">
      <formula>"î"</formula>
    </cfRule>
    <cfRule type="cellIs" dxfId="66" priority="141" stopIfTrue="1" operator="equal">
      <formula>"è"</formula>
    </cfRule>
  </conditionalFormatting>
  <conditionalFormatting sqref="P31">
    <cfRule type="cellIs" dxfId="65" priority="136" stopIfTrue="1" operator="equal">
      <formula>"ì"</formula>
    </cfRule>
    <cfRule type="cellIs" dxfId="64" priority="137" stopIfTrue="1" operator="equal">
      <formula>"î"</formula>
    </cfRule>
    <cfRule type="cellIs" dxfId="63" priority="138" stopIfTrue="1" operator="equal">
      <formula>"è"</formula>
    </cfRule>
  </conditionalFormatting>
  <conditionalFormatting sqref="P40">
    <cfRule type="cellIs" dxfId="62" priority="97" stopIfTrue="1" operator="equal">
      <formula>"ì"</formula>
    </cfRule>
    <cfRule type="cellIs" dxfId="61" priority="98" stopIfTrue="1" operator="equal">
      <formula>"î"</formula>
    </cfRule>
    <cfRule type="cellIs" dxfId="60" priority="99" stopIfTrue="1" operator="equal">
      <formula>"è"</formula>
    </cfRule>
  </conditionalFormatting>
  <conditionalFormatting sqref="S40">
    <cfRule type="cellIs" dxfId="59" priority="91" stopIfTrue="1" operator="equal">
      <formula>"ì"</formula>
    </cfRule>
    <cfRule type="cellIs" dxfId="58" priority="92" stopIfTrue="1" operator="equal">
      <formula>"î"</formula>
    </cfRule>
    <cfRule type="cellIs" dxfId="57" priority="93" stopIfTrue="1" operator="equal">
      <formula>"è"</formula>
    </cfRule>
  </conditionalFormatting>
  <conditionalFormatting sqref="V40">
    <cfRule type="cellIs" dxfId="56" priority="88" stopIfTrue="1" operator="equal">
      <formula>"ì"</formula>
    </cfRule>
    <cfRule type="cellIs" dxfId="55" priority="89" stopIfTrue="1" operator="equal">
      <formula>"î"</formula>
    </cfRule>
    <cfRule type="cellIs" dxfId="54" priority="90" stopIfTrue="1" operator="equal">
      <formula>"è"</formula>
    </cfRule>
  </conditionalFormatting>
  <conditionalFormatting sqref="P38">
    <cfRule type="cellIs" dxfId="53" priority="55" stopIfTrue="1" operator="equal">
      <formula>"ì"</formula>
    </cfRule>
    <cfRule type="cellIs" dxfId="52" priority="56" stopIfTrue="1" operator="equal">
      <formula>"î"</formula>
    </cfRule>
    <cfRule type="cellIs" dxfId="51" priority="57" stopIfTrue="1" operator="equal">
      <formula>"è"</formula>
    </cfRule>
  </conditionalFormatting>
  <conditionalFormatting sqref="V25">
    <cfRule type="cellIs" dxfId="50" priority="46" stopIfTrue="1" operator="equal">
      <formula>"ì"</formula>
    </cfRule>
    <cfRule type="cellIs" dxfId="49" priority="47" stopIfTrue="1" operator="equal">
      <formula>"î"</formula>
    </cfRule>
    <cfRule type="cellIs" dxfId="48" priority="48" stopIfTrue="1" operator="equal">
      <formula>"è"</formula>
    </cfRule>
  </conditionalFormatting>
  <conditionalFormatting sqref="S25">
    <cfRule type="cellIs" dxfId="47" priority="49" stopIfTrue="1" operator="equal">
      <formula>"ì"</formula>
    </cfRule>
    <cfRule type="cellIs" dxfId="46" priority="50" stopIfTrue="1" operator="equal">
      <formula>"î"</formula>
    </cfRule>
    <cfRule type="cellIs" dxfId="45" priority="51" stopIfTrue="1" operator="equal">
      <formula>"è"</formula>
    </cfRule>
  </conditionalFormatting>
  <conditionalFormatting sqref="P25">
    <cfRule type="cellIs" dxfId="44" priority="43" stopIfTrue="1" operator="equal">
      <formula>"ì"</formula>
    </cfRule>
    <cfRule type="cellIs" dxfId="43" priority="44" stopIfTrue="1" operator="equal">
      <formula>"î"</formula>
    </cfRule>
    <cfRule type="cellIs" dxfId="42" priority="45" stopIfTrue="1" operator="equal">
      <formula>"è"</formula>
    </cfRule>
  </conditionalFormatting>
  <conditionalFormatting sqref="S28 V28 S30 V30">
    <cfRule type="cellIs" dxfId="41" priority="40" stopIfTrue="1" operator="equal">
      <formula>"ì"</formula>
    </cfRule>
    <cfRule type="cellIs" dxfId="40" priority="41" stopIfTrue="1" operator="equal">
      <formula>"î"</formula>
    </cfRule>
    <cfRule type="cellIs" dxfId="39" priority="42" stopIfTrue="1" operator="equal">
      <formula>"è"</formula>
    </cfRule>
  </conditionalFormatting>
  <conditionalFormatting sqref="S29 V29">
    <cfRule type="cellIs" dxfId="38" priority="37" stopIfTrue="1" operator="equal">
      <formula>"ì"</formula>
    </cfRule>
    <cfRule type="cellIs" dxfId="37" priority="38" stopIfTrue="1" operator="equal">
      <formula>"î"</formula>
    </cfRule>
    <cfRule type="cellIs" dxfId="36" priority="39" stopIfTrue="1" operator="equal">
      <formula>"è"</formula>
    </cfRule>
  </conditionalFormatting>
  <conditionalFormatting sqref="P28 P30">
    <cfRule type="cellIs" dxfId="35" priority="34" stopIfTrue="1" operator="equal">
      <formula>"ì"</formula>
    </cfRule>
    <cfRule type="cellIs" dxfId="34" priority="35" stopIfTrue="1" operator="equal">
      <formula>"î"</formula>
    </cfRule>
    <cfRule type="cellIs" dxfId="33" priority="36" stopIfTrue="1" operator="equal">
      <formula>"è"</formula>
    </cfRule>
  </conditionalFormatting>
  <conditionalFormatting sqref="P29">
    <cfRule type="cellIs" dxfId="32" priority="31" stopIfTrue="1" operator="equal">
      <formula>"ì"</formula>
    </cfRule>
    <cfRule type="cellIs" dxfId="31" priority="32" stopIfTrue="1" operator="equal">
      <formula>"î"</formula>
    </cfRule>
    <cfRule type="cellIs" dxfId="30" priority="33" stopIfTrue="1" operator="equal">
      <formula>"è"</formula>
    </cfRule>
  </conditionalFormatting>
  <conditionalFormatting sqref="S27">
    <cfRule type="cellIs" dxfId="29" priority="28" stopIfTrue="1" operator="equal">
      <formula>"ì"</formula>
    </cfRule>
    <cfRule type="cellIs" dxfId="28" priority="29" stopIfTrue="1" operator="equal">
      <formula>"î"</formula>
    </cfRule>
    <cfRule type="cellIs" dxfId="27" priority="30" stopIfTrue="1" operator="equal">
      <formula>"è"</formula>
    </cfRule>
  </conditionalFormatting>
  <conditionalFormatting sqref="V27">
    <cfRule type="cellIs" dxfId="26" priority="25" stopIfTrue="1" operator="equal">
      <formula>"ì"</formula>
    </cfRule>
    <cfRule type="cellIs" dxfId="25" priority="26" stopIfTrue="1" operator="equal">
      <formula>"î"</formula>
    </cfRule>
    <cfRule type="cellIs" dxfId="24" priority="27" stopIfTrue="1" operator="equal">
      <formula>"è"</formula>
    </cfRule>
  </conditionalFormatting>
  <conditionalFormatting sqref="P27">
    <cfRule type="cellIs" dxfId="23" priority="22" stopIfTrue="1" operator="equal">
      <formula>"ì"</formula>
    </cfRule>
    <cfRule type="cellIs" dxfId="22" priority="23" stopIfTrue="1" operator="equal">
      <formula>"î"</formula>
    </cfRule>
    <cfRule type="cellIs" dxfId="21" priority="24" stopIfTrue="1" operator="equal">
      <formula>"è"</formula>
    </cfRule>
  </conditionalFormatting>
  <conditionalFormatting sqref="S38">
    <cfRule type="cellIs" dxfId="20" priority="19" stopIfTrue="1" operator="equal">
      <formula>"ì"</formula>
    </cfRule>
    <cfRule type="cellIs" dxfId="19" priority="20" stopIfTrue="1" operator="equal">
      <formula>"î"</formula>
    </cfRule>
    <cfRule type="cellIs" dxfId="18" priority="21" stopIfTrue="1" operator="equal">
      <formula>"è"</formula>
    </cfRule>
  </conditionalFormatting>
  <conditionalFormatting sqref="V38">
    <cfRule type="cellIs" dxfId="17" priority="16" stopIfTrue="1" operator="equal">
      <formula>"ì"</formula>
    </cfRule>
    <cfRule type="cellIs" dxfId="16" priority="17" stopIfTrue="1" operator="equal">
      <formula>"î"</formula>
    </cfRule>
    <cfRule type="cellIs" dxfId="15" priority="18" stopIfTrue="1" operator="equal">
      <formula>"è"</formula>
    </cfRule>
  </conditionalFormatting>
  <conditionalFormatting sqref="P42">
    <cfRule type="cellIs" dxfId="14" priority="13" stopIfTrue="1" operator="equal">
      <formula>"ì"</formula>
    </cfRule>
    <cfRule type="cellIs" dxfId="13" priority="14" stopIfTrue="1" operator="equal">
      <formula>"î"</formula>
    </cfRule>
    <cfRule type="cellIs" dxfId="12" priority="15" stopIfTrue="1" operator="equal">
      <formula>"è"</formula>
    </cfRule>
  </conditionalFormatting>
  <conditionalFormatting sqref="S42">
    <cfRule type="cellIs" dxfId="11" priority="10" stopIfTrue="1" operator="equal">
      <formula>"ì"</formula>
    </cfRule>
    <cfRule type="cellIs" dxfId="10" priority="11" stopIfTrue="1" operator="equal">
      <formula>"î"</formula>
    </cfRule>
    <cfRule type="cellIs" dxfId="9" priority="12" stopIfTrue="1" operator="equal">
      <formula>"è"</formula>
    </cfRule>
  </conditionalFormatting>
  <conditionalFormatting sqref="V42">
    <cfRule type="cellIs" dxfId="8" priority="7" stopIfTrue="1" operator="equal">
      <formula>"ì"</formula>
    </cfRule>
    <cfRule type="cellIs" dxfId="7" priority="8" stopIfTrue="1" operator="equal">
      <formula>"î"</formula>
    </cfRule>
    <cfRule type="cellIs" dxfId="6" priority="9" stopIfTrue="1" operator="equal">
      <formula>"è"</formula>
    </cfRule>
  </conditionalFormatting>
  <conditionalFormatting sqref="S21">
    <cfRule type="cellIs" dxfId="5" priority="4" stopIfTrue="1" operator="equal">
      <formula>"ì"</formula>
    </cfRule>
    <cfRule type="cellIs" dxfId="4" priority="5" stopIfTrue="1" operator="equal">
      <formula>"î"</formula>
    </cfRule>
    <cfRule type="cellIs" dxfId="3" priority="6" stopIfTrue="1" operator="equal">
      <formula>"è"</formula>
    </cfRule>
  </conditionalFormatting>
  <conditionalFormatting sqref="V21">
    <cfRule type="cellIs" dxfId="2" priority="1" stopIfTrue="1" operator="equal">
      <formula>"ì"</formula>
    </cfRule>
    <cfRule type="cellIs" dxfId="1" priority="2" stopIfTrue="1" operator="equal">
      <formula>"î"</formula>
    </cfRule>
    <cfRule type="cellIs" dxfId="0" priority="3" stopIfTrue="1" operator="equal">
      <formula>"è"</formula>
    </cfRule>
  </conditionalFormatting>
  <dataValidations count="1">
    <dataValidation type="list" allowBlank="1" showInputMessage="1" showErrorMessage="1" sqref="G17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3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9</xdr:col>
                <xdr:colOff>1409700</xdr:colOff>
                <xdr:row>12</xdr:row>
                <xdr:rowOff>66675</xdr:rowOff>
              </from>
              <to>
                <xdr:col>11</xdr:col>
                <xdr:colOff>66675</xdr:colOff>
                <xdr:row>15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2"/>
  <sheetViews>
    <sheetView workbookViewId="0"/>
  </sheetViews>
  <sheetFormatPr baseColWidth="10" defaultColWidth="11.42578125" defaultRowHeight="15"/>
  <sheetData>
    <row r="1" spans="1:1">
      <c r="A1" t="s">
        <v>51</v>
      </c>
    </row>
    <row r="2" spans="1:1">
      <c r="A2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Cost of damages</vt:lpstr>
      <vt:lpstr>{PL}PickLst</vt:lpstr>
      <vt:lpstr>ActualBudget</vt:lpstr>
      <vt:lpstr>ActualForecast</vt:lpstr>
      <vt:lpstr>ActualMonth</vt:lpstr>
      <vt:lpstr>ActualYear</vt:lpstr>
      <vt:lpstr>AutoFit</vt:lpstr>
      <vt:lpstr>'Cost of damages'!AutoRefresh_PL</vt:lpstr>
      <vt:lpstr>AutoRefresh_PL_aggregated</vt:lpstr>
      <vt:lpstr>Cube1</vt:lpstr>
      <vt:lpstr>Cube2</vt:lpstr>
      <vt:lpstr>Flag_Send_Comment</vt:lpstr>
      <vt:lpstr>Flag_Send_Data</vt:lpstr>
      <vt:lpstr>Language</vt:lpstr>
      <vt:lpstr>LocalLanguage</vt:lpstr>
      <vt:lpstr>'Cost of damages'!Print_Area</vt:lpstr>
      <vt:lpstr>'Cost of damages'!Print_Titles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de LANGLOIS, Astrid</cp:lastModifiedBy>
  <cp:lastPrinted>2017-03-02T13:57:06Z</cp:lastPrinted>
  <dcterms:created xsi:type="dcterms:W3CDTF">2016-02-23T13:35:31Z</dcterms:created>
  <dcterms:modified xsi:type="dcterms:W3CDTF">2020-03-11T14:38:43Z</dcterms:modified>
</cp:coreProperties>
</file>