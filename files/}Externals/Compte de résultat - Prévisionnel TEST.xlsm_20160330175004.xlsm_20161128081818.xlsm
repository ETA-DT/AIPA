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755" windowWidth="23895" windowHeight="4800" tabRatio="852" firstSheet="1" activeTab="1"/>
  </bookViews>
  <sheets>
    <sheet name="Context" sheetId="66" state="hidden" r:id="rId1"/>
    <sheet name="PL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PL!$I$25:$P$104,PL!$I$22:$K$23,PL!$O$22:$P$23</definedName>
    <definedName name="AutoRefresh_PL" localSheetId="0">Context!$D$1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PL!$E$135</definedName>
    <definedName name="DBS_COM_pl_2">PL!$E$136</definedName>
    <definedName name="DBS_COM_pl_3">PL!$E$137</definedName>
    <definedName name="DBS_COM_pl_4">PL!$E$138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int_Area" localSheetId="1">PL!$E$9:$P$141</definedName>
    <definedName name="Print_Titles" localSheetId="1">PL!$9:$23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A10" i="58" l="1"/>
  <c r="AB12" i="58"/>
  <c r="K1" i="58"/>
  <c r="K22" i="58"/>
  <c r="J22" i="58"/>
  <c r="P22" i="58"/>
  <c r="E2" i="58"/>
  <c r="I22" i="58"/>
  <c r="M22" i="58"/>
  <c r="E86" i="58"/>
  <c r="E30" i="58"/>
  <c r="F20" i="58"/>
  <c r="F13" i="58"/>
  <c r="F14" i="58"/>
  <c r="F19" i="58"/>
  <c r="B5" i="66"/>
  <c r="F16" i="58"/>
  <c r="F18" i="58"/>
  <c r="B13" i="66"/>
  <c r="C13" i="66"/>
  <c r="F17" i="58"/>
  <c r="H2" i="58"/>
  <c r="K2" i="58"/>
  <c r="K30" i="58"/>
  <c r="H3" i="58"/>
  <c r="J2" i="58"/>
  <c r="J1" i="58"/>
  <c r="J30" i="58"/>
  <c r="P30" i="58"/>
  <c r="N3" i="58"/>
  <c r="I2" i="58"/>
  <c r="I30" i="58"/>
  <c r="M30" i="58"/>
  <c r="N30" i="58"/>
  <c r="O30" i="58"/>
  <c r="E29" i="58"/>
  <c r="E28" i="58"/>
  <c r="E27" i="58"/>
  <c r="K27" i="58"/>
  <c r="J27" i="58"/>
  <c r="P27" i="58"/>
  <c r="I27" i="58"/>
  <c r="M27" i="58"/>
  <c r="N27" i="58"/>
  <c r="O27" i="58"/>
  <c r="E25" i="58"/>
  <c r="E26" i="58"/>
  <c r="P2" i="58"/>
  <c r="I20" i="58"/>
  <c r="B15" i="66"/>
  <c r="AB13" i="58"/>
  <c r="E138" i="58"/>
  <c r="E137" i="58"/>
  <c r="E136" i="58"/>
  <c r="E135" i="58"/>
  <c r="W120" i="58"/>
  <c r="W116" i="58"/>
  <c r="W112" i="58"/>
  <c r="W108" i="58"/>
  <c r="I29" i="58"/>
  <c r="I28" i="58"/>
  <c r="I26" i="58"/>
  <c r="I25" i="58"/>
  <c r="I97" i="58"/>
  <c r="B16" i="66"/>
  <c r="C16" i="66"/>
  <c r="X110" i="58"/>
  <c r="W110" i="58"/>
  <c r="X109" i="58"/>
  <c r="W121" i="58"/>
  <c r="W117" i="58"/>
  <c r="W113" i="58"/>
  <c r="W109" i="58"/>
  <c r="E9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I100" i="58"/>
  <c r="J100" i="58"/>
  <c r="W122" i="58"/>
  <c r="AA119" i="58"/>
  <c r="Z119" i="58"/>
  <c r="Y119" i="58"/>
  <c r="W118" i="58"/>
  <c r="AA115" i="58"/>
  <c r="Z115" i="58"/>
  <c r="Y115" i="58"/>
  <c r="W114" i="58"/>
  <c r="AA111" i="58"/>
  <c r="Z111" i="58"/>
  <c r="Y111" i="58"/>
  <c r="AC122" i="58"/>
  <c r="X122" i="58"/>
  <c r="AA122" i="58"/>
  <c r="AC121" i="58"/>
  <c r="X121" i="58"/>
  <c r="Z121" i="58"/>
  <c r="AC118" i="58"/>
  <c r="X118" i="58"/>
  <c r="AA118" i="58"/>
  <c r="AC117" i="58"/>
  <c r="X117" i="58"/>
  <c r="Z117" i="58"/>
  <c r="AC114" i="58"/>
  <c r="X114" i="58"/>
  <c r="AA114" i="58"/>
  <c r="AC113" i="58"/>
  <c r="X113" i="58"/>
  <c r="Z113" i="58"/>
  <c r="AC110" i="58"/>
  <c r="AA110" i="58"/>
  <c r="AC109" i="58"/>
  <c r="Z109" i="58"/>
  <c r="AA107" i="58"/>
  <c r="Z107" i="58"/>
  <c r="Y107" i="58"/>
  <c r="K98" i="58"/>
  <c r="K99" i="58"/>
  <c r="K97" i="58"/>
  <c r="J99" i="58"/>
  <c r="J98" i="58"/>
  <c r="J97" i="58"/>
  <c r="I98" i="58"/>
  <c r="I99" i="58"/>
  <c r="E92" i="58"/>
  <c r="K90" i="58"/>
  <c r="J90" i="58"/>
  <c r="P90" i="58"/>
  <c r="I90" i="58"/>
  <c r="M90" i="58"/>
  <c r="N90" i="58"/>
  <c r="O90" i="58"/>
  <c r="E90" i="58"/>
  <c r="K92" i="58"/>
  <c r="J92" i="58"/>
  <c r="P92" i="58"/>
  <c r="I92" i="58"/>
  <c r="M92" i="58"/>
  <c r="N92" i="58"/>
  <c r="O92" i="58"/>
  <c r="AC116" i="58"/>
  <c r="X116" i="58"/>
  <c r="Y116" i="58"/>
  <c r="AC120" i="58"/>
  <c r="X120" i="58"/>
  <c r="Y120" i="58"/>
  <c r="AC112" i="58"/>
  <c r="X112" i="58"/>
  <c r="Y112" i="58"/>
  <c r="AC108" i="58"/>
  <c r="X108" i="58"/>
  <c r="Y108" i="58"/>
  <c r="Y106" i="58"/>
  <c r="AB104" i="58"/>
  <c r="W107" i="58"/>
  <c r="N9" i="58"/>
  <c r="I36" i="58"/>
  <c r="K36" i="58"/>
  <c r="M36" i="58"/>
  <c r="N36" i="58"/>
  <c r="J38" i="58"/>
  <c r="X105" i="58"/>
  <c r="P104" i="58"/>
  <c r="P103" i="58"/>
  <c r="P102" i="58"/>
  <c r="P101" i="58"/>
  <c r="P100" i="58"/>
  <c r="P99" i="58"/>
  <c r="P98" i="58"/>
  <c r="P97" i="58"/>
  <c r="M104" i="58"/>
  <c r="N104" i="58"/>
  <c r="M103" i="58"/>
  <c r="N103" i="58"/>
  <c r="M102" i="58"/>
  <c r="N102" i="58"/>
  <c r="M101" i="58"/>
  <c r="N101" i="58"/>
  <c r="M100" i="58"/>
  <c r="N100" i="58"/>
  <c r="M99" i="58"/>
  <c r="N99" i="58"/>
  <c r="M98" i="58"/>
  <c r="N98" i="58"/>
  <c r="M97" i="58"/>
  <c r="N97" i="58"/>
  <c r="K88" i="58"/>
  <c r="K86" i="58"/>
  <c r="K84" i="58"/>
  <c r="K82" i="58"/>
  <c r="K81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5" i="58"/>
  <c r="K34" i="58"/>
  <c r="K33" i="58"/>
  <c r="K32" i="58"/>
  <c r="K29" i="58"/>
  <c r="K28" i="58"/>
  <c r="K26" i="58"/>
  <c r="J88" i="58"/>
  <c r="J86" i="58"/>
  <c r="J84" i="58"/>
  <c r="J82" i="58"/>
  <c r="J81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7" i="58"/>
  <c r="J36" i="58"/>
  <c r="J35" i="58"/>
  <c r="J34" i="58"/>
  <c r="J33" i="58"/>
  <c r="J32" i="58"/>
  <c r="J29" i="58"/>
  <c r="J28" i="58"/>
  <c r="J26" i="58"/>
  <c r="I88" i="58"/>
  <c r="I86" i="58"/>
  <c r="I84" i="58"/>
  <c r="I82" i="58"/>
  <c r="I81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1" i="58"/>
  <c r="I40" i="58"/>
  <c r="I39" i="58"/>
  <c r="I38" i="58"/>
  <c r="I37" i="58"/>
  <c r="I35" i="58"/>
  <c r="I34" i="58"/>
  <c r="I33" i="58"/>
  <c r="I32" i="58"/>
  <c r="K25" i="58"/>
  <c r="J25" i="58"/>
  <c r="P88" i="58"/>
  <c r="P86" i="58"/>
  <c r="P84" i="58"/>
  <c r="P82" i="58"/>
  <c r="P81" i="58"/>
  <c r="P80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32" i="58"/>
  <c r="P29" i="58"/>
  <c r="P28" i="58"/>
  <c r="P26" i="58"/>
  <c r="P25" i="58"/>
  <c r="M88" i="58"/>
  <c r="N88" i="58"/>
  <c r="M86" i="58"/>
  <c r="N86" i="58"/>
  <c r="M84" i="58"/>
  <c r="N84" i="58"/>
  <c r="M82" i="58"/>
  <c r="N82" i="58"/>
  <c r="M81" i="58"/>
  <c r="N81" i="58"/>
  <c r="M80" i="58"/>
  <c r="N80" i="58"/>
  <c r="M79" i="58"/>
  <c r="N79" i="58"/>
  <c r="M78" i="58"/>
  <c r="N78" i="58"/>
  <c r="M77" i="58"/>
  <c r="N77" i="58"/>
  <c r="M76" i="58"/>
  <c r="N76" i="58"/>
  <c r="M75" i="58"/>
  <c r="N75" i="58"/>
  <c r="M74" i="58"/>
  <c r="N74" i="58"/>
  <c r="M73" i="58"/>
  <c r="N73" i="58"/>
  <c r="M72" i="58"/>
  <c r="N72" i="58"/>
  <c r="M71" i="58"/>
  <c r="N71" i="58"/>
  <c r="M70" i="58"/>
  <c r="N70" i="58"/>
  <c r="M69" i="58"/>
  <c r="N69" i="58"/>
  <c r="M68" i="58"/>
  <c r="N68" i="58"/>
  <c r="M67" i="58"/>
  <c r="N67" i="58"/>
  <c r="M66" i="58"/>
  <c r="N66" i="58"/>
  <c r="M65" i="58"/>
  <c r="N65" i="58"/>
  <c r="M64" i="58"/>
  <c r="N64" i="58"/>
  <c r="M63" i="58"/>
  <c r="N63" i="58"/>
  <c r="M62" i="58"/>
  <c r="N62" i="58"/>
  <c r="M61" i="58"/>
  <c r="N61" i="58"/>
  <c r="M60" i="58"/>
  <c r="N60" i="58"/>
  <c r="M59" i="58"/>
  <c r="N59" i="58"/>
  <c r="M58" i="58"/>
  <c r="N58" i="58"/>
  <c r="M57" i="58"/>
  <c r="N57" i="58"/>
  <c r="M56" i="58"/>
  <c r="N56" i="58"/>
  <c r="M55" i="58"/>
  <c r="N55" i="58"/>
  <c r="M54" i="58"/>
  <c r="N54" i="58"/>
  <c r="M53" i="58"/>
  <c r="N53" i="58"/>
  <c r="M52" i="58"/>
  <c r="N52" i="58"/>
  <c r="M51" i="58"/>
  <c r="N51" i="58"/>
  <c r="M50" i="58"/>
  <c r="N50" i="58"/>
  <c r="M49" i="58"/>
  <c r="N49" i="58"/>
  <c r="M48" i="58"/>
  <c r="N48" i="58"/>
  <c r="M47" i="58"/>
  <c r="N47" i="58"/>
  <c r="M46" i="58"/>
  <c r="N46" i="58"/>
  <c r="M45" i="58"/>
  <c r="N45" i="58"/>
  <c r="M44" i="58"/>
  <c r="N44" i="58"/>
  <c r="M43" i="58"/>
  <c r="N43" i="58"/>
  <c r="M42" i="58"/>
  <c r="N42" i="58"/>
  <c r="M41" i="58"/>
  <c r="N41" i="58"/>
  <c r="M40" i="58"/>
  <c r="N40" i="58"/>
  <c r="M39" i="58"/>
  <c r="N39" i="58"/>
  <c r="M38" i="58"/>
  <c r="N38" i="58"/>
  <c r="M37" i="58"/>
  <c r="N37" i="58"/>
  <c r="M35" i="58"/>
  <c r="N35" i="58"/>
  <c r="M34" i="58"/>
  <c r="N34" i="58"/>
  <c r="M33" i="58"/>
  <c r="N33" i="58"/>
  <c r="M32" i="58"/>
  <c r="N32" i="58"/>
  <c r="M29" i="58"/>
  <c r="N29" i="58"/>
  <c r="M28" i="58"/>
  <c r="N28" i="58"/>
  <c r="M26" i="58"/>
  <c r="N26" i="58"/>
  <c r="M25" i="58"/>
  <c r="N25" i="58"/>
  <c r="AB14" i="58"/>
  <c r="E134" i="58"/>
  <c r="W119" i="58"/>
  <c r="W115" i="58"/>
  <c r="W111" i="58"/>
  <c r="O97" i="58"/>
  <c r="O104" i="58"/>
  <c r="O103" i="58"/>
  <c r="O102" i="58"/>
  <c r="O101" i="58"/>
  <c r="O100" i="58"/>
  <c r="O99" i="58"/>
  <c r="O98" i="58"/>
  <c r="E104" i="58"/>
  <c r="E103" i="58"/>
  <c r="E102" i="58"/>
  <c r="E101" i="58"/>
  <c r="E100" i="58"/>
  <c r="E99" i="58"/>
  <c r="E98" i="58"/>
  <c r="E97" i="58"/>
  <c r="E80" i="58"/>
  <c r="M20" i="58"/>
  <c r="O88" i="58"/>
  <c r="O86" i="58"/>
  <c r="O84" i="58"/>
  <c r="O82" i="58"/>
  <c r="O81" i="58"/>
  <c r="O80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6" i="58"/>
  <c r="O35" i="58"/>
  <c r="O34" i="58"/>
  <c r="O33" i="58"/>
  <c r="O32" i="58"/>
  <c r="O29" i="58"/>
  <c r="O28" i="58"/>
  <c r="O26" i="58"/>
  <c r="O25" i="58"/>
  <c r="E88" i="58"/>
  <c r="E84" i="58"/>
  <c r="E79" i="58"/>
  <c r="E82" i="58"/>
  <c r="E81" i="58"/>
  <c r="E77" i="58"/>
  <c r="E76" i="58"/>
  <c r="E74" i="58"/>
  <c r="E73" i="58"/>
  <c r="E72" i="58"/>
  <c r="E70" i="58"/>
  <c r="E69" i="58"/>
  <c r="E67" i="58"/>
  <c r="E66" i="58"/>
  <c r="E63" i="58"/>
  <c r="E62" i="58"/>
  <c r="E60" i="58"/>
  <c r="E59" i="58"/>
  <c r="E56" i="58"/>
  <c r="E55" i="58"/>
  <c r="E53" i="58"/>
  <c r="E52" i="58"/>
  <c r="E51" i="58"/>
  <c r="E78" i="58"/>
  <c r="E75" i="58"/>
  <c r="E71" i="58"/>
  <c r="E68" i="58"/>
  <c r="E65" i="58"/>
  <c r="E61" i="58"/>
  <c r="E58" i="58"/>
  <c r="E57" i="58"/>
  <c r="E54" i="58"/>
  <c r="E50" i="58"/>
  <c r="E49" i="58"/>
  <c r="E48" i="58"/>
  <c r="E47" i="58"/>
  <c r="E46" i="58"/>
  <c r="E45" i="58"/>
  <c r="E44" i="58"/>
  <c r="E43" i="58"/>
  <c r="E42" i="58"/>
  <c r="E41" i="58"/>
  <c r="E35" i="58"/>
  <c r="E38" i="58"/>
  <c r="E37" i="58"/>
  <c r="E36" i="58"/>
  <c r="E39" i="58"/>
  <c r="E32" i="58"/>
  <c r="O22" i="58"/>
  <c r="B14" i="66"/>
  <c r="I18" i="58"/>
  <c r="E16" i="58"/>
  <c r="E23" i="58"/>
  <c r="E15" i="58"/>
  <c r="E14" i="58"/>
  <c r="E13" i="58"/>
  <c r="E20" i="58"/>
  <c r="E19" i="58"/>
  <c r="E18" i="58"/>
  <c r="E17" i="58"/>
  <c r="E12" i="58"/>
  <c r="W124" i="58"/>
  <c r="W123" i="58"/>
  <c r="E40" i="58"/>
  <c r="AH20" i="58"/>
  <c r="E33" i="58"/>
  <c r="E34" i="58"/>
</calcChain>
</file>

<file path=xl/sharedStrings.xml><?xml version="1.0" encoding="utf-8"?>
<sst xmlns="http://schemas.openxmlformats.org/spreadsheetml/2006/main" count="205" uniqueCount="182">
  <si>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</si>
  <si>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</si>
  <si>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</si>
  <si>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</si>
  <si>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</si>
  <si>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</si>
  <si>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</si>
  <si>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</si>
  <si>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</si>
  <si>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</si>
  <si>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</si>
  <si>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</si>
  <si>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</si>
  <si>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</si>
  <si>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</si>
  <si>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</si>
  <si>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</si>
  <si>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</si>
  <si>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</si>
  <si>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</si>
  <si>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</si>
  <si>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</si>
  <si>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</si>
  <si>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</si>
  <si>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</si>
  <si>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</si>
  <si>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</si>
  <si>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</si>
  <si>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</si>
  <si>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</si>
  <si>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</si>
  <si>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</si>
  <si>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</si>
  <si>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</si>
  <si>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</si>
  <si>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</si>
  <si>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</si>
  <si>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</si>
  <si>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</si>
  <si>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</si>
  <si>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</si>
  <si>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</si>
  <si>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</si>
  <si>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</si>
  <si>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</si>
  <si>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</si>
  <si>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</si>
  <si>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</si>
  <si>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</si>
  <si>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</si>
  <si>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</si>
  <si>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</si>
  <si>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</si>
  <si>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</si>
  <si>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</si>
  <si>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</si>
  <si>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</si>
  <si>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</si>
  <si>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</si>
  <si>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</si>
  <si>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</si>
  <si>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</si>
  <si>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</si>
  <si>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</si>
  <si>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</si>
  <si>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</si>
  <si>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</si>
  <si>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</si>
  <si>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</si>
  <si>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</si>
  <si>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</si>
  <si>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</si>
  <si>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</si>
  <si>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</si>
  <si>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</si>
  <si>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</si>
  <si>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</si>
  <si>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</si>
  <si>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</si>
  <si>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</si>
  <si>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</si>
  <si>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</si>
  <si>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</si>
  <si>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</si>
  <si>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</si>
  <si>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</si>
  <si>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</si>
  <si>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</si>
  <si>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</si>
  <si>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</si>
  <si>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</si>
  <si>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</si>
  <si>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</si>
  <si>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</si>
  <si>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</si>
  <si>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</si>
  <si>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</si>
  <si>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</si>
  <si>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</si>
  <si>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</si>
  <si>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</si>
  <si>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</si>
  <si>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</si>
  <si>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</si>
  <si>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</si>
  <si>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</si>
  <si>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</si>
  <si>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</si>
  <si>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</si>
  <si>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</si>
  <si>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</si>
  <si>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</si>
  <si>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</si>
  <si>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</si>
  <si>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</si>
  <si>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</si>
  <si>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</si>
  <si>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</si>
  <si>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</si>
  <si>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</si>
  <si>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</si>
  <si>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</si>
  <si>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</si>
  <si>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</si>
  <si>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</si>
  <si>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</si>
  <si>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</si>
  <si>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Cout_m_Sereinis</t>
  </si>
  <si>
    <t>Cout_m_La_Perouse</t>
  </si>
  <si>
    <t>Cout_m_Lyon</t>
  </si>
  <si>
    <t>Cout_info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</si>
  <si>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</si>
  <si>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</si>
  <si>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</si>
  <si>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</si>
  <si>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</si>
  <si>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</si>
  <si>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</si>
  <si>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</si>
  <si>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nb_m_La_Perouse</t>
  </si>
  <si>
    <t>nb_m_Sereinis</t>
  </si>
  <si>
    <t>nb_m_Lyon</t>
  </si>
  <si>
    <t>nb_postes_bureau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</si>
  <si>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</si>
  <si>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</si>
  <si>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</si>
  <si>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</si>
  <si>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</si>
  <si>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</si>
  <si>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</si>
  <si>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</si>
  <si>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</si>
  <si>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AutoRefresh_PL</t>
  </si>
  <si>
    <t>Compte_resultat_Corporate_previsionnel</t>
  </si>
  <si>
    <t>Actual_N_1</t>
  </si>
  <si>
    <t>Prior Period</t>
  </si>
  <si>
    <t>Phase sélectionnée pour les commentaires</t>
  </si>
  <si>
    <t>Indicator_Corp for comments</t>
  </si>
  <si>
    <t>Tot_proj</t>
  </si>
  <si>
    <t>Traduction Phase</t>
  </si>
  <si>
    <t>prior prior period</t>
  </si>
  <si>
    <t>tango_core_model:</t>
  </si>
  <si>
    <t>TFR-AP019298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</si>
  <si>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</si>
  <si>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</si>
  <si>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</si>
  <si>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</si>
  <si>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</si>
  <si>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</si>
  <si>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</si>
  <si>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</si>
  <si>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</si>
  <si>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</si>
  <si>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</si>
  <si>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</si>
  <si>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TPL10_dest_yc_PMAD</t>
  </si>
  <si>
    <t>Hors_peri</t>
  </si>
  <si>
    <t>Fact_PMAD_all</t>
  </si>
  <si>
    <t>PL1006_RC</t>
  </si>
  <si>
    <t>PL1003_RC_40</t>
  </si>
  <si>
    <t>Presta_IG</t>
  </si>
  <si>
    <t>PL1356_MF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</si>
</sst>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b/>
      <sz val="18"/>
      <color indexed="57"/>
      <name val="Wingdings"/>
      <charset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b/>
      <sz val="16"/>
      <color indexed="46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b/>
      <sz val="18"/>
      <color indexed="52"/>
      <name val="Wingdings"/>
      <charset val="2"/>
    </font>
    <font>
      <b/>
      <sz val="18"/>
      <color indexed="9"/>
      <name val="Wingdings"/>
      <charset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b/>
      <sz val="27"/>
      <color indexed="9"/>
      <name val="Calibri"/>
      <family val="2"/>
    </font>
    <font>
      <b/>
      <sz val="18"/>
      <color theme="0"/>
      <name val="Calibri"/>
      <family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8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63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9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E3E3E3"/>
      </right>
      <top style="medium">
        <color indexed="22"/>
      </top>
      <bottom/>
      <diagonal/>
    </border>
    <border>
      <left/>
      <right style="medium">
        <color rgb="FFE3E3E3"/>
      </right>
      <top/>
      <bottom/>
      <diagonal/>
    </border>
    <border>
      <left/>
      <right style="medium">
        <color rgb="FFE3E3E3"/>
      </right>
      <top/>
      <bottom style="medium">
        <color indexed="63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rgb="FF6F7072"/>
      </bottom>
      <diagonal/>
    </border>
    <border>
      <left style="medium">
        <color indexed="9"/>
      </left>
      <right style="medium">
        <color rgb="FF7F8399"/>
      </right>
      <top style="thick">
        <color indexed="9"/>
      </top>
      <bottom/>
      <diagonal/>
    </border>
    <border>
      <left style="medium">
        <color indexed="9"/>
      </left>
      <right style="medium">
        <color rgb="FF7F8399"/>
      </right>
      <top/>
      <bottom/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 style="thick">
        <color rgb="FF8F071A"/>
      </left>
      <right/>
      <top/>
      <bottom/>
      <diagonal/>
    </border>
  </borders>
  <cellStyleXfs count="288">
    <xf numFmtId="0" fontId="0" fillId="0" borderId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4" fillId="3" borderId="0" applyNumberFormat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6" fontId="35" fillId="22" borderId="0" applyNumberFormat="0" applyBorder="0">
      <alignment horizontal="right"/>
      <protection locked="0"/>
    </xf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167" fontId="36" fillId="23" borderId="0" applyNumberFormat="0" applyBorder="0">
      <alignment horizontal="right" vertical="center"/>
      <protection locked="0"/>
    </xf>
    <xf numFmtId="168" fontId="36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25" borderId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7" fillId="25" borderId="0"/>
    <xf numFmtId="0" fontId="37" fillId="25" borderId="0"/>
    <xf numFmtId="169" fontId="39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37" fillId="25" borderId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" fillId="12" borderId="0" applyNumberFormat="0" applyBorder="0" applyAlignment="0" applyProtection="0"/>
    <xf numFmtId="0" fontId="40" fillId="27" borderId="10" applyNumberFormat="0" applyAlignment="0" applyProtection="0"/>
    <xf numFmtId="0" fontId="28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70" fontId="43" fillId="28" borderId="0" applyNumberFormat="0" applyBorder="0">
      <alignment horizontal="left" vertical="center"/>
      <protection locked="0"/>
    </xf>
    <xf numFmtId="170" fontId="44" fillId="22" borderId="0" applyNumberFormat="0" applyBorder="0">
      <alignment horizontal="left"/>
      <protection locked="0"/>
    </xf>
    <xf numFmtId="0" fontId="45" fillId="0" borderId="6" applyNumberFormat="0" applyFill="0" applyAlignment="0" applyProtection="0"/>
    <xf numFmtId="0" fontId="46" fillId="0" borderId="11" applyNumberFormat="0" applyFill="0" applyAlignment="0" applyProtection="0"/>
    <xf numFmtId="0" fontId="47" fillId="0" borderId="12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16" fillId="20" borderId="3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7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2" fillId="0" borderId="0" xfId="205" applyFont="1" applyFill="1" applyBorder="1" applyAlignment="1" applyProtection="1">
      <alignment vertical="center"/>
    </xf>
    <xf numFmtId="0" fontId="53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61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2" fillId="30" borderId="14" xfId="0" applyFont="1" applyFill="1" applyBorder="1" applyAlignment="1" applyProtection="1">
      <alignment horizontal="left"/>
      <protection locked="0"/>
    </xf>
    <xf numFmtId="0" fontId="60" fillId="30" borderId="15" xfId="0" applyFont="1" applyFill="1" applyBorder="1" applyProtection="1">
      <protection locked="0"/>
    </xf>
    <xf numFmtId="0" fontId="59" fillId="31" borderId="16" xfId="0" applyFont="1" applyFill="1" applyBorder="1" applyProtection="1">
      <protection locked="0"/>
    </xf>
    <xf numFmtId="0" fontId="59" fillId="0" borderId="16" xfId="0" applyFont="1" applyBorder="1" applyProtection="1">
      <protection locked="0"/>
    </xf>
    <xf numFmtId="0" fontId="59" fillId="0" borderId="16" xfId="0" applyNumberFormat="1" applyFont="1" applyBorder="1" applyProtection="1">
      <protection locked="0"/>
    </xf>
    <xf numFmtId="0" fontId="0" fillId="0" borderId="0" xfId="0" applyProtection="1"/>
    <xf numFmtId="0" fontId="58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51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53" fillId="0" borderId="0" xfId="222" applyFont="1" applyFill="1" applyBorder="1" applyAlignment="1" applyProtection="1">
      <alignment horizontal="left" vertical="center" wrapText="1"/>
    </xf>
    <xf numFmtId="0" fontId="54" fillId="0" borderId="0" xfId="196" applyFont="1" applyFill="1" applyBorder="1" applyAlignment="1" applyProtection="1">
      <alignment horizontal="center"/>
    </xf>
    <xf numFmtId="3" fontId="55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8" fillId="0" borderId="0" xfId="0" applyFont="1" applyAlignment="1" applyProtection="1">
      <alignment horizontal="right"/>
    </xf>
    <xf numFmtId="0" fontId="63" fillId="32" borderId="4" xfId="0" applyFont="1" applyFill="1" applyBorder="1" applyAlignment="1" applyProtection="1">
      <alignment horizontal="center"/>
    </xf>
    <xf numFmtId="0" fontId="64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65" fillId="0" borderId="0" xfId="0" applyFont="1" applyProtection="1"/>
    <xf numFmtId="0" fontId="59" fillId="0" borderId="21" xfId="0" applyFont="1" applyBorder="1" applyProtection="1">
      <protection locked="0"/>
    </xf>
    <xf numFmtId="0" fontId="0" fillId="0" borderId="0" xfId="0" applyProtection="1"/>
    <xf numFmtId="0" fontId="66" fillId="0" borderId="0" xfId="205" applyFont="1" applyFill="1" applyBorder="1" applyAlignment="1" applyProtection="1">
      <alignment horizontal="right" vertical="center" indent="1"/>
    </xf>
    <xf numFmtId="0" fontId="67" fillId="0" borderId="0" xfId="205" applyFont="1" applyFill="1" applyBorder="1" applyAlignment="1" applyProtection="1">
      <alignment horizontal="right" vertical="center"/>
    </xf>
    <xf numFmtId="0" fontId="68" fillId="0" borderId="0" xfId="205" applyFont="1" applyFill="1" applyBorder="1" applyAlignment="1" applyProtection="1">
      <alignment vertical="center"/>
    </xf>
    <xf numFmtId="0" fontId="67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4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9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30" xfId="0" applyFont="1" applyBorder="1" applyProtection="1"/>
    <xf numFmtId="0" fontId="2" fillId="0" borderId="32" xfId="0" applyFont="1" applyFill="1" applyBorder="1" applyProtection="1"/>
    <xf numFmtId="0" fontId="2" fillId="0" borderId="32" xfId="0" applyFont="1" applyBorder="1" applyProtection="1"/>
    <xf numFmtId="0" fontId="2" fillId="0" borderId="31" xfId="0" applyFont="1" applyBorder="1" applyProtection="1"/>
    <xf numFmtId="0" fontId="0" fillId="0" borderId="30" xfId="0" applyBorder="1" applyProtection="1"/>
    <xf numFmtId="0" fontId="3" fillId="37" borderId="30" xfId="205" applyFont="1" applyFill="1" applyBorder="1" applyAlignment="1" applyProtection="1">
      <alignment horizontal="center" vertical="center"/>
    </xf>
    <xf numFmtId="0" fontId="0" fillId="0" borderId="33" xfId="0" applyBorder="1" applyProtection="1"/>
    <xf numFmtId="0" fontId="0" fillId="0" borderId="32" xfId="0" applyBorder="1" applyProtection="1"/>
    <xf numFmtId="0" fontId="4" fillId="0" borderId="31" xfId="205" applyFont="1" applyFill="1" applyBorder="1" applyAlignment="1" applyProtection="1">
      <alignment vertical="center"/>
    </xf>
    <xf numFmtId="0" fontId="2" fillId="0" borderId="30" xfId="0" applyFont="1" applyBorder="1"/>
    <xf numFmtId="0" fontId="0" fillId="0" borderId="32" xfId="0" applyBorder="1"/>
    <xf numFmtId="0" fontId="0" fillId="0" borderId="31" xfId="0" applyBorder="1"/>
    <xf numFmtId="0" fontId="11" fillId="0" borderId="32" xfId="205" applyFont="1" applyFill="1" applyBorder="1" applyAlignment="1" applyProtection="1">
      <alignment vertical="center"/>
    </xf>
    <xf numFmtId="0" fontId="11" fillId="0" borderId="31" xfId="205" applyFont="1" applyFill="1" applyBorder="1" applyAlignment="1" applyProtection="1">
      <alignment vertical="center"/>
    </xf>
    <xf numFmtId="0" fontId="71" fillId="0" borderId="33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7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73" fillId="0" borderId="33" xfId="0" applyFont="1" applyBorder="1" applyAlignment="1" applyProtection="1">
      <alignment horizontal="center"/>
    </xf>
    <xf numFmtId="0" fontId="74" fillId="0" borderId="0" xfId="0" applyFont="1" applyProtection="1"/>
    <xf numFmtId="0" fontId="21" fillId="0" borderId="0" xfId="196" applyFont="1" applyFill="1" applyBorder="1" applyAlignment="1">
      <alignment horizontal="center" vertical="center"/>
    </xf>
    <xf numFmtId="0" fontId="75" fillId="0" borderId="0" xfId="196" applyFont="1" applyFill="1" applyBorder="1" applyAlignment="1" applyProtection="1">
      <alignment horizontal="center"/>
    </xf>
    <xf numFmtId="0" fontId="2" fillId="0" borderId="38" xfId="0" applyFont="1" applyBorder="1" applyProtection="1"/>
    <xf numFmtId="0" fontId="0" fillId="0" borderId="30" xfId="0" applyFont="1" applyFill="1" applyBorder="1" applyProtection="1"/>
    <xf numFmtId="0" fontId="4" fillId="0" borderId="32" xfId="205" applyFont="1" applyFill="1" applyBorder="1" applyAlignment="1" applyProtection="1">
      <alignment vertical="center"/>
    </xf>
    <xf numFmtId="0" fontId="63" fillId="0" borderId="36" xfId="0" applyFont="1" applyBorder="1" applyAlignment="1" applyProtection="1">
      <alignment horizontal="center"/>
    </xf>
    <xf numFmtId="0" fontId="71" fillId="0" borderId="30" xfId="0" applyFont="1" applyBorder="1" applyAlignment="1" applyProtection="1">
      <alignment horizontal="center"/>
    </xf>
    <xf numFmtId="0" fontId="72" fillId="0" borderId="31" xfId="0" applyFont="1" applyBorder="1" applyAlignment="1" applyProtection="1">
      <alignment horizontal="center" vertical="center"/>
    </xf>
    <xf numFmtId="0" fontId="66" fillId="0" borderId="0" xfId="222" applyFont="1" applyFill="1" applyBorder="1" applyAlignment="1" applyProtection="1">
      <alignment horizontal="left" vertical="center"/>
    </xf>
    <xf numFmtId="0" fontId="0" fillId="0" borderId="32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30" xfId="0" applyBorder="1"/>
    <xf numFmtId="0" fontId="0" fillId="39" borderId="0" xfId="0" applyFill="1" applyProtection="1"/>
    <xf numFmtId="0" fontId="52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3" fillId="29" borderId="0" xfId="222" applyFont="1" applyFill="1" applyBorder="1" applyAlignment="1" applyProtection="1">
      <alignment horizontal="left" vertical="center" indent="2"/>
    </xf>
    <xf numFmtId="0" fontId="56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9" fillId="0" borderId="0" xfId="222" applyFont="1" applyFill="1" applyBorder="1" applyAlignment="1" applyProtection="1">
      <alignment horizontal="left" vertical="center"/>
    </xf>
    <xf numFmtId="0" fontId="55" fillId="0" borderId="0" xfId="222" applyFont="1" applyFill="1" applyBorder="1" applyAlignment="1" applyProtection="1">
      <alignment horizontal="left" vertical="center"/>
    </xf>
    <xf numFmtId="0" fontId="4" fillId="0" borderId="0" xfId="222" applyFont="1" applyFill="1" applyBorder="1" applyAlignment="1">
      <alignment horizontal="left" vertical="center"/>
    </xf>
    <xf numFmtId="0" fontId="66" fillId="0" borderId="0" xfId="222" applyFont="1" applyFill="1" applyBorder="1" applyAlignment="1" applyProtection="1">
      <alignment vertical="center"/>
    </xf>
    <xf numFmtId="171" fontId="76" fillId="0" borderId="0" xfId="205" applyNumberFormat="1" applyFont="1" applyFill="1" applyBorder="1" applyAlignment="1" applyProtection="1">
      <alignment horizontal="right" vertical="center" indent="1"/>
    </xf>
    <xf numFmtId="0" fontId="53" fillId="0" borderId="0" xfId="222" applyFont="1" applyFill="1" applyBorder="1" applyAlignment="1" applyProtection="1">
      <alignment vertical="center"/>
    </xf>
    <xf numFmtId="0" fontId="90" fillId="0" borderId="0" xfId="196" applyFont="1" applyFill="1" applyBorder="1" applyAlignment="1">
      <alignment horizontal="center" vertical="center"/>
    </xf>
    <xf numFmtId="0" fontId="21" fillId="34" borderId="0" xfId="196" applyFont="1" applyFill="1" applyBorder="1" applyAlignment="1">
      <alignment horizontal="center" vertic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4" fillId="0" borderId="42" xfId="205" applyFont="1" applyFill="1" applyBorder="1" applyAlignment="1" applyProtection="1">
      <alignment vertical="center"/>
    </xf>
    <xf numFmtId="0" fontId="2" fillId="0" borderId="42" xfId="0" applyFont="1" applyBorder="1" applyProtection="1"/>
    <xf numFmtId="0" fontId="58" fillId="0" borderId="42" xfId="0" applyFont="1" applyBorder="1" applyProtection="1"/>
    <xf numFmtId="0" fontId="9" fillId="0" borderId="42" xfId="205" applyFont="1" applyFill="1" applyBorder="1" applyAlignment="1" applyProtection="1">
      <alignment horizontal="center" vertical="center"/>
    </xf>
    <xf numFmtId="0" fontId="4" fillId="0" borderId="42" xfId="205" applyFont="1" applyFill="1" applyBorder="1" applyAlignment="1" applyProtection="1">
      <alignment horizontal="center" vertical="center"/>
    </xf>
    <xf numFmtId="0" fontId="1" fillId="0" borderId="42" xfId="275" applyFill="1" applyBorder="1"/>
    <xf numFmtId="0" fontId="3" fillId="0" borderId="42" xfId="205" applyFont="1" applyFill="1" applyBorder="1" applyAlignment="1" applyProtection="1">
      <alignment horizontal="center" vertical="center"/>
    </xf>
    <xf numFmtId="0" fontId="2" fillId="0" borderId="42" xfId="0" applyFont="1" applyFill="1" applyBorder="1" applyProtection="1"/>
    <xf numFmtId="0" fontId="1" fillId="0" borderId="42" xfId="279" applyFill="1" applyBorder="1"/>
    <xf numFmtId="0" fontId="0" fillId="0" borderId="42" xfId="0" applyFill="1" applyBorder="1" applyProtection="1"/>
    <xf numFmtId="0" fontId="1" fillId="0" borderId="42" xfId="285" applyFill="1" applyBorder="1"/>
    <xf numFmtId="0" fontId="71" fillId="0" borderId="0" xfId="0" applyFont="1" applyFill="1" applyProtection="1"/>
    <xf numFmtId="173" fontId="53" fillId="0" borderId="0" xfId="205" applyNumberFormat="1" applyFont="1" applyFill="1" applyBorder="1" applyAlignment="1" applyProtection="1">
      <alignment horizontal="right" vertical="center" indent="1"/>
    </xf>
    <xf numFmtId="173" fontId="4" fillId="0" borderId="0" xfId="222" applyNumberFormat="1" applyFont="1" applyFill="1" applyBorder="1" applyAlignment="1">
      <alignment horizontal="left" vertical="center"/>
    </xf>
    <xf numFmtId="173" fontId="66" fillId="0" borderId="0" xfId="205" applyNumberFormat="1" applyFont="1" applyFill="1" applyBorder="1" applyAlignment="1" applyProtection="1">
      <alignment horizontal="right" vertical="center" indent="1"/>
    </xf>
    <xf numFmtId="173" fontId="21" fillId="0" borderId="0" xfId="196" applyNumberFormat="1" applyFont="1" applyFill="1" applyBorder="1" applyAlignment="1">
      <alignment horizontal="center" vertical="center"/>
    </xf>
    <xf numFmtId="173" fontId="89" fillId="0" borderId="0" xfId="222" applyNumberFormat="1" applyFont="1" applyFill="1" applyBorder="1" applyAlignment="1">
      <alignment horizontal="center" vertical="center" wrapText="1"/>
    </xf>
    <xf numFmtId="173" fontId="6" fillId="0" borderId="0" xfId="205" applyNumberFormat="1" applyFont="1" applyFill="1" applyBorder="1" applyAlignment="1" applyProtection="1">
      <alignment vertical="center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91" fillId="0" borderId="0" xfId="205" applyFont="1" applyFill="1" applyBorder="1" applyAlignment="1" applyProtection="1">
      <alignment horizontal="center" vertical="center"/>
    </xf>
    <xf numFmtId="0" fontId="71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72" fillId="0" borderId="0" xfId="0" applyFont="1" applyProtection="1"/>
    <xf numFmtId="1" fontId="0" fillId="0" borderId="0" xfId="0" applyNumberFormat="1" applyProtection="1"/>
    <xf numFmtId="0" fontId="92" fillId="0" borderId="0" xfId="0" applyFont="1" applyProtection="1"/>
    <xf numFmtId="0" fontId="74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9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63" fillId="0" borderId="0" xfId="0" applyFont="1" applyAlignment="1" applyProtection="1">
      <alignment horizontal="right"/>
    </xf>
    <xf numFmtId="0" fontId="64" fillId="0" borderId="0" xfId="0" applyFont="1" applyFill="1" applyBorder="1" applyProtection="1"/>
    <xf numFmtId="0" fontId="9" fillId="0" borderId="0" xfId="205" applyFont="1" applyFill="1" applyBorder="1" applyAlignment="1" applyProtection="1">
      <alignment horizontal="center" vertical="center"/>
    </xf>
    <xf numFmtId="0" fontId="77" fillId="38" borderId="44" xfId="0" applyFont="1" applyFill="1" applyBorder="1" applyAlignment="1" applyProtection="1">
      <alignment horizontal="right"/>
    </xf>
    <xf numFmtId="0" fontId="0" fillId="38" borderId="17" xfId="0" applyFill="1" applyBorder="1" applyProtection="1"/>
    <xf numFmtId="0" fontId="0" fillId="38" borderId="37" xfId="0" applyFill="1" applyBorder="1" applyProtection="1"/>
    <xf numFmtId="0" fontId="0" fillId="0" borderId="4" xfId="0" applyBorder="1" applyProtection="1"/>
    <xf numFmtId="0" fontId="53" fillId="0" borderId="0" xfId="205" applyFont="1" applyFill="1" applyBorder="1" applyAlignment="1" applyProtection="1">
      <alignment vertical="center"/>
      <protection locked="0"/>
    </xf>
    <xf numFmtId="0" fontId="93" fillId="0" borderId="0" xfId="0" applyFont="1" applyBorder="1" applyAlignment="1" applyProtection="1">
      <alignment horizontal="right"/>
    </xf>
    <xf numFmtId="0" fontId="9" fillId="0" borderId="42" xfId="205" applyFont="1" applyFill="1" applyBorder="1" applyAlignment="1" applyProtection="1">
      <alignment horizontal="left" vertical="center"/>
    </xf>
    <xf numFmtId="174" fontId="52" fillId="0" borderId="0" xfId="205" applyNumberFormat="1" applyFont="1" applyFill="1" applyBorder="1" applyAlignment="1" applyProtection="1">
      <alignment horizontal="right" vertical="center" indent="1"/>
    </xf>
    <xf numFmtId="174" fontId="55" fillId="0" borderId="0" xfId="222" applyNumberFormat="1" applyFont="1" applyFill="1" applyBorder="1" applyAlignment="1">
      <alignment horizontal="right" vertical="center" wrapText="1" indent="1"/>
    </xf>
    <xf numFmtId="174" fontId="55" fillId="29" borderId="0" xfId="222" applyNumberFormat="1" applyFont="1" applyFill="1" applyBorder="1" applyAlignment="1">
      <alignment horizontal="right" vertical="center" wrapText="1" indent="1"/>
    </xf>
    <xf numFmtId="174" fontId="55" fillId="0" borderId="0" xfId="205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53" fillId="0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4" fillId="0" borderId="0" xfId="222" applyNumberFormat="1" applyFont="1" applyFill="1" applyBorder="1" applyAlignment="1">
      <alignment horizontal="left" vertical="center"/>
    </xf>
    <xf numFmtId="174" fontId="82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55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174" fontId="85" fillId="0" borderId="0" xfId="222" applyNumberFormat="1" applyFont="1" applyFill="1" applyBorder="1" applyAlignment="1">
      <alignment horizontal="right" vertical="center" wrapText="1" indent="1"/>
    </xf>
    <xf numFmtId="174" fontId="84" fillId="0" borderId="0" xfId="205" applyNumberFormat="1" applyFont="1" applyFill="1" applyBorder="1" applyAlignment="1" applyProtection="1">
      <alignment horizontal="right" vertical="center" indent="1"/>
    </xf>
    <xf numFmtId="174" fontId="86" fillId="0" borderId="0" xfId="222" applyNumberFormat="1" applyFont="1" applyFill="1" applyBorder="1" applyAlignment="1">
      <alignment horizontal="right" vertical="center" wrapText="1" indent="1"/>
    </xf>
    <xf numFmtId="174" fontId="56" fillId="0" borderId="0" xfId="222" applyNumberFormat="1" applyFont="1" applyFill="1" applyBorder="1" applyAlignment="1" applyProtection="1">
      <alignment horizontal="right" vertical="center" indent="1"/>
    </xf>
    <xf numFmtId="174" fontId="87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66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22" applyNumberFormat="1" applyFont="1" applyFill="1" applyBorder="1" applyAlignment="1" applyProtection="1">
      <alignment horizontal="right" vertical="center" wrapText="1" indent="1"/>
    </xf>
    <xf numFmtId="174" fontId="55" fillId="0" borderId="0" xfId="222" applyNumberFormat="1" applyFont="1" applyFill="1" applyBorder="1" applyAlignment="1" applyProtection="1">
      <alignment horizontal="right" vertical="center" wrapText="1" indent="1"/>
    </xf>
    <xf numFmtId="9" fontId="81" fillId="0" borderId="0" xfId="222" applyNumberFormat="1" applyFont="1" applyFill="1" applyBorder="1" applyAlignment="1">
      <alignment horizontal="right" vertical="center" wrapText="1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2" fillId="0" borderId="0" xfId="222" applyNumberFormat="1" applyFont="1" applyFill="1" applyBorder="1" applyAlignment="1">
      <alignment horizontal="left" vertical="center"/>
    </xf>
    <xf numFmtId="9" fontId="81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 applyProtection="1">
      <alignment horizontal="right" vertical="center" indent="1"/>
    </xf>
    <xf numFmtId="9" fontId="86" fillId="0" borderId="0" xfId="222" applyNumberFormat="1" applyFont="1" applyFill="1" applyBorder="1" applyAlignment="1">
      <alignment horizontal="right" vertical="center" wrapText="1" indent="1"/>
    </xf>
    <xf numFmtId="9" fontId="87" fillId="0" borderId="0" xfId="222" applyNumberFormat="1" applyFont="1" applyFill="1" applyBorder="1" applyAlignment="1" applyProtection="1">
      <alignment horizontal="right" vertical="center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6" fillId="0" borderId="0" xfId="205" applyNumberFormat="1" applyFont="1" applyFill="1" applyBorder="1" applyAlignment="1" applyProtection="1">
      <alignment horizontal="right" vertical="center" indent="1"/>
    </xf>
    <xf numFmtId="9" fontId="53" fillId="0" borderId="0" xfId="205" applyNumberFormat="1" applyFont="1" applyFill="1" applyBorder="1" applyAlignment="1" applyProtection="1">
      <alignment horizontal="right" vertical="center" indent="1"/>
    </xf>
    <xf numFmtId="0" fontId="58" fillId="0" borderId="0" xfId="0" applyFont="1" applyAlignment="1" applyProtection="1">
      <alignment horizontal="left"/>
    </xf>
    <xf numFmtId="0" fontId="53" fillId="29" borderId="0" xfId="222" applyFont="1" applyFill="1" applyBorder="1" applyAlignment="1">
      <alignment horizontal="left" vertical="center" wrapText="1"/>
    </xf>
    <xf numFmtId="0" fontId="56" fillId="0" borderId="0" xfId="222" applyFont="1" applyFill="1" applyBorder="1" applyAlignment="1" applyProtection="1">
      <alignment horizontal="left" vertical="center"/>
    </xf>
    <xf numFmtId="0" fontId="49" fillId="42" borderId="0" xfId="0" applyFont="1" applyFill="1" applyBorder="1" applyAlignment="1" applyProtection="1">
      <alignment vertical="center"/>
    </xf>
    <xf numFmtId="0" fontId="8" fillId="43" borderId="0" xfId="0" applyFont="1" applyFill="1" applyBorder="1" applyAlignment="1" applyProtection="1">
      <alignment horizontal="left" vertical="center"/>
    </xf>
    <xf numFmtId="174" fontId="8" fillId="44" borderId="0" xfId="0" applyNumberFormat="1" applyFont="1" applyFill="1" applyBorder="1" applyAlignment="1">
      <alignment horizontal="right" vertical="center" wrapText="1" indent="1"/>
    </xf>
    <xf numFmtId="174" fontId="8" fillId="44" borderId="48" xfId="0" applyNumberFormat="1" applyFont="1" applyFill="1" applyBorder="1" applyAlignment="1">
      <alignment horizontal="right" vertical="center" wrapText="1" indent="1"/>
    </xf>
    <xf numFmtId="174" fontId="80" fillId="44" borderId="0" xfId="0" applyNumberFormat="1" applyFont="1" applyFill="1" applyBorder="1" applyAlignment="1">
      <alignment horizontal="right" vertical="center" wrapText="1" indent="1"/>
    </xf>
    <xf numFmtId="9" fontId="80" fillId="44" borderId="0" xfId="0" applyNumberFormat="1" applyFont="1" applyFill="1" applyBorder="1" applyAlignment="1">
      <alignment horizontal="right" vertical="center" wrapText="1" indent="1"/>
    </xf>
    <xf numFmtId="0" fontId="21" fillId="0" borderId="52" xfId="196" applyFont="1" applyFill="1" applyBorder="1" applyAlignment="1">
      <alignment horizontal="center" vertical="center"/>
    </xf>
    <xf numFmtId="174" fontId="96" fillId="0" borderId="52" xfId="222" applyNumberFormat="1" applyFont="1" applyFill="1" applyBorder="1" applyAlignment="1" applyProtection="1">
      <alignment horizontal="right" vertical="center" indent="1"/>
    </xf>
    <xf numFmtId="174" fontId="97" fillId="0" borderId="52" xfId="222" applyNumberFormat="1" applyFont="1" applyFill="1" applyBorder="1" applyAlignment="1" applyProtection="1">
      <alignment horizontal="right" vertical="center" indent="1"/>
    </xf>
    <xf numFmtId="9" fontId="97" fillId="0" borderId="52" xfId="222" applyNumberFormat="1" applyFont="1" applyFill="1" applyBorder="1" applyAlignment="1" applyProtection="1">
      <alignment horizontal="right" vertical="center" indent="1"/>
    </xf>
    <xf numFmtId="174" fontId="96" fillId="0" borderId="53" xfId="222" applyNumberFormat="1" applyFont="1" applyFill="1" applyBorder="1" applyAlignment="1" applyProtection="1">
      <alignment horizontal="right" vertical="center" indent="1"/>
    </xf>
    <xf numFmtId="174" fontId="96" fillId="29" borderId="53" xfId="222" applyNumberFormat="1" applyFont="1" applyFill="1" applyBorder="1" applyAlignment="1" applyProtection="1">
      <alignment horizontal="right" vertical="center" indent="1"/>
    </xf>
    <xf numFmtId="174" fontId="97" fillId="40" borderId="53" xfId="222" applyNumberFormat="1" applyFont="1" applyFill="1" applyBorder="1" applyAlignment="1" applyProtection="1">
      <alignment horizontal="right" vertical="center" indent="1"/>
    </xf>
    <xf numFmtId="9" fontId="97" fillId="40" borderId="53" xfId="222" applyNumberFormat="1" applyFont="1" applyFill="1" applyBorder="1" applyAlignment="1" applyProtection="1">
      <alignment horizontal="right" vertical="center" indent="1"/>
    </xf>
    <xf numFmtId="0" fontId="98" fillId="41" borderId="53" xfId="196" applyFont="1" applyFill="1" applyBorder="1" applyAlignment="1">
      <alignment horizontal="center" vertical="center"/>
    </xf>
    <xf numFmtId="0" fontId="53" fillId="29" borderId="54" xfId="222" applyFont="1" applyFill="1" applyBorder="1" applyAlignment="1">
      <alignment horizontal="left" vertical="center"/>
    </xf>
    <xf numFmtId="0" fontId="60" fillId="30" borderId="14" xfId="0" applyFont="1" applyFill="1" applyBorder="1" applyAlignment="1" applyProtection="1">
      <alignment horizontal="left" vertical="center"/>
      <protection locked="0"/>
    </xf>
    <xf numFmtId="0" fontId="94" fillId="45" borderId="0" xfId="0" applyFont="1" applyFill="1" applyBorder="1" applyAlignment="1" applyProtection="1">
      <alignment horizontal="right" vertical="center"/>
    </xf>
    <xf numFmtId="0" fontId="53" fillId="35" borderId="26" xfId="205" applyFont="1" applyFill="1" applyBorder="1" applyAlignment="1" applyProtection="1">
      <alignment horizontal="left" vertical="center"/>
      <protection locked="0"/>
    </xf>
    <xf numFmtId="0" fontId="53" fillId="35" borderId="23" xfId="205" applyFont="1" applyFill="1" applyBorder="1" applyAlignment="1" applyProtection="1">
      <alignment horizontal="left" vertical="center"/>
      <protection locked="0"/>
    </xf>
    <xf numFmtId="0" fontId="53" fillId="35" borderId="47" xfId="205" applyFont="1" applyFill="1" applyBorder="1" applyAlignment="1" applyProtection="1">
      <alignment horizontal="left" vertical="center"/>
      <protection locked="0"/>
    </xf>
    <xf numFmtId="0" fontId="72" fillId="0" borderId="34" xfId="0" applyFont="1" applyFill="1" applyBorder="1" applyAlignment="1" applyProtection="1">
      <alignment horizontal="center"/>
    </xf>
    <xf numFmtId="0" fontId="72" fillId="0" borderId="35" xfId="0" applyFont="1" applyFill="1" applyBorder="1" applyAlignment="1" applyProtection="1">
      <alignment horizontal="center"/>
    </xf>
    <xf numFmtId="0" fontId="72" fillId="0" borderId="36" xfId="0" applyFont="1" applyFill="1" applyBorder="1" applyAlignment="1" applyProtection="1">
      <alignment horizontal="center"/>
    </xf>
    <xf numFmtId="0" fontId="53" fillId="35" borderId="24" xfId="205" applyFont="1" applyFill="1" applyBorder="1" applyAlignment="1" applyProtection="1">
      <alignment horizontal="left" vertical="center"/>
      <protection locked="0"/>
    </xf>
    <xf numFmtId="0" fontId="53" fillId="35" borderId="22" xfId="205" applyFont="1" applyFill="1" applyBorder="1" applyAlignment="1" applyProtection="1">
      <alignment horizontal="left" vertical="center"/>
      <protection locked="0"/>
    </xf>
    <xf numFmtId="0" fontId="53" fillId="35" borderId="45" xfId="205" applyFont="1" applyFill="1" applyBorder="1" applyAlignment="1" applyProtection="1">
      <alignment horizontal="left" vertical="center"/>
      <protection locked="0"/>
    </xf>
    <xf numFmtId="0" fontId="53" fillId="35" borderId="25" xfId="205" applyFont="1" applyFill="1" applyBorder="1" applyAlignment="1" applyProtection="1">
      <alignment horizontal="left" vertical="center"/>
      <protection locked="0"/>
    </xf>
    <xf numFmtId="0" fontId="53" fillId="35" borderId="0" xfId="205" applyFont="1" applyFill="1" applyBorder="1" applyAlignment="1" applyProtection="1">
      <alignment horizontal="left" vertical="center"/>
      <protection locked="0"/>
    </xf>
    <xf numFmtId="0" fontId="53" fillId="35" borderId="46" xfId="205" applyFont="1" applyFill="1" applyBorder="1" applyAlignment="1" applyProtection="1">
      <alignment horizontal="left" vertical="center"/>
      <protection locked="0"/>
    </xf>
    <xf numFmtId="0" fontId="95" fillId="44" borderId="49" xfId="205" applyFont="1" applyFill="1" applyBorder="1" applyAlignment="1" applyProtection="1">
      <alignment horizontal="left" vertical="center"/>
    </xf>
    <xf numFmtId="0" fontId="78" fillId="29" borderId="0" xfId="222" applyFont="1" applyFill="1" applyBorder="1" applyAlignment="1">
      <alignment horizontal="left" vertical="center"/>
    </xf>
    <xf numFmtId="2" fontId="53" fillId="29" borderId="0" xfId="222" applyNumberFormat="1" applyFont="1" applyFill="1" applyBorder="1" applyAlignment="1">
      <alignment horizontal="left" vertical="center" indent="1"/>
    </xf>
    <xf numFmtId="0" fontId="12" fillId="44" borderId="43" xfId="0" applyFont="1" applyFill="1" applyBorder="1" applyAlignment="1" applyProtection="1">
      <alignment horizontal="center" vertical="center" wrapText="1"/>
    </xf>
    <xf numFmtId="0" fontId="12" fillId="44" borderId="28" xfId="0" applyFont="1" applyFill="1" applyBorder="1" applyAlignment="1" applyProtection="1">
      <alignment horizontal="center" vertical="center" wrapText="1"/>
    </xf>
    <xf numFmtId="0" fontId="12" fillId="44" borderId="0" xfId="0" applyFont="1" applyFill="1" applyBorder="1" applyAlignment="1" applyProtection="1">
      <alignment horizontal="center" vertical="center" wrapText="1"/>
    </xf>
    <xf numFmtId="0" fontId="12" fillId="44" borderId="39" xfId="0" applyFont="1" applyFill="1" applyBorder="1" applyAlignment="1" applyProtection="1">
      <alignment horizontal="center" vertical="center" wrapText="1"/>
    </xf>
    <xf numFmtId="0" fontId="50" fillId="43" borderId="0" xfId="0" applyFont="1" applyFill="1" applyBorder="1" applyAlignment="1" applyProtection="1">
      <alignment horizontal="center" vertical="center" wrapText="1"/>
    </xf>
    <xf numFmtId="0" fontId="50" fillId="43" borderId="27" xfId="0" applyFont="1" applyFill="1" applyBorder="1" applyAlignment="1" applyProtection="1">
      <alignment horizontal="center" vertical="center" wrapText="1"/>
    </xf>
    <xf numFmtId="0" fontId="12" fillId="44" borderId="50" xfId="0" applyFont="1" applyFill="1" applyBorder="1" applyAlignment="1" applyProtection="1">
      <alignment horizontal="center" vertical="center" wrapText="1"/>
    </xf>
    <xf numFmtId="0" fontId="12" fillId="44" borderId="51" xfId="0" applyFont="1" applyFill="1" applyBorder="1" applyAlignment="1" applyProtection="1">
      <alignment horizontal="center" vertical="center" wrapText="1"/>
    </xf>
    <xf numFmtId="0" fontId="72" fillId="0" borderId="34" xfId="0" applyFont="1" applyBorder="1" applyAlignment="1" applyProtection="1">
      <alignment horizontal="center"/>
    </xf>
    <xf numFmtId="0" fontId="72" fillId="0" borderId="35" xfId="0" applyFont="1" applyBorder="1" applyAlignment="1" applyProtection="1">
      <alignment horizontal="center"/>
    </xf>
    <xf numFmtId="0" fontId="72" fillId="0" borderId="36" xfId="0" applyFont="1" applyBorder="1" applyAlignment="1" applyProtection="1">
      <alignment horizontal="center"/>
    </xf>
    <xf numFmtId="0" fontId="53" fillId="39" borderId="0" xfId="222" applyFont="1" applyFill="1" applyBorder="1" applyAlignment="1" applyProtection="1">
      <alignment horizontal="left" vertical="center"/>
    </xf>
    <xf numFmtId="0" fontId="95" fillId="44" borderId="0" xfId="0" applyFont="1" applyFill="1" applyBorder="1" applyAlignment="1">
      <alignment horizontal="left" vertical="center"/>
    </xf>
    <xf numFmtId="0" fontId="96" fillId="0" borderId="52" xfId="222" applyFont="1" applyFill="1" applyBorder="1" applyAlignment="1" applyProtection="1">
      <alignment horizontal="left" vertical="center"/>
    </xf>
    <xf numFmtId="0" fontId="78" fillId="29" borderId="0" xfId="222" applyFont="1" applyFill="1" applyBorder="1" applyAlignment="1" applyProtection="1">
      <alignment horizontal="left" vertical="center" indent="1"/>
    </xf>
    <xf numFmtId="0" fontId="53" fillId="29" borderId="0" xfId="222" applyFont="1" applyFill="1" applyBorder="1" applyAlignment="1" applyProtection="1">
      <alignment horizontal="left" vertical="center" indent="2"/>
    </xf>
    <xf numFmtId="0" fontId="96" fillId="29" borderId="53" xfId="222" applyFont="1" applyFill="1" applyBorder="1" applyAlignment="1" applyProtection="1">
      <alignment horizontal="left" vertical="center"/>
    </xf>
    <xf numFmtId="0" fontId="70" fillId="42" borderId="0" xfId="0" applyFont="1" applyFill="1" applyBorder="1" applyAlignment="1" applyProtection="1">
      <alignment horizontal="center" vertical="center"/>
    </xf>
    <xf numFmtId="0" fontId="56" fillId="0" borderId="0" xfId="222" applyFont="1" applyFill="1" applyBorder="1" applyAlignment="1" applyProtection="1">
      <alignment horizontal="left" vertical="center"/>
    </xf>
    <xf numFmtId="0" fontId="53" fillId="29" borderId="0" xfId="222" applyFont="1" applyFill="1" applyBorder="1" applyAlignment="1">
      <alignment horizontal="left" vertical="center" wrapText="1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8F071A"/>
      <color rgb="FF7F8399"/>
      <color rgb="FF6F7072"/>
      <color rgb="FFADAFB6"/>
      <color rgb="FFE3E3E3"/>
      <color rgb="FF7E408F"/>
      <color rgb="FFDDDDDD"/>
      <color rgb="FFEAEAEA"/>
      <color rgb="FFD0C2A4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PL!$W$107</c:f>
          <c:strCache>
            <c:ptCount val="1"/>
            <c:pt idx="0">
              <c:v>Coûts externes</c:v>
            </c:pt>
          </c:strCache>
        </c:strRef>
      </c:tx>
      <c:layout>
        <c:manualLayout>
          <c:xMode val="edge"/>
          <c:yMode val="edge"/>
          <c:x val="0.30448370782920425"/>
          <c:y val="0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696543397619805"/>
          <c:y val="0.19329921233087893"/>
          <c:w val="0.84328563064956141"/>
          <c:h val="0.7242277155330263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noFill/>
              <a:prstDash val="solid"/>
            </a:ln>
          </c:spPr>
          <c:invertIfNegative val="0"/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PL!$Y$107:$AA$107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PL!$Y$108:$AA$108</c:f>
              <c:numCache>
                <c:formatCode>General</c:formatCode>
                <c:ptCount val="3"/>
                <c:pt idx="0" formatCode="#,##0">
                  <c:v>-21970.290289999994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CCCCFF"/>
              </a:solidFill>
              <a:ln w="25400">
                <a:noFill/>
              </a:ln>
            </c:spPr>
          </c:dPt>
          <c:dLbls>
            <c:dLbl>
              <c:idx val="1"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PL!$Y$107:$AA$107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PL!$Y$109:$AA$109</c:f>
              <c:numCache>
                <c:formatCode>General</c:formatCode>
                <c:ptCount val="3"/>
                <c:pt idx="1">
                  <c:v>-27775.255868000007</c:v>
                </c:pt>
              </c:numCache>
            </c:numRef>
          </c:val>
        </c:ser>
        <c:ser>
          <c:idx val="2"/>
          <c:order val="2"/>
          <c:spPr>
            <a:gradFill>
              <a:gsLst>
                <a:gs pos="50000">
                  <a:srgbClr val="5E1F8D"/>
                </a:gs>
                <a:gs pos="100000">
                  <a:srgbClr val="3F1260"/>
                </a:gs>
                <a:gs pos="0">
                  <a:srgbClr val="7128A8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dash"/>
            </a:ln>
          </c:spPr>
          <c:invertIfNegative val="0"/>
          <c:dPt>
            <c:idx val="2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PL!$Y$107:$AA$107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PL!$Y$110:$AA$110</c:f>
              <c:numCache>
                <c:formatCode>General</c:formatCode>
                <c:ptCount val="3"/>
                <c:pt idx="2">
                  <c:v>-34644.563999999998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116160"/>
        <c:axId val="180298880"/>
      </c:barChart>
      <c:catAx>
        <c:axId val="16711616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180298880"/>
        <c:crosses val="autoZero"/>
        <c:auto val="1"/>
        <c:lblAlgn val="ctr"/>
        <c:lblOffset val="100"/>
        <c:noMultiLvlLbl val="0"/>
      </c:catAx>
      <c:valAx>
        <c:axId val="180298880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16711616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PL!$W$111</c:f>
          <c:strCache>
            <c:ptCount val="1"/>
            <c:pt idx="0">
              <c:v>Frais de personnel et Assimilés</c:v>
            </c:pt>
          </c:strCache>
        </c:strRef>
      </c:tx>
      <c:layout>
        <c:manualLayout>
          <c:xMode val="edge"/>
          <c:yMode val="edge"/>
          <c:x val="0.28420204678362576"/>
          <c:y val="0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927690058479531"/>
          <c:y val="0.14139447530549554"/>
          <c:w val="0.84328563064956141"/>
          <c:h val="0.7242277155330263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noFill/>
              <a:prstDash val="solid"/>
            </a:ln>
          </c:spPr>
          <c:invertIfNegative val="0"/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PL!$Y$111:$AA$111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PL!$Y$112:$AA$112</c:f>
              <c:numCache>
                <c:formatCode>General</c:formatCode>
                <c:ptCount val="3"/>
                <c:pt idx="0" formatCode="#,##0">
                  <c:v>-44105.511680000003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CCCCFF"/>
              </a:solidFill>
              <a:ln w="25400">
                <a:noFill/>
              </a:ln>
            </c:spPr>
          </c:dPt>
          <c:dLbls>
            <c:dLbl>
              <c:idx val="1"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PL!$Y$111:$AA$111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PL!$Y$113:$AA$113</c:f>
              <c:numCache>
                <c:formatCode>General</c:formatCode>
                <c:ptCount val="3"/>
                <c:pt idx="1">
                  <c:v>-41824.461113333338</c:v>
                </c:pt>
              </c:numCache>
            </c:numRef>
          </c:val>
        </c:ser>
        <c:ser>
          <c:idx val="2"/>
          <c:order val="2"/>
          <c:spPr>
            <a:gradFill>
              <a:gsLst>
                <a:gs pos="50000">
                  <a:srgbClr val="5E1F8D"/>
                </a:gs>
                <a:gs pos="100000">
                  <a:srgbClr val="3F1260"/>
                </a:gs>
                <a:gs pos="0">
                  <a:srgbClr val="7128A8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dash"/>
            </a:ln>
          </c:spPr>
          <c:invertIfNegative val="0"/>
          <c:dPt>
            <c:idx val="2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PL!$Y$111:$AA$111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PL!$Y$114:$AA$114</c:f>
              <c:numCache>
                <c:formatCode>General</c:formatCode>
                <c:ptCount val="3"/>
                <c:pt idx="2">
                  <c:v>-42776.912120000008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129984"/>
        <c:axId val="181330688"/>
      </c:barChart>
      <c:catAx>
        <c:axId val="18112998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181330688"/>
        <c:crosses val="autoZero"/>
        <c:auto val="1"/>
        <c:lblAlgn val="ctr"/>
        <c:lblOffset val="100"/>
        <c:noMultiLvlLbl val="0"/>
      </c:catAx>
      <c:valAx>
        <c:axId val="181330688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1811299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PL!$W$115</c:f>
          <c:strCache>
            <c:ptCount val="1"/>
            <c:pt idx="0">
              <c:v>Frais de déplacement</c:v>
            </c:pt>
          </c:strCache>
        </c:strRef>
      </c:tx>
      <c:layout>
        <c:manualLayout>
          <c:xMode val="edge"/>
          <c:yMode val="edge"/>
          <c:x val="0.27638011695906434"/>
          <c:y val="2.8206934063959555E-3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696541668591161"/>
          <c:y val="0.17893790454462571"/>
          <c:w val="0.84328563064956141"/>
          <c:h val="0.7242277155330263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noFill/>
              <a:prstDash val="solid"/>
            </a:ln>
          </c:spPr>
          <c:invertIfNegative val="0"/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PL!$Y$115:$AA$115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PL!$Y$116:$AA$116</c:f>
              <c:numCache>
                <c:formatCode>General</c:formatCode>
                <c:ptCount val="3"/>
                <c:pt idx="0" formatCode="#,##0">
                  <c:v>-1636.3912099999993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CCCCFF"/>
              </a:solidFill>
              <a:ln w="25400">
                <a:noFill/>
              </a:ln>
            </c:spPr>
          </c:dPt>
          <c:dLbls>
            <c:dLbl>
              <c:idx val="1"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PL!$Y$115:$AA$115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PL!$Y$117:$AA$117</c:f>
              <c:numCache>
                <c:formatCode>General</c:formatCode>
                <c:ptCount val="3"/>
                <c:pt idx="1">
                  <c:v>-1903.0000000000002</c:v>
                </c:pt>
              </c:numCache>
            </c:numRef>
          </c:val>
        </c:ser>
        <c:ser>
          <c:idx val="2"/>
          <c:order val="2"/>
          <c:spPr>
            <a:gradFill>
              <a:gsLst>
                <a:gs pos="50000">
                  <a:srgbClr val="5E1F8D"/>
                </a:gs>
                <a:gs pos="100000">
                  <a:srgbClr val="3F1260"/>
                </a:gs>
                <a:gs pos="0">
                  <a:srgbClr val="7128A8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dash"/>
            </a:ln>
          </c:spPr>
          <c:invertIfNegative val="0"/>
          <c:dPt>
            <c:idx val="2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PL!$Y$115:$AA$115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PL!$Y$118:$AA$118</c:f>
              <c:numCache>
                <c:formatCode>General</c:formatCode>
                <c:ptCount val="3"/>
                <c:pt idx="2">
                  <c:v>-1902.6000000000001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144832"/>
        <c:axId val="185146752"/>
      </c:barChart>
      <c:catAx>
        <c:axId val="18514483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185146752"/>
        <c:crosses val="autoZero"/>
        <c:auto val="1"/>
        <c:lblAlgn val="ctr"/>
        <c:lblOffset val="100"/>
        <c:noMultiLvlLbl val="0"/>
      </c:catAx>
      <c:valAx>
        <c:axId val="185146752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18514483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PL!$W$119</c:f>
          <c:strCache>
            <c:ptCount val="1"/>
            <c:pt idx="0">
              <c:v>RESULTAT OPERATIONNEL APRES MF</c:v>
            </c:pt>
          </c:strCache>
        </c:strRef>
      </c:tx>
      <c:layout>
        <c:manualLayout>
          <c:xMode val="edge"/>
          <c:yMode val="edge"/>
          <c:x val="0.18336416666666666"/>
          <c:y val="2.7620585198378012E-3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731305555555556"/>
          <c:y val="0.13857378189909958"/>
          <c:w val="0.77268694444444441"/>
          <c:h val="0.7242277155330263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noFill/>
              <a:prstDash val="solid"/>
            </a:ln>
          </c:spPr>
          <c:invertIfNegative val="0"/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PL!$Y$119:$AA$119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PL!$Y$120:$AA$120</c:f>
              <c:numCache>
                <c:formatCode>General</c:formatCode>
                <c:ptCount val="3"/>
                <c:pt idx="0" formatCode="#,##0">
                  <c:v>-13517.125110000015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CCCCFF"/>
              </a:solidFill>
              <a:ln w="25400">
                <a:noFill/>
              </a:ln>
            </c:spPr>
          </c:dPt>
          <c:dLbls>
            <c:dLbl>
              <c:idx val="1"/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PL!$Y$119:$AA$119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PL!$Y$121:$AA$121</c:f>
              <c:numCache>
                <c:formatCode>General</c:formatCode>
                <c:ptCount val="3"/>
                <c:pt idx="1">
                  <c:v>-11257.056852304071</c:v>
                </c:pt>
              </c:numCache>
            </c:numRef>
          </c:val>
        </c:ser>
        <c:ser>
          <c:idx val="2"/>
          <c:order val="2"/>
          <c:spPr>
            <a:gradFill>
              <a:gsLst>
                <a:gs pos="50000">
                  <a:srgbClr val="5E1F8D"/>
                </a:gs>
                <a:gs pos="100000">
                  <a:srgbClr val="3F1260"/>
                </a:gs>
                <a:gs pos="0">
                  <a:srgbClr val="7128A8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  <a:prstDash val="dash"/>
            </a:ln>
          </c:spPr>
          <c:invertIfNegative val="0"/>
          <c:dPt>
            <c:idx val="2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PL!$Y$119:$AA$119</c:f>
              <c:strCache>
                <c:ptCount val="3"/>
                <c:pt idx="0">
                  <c:v>Réalisé N-2</c:v>
                </c:pt>
                <c:pt idx="1">
                  <c:v>Estimé 2 N-1</c:v>
                </c:pt>
                <c:pt idx="2">
                  <c:v>Budget</c:v>
                </c:pt>
              </c:strCache>
            </c:strRef>
          </c:cat>
          <c:val>
            <c:numRef>
              <c:f>PL!$Y$122:$AA$122</c:f>
              <c:numCache>
                <c:formatCode>General</c:formatCode>
                <c:ptCount val="3"/>
                <c:pt idx="2">
                  <c:v>-8002.3232583465815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388736"/>
        <c:axId val="242733440"/>
      </c:barChart>
      <c:catAx>
        <c:axId val="21638873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242733440"/>
        <c:crosses val="autoZero"/>
        <c:auto val="1"/>
        <c:lblAlgn val="ctr"/>
        <c:lblOffset val="100"/>
        <c:noMultiLvlLbl val="0"/>
      </c:catAx>
      <c:valAx>
        <c:axId val="242733440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163887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51577</xdr:colOff>
      <xdr:row>7</xdr:row>
      <xdr:rowOff>196717</xdr:rowOff>
    </xdr:from>
    <xdr:to>
      <xdr:col>15</xdr:col>
      <xdr:colOff>852765</xdr:colOff>
      <xdr:row>10</xdr:row>
      <xdr:rowOff>51538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8184" y="672967"/>
          <a:ext cx="801188" cy="7863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8948</xdr:colOff>
      <xdr:row>107</xdr:row>
      <xdr:rowOff>103910</xdr:rowOff>
    </xdr:from>
    <xdr:to>
      <xdr:col>4</xdr:col>
      <xdr:colOff>2615045</xdr:colOff>
      <xdr:row>129</xdr:row>
      <xdr:rowOff>144175</xdr:rowOff>
    </xdr:to>
    <xdr:graphicFrame macro="">
      <xdr:nvGraphicFramePr>
        <xdr:cNvPr id="1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102659</xdr:colOff>
      <xdr:row>107</xdr:row>
      <xdr:rowOff>179098</xdr:rowOff>
    </xdr:from>
    <xdr:to>
      <xdr:col>8</xdr:col>
      <xdr:colOff>734432</xdr:colOff>
      <xdr:row>129</xdr:row>
      <xdr:rowOff>144173</xdr:rowOff>
    </xdr:to>
    <xdr:graphicFrame macro="">
      <xdr:nvGraphicFramePr>
        <xdr:cNvPr id="15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839451</xdr:colOff>
      <xdr:row>107</xdr:row>
      <xdr:rowOff>179099</xdr:rowOff>
    </xdr:from>
    <xdr:to>
      <xdr:col>12</xdr:col>
      <xdr:colOff>501406</xdr:colOff>
      <xdr:row>129</xdr:row>
      <xdr:rowOff>144174</xdr:rowOff>
    </xdr:to>
    <xdr:graphicFrame macro="">
      <xdr:nvGraphicFramePr>
        <xdr:cNvPr id="16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675409</xdr:colOff>
      <xdr:row>107</xdr:row>
      <xdr:rowOff>179099</xdr:rowOff>
    </xdr:from>
    <xdr:to>
      <xdr:col>15</xdr:col>
      <xdr:colOff>1082045</xdr:colOff>
      <xdr:row>129</xdr:row>
      <xdr:rowOff>144174</xdr:rowOff>
    </xdr:to>
    <xdr:graphicFrame macro="">
      <xdr:nvGraphicFramePr>
        <xdr:cNvPr id="17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432954</xdr:colOff>
          <xdr:row>20</xdr:row>
          <xdr:rowOff>34636</xdr:rowOff>
        </xdr:from>
        <xdr:to>
          <xdr:col>6</xdr:col>
          <xdr:colOff>277090</xdr:colOff>
          <xdr:row>21</xdr:row>
          <xdr:rowOff>138545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225137</xdr:colOff>
      <xdr:row>8</xdr:row>
      <xdr:rowOff>43296</xdr:rowOff>
    </xdr:from>
    <xdr:to>
      <xdr:col>4</xdr:col>
      <xdr:colOff>1905000</xdr:colOff>
      <xdr:row>9</xdr:row>
      <xdr:rowOff>329000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137" y="723653"/>
          <a:ext cx="1924792" cy="680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9"/>
  <sheetViews>
    <sheetView workbookViewId="0">
      <selection activeCell="C13" sqref="C13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163</v>
      </c>
      <c r="B1" s="16"/>
    </row>
    <row r="2" spans="1:6" x14ac:dyDescent="0.2">
      <c r="A2" s="16" t="s">
        <v>164</v>
      </c>
      <c r="B2" s="16"/>
    </row>
    <row r="3" spans="1:6" ht="15.75" x14ac:dyDescent="0.25">
      <c r="A3" s="18" t="s">
        <v>165</v>
      </c>
      <c r="B3" s="16"/>
    </row>
    <row r="4" spans="1:6" x14ac:dyDescent="0.2">
      <c r="A4" s="19" t="s">
        <v>166</v>
      </c>
      <c r="B4" s="20" t="s">
        <v>161</v>
      </c>
    </row>
    <row r="5" spans="1:6" x14ac:dyDescent="0.2">
      <c r="A5" s="19" t="s">
        <v>167</v>
      </c>
      <c r="B5" s="21" t="str">
        <f>LEFT(Server,LEN(Server)-1)</f>
        <v>tango_core_model</v>
      </c>
    </row>
    <row r="6" spans="1:6" x14ac:dyDescent="0.2">
      <c r="A6" s="19" t="s">
        <v>168</v>
      </c>
      <c r="B6" s="21" t="s">
        <v>162</v>
      </c>
    </row>
    <row r="7" spans="1:6" x14ac:dyDescent="0.2">
      <c r="A7" s="19" t="s">
        <v>169</v>
      </c>
      <c r="B7" s="21">
        <v>0</v>
      </c>
    </row>
    <row r="8" spans="1:6" x14ac:dyDescent="0.2">
      <c r="A8" s="19" t="s">
        <v>170</v>
      </c>
      <c r="B8" s="21">
        <v>0</v>
      </c>
    </row>
    <row r="9" spans="1:6" x14ac:dyDescent="0.2">
      <c r="A9" s="17" t="s">
        <v>171</v>
      </c>
    </row>
    <row r="10" spans="1:6" ht="15.75" x14ac:dyDescent="0.25">
      <c r="A10" s="18" t="s">
        <v>172</v>
      </c>
    </row>
    <row r="11" spans="1:6" ht="13.5" customHeight="1" x14ac:dyDescent="0.2">
      <c r="A11" s="19" t="s">
        <v>173</v>
      </c>
      <c r="B11" s="21" t="s">
        <v>72</v>
      </c>
    </row>
    <row r="12" spans="1:6" ht="13.5" customHeight="1" x14ac:dyDescent="0.2">
      <c r="A12" s="19" t="s">
        <v>174</v>
      </c>
      <c r="B12" s="21" t="s">
        <v>73</v>
      </c>
      <c r="C12" s="98" t="s">
        <v>32</v>
      </c>
      <c r="D12" s="98"/>
      <c r="E12" s="98"/>
      <c r="F12" s="98"/>
    </row>
    <row r="13" spans="1:6" x14ac:dyDescent="0.2">
      <c r="A13" s="19" t="s">
        <v>4</v>
      </c>
      <c r="B13" s="21" t="str">
        <f ca="1">_xll.DBR(Server&amp;"z_Admin_Param","MONTH_CORPORATE","STR_VAR1")</f>
        <v>2016.02</v>
      </c>
      <c r="C13" s="97" t="str">
        <f ca="1">LEFT($B$13,4)</f>
        <v>2016</v>
      </c>
      <c r="D13" s="99"/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English</v>
      </c>
      <c r="C16" s="17" t="str">
        <f ca="1">IF(LocalLanguage="French","Français",LocalLanguage)</f>
        <v>English</v>
      </c>
    </row>
    <row r="17" spans="1:6" x14ac:dyDescent="0.2">
      <c r="A17" s="220" t="s">
        <v>19</v>
      </c>
      <c r="B17" s="52" t="s">
        <v>1</v>
      </c>
    </row>
    <row r="18" spans="1:6" x14ac:dyDescent="0.2">
      <c r="A18" s="220"/>
      <c r="B18" s="52" t="s">
        <v>67</v>
      </c>
    </row>
    <row r="19" spans="1:6" x14ac:dyDescent="0.2">
      <c r="A19" s="220"/>
      <c r="B19" s="52" t="s">
        <v>6</v>
      </c>
    </row>
    <row r="20" spans="1:6" x14ac:dyDescent="0.2">
      <c r="A20" s="220"/>
      <c r="B20" s="52" t="s">
        <v>7</v>
      </c>
    </row>
    <row r="21" spans="1:6" x14ac:dyDescent="0.2">
      <c r="A21" s="220"/>
      <c r="B21" s="52" t="s">
        <v>8</v>
      </c>
    </row>
    <row r="22" spans="1:6" x14ac:dyDescent="0.2">
      <c r="A22" s="220" t="s">
        <v>20</v>
      </c>
      <c r="B22" s="52" t="s">
        <v>16</v>
      </c>
    </row>
    <row r="23" spans="1:6" x14ac:dyDescent="0.2">
      <c r="A23" s="220"/>
      <c r="B23" s="52" t="s">
        <v>17</v>
      </c>
    </row>
    <row r="24" spans="1:6" x14ac:dyDescent="0.2">
      <c r="A24" s="220"/>
      <c r="B24" s="52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password="D70F" sheet="1" objects="1" scenarios="1" formatColumns="0" formatRows="0"/>
  <mergeCells count="2">
    <mergeCell ref="A17:A21"/>
    <mergeCell ref="A22:A24"/>
  </mergeCells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I210"/>
  <sheetViews>
    <sheetView showGridLines="0" tabSelected="1" topLeftCell="D9" zoomScale="55" zoomScaleNormal="55" zoomScaleSheetLayoutView="70" workbookViewId="0">
      <selection activeCell="BL26" sqref="BL26"/>
    </sheetView>
  </sheetViews>
  <sheetFormatPr baseColWidth="10" defaultColWidth="11.42578125" defaultRowHeight="18" customHeight="1" outlineLevelRow="1" x14ac:dyDescent="0.2"/>
  <cols>
    <col min="1" max="1" width="8.140625" style="23" hidden="1" customWidth="1"/>
    <col min="2" max="2" width="28.28515625" style="23" hidden="1" customWidth="1"/>
    <col min="3" max="3" width="33.7109375" style="23" hidden="1" customWidth="1"/>
    <col min="4" max="4" width="3.7109375" style="23" customWidth="1"/>
    <col min="5" max="5" width="41.7109375" style="2" customWidth="1"/>
    <col min="6" max="6" width="33.42578125" style="2" customWidth="1"/>
    <col min="7" max="7" width="5.7109375" style="2" customWidth="1"/>
    <col min="8" max="8" width="2.7109375" style="1" customWidth="1"/>
    <col min="9" max="9" width="17.7109375" style="1" customWidth="1"/>
    <col min="10" max="10" width="18.42578125" style="1" customWidth="1"/>
    <col min="11" max="11" width="17.7109375" style="1" customWidth="1"/>
    <col min="12" max="12" width="2.7109375" style="3" customWidth="1"/>
    <col min="13" max="13" width="17.7109375" style="3" customWidth="1"/>
    <col min="14" max="14" width="13.7109375" style="3" customWidth="1"/>
    <col min="15" max="15" width="13.7109375" style="3" bestFit="1" customWidth="1"/>
    <col min="16" max="16" width="19" style="3" customWidth="1"/>
    <col min="17" max="17" width="30.7109375" style="3" hidden="1" customWidth="1"/>
    <col min="18" max="18" width="19.140625" style="23" hidden="1" customWidth="1"/>
    <col min="19" max="20" width="14.28515625" style="23" hidden="1" customWidth="1"/>
    <col min="21" max="26" width="9" style="23" hidden="1" customWidth="1"/>
    <col min="27" max="27" width="24.85546875" style="23" hidden="1" customWidth="1"/>
    <col min="28" max="28" width="13.140625" style="23" hidden="1" customWidth="1"/>
    <col min="29" max="29" width="22" style="23" hidden="1" customWidth="1"/>
    <col min="30" max="30" width="25.28515625" style="23" hidden="1" customWidth="1"/>
    <col min="31" max="31" width="14.42578125" style="23" hidden="1" customWidth="1"/>
    <col min="32" max="32" width="16.28515625" style="23" hidden="1" customWidth="1"/>
    <col min="33" max="33" width="16.7109375" style="23" hidden="1" customWidth="1"/>
    <col min="34" max="34" width="43.7109375" style="23" hidden="1" customWidth="1"/>
    <col min="35" max="35" width="10.140625" style="23" hidden="1" customWidth="1"/>
    <col min="36" max="36" width="6.5703125" style="23" hidden="1" customWidth="1"/>
    <col min="37" max="37" width="6.140625" style="23" hidden="1" customWidth="1"/>
    <col min="38" max="38" width="6.5703125" style="23" hidden="1" customWidth="1"/>
    <col min="39" max="45" width="6.5703125" style="1" hidden="1" customWidth="1"/>
    <col min="46" max="47" width="6.42578125" style="1" hidden="1" customWidth="1"/>
    <col min="48" max="61" width="11.42578125" style="1" hidden="1" customWidth="1"/>
    <col min="62" max="81" width="11.42578125" style="1" customWidth="1"/>
    <col min="82" max="16384" width="11.42578125" style="1"/>
  </cols>
  <sheetData>
    <row r="1" spans="1:38" ht="22.5" hidden="1" customHeight="1" thickBot="1" x14ac:dyDescent="0.3">
      <c r="E1" s="201" t="s">
        <v>159</v>
      </c>
      <c r="F1" s="47" t="s">
        <v>152</v>
      </c>
      <c r="G1" s="24" t="s">
        <v>0</v>
      </c>
      <c r="H1" s="25"/>
      <c r="I1" s="48" t="s">
        <v>74</v>
      </c>
      <c r="J1" s="48" t="str">
        <f ca="1">IF($F$23=$AB$12,"FC_2_TOT",IF($F$23=$AB$13,"BUDG_TOT","FC_1_TOT"))</f>
        <v>FC_2_TOT</v>
      </c>
      <c r="K1" s="48" t="str">
        <f ca="1">IF($F$23=$AB$12,"BUDG_TOT",IF($F$23=$AB$13,"FC_1_TOT","FC_2_TOT"))</f>
        <v>BUDG_TOT</v>
      </c>
      <c r="L1" s="23"/>
      <c r="M1" s="156"/>
      <c r="N1" s="156"/>
      <c r="O1" s="156"/>
      <c r="P1" s="225" t="s">
        <v>156</v>
      </c>
      <c r="Q1" s="226"/>
      <c r="R1" s="227"/>
    </row>
    <row r="2" spans="1:38" ht="22.5" hidden="1" customHeight="1" thickBot="1" x14ac:dyDescent="0.3">
      <c r="E2" s="147" t="str">
        <f ca="1">_xll.SUBNM(Server&amp;"z_translate_report","",F23,"")</f>
        <v>Budget</v>
      </c>
      <c r="F2" s="59"/>
      <c r="G2" s="46" t="s">
        <v>52</v>
      </c>
      <c r="H2" s="100" t="str">
        <f ca="1">_xll.SUBNM(Server&amp;"Period","",$F$17,"")</f>
        <v>2016</v>
      </c>
      <c r="I2" s="155" t="str">
        <f ca="1">IF($E$2=$AB$12,$N$3,IF($E$2=$AB$13,$H$3,$H$3))</f>
        <v>2014</v>
      </c>
      <c r="J2" s="155" t="str">
        <f ca="1">IF($E$2=$AB$12,$H$3,$H$2)</f>
        <v>2015</v>
      </c>
      <c r="K2" s="155" t="str">
        <f ca="1">$H$2</f>
        <v>2016</v>
      </c>
      <c r="L2" s="23"/>
      <c r="M2" s="53"/>
      <c r="N2" s="53"/>
      <c r="O2" s="53"/>
      <c r="P2" s="158" t="str">
        <f ca="1">IF($F$23=$AB$12,"BUDG",IF($F$23=$AB$13,"FC_1","FC_2"))</f>
        <v>BUDG</v>
      </c>
      <c r="Q2" s="159"/>
      <c r="R2" s="160"/>
    </row>
    <row r="3" spans="1:38" ht="22.5" hidden="1" customHeight="1" x14ac:dyDescent="0.25">
      <c r="C3" s="53"/>
      <c r="E3" s="23"/>
      <c r="F3" s="23"/>
      <c r="G3" s="46" t="s">
        <v>155</v>
      </c>
      <c r="H3" s="100" t="str">
        <f ca="1">_xll.DBRA(Server&amp;$G$2,$H$2,"Prior Year")</f>
        <v>2015</v>
      </c>
      <c r="I3" s="61"/>
      <c r="J3" s="53"/>
      <c r="K3" s="53"/>
      <c r="L3" s="23"/>
      <c r="M3" s="46" t="s">
        <v>160</v>
      </c>
      <c r="N3" s="100" t="str">
        <f ca="1">_xll.DBRA(Server&amp;$G$2,$H$3,"Prior Year")</f>
        <v>2014</v>
      </c>
      <c r="O3" s="53"/>
      <c r="Q3" s="53"/>
    </row>
    <row r="4" spans="1:38" ht="22.5" hidden="1" customHeight="1" x14ac:dyDescent="0.2">
      <c r="C4" s="53"/>
      <c r="D4" s="25"/>
      <c r="E4" s="25"/>
      <c r="F4" s="25"/>
      <c r="G4" s="163" t="s">
        <v>157</v>
      </c>
      <c r="H4" s="164" t="s">
        <v>133</v>
      </c>
      <c r="I4" s="61"/>
      <c r="J4" s="25"/>
      <c r="K4" s="25"/>
      <c r="L4" s="25"/>
      <c r="M4" s="25"/>
      <c r="N4" s="25"/>
      <c r="O4" s="25"/>
      <c r="Q4" s="25"/>
    </row>
    <row r="5" spans="1:38" ht="22.5" hidden="1" customHeight="1" thickBot="1" x14ac:dyDescent="0.25">
      <c r="B5" s="53"/>
      <c r="C5" s="53"/>
      <c r="D5" s="25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38" ht="19.5" hidden="1" customHeight="1" x14ac:dyDescent="0.2">
      <c r="B6" s="53"/>
      <c r="C6" s="53"/>
      <c r="D6" s="116"/>
      <c r="E6" s="25"/>
      <c r="F6" s="25"/>
      <c r="G6" s="23"/>
      <c r="H6" s="25"/>
      <c r="I6" s="23"/>
      <c r="J6" s="25"/>
      <c r="K6" s="23"/>
      <c r="L6" s="23"/>
      <c r="M6" s="53"/>
      <c r="N6" s="53"/>
      <c r="O6" s="53"/>
      <c r="P6" s="53"/>
      <c r="Q6" s="53"/>
    </row>
    <row r="7" spans="1:38" ht="18" hidden="1" customHeight="1" x14ac:dyDescent="0.2">
      <c r="B7" s="53"/>
      <c r="C7" s="118"/>
      <c r="D7" s="25"/>
      <c r="E7" s="25"/>
      <c r="F7" s="25"/>
      <c r="G7" s="23"/>
      <c r="H7" s="25"/>
      <c r="I7" s="23"/>
      <c r="J7" s="25"/>
      <c r="K7" s="23"/>
      <c r="L7" s="23"/>
      <c r="M7" s="53"/>
      <c r="N7" s="53"/>
      <c r="O7" s="53"/>
      <c r="P7" s="53"/>
      <c r="Q7" s="53"/>
      <c r="AD7" s="53"/>
      <c r="AE7" s="53"/>
      <c r="AF7" s="53"/>
      <c r="AG7" s="53"/>
      <c r="AH7" s="53"/>
    </row>
    <row r="8" spans="1:38" ht="16.5" hidden="1" customHeight="1" thickBot="1" x14ac:dyDescent="0.25">
      <c r="B8" s="53"/>
      <c r="C8" s="118"/>
      <c r="D8" s="25"/>
      <c r="G8" s="28"/>
      <c r="Q8" s="53"/>
      <c r="R8" s="53"/>
      <c r="S8" s="53"/>
      <c r="T8" s="53"/>
      <c r="U8" s="53"/>
      <c r="V8" s="53"/>
      <c r="AC8" s="53"/>
      <c r="AD8" s="53"/>
      <c r="AE8" s="53"/>
      <c r="AF8" s="53"/>
      <c r="AG8" s="53"/>
      <c r="AH8" s="53"/>
    </row>
    <row r="9" spans="1:38" ht="30.75" customHeight="1" thickBot="1" x14ac:dyDescent="0.3">
      <c r="B9" s="53"/>
      <c r="C9" s="118"/>
      <c r="D9" s="25"/>
      <c r="E9" s="221" t="str">
        <f ca="1">_xll.DBRA(Server&amp;$AA$11,AA29,$AA$10)</f>
        <v>Compte de résultat Corporate (suivi du prévisionnel)</v>
      </c>
      <c r="F9" s="221"/>
      <c r="G9" s="221"/>
      <c r="H9" s="221"/>
      <c r="I9" s="221"/>
      <c r="J9" s="221"/>
      <c r="K9" s="221"/>
      <c r="L9" s="221"/>
      <c r="M9" s="221"/>
      <c r="N9" s="254" t="str">
        <f ca="1">_xll.DBRA(Server&amp;$AA$11,AA31,$AA$10)</f>
        <v>Restitution</v>
      </c>
      <c r="O9" s="254"/>
      <c r="P9" s="204"/>
      <c r="Q9" s="53"/>
      <c r="R9" s="53"/>
      <c r="S9" s="53"/>
      <c r="T9" s="53"/>
      <c r="U9" s="53"/>
      <c r="V9" s="53"/>
      <c r="AA9" s="93" t="s">
        <v>66</v>
      </c>
      <c r="AC9" s="53"/>
      <c r="AD9" s="53"/>
      <c r="AE9" s="53"/>
      <c r="AF9" s="53"/>
      <c r="AG9" s="53"/>
      <c r="AH9" s="53"/>
    </row>
    <row r="10" spans="1:38" ht="27" customHeight="1" thickBot="1" x14ac:dyDescent="0.3">
      <c r="A10" s="53"/>
      <c r="B10" s="53"/>
      <c r="C10" s="118"/>
      <c r="D10" s="25"/>
      <c r="E10" s="221"/>
      <c r="F10" s="221"/>
      <c r="G10" s="221"/>
      <c r="H10" s="221"/>
      <c r="I10" s="221"/>
      <c r="J10" s="221"/>
      <c r="K10" s="221"/>
      <c r="L10" s="221"/>
      <c r="M10" s="221"/>
      <c r="N10" s="254"/>
      <c r="O10" s="254"/>
      <c r="P10" s="204"/>
      <c r="Q10" s="53"/>
      <c r="R10" s="53"/>
      <c r="S10" s="53"/>
      <c r="T10" s="53"/>
      <c r="U10" s="53"/>
      <c r="V10" s="53"/>
      <c r="AA10" s="94" t="str">
        <f>IF($F$15="Français","French","English")</f>
        <v>French</v>
      </c>
      <c r="AB10" s="92" t="s">
        <v>58</v>
      </c>
      <c r="AC10" s="53"/>
      <c r="AD10" s="53"/>
      <c r="AE10" s="53"/>
      <c r="AF10" s="53"/>
      <c r="AG10" s="53"/>
      <c r="AH10" s="53"/>
    </row>
    <row r="11" spans="1:38" ht="18" customHeight="1" thickBot="1" x14ac:dyDescent="0.3">
      <c r="A11" s="53"/>
      <c r="B11" s="53"/>
      <c r="C11" s="118"/>
      <c r="D11" s="25"/>
      <c r="E11" s="1"/>
      <c r="F11" s="1"/>
      <c r="G11" s="28"/>
      <c r="H11" s="28"/>
      <c r="I11" s="29"/>
      <c r="J11" s="29"/>
      <c r="K11" s="29"/>
      <c r="L11" s="29"/>
      <c r="M11" s="29"/>
      <c r="N11" s="29"/>
      <c r="O11" s="29"/>
      <c r="P11" s="29"/>
      <c r="Q11" s="53"/>
      <c r="R11" s="53"/>
      <c r="S11" s="53"/>
      <c r="T11" s="53"/>
      <c r="U11" s="53"/>
      <c r="V11" s="53"/>
      <c r="AA11" s="71" t="s">
        <v>29</v>
      </c>
      <c r="AB11" s="80" t="s">
        <v>0</v>
      </c>
      <c r="AC11" s="53"/>
      <c r="AD11" s="53"/>
      <c r="AE11" s="53"/>
      <c r="AF11" s="53"/>
      <c r="AG11" s="53"/>
      <c r="AH11" s="53"/>
    </row>
    <row r="12" spans="1:38" ht="22.5" customHeight="1" thickBot="1" x14ac:dyDescent="0.25">
      <c r="A12" s="53"/>
      <c r="B12" s="53"/>
      <c r="C12" s="118"/>
      <c r="D12" s="25"/>
      <c r="E12" s="205" t="str">
        <f ca="1">_xll.DBRA(Server&amp;$AA$11,AA12,$AA$10)</f>
        <v>Sélection du contexte</v>
      </c>
      <c r="F12" s="146"/>
      <c r="H12" s="28"/>
      <c r="I12" s="29"/>
      <c r="J12" s="29"/>
      <c r="K12" s="29"/>
      <c r="L12" s="29"/>
      <c r="M12" s="29"/>
      <c r="N12" s="29"/>
      <c r="O12" s="29"/>
      <c r="P12" s="29"/>
      <c r="Q12" s="53"/>
      <c r="R12" s="53"/>
      <c r="S12" s="53"/>
      <c r="T12" s="53"/>
      <c r="U12" s="53"/>
      <c r="V12" s="53"/>
      <c r="AA12" s="72" t="s">
        <v>25</v>
      </c>
      <c r="AB12" s="117" t="str">
        <f ca="1">_xll.DBRA(Server&amp;$AA$11,AA23,$AA$10)</f>
        <v>Budget</v>
      </c>
      <c r="AC12" s="53"/>
      <c r="AD12" s="53"/>
      <c r="AE12" s="53"/>
      <c r="AF12" s="53"/>
      <c r="AG12" s="53"/>
      <c r="AH12" s="53"/>
    </row>
    <row r="13" spans="1:38" ht="23.25" hidden="1" customHeight="1" outlineLevel="1" x14ac:dyDescent="0.2">
      <c r="A13" s="53"/>
      <c r="B13" s="53"/>
      <c r="C13" s="118"/>
      <c r="D13" s="25"/>
      <c r="E13" s="30" t="str">
        <f ca="1">_xll.DBRA(Server&amp;$AA$11,AA13,$AA$10)</f>
        <v>Gaap</v>
      </c>
      <c r="F13" s="62" t="str">
        <f ca="1">_xll.SUBNM(Server&amp;"GAAP","Corp_FR","Local_Gaap",$AA$10)</f>
        <v>Gaap local</v>
      </c>
      <c r="H13" s="28"/>
      <c r="I13" s="29"/>
      <c r="J13" s="29"/>
      <c r="K13" s="29"/>
      <c r="L13" s="29"/>
      <c r="M13" s="29"/>
      <c r="N13" s="29"/>
      <c r="O13" s="29"/>
      <c r="P13" s="29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73" t="s">
        <v>10</v>
      </c>
      <c r="AB13" s="118" t="str">
        <f ca="1">_xll.DBRA(Server&amp;$AA$11,AA24,$AA$10)</f>
        <v>Estimé 1</v>
      </c>
      <c r="AC13" s="53"/>
      <c r="AD13" s="53"/>
      <c r="AE13" s="53"/>
      <c r="AF13" s="53"/>
      <c r="AG13" s="53"/>
      <c r="AH13" s="53"/>
      <c r="AI13" s="53"/>
      <c r="AJ13" s="53"/>
      <c r="AK13" s="53"/>
      <c r="AL13" s="53"/>
    </row>
    <row r="14" spans="1:38" ht="23.25" hidden="1" customHeight="1" outlineLevel="1" x14ac:dyDescent="0.2">
      <c r="A14" s="53"/>
      <c r="B14" s="53"/>
      <c r="C14" s="118"/>
      <c r="D14" s="25"/>
      <c r="E14" s="30" t="str">
        <f ca="1">_xll.DBRA(Server&amp;$AA$11,AA14,$AA$10)</f>
        <v>Taux d'intégration</v>
      </c>
      <c r="F14" s="62" t="str">
        <f ca="1">_xll.SUBNM(Server&amp;"Integration_Rate","Corp_FR","NO_APP",$AA$10)</f>
        <v>Données de liasse (Tx d'intégration No-APP)</v>
      </c>
      <c r="H14" s="28"/>
      <c r="I14" s="29"/>
      <c r="J14" s="29"/>
      <c r="K14" s="29"/>
      <c r="L14" s="29"/>
      <c r="M14" s="29"/>
      <c r="N14" s="29"/>
      <c r="O14" s="29"/>
      <c r="P14" s="29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73" t="s">
        <v>30</v>
      </c>
      <c r="AB14" s="118" t="str">
        <f ca="1">_xll.DBRA(Server&amp;$AA$11,AA25,$AA$10)</f>
        <v>Estimé 2</v>
      </c>
      <c r="AC14" s="53"/>
      <c r="AD14" s="53"/>
      <c r="AE14" s="53"/>
      <c r="AF14" s="53"/>
      <c r="AG14" s="53"/>
      <c r="AH14" s="53"/>
      <c r="AI14" s="53"/>
      <c r="AJ14" s="53"/>
      <c r="AK14" s="53"/>
      <c r="AL14" s="53"/>
    </row>
    <row r="15" spans="1:38" ht="23.25" hidden="1" customHeight="1" outlineLevel="1" x14ac:dyDescent="0.2">
      <c r="A15" s="53"/>
      <c r="B15" s="53"/>
      <c r="C15" s="118"/>
      <c r="D15" s="25"/>
      <c r="E15" s="30" t="str">
        <f ca="1">_xll.DBRA(Server&amp;$AA$11,AA15,$AA$10)</f>
        <v>Langue</v>
      </c>
      <c r="F15" s="63" t="s">
        <v>67</v>
      </c>
      <c r="H15" s="28"/>
      <c r="I15" s="29"/>
      <c r="J15" s="29"/>
      <c r="K15" s="29"/>
      <c r="L15" s="29"/>
      <c r="M15" s="29"/>
      <c r="N15" s="29"/>
      <c r="O15" s="29"/>
      <c r="P15" s="29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68" t="s">
        <v>31</v>
      </c>
      <c r="AB15" s="118"/>
      <c r="AC15" s="53"/>
      <c r="AD15" s="53"/>
      <c r="AE15" s="53"/>
      <c r="AF15" s="53"/>
      <c r="AG15" s="53"/>
      <c r="AH15" s="53"/>
      <c r="AI15" s="53"/>
      <c r="AJ15" s="53"/>
      <c r="AK15" s="53"/>
      <c r="AL15" s="53"/>
    </row>
    <row r="16" spans="1:38" ht="23.25" hidden="1" customHeight="1" outlineLevel="1" thickBot="1" x14ac:dyDescent="0.25">
      <c r="A16" s="53"/>
      <c r="B16" s="53"/>
      <c r="C16" s="118"/>
      <c r="D16" s="25"/>
      <c r="E16" s="30" t="str">
        <f ca="1">_xll.DBRA(Server&amp;$AA$11,AA16,$AA$10)</f>
        <v>Organisation légale</v>
      </c>
      <c r="F16" s="62" t="str">
        <f ca="1">_xll.SUBNM(Server&amp;"Legal_Organization_Corp","Corp_FR",_xll.DBR(Server&amp;"z_Client_Properties","Default_Legal_Organization_Corp",_xll.TM1USER(xServer)),$F$15)</f>
        <v>TRANSDEV All</v>
      </c>
      <c r="H16" s="28"/>
      <c r="I16" s="29"/>
      <c r="J16" s="29"/>
      <c r="K16" s="29"/>
      <c r="L16" s="29"/>
      <c r="M16" s="29"/>
      <c r="N16" s="29"/>
      <c r="O16" s="29"/>
      <c r="P16" s="29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73" t="s">
        <v>27</v>
      </c>
      <c r="AB16" s="118"/>
      <c r="AC16" s="53"/>
      <c r="AD16" s="53"/>
      <c r="AE16" s="53"/>
      <c r="AF16" s="53"/>
      <c r="AG16" s="53"/>
      <c r="AH16" s="53"/>
      <c r="AI16" s="53"/>
      <c r="AJ16" s="53"/>
      <c r="AK16" s="53"/>
      <c r="AL16" s="53"/>
    </row>
    <row r="17" spans="1:46" ht="22.5" customHeight="1" collapsed="1" x14ac:dyDescent="0.2">
      <c r="A17" s="53"/>
      <c r="B17" s="53"/>
      <c r="C17" s="118"/>
      <c r="D17" s="25"/>
      <c r="E17" s="30" t="str">
        <f ca="1">_xll.DBRA(Server&amp;$AA$11,AA17,$AA$10)</f>
        <v>Période</v>
      </c>
      <c r="F17" s="63" t="str">
        <f ca="1">_xll.SUBNM(Server&amp;"Period","Corp_FR",ActualYear)</f>
        <v>2016</v>
      </c>
      <c r="H17" s="28"/>
      <c r="I17" s="29"/>
      <c r="J17" s="29"/>
      <c r="K17" s="29"/>
      <c r="L17" s="29"/>
      <c r="M17" s="29"/>
      <c r="N17" s="29"/>
      <c r="O17" s="29"/>
      <c r="P17" s="29"/>
      <c r="Q17" s="29"/>
      <c r="R17" s="53"/>
      <c r="S17" s="53"/>
      <c r="T17" s="53"/>
      <c r="U17" s="53"/>
      <c r="V17" s="53"/>
      <c r="W17" s="53"/>
      <c r="X17" s="53"/>
      <c r="Y17" s="53"/>
      <c r="Z17" s="53"/>
      <c r="AA17" s="66" t="s">
        <v>52</v>
      </c>
      <c r="AB17" s="1"/>
      <c r="AC17" s="53"/>
      <c r="AD17" s="53"/>
      <c r="AE17" s="53"/>
      <c r="AF17" s="53"/>
      <c r="AG17" s="53"/>
      <c r="AH17" s="53"/>
      <c r="AI17" s="53"/>
      <c r="AJ17" s="53"/>
      <c r="AK17" s="53"/>
      <c r="AL17" s="53"/>
    </row>
    <row r="18" spans="1:46" ht="23.25" customHeight="1" x14ac:dyDescent="0.25">
      <c r="A18" s="53"/>
      <c r="B18" s="150" t="s">
        <v>136</v>
      </c>
      <c r="C18" s="118" t="s">
        <v>137</v>
      </c>
      <c r="D18" s="25"/>
      <c r="E18" s="30" t="str">
        <f ca="1">_xll.DBRA(Server&amp;$AA$11,$AA$18,$AA$10)</f>
        <v>Organisation managériale</v>
      </c>
      <c r="F18" s="63" t="str">
        <f ca="1">_xll.SUBNM(Server&amp;"Management_Organization_Corp","Corp_FR",_xll.DBR(Server&amp;"z_Client_Properties","Default_Management_Organization_Corp",_xll.TM1USER(xServer)),$F$15)</f>
        <v>Transdev Group</v>
      </c>
      <c r="H18" s="28"/>
      <c r="I18" s="241" t="str">
        <f ca="1">_xll.DBRA(Server&amp;$AA$11,AA33,$AA$10)</f>
        <v>A date</v>
      </c>
      <c r="J18" s="241"/>
      <c r="K18" s="241"/>
      <c r="L18" s="241"/>
      <c r="M18" s="241"/>
      <c r="N18" s="241"/>
      <c r="O18" s="241"/>
      <c r="P18" s="241"/>
      <c r="Q18" s="29"/>
      <c r="R18" s="51"/>
      <c r="AA18" s="73" t="s">
        <v>26</v>
      </c>
      <c r="AB18" s="118"/>
      <c r="AC18" s="53"/>
      <c r="AD18" s="81"/>
      <c r="AE18" s="53"/>
      <c r="AF18" s="53"/>
      <c r="AG18" s="53"/>
      <c r="AH18" s="53"/>
    </row>
    <row r="19" spans="1:46" ht="18.75" x14ac:dyDescent="0.25">
      <c r="A19" s="53"/>
      <c r="B19" s="150" t="s">
        <v>135</v>
      </c>
      <c r="C19" s="118" t="s">
        <v>138</v>
      </c>
      <c r="D19" s="25"/>
      <c r="E19" s="30" t="str">
        <f ca="1">_xll.DBRA(Server&amp;$AA$11,AA19,$AA$10)</f>
        <v>Projets</v>
      </c>
      <c r="F19" s="62" t="str">
        <f ca="1">_xll.SUBNM(Server&amp;"Projets","Corp_FR","Tot_proj",$F$15)</f>
        <v>Total Projets</v>
      </c>
      <c r="H19" s="28"/>
      <c r="L19" s="29"/>
      <c r="M19" s="29"/>
      <c r="N19" s="29"/>
      <c r="O19" s="29"/>
      <c r="P19" s="29"/>
      <c r="Q19" s="29"/>
      <c r="R19" s="51"/>
      <c r="S19" s="53"/>
      <c r="T19" s="53"/>
      <c r="U19" s="53"/>
      <c r="V19" s="53"/>
      <c r="W19" s="53"/>
      <c r="X19" s="53"/>
      <c r="Y19" s="53"/>
      <c r="Z19" s="53"/>
      <c r="AA19" s="96" t="s">
        <v>68</v>
      </c>
      <c r="AB19" s="118"/>
      <c r="AC19" s="53"/>
      <c r="AD19" s="81"/>
      <c r="AE19" s="53"/>
      <c r="AF19" s="53"/>
      <c r="AG19" s="53"/>
      <c r="AH19" s="82"/>
      <c r="AI19" s="53"/>
      <c r="AJ19" s="53"/>
      <c r="AK19" s="53"/>
      <c r="AL19" s="53"/>
    </row>
    <row r="20" spans="1:46" ht="18.75" customHeight="1" x14ac:dyDescent="0.25">
      <c r="A20" s="53"/>
      <c r="B20" s="53"/>
      <c r="C20" s="118"/>
      <c r="D20" s="25"/>
      <c r="E20" s="30" t="str">
        <f ca="1">_xll.DBRA(Server&amp;$AA$11,AA20,$AA$10)</f>
        <v>Devise</v>
      </c>
      <c r="F20" s="62" t="str">
        <f ca="1">_xll.SUBNM(Server&amp;"Currency","Corp_FR","KEUR",$AA$10)</f>
        <v>K€</v>
      </c>
      <c r="H20" s="28"/>
      <c r="I20" s="241" t="str">
        <f ca="1">$F$17</f>
        <v>2016</v>
      </c>
      <c r="J20" s="241"/>
      <c r="K20" s="241"/>
      <c r="L20" s="29"/>
      <c r="M20" s="241" t="str">
        <f ca="1">_xll.DBRA(Server&amp;$AA$11,AA28,$AA$10)</f>
        <v>Variances</v>
      </c>
      <c r="N20" s="241"/>
      <c r="O20" s="241"/>
      <c r="P20" s="241"/>
      <c r="Q20" s="29"/>
      <c r="R20" s="51"/>
      <c r="S20" s="53"/>
      <c r="T20" s="53"/>
      <c r="U20" s="53"/>
      <c r="V20" s="53"/>
      <c r="W20" s="53"/>
      <c r="X20" s="53"/>
      <c r="Y20" s="53"/>
      <c r="Z20" s="53"/>
      <c r="AA20" s="73" t="s">
        <v>9</v>
      </c>
      <c r="AB20" s="118"/>
      <c r="AC20" s="53"/>
      <c r="AD20" s="81"/>
      <c r="AE20" s="53"/>
      <c r="AF20" s="53"/>
      <c r="AG20" s="53"/>
      <c r="AH20" s="53" t="str">
        <f>RIGHT(AE5)</f>
        <v/>
      </c>
      <c r="AI20" s="53"/>
      <c r="AJ20" s="53"/>
      <c r="AK20" s="53"/>
      <c r="AL20" s="53"/>
    </row>
    <row r="21" spans="1:46" ht="24" customHeight="1" thickBot="1" x14ac:dyDescent="0.25">
      <c r="B21" s="53"/>
      <c r="C21" s="118"/>
      <c r="D21" s="25"/>
      <c r="E21" s="1"/>
      <c r="F21" s="1"/>
      <c r="I21" s="242"/>
      <c r="J21" s="242"/>
      <c r="K21" s="242"/>
      <c r="L21" s="31"/>
      <c r="M21" s="242"/>
      <c r="N21" s="242"/>
      <c r="O21" s="242"/>
      <c r="P21" s="242"/>
      <c r="Q21" s="31"/>
      <c r="AA21" s="1"/>
      <c r="AB21" s="118"/>
      <c r="AC21" s="53"/>
      <c r="AD21" s="81"/>
      <c r="AE21" s="53"/>
      <c r="AF21" s="53"/>
      <c r="AG21" s="53"/>
      <c r="AH21" s="53"/>
    </row>
    <row r="22" spans="1:46" ht="19.5" customHeight="1" thickTop="1" x14ac:dyDescent="0.2">
      <c r="B22" s="53"/>
      <c r="C22" s="119"/>
      <c r="D22" s="25"/>
      <c r="E22" s="32"/>
      <c r="F22" s="32"/>
      <c r="H22" s="5"/>
      <c r="I22" s="238" t="str">
        <f ca="1">IF($E$2=$AB$12,_xll.DBRA(Server&amp;AA11,AA59,AA10),_xll.DBRA(Server&amp;AA11,AA60,AA10))</f>
        <v>Réalisé N-2</v>
      </c>
      <c r="J22" s="238" t="str">
        <f ca="1">IF($F$23=$AB$12,_xll.DBRA(Server&amp;$AA$11,$AA$55,$AA$10),_xll.DBRA(Server&amp;$G$1,$J$1,$AA$10))</f>
        <v>Estimé 2 N-1</v>
      </c>
      <c r="K22" s="243" t="str">
        <f ca="1">_xll.DBRA(Server&amp;$G$1,$K$1,$AA$10)</f>
        <v>Budget</v>
      </c>
      <c r="L22" s="33"/>
      <c r="M22" s="237" t="str">
        <f ca="1">$K$22&amp;" / "&amp;$I$22</f>
        <v>Budget / Réalisé N-2</v>
      </c>
      <c r="N22" s="238"/>
      <c r="O22" s="238" t="str">
        <f ca="1">_xll.DBRA(Server&amp;$AA$11,AA26,$AA$10)</f>
        <v>Variance</v>
      </c>
      <c r="P22" s="243" t="str">
        <f ca="1">$K$22&amp;" / "&amp;$J$22</f>
        <v>Budget / Estimé 2 N-1</v>
      </c>
      <c r="Q22" s="33"/>
      <c r="AA22" s="66" t="s">
        <v>0</v>
      </c>
      <c r="AB22" s="118"/>
      <c r="AC22" s="53"/>
      <c r="AD22" s="81"/>
      <c r="AE22" s="53"/>
      <c r="AF22" s="53"/>
      <c r="AG22" s="53"/>
      <c r="AH22" s="53"/>
      <c r="AM22" s="6"/>
      <c r="AN22" s="6"/>
      <c r="AO22" s="6"/>
      <c r="AP22" s="6"/>
      <c r="AQ22" s="6"/>
      <c r="AR22" s="6"/>
      <c r="AS22" s="6"/>
      <c r="AT22" s="6"/>
    </row>
    <row r="23" spans="1:46" s="7" customFormat="1" ht="19.5" thickBot="1" x14ac:dyDescent="0.25">
      <c r="A23" s="23"/>
      <c r="B23" s="53"/>
      <c r="C23" s="120"/>
      <c r="D23" s="1"/>
      <c r="E23" s="30" t="str">
        <f ca="1">_xll.DBRA(Server&amp;$AA$11,$AA$22,$AA$10)</f>
        <v>Phase</v>
      </c>
      <c r="F23" s="63" t="s">
        <v>53</v>
      </c>
      <c r="H23" s="34"/>
      <c r="I23" s="240"/>
      <c r="J23" s="240"/>
      <c r="K23" s="244"/>
      <c r="L23" s="35"/>
      <c r="M23" s="239"/>
      <c r="N23" s="240"/>
      <c r="O23" s="240"/>
      <c r="P23" s="244"/>
      <c r="Q23" s="35"/>
      <c r="R23" s="23"/>
      <c r="S23" s="23"/>
      <c r="T23" s="23"/>
      <c r="U23" s="23"/>
      <c r="V23" s="23"/>
      <c r="W23" s="23"/>
      <c r="X23" s="23"/>
      <c r="Y23" s="23"/>
      <c r="Z23" s="23"/>
      <c r="AA23" s="67" t="s">
        <v>53</v>
      </c>
      <c r="AB23" s="83"/>
      <c r="AC23" s="53"/>
      <c r="AD23" s="84"/>
      <c r="AH23" s="53"/>
      <c r="AI23" s="23"/>
      <c r="AJ23" s="23"/>
      <c r="AK23" s="23"/>
      <c r="AL23" s="23"/>
    </row>
    <row r="24" spans="1:46" s="7" customFormat="1" ht="13.5" customHeight="1" x14ac:dyDescent="0.25">
      <c r="A24" s="23"/>
      <c r="B24" s="53"/>
      <c r="C24" s="121" t="s">
        <v>78</v>
      </c>
      <c r="D24" s="1"/>
      <c r="G24" s="36"/>
      <c r="H24" s="37"/>
      <c r="I24" s="38"/>
      <c r="J24" s="38"/>
      <c r="K24" s="38"/>
      <c r="L24" s="35"/>
      <c r="M24" s="35"/>
      <c r="N24" s="35"/>
      <c r="O24" s="35"/>
      <c r="P24" s="35"/>
      <c r="Q24" s="35"/>
      <c r="R24" s="23"/>
      <c r="S24" s="23"/>
      <c r="T24" s="23"/>
      <c r="U24" s="23"/>
      <c r="V24" s="23"/>
      <c r="W24" s="23"/>
      <c r="X24" s="23"/>
      <c r="Y24" s="23"/>
      <c r="Z24" s="23"/>
      <c r="AA24" s="67" t="s">
        <v>54</v>
      </c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46" s="9" customFormat="1" ht="24.95" customHeight="1" thickBot="1" x14ac:dyDescent="0.4">
      <c r="A25" s="23"/>
      <c r="B25" s="53"/>
      <c r="C25" s="122" t="s">
        <v>176</v>
      </c>
      <c r="D25" s="1"/>
      <c r="E25" s="234" t="str">
        <f ca="1">_xll.DBRA(Server&amp;$C$24,$C25,$F$15)</f>
        <v>PRODUITS OPERATIONNELS (yc autres refac)</v>
      </c>
      <c r="F25" s="234"/>
      <c r="G25" s="234"/>
      <c r="H25" s="39"/>
      <c r="I25" s="206">
        <f ca="1">_xll.DBRW(Server&amp;Cube1,$F$20,$F$13,$F$14,$F$19,$C$18,$F$16,$F$18,$C$19,$I$2,I$1,$C25)</f>
        <v>23061.982819999994</v>
      </c>
      <c r="J25" s="206">
        <f ca="1">_xll.DBRW(Server&amp;Cube1,$F$20,$F$13,$F$14,$F$19,$C$18,$F$16,$F$18,$C$19,$J$2,J$1,$C25)</f>
        <v>21766.087299999999</v>
      </c>
      <c r="K25" s="207">
        <f ca="1">_xll.DBRW(Server&amp;Cube1,$F$20,$F$13,$F$14,$F$19,$C$18,$F$16,$F$18,$C$19,$K$2,K$1,$C25)</f>
        <v>24638.796570000002</v>
      </c>
      <c r="L25" s="165"/>
      <c r="M25" s="208">
        <f ca="1">$K25-$I25</f>
        <v>1576.8137500000084</v>
      </c>
      <c r="N25" s="209">
        <f ca="1">IF($I25=0,0,IF($I25&lt;0,$M25/-$I25,$M25/$I25))</f>
        <v>6.8372861184882672E-2</v>
      </c>
      <c r="O25" s="115" t="str">
        <f t="shared" ref="O25:O30" ca="1" si="0">IF(N25&gt;0.01,$AC$29,IF(N25&lt;-0.01,$AD$29,$AE$29))</f>
        <v>ì</v>
      </c>
      <c r="P25" s="208">
        <f ca="1">$K25-$J25</f>
        <v>2872.709270000003</v>
      </c>
      <c r="Q25" s="134"/>
      <c r="R25" s="23"/>
      <c r="S25" s="23"/>
      <c r="T25" s="23"/>
      <c r="U25" s="23"/>
      <c r="V25" s="23"/>
      <c r="W25" s="23"/>
      <c r="X25" s="23"/>
      <c r="Y25" s="23"/>
      <c r="Z25" s="23"/>
      <c r="AA25" s="67" t="s">
        <v>55</v>
      </c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46" s="9" customFormat="1" ht="24.75" customHeight="1" thickBot="1" x14ac:dyDescent="0.4">
      <c r="A26" s="23"/>
      <c r="B26" s="53"/>
      <c r="C26" s="122" t="s">
        <v>175</v>
      </c>
      <c r="D26" s="1"/>
      <c r="E26" s="235" t="str">
        <f ca="1">_xll.DBRA(Server&amp;$C$24,$C26,$F$15)</f>
        <v>PRODUIT DES ACTIVITES ORDINAIRES (yc PMAD)</v>
      </c>
      <c r="F26" s="235"/>
      <c r="G26" s="235"/>
      <c r="H26" s="39"/>
      <c r="I26" s="166">
        <f ca="1">_xll.DBRW(Server&amp;Cube1,$F$20,$F$13,$F$14,$F$19,$C$18,$F$16,$F$18,$C$19,$I$2,I$1,$C26)</f>
        <v>11636.829830000001</v>
      </c>
      <c r="J26" s="166">
        <f ca="1">_xll.DBRW(Server&amp;Cube1,$F$20,$F$13,$F$14,$F$19,$C$18,$F$16,$F$18,$C$19,$J$2,J$1,$C26)</f>
        <v>12109.599830000003</v>
      </c>
      <c r="K26" s="167">
        <f ca="1">_xll.DBRW(Server&amp;Cube1,$F$20,$F$13,$F$14,$F$19,$C$18,$F$16,$F$18,$C$19,$K$2,K$1,$C26)</f>
        <v>15751.137319999998</v>
      </c>
      <c r="L26" s="168"/>
      <c r="M26" s="169">
        <f t="shared" ref="M26:M92" ca="1" si="1">$K26-$I26</f>
        <v>4114.3074899999974</v>
      </c>
      <c r="N26" s="191">
        <f t="shared" ref="N26:N92" ca="1" si="2">IF($I26=0,0,IF($I26&lt;0,$M26/-$I26,$M26/$I26))</f>
        <v>0.3535591350999413</v>
      </c>
      <c r="O26" s="115" t="str">
        <f t="shared" ca="1" si="0"/>
        <v>ì</v>
      </c>
      <c r="P26" s="169">
        <f t="shared" ref="P26:P92" ca="1" si="3">$K26-$J26</f>
        <v>3641.5374899999952</v>
      </c>
      <c r="Q26" s="134"/>
      <c r="R26" s="23"/>
      <c r="S26" s="23"/>
      <c r="T26" s="23"/>
      <c r="U26" s="23"/>
      <c r="V26" s="23"/>
      <c r="W26" s="23"/>
      <c r="X26" s="23"/>
      <c r="Y26" s="23"/>
      <c r="Z26" s="23"/>
      <c r="AA26" s="75" t="s">
        <v>50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46" s="9" customFormat="1" ht="24.95" customHeight="1" thickBot="1" x14ac:dyDescent="0.4">
      <c r="A27" s="53"/>
      <c r="B27" s="53"/>
      <c r="C27" s="123" t="s">
        <v>177</v>
      </c>
      <c r="D27" s="1"/>
      <c r="E27" s="236" t="str">
        <f ca="1">_xll.DBRA(Server&amp;$C$24,$C27,$F$15)</f>
        <v>Facturation PMAD</v>
      </c>
      <c r="F27" s="236"/>
      <c r="G27" s="236"/>
      <c r="H27" s="39"/>
      <c r="I27" s="170">
        <f ca="1">_xll.DBRW(Server&amp;Cube1,$F$20,$F$13,$F$14,$F$19,$C$18,$F$16,$F$18,$C$19,$I$2,I$1,$C27)</f>
        <v>6104.0684300000003</v>
      </c>
      <c r="J27" s="170">
        <f ca="1">_xll.DBRW(Server&amp;Cube1,$F$20,$F$13,$F$14,$F$19,$C$18,$F$16,$F$18,$C$19,$J$2,J$1,$C27)</f>
        <v>6249.8600399999996</v>
      </c>
      <c r="K27" s="167">
        <f ca="1">_xll.DBRW(Server&amp;Cube1,$F$20,$F$13,$F$14,$F$19,$C$18,$F$16,$F$18,$C$19,$K$2,K$1,$C27)</f>
        <v>10107.909349999998</v>
      </c>
      <c r="L27" s="171"/>
      <c r="M27" s="172">
        <f t="shared" ca="1" si="1"/>
        <v>4003.8409199999978</v>
      </c>
      <c r="N27" s="192">
        <f t="shared" ca="1" si="2"/>
        <v>0.65592988773227068</v>
      </c>
      <c r="O27" s="115" t="str">
        <f t="shared" ca="1" si="0"/>
        <v>ì</v>
      </c>
      <c r="P27" s="172">
        <f t="shared" ca="1" si="3"/>
        <v>3858.0493099999985</v>
      </c>
      <c r="Q27" s="134"/>
      <c r="R27" s="53"/>
      <c r="S27" s="53"/>
      <c r="T27" s="53"/>
      <c r="U27" s="53"/>
      <c r="V27" s="53"/>
      <c r="W27" s="53"/>
      <c r="X27" s="53"/>
      <c r="Y27" s="53"/>
      <c r="Z27" s="53"/>
      <c r="AA27" s="69" t="s">
        <v>28</v>
      </c>
      <c r="AB27" s="53"/>
      <c r="AC27" s="245" t="s">
        <v>59</v>
      </c>
      <c r="AD27" s="246"/>
      <c r="AE27" s="247"/>
      <c r="AF27" s="53"/>
      <c r="AG27" s="53"/>
      <c r="AH27" s="53"/>
      <c r="AI27" s="53"/>
      <c r="AJ27" s="53"/>
      <c r="AK27" s="53"/>
      <c r="AL27" s="53"/>
    </row>
    <row r="28" spans="1:46" s="9" customFormat="1" ht="24.95" customHeight="1" thickBot="1" x14ac:dyDescent="0.4">
      <c r="A28" s="23"/>
      <c r="B28" s="53"/>
      <c r="C28" s="123" t="s">
        <v>178</v>
      </c>
      <c r="D28" s="1"/>
      <c r="E28" s="236" t="str">
        <f ca="1">_xll.DBRA(Server&amp;$C$24,$C28,$F$15)</f>
        <v>Refacturation des charges de loyer (RC)</v>
      </c>
      <c r="F28" s="236"/>
      <c r="G28" s="236"/>
      <c r="H28" s="39"/>
      <c r="I28" s="170">
        <f ca="1">_xll.DBRW(Server&amp;Cube1,$F$20,$F$13,$F$14,$F$19,$C$18,$F$16,$F$18,$C$19,$I$2,I$1,$C28)</f>
        <v>5142.9920000000002</v>
      </c>
      <c r="J28" s="170">
        <f ca="1">_xll.DBRW(Server&amp;Cube1,$F$20,$F$13,$F$14,$F$19,$C$18,$F$16,$F$18,$C$19,$J$2,J$1,$C28)</f>
        <v>5527.8739999999998</v>
      </c>
      <c r="K28" s="167">
        <f ca="1">_xll.DBRW(Server&amp;Cube1,$F$20,$F$13,$F$14,$F$19,$C$18,$F$16,$F$18,$C$19,$K$2,K$1,$C28)</f>
        <v>5525.2279699999999</v>
      </c>
      <c r="L28" s="171"/>
      <c r="M28" s="172">
        <f t="shared" ca="1" si="1"/>
        <v>382.23596999999972</v>
      </c>
      <c r="N28" s="192">
        <f t="shared" ca="1" si="2"/>
        <v>7.4321711952886518E-2</v>
      </c>
      <c r="O28" s="115" t="str">
        <f t="shared" ca="1" si="0"/>
        <v>ì</v>
      </c>
      <c r="P28" s="172">
        <f t="shared" ca="1" si="3"/>
        <v>-2.6460299999998824</v>
      </c>
      <c r="Q28" s="134"/>
      <c r="R28" s="23"/>
      <c r="S28" s="23"/>
      <c r="T28" s="23"/>
      <c r="U28" s="23"/>
      <c r="V28" s="23"/>
      <c r="W28" s="23"/>
      <c r="X28" s="23"/>
      <c r="Y28" s="23"/>
      <c r="Z28" s="23"/>
      <c r="AA28" s="69" t="s">
        <v>28</v>
      </c>
      <c r="AB28" s="23"/>
      <c r="AC28" s="245" t="s">
        <v>59</v>
      </c>
      <c r="AD28" s="246"/>
      <c r="AE28" s="247"/>
      <c r="AF28" s="23"/>
      <c r="AG28" s="23"/>
      <c r="AH28" s="23"/>
      <c r="AI28" s="23"/>
      <c r="AJ28" s="23"/>
      <c r="AK28" s="23"/>
      <c r="AL28" s="23"/>
    </row>
    <row r="29" spans="1:46" s="9" customFormat="1" ht="24.95" customHeight="1" thickBot="1" x14ac:dyDescent="0.4">
      <c r="A29" s="23"/>
      <c r="B29" s="53"/>
      <c r="C29" s="123" t="s">
        <v>179</v>
      </c>
      <c r="D29" s="1"/>
      <c r="E29" s="236" t="str">
        <f ca="1">_xll.DBRA(Server&amp;$C$24,$C29,$F$15)</f>
        <v>Autres prestations de services</v>
      </c>
      <c r="F29" s="236"/>
      <c r="G29" s="236"/>
      <c r="H29" s="39"/>
      <c r="I29" s="170">
        <f ca="1">_xll.DBRW(Server&amp;Cube1,$F$20,$F$13,$F$14,$F$19,$C$18,$F$16,$F$18,$C$19,$I$2,I$1,$C29)</f>
        <v>389.76940000000002</v>
      </c>
      <c r="J29" s="170">
        <f ca="1">_xll.DBRW(Server&amp;Cube1,$F$20,$F$13,$F$14,$F$19,$C$18,$F$16,$F$18,$C$19,$J$2,J$1,$C29)</f>
        <v>331.86579000000006</v>
      </c>
      <c r="K29" s="167">
        <f ca="1">_xll.DBRW(Server&amp;Cube1,$F$20,$F$13,$F$14,$F$19,$C$18,$F$16,$F$18,$C$19,$K$2,K$1,$C29)</f>
        <v>117.99999999999997</v>
      </c>
      <c r="L29" s="171"/>
      <c r="M29" s="172">
        <f t="shared" ca="1" si="1"/>
        <v>-271.76940000000002</v>
      </c>
      <c r="N29" s="192">
        <f t="shared" ca="1" si="2"/>
        <v>-0.69725689086931919</v>
      </c>
      <c r="O29" s="115" t="str">
        <f t="shared" ca="1" si="0"/>
        <v>î</v>
      </c>
      <c r="P29" s="172">
        <f t="shared" ca="1" si="3"/>
        <v>-213.86579000000009</v>
      </c>
      <c r="Q29" s="134"/>
      <c r="R29" s="23"/>
      <c r="S29" s="23"/>
      <c r="T29" s="23"/>
      <c r="U29" s="23"/>
      <c r="V29" s="23"/>
      <c r="W29" s="23"/>
      <c r="X29" s="23"/>
      <c r="Y29" s="23"/>
      <c r="Z29" s="23"/>
      <c r="AA29" s="66" t="s">
        <v>153</v>
      </c>
      <c r="AB29" s="23"/>
      <c r="AC29" s="85" t="s">
        <v>60</v>
      </c>
      <c r="AD29" s="85" t="s">
        <v>61</v>
      </c>
      <c r="AE29" s="85" t="s">
        <v>62</v>
      </c>
      <c r="AF29" s="23"/>
      <c r="AG29" s="23"/>
      <c r="AH29" s="23"/>
      <c r="AI29" s="23"/>
      <c r="AJ29" s="23"/>
      <c r="AK29" s="23"/>
      <c r="AL29" s="23"/>
    </row>
    <row r="30" spans="1:46" s="9" customFormat="1" ht="24.75" customHeight="1" x14ac:dyDescent="0.35">
      <c r="A30" s="53"/>
      <c r="B30" s="53"/>
      <c r="C30" s="122" t="s">
        <v>180</v>
      </c>
      <c r="D30" s="1"/>
      <c r="E30" s="235" t="str">
        <f ca="1">_xll.DBRA(Server&amp;$C$24,$C30,$F$15)</f>
        <v>Prestations de service intra-groupe (hors PMAD)</v>
      </c>
      <c r="F30" s="235"/>
      <c r="G30" s="235"/>
      <c r="H30" s="39"/>
      <c r="I30" s="166">
        <f ca="1">_xll.DBRW(Server&amp;Cube1,$F$20,$F$13,$F$14,$F$19,$C$18,$F$16,$F$18,$C$19,$I$2,I$1,$C30)</f>
        <v>11425.152990000001</v>
      </c>
      <c r="J30" s="166">
        <f ca="1">_xll.DBRW(Server&amp;Cube1,$F$20,$F$13,$F$14,$F$19,$C$18,$F$16,$F$18,$C$19,$J$2,J$1,$C30)</f>
        <v>9656.4874699999982</v>
      </c>
      <c r="K30" s="167">
        <f ca="1">_xll.DBRW(Server&amp;Cube1,$F$20,$F$13,$F$14,$F$19,$C$18,$F$16,$F$18,$C$19,$K$2,K$1,$C30)</f>
        <v>8887.6592500000006</v>
      </c>
      <c r="L30" s="168"/>
      <c r="M30" s="169">
        <f t="shared" ca="1" si="1"/>
        <v>-2537.4937399999999</v>
      </c>
      <c r="N30" s="191">
        <f t="shared" ca="1" si="2"/>
        <v>-0.22209713447347018</v>
      </c>
      <c r="O30" s="115" t="str">
        <f t="shared" ca="1" si="0"/>
        <v>î</v>
      </c>
      <c r="P30" s="169">
        <f t="shared" ca="1" si="3"/>
        <v>-768.8282199999976</v>
      </c>
      <c r="Q30" s="134"/>
      <c r="R30" s="53"/>
      <c r="S30" s="53"/>
      <c r="T30" s="53"/>
      <c r="U30" s="53"/>
      <c r="V30" s="53"/>
      <c r="W30" s="53"/>
      <c r="X30" s="53"/>
      <c r="Y30" s="53"/>
      <c r="Z30" s="53"/>
      <c r="AA30" s="75" t="s">
        <v>50</v>
      </c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</row>
    <row r="31" spans="1:46" s="9" customFormat="1" ht="11.25" customHeight="1" thickBot="1" x14ac:dyDescent="0.4">
      <c r="A31" s="23"/>
      <c r="B31" s="53"/>
      <c r="C31" s="124"/>
      <c r="D31" s="103"/>
      <c r="E31" s="248"/>
      <c r="F31" s="248"/>
      <c r="G31" s="248"/>
      <c r="H31" s="104"/>
      <c r="I31" s="173"/>
      <c r="J31" s="173"/>
      <c r="K31" s="173"/>
      <c r="L31" s="173"/>
      <c r="M31" s="174"/>
      <c r="N31" s="193"/>
      <c r="O31" s="110"/>
      <c r="P31" s="174"/>
      <c r="Q31" s="132"/>
      <c r="R31" s="102"/>
      <c r="S31" s="23"/>
      <c r="T31" s="23"/>
      <c r="U31" s="23"/>
      <c r="V31" s="23"/>
      <c r="W31" s="23"/>
      <c r="X31" s="23"/>
      <c r="Y31" s="23"/>
      <c r="Z31" s="23"/>
      <c r="AA31" s="69" t="s">
        <v>49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46" s="9" customFormat="1" ht="24.95" customHeight="1" x14ac:dyDescent="0.35">
      <c r="A32" s="23"/>
      <c r="B32" s="53"/>
      <c r="C32" s="122" t="s">
        <v>79</v>
      </c>
      <c r="E32" s="249" t="str">
        <f ca="1">_xll.DBRA(Server&amp;$C$24,$C32,$F$15)</f>
        <v>CHARGES OPERATIONNELLES</v>
      </c>
      <c r="F32" s="249"/>
      <c r="G32" s="249"/>
      <c r="H32" s="39"/>
      <c r="I32" s="206">
        <f ca="1">_xll.DBRW(Server&amp;Cube1,$F$20,$F$13,$F$14,$F$19,$C$18,$F$16,$F$18,$C$19,$I$2,I$1,$C32)</f>
        <v>-65429.961510000023</v>
      </c>
      <c r="J32" s="206">
        <f ca="1">_xll.DBRW(Server&amp;Cube1,$F$20,$F$13,$F$14,$F$19,$C$18,$F$16,$F$18,$C$19,$J$2,J$1,$C32)</f>
        <v>-69916.339361333361</v>
      </c>
      <c r="K32" s="206">
        <f ca="1">_xll.DBRW(Server&amp;Cube1,$F$20,$F$13,$F$14,$F$19,$C$18,$F$16,$F$18,$C$19,$K$2,K$1,$C32)</f>
        <v>-73389.180770000006</v>
      </c>
      <c r="L32" s="165"/>
      <c r="M32" s="208">
        <f t="shared" ca="1" si="1"/>
        <v>-7959.2192599999835</v>
      </c>
      <c r="N32" s="209">
        <f t="shared" ca="1" si="2"/>
        <v>-0.12164487149795331</v>
      </c>
      <c r="O32" s="115" t="str">
        <f t="shared" ref="O32:O63" ca="1" si="4">IF(N32&gt;0.01,$AC$29,IF(N32&lt;-0.01,$AD$29,$AE$29))</f>
        <v>î</v>
      </c>
      <c r="P32" s="208">
        <f t="shared" ca="1" si="3"/>
        <v>-3472.8414086666453</v>
      </c>
      <c r="Q32" s="134"/>
      <c r="R32" s="23"/>
      <c r="S32" s="23"/>
      <c r="T32" s="23"/>
      <c r="U32" s="23"/>
      <c r="V32" s="23"/>
      <c r="W32" s="23"/>
      <c r="X32" s="23"/>
      <c r="Y32" s="23"/>
      <c r="Z32" s="23"/>
      <c r="AA32" s="76" t="s">
        <v>69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s="9" customFormat="1" ht="24.95" customHeight="1" thickBot="1" x14ac:dyDescent="0.4">
      <c r="A33" s="23"/>
      <c r="B33" s="53"/>
      <c r="C33" s="122" t="s">
        <v>80</v>
      </c>
      <c r="E33" s="250" t="str">
        <f ca="1">_xll.DBRA(Server&amp;$C$24,$C33,$F$15)</f>
        <v>Coûts externes</v>
      </c>
      <c r="F33" s="250"/>
      <c r="G33" s="250"/>
      <c r="H33" s="39"/>
      <c r="I33" s="211">
        <f ca="1">_xll.DBRW(Server&amp;Cube1,$F$20,$F$13,$F$14,$F$19,$C$18,$F$16,$F$18,$C$19,$I$2,I$1,$C33)</f>
        <v>-21970.290289999994</v>
      </c>
      <c r="J33" s="211">
        <f ca="1">_xll.DBRW(Server&amp;Cube1,$F$20,$F$13,$F$14,$F$19,$C$18,$F$16,$F$18,$C$19,$J$2,J$1,$C33)</f>
        <v>-27775.255868000007</v>
      </c>
      <c r="K33" s="211">
        <f ca="1">_xll.DBRW(Server&amp;Cube1,$F$20,$F$13,$F$14,$F$19,$C$18,$F$16,$F$18,$C$19,$K$2,K$1,$C33)</f>
        <v>-34644.563999999998</v>
      </c>
      <c r="L33" s="175"/>
      <c r="M33" s="212">
        <f t="shared" ca="1" si="1"/>
        <v>-12674.273710000005</v>
      </c>
      <c r="N33" s="213">
        <f t="shared" ca="1" si="2"/>
        <v>-0.57688239630446903</v>
      </c>
      <c r="O33" s="210" t="str">
        <f t="shared" ca="1" si="4"/>
        <v>î</v>
      </c>
      <c r="P33" s="212">
        <f t="shared" ca="1" si="3"/>
        <v>-6869.308131999991</v>
      </c>
      <c r="Q33" s="134"/>
      <c r="R33" s="23"/>
      <c r="S33" s="23"/>
      <c r="T33" s="23"/>
      <c r="U33" s="23"/>
      <c r="V33" s="23"/>
      <c r="W33" s="23"/>
      <c r="X33" s="23"/>
      <c r="Y33" s="23"/>
      <c r="Z33" s="23"/>
      <c r="AA33" s="76" t="s">
        <v>70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s="9" customFormat="1" ht="24.95" customHeight="1" x14ac:dyDescent="0.35">
      <c r="A34" s="23"/>
      <c r="B34" s="53"/>
      <c r="C34" s="122" t="s">
        <v>81</v>
      </c>
      <c r="E34" s="251" t="str">
        <f ca="1">_xll.DBRA(Server&amp;$C$24,$C34,$F$15)</f>
        <v>Coûts admin. et informatique</v>
      </c>
      <c r="F34" s="251"/>
      <c r="G34" s="251"/>
      <c r="H34" s="39"/>
      <c r="I34" s="176">
        <f ca="1">_xll.DBRW(Server&amp;Cube1,$F$20,$F$13,$F$14,$F$19,$C$18,$F$16,$F$18,$C$19,$I$2,I$1,$C34)</f>
        <v>-1477.8688599999998</v>
      </c>
      <c r="J34" s="176">
        <f ca="1">_xll.DBRW(Server&amp;Cube1,$F$20,$F$13,$F$14,$F$19,$C$18,$F$16,$F$18,$C$19,$J$2,J$1,$C34)</f>
        <v>-2069.6450200000004</v>
      </c>
      <c r="K34" s="167">
        <f ca="1">_xll.DBRW(Server&amp;Cube1,$F$20,$F$13,$F$14,$F$19,$C$18,$F$16,$F$18,$C$19,$K$2,K$1,$C34)</f>
        <v>-1509.32</v>
      </c>
      <c r="L34" s="168"/>
      <c r="M34" s="177">
        <f t="shared" ca="1" si="1"/>
        <v>-31.451140000000123</v>
      </c>
      <c r="N34" s="194">
        <f t="shared" ca="1" si="2"/>
        <v>-2.1281414644598526E-2</v>
      </c>
      <c r="O34" s="115" t="str">
        <f t="shared" ca="1" si="4"/>
        <v>î</v>
      </c>
      <c r="P34" s="177">
        <f t="shared" ca="1" si="3"/>
        <v>560.32502000000045</v>
      </c>
      <c r="Q34" s="135"/>
      <c r="R34" s="23"/>
      <c r="S34" s="23"/>
      <c r="T34" s="23"/>
      <c r="U34" s="23"/>
      <c r="V34" s="23"/>
      <c r="W34" s="23"/>
      <c r="X34" s="23"/>
      <c r="Y34" s="23"/>
      <c r="Z34" s="23"/>
      <c r="AA34" s="101" t="s">
        <v>75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s="9" customFormat="1" ht="24.95" customHeight="1" outlineLevel="1" x14ac:dyDescent="0.35">
      <c r="A35" s="23"/>
      <c r="B35" s="53"/>
      <c r="C35" s="123" t="s">
        <v>86</v>
      </c>
      <c r="E35" s="252" t="str">
        <f ca="1">_xll.DBRA(Server&amp;$C$24,$C35,$F$15)</f>
        <v>Documentation</v>
      </c>
      <c r="F35" s="252"/>
      <c r="G35" s="252"/>
      <c r="H35" s="39"/>
      <c r="I35" s="178">
        <f ca="1">_xll.DBRW(Server&amp;Cube1,$F$20,$F$13,$F$14,$F$19,$C$18,$F$16,$F$18,$C$19,$I$2,I$1,$C35)</f>
        <v>-131.27575000000002</v>
      </c>
      <c r="J35" s="178">
        <f ca="1">_xll.DBRW(Server&amp;Cube1,$F$20,$F$13,$F$14,$F$19,$C$18,$F$16,$F$18,$C$19,$J$2,J$1,$C35)</f>
        <v>-107.49765000000001</v>
      </c>
      <c r="K35" s="167">
        <f ca="1">_xll.DBRW(Server&amp;Cube1,$F$20,$F$13,$F$14,$F$19,$C$18,$F$16,$F$18,$C$19,$K$2,K$1,$C35)</f>
        <v>-6</v>
      </c>
      <c r="L35" s="168"/>
      <c r="M35" s="179">
        <f t="shared" ca="1" si="1"/>
        <v>125.27575000000002</v>
      </c>
      <c r="N35" s="195">
        <f t="shared" ca="1" si="2"/>
        <v>0.95429468123396743</v>
      </c>
      <c r="O35" s="115" t="str">
        <f t="shared" ca="1" si="4"/>
        <v>ì</v>
      </c>
      <c r="P35" s="179">
        <f t="shared" ca="1" si="3"/>
        <v>101.49765000000001</v>
      </c>
      <c r="Q35" s="135"/>
      <c r="R35" s="23"/>
      <c r="S35" s="23"/>
      <c r="T35" s="23"/>
      <c r="U35" s="23"/>
      <c r="V35" s="23"/>
      <c r="W35" s="23"/>
      <c r="X35" s="23"/>
      <c r="Y35" s="23"/>
      <c r="Z35" s="23"/>
      <c r="AA35" s="76" t="s">
        <v>76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s="9" customFormat="1" ht="24.95" customHeight="1" outlineLevel="1" thickBot="1" x14ac:dyDescent="0.4">
      <c r="A36" s="23"/>
      <c r="B36" s="53"/>
      <c r="C36" s="123" t="s">
        <v>83</v>
      </c>
      <c r="E36" s="252" t="str">
        <f ca="1">_xll.DBRA(Server&amp;$C$24,$C36,$F$15)</f>
        <v>Fournitures de bureau et autres consommables</v>
      </c>
      <c r="F36" s="252"/>
      <c r="G36" s="252"/>
      <c r="H36" s="39"/>
      <c r="I36" s="178">
        <f ca="1">_xll.DBRW(Server&amp;Cube1,$F$20,$F$13,$F$14,$F$19,$C$18,$F$16,$F$18,$C$19,$I$2,I$1,$C36)</f>
        <v>-228.28738000000001</v>
      </c>
      <c r="J36" s="178">
        <f ca="1">_xll.DBRW(Server&amp;Cube1,$F$20,$F$13,$F$14,$F$19,$C$18,$F$16,$F$18,$C$19,$J$2,J$1,$C36)</f>
        <v>-435.88671000000016</v>
      </c>
      <c r="K36" s="167">
        <f ca="1">_xll.DBRW(Server&amp;Cube1,$F$20,$F$13,$F$14,$F$19,$C$18,$F$16,$F$18,$C$19,$K$2,K$1,$C36)</f>
        <v>-396.5</v>
      </c>
      <c r="L36" s="168"/>
      <c r="M36" s="179">
        <f t="shared" ca="1" si="1"/>
        <v>-168.21261999999999</v>
      </c>
      <c r="N36" s="195">
        <f ca="1">IF($I36=0,0,IF($I36&lt;0,$M36/-$I36,$M36/$I36))</f>
        <v>-0.73684590011064111</v>
      </c>
      <c r="O36" s="115" t="str">
        <f t="shared" ca="1" si="4"/>
        <v>î</v>
      </c>
      <c r="P36" s="179">
        <f t="shared" ca="1" si="3"/>
        <v>39.386710000000164</v>
      </c>
      <c r="Q36" s="135"/>
      <c r="R36" s="23"/>
      <c r="S36" s="23"/>
      <c r="T36" s="23"/>
      <c r="U36" s="23"/>
      <c r="V36" s="23"/>
      <c r="W36" s="23"/>
      <c r="X36" s="23"/>
      <c r="Y36" s="23"/>
      <c r="Z36" s="23"/>
      <c r="AA36" s="77" t="s">
        <v>77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s="9" customFormat="1" ht="24.95" customHeight="1" outlineLevel="1" x14ac:dyDescent="0.35">
      <c r="A37" s="23"/>
      <c r="B37" s="53"/>
      <c r="C37" s="123" t="s">
        <v>84</v>
      </c>
      <c r="E37" s="252" t="str">
        <f ca="1">_xll.DBRA(Server&amp;$C$24,$C37,$F$15)</f>
        <v>Location et entretien de matériel de bureau et informatique</v>
      </c>
      <c r="F37" s="252"/>
      <c r="G37" s="252"/>
      <c r="H37" s="39"/>
      <c r="I37" s="178">
        <f ca="1">_xll.DBRW(Server&amp;Cube1,$F$20,$F$13,$F$14,$F$19,$C$18,$F$16,$F$18,$C$19,$I$2,I$1,$C37)</f>
        <v>-865.22108000000003</v>
      </c>
      <c r="J37" s="178">
        <f ca="1">_xll.DBRW(Server&amp;Cube1,$F$20,$F$13,$F$14,$F$19,$C$18,$F$16,$F$18,$C$19,$J$2,J$1,$C37)</f>
        <v>-1127.0718299999999</v>
      </c>
      <c r="K37" s="167">
        <f ca="1">_xll.DBRW(Server&amp;Cube1,$F$20,$F$13,$F$14,$F$19,$C$18,$F$16,$F$18,$C$19,$K$2,K$1,$C37)</f>
        <v>-677.34</v>
      </c>
      <c r="L37" s="168"/>
      <c r="M37" s="179">
        <f t="shared" ca="1" si="1"/>
        <v>187.88108</v>
      </c>
      <c r="N37" s="195">
        <f t="shared" ca="1" si="2"/>
        <v>0.21714806116374324</v>
      </c>
      <c r="O37" s="115" t="str">
        <f t="shared" ca="1" si="4"/>
        <v>ì</v>
      </c>
      <c r="P37" s="179">
        <f t="shared" ca="1" si="3"/>
        <v>449.73182999999983</v>
      </c>
      <c r="Q37" s="135"/>
      <c r="R37" s="23"/>
      <c r="S37" s="23"/>
      <c r="T37" s="23"/>
      <c r="U37" s="23"/>
      <c r="V37" s="23"/>
      <c r="W37" s="23"/>
      <c r="X37" s="23"/>
      <c r="Y37" s="23"/>
      <c r="Z37" s="23"/>
      <c r="AA37" s="66" t="s">
        <v>47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ht="21" customHeight="1" outlineLevel="1" x14ac:dyDescent="0.3">
      <c r="B38" s="53"/>
      <c r="C38" s="123" t="s">
        <v>85</v>
      </c>
      <c r="D38" s="25"/>
      <c r="E38" s="252" t="str">
        <f ca="1">_xll.DBRA(Server&amp;$C$24,$C38,$F$15)</f>
        <v>Entretien et Réparation Immobilier</v>
      </c>
      <c r="F38" s="252"/>
      <c r="G38" s="252"/>
      <c r="H38" s="60"/>
      <c r="I38" s="178">
        <f ca="1">_xll.DBRW(Server&amp;Cube1,$F$20,$F$13,$F$14,$F$19,$C$18,$F$16,$F$18,$C$19,$I$2,I$1,$C38)</f>
        <v>-151.07261</v>
      </c>
      <c r="J38" s="178">
        <f ca="1">_xll.DBRW(Server&amp;Cube1,$F$20,$F$13,$F$14,$F$19,$C$18,$F$16,$F$18,$C$19,$J$2,J$1,$C38)</f>
        <v>-299.68599999999998</v>
      </c>
      <c r="K38" s="167">
        <f ca="1">_xll.DBRW(Server&amp;Cube1,$F$20,$F$13,$F$14,$F$19,$C$18,$F$16,$F$18,$C$19,$K$2,K$1,$C38)</f>
        <v>-329.93000000000006</v>
      </c>
      <c r="L38" s="168"/>
      <c r="M38" s="179">
        <f t="shared" ca="1" si="1"/>
        <v>-178.85739000000007</v>
      </c>
      <c r="N38" s="195">
        <f t="shared" ca="1" si="2"/>
        <v>-1.1839167271949567</v>
      </c>
      <c r="O38" s="115" t="str">
        <f t="shared" ca="1" si="4"/>
        <v>î</v>
      </c>
      <c r="P38" s="179">
        <f t="shared" ca="1" si="3"/>
        <v>-30.244000000000085</v>
      </c>
      <c r="Q38" s="135"/>
      <c r="AA38" s="68" t="s">
        <v>48</v>
      </c>
    </row>
    <row r="39" spans="1:38" ht="23.25" outlineLevel="1" thickBot="1" x14ac:dyDescent="0.35">
      <c r="A39" s="53"/>
      <c r="B39" s="53"/>
      <c r="C39" s="123" t="s">
        <v>82</v>
      </c>
      <c r="D39" s="25"/>
      <c r="E39" s="252" t="str">
        <f ca="1">_xll.DBRA(Server&amp;$C$24,$C39,$F$15)</f>
        <v>Frais postaux</v>
      </c>
      <c r="F39" s="252"/>
      <c r="G39" s="252"/>
      <c r="H39" s="42"/>
      <c r="I39" s="178">
        <f ca="1">_xll.DBRW(Server&amp;Cube1,$F$20,$F$13,$F$14,$F$19,$C$18,$F$16,$F$18,$C$19,$I$2,I$1,$C39)</f>
        <v>-102.01203999999998</v>
      </c>
      <c r="J39" s="178">
        <f ca="1">_xll.DBRW(Server&amp;Cube1,$F$20,$F$13,$F$14,$F$19,$C$18,$F$16,$F$18,$C$19,$J$2,J$1,$C39)</f>
        <v>-99.502829999999989</v>
      </c>
      <c r="K39" s="167">
        <f ca="1">_xll.DBRW(Server&amp;Cube1,$F$20,$F$13,$F$14,$F$19,$C$18,$F$16,$F$18,$C$19,$K$2,K$1,$C39)</f>
        <v>-99.549999999999983</v>
      </c>
      <c r="L39" s="168"/>
      <c r="M39" s="179">
        <f t="shared" ca="1" si="1"/>
        <v>2.4620400000000018</v>
      </c>
      <c r="N39" s="195">
        <f t="shared" ca="1" si="2"/>
        <v>2.4134798206172547E-2</v>
      </c>
      <c r="O39" s="115" t="str">
        <f t="shared" ca="1" si="4"/>
        <v>ì</v>
      </c>
      <c r="P39" s="179">
        <f t="shared" ca="1" si="3"/>
        <v>-4.7169999999994161E-2</v>
      </c>
      <c r="Q39" s="135"/>
      <c r="R39" s="53"/>
      <c r="S39" s="53"/>
      <c r="T39" s="53"/>
      <c r="U39" s="53"/>
      <c r="V39" s="53"/>
      <c r="W39" s="53"/>
      <c r="X39" s="53"/>
      <c r="Y39" s="53"/>
      <c r="Z39" s="53"/>
      <c r="AA39" s="69" t="s">
        <v>147</v>
      </c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</row>
    <row r="40" spans="1:38" s="9" customFormat="1" ht="24.95" customHeight="1" x14ac:dyDescent="0.35">
      <c r="A40" s="53"/>
      <c r="B40" s="53"/>
      <c r="C40" s="122" t="s">
        <v>87</v>
      </c>
      <c r="E40" s="251" t="str">
        <f ca="1">_xll.DBRA(Server&amp;$C$24,$C40,$F$15)</f>
        <v>Coûts externes de la Direction</v>
      </c>
      <c r="F40" s="251"/>
      <c r="G40" s="251"/>
      <c r="H40" s="39"/>
      <c r="I40" s="176">
        <f ca="1">_xll.DBRW(Server&amp;Cube1,$F$20,$F$13,$F$14,$F$19,$C$18,$F$16,$F$18,$C$19,$I$2,I$1,$C40)</f>
        <v>-20492.421430000002</v>
      </c>
      <c r="J40" s="176">
        <f ca="1">_xll.DBRW(Server&amp;Cube1,$F$20,$F$13,$F$14,$F$19,$C$18,$F$16,$F$18,$C$19,$J$2,J$1,$C40)</f>
        <v>-25705.610848</v>
      </c>
      <c r="K40" s="167">
        <f ca="1">_xll.DBRW(Server&amp;Cube1,$F$20,$F$13,$F$14,$F$19,$C$18,$F$16,$F$18,$C$19,$K$2,K$1,$C40)</f>
        <v>-33135.243999999999</v>
      </c>
      <c r="L40" s="168"/>
      <c r="M40" s="177">
        <f t="shared" ca="1" si="1"/>
        <v>-12642.822569999997</v>
      </c>
      <c r="N40" s="194">
        <f t="shared" ca="1" si="2"/>
        <v>-0.61695113060145546</v>
      </c>
      <c r="O40" s="115" t="str">
        <f t="shared" ca="1" si="4"/>
        <v>î</v>
      </c>
      <c r="P40" s="177">
        <f t="shared" ca="1" si="3"/>
        <v>-7429.6331519999985</v>
      </c>
      <c r="Q40" s="135"/>
      <c r="R40" s="53"/>
      <c r="S40" s="53"/>
      <c r="T40" s="53"/>
      <c r="U40" s="53"/>
      <c r="V40" s="53"/>
      <c r="W40" s="53"/>
      <c r="X40" s="53"/>
      <c r="Y40" s="53"/>
      <c r="Z40" s="53"/>
      <c r="AA40" s="70" t="s">
        <v>34</v>
      </c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</row>
    <row r="41" spans="1:38" s="9" customFormat="1" ht="24.75" customHeight="1" outlineLevel="1" x14ac:dyDescent="0.35">
      <c r="A41" s="53"/>
      <c r="B41" s="53"/>
      <c r="C41" s="123" t="s">
        <v>88</v>
      </c>
      <c r="E41" s="252" t="str">
        <f ca="1">_xll.DBRA(Server&amp;$C$24,$C41,$F$15)</f>
        <v>Honoraires &amp; Conseil</v>
      </c>
      <c r="F41" s="252"/>
      <c r="G41" s="252"/>
      <c r="H41" s="39"/>
      <c r="I41" s="178">
        <f ca="1">_xll.DBRW(Server&amp;Cube1,$F$20,$F$13,$F$14,$F$19,$C$18,$F$16,$F$18,$C$19,$I$2,I$1,$C41)</f>
        <v>-15210.476239999998</v>
      </c>
      <c r="J41" s="178">
        <f ca="1">_xll.DBRW(Server&amp;Cube1,$F$20,$F$13,$F$14,$F$19,$C$18,$F$16,$F$18,$C$19,$J$2,J$1,$C41)</f>
        <v>-20235.827148000008</v>
      </c>
      <c r="K41" s="167">
        <f ca="1">_xll.DBRW(Server&amp;Cube1,$F$20,$F$13,$F$14,$F$19,$C$18,$F$16,$F$18,$C$19,$K$2,K$1,$C41)</f>
        <v>-27789.587</v>
      </c>
      <c r="L41" s="168"/>
      <c r="M41" s="179">
        <f t="shared" ca="1" si="1"/>
        <v>-12579.110760000001</v>
      </c>
      <c r="N41" s="195">
        <f t="shared" ca="1" si="2"/>
        <v>-0.82700308402703915</v>
      </c>
      <c r="O41" s="115" t="str">
        <f t="shared" ca="1" si="4"/>
        <v>î</v>
      </c>
      <c r="P41" s="179">
        <f t="shared" ca="1" si="3"/>
        <v>-7553.759851999992</v>
      </c>
      <c r="Q41" s="135"/>
      <c r="R41" s="53"/>
      <c r="S41" s="53"/>
      <c r="T41" s="53"/>
      <c r="U41" s="53"/>
      <c r="V41" s="53"/>
      <c r="W41" s="53"/>
      <c r="X41" s="53"/>
      <c r="Y41" s="53"/>
      <c r="Z41" s="53"/>
      <c r="AA41" s="78" t="s">
        <v>35</v>
      </c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</row>
    <row r="42" spans="1:38" s="9" customFormat="1" ht="24.95" customHeight="1" outlineLevel="1" x14ac:dyDescent="0.35">
      <c r="A42" s="53"/>
      <c r="B42" s="53"/>
      <c r="C42" s="123" t="s">
        <v>89</v>
      </c>
      <c r="E42" s="252" t="str">
        <f ca="1">_xll.DBRA(Server&amp;$C$24,$C42,$F$15)</f>
        <v>Honoraires &amp; Conseil Abonnés</v>
      </c>
      <c r="F42" s="252"/>
      <c r="G42" s="252"/>
      <c r="H42" s="39"/>
      <c r="I42" s="178">
        <f ca="1">_xll.DBRW(Server&amp;Cube1,$F$20,$F$13,$F$14,$F$19,$C$18,$F$16,$F$18,$C$19,$I$2,I$1,$C42)</f>
        <v>19.588700000000003</v>
      </c>
      <c r="J42" s="178">
        <f ca="1">_xll.DBRW(Server&amp;Cube1,$F$20,$F$13,$F$14,$F$19,$C$18,$F$16,$F$18,$C$19,$J$2,J$1,$C42)</f>
        <v>-636.02253000000007</v>
      </c>
      <c r="K42" s="167">
        <f ca="1">_xll.DBRW(Server&amp;Cube1,$F$20,$F$13,$F$14,$F$19,$C$18,$F$16,$F$18,$C$19,$K$2,K$1,$C42)</f>
        <v>-686</v>
      </c>
      <c r="L42" s="168"/>
      <c r="M42" s="179">
        <f t="shared" ca="1" si="1"/>
        <v>-705.58870000000002</v>
      </c>
      <c r="N42" s="195">
        <f t="shared" ca="1" si="2"/>
        <v>-36.020190211703685</v>
      </c>
      <c r="O42" s="115" t="str">
        <f t="shared" ca="1" si="4"/>
        <v>î</v>
      </c>
      <c r="P42" s="179">
        <f t="shared" ca="1" si="3"/>
        <v>-49.977469999999926</v>
      </c>
      <c r="Q42" s="135"/>
      <c r="R42" s="53"/>
      <c r="S42" s="53"/>
      <c r="T42" s="53"/>
      <c r="U42" s="53"/>
      <c r="V42" s="53"/>
      <c r="W42" s="53"/>
      <c r="X42" s="53"/>
      <c r="Y42" s="53"/>
      <c r="Z42" s="53"/>
      <c r="AA42" s="78" t="s">
        <v>36</v>
      </c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</row>
    <row r="43" spans="1:38" s="9" customFormat="1" ht="24.95" customHeight="1" outlineLevel="1" x14ac:dyDescent="0.35">
      <c r="A43" s="53"/>
      <c r="B43" s="53"/>
      <c r="C43" s="123" t="s">
        <v>90</v>
      </c>
      <c r="E43" s="252" t="str">
        <f ca="1">_xll.DBRA(Server&amp;$C$24,$C43,$F$15)</f>
        <v>Publication, Sponsoring, cadeaux, Publicité et promotion</v>
      </c>
      <c r="F43" s="252"/>
      <c r="G43" s="252"/>
      <c r="H43" s="39"/>
      <c r="I43" s="178">
        <f ca="1">_xll.DBRW(Server&amp;Cube1,$F$20,$F$13,$F$14,$F$19,$C$18,$F$16,$F$18,$C$19,$I$2,I$1,$C43)</f>
        <v>-98.104989999999987</v>
      </c>
      <c r="J43" s="178">
        <f ca="1">_xll.DBRW(Server&amp;Cube1,$F$20,$F$13,$F$14,$F$19,$C$18,$F$16,$F$18,$C$19,$J$2,J$1,$C43)</f>
        <v>-152.93377000000001</v>
      </c>
      <c r="K43" s="167">
        <f ca="1">_xll.DBRW(Server&amp;Cube1,$F$20,$F$13,$F$14,$F$19,$C$18,$F$16,$F$18,$C$19,$K$2,K$1,$C43)</f>
        <v>-83</v>
      </c>
      <c r="L43" s="168"/>
      <c r="M43" s="179">
        <f t="shared" ca="1" si="1"/>
        <v>15.104989999999987</v>
      </c>
      <c r="N43" s="195">
        <f t="shared" ca="1" si="2"/>
        <v>0.15396760144412622</v>
      </c>
      <c r="O43" s="115" t="str">
        <f t="shared" ca="1" si="4"/>
        <v>ì</v>
      </c>
      <c r="P43" s="179">
        <f t="shared" ca="1" si="3"/>
        <v>69.93377000000001</v>
      </c>
      <c r="Q43" s="135"/>
      <c r="R43" s="53"/>
      <c r="S43" s="53"/>
      <c r="T43" s="53"/>
      <c r="U43" s="53"/>
      <c r="V43" s="53"/>
      <c r="W43" s="53"/>
      <c r="X43" s="53"/>
      <c r="Y43" s="53"/>
      <c r="Z43" s="53"/>
      <c r="AA43" s="78" t="s">
        <v>37</v>
      </c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</row>
    <row r="44" spans="1:38" ht="18.75" customHeight="1" outlineLevel="1" x14ac:dyDescent="0.3">
      <c r="B44" s="53"/>
      <c r="C44" s="123" t="s">
        <v>91</v>
      </c>
      <c r="D44" s="25"/>
      <c r="E44" s="252" t="str">
        <f ca="1">_xll.DBRA(Server&amp;$C$24,$C44,$F$15)</f>
        <v>Réception, Séminaires</v>
      </c>
      <c r="F44" s="252"/>
      <c r="G44" s="252"/>
      <c r="H44" s="42"/>
      <c r="I44" s="178">
        <f ca="1">_xll.DBRW(Server&amp;Cube1,$F$20,$F$13,$F$14,$F$19,$C$18,$F$16,$F$18,$C$19,$I$2,I$1,$C44)</f>
        <v>-425.83743000000004</v>
      </c>
      <c r="J44" s="178">
        <f ca="1">_xll.DBRW(Server&amp;Cube1,$F$20,$F$13,$F$14,$F$19,$C$18,$F$16,$F$18,$C$19,$J$2,J$1,$C44)</f>
        <v>-576.13307999999984</v>
      </c>
      <c r="K44" s="167">
        <f ca="1">_xll.DBRW(Server&amp;Cube1,$F$20,$F$13,$F$14,$F$19,$C$18,$F$16,$F$18,$C$19,$K$2,K$1,$C44)</f>
        <v>-393.00799999999992</v>
      </c>
      <c r="L44" s="168"/>
      <c r="M44" s="179">
        <f t="shared" ca="1" si="1"/>
        <v>32.829430000000116</v>
      </c>
      <c r="N44" s="195">
        <f t="shared" ca="1" si="2"/>
        <v>7.7093810189489714E-2</v>
      </c>
      <c r="O44" s="115" t="str">
        <f t="shared" ca="1" si="4"/>
        <v>ì</v>
      </c>
      <c r="P44" s="179">
        <f t="shared" ca="1" si="3"/>
        <v>183.12507999999991</v>
      </c>
      <c r="Q44" s="135"/>
      <c r="AA44" s="78" t="s">
        <v>38</v>
      </c>
    </row>
    <row r="45" spans="1:38" s="9" customFormat="1" ht="24.95" customHeight="1" outlineLevel="1" x14ac:dyDescent="0.35">
      <c r="A45" s="53"/>
      <c r="B45" s="53"/>
      <c r="C45" s="123" t="s">
        <v>92</v>
      </c>
      <c r="E45" s="252" t="str">
        <f ca="1">_xll.DBRA(Server&amp;$C$24,$C45,$F$15)</f>
        <v>Autres assistance externe</v>
      </c>
      <c r="F45" s="252"/>
      <c r="G45" s="252"/>
      <c r="H45" s="39"/>
      <c r="I45" s="178">
        <f ca="1">_xll.DBRW(Server&amp;Cube1,$F$20,$F$13,$F$14,$F$19,$C$18,$F$16,$F$18,$C$19,$I$2,I$1,$C45)</f>
        <v>-3875.5517700000005</v>
      </c>
      <c r="J45" s="178">
        <f ca="1">_xll.DBRW(Server&amp;Cube1,$F$20,$F$13,$F$14,$F$19,$C$18,$F$16,$F$18,$C$19,$J$2,J$1,$C45)</f>
        <v>-3334.3544300000003</v>
      </c>
      <c r="K45" s="167">
        <f ca="1">_xll.DBRW(Server&amp;Cube1,$F$20,$F$13,$F$14,$F$19,$C$18,$F$16,$F$18,$C$19,$K$2,K$1,$C45)</f>
        <v>-1583.2840000000001</v>
      </c>
      <c r="L45" s="168"/>
      <c r="M45" s="179">
        <f t="shared" ca="1" si="1"/>
        <v>2292.2677700000004</v>
      </c>
      <c r="N45" s="195">
        <f t="shared" ca="1" si="2"/>
        <v>0.59146875233200669</v>
      </c>
      <c r="O45" s="115" t="str">
        <f t="shared" ca="1" si="4"/>
        <v>ì</v>
      </c>
      <c r="P45" s="179">
        <f t="shared" ca="1" si="3"/>
        <v>1751.0704300000002</v>
      </c>
      <c r="Q45" s="135"/>
      <c r="R45" s="53"/>
      <c r="S45" s="53"/>
      <c r="T45" s="53"/>
      <c r="U45" s="53"/>
      <c r="V45" s="53"/>
      <c r="W45" s="53"/>
      <c r="X45" s="53"/>
      <c r="Y45" s="53"/>
      <c r="Z45" s="53"/>
      <c r="AA45" s="78" t="s">
        <v>39</v>
      </c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</row>
    <row r="46" spans="1:38" s="9" customFormat="1" ht="24.75" customHeight="1" outlineLevel="1" x14ac:dyDescent="0.35">
      <c r="A46" s="53"/>
      <c r="B46" s="53"/>
      <c r="C46" s="123" t="s">
        <v>93</v>
      </c>
      <c r="E46" s="252" t="str">
        <f ca="1">_xll.DBRA(Server&amp;$C$24,$C46,$F$15)</f>
        <v>Dépenses de formation</v>
      </c>
      <c r="F46" s="252"/>
      <c r="G46" s="252"/>
      <c r="H46" s="39"/>
      <c r="I46" s="178">
        <f ca="1">_xll.DBRW(Server&amp;Cube1,$F$20,$F$13,$F$14,$F$19,$C$18,$F$16,$F$18,$C$19,$I$2,I$1,$C46)</f>
        <v>-411.81295999999998</v>
      </c>
      <c r="J46" s="178">
        <f ca="1">_xll.DBRW(Server&amp;Cube1,$F$20,$F$13,$F$14,$F$19,$C$18,$F$16,$F$18,$C$19,$J$2,J$1,$C46)</f>
        <v>-320.70443</v>
      </c>
      <c r="K46" s="167">
        <f ca="1">_xll.DBRW(Server&amp;Cube1,$F$20,$F$13,$F$14,$F$19,$C$18,$F$16,$F$18,$C$19,$K$2,K$1,$C46)</f>
        <v>-199.99999999999997</v>
      </c>
      <c r="L46" s="168"/>
      <c r="M46" s="179">
        <f t="shared" ca="1" si="1"/>
        <v>211.81296</v>
      </c>
      <c r="N46" s="195">
        <f t="shared" ca="1" si="2"/>
        <v>0.51434262777936857</v>
      </c>
      <c r="O46" s="115" t="str">
        <f t="shared" ca="1" si="4"/>
        <v>ì</v>
      </c>
      <c r="P46" s="179">
        <f t="shared" ca="1" si="3"/>
        <v>120.70443000000003</v>
      </c>
      <c r="Q46" s="135"/>
      <c r="R46" s="53"/>
      <c r="S46" s="53"/>
      <c r="T46" s="53"/>
      <c r="U46" s="53"/>
      <c r="V46" s="53"/>
      <c r="W46" s="53"/>
      <c r="X46" s="53"/>
      <c r="Y46" s="53"/>
      <c r="Z46" s="53"/>
      <c r="AA46" s="78" t="s">
        <v>40</v>
      </c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</row>
    <row r="47" spans="1:38" s="9" customFormat="1" ht="24.95" customHeight="1" outlineLevel="1" x14ac:dyDescent="0.35">
      <c r="A47" s="53"/>
      <c r="B47" s="53"/>
      <c r="C47" s="123" t="s">
        <v>94</v>
      </c>
      <c r="E47" s="252" t="str">
        <f ca="1">_xll.DBRA(Server&amp;$C$24,$C47,$F$15)</f>
        <v>Assurances</v>
      </c>
      <c r="F47" s="252"/>
      <c r="G47" s="252"/>
      <c r="H47" s="39"/>
      <c r="I47" s="178">
        <f ca="1">_xll.DBRW(Server&amp;Cube1,$F$20,$F$13,$F$14,$F$19,$C$18,$F$16,$F$18,$C$19,$I$2,I$1,$C47)</f>
        <v>0</v>
      </c>
      <c r="J47" s="178">
        <f ca="1">_xll.DBRW(Server&amp;Cube1,$F$20,$F$13,$F$14,$F$19,$C$18,$F$16,$F$18,$C$19,$J$2,J$1,$C47)</f>
        <v>0</v>
      </c>
      <c r="K47" s="167">
        <f ca="1">_xll.DBRW(Server&amp;Cube1,$F$20,$F$13,$F$14,$F$19,$C$18,$F$16,$F$18,$C$19,$K$2,K$1,$C47)</f>
        <v>-1050.365</v>
      </c>
      <c r="L47" s="168"/>
      <c r="M47" s="179">
        <f t="shared" ca="1" si="1"/>
        <v>-1050.365</v>
      </c>
      <c r="N47" s="195">
        <f t="shared" ca="1" si="2"/>
        <v>0</v>
      </c>
      <c r="O47" s="115" t="str">
        <f t="shared" ca="1" si="4"/>
        <v>è</v>
      </c>
      <c r="P47" s="179">
        <f t="shared" ca="1" si="3"/>
        <v>-1050.365</v>
      </c>
      <c r="Q47" s="135"/>
      <c r="R47" s="53"/>
      <c r="S47" s="53"/>
      <c r="T47" s="53"/>
      <c r="U47" s="53"/>
      <c r="V47" s="53"/>
      <c r="W47" s="53"/>
      <c r="X47" s="53"/>
      <c r="Y47" s="53"/>
      <c r="Z47" s="53"/>
      <c r="AA47" s="78" t="s">
        <v>41</v>
      </c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</row>
    <row r="48" spans="1:38" s="9" customFormat="1" ht="24.95" customHeight="1" outlineLevel="1" x14ac:dyDescent="0.35">
      <c r="A48" s="53"/>
      <c r="B48" s="53"/>
      <c r="C48" s="123" t="s">
        <v>95</v>
      </c>
      <c r="E48" s="252" t="str">
        <f ca="1">_xll.DBRA(Server&amp;$C$24,$C48,$F$15)</f>
        <v>Services bancaires</v>
      </c>
      <c r="F48" s="252"/>
      <c r="G48" s="252"/>
      <c r="H48" s="39"/>
      <c r="I48" s="178">
        <f ca="1">_xll.DBRW(Server&amp;Cube1,$F$20,$F$13,$F$14,$F$19,$C$18,$F$16,$F$18,$C$19,$I$2,I$1,$C48)</f>
        <v>-490.22674000000001</v>
      </c>
      <c r="J48" s="178">
        <f ca="1">_xll.DBRW(Server&amp;Cube1,$F$20,$F$13,$F$14,$F$19,$C$18,$F$16,$F$18,$C$19,$J$2,J$1,$C48)</f>
        <v>-324.63545999999997</v>
      </c>
      <c r="K48" s="167">
        <f ca="1">_xll.DBRW(Server&amp;Cube1,$F$20,$F$13,$F$14,$F$19,$C$18,$F$16,$F$18,$C$19,$K$2,K$1,$C48)</f>
        <v>0</v>
      </c>
      <c r="L48" s="168"/>
      <c r="M48" s="179">
        <f t="shared" ca="1" si="1"/>
        <v>490.22674000000001</v>
      </c>
      <c r="N48" s="195">
        <f t="shared" ca="1" si="2"/>
        <v>1</v>
      </c>
      <c r="O48" s="115" t="str">
        <f t="shared" ca="1" si="4"/>
        <v>ì</v>
      </c>
      <c r="P48" s="179">
        <f t="shared" ca="1" si="3"/>
        <v>324.63545999999997</v>
      </c>
      <c r="Q48" s="135"/>
      <c r="R48" s="53"/>
      <c r="S48" s="53"/>
      <c r="T48" s="53"/>
      <c r="U48" s="53"/>
      <c r="V48" s="53"/>
      <c r="W48" s="53"/>
      <c r="X48" s="53"/>
      <c r="Y48" s="53"/>
      <c r="Z48" s="53"/>
      <c r="AA48" s="78" t="s">
        <v>42</v>
      </c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</row>
    <row r="49" spans="1:38" s="9" customFormat="1" ht="24.95" customHeight="1" outlineLevel="1" x14ac:dyDescent="0.35">
      <c r="A49" s="53"/>
      <c r="B49" s="53"/>
      <c r="C49" s="123" t="s">
        <v>96</v>
      </c>
      <c r="E49" s="252" t="str">
        <f ca="1">_xll.DBRA(Server&amp;$C$24,$C49,$F$15)</f>
        <v>Frais de Siège</v>
      </c>
      <c r="F49" s="252"/>
      <c r="G49" s="252"/>
      <c r="H49" s="39"/>
      <c r="I49" s="178">
        <f ca="1">_xll.DBRW(Server&amp;Cube1,$F$20,$F$13,$F$14,$F$19,$C$18,$F$16,$F$18,$C$19,$I$2,I$1,$C49)</f>
        <v>0</v>
      </c>
      <c r="J49" s="178">
        <f ca="1">_xll.DBRW(Server&amp;Cube1,$F$20,$F$13,$F$14,$F$19,$C$18,$F$16,$F$18,$C$19,$J$2,J$1,$C49)</f>
        <v>-125</v>
      </c>
      <c r="K49" s="167">
        <f ca="1">_xll.DBRW(Server&amp;Cube1,$F$20,$F$13,$F$14,$F$19,$C$18,$F$16,$F$18,$C$19,$K$2,K$1,$C49)</f>
        <v>-1350</v>
      </c>
      <c r="L49" s="168"/>
      <c r="M49" s="179">
        <f t="shared" ca="1" si="1"/>
        <v>-1350</v>
      </c>
      <c r="N49" s="195">
        <f t="shared" ca="1" si="2"/>
        <v>0</v>
      </c>
      <c r="O49" s="115" t="str">
        <f t="shared" ca="1" si="4"/>
        <v>è</v>
      </c>
      <c r="P49" s="179">
        <f t="shared" ca="1" si="3"/>
        <v>-1225</v>
      </c>
      <c r="Q49" s="135"/>
      <c r="R49" s="53"/>
      <c r="S49" s="53"/>
      <c r="T49" s="53"/>
      <c r="U49" s="53"/>
      <c r="V49" s="53"/>
      <c r="W49" s="53"/>
      <c r="X49" s="53"/>
      <c r="Y49" s="53"/>
      <c r="Z49" s="53"/>
      <c r="AA49" s="78" t="s">
        <v>43</v>
      </c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</row>
    <row r="50" spans="1:38" s="9" customFormat="1" ht="24.95" customHeight="1" thickBot="1" x14ac:dyDescent="0.4">
      <c r="A50" s="53"/>
      <c r="B50" s="53"/>
      <c r="C50" s="122" t="s">
        <v>98</v>
      </c>
      <c r="E50" s="250" t="str">
        <f ca="1">_xll.DBRA(Server&amp;$C$24,$C50,$F$15)</f>
        <v>Frais de personnel et Assimilés</v>
      </c>
      <c r="F50" s="250"/>
      <c r="G50" s="250"/>
      <c r="H50" s="39"/>
      <c r="I50" s="211">
        <f ca="1">_xll.DBRW(Server&amp;Cube1,$F$20,$F$13,$F$14,$F$19,$C$18,$F$16,$F$18,$C$19,$I$2,I$1,$C50)</f>
        <v>-44105.511680000003</v>
      </c>
      <c r="J50" s="211">
        <f ca="1">_xll.DBRW(Server&amp;Cube1,$F$20,$F$13,$F$14,$F$19,$C$18,$F$16,$F$18,$C$19,$J$2,J$1,$C50)</f>
        <v>-41824.461113333338</v>
      </c>
      <c r="K50" s="211">
        <f ca="1">_xll.DBRW(Server&amp;Cube1,$F$20,$F$13,$F$14,$F$19,$C$18,$F$16,$F$18,$C$19,$K$2,K$1,$C50)</f>
        <v>-42776.912120000008</v>
      </c>
      <c r="L50" s="175"/>
      <c r="M50" s="212">
        <f t="shared" ca="1" si="1"/>
        <v>1328.5995599999951</v>
      </c>
      <c r="N50" s="213">
        <f t="shared" ca="1" si="2"/>
        <v>3.0123209308610271E-2</v>
      </c>
      <c r="O50" s="210" t="str">
        <f t="shared" ca="1" si="4"/>
        <v>ì</v>
      </c>
      <c r="P50" s="212">
        <f t="shared" ca="1" si="3"/>
        <v>-952.45100666666985</v>
      </c>
      <c r="Q50" s="134"/>
      <c r="R50" s="53"/>
      <c r="S50" s="53"/>
      <c r="T50" s="53"/>
      <c r="U50" s="53"/>
      <c r="V50" s="53"/>
      <c r="W50" s="53"/>
      <c r="X50" s="53"/>
      <c r="Y50" s="53"/>
      <c r="Z50" s="53"/>
      <c r="AA50" s="78" t="s">
        <v>44</v>
      </c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s="9" customFormat="1" ht="24" customHeight="1" outlineLevel="1" x14ac:dyDescent="0.35">
      <c r="A51" s="53"/>
      <c r="B51" s="53"/>
      <c r="C51" s="123" t="s">
        <v>99</v>
      </c>
      <c r="E51" s="252" t="str">
        <f ca="1">_xll.DBRA(Server&amp;$C$24,$C51,$F$15)</f>
        <v>Frais de personnel</v>
      </c>
      <c r="F51" s="252"/>
      <c r="G51" s="252"/>
      <c r="H51" s="39"/>
      <c r="I51" s="178">
        <f ca="1">_xll.DBRW(Server&amp;Cube1,$F$20,$F$13,$F$14,$F$19,$C$18,$F$16,$F$18,$C$19,$I$2,I$1,$C51)</f>
        <v>-40692.244850000025</v>
      </c>
      <c r="J51" s="178">
        <f ca="1">_xll.DBRW(Server&amp;Cube1,$F$20,$F$13,$F$14,$F$19,$C$18,$F$16,$F$18,$C$19,$J$2,J$1,$C51)</f>
        <v>-39718.326026666669</v>
      </c>
      <c r="K51" s="167">
        <f ca="1">_xll.DBRW(Server&amp;Cube1,$F$20,$F$13,$F$14,$F$19,$C$18,$F$16,$F$18,$C$19,$K$2,K$1,$C51)</f>
        <v>-41063.422099999996</v>
      </c>
      <c r="L51" s="171"/>
      <c r="M51" s="179">
        <f t="shared" ca="1" si="1"/>
        <v>-371.17724999997154</v>
      </c>
      <c r="N51" s="195">
        <f t="shared" ca="1" si="2"/>
        <v>-9.121572215251509E-3</v>
      </c>
      <c r="O51" s="115" t="str">
        <f t="shared" ca="1" si="4"/>
        <v>è</v>
      </c>
      <c r="P51" s="179">
        <f t="shared" ca="1" si="3"/>
        <v>-1345.0960733333268</v>
      </c>
      <c r="Q51" s="135"/>
      <c r="R51" s="53"/>
      <c r="S51" s="53"/>
      <c r="T51" s="53"/>
      <c r="U51" s="53"/>
      <c r="V51" s="53"/>
      <c r="W51" s="53"/>
      <c r="X51" s="53"/>
      <c r="Y51" s="53"/>
      <c r="Z51" s="53"/>
      <c r="AA51" s="78" t="s">
        <v>45</v>
      </c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</row>
    <row r="52" spans="1:38" s="9" customFormat="1" ht="24" customHeight="1" outlineLevel="1" thickBot="1" x14ac:dyDescent="0.4">
      <c r="A52" s="53"/>
      <c r="B52" s="53"/>
      <c r="C52" s="123" t="s">
        <v>101</v>
      </c>
      <c r="E52" s="252" t="str">
        <f ca="1">_xll.DBRA(Server&amp;$C$24,$C52,$F$15)</f>
        <v>Personnel Intérimaire</v>
      </c>
      <c r="F52" s="252"/>
      <c r="G52" s="252"/>
      <c r="H52" s="39"/>
      <c r="I52" s="178">
        <f ca="1">_xll.DBRW(Server&amp;Cube1,$F$20,$F$13,$F$14,$F$19,$C$18,$F$16,$F$18,$C$19,$I$2,I$1,$C52)</f>
        <v>-272.94244000000003</v>
      </c>
      <c r="J52" s="178">
        <f ca="1">_xll.DBRW(Server&amp;Cube1,$F$20,$F$13,$F$14,$F$19,$C$18,$F$16,$F$18,$C$19,$J$2,J$1,$C52)</f>
        <v>-78.146629999999988</v>
      </c>
      <c r="K52" s="167">
        <f ca="1">_xll.DBRW(Server&amp;Cube1,$F$20,$F$13,$F$14,$F$19,$C$18,$F$16,$F$18,$C$19,$K$2,K$1,$C52)</f>
        <v>-30</v>
      </c>
      <c r="L52" s="171"/>
      <c r="M52" s="179">
        <f t="shared" ca="1" si="1"/>
        <v>242.94244000000003</v>
      </c>
      <c r="N52" s="195">
        <f t="shared" ca="1" si="2"/>
        <v>0.89008671571925568</v>
      </c>
      <c r="O52" s="115" t="str">
        <f t="shared" ca="1" si="4"/>
        <v>ì</v>
      </c>
      <c r="P52" s="179">
        <f t="shared" ca="1" si="3"/>
        <v>48.146629999999988</v>
      </c>
      <c r="Q52" s="135"/>
      <c r="R52" s="53"/>
      <c r="S52" s="53"/>
      <c r="T52" s="53"/>
      <c r="U52" s="53"/>
      <c r="V52" s="53"/>
      <c r="W52" s="53"/>
      <c r="X52" s="53"/>
      <c r="Y52" s="53"/>
      <c r="Z52" s="53"/>
      <c r="AA52" s="79" t="s">
        <v>46</v>
      </c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</row>
    <row r="53" spans="1:38" s="9" customFormat="1" ht="24" customHeight="1" outlineLevel="1" x14ac:dyDescent="0.35">
      <c r="A53" s="53"/>
      <c r="B53" s="53"/>
      <c r="C53" s="123" t="s">
        <v>100</v>
      </c>
      <c r="E53" s="252" t="str">
        <f ca="1">_xll.DBRA(Server&amp;$C$24,$C53,$F$15)</f>
        <v>Personnel Mis à Disposition</v>
      </c>
      <c r="F53" s="252"/>
      <c r="G53" s="252"/>
      <c r="H53" s="39"/>
      <c r="I53" s="178">
        <f ca="1">_xll.DBRW(Server&amp;Cube1,$F$20,$F$13,$F$14,$F$19,$C$18,$F$16,$F$18,$C$19,$I$2,I$1,$C53)</f>
        <v>-3140.3243900000002</v>
      </c>
      <c r="J53" s="178">
        <f ca="1">_xll.DBRW(Server&amp;Cube1,$F$20,$F$13,$F$14,$F$19,$C$18,$F$16,$F$18,$C$19,$J$2,J$1,$C53)</f>
        <v>-2027.9884566666669</v>
      </c>
      <c r="K53" s="167">
        <f ca="1">_xll.DBRW(Server&amp;Cube1,$F$20,$F$13,$F$14,$F$19,$C$18,$F$16,$F$18,$C$19,$K$2,K$1,$C53)</f>
        <v>-1683.49002</v>
      </c>
      <c r="L53" s="171"/>
      <c r="M53" s="179">
        <f t="shared" ca="1" si="1"/>
        <v>1456.8343700000003</v>
      </c>
      <c r="N53" s="195">
        <f t="shared" ca="1" si="2"/>
        <v>0.46391206419283332</v>
      </c>
      <c r="O53" s="115" t="str">
        <f t="shared" ca="1" si="4"/>
        <v>ì</v>
      </c>
      <c r="P53" s="179">
        <f t="shared" ca="1" si="3"/>
        <v>344.49843666666698</v>
      </c>
      <c r="Q53" s="135"/>
      <c r="R53" s="53"/>
      <c r="S53" s="53"/>
      <c r="T53" s="53"/>
      <c r="U53" s="53"/>
      <c r="V53" s="53"/>
      <c r="W53" s="53"/>
      <c r="X53" s="53"/>
      <c r="Y53" s="53"/>
      <c r="Z53" s="53"/>
      <c r="AA53" s="70" t="s">
        <v>51</v>
      </c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</row>
    <row r="54" spans="1:38" s="9" customFormat="1" ht="24" customHeight="1" thickBot="1" x14ac:dyDescent="0.4">
      <c r="A54" s="53"/>
      <c r="B54" s="53"/>
      <c r="C54" s="122" t="s">
        <v>102</v>
      </c>
      <c r="E54" s="250" t="str">
        <f ca="1">_xll.DBRA(Server&amp;$C$24,$C54,$F$15)</f>
        <v>Frais de déplacement</v>
      </c>
      <c r="F54" s="250"/>
      <c r="G54" s="250"/>
      <c r="H54" s="39"/>
      <c r="I54" s="211">
        <f ca="1">_xll.DBRW(Server&amp;Cube1,$F$20,$F$13,$F$14,$F$19,$C$18,$F$16,$F$18,$C$19,$I$2,I$1,$C54)</f>
        <v>-1636.3912099999993</v>
      </c>
      <c r="J54" s="211">
        <f ca="1">_xll.DBRW(Server&amp;Cube1,$F$20,$F$13,$F$14,$F$19,$C$18,$F$16,$F$18,$C$19,$J$2,J$1,$C54)</f>
        <v>-1903.0000000000002</v>
      </c>
      <c r="K54" s="211">
        <f ca="1">_xll.DBRW(Server&amp;Cube1,$F$20,$F$13,$F$14,$F$19,$C$18,$F$16,$F$18,$C$19,$K$2,K$1,$C54)</f>
        <v>-1902.6000000000001</v>
      </c>
      <c r="L54" s="175"/>
      <c r="M54" s="212">
        <f t="shared" ca="1" si="1"/>
        <v>-266.20879000000082</v>
      </c>
      <c r="N54" s="213">
        <f t="shared" ca="1" si="2"/>
        <v>-0.16268040818918902</v>
      </c>
      <c r="O54" s="210" t="str">
        <f t="shared" ca="1" si="4"/>
        <v>î</v>
      </c>
      <c r="P54" s="212">
        <f t="shared" ca="1" si="3"/>
        <v>0.40000000000009095</v>
      </c>
      <c r="Q54" s="134"/>
      <c r="R54" s="53"/>
      <c r="S54" s="53"/>
      <c r="T54" s="53"/>
      <c r="U54" s="53"/>
      <c r="V54" s="53"/>
      <c r="W54" s="53"/>
      <c r="X54" s="53"/>
      <c r="Y54" s="53"/>
      <c r="Z54" s="53"/>
      <c r="AA54" s="76" t="s">
        <v>56</v>
      </c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</row>
    <row r="55" spans="1:38" s="9" customFormat="1" ht="24" customHeight="1" outlineLevel="1" thickBot="1" x14ac:dyDescent="0.4">
      <c r="A55" s="53"/>
      <c r="B55" s="53"/>
      <c r="C55" s="123" t="s">
        <v>103</v>
      </c>
      <c r="E55" s="252" t="str">
        <f ca="1">_xll.DBRA(Server&amp;$C$24,$C55,$F$15)</f>
        <v>Notes de Frais</v>
      </c>
      <c r="F55" s="252"/>
      <c r="G55" s="252"/>
      <c r="H55" s="39"/>
      <c r="I55" s="178">
        <f ca="1">_xll.DBRW(Server&amp;Cube1,$F$20,$F$13,$F$14,$F$19,$C$18,$F$16,$F$18,$C$19,$I$2,I$1,$C55)</f>
        <v>-607.61255000000006</v>
      </c>
      <c r="J55" s="178">
        <f ca="1">_xll.DBRW(Server&amp;Cube1,$F$20,$F$13,$F$14,$F$19,$C$18,$F$16,$F$18,$C$19,$J$2,J$1,$C55)</f>
        <v>-678.13789000000008</v>
      </c>
      <c r="K55" s="167">
        <f ca="1">_xll.DBRW(Server&amp;Cube1,$F$20,$F$13,$F$14,$F$19,$C$18,$F$16,$F$18,$C$19,$K$2,K$1,$C55)</f>
        <v>-707.9</v>
      </c>
      <c r="L55" s="171"/>
      <c r="M55" s="179">
        <f t="shared" ca="1" si="1"/>
        <v>-100.28744999999992</v>
      </c>
      <c r="N55" s="195">
        <f t="shared" ca="1" si="2"/>
        <v>-0.16505164351855456</v>
      </c>
      <c r="O55" s="115" t="str">
        <f t="shared" ca="1" si="4"/>
        <v>î</v>
      </c>
      <c r="P55" s="179">
        <f t="shared" ca="1" si="3"/>
        <v>-29.762109999999893</v>
      </c>
      <c r="Q55" s="135"/>
      <c r="R55" s="53"/>
      <c r="S55" s="53"/>
      <c r="T55" s="53"/>
      <c r="U55" s="53"/>
      <c r="V55" s="53"/>
      <c r="W55" s="53"/>
      <c r="X55" s="53"/>
      <c r="Y55" s="53"/>
      <c r="Z55" s="53"/>
      <c r="AA55" s="77" t="s">
        <v>57</v>
      </c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</row>
    <row r="56" spans="1:38" s="9" customFormat="1" ht="24" customHeight="1" outlineLevel="1" x14ac:dyDescent="0.35">
      <c r="A56" s="53"/>
      <c r="B56" s="53"/>
      <c r="C56" s="123" t="s">
        <v>104</v>
      </c>
      <c r="E56" s="252" t="str">
        <f ca="1">_xll.DBRA(Server&amp;$C$24,$C56,$F$15)</f>
        <v>Déplacements</v>
      </c>
      <c r="F56" s="252"/>
      <c r="G56" s="252"/>
      <c r="H56" s="39"/>
      <c r="I56" s="178">
        <f ca="1">_xll.DBRW(Server&amp;Cube1,$F$20,$F$13,$F$14,$F$19,$C$18,$F$16,$F$18,$C$19,$I$2,I$1,$C56)</f>
        <v>-1028.7786599999999</v>
      </c>
      <c r="J56" s="178">
        <f ca="1">_xll.DBRW(Server&amp;Cube1,$F$20,$F$13,$F$14,$F$19,$C$18,$F$16,$F$18,$C$19,$J$2,J$1,$C56)</f>
        <v>-1224.86211</v>
      </c>
      <c r="K56" s="167">
        <f ca="1">_xll.DBRW(Server&amp;Cube1,$F$20,$F$13,$F$14,$F$19,$C$18,$F$16,$F$18,$C$19,$K$2,K$1,$C56)</f>
        <v>-1194.7</v>
      </c>
      <c r="L56" s="171"/>
      <c r="M56" s="179">
        <f t="shared" ca="1" si="1"/>
        <v>-165.9213400000001</v>
      </c>
      <c r="N56" s="195">
        <f t="shared" ca="1" si="2"/>
        <v>-0.16127992001700356</v>
      </c>
      <c r="O56" s="115" t="str">
        <f t="shared" ca="1" si="4"/>
        <v>î</v>
      </c>
      <c r="P56" s="179">
        <f t="shared" ca="1" si="3"/>
        <v>30.162109999999984</v>
      </c>
      <c r="Q56" s="135"/>
      <c r="R56" s="53"/>
      <c r="S56" s="53"/>
      <c r="T56" s="53"/>
      <c r="U56" s="53"/>
      <c r="V56" s="53"/>
      <c r="W56" s="53"/>
      <c r="X56" s="53"/>
      <c r="Y56" s="53"/>
      <c r="Z56" s="53"/>
      <c r="AA56" s="90" t="s">
        <v>63</v>
      </c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</row>
    <row r="57" spans="1:38" s="9" customFormat="1" ht="24" customHeight="1" thickBot="1" x14ac:dyDescent="0.4">
      <c r="A57" s="53"/>
      <c r="B57" s="53"/>
      <c r="C57" s="122" t="s">
        <v>105</v>
      </c>
      <c r="E57" s="250" t="str">
        <f ca="1">_xll.DBRA(Server&amp;$C$24,$C57,$F$15)</f>
        <v>Coûts d'environnement, Taxes et dotations</v>
      </c>
      <c r="F57" s="250"/>
      <c r="G57" s="250"/>
      <c r="H57" s="39"/>
      <c r="I57" s="211">
        <f ca="1">_xll.DBRW(Server&amp;Cube1,$F$20,$F$13,$F$14,$F$19,$C$18,$F$16,$F$18,$C$19,$I$2,I$1,$C57)</f>
        <v>-15246.989750000002</v>
      </c>
      <c r="J57" s="211">
        <f ca="1">_xll.DBRW(Server&amp;Cube1,$F$20,$F$13,$F$14,$F$19,$C$18,$F$16,$F$18,$C$19,$J$2,J$1,$C57)</f>
        <v>-14319.969890000006</v>
      </c>
      <c r="K57" s="211">
        <f ca="1">_xll.DBRW(Server&amp;Cube1,$F$20,$F$13,$F$14,$F$19,$C$18,$F$16,$F$18,$C$19,$K$2,K$1,$C57)</f>
        <v>-13060.673249999996</v>
      </c>
      <c r="L57" s="175"/>
      <c r="M57" s="212">
        <f t="shared" ca="1" si="1"/>
        <v>2186.3165000000063</v>
      </c>
      <c r="N57" s="213">
        <f t="shared" ca="1" si="2"/>
        <v>0.14339332129478252</v>
      </c>
      <c r="O57" s="210" t="str">
        <f t="shared" ca="1" si="4"/>
        <v>ì</v>
      </c>
      <c r="P57" s="212">
        <f t="shared" ca="1" si="3"/>
        <v>1259.2966400000096</v>
      </c>
      <c r="Q57" s="134"/>
      <c r="R57" s="53"/>
      <c r="S57" s="53"/>
      <c r="T57" s="53"/>
      <c r="U57" s="53"/>
      <c r="V57" s="53"/>
      <c r="W57" s="53"/>
      <c r="X57" s="53"/>
      <c r="Y57" s="53"/>
      <c r="Z57" s="53"/>
      <c r="AA57" s="91" t="s">
        <v>64</v>
      </c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</row>
    <row r="58" spans="1:38" s="9" customFormat="1" ht="24" customHeight="1" thickBot="1" x14ac:dyDescent="0.4">
      <c r="A58" s="53"/>
      <c r="B58" s="53"/>
      <c r="C58" s="125" t="s">
        <v>106</v>
      </c>
      <c r="E58" s="251" t="str">
        <f ca="1">_xll.DBRA(Server&amp;$C$24,$C58,$F$15)</f>
        <v>Coûts d'environnement</v>
      </c>
      <c r="F58" s="251"/>
      <c r="G58" s="251"/>
      <c r="H58" s="39"/>
      <c r="I58" s="176">
        <f ca="1">_xll.DBRW(Server&amp;Cube1,$F$20,$F$13,$F$14,$F$19,$C$18,$F$16,$F$18,$C$19,$I$2,I$1,$C58)</f>
        <v>-6208.8482700000004</v>
      </c>
      <c r="J58" s="176">
        <f ca="1">_xll.DBRW(Server&amp;Cube1,$F$20,$F$13,$F$14,$F$19,$C$18,$F$16,$F$18,$C$19,$J$2,J$1,$C58)</f>
        <v>-6290.9333099999994</v>
      </c>
      <c r="K58" s="167">
        <f ca="1">_xll.DBRW(Server&amp;Cube1,$F$20,$F$13,$F$14,$F$19,$C$18,$F$16,$F$18,$C$19,$K$2,K$1,$C58)</f>
        <v>-5823.4880000000003</v>
      </c>
      <c r="L58" s="168"/>
      <c r="M58" s="177">
        <f t="shared" ca="1" si="1"/>
        <v>385.36027000000013</v>
      </c>
      <c r="N58" s="194">
        <f t="shared" ca="1" si="2"/>
        <v>6.2066304931623024E-2</v>
      </c>
      <c r="O58" s="115" t="str">
        <f t="shared" ca="1" si="4"/>
        <v>ì</v>
      </c>
      <c r="P58" s="177">
        <f t="shared" ca="1" si="3"/>
        <v>467.44530999999915</v>
      </c>
      <c r="Q58" s="135"/>
      <c r="R58" s="53"/>
      <c r="S58" s="53"/>
      <c r="T58" s="53"/>
      <c r="U58" s="53"/>
      <c r="V58" s="53"/>
      <c r="W58" s="53"/>
      <c r="X58" s="53"/>
      <c r="Y58" s="53"/>
      <c r="Z58" s="53"/>
      <c r="AA58" s="74" t="s">
        <v>65</v>
      </c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</row>
    <row r="59" spans="1:38" s="9" customFormat="1" ht="24" customHeight="1" outlineLevel="1" x14ac:dyDescent="0.35">
      <c r="A59" s="53"/>
      <c r="B59" s="53"/>
      <c r="C59" s="123" t="s">
        <v>107</v>
      </c>
      <c r="E59" s="252" t="str">
        <f ca="1">_xll.DBRA(Server&amp;$C$24,$C59,$F$15)</f>
        <v>Coûts bureautique</v>
      </c>
      <c r="F59" s="252"/>
      <c r="G59" s="252"/>
      <c r="H59" s="39"/>
      <c r="I59" s="178">
        <f ca="1">_xll.DBRW(Server&amp;Cube1,$F$20,$F$13,$F$14,$F$19,$C$18,$F$16,$F$18,$C$19,$I$2,I$1,$C59)</f>
        <v>-86.851829999999993</v>
      </c>
      <c r="J59" s="178">
        <f ca="1">_xll.DBRW(Server&amp;Cube1,$F$20,$F$13,$F$14,$F$19,$C$18,$F$16,$F$18,$C$19,$J$2,J$1,$C59)</f>
        <v>-84.614790000000028</v>
      </c>
      <c r="K59" s="167">
        <f ca="1">_xll.DBRW(Server&amp;Cube1,$F$20,$F$13,$F$14,$F$19,$C$18,$F$16,$F$18,$C$19,$K$2,K$1,$C59)</f>
        <v>-10</v>
      </c>
      <c r="L59" s="168"/>
      <c r="M59" s="179">
        <f t="shared" ca="1" si="1"/>
        <v>76.851829999999993</v>
      </c>
      <c r="N59" s="195">
        <f t="shared" ca="1" si="2"/>
        <v>0.88486137828068789</v>
      </c>
      <c r="O59" s="115" t="str">
        <f t="shared" ca="1" si="4"/>
        <v>ì</v>
      </c>
      <c r="P59" s="179">
        <f t="shared" ca="1" si="3"/>
        <v>74.614790000000028</v>
      </c>
      <c r="Q59" s="135"/>
      <c r="R59" s="53"/>
      <c r="S59" s="53"/>
      <c r="T59" s="53"/>
      <c r="U59" s="53"/>
      <c r="V59" s="53"/>
      <c r="W59" s="53"/>
      <c r="X59" s="53"/>
      <c r="Y59" s="53"/>
      <c r="Z59" s="53"/>
      <c r="AA59" s="9" t="s">
        <v>56</v>
      </c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</row>
    <row r="60" spans="1:38" s="9" customFormat="1" ht="24" customHeight="1" outlineLevel="1" x14ac:dyDescent="0.35">
      <c r="A60" s="53"/>
      <c r="B60" s="53"/>
      <c r="C60" s="123" t="s">
        <v>108</v>
      </c>
      <c r="E60" s="252" t="str">
        <f ca="1">_xll.DBRA(Server&amp;$C$24,$C60,$F$15)</f>
        <v>Location Bâtiment</v>
      </c>
      <c r="F60" s="252"/>
      <c r="G60" s="252"/>
      <c r="H60" s="39"/>
      <c r="I60" s="178">
        <f ca="1">_xll.DBRW(Server&amp;Cube1,$F$20,$F$13,$F$14,$F$19,$C$18,$F$16,$F$18,$C$19,$I$2,I$1,$C60)</f>
        <v>-6121.9964400000008</v>
      </c>
      <c r="J60" s="178">
        <f ca="1">_xll.DBRW(Server&amp;Cube1,$F$20,$F$13,$F$14,$F$19,$C$18,$F$16,$F$18,$C$19,$J$2,J$1,$C60)</f>
        <v>-6206.3185199999998</v>
      </c>
      <c r="K60" s="167">
        <f ca="1">_xll.DBRW(Server&amp;Cube1,$F$20,$F$13,$F$14,$F$19,$C$18,$F$16,$F$18,$C$19,$K$2,K$1,$C60)</f>
        <v>-5813.4880000000003</v>
      </c>
      <c r="L60" s="168"/>
      <c r="M60" s="179">
        <f t="shared" ca="1" si="1"/>
        <v>308.50844000000052</v>
      </c>
      <c r="N60" s="195">
        <f t="shared" ca="1" si="2"/>
        <v>5.039343668746081E-2</v>
      </c>
      <c r="O60" s="115" t="str">
        <f t="shared" ca="1" si="4"/>
        <v>ì</v>
      </c>
      <c r="P60" s="179">
        <f t="shared" ca="1" si="3"/>
        <v>392.83051999999952</v>
      </c>
      <c r="Q60" s="135"/>
      <c r="R60" s="53"/>
      <c r="S60" s="53"/>
      <c r="T60" s="53"/>
      <c r="U60" s="53"/>
      <c r="V60" s="53"/>
      <c r="W60" s="53"/>
      <c r="X60" s="53"/>
      <c r="Y60" s="53"/>
      <c r="Z60" s="53"/>
      <c r="AA60" s="9" t="s">
        <v>154</v>
      </c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</row>
    <row r="61" spans="1:38" s="9" customFormat="1" ht="24" customHeight="1" x14ac:dyDescent="0.35">
      <c r="A61" s="53"/>
      <c r="B61" s="53"/>
      <c r="C61" s="125" t="s">
        <v>109</v>
      </c>
      <c r="E61" s="251" t="str">
        <f ca="1">_xll.DBRA(Server&amp;$C$24,$C61,$F$15)</f>
        <v>Autres coûts liés au personnel</v>
      </c>
      <c r="F61" s="251"/>
      <c r="G61" s="251"/>
      <c r="H61" s="39"/>
      <c r="I61" s="176">
        <f ca="1">_xll.DBRW(Server&amp;Cube1,$F$20,$F$13,$F$14,$F$19,$C$18,$F$16,$F$18,$C$19,$I$2,I$1,$C61)</f>
        <v>-990.55244000000027</v>
      </c>
      <c r="J61" s="176">
        <f ca="1">_xll.DBRW(Server&amp;Cube1,$F$20,$F$13,$F$14,$F$19,$C$18,$F$16,$F$18,$C$19,$J$2,J$1,$C61)</f>
        <v>-1183.3736600000004</v>
      </c>
      <c r="K61" s="167">
        <f ca="1">_xll.DBRW(Server&amp;Cube1,$F$20,$F$13,$F$14,$F$19,$C$18,$F$16,$F$18,$C$19,$K$2,K$1,$C61)</f>
        <v>-910.36</v>
      </c>
      <c r="L61" s="168"/>
      <c r="M61" s="177">
        <f t="shared" ca="1" si="1"/>
        <v>80.192440000000261</v>
      </c>
      <c r="N61" s="194">
        <f t="shared" ca="1" si="2"/>
        <v>8.0957288843789263E-2</v>
      </c>
      <c r="O61" s="115" t="str">
        <f t="shared" ca="1" si="4"/>
        <v>ì</v>
      </c>
      <c r="P61" s="177">
        <f t="shared" ca="1" si="3"/>
        <v>273.01366000000041</v>
      </c>
      <c r="Q61" s="135"/>
      <c r="R61" s="53"/>
      <c r="S61" s="53"/>
      <c r="T61" s="53"/>
      <c r="U61" s="53"/>
      <c r="V61" s="53"/>
      <c r="W61" s="53"/>
      <c r="X61" s="53"/>
      <c r="Y61" s="53"/>
      <c r="Z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</row>
    <row r="62" spans="1:38" s="9" customFormat="1" ht="24" customHeight="1" outlineLevel="1" x14ac:dyDescent="0.35">
      <c r="A62" s="53"/>
      <c r="B62" s="53"/>
      <c r="C62" s="123" t="s">
        <v>110</v>
      </c>
      <c r="E62" s="252" t="str">
        <f ca="1">_xll.DBRA(Server&amp;$C$24,$C62,$F$15)</f>
        <v>Cout véhicules de fonction</v>
      </c>
      <c r="F62" s="252"/>
      <c r="G62" s="252"/>
      <c r="H62" s="39"/>
      <c r="I62" s="178">
        <f ca="1">_xll.DBRW(Server&amp;Cube1,$F$20,$F$13,$F$14,$F$19,$C$18,$F$16,$F$18,$C$19,$I$2,I$1,$C62)</f>
        <v>-758.39237000000003</v>
      </c>
      <c r="J62" s="178">
        <f ca="1">_xll.DBRW(Server&amp;Cube1,$F$20,$F$13,$F$14,$F$19,$C$18,$F$16,$F$18,$C$19,$J$2,J$1,$C62)</f>
        <v>-1026.4958400000003</v>
      </c>
      <c r="K62" s="167">
        <f ca="1">_xll.DBRW(Server&amp;Cube1,$F$20,$F$13,$F$14,$F$19,$C$18,$F$16,$F$18,$C$19,$K$2,K$1,$C62)</f>
        <v>-680.5</v>
      </c>
      <c r="L62" s="168"/>
      <c r="M62" s="179">
        <f t="shared" ca="1" si="1"/>
        <v>77.892370000000028</v>
      </c>
      <c r="N62" s="195">
        <f t="shared" ca="1" si="2"/>
        <v>0.10270721737350816</v>
      </c>
      <c r="O62" s="115" t="str">
        <f t="shared" ca="1" si="4"/>
        <v>ì</v>
      </c>
      <c r="P62" s="179">
        <f t="shared" ca="1" si="3"/>
        <v>345.99584000000027</v>
      </c>
      <c r="Q62" s="135"/>
      <c r="R62" s="53"/>
      <c r="S62" s="53"/>
      <c r="T62" s="53"/>
      <c r="U62" s="53"/>
      <c r="V62" s="53"/>
      <c r="W62" s="53"/>
      <c r="X62" s="53"/>
      <c r="Y62" s="53"/>
      <c r="Z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</row>
    <row r="63" spans="1:38" s="9" customFormat="1" ht="24" customHeight="1" outlineLevel="1" x14ac:dyDescent="0.35">
      <c r="A63" s="53"/>
      <c r="B63" s="53"/>
      <c r="C63" s="123" t="s">
        <v>111</v>
      </c>
      <c r="E63" s="252" t="str">
        <f ca="1">_xll.DBRA(Server&amp;$C$24,$C63,$F$15)</f>
        <v>Location Appartement de fonction</v>
      </c>
      <c r="F63" s="252"/>
      <c r="G63" s="252"/>
      <c r="H63" s="39"/>
      <c r="I63" s="178">
        <f ca="1">_xll.DBRW(Server&amp;Cube1,$F$20,$F$13,$F$14,$F$19,$C$18,$F$16,$F$18,$C$19,$I$2,I$1,$C63)</f>
        <v>-57.063330000000001</v>
      </c>
      <c r="J63" s="178">
        <f ca="1">_xll.DBRW(Server&amp;Cube1,$F$20,$F$13,$F$14,$F$19,$C$18,$F$16,$F$18,$C$19,$J$2,J$1,$C63)</f>
        <v>-83.237770000000012</v>
      </c>
      <c r="K63" s="167">
        <f ca="1">_xll.DBRW(Server&amp;Cube1,$F$20,$F$13,$F$14,$F$19,$C$18,$F$16,$F$18,$C$19,$K$2,K$1,$C63)</f>
        <v>-79.2</v>
      </c>
      <c r="L63" s="168"/>
      <c r="M63" s="179">
        <f t="shared" ca="1" si="1"/>
        <v>-22.136670000000002</v>
      </c>
      <c r="N63" s="195">
        <f t="shared" ca="1" si="2"/>
        <v>-0.38793161913263741</v>
      </c>
      <c r="O63" s="115" t="str">
        <f t="shared" ca="1" si="4"/>
        <v>î</v>
      </c>
      <c r="P63" s="179">
        <f t="shared" ca="1" si="3"/>
        <v>4.037770000000009</v>
      </c>
      <c r="Q63" s="135"/>
      <c r="R63" s="53"/>
      <c r="S63" s="53"/>
      <c r="T63" s="53"/>
      <c r="U63" s="53"/>
      <c r="V63" s="53"/>
      <c r="W63" s="53"/>
      <c r="X63" s="53"/>
      <c r="Y63" s="53"/>
      <c r="Z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</row>
    <row r="64" spans="1:38" s="9" customFormat="1" ht="24" customHeight="1" outlineLevel="1" x14ac:dyDescent="0.35">
      <c r="A64" s="53"/>
      <c r="B64" s="53"/>
      <c r="C64" s="123" t="s">
        <v>112</v>
      </c>
      <c r="E64" s="105" t="s">
        <v>97</v>
      </c>
      <c r="F64" s="105"/>
      <c r="G64" s="105"/>
      <c r="H64" s="39"/>
      <c r="I64" s="178">
        <f ca="1">_xll.DBRW(Server&amp;Cube1,$F$20,$F$13,$F$14,$F$19,$C$18,$F$16,$F$18,$C$19,$I$2,I$1,$C64)</f>
        <v>-175.0967399999999</v>
      </c>
      <c r="J64" s="178">
        <f ca="1">_xll.DBRW(Server&amp;Cube1,$F$20,$F$13,$F$14,$F$19,$C$18,$F$16,$F$18,$C$19,$J$2,J$1,$C64)</f>
        <v>-73.640050000000002</v>
      </c>
      <c r="K64" s="167">
        <f ca="1">_xll.DBRW(Server&amp;Cube1,$F$20,$F$13,$F$14,$F$19,$C$18,$F$16,$F$18,$C$19,$K$2,K$1,$C64)</f>
        <v>-150.66</v>
      </c>
      <c r="L64" s="168"/>
      <c r="M64" s="179">
        <f t="shared" ca="1" si="1"/>
        <v>24.436739999999901</v>
      </c>
      <c r="N64" s="195">
        <f t="shared" ca="1" si="2"/>
        <v>0.13956136476327266</v>
      </c>
      <c r="O64" s="115" t="str">
        <f t="shared" ref="O64:O82" ca="1" si="5">IF(N64&gt;0.01,$AC$29,IF(N64&lt;-0.01,$AD$29,$AE$29))</f>
        <v>ì</v>
      </c>
      <c r="P64" s="179">
        <f t="shared" ca="1" si="3"/>
        <v>-77.019949999999994</v>
      </c>
      <c r="Q64" s="135"/>
      <c r="R64" s="53"/>
      <c r="S64" s="53"/>
      <c r="T64" s="53"/>
      <c r="U64" s="53"/>
      <c r="V64" s="53"/>
      <c r="W64" s="53"/>
      <c r="X64" s="53"/>
      <c r="Y64" s="53"/>
      <c r="Z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</row>
    <row r="65" spans="1:38" s="9" customFormat="1" ht="24" customHeight="1" x14ac:dyDescent="0.35">
      <c r="A65" s="53"/>
      <c r="B65" s="53"/>
      <c r="C65" s="125" t="s">
        <v>113</v>
      </c>
      <c r="E65" s="251" t="str">
        <f ca="1">_xll.DBRA(Server&amp;$C$24,$C65,$F$15)</f>
        <v>Autres impôts et taxes</v>
      </c>
      <c r="F65" s="251"/>
      <c r="G65" s="251"/>
      <c r="H65" s="39"/>
      <c r="I65" s="176">
        <f ca="1">_xll.DBRW(Server&amp;Cube1,$F$20,$F$13,$F$14,$F$19,$C$18,$F$16,$F$18,$C$19,$I$2,I$1,$C65)</f>
        <v>-1979.4964299999999</v>
      </c>
      <c r="J65" s="176">
        <f ca="1">_xll.DBRW(Server&amp;Cube1,$F$20,$F$13,$F$14,$F$19,$C$18,$F$16,$F$18,$C$19,$J$2,J$1,$C65)</f>
        <v>-2070.8281400000001</v>
      </c>
      <c r="K65" s="167">
        <f ca="1">_xll.DBRW(Server&amp;Cube1,$F$20,$F$13,$F$14,$F$19,$C$18,$F$16,$F$18,$C$19,$K$2,K$1,$C65)</f>
        <v>-1998.999</v>
      </c>
      <c r="L65" s="168"/>
      <c r="M65" s="177">
        <f t="shared" ca="1" si="1"/>
        <v>-19.502570000000105</v>
      </c>
      <c r="N65" s="194">
        <f t="shared" ca="1" si="2"/>
        <v>-9.8522885439101832E-3</v>
      </c>
      <c r="O65" s="115" t="str">
        <f t="shared" ca="1" si="5"/>
        <v>è</v>
      </c>
      <c r="P65" s="177">
        <f t="shared" ca="1" si="3"/>
        <v>71.829140000000052</v>
      </c>
      <c r="Q65" s="135"/>
      <c r="R65" s="53"/>
      <c r="S65" s="53"/>
      <c r="T65" s="53"/>
      <c r="U65" s="53"/>
      <c r="V65" s="53"/>
      <c r="W65" s="53"/>
      <c r="X65" s="53"/>
      <c r="Y65" s="53"/>
      <c r="Z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</row>
    <row r="66" spans="1:38" s="9" customFormat="1" ht="24" customHeight="1" outlineLevel="1" x14ac:dyDescent="0.35">
      <c r="A66" s="53"/>
      <c r="B66" s="53"/>
      <c r="C66" s="123" t="s">
        <v>114</v>
      </c>
      <c r="E66" s="252" t="str">
        <f ca="1">_xll.DBRA(Server&amp;$C$24,$C66,$F$15)</f>
        <v>CET - CVAE</v>
      </c>
      <c r="F66" s="252"/>
      <c r="G66" s="252"/>
      <c r="H66" s="39"/>
      <c r="I66" s="178">
        <f ca="1">_xll.DBRW(Server&amp;Cube1,$F$20,$F$13,$F$14,$F$19,$C$18,$F$16,$F$18,$C$19,$I$2,I$1,$C66)</f>
        <v>-861.52600000000007</v>
      </c>
      <c r="J66" s="178">
        <f ca="1">_xll.DBRW(Server&amp;Cube1,$F$20,$F$13,$F$14,$F$19,$C$18,$F$16,$F$18,$C$19,$J$2,J$1,$C66)</f>
        <v>-1075.0261399999999</v>
      </c>
      <c r="K66" s="167">
        <f ca="1">_xll.DBRW(Server&amp;Cube1,$F$20,$F$13,$F$14,$F$19,$C$18,$F$16,$F$18,$C$19,$K$2,K$1,$C66)</f>
        <v>-1000.0000000000001</v>
      </c>
      <c r="L66" s="168"/>
      <c r="M66" s="179">
        <f t="shared" ca="1" si="1"/>
        <v>-138.47400000000005</v>
      </c>
      <c r="N66" s="195">
        <f t="shared" ca="1" si="2"/>
        <v>-0.16073107486018998</v>
      </c>
      <c r="O66" s="115" t="str">
        <f t="shared" ca="1" si="5"/>
        <v>î</v>
      </c>
      <c r="P66" s="179">
        <f t="shared" ca="1" si="3"/>
        <v>75.026139999999828</v>
      </c>
      <c r="Q66" s="135"/>
      <c r="R66" s="53"/>
      <c r="S66" s="53"/>
      <c r="T66" s="53"/>
      <c r="U66" s="53"/>
      <c r="V66" s="53"/>
      <c r="W66" s="53"/>
      <c r="X66" s="53"/>
      <c r="Y66" s="53"/>
      <c r="Z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</row>
    <row r="67" spans="1:38" s="9" customFormat="1" ht="24" customHeight="1" outlineLevel="1" x14ac:dyDescent="0.35">
      <c r="A67" s="53"/>
      <c r="B67" s="53"/>
      <c r="C67" s="123" t="s">
        <v>115</v>
      </c>
      <c r="E67" s="252" t="str">
        <f ca="1">_xll.DBRA(Server&amp;$C$24,$C67,$F$15)</f>
        <v>Impôts et taxes divers</v>
      </c>
      <c r="F67" s="252"/>
      <c r="G67" s="252"/>
      <c r="H67" s="39"/>
      <c r="I67" s="178">
        <f ca="1">_xll.DBRW(Server&amp;Cube1,$F$20,$F$13,$F$14,$F$19,$C$18,$F$16,$F$18,$C$19,$I$2,I$1,$C67)</f>
        <v>-1117.9704299999999</v>
      </c>
      <c r="J67" s="178">
        <f ca="1">_xll.DBRW(Server&amp;Cube1,$F$20,$F$13,$F$14,$F$19,$C$18,$F$16,$F$18,$C$19,$J$2,J$1,$C67)</f>
        <v>-995.80200000000025</v>
      </c>
      <c r="K67" s="167">
        <f ca="1">_xll.DBRW(Server&amp;Cube1,$F$20,$F$13,$F$14,$F$19,$C$18,$F$16,$F$18,$C$19,$K$2,K$1,$C67)</f>
        <v>-998.99900000000002</v>
      </c>
      <c r="L67" s="168"/>
      <c r="M67" s="179">
        <f t="shared" ca="1" si="1"/>
        <v>118.97142999999983</v>
      </c>
      <c r="N67" s="195">
        <f t="shared" ca="1" si="2"/>
        <v>0.10641733162835071</v>
      </c>
      <c r="O67" s="115" t="str">
        <f t="shared" ca="1" si="5"/>
        <v>ì</v>
      </c>
      <c r="P67" s="179">
        <f t="shared" ca="1" si="3"/>
        <v>-3.1969999999997754</v>
      </c>
      <c r="Q67" s="135"/>
      <c r="R67" s="53"/>
      <c r="S67" s="53"/>
      <c r="T67" s="53"/>
      <c r="U67" s="53"/>
      <c r="V67" s="53"/>
      <c r="W67" s="53"/>
      <c r="X67" s="53"/>
      <c r="Y67" s="53"/>
      <c r="Z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</row>
    <row r="68" spans="1:38" s="9" customFormat="1" ht="24" customHeight="1" x14ac:dyDescent="0.35">
      <c r="A68" s="53"/>
      <c r="B68" s="53"/>
      <c r="C68" s="125" t="s">
        <v>116</v>
      </c>
      <c r="E68" s="251" t="str">
        <f ca="1">_xll.DBRA(Server&amp;$C$24,$C68,$F$15)</f>
        <v>Dotations amortissements et provisions exceptionnelles</v>
      </c>
      <c r="F68" s="251"/>
      <c r="G68" s="251"/>
      <c r="H68" s="39"/>
      <c r="I68" s="176">
        <f ca="1">_xll.DBRW(Server&amp;Cube1,$F$20,$F$13,$F$14,$F$19,$C$18,$F$16,$F$18,$C$19,$I$2,I$1,$C68)</f>
        <v>-1842.6582600000002</v>
      </c>
      <c r="J68" s="176">
        <f ca="1">_xll.DBRW(Server&amp;Cube1,$F$20,$F$13,$F$14,$F$19,$C$18,$F$16,$F$18,$C$19,$J$2,J$1,$C68)</f>
        <v>-71.480999999999995</v>
      </c>
      <c r="K68" s="167">
        <f ca="1">_xll.DBRW(Server&amp;Cube1,$F$20,$F$13,$F$14,$F$19,$C$18,$F$16,$F$18,$C$19,$K$2,K$1,$C68)</f>
        <v>-85</v>
      </c>
      <c r="L68" s="168"/>
      <c r="M68" s="169">
        <f t="shared" ca="1" si="1"/>
        <v>1757.6582600000002</v>
      </c>
      <c r="N68" s="191">
        <f t="shared" ca="1" si="2"/>
        <v>0.95387099070665438</v>
      </c>
      <c r="O68" s="115" t="str">
        <f t="shared" ca="1" si="5"/>
        <v>ì</v>
      </c>
      <c r="P68" s="169">
        <f t="shared" ca="1" si="3"/>
        <v>-13.519000000000005</v>
      </c>
      <c r="Q68" s="136"/>
      <c r="R68" s="53"/>
      <c r="S68" s="53"/>
      <c r="T68" s="53"/>
      <c r="U68" s="53"/>
      <c r="V68" s="53"/>
      <c r="W68" s="53"/>
      <c r="X68" s="53"/>
      <c r="Y68" s="53"/>
      <c r="Z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</row>
    <row r="69" spans="1:38" s="9" customFormat="1" ht="24" customHeight="1" outlineLevel="1" x14ac:dyDescent="0.35">
      <c r="A69" s="53"/>
      <c r="B69" s="53"/>
      <c r="C69" s="123" t="s">
        <v>117</v>
      </c>
      <c r="E69" s="252" t="str">
        <f ca="1">_xll.DBRA(Server&amp;$C$24,$C69,$F$15)</f>
        <v>Amortissements exceptionnels</v>
      </c>
      <c r="F69" s="252"/>
      <c r="G69" s="252"/>
      <c r="H69" s="39"/>
      <c r="I69" s="178">
        <f ca="1">_xll.DBRW(Server&amp;Cube1,$F$20,$F$13,$F$14,$F$19,$C$18,$F$16,$F$18,$C$19,$I$2,I$1,$C69)</f>
        <v>-111.82736</v>
      </c>
      <c r="J69" s="178">
        <f ca="1">_xll.DBRW(Server&amp;Cube1,$F$20,$F$13,$F$14,$F$19,$C$18,$F$16,$F$18,$C$19,$J$2,J$1,$C69)</f>
        <v>0</v>
      </c>
      <c r="K69" s="167">
        <f ca="1">_xll.DBRW(Server&amp;Cube1,$F$20,$F$13,$F$14,$F$19,$C$18,$F$16,$F$18,$C$19,$K$2,K$1,$C69)</f>
        <v>0</v>
      </c>
      <c r="L69" s="171"/>
      <c r="M69" s="172">
        <f t="shared" ca="1" si="1"/>
        <v>111.82736</v>
      </c>
      <c r="N69" s="192">
        <f t="shared" ca="1" si="2"/>
        <v>1</v>
      </c>
      <c r="O69" s="115" t="str">
        <f t="shared" ca="1" si="5"/>
        <v>ì</v>
      </c>
      <c r="P69" s="172">
        <f t="shared" ca="1" si="3"/>
        <v>0</v>
      </c>
      <c r="Q69" s="136"/>
      <c r="R69" s="53"/>
      <c r="S69" s="53"/>
      <c r="T69" s="53"/>
      <c r="U69" s="53"/>
      <c r="V69" s="53"/>
      <c r="W69" s="53"/>
      <c r="X69" s="53"/>
      <c r="Y69" s="53"/>
      <c r="Z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</row>
    <row r="70" spans="1:38" s="9" customFormat="1" ht="24" customHeight="1" outlineLevel="1" x14ac:dyDescent="0.35">
      <c r="A70" s="53"/>
      <c r="B70" s="53"/>
      <c r="C70" s="123" t="s">
        <v>118</v>
      </c>
      <c r="E70" s="252" t="str">
        <f ca="1">_xll.DBRA(Server&amp;$C$24,$C70,$F$15)</f>
        <v>Provisions exceptionnelles</v>
      </c>
      <c r="F70" s="252"/>
      <c r="G70" s="252"/>
      <c r="H70" s="39"/>
      <c r="I70" s="178">
        <f ca="1">_xll.DBRW(Server&amp;Cube1,$F$20,$F$13,$F$14,$F$19,$C$18,$F$16,$F$18,$C$19,$I$2,I$1,$C70)</f>
        <v>-1730.8308999999999</v>
      </c>
      <c r="J70" s="178">
        <f ca="1">_xll.DBRW(Server&amp;Cube1,$F$20,$F$13,$F$14,$F$19,$C$18,$F$16,$F$18,$C$19,$J$2,J$1,$C70)</f>
        <v>-71.480999999999995</v>
      </c>
      <c r="K70" s="167">
        <f ca="1">_xll.DBRW(Server&amp;Cube1,$F$20,$F$13,$F$14,$F$19,$C$18,$F$16,$F$18,$C$19,$K$2,K$1,$C70)</f>
        <v>-85</v>
      </c>
      <c r="L70" s="171"/>
      <c r="M70" s="172">
        <f t="shared" ca="1" si="1"/>
        <v>1645.8308999999999</v>
      </c>
      <c r="N70" s="192">
        <f t="shared" ca="1" si="2"/>
        <v>0.95089063870999757</v>
      </c>
      <c r="O70" s="115" t="str">
        <f t="shared" ca="1" si="5"/>
        <v>ì</v>
      </c>
      <c r="P70" s="172">
        <f t="shared" ca="1" si="3"/>
        <v>-13.519000000000005</v>
      </c>
      <c r="Q70" s="136"/>
      <c r="R70" s="53"/>
      <c r="S70" s="53"/>
      <c r="T70" s="53"/>
      <c r="U70" s="53"/>
      <c r="V70" s="53"/>
      <c r="W70" s="53"/>
      <c r="X70" s="53"/>
      <c r="Y70" s="53"/>
      <c r="Z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</row>
    <row r="71" spans="1:38" s="9" customFormat="1" ht="24" customHeight="1" x14ac:dyDescent="0.35">
      <c r="A71" s="53"/>
      <c r="B71" s="53"/>
      <c r="C71" s="125" t="s">
        <v>119</v>
      </c>
      <c r="E71" s="251" t="str">
        <f ca="1">_xll.DBRA(Server&amp;$C$24,$C71,$F$15)</f>
        <v>Autres produits et charges exceptionnelles</v>
      </c>
      <c r="F71" s="251"/>
      <c r="G71" s="251"/>
      <c r="H71" s="39"/>
      <c r="I71" s="176">
        <f ca="1">_xll.DBRW(Server&amp;Cube1,$F$20,$F$13,$F$14,$F$19,$C$18,$F$16,$F$18,$C$19,$I$2,I$1,$C71)</f>
        <v>0</v>
      </c>
      <c r="J71" s="176">
        <f ca="1">_xll.DBRW(Server&amp;Cube1,$F$20,$F$13,$F$14,$F$19,$C$18,$F$16,$F$18,$C$19,$J$2,J$1,$C71)</f>
        <v>246.83972</v>
      </c>
      <c r="K71" s="167">
        <f ca="1">_xll.DBRW(Server&amp;Cube1,$F$20,$F$13,$F$14,$F$19,$C$18,$F$16,$F$18,$C$19,$K$2,K$1,$C71)</f>
        <v>0</v>
      </c>
      <c r="L71" s="168"/>
      <c r="M71" s="177">
        <f t="shared" ca="1" si="1"/>
        <v>0</v>
      </c>
      <c r="N71" s="194">
        <f t="shared" ca="1" si="2"/>
        <v>0</v>
      </c>
      <c r="O71" s="115" t="str">
        <f t="shared" ca="1" si="5"/>
        <v>è</v>
      </c>
      <c r="P71" s="177">
        <f t="shared" ca="1" si="3"/>
        <v>-246.83972</v>
      </c>
      <c r="Q71" s="135"/>
      <c r="R71" s="53"/>
      <c r="S71" s="53"/>
      <c r="T71" s="53"/>
      <c r="U71" s="53"/>
      <c r="V71" s="53"/>
      <c r="W71" s="53"/>
      <c r="X71" s="53"/>
      <c r="Y71" s="53"/>
      <c r="Z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</row>
    <row r="72" spans="1:38" s="9" customFormat="1" ht="24" customHeight="1" outlineLevel="1" x14ac:dyDescent="0.35">
      <c r="A72" s="53"/>
      <c r="B72" s="53"/>
      <c r="C72" s="123" t="s">
        <v>120</v>
      </c>
      <c r="E72" s="252" t="str">
        <f ca="1">_xll.DBRA(Server&amp;$C$24,$C72,$F$15)</f>
        <v>Autres produits exceptionnels</v>
      </c>
      <c r="F72" s="252"/>
      <c r="G72" s="252"/>
      <c r="H72" s="39"/>
      <c r="I72" s="178">
        <f ca="1">_xll.DBRW(Server&amp;Cube1,$F$20,$F$13,$F$14,$F$19,$C$18,$F$16,$F$18,$C$19,$I$2,I$1,$C72)</f>
        <v>0</v>
      </c>
      <c r="J72" s="178">
        <f ca="1">_xll.DBRW(Server&amp;Cube1,$F$20,$F$13,$F$14,$F$19,$C$18,$F$16,$F$18,$C$19,$J$2,J$1,$C72)</f>
        <v>0</v>
      </c>
      <c r="K72" s="167">
        <f ca="1">_xll.DBRW(Server&amp;Cube1,$F$20,$F$13,$F$14,$F$19,$C$18,$F$16,$F$18,$C$19,$K$2,K$1,$C72)</f>
        <v>0</v>
      </c>
      <c r="L72" s="168"/>
      <c r="M72" s="179">
        <f t="shared" ca="1" si="1"/>
        <v>0</v>
      </c>
      <c r="N72" s="195">
        <f t="shared" ca="1" si="2"/>
        <v>0</v>
      </c>
      <c r="O72" s="115" t="str">
        <f t="shared" ca="1" si="5"/>
        <v>è</v>
      </c>
      <c r="P72" s="179">
        <f t="shared" ca="1" si="3"/>
        <v>0</v>
      </c>
      <c r="Q72" s="135"/>
      <c r="R72" s="53"/>
      <c r="S72" s="53"/>
      <c r="T72" s="53"/>
      <c r="U72" s="53"/>
      <c r="V72" s="53"/>
      <c r="W72" s="53"/>
      <c r="X72" s="53"/>
      <c r="Y72" s="53"/>
      <c r="Z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</row>
    <row r="73" spans="1:38" s="9" customFormat="1" ht="24" customHeight="1" outlineLevel="1" x14ac:dyDescent="0.35">
      <c r="A73" s="53"/>
      <c r="B73" s="53"/>
      <c r="C73" s="123" t="s">
        <v>121</v>
      </c>
      <c r="E73" s="252" t="str">
        <f ca="1">_xll.DBRA(Server&amp;$C$24,$C73,$F$15)</f>
        <v>Autres charges exceptionnelles</v>
      </c>
      <c r="F73" s="252"/>
      <c r="G73" s="252"/>
      <c r="H73" s="39"/>
      <c r="I73" s="178">
        <f ca="1">_xll.DBRW(Server&amp;Cube1,$F$20,$F$13,$F$14,$F$19,$C$18,$F$16,$F$18,$C$19,$I$2,I$1,$C73)</f>
        <v>0</v>
      </c>
      <c r="J73" s="178">
        <f ca="1">_xll.DBRW(Server&amp;Cube1,$F$20,$F$13,$F$14,$F$19,$C$18,$F$16,$F$18,$C$19,$J$2,J$1,$C73)</f>
        <v>243.52069</v>
      </c>
      <c r="K73" s="167">
        <f ca="1">_xll.DBRW(Server&amp;Cube1,$F$20,$F$13,$F$14,$F$19,$C$18,$F$16,$F$18,$C$19,$K$2,K$1,$C73)</f>
        <v>0</v>
      </c>
      <c r="L73" s="168"/>
      <c r="M73" s="179">
        <f t="shared" ca="1" si="1"/>
        <v>0</v>
      </c>
      <c r="N73" s="195">
        <f t="shared" ca="1" si="2"/>
        <v>0</v>
      </c>
      <c r="O73" s="115" t="str">
        <f t="shared" ca="1" si="5"/>
        <v>è</v>
      </c>
      <c r="P73" s="179">
        <f t="shared" ca="1" si="3"/>
        <v>-243.52069</v>
      </c>
      <c r="Q73" s="135"/>
      <c r="R73" s="53"/>
      <c r="S73" s="53"/>
      <c r="T73" s="53"/>
      <c r="U73" s="53"/>
      <c r="V73" s="53"/>
      <c r="W73" s="53"/>
      <c r="X73" s="53"/>
      <c r="Y73" s="53"/>
      <c r="Z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</row>
    <row r="74" spans="1:38" s="9" customFormat="1" ht="24" customHeight="1" outlineLevel="1" x14ac:dyDescent="0.35">
      <c r="A74" s="53"/>
      <c r="B74" s="53"/>
      <c r="C74" s="123" t="s">
        <v>122</v>
      </c>
      <c r="E74" s="252" t="str">
        <f ca="1">_xll.DBRA(Server&amp;$C$24,$C74,$F$15)</f>
        <v>Résultats de cession</v>
      </c>
      <c r="F74" s="252"/>
      <c r="G74" s="252"/>
      <c r="H74" s="39"/>
      <c r="I74" s="178">
        <f ca="1">_xll.DBRW(Server&amp;Cube1,$F$20,$F$13,$F$14,$F$19,$C$18,$F$16,$F$18,$C$19,$I$2,I$1,$C74)</f>
        <v>0</v>
      </c>
      <c r="J74" s="178">
        <f ca="1">_xll.DBRW(Server&amp;Cube1,$F$20,$F$13,$F$14,$F$19,$C$18,$F$16,$F$18,$C$19,$J$2,J$1,$C74)</f>
        <v>3.3190299999999988</v>
      </c>
      <c r="K74" s="167">
        <f ca="1">_xll.DBRW(Server&amp;Cube1,$F$20,$F$13,$F$14,$F$19,$C$18,$F$16,$F$18,$C$19,$K$2,K$1,$C74)</f>
        <v>0</v>
      </c>
      <c r="L74" s="171"/>
      <c r="M74" s="179">
        <f t="shared" ca="1" si="1"/>
        <v>0</v>
      </c>
      <c r="N74" s="195">
        <f t="shared" ca="1" si="2"/>
        <v>0</v>
      </c>
      <c r="O74" s="115" t="str">
        <f t="shared" ca="1" si="5"/>
        <v>è</v>
      </c>
      <c r="P74" s="179">
        <f t="shared" ca="1" si="3"/>
        <v>-3.3190299999999988</v>
      </c>
      <c r="Q74" s="135"/>
      <c r="R74" s="53"/>
      <c r="S74" s="53"/>
      <c r="T74" s="53"/>
      <c r="U74" s="53"/>
      <c r="V74" s="53"/>
      <c r="W74" s="53"/>
      <c r="X74" s="53"/>
      <c r="Y74" s="53"/>
      <c r="Z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</row>
    <row r="75" spans="1:38" s="9" customFormat="1" ht="24" customHeight="1" x14ac:dyDescent="0.35">
      <c r="A75" s="53"/>
      <c r="B75" s="53"/>
      <c r="C75" s="125" t="s">
        <v>123</v>
      </c>
      <c r="E75" s="251" t="str">
        <f ca="1">_xll.DBRA(Server&amp;$C$24,$C75,$F$15)</f>
        <v>Dotations amortissements et provisions</v>
      </c>
      <c r="F75" s="251"/>
      <c r="G75" s="251"/>
      <c r="H75" s="39"/>
      <c r="I75" s="176">
        <f ca="1">_xll.DBRW(Server&amp;Cube1,$F$20,$F$13,$F$14,$F$19,$C$18,$F$16,$F$18,$C$19,$I$2,I$1,$C75)</f>
        <v>-4225.4343499999995</v>
      </c>
      <c r="J75" s="176">
        <f ca="1">_xll.DBRW(Server&amp;Cube1,$F$20,$F$13,$F$14,$F$19,$C$18,$F$16,$F$18,$C$19,$J$2,J$1,$C75)</f>
        <v>-4950.1935000000012</v>
      </c>
      <c r="K75" s="167">
        <f ca="1">_xll.DBRW(Server&amp;Cube1,$F$20,$F$13,$F$14,$F$19,$C$18,$F$16,$F$18,$C$19,$K$2,K$1,$C75)</f>
        <v>-4242.8262499999992</v>
      </c>
      <c r="L75" s="168"/>
      <c r="M75" s="177">
        <f t="shared" ca="1" si="1"/>
        <v>-17.391899999999623</v>
      </c>
      <c r="N75" s="194">
        <f t="shared" ca="1" si="2"/>
        <v>-4.116002890921646E-3</v>
      </c>
      <c r="O75" s="115" t="str">
        <f t="shared" ca="1" si="5"/>
        <v>è</v>
      </c>
      <c r="P75" s="177">
        <f t="shared" ca="1" si="3"/>
        <v>707.36725000000206</v>
      </c>
      <c r="Q75" s="135"/>
      <c r="R75" s="53"/>
      <c r="S75" s="53"/>
      <c r="T75" s="53"/>
      <c r="U75" s="53"/>
      <c r="V75" s="53"/>
      <c r="W75" s="53"/>
      <c r="X75" s="53"/>
      <c r="Y75" s="53"/>
      <c r="Z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</row>
    <row r="76" spans="1:38" s="9" customFormat="1" ht="24" customHeight="1" outlineLevel="1" x14ac:dyDescent="0.35">
      <c r="A76" s="53"/>
      <c r="B76" s="53"/>
      <c r="C76" s="123" t="s">
        <v>124</v>
      </c>
      <c r="E76" s="252" t="str">
        <f ca="1">_xll.DBRA(Server&amp;$C$24,$C76,$F$15)</f>
        <v>Dotations aux Amortissements</v>
      </c>
      <c r="F76" s="252"/>
      <c r="G76" s="252"/>
      <c r="H76" s="39"/>
      <c r="I76" s="178">
        <f ca="1">_xll.DBRW(Server&amp;Cube1,$F$20,$F$13,$F$14,$F$19,$C$18,$F$16,$F$18,$C$19,$I$2,I$1,$C76)</f>
        <v>-4393.0433400000002</v>
      </c>
      <c r="J76" s="178">
        <f ca="1">_xll.DBRW(Server&amp;Cube1,$F$20,$F$13,$F$14,$F$19,$C$18,$F$16,$F$18,$C$19,$J$2,J$1,$C76)</f>
        <v>-3954.0348400000007</v>
      </c>
      <c r="K76" s="167">
        <f ca="1">_xll.DBRW(Server&amp;Cube1,$F$20,$F$13,$F$14,$F$19,$C$18,$F$16,$F$18,$C$19,$K$2,K$1,$C76)</f>
        <v>-5078.6426500000007</v>
      </c>
      <c r="L76" s="171"/>
      <c r="M76" s="179">
        <f t="shared" ca="1" si="1"/>
        <v>-685.59931000000051</v>
      </c>
      <c r="N76" s="195">
        <f t="shared" ca="1" si="2"/>
        <v>-0.15606477262753354</v>
      </c>
      <c r="O76" s="115" t="str">
        <f t="shared" ca="1" si="5"/>
        <v>î</v>
      </c>
      <c r="P76" s="179">
        <f t="shared" ca="1" si="3"/>
        <v>-1124.60781</v>
      </c>
      <c r="Q76" s="135"/>
      <c r="R76" s="53"/>
      <c r="S76" s="53"/>
      <c r="T76" s="53"/>
      <c r="U76" s="53"/>
      <c r="V76" s="53"/>
      <c r="W76" s="53"/>
      <c r="X76" s="53"/>
      <c r="Y76" s="53"/>
      <c r="Z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</row>
    <row r="77" spans="1:38" s="9" customFormat="1" ht="24" customHeight="1" outlineLevel="1" x14ac:dyDescent="0.35">
      <c r="A77" s="53"/>
      <c r="B77" s="53"/>
      <c r="C77" s="123" t="s">
        <v>125</v>
      </c>
      <c r="E77" s="252" t="str">
        <f ca="1">_xll.DBRA(Server&amp;$C$24,$C77,$F$15)</f>
        <v>Provisions</v>
      </c>
      <c r="F77" s="252"/>
      <c r="G77" s="252"/>
      <c r="H77" s="39"/>
      <c r="I77" s="178">
        <f ca="1">_xll.DBRW(Server&amp;Cube1,$F$20,$F$13,$F$14,$F$19,$C$18,$F$16,$F$18,$C$19,$I$2,I$1,$C77)</f>
        <v>167.60898999999995</v>
      </c>
      <c r="J77" s="178">
        <f ca="1">_xll.DBRW(Server&amp;Cube1,$F$20,$F$13,$F$14,$F$19,$C$18,$F$16,$F$18,$C$19,$J$2,J$1,$C77)</f>
        <v>-996.15866000000028</v>
      </c>
      <c r="K77" s="167">
        <f ca="1">_xll.DBRW(Server&amp;Cube1,$F$20,$F$13,$F$14,$F$19,$C$18,$F$16,$F$18,$C$19,$K$2,K$1,$C77)</f>
        <v>835.81640000000039</v>
      </c>
      <c r="L77" s="171"/>
      <c r="M77" s="179">
        <f t="shared" ca="1" si="1"/>
        <v>668.20741000000044</v>
      </c>
      <c r="N77" s="195">
        <f t="shared" ca="1" si="2"/>
        <v>3.9867038754902149</v>
      </c>
      <c r="O77" s="115" t="str">
        <f t="shared" ca="1" si="5"/>
        <v>ì</v>
      </c>
      <c r="P77" s="179">
        <f t="shared" ca="1" si="3"/>
        <v>1831.9750600000007</v>
      </c>
      <c r="Q77" s="135"/>
      <c r="R77" s="53"/>
      <c r="S77" s="53"/>
      <c r="T77" s="53"/>
      <c r="U77" s="53"/>
      <c r="V77" s="53"/>
      <c r="W77" s="53"/>
      <c r="X77" s="53"/>
      <c r="Y77" s="53"/>
      <c r="Z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</row>
    <row r="78" spans="1:38" s="9" customFormat="1" ht="24" customHeight="1" x14ac:dyDescent="0.35">
      <c r="A78" s="53"/>
      <c r="B78" s="53"/>
      <c r="C78" s="125" t="s">
        <v>126</v>
      </c>
      <c r="E78" s="251" t="str">
        <f ca="1">_xll.DBRA(Server&amp;$C$24,$C78,$F$15)</f>
        <v>Coûts communs</v>
      </c>
      <c r="F78" s="251"/>
      <c r="G78" s="251"/>
      <c r="H78" s="39"/>
      <c r="I78" s="178">
        <f ca="1">_xll.DBRW(Server&amp;Cube1,$F$20,$F$13,$F$14,$F$19,$C$18,$F$16,$F$18,$C$19,$I$2,I$1,$C78)</f>
        <v>-1.8612809071782976E-12</v>
      </c>
      <c r="J78" s="178">
        <f ca="1">_xll.DBRW(Server&amp;Cube1,$F$20,$F$13,$F$14,$F$19,$C$18,$F$16,$F$18,$C$19,$J$2,J$1,$C78)</f>
        <v>-4.5624801714438943E-12</v>
      </c>
      <c r="K78" s="167">
        <f ca="1">_xll.DBRW(Server&amp;Cube1,$F$20,$F$13,$F$14,$F$19,$C$18,$F$16,$F$18,$C$19,$K$2,K$1,$C78)</f>
        <v>9.3132257461547854E-13</v>
      </c>
      <c r="L78" s="171"/>
      <c r="M78" s="172">
        <f t="shared" ca="1" si="1"/>
        <v>2.7926034817937762E-12</v>
      </c>
      <c r="N78" s="192">
        <f t="shared" ca="1" si="2"/>
        <v>1.5003664793549965</v>
      </c>
      <c r="O78" s="115" t="str">
        <f t="shared" ca="1" si="5"/>
        <v>ì</v>
      </c>
      <c r="P78" s="172">
        <f t="shared" ca="1" si="3"/>
        <v>5.4938027460593728E-12</v>
      </c>
      <c r="Q78" s="136"/>
      <c r="R78" s="53"/>
      <c r="S78" s="53"/>
      <c r="T78" s="53"/>
      <c r="U78" s="53"/>
      <c r="V78" s="53"/>
      <c r="W78" s="53"/>
      <c r="X78" s="53"/>
      <c r="Y78" s="53"/>
      <c r="Z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</row>
    <row r="79" spans="1:38" s="9" customFormat="1" ht="24" customHeight="1" outlineLevel="1" x14ac:dyDescent="0.35">
      <c r="A79" s="53"/>
      <c r="B79" s="53"/>
      <c r="C79" s="123" t="s">
        <v>127</v>
      </c>
      <c r="E79" s="252" t="str">
        <f ca="1">_xll.DBRA(Server&amp;$C$24,$C79,$F$15)</f>
        <v>Coûts m² Sérenis</v>
      </c>
      <c r="F79" s="252"/>
      <c r="G79" s="252"/>
      <c r="H79" s="39"/>
      <c r="I79" s="178">
        <f ca="1">_xll.DBRW(Server&amp;Cube1,$F$20,$F$13,$F$14,$F$19,$C$18,$F$16,$F$18,$C$19,$I$2,I$1,$C79)</f>
        <v>-1.8626451492309571E-12</v>
      </c>
      <c r="J79" s="178">
        <f ca="1">_xll.DBRW(Server&amp;Cube1,$F$20,$F$13,$F$14,$F$19,$C$18,$F$16,$F$18,$C$19,$J$2,J$1,$C79)</f>
        <v>-4.5620254240930081E-12</v>
      </c>
      <c r="K79" s="167">
        <f ca="1">_xll.DBRW(Server&amp;Cube1,$F$20,$F$13,$F$14,$F$19,$C$18,$F$16,$F$18,$C$19,$K$2,K$1,$C79)</f>
        <v>9.3132257461547854E-13</v>
      </c>
      <c r="L79" s="171"/>
      <c r="M79" s="172">
        <f t="shared" ca="1" si="1"/>
        <v>2.7939677238464356E-12</v>
      </c>
      <c r="N79" s="192">
        <f t="shared" ca="1" si="2"/>
        <v>1.5</v>
      </c>
      <c r="O79" s="115" t="str">
        <f t="shared" ca="1" si="5"/>
        <v>ì</v>
      </c>
      <c r="P79" s="172">
        <f t="shared" ca="1" si="3"/>
        <v>5.4933479987084866E-12</v>
      </c>
      <c r="Q79" s="136"/>
      <c r="R79" s="53"/>
      <c r="S79" s="53"/>
      <c r="T79" s="53"/>
      <c r="U79" s="53"/>
      <c r="V79" s="53"/>
      <c r="W79" s="53"/>
      <c r="X79" s="53"/>
      <c r="Y79" s="53"/>
      <c r="Z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</row>
    <row r="80" spans="1:38" s="9" customFormat="1" ht="24" customHeight="1" outlineLevel="1" x14ac:dyDescent="0.35">
      <c r="A80" s="53"/>
      <c r="B80" s="53"/>
      <c r="C80" s="123" t="s">
        <v>128</v>
      </c>
      <c r="E80" s="252" t="str">
        <f ca="1">_xll.DBRA(Server&amp;$C$24,$C80,$F$15)</f>
        <v>Coûts m² La Pérouse</v>
      </c>
      <c r="F80" s="252"/>
      <c r="G80" s="252"/>
      <c r="H80" s="39"/>
      <c r="I80" s="178">
        <f ca="1">_xll.DBRW(Server&amp;Cube1,$F$20,$F$13,$F$14,$F$19,$C$18,$F$16,$F$18,$C$19,$I$2,I$1,$C80)</f>
        <v>0</v>
      </c>
      <c r="J80" s="178">
        <f ca="1">_xll.DBRW(Server&amp;Cube1,$F$20,$F$13,$F$14,$F$19,$C$18,$F$16,$F$18,$C$19,$J$2,J$1,$C80)</f>
        <v>0</v>
      </c>
      <c r="K80" s="167">
        <f ca="1">_xll.DBRW(Server&amp;Cube1,$F$20,$F$13,$F$14,$F$19,$C$18,$F$16,$F$18,$C$19,$K$2,K$1,$C80)</f>
        <v>0</v>
      </c>
      <c r="L80" s="171"/>
      <c r="M80" s="172">
        <f t="shared" ca="1" si="1"/>
        <v>0</v>
      </c>
      <c r="N80" s="192">
        <f t="shared" ca="1" si="2"/>
        <v>0</v>
      </c>
      <c r="O80" s="115" t="str">
        <f t="shared" ca="1" si="5"/>
        <v>è</v>
      </c>
      <c r="P80" s="172">
        <f t="shared" ca="1" si="3"/>
        <v>0</v>
      </c>
      <c r="Q80" s="136"/>
      <c r="R80" s="53"/>
      <c r="S80" s="53"/>
      <c r="T80" s="53"/>
      <c r="U80" s="53"/>
      <c r="V80" s="53"/>
      <c r="W80" s="53"/>
      <c r="X80" s="53"/>
      <c r="Y80" s="53"/>
      <c r="Z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</row>
    <row r="81" spans="1:38" s="9" customFormat="1" ht="24" customHeight="1" outlineLevel="1" x14ac:dyDescent="0.35">
      <c r="A81" s="53"/>
      <c r="B81" s="53"/>
      <c r="C81" s="123" t="s">
        <v>129</v>
      </c>
      <c r="E81" s="252" t="str">
        <f ca="1">_xll.DBRA(Server&amp;$C$24,$C81,$F$15)</f>
        <v>Coûts m² Lyon</v>
      </c>
      <c r="F81" s="252"/>
      <c r="G81" s="252"/>
      <c r="H81" s="39"/>
      <c r="I81" s="178">
        <f ca="1">_xll.DBRW(Server&amp;Cube1,$F$20,$F$13,$F$14,$F$19,$C$18,$F$16,$F$18,$C$19,$I$2,I$1,$C81)</f>
        <v>0</v>
      </c>
      <c r="J81" s="178">
        <f ca="1">_xll.DBRW(Server&amp;Cube1,$F$20,$F$13,$F$14,$F$19,$C$18,$F$16,$F$18,$C$19,$J$2,J$1,$C81)</f>
        <v>0</v>
      </c>
      <c r="K81" s="167">
        <f ca="1">_xll.DBRW(Server&amp;Cube1,$F$20,$F$13,$F$14,$F$19,$C$18,$F$16,$F$18,$C$19,$K$2,K$1,$C81)</f>
        <v>0</v>
      </c>
      <c r="L81" s="171"/>
      <c r="M81" s="172">
        <f t="shared" ca="1" si="1"/>
        <v>0</v>
      </c>
      <c r="N81" s="192">
        <f t="shared" ca="1" si="2"/>
        <v>0</v>
      </c>
      <c r="O81" s="115" t="str">
        <f t="shared" ca="1" si="5"/>
        <v>è</v>
      </c>
      <c r="P81" s="172">
        <f t="shared" ca="1" si="3"/>
        <v>0</v>
      </c>
      <c r="Q81" s="136"/>
      <c r="R81" s="53"/>
      <c r="S81" s="53"/>
      <c r="T81" s="53"/>
      <c r="U81" s="53"/>
      <c r="V81" s="53"/>
      <c r="W81" s="53"/>
      <c r="X81" s="53"/>
      <c r="Y81" s="53"/>
      <c r="Z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</row>
    <row r="82" spans="1:38" s="9" customFormat="1" ht="24" customHeight="1" outlineLevel="1" x14ac:dyDescent="0.35">
      <c r="A82" s="53"/>
      <c r="B82" s="53"/>
      <c r="C82" s="123" t="s">
        <v>130</v>
      </c>
      <c r="E82" s="252" t="str">
        <f ca="1">_xll.DBRA(Server&amp;$C$24,$C82,$F$15)</f>
        <v>Coûts bureautiques par personne</v>
      </c>
      <c r="F82" s="252"/>
      <c r="G82" s="252"/>
      <c r="H82" s="39"/>
      <c r="I82" s="178">
        <f ca="1">_xll.DBRW(Server&amp;Cube1,$F$20,$F$13,$F$14,$F$19,$C$18,$F$16,$F$18,$C$19,$I$2,I$1,$C82)</f>
        <v>1.3642420526593924E-15</v>
      </c>
      <c r="J82" s="178">
        <f ca="1">_xll.DBRW(Server&amp;Cube1,$F$20,$F$13,$F$14,$F$19,$C$18,$F$16,$F$18,$C$19,$J$2,J$1,$C82)</f>
        <v>-4.5474735088646413E-16</v>
      </c>
      <c r="K82" s="167">
        <f ca="1">_xll.DBRW(Server&amp;Cube1,$F$20,$F$13,$F$14,$F$19,$C$18,$F$16,$F$18,$C$19,$K$2,K$1,$C82)</f>
        <v>0</v>
      </c>
      <c r="L82" s="171"/>
      <c r="M82" s="172">
        <f t="shared" ca="1" si="1"/>
        <v>-1.3642420526593924E-15</v>
      </c>
      <c r="N82" s="192">
        <f t="shared" ca="1" si="2"/>
        <v>-1</v>
      </c>
      <c r="O82" s="115" t="str">
        <f t="shared" ca="1" si="5"/>
        <v>î</v>
      </c>
      <c r="P82" s="172">
        <f t="shared" ca="1" si="3"/>
        <v>4.5474735088646413E-16</v>
      </c>
      <c r="Q82" s="136"/>
      <c r="R82" s="53"/>
      <c r="S82" s="53"/>
      <c r="T82" s="53"/>
      <c r="U82" s="53"/>
      <c r="V82" s="53"/>
      <c r="W82" s="53"/>
      <c r="X82" s="53"/>
      <c r="Y82" s="53"/>
      <c r="Z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</row>
    <row r="83" spans="1:38" s="9" customFormat="1" ht="11.25" customHeight="1" thickBot="1" x14ac:dyDescent="0.4">
      <c r="A83" s="53"/>
      <c r="B83" s="53"/>
      <c r="C83" s="126"/>
      <c r="E83" s="95"/>
      <c r="F83" s="95"/>
      <c r="G83" s="95"/>
      <c r="H83" s="39"/>
      <c r="I83" s="180"/>
      <c r="J83" s="180"/>
      <c r="K83" s="181"/>
      <c r="L83" s="182"/>
      <c r="M83" s="183"/>
      <c r="N83" s="196"/>
      <c r="O83" s="114"/>
      <c r="P83" s="183"/>
      <c r="Q83" s="136"/>
      <c r="R83" s="53"/>
      <c r="S83" s="53"/>
      <c r="T83" s="53"/>
      <c r="U83" s="53"/>
      <c r="V83" s="53"/>
      <c r="W83" s="53"/>
      <c r="X83" s="53"/>
      <c r="Y83" s="53"/>
      <c r="Z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</row>
    <row r="84" spans="1:38" s="9" customFormat="1" ht="24" customHeight="1" thickBot="1" x14ac:dyDescent="0.4">
      <c r="A84" s="53"/>
      <c r="B84" s="53"/>
      <c r="C84" s="122" t="s">
        <v>132</v>
      </c>
      <c r="E84" s="253" t="str">
        <f ca="1">_xll.DBRA(Server&amp;$C$24,$C84,$F$15)</f>
        <v>RESULTAT OPERATIONNEL AVANT MF</v>
      </c>
      <c r="F84" s="253"/>
      <c r="G84" s="253"/>
      <c r="H84" s="39"/>
      <c r="I84" s="214">
        <f ca="1">_xll.DBRW(Server&amp;Cube1,$F$20,$F$13,$F$14,$F$19,$C$18,$F$16,$F$18,$C$19,$I$2,I$1,$C84)</f>
        <v>-59897.200110000027</v>
      </c>
      <c r="J84" s="214">
        <f ca="1">_xll.DBRW(Server&amp;Cube1,$F$20,$F$13,$F$14,$F$19,$C$18,$F$16,$F$18,$C$19,$J$2,J$1,$C84)</f>
        <v>-64056.599571333361</v>
      </c>
      <c r="K84" s="215">
        <f ca="1">_xll.DBRW(Server&amp;Cube1,$F$20,$F$13,$F$14,$F$19,$C$18,$F$16,$F$18,$C$19,$K$2,K$1,$C84)</f>
        <v>-67745.952800000014</v>
      </c>
      <c r="L84" s="175"/>
      <c r="M84" s="216">
        <f t="shared" ca="1" si="1"/>
        <v>-7848.7526899999866</v>
      </c>
      <c r="N84" s="217">
        <f t="shared" ca="1" si="2"/>
        <v>-0.13103705474689814</v>
      </c>
      <c r="O84" s="218" t="str">
        <f ca="1">IF(N84&gt;0.01,$AC$29,IF(N84&lt;-0.01,$AD$29,$AE$29))</f>
        <v>î</v>
      </c>
      <c r="P84" s="216">
        <f t="shared" ca="1" si="3"/>
        <v>-3689.3532286666523</v>
      </c>
      <c r="Q84" s="134"/>
      <c r="R84" s="53"/>
      <c r="S84" s="53"/>
      <c r="T84" s="53"/>
      <c r="U84" s="53"/>
      <c r="V84" s="53"/>
      <c r="W84" s="53"/>
      <c r="X84" s="53"/>
      <c r="Y84" s="53"/>
      <c r="Z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</row>
    <row r="85" spans="1:38" s="9" customFormat="1" ht="6" customHeight="1" x14ac:dyDescent="0.35">
      <c r="A85" s="53"/>
      <c r="B85" s="53"/>
      <c r="C85" s="125"/>
      <c r="E85" s="106"/>
      <c r="F85" s="107"/>
      <c r="G85" s="95"/>
      <c r="H85" s="39"/>
      <c r="I85" s="184"/>
      <c r="J85" s="184"/>
      <c r="K85" s="184"/>
      <c r="L85" s="175"/>
      <c r="M85" s="185"/>
      <c r="N85" s="197"/>
      <c r="O85" s="87"/>
      <c r="P85" s="185"/>
      <c r="Q85" s="134"/>
      <c r="R85" s="53"/>
      <c r="S85" s="53"/>
      <c r="T85" s="53"/>
      <c r="U85" s="53"/>
      <c r="V85" s="53"/>
      <c r="W85" s="53"/>
      <c r="X85" s="53"/>
      <c r="Y85" s="53"/>
      <c r="Z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</row>
    <row r="86" spans="1:38" s="9" customFormat="1" ht="24" customHeight="1" x14ac:dyDescent="0.35">
      <c r="A86" s="53"/>
      <c r="B86" s="53"/>
      <c r="C86" s="123" t="s">
        <v>181</v>
      </c>
      <c r="E86" s="256" t="str">
        <f ca="1">_xll.DBRA(Server&amp;$C$24,$C86,$F$15)</f>
        <v>Management fees - Refacturation de MF</v>
      </c>
      <c r="F86" s="256"/>
      <c r="G86" s="256"/>
      <c r="H86" s="39"/>
      <c r="I86" s="170">
        <f ca="1">_xll.DBRW(Server&amp;Cube1,$F$20,$F$13,$F$14,$F$19,$C$18,$F$16,$F$18,$C$19,$I$2,I$1,$C86)</f>
        <v>46380.075000000004</v>
      </c>
      <c r="J86" s="170">
        <f ca="1">_xll.DBRW(Server&amp;Cube1,$F$20,$F$13,$F$14,$F$19,$C$18,$F$16,$F$18,$C$19,$J$2,J$1,$C86)</f>
        <v>52799.542719029261</v>
      </c>
      <c r="K86" s="167">
        <f ca="1">_xll.DBRW(Server&amp;Cube1,$F$20,$F$13,$F$14,$F$19,$C$18,$F$16,$F$18,$C$19,$K$2,K$1,$C86)</f>
        <v>59743.629541653434</v>
      </c>
      <c r="L86" s="171"/>
      <c r="M86" s="172">
        <f t="shared" ca="1" si="1"/>
        <v>13363.55454165343</v>
      </c>
      <c r="N86" s="192">
        <f t="shared" ca="1" si="2"/>
        <v>0.28813136981027798</v>
      </c>
      <c r="O86" s="115" t="str">
        <f ca="1">IF(N86&gt;0.01,$AC$29,IF(N86&lt;-0.01,$AD$29,$AE$29))</f>
        <v>ì</v>
      </c>
      <c r="P86" s="172">
        <f t="shared" ca="1" si="3"/>
        <v>6944.0868226241728</v>
      </c>
      <c r="Q86" s="134"/>
      <c r="R86" s="53"/>
      <c r="S86" s="53"/>
      <c r="T86" s="53"/>
      <c r="U86" s="53"/>
      <c r="V86" s="53"/>
      <c r="W86" s="53"/>
      <c r="X86" s="53"/>
      <c r="Y86" s="53"/>
      <c r="Z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</row>
    <row r="87" spans="1:38" s="9" customFormat="1" ht="7.5" customHeight="1" thickBot="1" x14ac:dyDescent="0.4">
      <c r="A87" s="53"/>
      <c r="B87" s="53"/>
      <c r="C87" s="125"/>
      <c r="E87" s="106"/>
      <c r="F87" s="107"/>
      <c r="G87" s="95"/>
      <c r="H87" s="39"/>
      <c r="I87" s="184"/>
      <c r="J87" s="184"/>
      <c r="K87" s="184"/>
      <c r="L87" s="175"/>
      <c r="M87" s="185"/>
      <c r="N87" s="197"/>
      <c r="O87" s="87"/>
      <c r="P87" s="185"/>
      <c r="Q87" s="134"/>
      <c r="R87" s="53"/>
      <c r="S87" s="53"/>
      <c r="T87" s="53"/>
      <c r="U87" s="53"/>
      <c r="V87" s="53"/>
      <c r="W87" s="53"/>
      <c r="X87" s="53"/>
      <c r="Y87" s="53"/>
      <c r="Z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</row>
    <row r="88" spans="1:38" s="9" customFormat="1" ht="24" customHeight="1" thickBot="1" x14ac:dyDescent="0.4">
      <c r="A88" s="53"/>
      <c r="B88" s="53"/>
      <c r="C88" s="122" t="s">
        <v>133</v>
      </c>
      <c r="E88" s="253" t="str">
        <f ca="1">_xll.DBRA(Server&amp;$C$24,$C88,$F$15)</f>
        <v>RESULTAT OPERATIONNEL APRES MF</v>
      </c>
      <c r="F88" s="253"/>
      <c r="G88" s="253"/>
      <c r="H88" s="39"/>
      <c r="I88" s="214">
        <f ca="1">_xll.DBRW(Server&amp;Cube1,$F$20,$F$13,$F$14,$F$19,$C$18,$F$16,$F$18,$C$19,$I$2,I$1,$C88)</f>
        <v>-13517.125110000015</v>
      </c>
      <c r="J88" s="214">
        <f ca="1">_xll.DBRW(Server&amp;Cube1,$F$20,$F$13,$F$14,$F$19,$C$18,$F$16,$F$18,$C$19,$J$2,J$1,$C88)</f>
        <v>-11257.056852304071</v>
      </c>
      <c r="K88" s="215">
        <f ca="1">_xll.DBRW(Server&amp;Cube1,$F$20,$F$13,$F$14,$F$19,$C$18,$F$16,$F$18,$C$19,$K$2,K$1,$C88)</f>
        <v>-8002.3232583465815</v>
      </c>
      <c r="L88" s="175"/>
      <c r="M88" s="216">
        <f t="shared" ca="1" si="1"/>
        <v>5514.8018516534339</v>
      </c>
      <c r="N88" s="217">
        <f t="shared" ca="1" si="2"/>
        <v>0.40798629936284042</v>
      </c>
      <c r="O88" s="218" t="str">
        <f ca="1">IF(N88&gt;0.01,$AC$29,IF(N88&lt;-0.01,$AD$29,$AE$29))</f>
        <v>ì</v>
      </c>
      <c r="P88" s="216">
        <f t="shared" ca="1" si="3"/>
        <v>3254.7335939574896</v>
      </c>
      <c r="Q88" s="134"/>
      <c r="R88" s="53"/>
      <c r="S88" s="53"/>
      <c r="T88" s="53"/>
      <c r="U88" s="53"/>
      <c r="V88" s="53"/>
      <c r="W88" s="53"/>
      <c r="X88" s="53"/>
      <c r="Y88" s="53"/>
      <c r="Z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</row>
    <row r="89" spans="1:38" s="9" customFormat="1" ht="7.5" customHeight="1" thickBot="1" x14ac:dyDescent="0.4">
      <c r="A89" s="53"/>
      <c r="B89" s="53"/>
      <c r="C89" s="125"/>
      <c r="E89" s="108"/>
      <c r="F89" s="109"/>
      <c r="G89" s="95"/>
      <c r="H89" s="39"/>
      <c r="I89" s="186"/>
      <c r="J89" s="186"/>
      <c r="K89" s="186"/>
      <c r="L89" s="168"/>
      <c r="M89" s="187"/>
      <c r="N89" s="198"/>
      <c r="O89" s="87"/>
      <c r="P89" s="187"/>
      <c r="Q89" s="134"/>
      <c r="R89" s="53"/>
      <c r="S89" s="53"/>
      <c r="T89" s="53"/>
      <c r="U89" s="53"/>
      <c r="V89" s="53"/>
      <c r="W89" s="53"/>
      <c r="X89" s="53"/>
      <c r="Y89" s="53"/>
      <c r="Z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</row>
    <row r="90" spans="1:38" ht="24" customHeight="1" thickBot="1" x14ac:dyDescent="0.4">
      <c r="A90" s="53"/>
      <c r="B90" s="53"/>
      <c r="C90" s="122" t="s">
        <v>131</v>
      </c>
      <c r="D90" s="25"/>
      <c r="E90" s="253" t="str">
        <f ca="1">_xll.DBRA(Server&amp;$C$24,$C90,$F$15)</f>
        <v>CAFOP</v>
      </c>
      <c r="F90" s="253"/>
      <c r="G90" s="253"/>
      <c r="H90" s="39"/>
      <c r="I90" s="214">
        <f ca="1">_xll.DBRW(Server&amp;Cube1,$F$20,$F$13,$F$14,$F$19,$C$18,$F$16,$F$18,$C$19,$I$2,I$1,$C90)</f>
        <v>-7281.4235100000151</v>
      </c>
      <c r="J90" s="214">
        <f ca="1">_xll.DBRW(Server&amp;Cube1,$F$20,$F$13,$F$14,$F$19,$C$18,$F$16,$F$18,$C$19,$J$2,J$1,$C90)</f>
        <v>-7531.541012304071</v>
      </c>
      <c r="K90" s="215">
        <f ca="1">_xll.DBRW(Server&amp;Cube1,$F$20,$F$13,$F$14,$F$19,$C$18,$F$16,$F$18,$C$19,$K$2,K$1,$C90)</f>
        <v>-2838.6806083465808</v>
      </c>
      <c r="L90" s="175"/>
      <c r="M90" s="216">
        <f t="shared" ref="M90" ca="1" si="6">$K90-$I90</f>
        <v>4442.7429016534343</v>
      </c>
      <c r="N90" s="217">
        <f t="shared" ref="N90" ca="1" si="7">IF($I90=0,0,IF($I90&lt;0,$M90/-$I90,$M90/$I90))</f>
        <v>0.61014757561511834</v>
      </c>
      <c r="O90" s="218" t="str">
        <f ca="1">IF(N90&gt;0.01,$AC$29,IF(N90&lt;-0.01,$AD$29,$AE$29))</f>
        <v>ì</v>
      </c>
      <c r="P90" s="216">
        <f t="shared" ref="P90" ca="1" si="8">$K90-$J90</f>
        <v>4692.8604039574902</v>
      </c>
      <c r="Q90" s="134"/>
      <c r="R90" s="53"/>
      <c r="S90" s="53"/>
      <c r="T90" s="53"/>
      <c r="U90" s="53"/>
      <c r="V90" s="53"/>
      <c r="W90" s="53"/>
      <c r="X90" s="53"/>
      <c r="Y90" s="53"/>
      <c r="Z90" s="53"/>
      <c r="AA90" s="9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</row>
    <row r="91" spans="1:38" s="9" customFormat="1" ht="9" customHeight="1" thickBot="1" x14ac:dyDescent="0.4">
      <c r="A91" s="53"/>
      <c r="B91" s="53"/>
      <c r="C91" s="125"/>
      <c r="E91" s="203"/>
      <c r="F91" s="107"/>
      <c r="G91" s="95"/>
      <c r="H91" s="39"/>
      <c r="I91" s="184"/>
      <c r="J91" s="184"/>
      <c r="K91" s="184"/>
      <c r="L91" s="175"/>
      <c r="M91" s="187"/>
      <c r="N91" s="198"/>
      <c r="O91" s="87"/>
      <c r="P91" s="187"/>
      <c r="Q91" s="134"/>
      <c r="R91" s="53"/>
      <c r="S91" s="53"/>
      <c r="T91" s="53"/>
      <c r="U91" s="53"/>
      <c r="V91" s="53"/>
      <c r="W91" s="53"/>
      <c r="X91" s="53"/>
      <c r="Y91" s="53"/>
      <c r="Z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</row>
    <row r="92" spans="1:38" s="9" customFormat="1" ht="24" customHeight="1" thickBot="1" x14ac:dyDescent="0.4">
      <c r="A92" s="53"/>
      <c r="B92" s="53"/>
      <c r="C92" s="122" t="s">
        <v>134</v>
      </c>
      <c r="E92" s="253" t="str">
        <f ca="1">_xll.DBRA(Server&amp;$C$24,$C92,$F$15)</f>
        <v>Total CAPEX</v>
      </c>
      <c r="F92" s="253"/>
      <c r="G92" s="253"/>
      <c r="H92" s="39"/>
      <c r="I92" s="214">
        <f ca="1">_xll.DBRW(Server&amp;Cube1,$F$20,$F$13,$F$14,$F$19,$C$18,$F$16,$F$18,$C$19,$I$2,I$1,$C92)</f>
        <v>2797.21758</v>
      </c>
      <c r="J92" s="214">
        <f ca="1">_xll.DBRW(Server&amp;Cube1,$F$20,$F$13,$F$14,$F$19,$C$18,$F$16,$F$18,$C$19,$J$2,J$1,$C92)</f>
        <v>2704.9087600000003</v>
      </c>
      <c r="K92" s="215">
        <f ca="1">_xll.DBRW(Server&amp;Cube1,$F$20,$F$13,$F$14,$F$19,$C$18,$F$16,$F$18,$C$19,$K$2,K$1,$C92)</f>
        <v>7393.5</v>
      </c>
      <c r="L92" s="175"/>
      <c r="M92" s="216">
        <f t="shared" ca="1" si="1"/>
        <v>4596.2824199999995</v>
      </c>
      <c r="N92" s="217">
        <f t="shared" ca="1" si="2"/>
        <v>1.6431622812838176</v>
      </c>
      <c r="O92" s="218" t="str">
        <f ca="1">IF(N92&gt;0.01,$AC$29,IF(N92&lt;-0.01,$AD$29,$AE$29))</f>
        <v>ì</v>
      </c>
      <c r="P92" s="216">
        <f t="shared" ca="1" si="3"/>
        <v>4688.5912399999997</v>
      </c>
      <c r="Q92" s="134"/>
      <c r="R92" s="53"/>
      <c r="S92" s="53"/>
      <c r="T92" s="53"/>
      <c r="U92" s="53"/>
      <c r="V92" s="53"/>
      <c r="W92" s="53"/>
      <c r="X92" s="53"/>
      <c r="Y92" s="53"/>
      <c r="Z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</row>
    <row r="93" spans="1:38" ht="22.5" customHeight="1" x14ac:dyDescent="0.35">
      <c r="A93" s="53"/>
      <c r="B93" s="53"/>
      <c r="C93" s="127"/>
      <c r="D93" s="61"/>
      <c r="E93" s="111"/>
      <c r="F93" s="111"/>
      <c r="G93" s="111"/>
      <c r="H93" s="88"/>
      <c r="I93" s="188"/>
      <c r="J93" s="188"/>
      <c r="K93" s="188"/>
      <c r="L93" s="188"/>
      <c r="M93" s="188"/>
      <c r="N93" s="199"/>
      <c r="O93" s="54"/>
      <c r="P93" s="188"/>
      <c r="Q93" s="133"/>
      <c r="R93" s="53"/>
      <c r="S93" s="53"/>
      <c r="T93" s="53"/>
      <c r="U93" s="53"/>
      <c r="V93" s="53"/>
      <c r="W93" s="53"/>
      <c r="X93" s="53"/>
      <c r="Y93" s="53"/>
      <c r="Z93" s="53"/>
      <c r="AA93" s="9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</row>
    <row r="94" spans="1:38" ht="10.5" customHeight="1" x14ac:dyDescent="0.3">
      <c r="A94" s="53"/>
      <c r="B94" s="53"/>
      <c r="C94" s="128"/>
      <c r="D94" s="61"/>
      <c r="E94" s="41"/>
      <c r="F94" s="41"/>
      <c r="G94" s="41"/>
      <c r="H94" s="42"/>
      <c r="I94" s="189"/>
      <c r="J94" s="189"/>
      <c r="K94" s="190"/>
      <c r="L94" s="171"/>
      <c r="M94" s="171"/>
      <c r="N94" s="200"/>
      <c r="O94" s="10"/>
      <c r="P94" s="171"/>
      <c r="Q94" s="131"/>
      <c r="R94" s="53"/>
      <c r="S94" s="53"/>
      <c r="T94" s="53"/>
      <c r="U94" s="53"/>
      <c r="V94" s="53"/>
      <c r="W94" s="53"/>
      <c r="X94" s="53"/>
      <c r="Y94" s="53"/>
      <c r="Z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</row>
    <row r="95" spans="1:38" ht="24" customHeight="1" x14ac:dyDescent="0.35">
      <c r="A95" s="61"/>
      <c r="B95" s="61"/>
      <c r="C95" s="157"/>
      <c r="D95" s="61"/>
      <c r="E95" s="255"/>
      <c r="F95" s="255"/>
      <c r="G95" s="255"/>
      <c r="H95" s="39"/>
      <c r="I95" s="184"/>
      <c r="J95" s="184"/>
      <c r="K95" s="184"/>
      <c r="L95" s="175"/>
      <c r="M95" s="187"/>
      <c r="N95" s="198"/>
      <c r="O95" s="87"/>
      <c r="P95" s="187"/>
      <c r="Q95" s="134"/>
      <c r="R95" s="61"/>
      <c r="S95" s="61"/>
      <c r="T95" s="61"/>
      <c r="U95" s="61"/>
      <c r="V95" s="61"/>
      <c r="W95" s="61"/>
      <c r="X95" s="61"/>
      <c r="Y95" s="61"/>
      <c r="Z95" s="61"/>
      <c r="AA95" s="9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</row>
    <row r="96" spans="1:38" ht="23.25" x14ac:dyDescent="0.35">
      <c r="A96" s="53"/>
      <c r="B96" s="53"/>
      <c r="C96" s="128"/>
      <c r="D96" s="61"/>
      <c r="E96" s="113" t="s">
        <v>3</v>
      </c>
      <c r="F96" s="113"/>
      <c r="G96" s="113"/>
      <c r="H96" s="39"/>
      <c r="I96" s="171"/>
      <c r="J96" s="171"/>
      <c r="K96" s="168"/>
      <c r="L96" s="171"/>
      <c r="M96" s="171"/>
      <c r="N96" s="200"/>
      <c r="O96" s="10"/>
      <c r="P96" s="171"/>
      <c r="Q96" s="131"/>
      <c r="R96" s="53"/>
      <c r="S96" s="53"/>
      <c r="T96" s="53"/>
      <c r="U96" s="53"/>
      <c r="V96" s="53"/>
      <c r="W96" s="53"/>
      <c r="X96" s="53"/>
      <c r="Y96" s="53"/>
      <c r="Z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</row>
    <row r="97" spans="1:38" ht="24" customHeight="1" x14ac:dyDescent="0.25">
      <c r="A97" s="130" t="s">
        <v>135</v>
      </c>
      <c r="B97" s="151" t="s">
        <v>138</v>
      </c>
      <c r="C97" s="122" t="s">
        <v>139</v>
      </c>
      <c r="D97" s="61"/>
      <c r="E97" s="219" t="str">
        <f ca="1">_xll.DBRA(Server&amp;$C$24,$C97,$F$15)</f>
        <v>Nombre de m² (La Pérouse)</v>
      </c>
      <c r="F97" s="202"/>
      <c r="G97" s="202"/>
      <c r="I97" s="178">
        <f ca="1">_xll.DBRW(Server&amp;Cube1,$B$101,$B$102,$B$100,$B$98,$B$99,$F$16,$F$18,$B$97,$I$2,$I$1,$C97)</f>
        <v>0</v>
      </c>
      <c r="J97" s="178">
        <f ca="1">_xll.DBRW(Server&amp;Cube1,$B$101,$B$102,$B$100,$B$98,$B$99,$F$16,$F$18,$B$97,$J$2,$J$1,$C97)</f>
        <v>0</v>
      </c>
      <c r="K97" s="167">
        <f ca="1">_xll.DBRW(Server&amp;Cube1,$B$101,$B$102,$B$100,$B$98,$B$99,$F$16,$F$18,$B$97,$K$2,$K$1,$C97)</f>
        <v>0</v>
      </c>
      <c r="L97" s="171"/>
      <c r="M97" s="179">
        <f t="shared" ref="M97:M104" ca="1" si="9">$K97-$I97</f>
        <v>0</v>
      </c>
      <c r="N97" s="195">
        <f t="shared" ref="N97:N104" ca="1" si="10">IF($I97=0,0,IF($I97&lt;0,$M97/-$I97,$M97/$I97))</f>
        <v>0</v>
      </c>
      <c r="O97" s="115" t="str">
        <f t="shared" ref="O97:O104" ca="1" si="11">IF(N97&gt;0.01,$AC$29,IF(N97&lt;-0.01,$AD$29,$AE$29))</f>
        <v>è</v>
      </c>
      <c r="P97" s="179">
        <f t="shared" ref="P97:P104" ca="1" si="12">$K97-$J97</f>
        <v>0</v>
      </c>
      <c r="Q97" s="135"/>
      <c r="R97" s="53"/>
      <c r="S97" s="53"/>
      <c r="T97" s="53"/>
      <c r="U97" s="53"/>
      <c r="V97" s="53"/>
      <c r="W97" s="53"/>
      <c r="X97" s="53"/>
      <c r="Y97" s="53"/>
      <c r="Z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</row>
    <row r="98" spans="1:38" ht="24" customHeight="1" x14ac:dyDescent="0.25">
      <c r="A98" s="130" t="s">
        <v>68</v>
      </c>
      <c r="B98" s="151" t="s">
        <v>158</v>
      </c>
      <c r="C98" s="122" t="s">
        <v>140</v>
      </c>
      <c r="D98" s="61"/>
      <c r="E98" s="219" t="str">
        <f ca="1">_xll.DBRA(Server&amp;$C$24,$C98,$F$15)</f>
        <v>Nombre de m² (Sérénis)</v>
      </c>
      <c r="F98" s="202"/>
      <c r="G98" s="202"/>
      <c r="I98" s="178">
        <f ca="1">_xll.DBRW(Server&amp;Cube1,$B$101,$B$102,$B$100,$B$98,$B$99,$F$16,$F$18,$B$97,$I$2,$I$1,$C98)</f>
        <v>10312.199999999999</v>
      </c>
      <c r="J98" s="178">
        <f ca="1">_xll.DBRW(Server&amp;Cube1,$B$101,$B$102,$B$100,$B$98,$B$99,$F$16,$F$18,$B$97,$J$2,$J$1,$C98)</f>
        <v>10279.480000000001</v>
      </c>
      <c r="K98" s="167">
        <f ca="1">_xll.DBRW(Server&amp;Cube1,$B$101,$B$102,$B$100,$B$98,$B$99,$F$16,$F$18,$B$97,$K$2,$K$1,$C98)</f>
        <v>11025.192902518049</v>
      </c>
      <c r="L98" s="171"/>
      <c r="M98" s="179">
        <f t="shared" ca="1" si="9"/>
        <v>712.99290251804996</v>
      </c>
      <c r="N98" s="195">
        <f t="shared" ca="1" si="10"/>
        <v>6.9140717065034621E-2</v>
      </c>
      <c r="O98" s="115" t="str">
        <f t="shared" ca="1" si="11"/>
        <v>ì</v>
      </c>
      <c r="P98" s="179">
        <f t="shared" ca="1" si="12"/>
        <v>745.71290251804749</v>
      </c>
      <c r="Q98" s="135"/>
      <c r="R98" s="53"/>
      <c r="S98" s="53"/>
      <c r="T98" s="53"/>
      <c r="U98" s="53"/>
      <c r="V98" s="53"/>
      <c r="W98" s="53"/>
      <c r="X98" s="53"/>
      <c r="Y98" s="53"/>
      <c r="Z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</row>
    <row r="99" spans="1:38" ht="24" customHeight="1" x14ac:dyDescent="0.25">
      <c r="A99" s="130" t="s">
        <v>136</v>
      </c>
      <c r="B99" s="151" t="s">
        <v>137</v>
      </c>
      <c r="C99" s="122" t="s">
        <v>141</v>
      </c>
      <c r="D99" s="61"/>
      <c r="E99" s="219" t="str">
        <f ca="1">_xll.DBRA(Server&amp;$C$24,$C99,$F$15)</f>
        <v>Nombre de m² (Lyon)</v>
      </c>
      <c r="F99" s="202"/>
      <c r="G99" s="202"/>
      <c r="I99" s="178">
        <f ca="1">_xll.DBRW(Server&amp;Cube1,$B$101,$B$102,$B$100,$B$98,$B$99,$F$16,$F$18,$B$97,$I$2,$I$1,$C99)</f>
        <v>0</v>
      </c>
      <c r="J99" s="178">
        <f ca="1">_xll.DBRW(Server&amp;Cube1,$B$101,$B$102,$B$100,$B$98,$B$99,$F$16,$F$18,$B$97,$J$2,$J$1,$C99)</f>
        <v>0</v>
      </c>
      <c r="K99" s="167">
        <f ca="1">_xll.DBRW(Server&amp;Cube1,$B$101,$B$102,$B$100,$B$98,$B$99,$F$16,$F$18,$B$97,$K$2,$K$1,$C99)</f>
        <v>0</v>
      </c>
      <c r="L99" s="171"/>
      <c r="M99" s="179">
        <f t="shared" ca="1" si="9"/>
        <v>0</v>
      </c>
      <c r="N99" s="195">
        <f t="shared" ca="1" si="10"/>
        <v>0</v>
      </c>
      <c r="O99" s="115" t="str">
        <f t="shared" ca="1" si="11"/>
        <v>è</v>
      </c>
      <c r="P99" s="179">
        <f t="shared" ca="1" si="12"/>
        <v>0</v>
      </c>
      <c r="Q99" s="135"/>
      <c r="R99" s="53"/>
      <c r="S99" s="53"/>
      <c r="T99" s="53"/>
      <c r="U99" s="53"/>
      <c r="V99" s="53"/>
      <c r="W99" s="53"/>
      <c r="X99" s="53"/>
      <c r="Y99" s="53"/>
      <c r="Z99" s="53"/>
      <c r="AA99" s="59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</row>
    <row r="100" spans="1:38" ht="24" customHeight="1" x14ac:dyDescent="0.25">
      <c r="A100" s="130" t="s">
        <v>148</v>
      </c>
      <c r="B100" s="151" t="s">
        <v>149</v>
      </c>
      <c r="C100" s="122" t="s">
        <v>142</v>
      </c>
      <c r="D100" s="61"/>
      <c r="E100" s="219" t="str">
        <f ca="1">_xll.DBRA(Server&amp;$C$24,$C100,$F$15)</f>
        <v>Nombre de postes bureautiques</v>
      </c>
      <c r="F100" s="202"/>
      <c r="G100" s="202"/>
      <c r="I100" s="178">
        <f ca="1">_xll.DBRW(Server&amp;Cube1,$B$101,$B$102,$B$100,$B$98,$C$18,$F$16,$F$18,$B$97,$I$2,$I$1,$C100)</f>
        <v>301.89999999999998</v>
      </c>
      <c r="J100" s="178">
        <f ca="1">_xll.DBRW(Server&amp;Cube1,$B$101,$B$102,$B$100,$B$98,$C$18,$F$16,$F$18,$B$97,$J$2,$J$1,$C100)</f>
        <v>322</v>
      </c>
      <c r="K100" s="167">
        <f ca="1">_xll.DBRW(Server&amp;Cube1,$B$101,$B$102,$B$100,$B$98,$C$18,$F$16,$F$18,$B$97,$K$2,$K$1,$C100)</f>
        <v>367</v>
      </c>
      <c r="L100" s="171"/>
      <c r="M100" s="179">
        <f t="shared" ca="1" si="9"/>
        <v>65.100000000000023</v>
      </c>
      <c r="N100" s="195">
        <f t="shared" ca="1" si="10"/>
        <v>0.21563431599867514</v>
      </c>
      <c r="O100" s="115" t="str">
        <f t="shared" ca="1" si="11"/>
        <v>ì</v>
      </c>
      <c r="P100" s="179">
        <f t="shared" ca="1" si="12"/>
        <v>45</v>
      </c>
      <c r="Q100" s="135"/>
      <c r="R100" s="53"/>
      <c r="S100" s="53"/>
      <c r="T100" s="53"/>
      <c r="U100" s="53"/>
      <c r="V100" s="53"/>
      <c r="W100" s="147"/>
      <c r="X100" s="53"/>
      <c r="Y100" s="147"/>
      <c r="Z100" s="53"/>
      <c r="AA100" s="148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</row>
    <row r="101" spans="1:38" ht="24" customHeight="1" x14ac:dyDescent="0.25">
      <c r="A101" s="130" t="s">
        <v>9</v>
      </c>
      <c r="B101" s="151" t="s">
        <v>150</v>
      </c>
      <c r="C101" s="122" t="s">
        <v>143</v>
      </c>
      <c r="D101" s="61"/>
      <c r="E101" s="219" t="str">
        <f ca="1">_xll.DBRA(Server&amp;$C$24,$C101,$F$15)</f>
        <v>Effectifs CDI</v>
      </c>
      <c r="F101" s="202"/>
      <c r="G101" s="202"/>
      <c r="I101" s="178">
        <f ca="1">_xll.DBRW(Server&amp;Cube1,$B$101,$B$102,$B$100,$B$98,$C$18,$F$16,$F$18,$B$97,$I$2,$I$1,$C101)</f>
        <v>258.39999999999998</v>
      </c>
      <c r="J101" s="178">
        <f ca="1">_xll.DBRW(Server&amp;Cube1,$B$101,$B$102,$B$100,$B$98,$C$18,$F$16,$F$18,$B$97,$J$2,$J$1,$C101)</f>
        <v>305.41666666666669</v>
      </c>
      <c r="K101" s="167">
        <f ca="1">_xll.DBRW(Server&amp;Cube1,$B$101,$B$102,$B$100,$B$98,$C$18,$F$16,$F$18,$B$97,$K$2,$K$1,$C101)</f>
        <v>327.16666666666669</v>
      </c>
      <c r="L101" s="171"/>
      <c r="M101" s="179">
        <f t="shared" ca="1" si="9"/>
        <v>68.766666666666708</v>
      </c>
      <c r="N101" s="195">
        <f t="shared" ca="1" si="10"/>
        <v>0.26612487100103216</v>
      </c>
      <c r="O101" s="115" t="str">
        <f t="shared" ca="1" si="11"/>
        <v>ì</v>
      </c>
      <c r="P101" s="179">
        <f t="shared" ca="1" si="12"/>
        <v>21.75</v>
      </c>
      <c r="Q101" s="135"/>
      <c r="R101" s="53"/>
      <c r="S101" s="53"/>
      <c r="T101" s="53"/>
      <c r="U101" s="53"/>
      <c r="V101" s="53"/>
      <c r="W101" s="147"/>
      <c r="X101" s="53"/>
      <c r="Y101" s="59"/>
      <c r="Z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</row>
    <row r="102" spans="1:38" ht="24" customHeight="1" x14ac:dyDescent="0.25">
      <c r="A102" s="130" t="s">
        <v>10</v>
      </c>
      <c r="B102" s="151" t="s">
        <v>151</v>
      </c>
      <c r="C102" s="122" t="s">
        <v>144</v>
      </c>
      <c r="D102" s="61"/>
      <c r="E102" s="219" t="str">
        <f ca="1">_xll.DBRA(Server&amp;$C$24,$C102,$F$15)</f>
        <v>Effectifs Autres</v>
      </c>
      <c r="F102" s="202"/>
      <c r="G102" s="202"/>
      <c r="I102" s="178">
        <f ca="1">_xll.DBRW(Server&amp;Cube1,$B$101,$B$102,$B$100,$B$98,$C$18,$F$16,$F$18,$B$97,$I$2,$I$1,$C102)</f>
        <v>43.5</v>
      </c>
      <c r="J102" s="178">
        <f ca="1">_xll.DBRW(Server&amp;Cube1,$B$101,$B$102,$B$100,$B$98,$C$18,$F$16,$F$18,$B$97,$J$2,$J$1,$C102)</f>
        <v>16.583333333333332</v>
      </c>
      <c r="K102" s="167">
        <f ca="1">_xll.DBRW(Server&amp;Cube1,$B$101,$B$102,$B$100,$B$98,$C$18,$F$16,$F$18,$B$97,$K$2,$K$1,$C102)</f>
        <v>39.833333333333336</v>
      </c>
      <c r="L102" s="171"/>
      <c r="M102" s="179">
        <f t="shared" ca="1" si="9"/>
        <v>-3.6666666666666643</v>
      </c>
      <c r="N102" s="195">
        <f t="shared" ca="1" si="10"/>
        <v>-8.4291187739463549E-2</v>
      </c>
      <c r="O102" s="115" t="str">
        <f t="shared" ca="1" si="11"/>
        <v>î</v>
      </c>
      <c r="P102" s="179">
        <f t="shared" ca="1" si="12"/>
        <v>23.250000000000004</v>
      </c>
      <c r="Q102" s="135"/>
      <c r="R102" s="53"/>
      <c r="S102" s="53"/>
      <c r="T102" s="53"/>
      <c r="U102" s="53"/>
      <c r="V102" s="53"/>
      <c r="W102" s="147"/>
      <c r="X102" s="53"/>
      <c r="Y102" s="53"/>
      <c r="Z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</row>
    <row r="103" spans="1:38" ht="24" customHeight="1" x14ac:dyDescent="0.25">
      <c r="A103" s="53"/>
      <c r="B103" s="53"/>
      <c r="C103" s="122" t="s">
        <v>145</v>
      </c>
      <c r="D103" s="61"/>
      <c r="E103" s="219" t="str">
        <f ca="1">_xll.DBRA(Server&amp;$C$24,$C103,$F$15)</f>
        <v>ETP CDI</v>
      </c>
      <c r="F103" s="202"/>
      <c r="G103" s="202"/>
      <c r="I103" s="178">
        <f ca="1">_xll.DBRW(Server&amp;Cube1,$B$101,$B$102,$B$100,$B$98,$C$18,$F$16,$F$18,$B$97,$I$2,$I$1,$C103)</f>
        <v>254.89479064516127</v>
      </c>
      <c r="J103" s="178">
        <f ca="1">_xll.DBRW(Server&amp;Cube1,$B$101,$B$102,$B$100,$B$98,$C$18,$F$16,$F$18,$B$97,$J$2,$J$1,$C103)</f>
        <v>298.77416666666664</v>
      </c>
      <c r="K103" s="167">
        <f ca="1">_xll.DBRW(Server&amp;Cube1,$B$101,$B$102,$B$100,$B$98,$C$18,$F$16,$F$18,$B$97,$K$2,$K$1,$C103)</f>
        <v>324.39666666666659</v>
      </c>
      <c r="L103" s="171"/>
      <c r="M103" s="179">
        <f t="shared" ca="1" si="9"/>
        <v>69.501876021505325</v>
      </c>
      <c r="N103" s="195">
        <f t="shared" ca="1" si="10"/>
        <v>0.27266887583535909</v>
      </c>
      <c r="O103" s="115" t="str">
        <f t="shared" ca="1" si="11"/>
        <v>ì</v>
      </c>
      <c r="P103" s="179">
        <f t="shared" ca="1" si="12"/>
        <v>25.622499999999945</v>
      </c>
      <c r="Q103" s="135"/>
      <c r="R103" s="53"/>
      <c r="S103" s="53"/>
      <c r="T103" s="53"/>
      <c r="U103" s="53"/>
      <c r="V103" s="53"/>
      <c r="W103" s="147"/>
      <c r="X103" s="53"/>
      <c r="Y103" s="53"/>
      <c r="Z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</row>
    <row r="104" spans="1:38" ht="24" customHeight="1" x14ac:dyDescent="0.2">
      <c r="A104" s="53"/>
      <c r="B104" s="53"/>
      <c r="C104" s="122" t="s">
        <v>146</v>
      </c>
      <c r="D104" s="61"/>
      <c r="E104" s="219" t="str">
        <f ca="1">_xll.DBRA(Server&amp;$C$24,$C104,$F$15)</f>
        <v>ETP Autres</v>
      </c>
      <c r="F104" s="202"/>
      <c r="G104" s="202"/>
      <c r="I104" s="178">
        <f ca="1">_xll.DBRW(Server&amp;Cube1,$B$101,$B$102,$B$100,$B$98,$C$18,$F$16,$F$18,$B$97,$I$2,$I$1,$C104)</f>
        <v>43.172603686635952</v>
      </c>
      <c r="J104" s="178">
        <f ca="1">_xll.DBRW(Server&amp;Cube1,$B$101,$B$102,$B$100,$B$98,$C$18,$F$16,$F$18,$B$97,$J$2,$J$1,$C104)</f>
        <v>15.775241935483871</v>
      </c>
      <c r="K104" s="167">
        <f ca="1">_xll.DBRW(Server&amp;Cube1,$B$101,$B$102,$B$100,$B$98,$C$18,$F$16,$F$18,$B$97,$K$2,$K$1,$C104)</f>
        <v>39.059166666666663</v>
      </c>
      <c r="L104" s="171"/>
      <c r="M104" s="179">
        <f t="shared" ca="1" si="9"/>
        <v>-4.1134370199692896</v>
      </c>
      <c r="N104" s="195">
        <f t="shared" ca="1" si="10"/>
        <v>-9.5278872912698598E-2</v>
      </c>
      <c r="O104" s="115" t="str">
        <f t="shared" ca="1" si="11"/>
        <v>î</v>
      </c>
      <c r="P104" s="179">
        <f t="shared" ca="1" si="12"/>
        <v>23.283924731182793</v>
      </c>
      <c r="Q104" s="135"/>
      <c r="R104" s="53"/>
      <c r="S104" s="53"/>
      <c r="T104" s="53"/>
      <c r="U104" s="53"/>
      <c r="W104" s="4"/>
      <c r="X104" s="55"/>
      <c r="Y104" s="56"/>
      <c r="Z104" s="57" t="s">
        <v>33</v>
      </c>
      <c r="AA104" s="4"/>
      <c r="AB104" s="56" t="str">
        <f ca="1">IF(RIGHT(_xll.SUBNM(Server&amp;"Period","",$F$17,""),3)="YTD","Yes","No")</f>
        <v>No</v>
      </c>
      <c r="AC104" s="4"/>
      <c r="AD104" s="4"/>
      <c r="AE104" s="4"/>
      <c r="AF104" s="4"/>
      <c r="AG104" s="4"/>
      <c r="AH104" s="4"/>
      <c r="AI104" s="4"/>
      <c r="AJ104" s="1"/>
    </row>
    <row r="105" spans="1:38" ht="23.25" x14ac:dyDescent="0.35">
      <c r="A105" s="53"/>
      <c r="B105" s="53"/>
      <c r="C105" s="128"/>
      <c r="D105" s="61"/>
      <c r="E105" s="111"/>
      <c r="F105" s="111"/>
      <c r="G105" s="111"/>
      <c r="H105" s="39"/>
      <c r="I105" s="112"/>
      <c r="J105" s="112"/>
      <c r="K105" s="112"/>
      <c r="L105" s="10"/>
      <c r="M105" s="10"/>
      <c r="N105" s="10"/>
      <c r="O105" s="10"/>
      <c r="P105" s="10"/>
      <c r="Q105" s="10"/>
      <c r="R105" s="53"/>
      <c r="S105" s="53"/>
      <c r="T105" s="53"/>
      <c r="U105" s="53"/>
      <c r="W105" s="55" t="s">
        <v>32</v>
      </c>
      <c r="X105" s="56" t="str">
        <f ca="1">$J$2</f>
        <v>2015</v>
      </c>
      <c r="Z105" s="53"/>
      <c r="AA105" s="53"/>
      <c r="AB105" s="53"/>
      <c r="AC105" s="53"/>
      <c r="AD105" s="53"/>
    </row>
    <row r="106" spans="1:38" ht="23.25" x14ac:dyDescent="0.35">
      <c r="A106" s="53"/>
      <c r="B106" s="53"/>
      <c r="C106" s="129"/>
      <c r="D106" s="61"/>
      <c r="E106" s="95"/>
      <c r="F106" s="95"/>
      <c r="G106" s="95"/>
      <c r="H106" s="39"/>
      <c r="I106" s="112"/>
      <c r="J106" s="112"/>
      <c r="K106" s="112"/>
      <c r="L106" s="10"/>
      <c r="M106" s="10"/>
      <c r="N106" s="10"/>
      <c r="O106" s="10"/>
      <c r="P106" s="10"/>
      <c r="Q106" s="10"/>
      <c r="R106" s="53"/>
      <c r="S106" s="53"/>
      <c r="T106" s="53"/>
      <c r="U106" s="53"/>
      <c r="V106" s="86"/>
      <c r="Y106" s="58" t="str">
        <f ca="1">H2</f>
        <v>2016</v>
      </c>
      <c r="Z106" s="53"/>
      <c r="AA106" s="53"/>
      <c r="AB106" s="53"/>
      <c r="AC106" s="53"/>
      <c r="AD106" s="53"/>
      <c r="AE106" s="53"/>
      <c r="AF106" s="4"/>
      <c r="AG106" s="4"/>
      <c r="AH106" s="4"/>
      <c r="AI106" s="4"/>
      <c r="AJ106" s="1"/>
      <c r="AK106" s="53"/>
      <c r="AL106" s="53"/>
    </row>
    <row r="107" spans="1:38" ht="15.75" x14ac:dyDescent="0.25">
      <c r="A107" s="53"/>
      <c r="B107" s="53"/>
      <c r="C107" s="129"/>
      <c r="D107" s="58"/>
      <c r="E107" s="137"/>
      <c r="F107" s="137"/>
      <c r="G107" s="64"/>
      <c r="H107" s="64"/>
      <c r="I107" s="64"/>
      <c r="J107" s="64"/>
      <c r="K107" s="138"/>
      <c r="L107" s="139"/>
      <c r="M107" s="139"/>
      <c r="N107" s="139"/>
      <c r="O107" s="139"/>
      <c r="P107" s="139"/>
      <c r="Q107" s="1"/>
      <c r="R107" s="53"/>
      <c r="S107" s="53"/>
      <c r="T107" s="53"/>
      <c r="U107" s="53"/>
      <c r="W107" s="145" t="str">
        <f ca="1">IF($AB$104="No",_xll.DBRA(Server&amp;$C$24,$X107,$F$15),_xll.DBRA(Server&amp;$C$24,$X107,$F$15)&amp; " ("&amp;_xll.DBRA(Server&amp;$AA$11,$AA$40,$AA$10)&amp;")")</f>
        <v>Coûts externes</v>
      </c>
      <c r="X107" s="144" t="s">
        <v>80</v>
      </c>
      <c r="Y107" s="149" t="str">
        <f ca="1">W108</f>
        <v>Réalisé N-2</v>
      </c>
      <c r="Z107" s="53" t="str">
        <f ca="1">W109</f>
        <v>Estimé 2 N-1</v>
      </c>
      <c r="AA107" s="53" t="str">
        <f ca="1">W110</f>
        <v>Budget</v>
      </c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</row>
    <row r="108" spans="1:38" ht="15.75" x14ac:dyDescent="0.25">
      <c r="A108" s="53"/>
      <c r="B108" s="53"/>
      <c r="C108" s="129"/>
      <c r="D108" s="58"/>
      <c r="E108" s="64"/>
      <c r="F108" s="64"/>
      <c r="G108" s="64"/>
      <c r="H108" s="64"/>
      <c r="I108" s="64"/>
      <c r="J108" s="64"/>
      <c r="K108" s="138"/>
      <c r="L108" s="139"/>
      <c r="M108" s="139"/>
      <c r="N108" s="139"/>
      <c r="O108" s="139"/>
      <c r="P108" s="139"/>
      <c r="Q108" s="1"/>
      <c r="R108" s="53"/>
      <c r="S108" s="53"/>
      <c r="T108" s="53"/>
      <c r="U108" s="53"/>
      <c r="V108" s="53"/>
      <c r="W108" s="55" t="str">
        <f ca="1">IF($E$2=$AB$12,_xll.DBRA(Server&amp;AA11,AA59,AA10),_xll.DBRA(Server&amp;AA11,AA60,AA10))</f>
        <v>Réalisé N-2</v>
      </c>
      <c r="X108" s="2" t="str">
        <f>$I$1</f>
        <v>ACT_TOT</v>
      </c>
      <c r="Y108" s="152">
        <f ca="1">_xll.DBRW(Server&amp;Cube1,$F$20,$F$13,$F$14,$F$19,$C$18,$F$16,$F$18,$C$19,$AC108,$X108,$X$107)</f>
        <v>-21970.290289999994</v>
      </c>
      <c r="Z108" s="161"/>
      <c r="AA108" s="161"/>
      <c r="AB108" s="53"/>
      <c r="AC108" s="53" t="str">
        <f ca="1">$I$2</f>
        <v>2014</v>
      </c>
      <c r="AD108" s="53"/>
      <c r="AE108" s="53"/>
      <c r="AF108" s="4"/>
      <c r="AG108" s="4"/>
      <c r="AH108" s="4"/>
      <c r="AI108" s="4"/>
      <c r="AJ108" s="1"/>
      <c r="AK108" s="53"/>
      <c r="AL108" s="53"/>
    </row>
    <row r="109" spans="1:38" ht="23.25" customHeight="1" x14ac:dyDescent="0.25">
      <c r="A109" s="53"/>
      <c r="B109" s="53"/>
      <c r="C109" s="129"/>
      <c r="D109" s="58"/>
      <c r="E109" s="65"/>
      <c r="F109" s="65"/>
      <c r="G109" s="65"/>
      <c r="H109" s="65"/>
      <c r="I109" s="65"/>
      <c r="J109" s="65"/>
      <c r="K109" s="140"/>
      <c r="L109" s="141"/>
      <c r="M109" s="141"/>
      <c r="N109" s="141"/>
      <c r="O109" s="141"/>
      <c r="P109" s="141"/>
      <c r="Q109" s="1"/>
      <c r="R109" s="53"/>
      <c r="S109" s="53"/>
      <c r="T109" s="53"/>
      <c r="U109" s="53"/>
      <c r="V109" s="53"/>
      <c r="W109" s="55" t="str">
        <f ca="1">IF($F$23=$AB$12,_xll.DBRA(Server&amp;$AA$11,$AA$55,$AA$10),_xll.DBRA(Server&amp;$G$1,$X$109,$AA$10))</f>
        <v>Estimé 2 N-1</v>
      </c>
      <c r="X109" s="2" t="str">
        <f ca="1">$J$1</f>
        <v>FC_2_TOT</v>
      </c>
      <c r="Y109" s="152"/>
      <c r="Z109" s="161">
        <f ca="1">_xll.DBRW(Server&amp;Cube1,$F$20,$F$13,$F$14,$F$19,$C$18,$F$16,$F$18,$C$19,$AC109,$X109,$X$107)</f>
        <v>-27775.255868000007</v>
      </c>
      <c r="AA109" s="161"/>
      <c r="AB109" s="53"/>
      <c r="AC109" s="53" t="str">
        <f ca="1">$J$2</f>
        <v>2015</v>
      </c>
      <c r="AD109" s="53"/>
      <c r="AE109" s="53"/>
      <c r="AF109" s="53"/>
      <c r="AG109" s="53"/>
      <c r="AH109" s="53"/>
      <c r="AI109" s="53"/>
      <c r="AJ109" s="53"/>
      <c r="AK109" s="53"/>
      <c r="AL109" s="53"/>
    </row>
    <row r="110" spans="1:38" ht="15.75" x14ac:dyDescent="0.25">
      <c r="A110" s="53"/>
      <c r="B110" s="53"/>
      <c r="C110" s="129"/>
      <c r="D110" s="58"/>
      <c r="E110" s="142"/>
      <c r="F110" s="142"/>
      <c r="G110" s="65"/>
      <c r="H110" s="65"/>
      <c r="I110" s="65"/>
      <c r="J110" s="65"/>
      <c r="K110" s="140"/>
      <c r="L110" s="141"/>
      <c r="M110" s="141"/>
      <c r="N110" s="141"/>
      <c r="O110" s="141"/>
      <c r="P110" s="141"/>
      <c r="Q110" s="1"/>
      <c r="R110" s="53"/>
      <c r="T110" s="53"/>
      <c r="U110" s="53"/>
      <c r="W110" s="55" t="str">
        <f ca="1">_xll.DBRA(Server&amp;$G$1,$X$110,$AA$10)</f>
        <v>Budget</v>
      </c>
      <c r="X110" s="2" t="str">
        <f ca="1">$K$1</f>
        <v>BUDG_TOT</v>
      </c>
      <c r="Y110" s="152"/>
      <c r="Z110" s="161"/>
      <c r="AA110" s="161">
        <f ca="1">_xll.DBRW(Server&amp;Cube1,$F$20,$F$13,$F$14,$F$19,$C$18,$F$16,$F$18,$C$19,$AC110,$X110,$X$107)</f>
        <v>-34644.563999999998</v>
      </c>
      <c r="AB110" s="53"/>
      <c r="AC110" s="53" t="str">
        <f ca="1">$K$2</f>
        <v>2016</v>
      </c>
      <c r="AD110" s="53"/>
      <c r="AE110" s="53"/>
      <c r="AF110" s="4"/>
      <c r="AG110" s="4"/>
      <c r="AH110" s="4"/>
      <c r="AI110" s="4"/>
      <c r="AJ110" s="1"/>
      <c r="AK110" s="53"/>
    </row>
    <row r="111" spans="1:38" ht="15.75" x14ac:dyDescent="0.25">
      <c r="A111" s="53"/>
      <c r="B111" s="53"/>
      <c r="C111" s="129"/>
      <c r="D111" s="58"/>
      <c r="E111" s="137"/>
      <c r="F111" s="137"/>
      <c r="G111" s="64"/>
      <c r="H111" s="64"/>
      <c r="I111" s="64"/>
      <c r="J111" s="64"/>
      <c r="K111" s="138"/>
      <c r="L111" s="139"/>
      <c r="M111" s="139"/>
      <c r="N111" s="139"/>
      <c r="O111" s="139"/>
      <c r="P111" s="139"/>
      <c r="Q111" s="1"/>
      <c r="R111" s="53"/>
      <c r="T111" s="53"/>
      <c r="U111" s="53"/>
      <c r="W111" s="145" t="str">
        <f ca="1">IF($AB$104="No",_xll.DBRA(Server&amp;$C$24,$X111,$F$15),_xll.DBRA(Server&amp;$C$24,$X111,$F$15)&amp; " ("&amp;_xll.DBRA(Server&amp;$AA$11,$AA$40,$AA$10)&amp;")")</f>
        <v>Frais de personnel et Assimilés</v>
      </c>
      <c r="X111" s="144" t="s">
        <v>98</v>
      </c>
      <c r="Y111" s="153" t="str">
        <f ca="1">W112</f>
        <v>Réalisé N-2</v>
      </c>
      <c r="Z111" s="23" t="str">
        <f ca="1">W113</f>
        <v>Estimé 2 N-1</v>
      </c>
      <c r="AA111" s="53" t="str">
        <f ca="1">W114</f>
        <v>Budget</v>
      </c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</row>
    <row r="112" spans="1:38" ht="15.75" x14ac:dyDescent="0.25">
      <c r="A112" s="53"/>
      <c r="B112" s="53"/>
      <c r="C112" s="129"/>
      <c r="D112" s="58"/>
      <c r="E112" s="137"/>
      <c r="F112" s="137"/>
      <c r="G112" s="64"/>
      <c r="H112" s="64"/>
      <c r="I112" s="64"/>
      <c r="J112" s="64"/>
      <c r="K112" s="138"/>
      <c r="L112" s="139"/>
      <c r="M112" s="139"/>
      <c r="N112" s="139"/>
      <c r="O112" s="139"/>
      <c r="P112" s="139"/>
      <c r="Q112" s="1"/>
      <c r="R112" s="53"/>
      <c r="S112" s="53"/>
      <c r="T112" s="53"/>
      <c r="U112" s="53"/>
      <c r="V112" s="86"/>
      <c r="W112" s="55" t="str">
        <f ca="1">IF($E$2=$AB$12,_xll.DBRA(Server&amp;AA11,AA59,AA10),_xll.DBRA(Server&amp;AA11,AA60,AA10))</f>
        <v>Réalisé N-2</v>
      </c>
      <c r="X112" s="2" t="str">
        <f>$I$1</f>
        <v>ACT_TOT</v>
      </c>
      <c r="Y112" s="152">
        <f ca="1">_xll.DBRW(Server&amp;Cube1,$F$20,$F$13,$F$14,$F$19,$C$18,$F$16,$F$18,$C$19,$AC112,$X112,$X$111)</f>
        <v>-44105.511680000003</v>
      </c>
      <c r="Z112" s="161"/>
      <c r="AA112" s="161"/>
      <c r="AB112" s="53"/>
      <c r="AC112" s="53" t="str">
        <f ca="1">$I$2</f>
        <v>2014</v>
      </c>
      <c r="AD112" s="53"/>
      <c r="AE112" s="53"/>
      <c r="AF112" s="4"/>
      <c r="AG112" s="4"/>
      <c r="AH112" s="4"/>
      <c r="AI112" s="4"/>
      <c r="AJ112" s="1"/>
      <c r="AK112" s="53"/>
      <c r="AL112" s="53"/>
    </row>
    <row r="113" spans="1:38" ht="15.75" x14ac:dyDescent="0.25">
      <c r="A113" s="53"/>
      <c r="B113" s="53"/>
      <c r="C113" s="129"/>
      <c r="D113" s="58"/>
      <c r="E113" s="137"/>
      <c r="F113" s="137"/>
      <c r="G113" s="64"/>
      <c r="H113" s="64"/>
      <c r="I113" s="64"/>
      <c r="J113" s="64"/>
      <c r="K113" s="138"/>
      <c r="L113" s="139"/>
      <c r="M113" s="139"/>
      <c r="N113" s="139"/>
      <c r="O113" s="139"/>
      <c r="P113" s="139"/>
      <c r="Q113" s="1"/>
      <c r="R113" s="53"/>
      <c r="S113" s="53"/>
      <c r="T113" s="53"/>
      <c r="U113" s="53"/>
      <c r="V113" s="86"/>
      <c r="W113" s="55" t="str">
        <f ca="1">IF($F$23=$AB$12,_xll.DBRA(Server&amp;$AA$11,$AA$55,$AA$10),_xll.DBRA(Server&amp;$G$1,$X$109,$AA$10))</f>
        <v>Estimé 2 N-1</v>
      </c>
      <c r="X113" s="2" t="str">
        <f ca="1">$J$1</f>
        <v>FC_2_TOT</v>
      </c>
      <c r="Y113" s="152"/>
      <c r="Z113" s="161">
        <f ca="1">_xll.DBRW(Server&amp;Cube1,$F$20,$F$13,$F$14,$F$19,$C$18,$F$16,$F$18,$C$19,$AC113,$X113,$X$111)</f>
        <v>-41824.461113333338</v>
      </c>
      <c r="AA113" s="161"/>
      <c r="AB113" s="53"/>
      <c r="AC113" s="53" t="str">
        <f ca="1">$J$2</f>
        <v>2015</v>
      </c>
      <c r="AD113" s="53"/>
      <c r="AE113" s="53"/>
      <c r="AF113" s="53"/>
      <c r="AG113" s="53"/>
      <c r="AH113" s="53"/>
      <c r="AI113" s="53"/>
      <c r="AJ113" s="53"/>
      <c r="AK113" s="53"/>
    </row>
    <row r="114" spans="1:38" ht="15.75" x14ac:dyDescent="0.25">
      <c r="A114" s="53"/>
      <c r="B114" s="53"/>
      <c r="C114" s="129"/>
      <c r="D114" s="58"/>
      <c r="E114" s="137"/>
      <c r="F114" s="137"/>
      <c r="G114" s="64"/>
      <c r="H114" s="64"/>
      <c r="I114" s="64"/>
      <c r="J114" s="64"/>
      <c r="K114" s="138"/>
      <c r="L114" s="139"/>
      <c r="M114" s="139"/>
      <c r="N114" s="139"/>
      <c r="O114" s="139"/>
      <c r="P114" s="139"/>
      <c r="Q114" s="1"/>
      <c r="R114" s="53"/>
      <c r="S114" s="53"/>
      <c r="T114" s="53"/>
      <c r="U114" s="53"/>
      <c r="W114" s="55" t="str">
        <f ca="1">_xll.DBRA(Server&amp;$G$1,$X$110,$AA$10)</f>
        <v>Budget</v>
      </c>
      <c r="X114" s="2" t="str">
        <f ca="1">$K$1</f>
        <v>BUDG_TOT</v>
      </c>
      <c r="Y114" s="152"/>
      <c r="Z114" s="161"/>
      <c r="AA114" s="161">
        <f ca="1">_xll.DBRW(Server&amp;Cube1,$F$20,$F$13,$F$14,$F$19,$C$18,$F$16,$F$18,$C$19,$AC114,$X114,$X$111)</f>
        <v>-42776.912120000008</v>
      </c>
      <c r="AB114" s="53"/>
      <c r="AC114" s="53" t="str">
        <f ca="1">$K$2</f>
        <v>2016</v>
      </c>
      <c r="AD114" s="53"/>
      <c r="AE114" s="53"/>
      <c r="AF114" s="4"/>
      <c r="AG114" s="4"/>
      <c r="AH114" s="4"/>
      <c r="AI114" s="4"/>
      <c r="AJ114" s="1"/>
      <c r="AK114" s="53"/>
    </row>
    <row r="115" spans="1:38" ht="15.75" x14ac:dyDescent="0.25">
      <c r="A115" s="53"/>
      <c r="B115" s="53"/>
      <c r="C115" s="129"/>
      <c r="D115" s="58"/>
      <c r="E115" s="137"/>
      <c r="F115" s="137"/>
      <c r="G115" s="64"/>
      <c r="H115" s="64"/>
      <c r="I115" s="64"/>
      <c r="J115" s="64"/>
      <c r="K115" s="138"/>
      <c r="L115" s="139"/>
      <c r="M115" s="139"/>
      <c r="N115" s="139"/>
      <c r="O115" s="139"/>
      <c r="P115" s="139"/>
      <c r="Q115" s="1"/>
      <c r="R115" s="53"/>
      <c r="S115" s="53"/>
      <c r="T115" s="53"/>
      <c r="U115" s="53"/>
      <c r="W115" s="145" t="str">
        <f ca="1">IF($AB$104="No",_xll.DBRA(Server&amp;$C$24,$X115,$F$15),_xll.DBRA(Server&amp;$C$24,$X115,$F$15)&amp; " ("&amp;_xll.DBRA(Server&amp;$AA$11,$AA$40,$AA$10)&amp;")")</f>
        <v>Frais de déplacement</v>
      </c>
      <c r="X115" s="144" t="s">
        <v>102</v>
      </c>
      <c r="Y115" s="154" t="str">
        <f ca="1">W116</f>
        <v>Réalisé N-2</v>
      </c>
      <c r="Z115" s="23" t="str">
        <f ca="1">W117</f>
        <v>Estimé 2 N-1</v>
      </c>
      <c r="AA115" s="53" t="str">
        <f ca="1">W118</f>
        <v>Budget</v>
      </c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</row>
    <row r="116" spans="1:38" ht="15.75" x14ac:dyDescent="0.25">
      <c r="A116" s="53"/>
      <c r="B116" s="53"/>
      <c r="C116" s="129"/>
      <c r="D116" s="58"/>
      <c r="E116" s="137"/>
      <c r="F116" s="137"/>
      <c r="G116" s="64"/>
      <c r="H116" s="64"/>
      <c r="I116" s="64"/>
      <c r="J116" s="64"/>
      <c r="K116" s="138"/>
      <c r="L116" s="139"/>
      <c r="M116" s="139"/>
      <c r="N116" s="139"/>
      <c r="O116" s="139"/>
      <c r="P116" s="139"/>
      <c r="Q116" s="1"/>
      <c r="R116" s="53"/>
      <c r="S116" s="53"/>
      <c r="T116" s="53"/>
      <c r="U116" s="53"/>
      <c r="W116" s="55" t="str">
        <f ca="1">IF($E$2=$AB$12,_xll.DBRA(Server&amp;AA11,AA59,AA10),_xll.DBRA(Server&amp;AA11,AA60,AA10))</f>
        <v>Réalisé N-2</v>
      </c>
      <c r="X116" s="2" t="str">
        <f>$I$1</f>
        <v>ACT_TOT</v>
      </c>
      <c r="Y116" s="152">
        <f ca="1">_xll.DBRW(Server&amp;Cube1,$F$20,$F$13,$F$14,$F$19,$C$18,$F$16,$F$18,$C$19,$AC116,$X116,$X$115)</f>
        <v>-1636.3912099999993</v>
      </c>
      <c r="Z116" s="161"/>
      <c r="AA116" s="161"/>
      <c r="AB116" s="53"/>
      <c r="AC116" s="53" t="str">
        <f ca="1">$I$2</f>
        <v>2014</v>
      </c>
      <c r="AD116" s="53"/>
      <c r="AE116" s="53"/>
      <c r="AF116" s="4"/>
      <c r="AG116" s="4"/>
      <c r="AH116" s="4"/>
      <c r="AI116" s="4"/>
      <c r="AJ116" s="1"/>
      <c r="AK116" s="53"/>
    </row>
    <row r="117" spans="1:38" ht="15.75" x14ac:dyDescent="0.25">
      <c r="A117" s="53"/>
      <c r="B117" s="53"/>
      <c r="C117" s="129"/>
      <c r="D117" s="58"/>
      <c r="E117" s="137"/>
      <c r="F117" s="137"/>
      <c r="G117" s="64"/>
      <c r="H117" s="64"/>
      <c r="I117" s="64"/>
      <c r="J117" s="64"/>
      <c r="K117" s="138"/>
      <c r="L117" s="139"/>
      <c r="M117" s="139"/>
      <c r="N117" s="139"/>
      <c r="O117" s="139"/>
      <c r="P117" s="139"/>
      <c r="Q117" s="1"/>
      <c r="R117" s="53"/>
      <c r="S117" s="53"/>
      <c r="T117" s="53"/>
      <c r="U117" s="53"/>
      <c r="W117" s="55" t="str">
        <f ca="1">IF($F$23=$AB$12,_xll.DBRA(Server&amp;$AA$11,$AA$55,$AA$10),_xll.DBRA(Server&amp;$G$1,$X$109,$AA$10))</f>
        <v>Estimé 2 N-1</v>
      </c>
      <c r="X117" s="2" t="str">
        <f ca="1">$J$1</f>
        <v>FC_2_TOT</v>
      </c>
      <c r="Y117" s="152"/>
      <c r="Z117" s="161">
        <f ca="1">_xll.DBRW(Server&amp;Cube1,$F$20,$F$13,$F$14,$F$19,$C$18,$F$16,$F$18,$C$19,$AC117,$X117,$X$115)</f>
        <v>-1903.0000000000002</v>
      </c>
      <c r="AA117" s="161"/>
      <c r="AB117" s="53"/>
      <c r="AC117" s="53" t="str">
        <f ca="1">$J$2</f>
        <v>2015</v>
      </c>
      <c r="AD117" s="53"/>
      <c r="AE117" s="53"/>
      <c r="AF117" s="53"/>
      <c r="AG117" s="53"/>
      <c r="AH117" s="53"/>
      <c r="AI117" s="53"/>
      <c r="AJ117" s="53"/>
      <c r="AK117" s="53"/>
    </row>
    <row r="118" spans="1:38" ht="15.75" x14ac:dyDescent="0.25">
      <c r="A118" s="53"/>
      <c r="B118" s="53"/>
      <c r="C118" s="129"/>
      <c r="D118" s="58"/>
      <c r="E118" s="137"/>
      <c r="F118" s="137"/>
      <c r="G118" s="64"/>
      <c r="H118" s="64"/>
      <c r="I118" s="64"/>
      <c r="J118" s="64"/>
      <c r="K118" s="138"/>
      <c r="L118" s="139"/>
      <c r="M118" s="139"/>
      <c r="N118" s="139"/>
      <c r="O118" s="139"/>
      <c r="P118" s="139"/>
      <c r="Q118" s="1"/>
      <c r="R118" s="53"/>
      <c r="S118" s="53"/>
      <c r="T118" s="53"/>
      <c r="U118" s="53"/>
      <c r="W118" s="55" t="str">
        <f ca="1">_xll.DBRA(Server&amp;$G$1,$X$110,$AA$10)</f>
        <v>Budget</v>
      </c>
      <c r="X118" s="2" t="str">
        <f ca="1">$K$1</f>
        <v>BUDG_TOT</v>
      </c>
      <c r="Y118" s="152"/>
      <c r="Z118" s="161"/>
      <c r="AA118" s="161">
        <f ca="1">_xll.DBRW(Server&amp;Cube1,$F$20,$F$13,$F$14,$F$19,$C$18,$F$16,$F$18,$C$19,$AC118,$X118,$X$115)</f>
        <v>-1902.6000000000001</v>
      </c>
      <c r="AB118" s="53"/>
      <c r="AC118" s="53" t="str">
        <f ca="1">$K$2</f>
        <v>2016</v>
      </c>
      <c r="AD118" s="53"/>
      <c r="AE118" s="53"/>
      <c r="AF118" s="4"/>
      <c r="AG118" s="4"/>
      <c r="AH118" s="4"/>
      <c r="AI118" s="4"/>
      <c r="AJ118" s="1"/>
      <c r="AK118" s="53"/>
    </row>
    <row r="119" spans="1:38" ht="15.75" x14ac:dyDescent="0.25">
      <c r="A119" s="53"/>
      <c r="B119" s="53"/>
      <c r="C119" s="129"/>
      <c r="D119" s="58"/>
      <c r="E119" s="137"/>
      <c r="F119" s="137"/>
      <c r="G119" s="64"/>
      <c r="H119" s="64"/>
      <c r="I119" s="64"/>
      <c r="J119" s="64"/>
      <c r="K119" s="138"/>
      <c r="L119" s="139"/>
      <c r="M119" s="139"/>
      <c r="N119" s="139"/>
      <c r="O119" s="139"/>
      <c r="P119" s="139"/>
      <c r="Q119" s="1"/>
      <c r="R119" s="53"/>
      <c r="S119" s="53"/>
      <c r="T119" s="53"/>
      <c r="U119" s="53"/>
      <c r="W119" s="145" t="str">
        <f ca="1">IF($AB$104="No",_xll.DBRA(Server&amp;$C$24,$X119,$F$15),_xll.DBRA(Server&amp;$C$24,$X119,$F$15)&amp; " ("&amp;_xll.DBRA(Server&amp;$AA$11,$AA$40,$AA$10)&amp;")")</f>
        <v>RESULTAT OPERATIONNEL APRES MF</v>
      </c>
      <c r="X119" s="144" t="s">
        <v>133</v>
      </c>
      <c r="Y119" s="153" t="str">
        <f ca="1">W120</f>
        <v>Réalisé N-2</v>
      </c>
      <c r="Z119" s="23" t="str">
        <f ca="1">W121</f>
        <v>Estimé 2 N-1</v>
      </c>
      <c r="AA119" s="53" t="str">
        <f ca="1">W122</f>
        <v>Budget</v>
      </c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</row>
    <row r="120" spans="1:38" ht="15.75" x14ac:dyDescent="0.25">
      <c r="A120" s="53"/>
      <c r="B120" s="53"/>
      <c r="C120" s="129"/>
      <c r="D120" s="58"/>
      <c r="E120" s="137"/>
      <c r="F120" s="137"/>
      <c r="G120" s="64"/>
      <c r="H120" s="64"/>
      <c r="I120" s="64"/>
      <c r="J120" s="64"/>
      <c r="K120" s="138"/>
      <c r="L120" s="139"/>
      <c r="M120" s="139"/>
      <c r="N120" s="139"/>
      <c r="O120" s="139"/>
      <c r="P120" s="139"/>
      <c r="Q120" s="1"/>
      <c r="R120" s="53"/>
      <c r="S120" s="53"/>
      <c r="T120" s="53"/>
      <c r="U120" s="53"/>
      <c r="W120" s="55" t="str">
        <f ca="1">IF($E$2=$AB$12,_xll.DBRA(Server&amp;AA11,AA59,AA10),_xll.DBRA(Server&amp;AA11,AA60,AA10))</f>
        <v>Réalisé N-2</v>
      </c>
      <c r="X120" s="2" t="str">
        <f>$I$1</f>
        <v>ACT_TOT</v>
      </c>
      <c r="Y120" s="152">
        <f ca="1">_xll.DBRW(Server&amp;Cube1,$F$20,$F$13,$F$14,$F$19,$C$18,$F$16,$F$18,$C$19,$AC120,$X120,$X$119)</f>
        <v>-13517.125110000015</v>
      </c>
      <c r="Z120" s="161"/>
      <c r="AA120" s="161"/>
      <c r="AB120" s="53"/>
      <c r="AC120" s="53" t="str">
        <f ca="1">$I$2</f>
        <v>2014</v>
      </c>
      <c r="AD120" s="53"/>
      <c r="AE120" s="53"/>
      <c r="AF120" s="4"/>
      <c r="AG120" s="4"/>
      <c r="AH120" s="4"/>
      <c r="AI120" s="4"/>
      <c r="AJ120" s="1"/>
      <c r="AK120" s="53"/>
    </row>
    <row r="121" spans="1:38" ht="15.75" x14ac:dyDescent="0.25">
      <c r="A121" s="53"/>
      <c r="B121" s="53"/>
      <c r="C121" s="129"/>
      <c r="D121" s="58"/>
      <c r="E121" s="137"/>
      <c r="F121" s="137"/>
      <c r="G121" s="64"/>
      <c r="H121" s="64"/>
      <c r="I121" s="64"/>
      <c r="J121" s="64"/>
      <c r="K121" s="138"/>
      <c r="L121" s="139"/>
      <c r="M121" s="139"/>
      <c r="N121" s="139"/>
      <c r="O121" s="139"/>
      <c r="P121" s="139"/>
      <c r="Q121" s="1"/>
      <c r="R121" s="53"/>
      <c r="S121" s="53"/>
      <c r="T121" s="53"/>
      <c r="U121" s="53"/>
      <c r="W121" s="55" t="str">
        <f ca="1">IF($F$23=$AB$12,_xll.DBRA(Server&amp;$AA$11,$AA$55,$AA$10),_xll.DBRA(Server&amp;$G$1,$X$109,$AA$10))</f>
        <v>Estimé 2 N-1</v>
      </c>
      <c r="X121" s="2" t="str">
        <f ca="1">$J$1</f>
        <v>FC_2_TOT</v>
      </c>
      <c r="Y121" s="152"/>
      <c r="Z121" s="161">
        <f ca="1">_xll.DBRW(Server&amp;Cube1,$F$20,$F$13,$F$14,$F$19,$C$18,$F$16,$F$18,$C$19,$AC121,$X121,$X$119)</f>
        <v>-11257.056852304071</v>
      </c>
      <c r="AA121" s="161"/>
      <c r="AB121" s="53"/>
      <c r="AC121" s="53" t="str">
        <f ca="1">$J$2</f>
        <v>2015</v>
      </c>
      <c r="AD121" s="53"/>
      <c r="AE121" s="53"/>
      <c r="AF121" s="53"/>
      <c r="AG121" s="53"/>
      <c r="AH121" s="53"/>
      <c r="AI121" s="53"/>
      <c r="AJ121" s="53"/>
      <c r="AK121" s="53"/>
    </row>
    <row r="122" spans="1:38" ht="15.75" x14ac:dyDescent="0.25">
      <c r="A122" s="53"/>
      <c r="B122" s="53"/>
      <c r="C122" s="129"/>
      <c r="D122" s="58"/>
      <c r="E122" s="137"/>
      <c r="F122" s="137"/>
      <c r="G122" s="64"/>
      <c r="H122" s="64"/>
      <c r="I122" s="64"/>
      <c r="J122" s="64"/>
      <c r="K122" s="138"/>
      <c r="L122" s="139"/>
      <c r="M122" s="139"/>
      <c r="N122" s="139"/>
      <c r="O122" s="139"/>
      <c r="P122" s="139"/>
      <c r="Q122" s="1"/>
      <c r="R122" s="53"/>
      <c r="S122" s="53"/>
      <c r="T122" s="53"/>
      <c r="U122" s="53"/>
      <c r="W122" s="55" t="str">
        <f ca="1">_xll.DBRA(Server&amp;$G$1,$X$110,$AA$10)</f>
        <v>Budget</v>
      </c>
      <c r="X122" s="2" t="str">
        <f ca="1">$K$1</f>
        <v>BUDG_TOT</v>
      </c>
      <c r="Y122" s="152"/>
      <c r="Z122" s="161"/>
      <c r="AA122" s="161">
        <f ca="1">_xll.DBRW(Server&amp;Cube1,$F$20,$F$13,$F$14,$F$19,$C$18,$F$16,$F$18,$C$19,$AC122,$X122,$X$119)</f>
        <v>-8002.3232583465815</v>
      </c>
      <c r="AB122" s="53"/>
      <c r="AC122" s="53" t="str">
        <f ca="1">$K$2</f>
        <v>2016</v>
      </c>
      <c r="AD122" s="53"/>
      <c r="AE122" s="53"/>
      <c r="AF122" s="4"/>
      <c r="AG122" s="4"/>
      <c r="AH122" s="4"/>
      <c r="AI122" s="4"/>
      <c r="AJ122" s="1"/>
      <c r="AK122" s="53"/>
    </row>
    <row r="123" spans="1:38" ht="15" x14ac:dyDescent="0.25">
      <c r="A123" s="53"/>
      <c r="B123" s="53"/>
      <c r="C123" s="129"/>
      <c r="D123" s="58"/>
      <c r="E123" s="137"/>
      <c r="F123" s="137"/>
      <c r="G123" s="64"/>
      <c r="H123" s="64"/>
      <c r="I123" s="64"/>
      <c r="J123" s="64"/>
      <c r="K123" s="138"/>
      <c r="L123" s="139"/>
      <c r="M123" s="139"/>
      <c r="N123" s="139"/>
      <c r="O123" s="139"/>
      <c r="P123" s="139"/>
      <c r="Q123" s="1"/>
      <c r="R123" s="53"/>
      <c r="S123" s="53"/>
      <c r="T123" s="53"/>
      <c r="U123" s="53"/>
      <c r="W123" s="1" t="str">
        <f ca="1">IF($F$17=$AB$12,_xll.DBRA(Server&amp;$AA$11,AA$54,$F$15),IF($F$17=$AB$13,_xll.DBRA(Server&amp;$AA$11,AA$53,$F$15),_xll.DBRA(Server&amp;$G$1,$I$1,$F$15)))</f>
        <v/>
      </c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</row>
    <row r="124" spans="1:38" ht="15" x14ac:dyDescent="0.25">
      <c r="A124" s="53"/>
      <c r="B124" s="53"/>
      <c r="C124" s="129"/>
      <c r="D124" s="58"/>
      <c r="E124" s="137"/>
      <c r="F124" s="137"/>
      <c r="G124" s="64"/>
      <c r="H124" s="64"/>
      <c r="I124" s="64"/>
      <c r="J124" s="64"/>
      <c r="K124" s="138"/>
      <c r="L124" s="139"/>
      <c r="M124" s="139"/>
      <c r="N124" s="139"/>
      <c r="O124" s="139"/>
      <c r="P124" s="139"/>
      <c r="Q124" s="1"/>
      <c r="R124" s="53"/>
      <c r="S124" s="53"/>
      <c r="T124" s="53"/>
      <c r="U124" s="53"/>
      <c r="W124" s="1" t="str">
        <f ca="1">_xll.DBRA(Server&amp;$G$1,K$1,$F$15)</f>
        <v/>
      </c>
      <c r="Z124" s="53"/>
      <c r="AA124" s="53"/>
      <c r="AB124" s="53"/>
      <c r="AC124" s="53"/>
      <c r="AD124" s="53"/>
      <c r="AE124" s="53"/>
      <c r="AF124" s="4"/>
      <c r="AG124" s="4"/>
      <c r="AH124" s="4"/>
      <c r="AI124" s="4"/>
      <c r="AJ124" s="1"/>
      <c r="AK124" s="53"/>
    </row>
    <row r="125" spans="1:38" ht="15" x14ac:dyDescent="0.25">
      <c r="A125" s="53"/>
      <c r="B125" s="53"/>
      <c r="C125" s="129"/>
      <c r="D125" s="58"/>
      <c r="E125" s="137"/>
      <c r="F125" s="137"/>
      <c r="G125" s="64"/>
      <c r="H125" s="64"/>
      <c r="I125" s="64"/>
      <c r="J125" s="64"/>
      <c r="K125" s="138"/>
      <c r="L125" s="139"/>
      <c r="M125" s="139"/>
      <c r="N125" s="139"/>
      <c r="O125" s="139"/>
      <c r="P125" s="139"/>
      <c r="Q125" s="1"/>
      <c r="R125" s="53"/>
      <c r="S125" s="53"/>
      <c r="T125" s="53"/>
      <c r="U125" s="53"/>
      <c r="AE125" s="53"/>
      <c r="AF125" s="53"/>
      <c r="AG125" s="53"/>
      <c r="AH125" s="53"/>
      <c r="AI125" s="53"/>
      <c r="AJ125" s="53"/>
      <c r="AK125" s="53"/>
    </row>
    <row r="126" spans="1:38" ht="15" x14ac:dyDescent="0.25">
      <c r="A126" s="53"/>
      <c r="B126" s="53"/>
      <c r="C126" s="129"/>
      <c r="D126" s="58"/>
      <c r="E126" s="137"/>
      <c r="F126" s="137"/>
      <c r="G126" s="64"/>
      <c r="H126" s="64"/>
      <c r="I126" s="64"/>
      <c r="J126" s="64"/>
      <c r="K126" s="138"/>
      <c r="L126" s="139"/>
      <c r="M126" s="139"/>
      <c r="N126" s="139"/>
      <c r="O126" s="139"/>
      <c r="P126" s="139"/>
      <c r="Q126" s="1"/>
      <c r="R126" s="53"/>
      <c r="S126" s="53"/>
      <c r="T126" s="53"/>
      <c r="U126" s="53"/>
      <c r="AE126" s="4"/>
      <c r="AF126" s="4"/>
      <c r="AG126" s="4"/>
      <c r="AH126" s="4"/>
      <c r="AI126" s="4"/>
      <c r="AJ126" s="1"/>
      <c r="AK126" s="53"/>
    </row>
    <row r="127" spans="1:38" ht="15" x14ac:dyDescent="0.25">
      <c r="A127" s="53"/>
      <c r="B127" s="53"/>
      <c r="C127" s="129"/>
      <c r="D127" s="58"/>
      <c r="E127" s="137"/>
      <c r="F127" s="137"/>
      <c r="G127" s="64"/>
      <c r="H127" s="64"/>
      <c r="I127" s="64"/>
      <c r="J127" s="64"/>
      <c r="K127" s="138"/>
      <c r="L127" s="139"/>
      <c r="M127" s="139"/>
      <c r="N127" s="139"/>
      <c r="O127" s="139"/>
      <c r="P127" s="139"/>
      <c r="Q127" s="1"/>
      <c r="R127" s="53"/>
      <c r="S127" s="53"/>
      <c r="T127" s="53"/>
      <c r="U127" s="53"/>
      <c r="AE127" s="53"/>
      <c r="AF127" s="53"/>
      <c r="AG127" s="53"/>
      <c r="AH127" s="53"/>
      <c r="AI127" s="53"/>
      <c r="AJ127" s="53"/>
      <c r="AK127" s="53"/>
    </row>
    <row r="128" spans="1:38" ht="15" x14ac:dyDescent="0.25">
      <c r="A128" s="53"/>
      <c r="B128" s="53"/>
      <c r="C128" s="129"/>
      <c r="D128" s="58"/>
      <c r="E128" s="143"/>
      <c r="F128" s="137"/>
      <c r="G128" s="137"/>
      <c r="H128" s="64"/>
      <c r="I128" s="64"/>
      <c r="J128" s="64"/>
      <c r="K128" s="64"/>
      <c r="L128" s="138"/>
      <c r="M128" s="139"/>
      <c r="N128" s="139"/>
      <c r="O128" s="139"/>
      <c r="P128" s="139"/>
      <c r="Q128" s="1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</row>
    <row r="129" spans="1:38" ht="15" x14ac:dyDescent="0.25">
      <c r="A129" s="53"/>
      <c r="B129" s="53"/>
      <c r="C129" s="129"/>
      <c r="D129" s="58"/>
      <c r="E129" s="143"/>
      <c r="F129" s="137"/>
      <c r="G129" s="137"/>
      <c r="H129" s="64"/>
      <c r="I129" s="64"/>
      <c r="J129" s="64"/>
      <c r="K129" s="64"/>
      <c r="L129" s="138"/>
      <c r="M129" s="139"/>
      <c r="N129" s="139"/>
      <c r="O129" s="139"/>
      <c r="P129" s="139"/>
      <c r="Q129" s="1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</row>
    <row r="130" spans="1:38" ht="15" x14ac:dyDescent="0.25">
      <c r="A130" s="53"/>
      <c r="B130" s="53"/>
      <c r="C130" s="129"/>
      <c r="D130" s="58"/>
      <c r="E130" s="143"/>
      <c r="F130" s="137"/>
      <c r="G130" s="137"/>
      <c r="H130" s="64"/>
      <c r="I130" s="64"/>
      <c r="J130" s="64"/>
      <c r="K130" s="64"/>
      <c r="L130" s="138"/>
      <c r="M130" s="139"/>
      <c r="N130" s="139"/>
      <c r="O130" s="139"/>
      <c r="P130" s="139"/>
      <c r="Q130" s="1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</row>
    <row r="131" spans="1:38" ht="15" x14ac:dyDescent="0.25">
      <c r="A131" s="53"/>
      <c r="B131" s="53"/>
      <c r="C131" s="129"/>
      <c r="D131" s="58"/>
      <c r="E131" s="143"/>
      <c r="F131" s="137"/>
      <c r="G131" s="137"/>
      <c r="H131" s="64"/>
      <c r="I131" s="64"/>
      <c r="J131" s="64"/>
      <c r="K131" s="64"/>
      <c r="L131" s="138"/>
      <c r="M131" s="139"/>
      <c r="N131" s="139"/>
      <c r="O131" s="139"/>
      <c r="P131" s="139"/>
      <c r="Q131" s="1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</row>
    <row r="132" spans="1:38" ht="23.25" x14ac:dyDescent="0.35">
      <c r="A132" s="53"/>
      <c r="B132" s="53"/>
      <c r="C132" s="129"/>
      <c r="D132" s="61"/>
      <c r="E132" s="95"/>
      <c r="F132" s="95"/>
      <c r="G132" s="95"/>
      <c r="H132" s="39"/>
      <c r="I132" s="112"/>
      <c r="J132" s="112"/>
      <c r="K132" s="112"/>
      <c r="L132" s="10"/>
      <c r="M132" s="10"/>
      <c r="N132" s="10"/>
      <c r="O132" s="10"/>
      <c r="P132" s="10"/>
      <c r="Q132" s="1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</row>
    <row r="133" spans="1:38" ht="22.5" customHeight="1" x14ac:dyDescent="0.3">
      <c r="A133" s="53"/>
      <c r="B133" s="53"/>
      <c r="C133" s="89"/>
      <c r="D133" s="25"/>
      <c r="E133" s="41"/>
      <c r="F133" s="41"/>
      <c r="G133" s="41"/>
      <c r="H133" s="42"/>
      <c r="I133" s="40"/>
      <c r="J133" s="40"/>
      <c r="K133" s="43"/>
      <c r="L133" s="10"/>
      <c r="M133" s="10"/>
      <c r="N133" s="10"/>
      <c r="O133" s="10"/>
      <c r="P133" s="10"/>
      <c r="Q133" s="1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</row>
    <row r="134" spans="1:38" s="45" customFormat="1" ht="20.25" customHeight="1" thickBot="1" x14ac:dyDescent="0.35">
      <c r="A134" s="23"/>
      <c r="B134" s="53"/>
      <c r="C134" s="27" t="s">
        <v>5</v>
      </c>
      <c r="D134" s="44"/>
      <c r="E134" s="11" t="str">
        <f ca="1">_xll.DBRA(Server&amp;$AA$11,C134,$AA$10)</f>
        <v>Commentaires</v>
      </c>
      <c r="F134" s="11"/>
      <c r="G134" s="8"/>
      <c r="H134" s="4"/>
      <c r="I134" s="12"/>
      <c r="J134" s="13"/>
      <c r="K134" s="14"/>
      <c r="L134" s="14"/>
      <c r="M134" s="14"/>
      <c r="N134" s="14"/>
      <c r="O134" s="14"/>
      <c r="P134" s="14"/>
      <c r="Q134" s="14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s="45" customFormat="1" ht="23.25" customHeight="1" x14ac:dyDescent="0.2">
      <c r="A135" s="23"/>
      <c r="B135" s="53"/>
      <c r="C135" s="27" t="s">
        <v>21</v>
      </c>
      <c r="D135" s="44"/>
      <c r="E135" s="228" t="str">
        <f ca="1">_xll.DBRW(Server&amp;Cube2,PL!$F$13,PL!$F$14,PL!$F$19,PL!$F$16,PL!$F$18,PL!$C$19,PL!$F$17,PL!$P$2,PL!$H$4,"Compte_resultat_Corporate_previsionnel",PL!$C135)</f>
        <v/>
      </c>
      <c r="F135" s="229"/>
      <c r="G135" s="229"/>
      <c r="H135" s="229"/>
      <c r="I135" s="229"/>
      <c r="J135" s="229"/>
      <c r="K135" s="229"/>
      <c r="L135" s="229"/>
      <c r="M135" s="229"/>
      <c r="N135" s="229"/>
      <c r="O135" s="229"/>
      <c r="P135" s="230"/>
      <c r="Q135" s="162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s="45" customFormat="1" ht="23.25" customHeight="1" x14ac:dyDescent="0.2">
      <c r="A136" s="23"/>
      <c r="B136" s="53"/>
      <c r="C136" s="27" t="s">
        <v>22</v>
      </c>
      <c r="D136" s="44"/>
      <c r="E136" s="231" t="str">
        <f ca="1">_xll.DBRW(Server&amp;Cube2,PL!$F$13,PL!$F$14,PL!$F$19,PL!$F$16,PL!$F$18,PL!$C$19,PL!$F$17,PL!$P$2,PL!$H$4,"Compte_resultat_Corporate_previsionnel",PL!$C136)</f>
        <v/>
      </c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3"/>
      <c r="Q136" s="162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s="45" customFormat="1" ht="23.25" customHeight="1" x14ac:dyDescent="0.2">
      <c r="A137" s="23"/>
      <c r="B137" s="53"/>
      <c r="C137" s="27" t="s">
        <v>23</v>
      </c>
      <c r="D137" s="44"/>
      <c r="E137" s="231" t="str">
        <f ca="1">_xll.DBRW(Server&amp;Cube2,PL!$F$13,PL!$F$14,PL!$F$19,PL!$F$16,PL!$F$18,PL!$C$19,PL!$F$17,PL!$P$2,PL!$H$4,"Compte_resultat_Corporate_previsionnel",PL!$C137)</f>
        <v/>
      </c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3"/>
      <c r="Q137" s="162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s="45" customFormat="1" ht="23.25" customHeight="1" thickBot="1" x14ac:dyDescent="0.25">
      <c r="A138" s="23"/>
      <c r="B138" s="53"/>
      <c r="C138" s="27" t="s">
        <v>24</v>
      </c>
      <c r="D138" s="44"/>
      <c r="E138" s="222" t="str">
        <f ca="1">_xll.DBRW(Server&amp;Cube2,PL!$F$13,PL!$F$14,PL!$F$19,PL!$F$16,PL!$F$18,PL!$C$19,PL!$F$17,PL!$P$2,PL!$H$4,"Compte_resultat_Corporate_previsionnel",PL!$C138)</f>
        <v/>
      </c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4"/>
      <c r="Q138" s="162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s="45" customFormat="1" ht="12.75" x14ac:dyDescent="0.2">
      <c r="A139" s="23"/>
      <c r="B139" s="53"/>
      <c r="C139" s="27"/>
      <c r="D139" s="44"/>
      <c r="Q139" s="44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s="45" customFormat="1" ht="12.75" x14ac:dyDescent="0.2">
      <c r="A140" s="23"/>
      <c r="B140" s="53"/>
      <c r="C140" s="27"/>
      <c r="D140" s="44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s="45" customFormat="1" ht="12.75" x14ac:dyDescent="0.2">
      <c r="A141" s="23"/>
      <c r="B141" s="53"/>
      <c r="C141" s="27"/>
      <c r="D141" s="44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s="23" customFormat="1" ht="12.75" x14ac:dyDescent="0.2">
      <c r="B142" s="53"/>
      <c r="C142" s="27"/>
      <c r="D142" s="25"/>
      <c r="J142" s="53"/>
      <c r="M142" s="53"/>
      <c r="N142" s="53"/>
      <c r="O142" s="53"/>
      <c r="P142" s="53"/>
      <c r="Q142" s="53"/>
    </row>
    <row r="143" spans="1:38" s="23" customFormat="1" ht="18" customHeight="1" x14ac:dyDescent="0.2">
      <c r="B143" s="53"/>
      <c r="C143" s="27"/>
      <c r="D143" s="25"/>
      <c r="J143" s="53"/>
      <c r="M143" s="53"/>
      <c r="N143" s="53"/>
      <c r="O143" s="53"/>
      <c r="P143" s="53"/>
      <c r="Q143" s="53"/>
    </row>
    <row r="144" spans="1:38" s="23" customFormat="1" ht="18" customHeight="1" x14ac:dyDescent="0.2">
      <c r="B144" s="53"/>
      <c r="J144" s="53"/>
      <c r="M144" s="53"/>
      <c r="N144" s="53"/>
      <c r="O144" s="53"/>
      <c r="P144" s="53"/>
      <c r="Q144" s="53"/>
    </row>
    <row r="145" spans="2:17" s="23" customFormat="1" ht="18" customHeight="1" x14ac:dyDescent="0.2">
      <c r="B145" s="53"/>
      <c r="J145" s="53"/>
      <c r="M145" s="53"/>
      <c r="N145" s="53"/>
      <c r="O145" s="53"/>
      <c r="P145" s="53"/>
      <c r="Q145" s="53"/>
    </row>
    <row r="146" spans="2:17" s="23" customFormat="1" ht="18" customHeight="1" x14ac:dyDescent="0.2">
      <c r="B146" s="53"/>
      <c r="J146" s="53"/>
      <c r="M146" s="53"/>
      <c r="N146" s="53"/>
      <c r="O146" s="53"/>
      <c r="P146" s="53"/>
      <c r="Q146" s="53"/>
    </row>
    <row r="147" spans="2:17" s="23" customFormat="1" ht="18" customHeight="1" x14ac:dyDescent="0.2">
      <c r="B147" s="53"/>
      <c r="J147" s="53"/>
      <c r="M147" s="53"/>
      <c r="N147" s="53"/>
      <c r="O147" s="53"/>
      <c r="P147" s="53"/>
      <c r="Q147" s="53"/>
    </row>
    <row r="148" spans="2:17" s="23" customFormat="1" ht="18" customHeight="1" x14ac:dyDescent="0.2">
      <c r="B148" s="53"/>
      <c r="C148" s="59"/>
      <c r="J148" s="53"/>
      <c r="M148" s="53"/>
      <c r="N148" s="53"/>
      <c r="O148" s="53"/>
      <c r="P148" s="53"/>
      <c r="Q148" s="53"/>
    </row>
    <row r="149" spans="2:17" s="23" customFormat="1" ht="18" customHeight="1" x14ac:dyDescent="0.2">
      <c r="B149" s="53"/>
      <c r="J149" s="53"/>
      <c r="M149" s="53"/>
      <c r="N149" s="53"/>
      <c r="O149" s="53"/>
      <c r="P149" s="53"/>
      <c r="Q149" s="53"/>
    </row>
    <row r="150" spans="2:17" s="23" customFormat="1" ht="18" customHeight="1" x14ac:dyDescent="0.2">
      <c r="B150" s="53"/>
      <c r="J150" s="53"/>
      <c r="M150" s="53"/>
      <c r="N150" s="53"/>
      <c r="O150" s="53"/>
      <c r="P150" s="53"/>
      <c r="Q150" s="53"/>
    </row>
    <row r="151" spans="2:17" s="23" customFormat="1" ht="18" customHeight="1" x14ac:dyDescent="0.2">
      <c r="B151" s="53"/>
      <c r="J151" s="53"/>
      <c r="M151" s="53"/>
      <c r="N151" s="53"/>
      <c r="O151" s="53"/>
      <c r="P151" s="53"/>
      <c r="Q151" s="53"/>
    </row>
    <row r="152" spans="2:17" s="23" customFormat="1" ht="18" customHeight="1" x14ac:dyDescent="0.2">
      <c r="B152" s="53"/>
      <c r="J152" s="53"/>
      <c r="M152" s="53"/>
      <c r="N152" s="53"/>
      <c r="O152" s="53"/>
      <c r="P152" s="53"/>
      <c r="Q152" s="53"/>
    </row>
    <row r="153" spans="2:17" s="23" customFormat="1" ht="18" customHeight="1" x14ac:dyDescent="0.2">
      <c r="B153" s="53"/>
      <c r="J153" s="53"/>
      <c r="M153" s="53"/>
      <c r="N153" s="53"/>
      <c r="O153" s="53"/>
      <c r="P153" s="53"/>
      <c r="Q153" s="53"/>
    </row>
    <row r="154" spans="2:17" s="23" customFormat="1" ht="18" customHeight="1" x14ac:dyDescent="0.2">
      <c r="B154" s="53"/>
      <c r="J154" s="53"/>
      <c r="M154" s="53"/>
      <c r="N154" s="53"/>
      <c r="O154" s="53"/>
      <c r="P154" s="53"/>
      <c r="Q154" s="53"/>
    </row>
    <row r="155" spans="2:17" s="23" customFormat="1" ht="18" customHeight="1" x14ac:dyDescent="0.2">
      <c r="B155" s="53"/>
      <c r="J155" s="53"/>
      <c r="M155" s="53"/>
      <c r="N155" s="53"/>
      <c r="O155" s="53"/>
      <c r="P155" s="53"/>
      <c r="Q155" s="53"/>
    </row>
    <row r="156" spans="2:17" s="23" customFormat="1" ht="18" customHeight="1" x14ac:dyDescent="0.2">
      <c r="B156" s="53"/>
      <c r="J156" s="53"/>
      <c r="M156" s="53"/>
      <c r="N156" s="53"/>
      <c r="O156" s="53"/>
      <c r="P156" s="53"/>
      <c r="Q156" s="53"/>
    </row>
    <row r="157" spans="2:17" s="23" customFormat="1" ht="18" customHeight="1" x14ac:dyDescent="0.2">
      <c r="B157" s="53"/>
      <c r="J157" s="53"/>
      <c r="M157" s="53"/>
      <c r="N157" s="53"/>
      <c r="O157" s="53"/>
      <c r="P157" s="53"/>
      <c r="Q157" s="53"/>
    </row>
    <row r="158" spans="2:17" s="23" customFormat="1" ht="18" customHeight="1" x14ac:dyDescent="0.2">
      <c r="B158" s="53"/>
      <c r="J158" s="53"/>
      <c r="M158" s="53"/>
      <c r="N158" s="53"/>
      <c r="O158" s="53"/>
      <c r="P158" s="53"/>
      <c r="Q158" s="53"/>
    </row>
    <row r="159" spans="2:17" s="23" customFormat="1" ht="18" customHeight="1" x14ac:dyDescent="0.2">
      <c r="B159" s="53"/>
      <c r="J159" s="53"/>
      <c r="M159" s="53"/>
      <c r="N159" s="53"/>
      <c r="O159" s="53"/>
      <c r="P159" s="53"/>
      <c r="Q159" s="53"/>
    </row>
    <row r="160" spans="2:17" s="23" customFormat="1" ht="18" customHeight="1" x14ac:dyDescent="0.2">
      <c r="B160" s="53"/>
      <c r="J160" s="53"/>
      <c r="M160" s="53"/>
      <c r="N160" s="53"/>
      <c r="O160" s="53"/>
      <c r="P160" s="53"/>
      <c r="Q160" s="53"/>
    </row>
    <row r="161" spans="2:17" s="23" customFormat="1" ht="18" customHeight="1" x14ac:dyDescent="0.2">
      <c r="B161" s="53"/>
      <c r="J161" s="53"/>
      <c r="M161" s="53"/>
      <c r="N161" s="53"/>
      <c r="O161" s="53"/>
      <c r="P161" s="53"/>
      <c r="Q161" s="53"/>
    </row>
    <row r="162" spans="2:17" s="23" customFormat="1" ht="18" customHeight="1" x14ac:dyDescent="0.2">
      <c r="B162" s="53"/>
      <c r="J162" s="53"/>
      <c r="M162" s="53"/>
      <c r="N162" s="53"/>
      <c r="O162" s="53"/>
      <c r="P162" s="53"/>
      <c r="Q162" s="53"/>
    </row>
    <row r="163" spans="2:17" s="23" customFormat="1" ht="18" customHeight="1" x14ac:dyDescent="0.2">
      <c r="B163" s="53"/>
      <c r="J163" s="53"/>
      <c r="M163" s="53"/>
      <c r="N163" s="53"/>
      <c r="O163" s="53"/>
      <c r="P163" s="53"/>
      <c r="Q163" s="53"/>
    </row>
    <row r="164" spans="2:17" s="23" customFormat="1" ht="18" customHeight="1" x14ac:dyDescent="0.2">
      <c r="B164" s="53"/>
      <c r="J164" s="53"/>
      <c r="M164" s="53"/>
      <c r="N164" s="53"/>
      <c r="O164" s="53"/>
      <c r="P164" s="53"/>
      <c r="Q164" s="53"/>
    </row>
    <row r="165" spans="2:17" s="23" customFormat="1" ht="18" customHeight="1" x14ac:dyDescent="0.2">
      <c r="B165" s="53"/>
      <c r="J165" s="53"/>
      <c r="M165" s="53"/>
      <c r="N165" s="53"/>
      <c r="O165" s="53"/>
      <c r="P165" s="53"/>
      <c r="Q165" s="53"/>
    </row>
    <row r="166" spans="2:17" s="23" customFormat="1" ht="18" customHeight="1" x14ac:dyDescent="0.2">
      <c r="B166" s="53"/>
      <c r="J166" s="53"/>
      <c r="M166" s="53"/>
      <c r="N166" s="53"/>
      <c r="O166" s="53"/>
      <c r="P166" s="53"/>
      <c r="Q166" s="53"/>
    </row>
    <row r="167" spans="2:17" s="23" customFormat="1" ht="18" customHeight="1" x14ac:dyDescent="0.2">
      <c r="B167" s="53"/>
      <c r="J167" s="53"/>
      <c r="M167" s="53"/>
      <c r="N167" s="53"/>
      <c r="O167" s="53"/>
      <c r="P167" s="53"/>
      <c r="Q167" s="53"/>
    </row>
    <row r="168" spans="2:17" s="23" customFormat="1" ht="18" customHeight="1" x14ac:dyDescent="0.2">
      <c r="B168" s="53"/>
      <c r="J168" s="53"/>
      <c r="M168" s="53"/>
      <c r="N168" s="53"/>
      <c r="O168" s="53"/>
      <c r="P168" s="53"/>
      <c r="Q168" s="53"/>
    </row>
    <row r="169" spans="2:17" s="23" customFormat="1" ht="18" customHeight="1" x14ac:dyDescent="0.2">
      <c r="B169" s="53"/>
      <c r="J169" s="53"/>
      <c r="M169" s="53"/>
      <c r="N169" s="53"/>
      <c r="O169" s="53"/>
      <c r="P169" s="53"/>
      <c r="Q169" s="53"/>
    </row>
    <row r="170" spans="2:17" s="23" customFormat="1" ht="18" customHeight="1" x14ac:dyDescent="0.2">
      <c r="B170" s="53"/>
      <c r="J170" s="53"/>
      <c r="M170" s="53"/>
      <c r="N170" s="53"/>
      <c r="O170" s="53"/>
      <c r="P170" s="53"/>
      <c r="Q170" s="53"/>
    </row>
    <row r="171" spans="2:17" s="23" customFormat="1" ht="18" customHeight="1" x14ac:dyDescent="0.2">
      <c r="B171" s="53"/>
      <c r="J171" s="53"/>
      <c r="M171" s="53"/>
      <c r="N171" s="53"/>
      <c r="O171" s="53"/>
      <c r="P171" s="53"/>
      <c r="Q171" s="53"/>
    </row>
    <row r="172" spans="2:17" s="23" customFormat="1" ht="18" customHeight="1" x14ac:dyDescent="0.2">
      <c r="B172" s="53"/>
      <c r="J172" s="53"/>
      <c r="M172" s="53"/>
      <c r="N172" s="53"/>
      <c r="O172" s="53"/>
      <c r="P172" s="53"/>
      <c r="Q172" s="53"/>
    </row>
    <row r="173" spans="2:17" s="23" customFormat="1" ht="18" customHeight="1" x14ac:dyDescent="0.2">
      <c r="B173" s="53"/>
      <c r="J173" s="53"/>
      <c r="M173" s="53"/>
      <c r="N173" s="53"/>
      <c r="O173" s="53"/>
      <c r="P173" s="53"/>
      <c r="Q173" s="53"/>
    </row>
    <row r="174" spans="2:17" s="23" customFormat="1" ht="18" customHeight="1" x14ac:dyDescent="0.2">
      <c r="B174" s="53"/>
      <c r="J174" s="53"/>
      <c r="M174" s="53"/>
      <c r="N174" s="53"/>
      <c r="O174" s="53"/>
      <c r="P174" s="53"/>
      <c r="Q174" s="53"/>
    </row>
    <row r="175" spans="2:17" s="23" customFormat="1" ht="18" customHeight="1" x14ac:dyDescent="0.2">
      <c r="J175" s="53"/>
      <c r="M175" s="53"/>
      <c r="N175" s="53"/>
      <c r="O175" s="53"/>
      <c r="P175" s="53"/>
      <c r="Q175" s="53"/>
    </row>
    <row r="176" spans="2:17" s="23" customFormat="1" ht="18" customHeight="1" x14ac:dyDescent="0.2">
      <c r="J176" s="53"/>
      <c r="M176" s="53"/>
      <c r="N176" s="53"/>
      <c r="O176" s="53"/>
      <c r="P176" s="53"/>
      <c r="Q176" s="53"/>
    </row>
    <row r="177" spans="10:17" s="23" customFormat="1" ht="18" customHeight="1" x14ac:dyDescent="0.2">
      <c r="J177" s="53"/>
      <c r="M177" s="53"/>
      <c r="N177" s="53"/>
      <c r="O177" s="53"/>
      <c r="P177" s="53"/>
      <c r="Q177" s="53"/>
    </row>
    <row r="178" spans="10:17" s="23" customFormat="1" ht="18" customHeight="1" x14ac:dyDescent="0.2">
      <c r="J178" s="53"/>
      <c r="M178" s="53"/>
      <c r="N178" s="53"/>
      <c r="O178" s="53"/>
      <c r="P178" s="53"/>
      <c r="Q178" s="53"/>
    </row>
    <row r="179" spans="10:17" s="23" customFormat="1" ht="18" customHeight="1" x14ac:dyDescent="0.2">
      <c r="J179" s="53"/>
      <c r="M179" s="53"/>
      <c r="N179" s="53"/>
      <c r="O179" s="53"/>
      <c r="P179" s="53"/>
      <c r="Q179" s="53"/>
    </row>
    <row r="180" spans="10:17" s="23" customFormat="1" ht="18" customHeight="1" x14ac:dyDescent="0.2">
      <c r="J180" s="53"/>
      <c r="M180" s="53"/>
      <c r="N180" s="53"/>
      <c r="O180" s="53"/>
      <c r="P180" s="53"/>
      <c r="Q180" s="53"/>
    </row>
    <row r="181" spans="10:17" s="23" customFormat="1" ht="18" customHeight="1" x14ac:dyDescent="0.2">
      <c r="J181" s="53"/>
      <c r="M181" s="53"/>
      <c r="N181" s="53"/>
      <c r="O181" s="53"/>
      <c r="P181" s="53"/>
      <c r="Q181" s="53"/>
    </row>
    <row r="182" spans="10:17" s="23" customFormat="1" ht="18" customHeight="1" x14ac:dyDescent="0.2">
      <c r="J182" s="53"/>
      <c r="M182" s="53"/>
      <c r="N182" s="53"/>
      <c r="O182" s="53"/>
      <c r="P182" s="53"/>
      <c r="Q182" s="53"/>
    </row>
    <row r="183" spans="10:17" s="23" customFormat="1" ht="18" customHeight="1" x14ac:dyDescent="0.2">
      <c r="J183" s="53"/>
      <c r="M183" s="53"/>
      <c r="N183" s="53"/>
      <c r="O183" s="53"/>
      <c r="P183" s="53"/>
      <c r="Q183" s="53"/>
    </row>
    <row r="184" spans="10:17" s="23" customFormat="1" ht="18" customHeight="1" x14ac:dyDescent="0.2">
      <c r="J184" s="53"/>
      <c r="M184" s="53"/>
      <c r="N184" s="53"/>
      <c r="O184" s="53"/>
      <c r="P184" s="53"/>
      <c r="Q184" s="53"/>
    </row>
    <row r="185" spans="10:17" s="23" customFormat="1" ht="18" customHeight="1" x14ac:dyDescent="0.2">
      <c r="J185" s="53"/>
      <c r="M185" s="53"/>
      <c r="N185" s="53"/>
      <c r="O185" s="53"/>
      <c r="P185" s="53"/>
      <c r="Q185" s="53"/>
    </row>
    <row r="186" spans="10:17" s="23" customFormat="1" ht="18" customHeight="1" x14ac:dyDescent="0.2">
      <c r="J186" s="53"/>
      <c r="M186" s="53"/>
      <c r="N186" s="53"/>
      <c r="O186" s="53"/>
      <c r="P186" s="53"/>
      <c r="Q186" s="53"/>
    </row>
    <row r="187" spans="10:17" s="23" customFormat="1" ht="18" customHeight="1" x14ac:dyDescent="0.2">
      <c r="J187" s="53"/>
      <c r="M187" s="53"/>
      <c r="N187" s="53"/>
      <c r="O187" s="53"/>
      <c r="P187" s="53"/>
      <c r="Q187" s="53"/>
    </row>
    <row r="188" spans="10:17" s="23" customFormat="1" ht="18" customHeight="1" x14ac:dyDescent="0.2">
      <c r="J188" s="53"/>
      <c r="M188" s="53"/>
      <c r="N188" s="53"/>
      <c r="O188" s="53"/>
      <c r="P188" s="53"/>
      <c r="Q188" s="53"/>
    </row>
    <row r="189" spans="10:17" s="23" customFormat="1" ht="18" customHeight="1" x14ac:dyDescent="0.2">
      <c r="J189" s="53"/>
      <c r="M189" s="53"/>
      <c r="N189" s="53"/>
      <c r="O189" s="53"/>
      <c r="P189" s="53"/>
      <c r="Q189" s="53"/>
    </row>
    <row r="190" spans="10:17" s="23" customFormat="1" ht="18" customHeight="1" x14ac:dyDescent="0.2">
      <c r="J190" s="53"/>
      <c r="M190" s="53"/>
      <c r="N190" s="53"/>
      <c r="O190" s="53"/>
      <c r="P190" s="53"/>
      <c r="Q190" s="53"/>
    </row>
    <row r="191" spans="10:17" s="23" customFormat="1" ht="18" customHeight="1" x14ac:dyDescent="0.2">
      <c r="J191" s="53"/>
      <c r="M191" s="53"/>
      <c r="N191" s="53"/>
      <c r="O191" s="53"/>
      <c r="P191" s="53"/>
      <c r="Q191" s="53"/>
    </row>
    <row r="192" spans="10:17" s="23" customFormat="1" ht="18" customHeight="1" x14ac:dyDescent="0.2">
      <c r="J192" s="53"/>
      <c r="M192" s="53"/>
      <c r="N192" s="53"/>
      <c r="O192" s="53"/>
      <c r="P192" s="53"/>
      <c r="Q192" s="53"/>
    </row>
    <row r="193" spans="10:17" s="23" customFormat="1" ht="18" customHeight="1" x14ac:dyDescent="0.2">
      <c r="J193" s="53"/>
      <c r="M193" s="53"/>
      <c r="N193" s="53"/>
      <c r="O193" s="53"/>
      <c r="P193" s="53"/>
      <c r="Q193" s="53"/>
    </row>
    <row r="194" spans="10:17" s="23" customFormat="1" ht="18" customHeight="1" x14ac:dyDescent="0.2">
      <c r="J194" s="53"/>
      <c r="M194" s="53"/>
      <c r="N194" s="53"/>
      <c r="O194" s="53"/>
      <c r="P194" s="53"/>
      <c r="Q194" s="53"/>
    </row>
    <row r="195" spans="10:17" s="23" customFormat="1" ht="18" customHeight="1" x14ac:dyDescent="0.2">
      <c r="J195" s="53"/>
      <c r="M195" s="53"/>
      <c r="N195" s="53"/>
      <c r="O195" s="53"/>
      <c r="P195" s="53"/>
      <c r="Q195" s="53"/>
    </row>
    <row r="196" spans="10:17" s="23" customFormat="1" ht="18" customHeight="1" x14ac:dyDescent="0.2">
      <c r="J196" s="53"/>
      <c r="M196" s="53"/>
      <c r="N196" s="53"/>
      <c r="O196" s="53"/>
      <c r="P196" s="53"/>
      <c r="Q196" s="53"/>
    </row>
    <row r="197" spans="10:17" s="23" customFormat="1" ht="18" customHeight="1" x14ac:dyDescent="0.2">
      <c r="J197" s="53"/>
      <c r="M197" s="53"/>
      <c r="N197" s="53"/>
      <c r="O197" s="53"/>
      <c r="P197" s="53"/>
      <c r="Q197" s="53"/>
    </row>
    <row r="198" spans="10:17" s="23" customFormat="1" ht="18" customHeight="1" x14ac:dyDescent="0.2">
      <c r="J198" s="53"/>
      <c r="M198" s="53"/>
      <c r="N198" s="53"/>
      <c r="O198" s="53"/>
      <c r="P198" s="53"/>
      <c r="Q198" s="53"/>
    </row>
    <row r="199" spans="10:17" s="23" customFormat="1" ht="18" customHeight="1" x14ac:dyDescent="0.2">
      <c r="J199" s="53"/>
      <c r="M199" s="53"/>
      <c r="N199" s="53"/>
      <c r="O199" s="53"/>
      <c r="P199" s="53"/>
      <c r="Q199" s="53"/>
    </row>
    <row r="200" spans="10:17" s="23" customFormat="1" ht="18" customHeight="1" x14ac:dyDescent="0.2">
      <c r="J200" s="53"/>
      <c r="M200" s="53"/>
      <c r="N200" s="53"/>
      <c r="O200" s="53"/>
      <c r="P200" s="53"/>
      <c r="Q200" s="53"/>
    </row>
    <row r="201" spans="10:17" s="23" customFormat="1" ht="18" customHeight="1" x14ac:dyDescent="0.2">
      <c r="J201" s="53"/>
      <c r="M201" s="53"/>
      <c r="N201" s="53"/>
      <c r="O201" s="53"/>
      <c r="P201" s="53"/>
      <c r="Q201" s="53"/>
    </row>
    <row r="202" spans="10:17" s="23" customFormat="1" ht="18" customHeight="1" x14ac:dyDescent="0.2">
      <c r="J202" s="53"/>
      <c r="M202" s="53"/>
      <c r="N202" s="53"/>
      <c r="O202" s="53"/>
      <c r="P202" s="53"/>
      <c r="Q202" s="53"/>
    </row>
    <row r="203" spans="10:17" s="23" customFormat="1" ht="18" customHeight="1" x14ac:dyDescent="0.2">
      <c r="J203" s="53"/>
      <c r="M203" s="53"/>
      <c r="N203" s="53"/>
      <c r="O203" s="53"/>
      <c r="P203" s="53"/>
      <c r="Q203" s="53"/>
    </row>
    <row r="204" spans="10:17" s="23" customFormat="1" ht="18" customHeight="1" x14ac:dyDescent="0.2">
      <c r="J204" s="53"/>
      <c r="M204" s="53"/>
      <c r="N204" s="53"/>
      <c r="O204" s="53"/>
      <c r="P204" s="53"/>
      <c r="Q204" s="53"/>
    </row>
    <row r="205" spans="10:17" s="23" customFormat="1" ht="18" customHeight="1" x14ac:dyDescent="0.2">
      <c r="J205" s="53"/>
      <c r="M205" s="53"/>
      <c r="N205" s="53"/>
      <c r="O205" s="53"/>
      <c r="P205" s="53"/>
      <c r="Q205" s="53"/>
    </row>
    <row r="206" spans="10:17" s="23" customFormat="1" ht="18" customHeight="1" x14ac:dyDescent="0.2">
      <c r="J206" s="53"/>
      <c r="M206" s="53"/>
      <c r="N206" s="53"/>
      <c r="O206" s="53"/>
      <c r="P206" s="53"/>
      <c r="Q206" s="53"/>
    </row>
    <row r="207" spans="10:17" s="23" customFormat="1" ht="18" customHeight="1" x14ac:dyDescent="0.2">
      <c r="J207" s="53"/>
      <c r="M207" s="53"/>
      <c r="N207" s="53"/>
      <c r="O207" s="53"/>
      <c r="P207" s="53"/>
      <c r="Q207" s="53"/>
    </row>
    <row r="208" spans="10:17" s="23" customFormat="1" ht="18" customHeight="1" x14ac:dyDescent="0.2">
      <c r="J208" s="53"/>
      <c r="M208" s="53"/>
      <c r="N208" s="53"/>
      <c r="O208" s="53"/>
      <c r="P208" s="53"/>
      <c r="Q208" s="53"/>
    </row>
    <row r="209" spans="10:17" s="23" customFormat="1" ht="18" customHeight="1" x14ac:dyDescent="0.2">
      <c r="J209" s="53"/>
      <c r="M209" s="53"/>
      <c r="N209" s="53"/>
      <c r="O209" s="53"/>
      <c r="P209" s="53"/>
      <c r="Q209" s="53"/>
    </row>
    <row r="210" spans="10:17" s="23" customFormat="1" ht="18" customHeight="1" x14ac:dyDescent="0.2">
      <c r="J210" s="53"/>
      <c r="M210" s="53"/>
      <c r="N210" s="53"/>
      <c r="O210" s="53"/>
      <c r="P210" s="53"/>
      <c r="Q210" s="53"/>
    </row>
  </sheetData>
  <sheetProtection password="D70F" sheet="1" objects="1" scenarios="1" formatColumns="0" formatRows="0"/>
  <protectedRanges>
    <protectedRange sqref="G135:Q137" name="Commentaires"/>
  </protectedRanges>
  <mergeCells count="81">
    <mergeCell ref="N9:O10"/>
    <mergeCell ref="E95:G95"/>
    <mergeCell ref="E84:G84"/>
    <mergeCell ref="E86:G86"/>
    <mergeCell ref="E88:G88"/>
    <mergeCell ref="E90:G90"/>
    <mergeCell ref="E77:G77"/>
    <mergeCell ref="E79:G79"/>
    <mergeCell ref="E81:G81"/>
    <mergeCell ref="E82:G82"/>
    <mergeCell ref="E62:G62"/>
    <mergeCell ref="E63:G63"/>
    <mergeCell ref="E80:G80"/>
    <mergeCell ref="E65:G65"/>
    <mergeCell ref="E68:G68"/>
    <mergeCell ref="E71:G71"/>
    <mergeCell ref="E75:G75"/>
    <mergeCell ref="E78:G78"/>
    <mergeCell ref="E66:G66"/>
    <mergeCell ref="E67:G67"/>
    <mergeCell ref="E69:G69"/>
    <mergeCell ref="E70:G70"/>
    <mergeCell ref="E72:G72"/>
    <mergeCell ref="E73:G73"/>
    <mergeCell ref="E74:G74"/>
    <mergeCell ref="E76:G76"/>
    <mergeCell ref="E45:G45"/>
    <mergeCell ref="E46:G46"/>
    <mergeCell ref="E47:G47"/>
    <mergeCell ref="E48:G48"/>
    <mergeCell ref="E49:G49"/>
    <mergeCell ref="E50:G50"/>
    <mergeCell ref="E51:G51"/>
    <mergeCell ref="E52:G52"/>
    <mergeCell ref="E54:G54"/>
    <mergeCell ref="E57:G57"/>
    <mergeCell ref="E37:G37"/>
    <mergeCell ref="E44:G44"/>
    <mergeCell ref="E92:G92"/>
    <mergeCell ref="E38:G38"/>
    <mergeCell ref="E40:G40"/>
    <mergeCell ref="E41:G41"/>
    <mergeCell ref="E42:G42"/>
    <mergeCell ref="E43:G43"/>
    <mergeCell ref="E39:G39"/>
    <mergeCell ref="E58:G58"/>
    <mergeCell ref="E61:G61"/>
    <mergeCell ref="E53:G53"/>
    <mergeCell ref="E55:G55"/>
    <mergeCell ref="E56:G56"/>
    <mergeCell ref="E59:G59"/>
    <mergeCell ref="E60:G60"/>
    <mergeCell ref="E32:G32"/>
    <mergeCell ref="E33:G33"/>
    <mergeCell ref="E34:G34"/>
    <mergeCell ref="E35:G35"/>
    <mergeCell ref="E36:G36"/>
    <mergeCell ref="M20:P21"/>
    <mergeCell ref="O22:O23"/>
    <mergeCell ref="AC28:AE28"/>
    <mergeCell ref="E29:G29"/>
    <mergeCell ref="E31:G31"/>
    <mergeCell ref="E27:G27"/>
    <mergeCell ref="AC27:AE27"/>
    <mergeCell ref="E30:G30"/>
    <mergeCell ref="E9:M10"/>
    <mergeCell ref="E138:P138"/>
    <mergeCell ref="P1:R1"/>
    <mergeCell ref="E135:P135"/>
    <mergeCell ref="E136:P136"/>
    <mergeCell ref="E137:P137"/>
    <mergeCell ref="E25:G25"/>
    <mergeCell ref="E26:G26"/>
    <mergeCell ref="E28:G28"/>
    <mergeCell ref="M22:N23"/>
    <mergeCell ref="I18:P18"/>
    <mergeCell ref="I20:K21"/>
    <mergeCell ref="I22:I23"/>
    <mergeCell ref="J22:J23"/>
    <mergeCell ref="K22:K23"/>
    <mergeCell ref="P22:P23"/>
  </mergeCells>
  <phoneticPr fontId="0" type="noConversion"/>
  <conditionalFormatting sqref="O26 O28:O29">
    <cfRule type="cellIs" dxfId="62" priority="93" operator="equal">
      <formula>$AC$29</formula>
    </cfRule>
  </conditionalFormatting>
  <conditionalFormatting sqref="O26 O28:O29">
    <cfRule type="cellIs" dxfId="61" priority="92" operator="equal">
      <formula>$AD$29</formula>
    </cfRule>
  </conditionalFormatting>
  <conditionalFormatting sqref="O26 O28:O29">
    <cfRule type="cellIs" dxfId="60" priority="91" operator="equal">
      <formula>$AE$29</formula>
    </cfRule>
  </conditionalFormatting>
  <conditionalFormatting sqref="O34:O49">
    <cfRule type="cellIs" dxfId="59" priority="87" operator="equal">
      <formula>$AC$29</formula>
    </cfRule>
  </conditionalFormatting>
  <conditionalFormatting sqref="O34:O49">
    <cfRule type="cellIs" dxfId="58" priority="86" operator="equal">
      <formula>$AD$29</formula>
    </cfRule>
  </conditionalFormatting>
  <conditionalFormatting sqref="O34:O49">
    <cfRule type="cellIs" dxfId="57" priority="85" operator="equal">
      <formula>$AE$29</formula>
    </cfRule>
  </conditionalFormatting>
  <conditionalFormatting sqref="O51:O53">
    <cfRule type="cellIs" dxfId="56" priority="84" operator="equal">
      <formula>$AC$29</formula>
    </cfRule>
  </conditionalFormatting>
  <conditionalFormatting sqref="O51:O53">
    <cfRule type="cellIs" dxfId="55" priority="83" operator="equal">
      <formula>$AD$29</formula>
    </cfRule>
  </conditionalFormatting>
  <conditionalFormatting sqref="O51:O53">
    <cfRule type="cellIs" dxfId="54" priority="82" operator="equal">
      <formula>$AE$29</formula>
    </cfRule>
  </conditionalFormatting>
  <conditionalFormatting sqref="O55:O56">
    <cfRule type="cellIs" dxfId="53" priority="81" operator="equal">
      <formula>$AC$29</formula>
    </cfRule>
  </conditionalFormatting>
  <conditionalFormatting sqref="O55:O56">
    <cfRule type="cellIs" dxfId="52" priority="80" operator="equal">
      <formula>$AD$29</formula>
    </cfRule>
  </conditionalFormatting>
  <conditionalFormatting sqref="O55:O56">
    <cfRule type="cellIs" dxfId="51" priority="79" operator="equal">
      <formula>$AE$29</formula>
    </cfRule>
  </conditionalFormatting>
  <conditionalFormatting sqref="O58:O82">
    <cfRule type="cellIs" dxfId="50" priority="78" operator="equal">
      <formula>$AC$29</formula>
    </cfRule>
  </conditionalFormatting>
  <conditionalFormatting sqref="O58:O82">
    <cfRule type="cellIs" dxfId="49" priority="77" operator="equal">
      <formula>$AD$29</formula>
    </cfRule>
  </conditionalFormatting>
  <conditionalFormatting sqref="O58:O82">
    <cfRule type="cellIs" dxfId="48" priority="76" operator="equal">
      <formula>$AE$29</formula>
    </cfRule>
  </conditionalFormatting>
  <conditionalFormatting sqref="O86">
    <cfRule type="cellIs" dxfId="47" priority="75" operator="equal">
      <formula>$AC$29</formula>
    </cfRule>
  </conditionalFormatting>
  <conditionalFormatting sqref="O86">
    <cfRule type="cellIs" dxfId="46" priority="74" operator="equal">
      <formula>$AD$29</formula>
    </cfRule>
  </conditionalFormatting>
  <conditionalFormatting sqref="O86">
    <cfRule type="cellIs" dxfId="45" priority="73" operator="equal">
      <formula>$AE$29</formula>
    </cfRule>
  </conditionalFormatting>
  <conditionalFormatting sqref="O33">
    <cfRule type="cellIs" dxfId="44" priority="72" operator="equal">
      <formula>$AC$29</formula>
    </cfRule>
  </conditionalFormatting>
  <conditionalFormatting sqref="O33">
    <cfRule type="cellIs" dxfId="43" priority="71" operator="equal">
      <formula>$AD$29</formula>
    </cfRule>
  </conditionalFormatting>
  <conditionalFormatting sqref="O33">
    <cfRule type="cellIs" dxfId="42" priority="70" operator="equal">
      <formula>$AE$29</formula>
    </cfRule>
  </conditionalFormatting>
  <conditionalFormatting sqref="O84">
    <cfRule type="cellIs" dxfId="41" priority="51" operator="equal">
      <formula>$AC$29</formula>
    </cfRule>
  </conditionalFormatting>
  <conditionalFormatting sqref="O84">
    <cfRule type="cellIs" dxfId="40" priority="50" operator="equal">
      <formula>$AD$29</formula>
    </cfRule>
  </conditionalFormatting>
  <conditionalFormatting sqref="O84">
    <cfRule type="cellIs" dxfId="39" priority="49" operator="equal">
      <formula>$AE$29</formula>
    </cfRule>
  </conditionalFormatting>
  <conditionalFormatting sqref="O88">
    <cfRule type="cellIs" dxfId="38" priority="48" operator="equal">
      <formula>$AC$29</formula>
    </cfRule>
  </conditionalFormatting>
  <conditionalFormatting sqref="O88">
    <cfRule type="cellIs" dxfId="37" priority="47" operator="equal">
      <formula>$AD$29</formula>
    </cfRule>
  </conditionalFormatting>
  <conditionalFormatting sqref="O88">
    <cfRule type="cellIs" dxfId="36" priority="46" operator="equal">
      <formula>$AE$29</formula>
    </cfRule>
  </conditionalFormatting>
  <conditionalFormatting sqref="O97">
    <cfRule type="cellIs" dxfId="35" priority="39" operator="equal">
      <formula>$AC$29</formula>
    </cfRule>
  </conditionalFormatting>
  <conditionalFormatting sqref="O97">
    <cfRule type="cellIs" dxfId="34" priority="38" operator="equal">
      <formula>$AD$29</formula>
    </cfRule>
  </conditionalFormatting>
  <conditionalFormatting sqref="O97">
    <cfRule type="cellIs" dxfId="33" priority="37" operator="equal">
      <formula>$AE$29</formula>
    </cfRule>
  </conditionalFormatting>
  <conditionalFormatting sqref="O98:O104">
    <cfRule type="cellIs" dxfId="32" priority="36" operator="equal">
      <formula>$AC$29</formula>
    </cfRule>
  </conditionalFormatting>
  <conditionalFormatting sqref="O98:O104">
    <cfRule type="cellIs" dxfId="31" priority="35" operator="equal">
      <formula>$AD$29</formula>
    </cfRule>
  </conditionalFormatting>
  <conditionalFormatting sqref="O98:O104">
    <cfRule type="cellIs" dxfId="30" priority="34" operator="equal">
      <formula>$AE$29</formula>
    </cfRule>
  </conditionalFormatting>
  <conditionalFormatting sqref="O95">
    <cfRule type="cellIs" dxfId="29" priority="33" operator="equal">
      <formula>$AC$29</formula>
    </cfRule>
  </conditionalFormatting>
  <conditionalFormatting sqref="O95">
    <cfRule type="cellIs" dxfId="28" priority="32" operator="equal">
      <formula>$AD$29</formula>
    </cfRule>
  </conditionalFormatting>
  <conditionalFormatting sqref="O95">
    <cfRule type="cellIs" dxfId="27" priority="31" operator="equal">
      <formula>$AE$29</formula>
    </cfRule>
  </conditionalFormatting>
  <conditionalFormatting sqref="O92">
    <cfRule type="cellIs" dxfId="26" priority="30" operator="equal">
      <formula>$AC$29</formula>
    </cfRule>
  </conditionalFormatting>
  <conditionalFormatting sqref="O92">
    <cfRule type="cellIs" dxfId="25" priority="29" operator="equal">
      <formula>$AD$29</formula>
    </cfRule>
  </conditionalFormatting>
  <conditionalFormatting sqref="O92">
    <cfRule type="cellIs" dxfId="24" priority="28" operator="equal">
      <formula>$AE$29</formula>
    </cfRule>
  </conditionalFormatting>
  <conditionalFormatting sqref="O90">
    <cfRule type="cellIs" dxfId="23" priority="27" operator="equal">
      <formula>$AC$29</formula>
    </cfRule>
  </conditionalFormatting>
  <conditionalFormatting sqref="O90">
    <cfRule type="cellIs" dxfId="22" priority="26" operator="equal">
      <formula>$AD$29</formula>
    </cfRule>
  </conditionalFormatting>
  <conditionalFormatting sqref="O90">
    <cfRule type="cellIs" dxfId="21" priority="25" operator="equal">
      <formula>$AE$29</formula>
    </cfRule>
  </conditionalFormatting>
  <conditionalFormatting sqref="O32">
    <cfRule type="cellIs" dxfId="20" priority="21" operator="equal">
      <formula>$AC$29</formula>
    </cfRule>
  </conditionalFormatting>
  <conditionalFormatting sqref="O32">
    <cfRule type="cellIs" dxfId="19" priority="20" operator="equal">
      <formula>$AD$29</formula>
    </cfRule>
  </conditionalFormatting>
  <conditionalFormatting sqref="O32">
    <cfRule type="cellIs" dxfId="18" priority="19" operator="equal">
      <formula>$AE$29</formula>
    </cfRule>
  </conditionalFormatting>
  <conditionalFormatting sqref="O25">
    <cfRule type="cellIs" dxfId="17" priority="18" operator="equal">
      <formula>$AC$29</formula>
    </cfRule>
  </conditionalFormatting>
  <conditionalFormatting sqref="O25">
    <cfRule type="cellIs" dxfId="16" priority="17" operator="equal">
      <formula>$AD$29</formula>
    </cfRule>
  </conditionalFormatting>
  <conditionalFormatting sqref="O25">
    <cfRule type="cellIs" dxfId="15" priority="16" operator="equal">
      <formula>$AE$29</formula>
    </cfRule>
  </conditionalFormatting>
  <conditionalFormatting sqref="O50">
    <cfRule type="cellIs" dxfId="14" priority="15" operator="equal">
      <formula>$AC$29</formula>
    </cfRule>
  </conditionalFormatting>
  <conditionalFormatting sqref="O50">
    <cfRule type="cellIs" dxfId="13" priority="14" operator="equal">
      <formula>$AD$29</formula>
    </cfRule>
  </conditionalFormatting>
  <conditionalFormatting sqref="O50">
    <cfRule type="cellIs" dxfId="12" priority="13" operator="equal">
      <formula>$AE$29</formula>
    </cfRule>
  </conditionalFormatting>
  <conditionalFormatting sqref="O54">
    <cfRule type="cellIs" dxfId="11" priority="12" operator="equal">
      <formula>$AC$29</formula>
    </cfRule>
  </conditionalFormatting>
  <conditionalFormatting sqref="O54">
    <cfRule type="cellIs" dxfId="10" priority="11" operator="equal">
      <formula>$AD$29</formula>
    </cfRule>
  </conditionalFormatting>
  <conditionalFormatting sqref="O54">
    <cfRule type="cellIs" dxfId="9" priority="10" operator="equal">
      <formula>$AE$29</formula>
    </cfRule>
  </conditionalFormatting>
  <conditionalFormatting sqref="O57">
    <cfRule type="cellIs" dxfId="8" priority="9" operator="equal">
      <formula>$AC$29</formula>
    </cfRule>
  </conditionalFormatting>
  <conditionalFormatting sqref="O57">
    <cfRule type="cellIs" dxfId="7" priority="8" operator="equal">
      <formula>$AD$29</formula>
    </cfRule>
  </conditionalFormatting>
  <conditionalFormatting sqref="O57">
    <cfRule type="cellIs" dxfId="6" priority="7" operator="equal">
      <formula>$AE$29</formula>
    </cfRule>
  </conditionalFormatting>
  <conditionalFormatting sqref="O27">
    <cfRule type="cellIs" dxfId="5" priority="6" operator="equal">
      <formula>$AC$29</formula>
    </cfRule>
  </conditionalFormatting>
  <conditionalFormatting sqref="O27">
    <cfRule type="cellIs" dxfId="4" priority="5" operator="equal">
      <formula>$AD$29</formula>
    </cfRule>
  </conditionalFormatting>
  <conditionalFormatting sqref="O27">
    <cfRule type="cellIs" dxfId="3" priority="4" operator="equal">
      <formula>$AE$29</formula>
    </cfRule>
  </conditionalFormatting>
  <conditionalFormatting sqref="O30">
    <cfRule type="cellIs" dxfId="2" priority="3" operator="equal">
      <formula>$AC$29</formula>
    </cfRule>
  </conditionalFormatting>
  <conditionalFormatting sqref="O30">
    <cfRule type="cellIs" dxfId="1" priority="2" operator="equal">
      <formula>$AD$29</formula>
    </cfRule>
  </conditionalFormatting>
  <conditionalFormatting sqref="O30">
    <cfRule type="cellIs" dxfId="0" priority="1" operator="equal">
      <formula>$AE$29</formula>
    </cfRule>
  </conditionalFormatting>
  <dataValidations count="2">
    <dataValidation type="list" allowBlank="1" showInputMessage="1" showErrorMessage="1" sqref="F15">
      <formula1>Language</formula1>
    </dataValidation>
    <dataValidation type="list" allowBlank="1" showInputMessage="1" showErrorMessage="1" sqref="F23">
      <formula1>$AB$12:$AB$14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46" orientation="portrait" r:id="rId1"/>
  <headerFooter alignWithMargins="0">
    <oddFooter>&amp;LConfidentiel&amp;C&amp;D&amp;RPage &amp;P</oddFooter>
  </headerFooter>
  <rowBreaks count="1" manualBreakCount="1">
    <brk id="92" min="4" max="15" man="1"/>
  </row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>
              <from>
                <xdr:col>5</xdr:col>
                <xdr:colOff>428625</xdr:colOff>
                <xdr:row>20</xdr:row>
                <xdr:rowOff>38100</xdr:rowOff>
              </from>
              <to>
                <xdr:col>6</xdr:col>
                <xdr:colOff>276225</xdr:colOff>
                <xdr:row>21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23</vt:i4>
      </vt:variant>
    </vt:vector>
  </HeadingPairs>
  <TitlesOfParts>
    <vt:vector size="25" baseType="lpstr">
      <vt:lpstr>Context</vt:lpstr>
      <vt:lpstr>PL</vt:lpstr>
      <vt:lpstr>ActualForecastAdmin</vt:lpstr>
      <vt:lpstr>ActualMonth</vt:lpstr>
      <vt:lpstr>ActualYear</vt:lpstr>
      <vt:lpstr>AutoFit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Language</vt:lpstr>
      <vt:lpstr>LocalLanguage</vt:lpstr>
      <vt:lpstr>LocalLanguage2</vt:lpstr>
      <vt:lpstr>Note</vt:lpstr>
      <vt:lpstr>PL!Print_Area</vt:lpstr>
      <vt:lpstr>PL!Print_Titles</vt:lpstr>
      <vt:lpstr>Server</vt:lpstr>
      <vt:lpstr>xHost</vt:lpstr>
      <vt:lpstr>xServer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DERRIEN, Yannick</cp:lastModifiedBy>
  <cp:lastPrinted>2014-05-26T17:56:02Z</cp:lastPrinted>
  <dcterms:created xsi:type="dcterms:W3CDTF">2011-06-21T16:52:24Z</dcterms:created>
  <dcterms:modified xsi:type="dcterms:W3CDTF">2016-03-30T17:44:37Z</dcterms:modified>
</cp:coreProperties>
</file>