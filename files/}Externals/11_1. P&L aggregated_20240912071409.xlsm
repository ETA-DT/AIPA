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laBarki\AppData\Local\Temp\"/>
    </mc:Choice>
  </mc:AlternateContent>
  <xr:revisionPtr revIDLastSave="0" documentId="8_{0FE2D7A7-F00E-42D8-AB9D-9C52A54D027D}" xr6:coauthVersionLast="47" xr6:coauthVersionMax="47" xr10:uidLastSave="{00000000-0000-0000-0000-000000000000}"/>
  <bookViews>
    <workbookView xWindow="-90" yWindow="-90" windowWidth="19380" windowHeight="11460" firstSheet="2" activeTab="2" xr2:uid="{00000000-000D-0000-FFFF-FFFF00000000}"/>
  </bookViews>
  <sheets>
    <sheet name="Context" sheetId="1" state="hidden" r:id="rId1"/>
    <sheet name="Cognos_Office_Connection_Cache" sheetId="7" state="veryHidden" r:id="rId2"/>
    <sheet name="PL_aggregated" sheetId="2" r:id="rId3"/>
    <sheet name="{PL}PickLst" sheetId="6" state="hidden" r:id="rId4"/>
  </sheets>
  <functionGroups builtInGroupCount="19"/>
  <definedNames>
    <definedName name="AC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">Context!$B$15</definedName>
    <definedName name="ActualForecast">Context!$B$16</definedName>
    <definedName name="ActualMonth">Context!$B$14</definedName>
    <definedName name="ActualYear">Context!$B$13</definedName>
    <definedName name="ak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PL_aggregated!$H$19:$U$81</definedName>
    <definedName name="AutoRefresh_PL" localSheetId="2">PL_aggregated!$E$1</definedName>
    <definedName name="AutoRefresh_PL_aggregated">PL_aggregated!$F$3</definedName>
    <definedName name="Budge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Host_Serveur">_xll.DBRW("tango_core_model:z_Admin_Param","SERVER_NAME","STR_VAR1")</definedName>
    <definedName name="ID" localSheetId="3" hidden="1">"e71f6313-1171-4714-a9c0-754b20780fd2"</definedName>
    <definedName name="ID" localSheetId="1" hidden="1">"8a02235a-5a48-48ff-aaf3-5c879553cec7"</definedName>
    <definedName name="ID" localSheetId="0" hidden="1">"450f3095-c7e5-4dd5-b060-02b647ad207a"</definedName>
    <definedName name="ID" localSheetId="2" hidden="1">"a24573b9-088c-42ad-b0ae-fb9e85db16aa"</definedName>
    <definedName name="janvi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int_Titles" localSheetId="2">PL_aggregated!$7:$9</definedName>
    <definedName name="Print_Area" localSheetId="2">PL_aggregated!$D$18:$U$81</definedName>
    <definedName name="PriorYear">PL_aggregated!$H$2</definedName>
    <definedName name="Proje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Server">Context!$B$5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AA125" i="2"/>
  <c r="AA117" i="2"/>
  <c r="AA109" i="2"/>
  <c r="B6" i="1"/>
  <c r="B17" i="1"/>
  <c r="B14" i="1"/>
  <c r="B16" i="1"/>
  <c r="B13" i="1"/>
  <c r="B15" i="1"/>
  <c r="F11" i="2"/>
  <c r="H19" i="2"/>
  <c r="AG116" i="2"/>
  <c r="E80" i="2"/>
  <c r="AG124" i="2"/>
  <c r="AD124" i="2"/>
  <c r="AM116" i="2"/>
  <c r="E30" i="2"/>
  <c r="AL116" i="2"/>
  <c r="AI108" i="2"/>
  <c r="AD108" i="2"/>
  <c r="F12" i="2"/>
  <c r="AK108" i="2"/>
  <c r="E48" i="2"/>
  <c r="AK116" i="2"/>
  <c r="AB116" i="2"/>
  <c r="AM108" i="2"/>
  <c r="AE105" i="2"/>
  <c r="E79" i="2"/>
  <c r="AI116" i="2"/>
  <c r="AH116" i="2"/>
  <c r="E28" i="2"/>
  <c r="C77" i="2"/>
  <c r="E49" i="2"/>
  <c r="AE108" i="2"/>
  <c r="AH108" i="2"/>
  <c r="R19" i="2"/>
  <c r="E41" i="2"/>
  <c r="G2" i="2"/>
  <c r="E31" i="2"/>
  <c r="AJ124" i="2"/>
  <c r="E45" i="2"/>
  <c r="AL108" i="2"/>
  <c r="Z117" i="2"/>
  <c r="E63" i="2"/>
  <c r="E74" i="2"/>
  <c r="AB124" i="2"/>
  <c r="E37" i="2"/>
  <c r="E67" i="2"/>
  <c r="E71" i="2"/>
  <c r="E52" i="2"/>
  <c r="AF116" i="2"/>
  <c r="E22" i="2"/>
  <c r="C57" i="2"/>
  <c r="C21" i="2"/>
  <c r="E42" i="2"/>
  <c r="AJ108" i="2"/>
  <c r="K19" i="2"/>
  <c r="E35" i="2"/>
  <c r="AL124" i="2"/>
  <c r="E33" i="2"/>
  <c r="Z109" i="2"/>
  <c r="Z110" i="2"/>
  <c r="E62" i="2"/>
  <c r="AJ116" i="2"/>
  <c r="AC124" i="2"/>
  <c r="F14" i="2"/>
  <c r="C40" i="2"/>
  <c r="AC116" i="2"/>
  <c r="AC108" i="2"/>
  <c r="AI124" i="2"/>
  <c r="E46" i="2"/>
  <c r="E66" i="2"/>
  <c r="AB105" i="2"/>
  <c r="E34" i="2"/>
  <c r="AG108" i="2"/>
  <c r="E78" i="2"/>
  <c r="E58" i="2"/>
  <c r="C65" i="2"/>
  <c r="E55" i="2"/>
  <c r="E44" i="2"/>
  <c r="AH124" i="2"/>
  <c r="C73" i="2"/>
  <c r="E59" i="2"/>
  <c r="E47" i="2"/>
  <c r="Z118" i="2"/>
  <c r="C69" i="2"/>
  <c r="F13" i="2"/>
  <c r="F15" i="2"/>
  <c r="E36" i="2"/>
  <c r="E83" i="2"/>
  <c r="AF108" i="2"/>
  <c r="E75" i="2"/>
  <c r="Z126" i="2"/>
  <c r="E27" i="2"/>
  <c r="C61" i="2"/>
  <c r="E38" i="2"/>
  <c r="E51" i="2"/>
  <c r="E43" i="2"/>
  <c r="Z125" i="2"/>
  <c r="U19" i="2"/>
  <c r="E24" i="2"/>
  <c r="E26" i="2"/>
  <c r="F16" i="2"/>
  <c r="C54" i="2"/>
  <c r="AD116" i="2"/>
  <c r="AE116" i="2"/>
  <c r="E32" i="2"/>
  <c r="E70" i="2"/>
  <c r="E29" i="2"/>
  <c r="E50" i="2"/>
  <c r="E81" i="2"/>
  <c r="AK124" i="2"/>
  <c r="E25" i="2"/>
  <c r="AF124" i="2"/>
  <c r="E10" i="2"/>
  <c r="E23" i="2"/>
  <c r="AB108" i="2"/>
  <c r="M18" i="2"/>
  <c r="AM124" i="2"/>
  <c r="AE124" i="2"/>
  <c r="E85" i="2"/>
  <c r="E87" i="2"/>
  <c r="E84" i="2"/>
  <c r="E86" i="2"/>
  <c r="I2" i="2" l="1"/>
  <c r="E69" i="2"/>
  <c r="E21" i="2"/>
  <c r="E65" i="2"/>
  <c r="AK123" i="2"/>
  <c r="AG123" i="2"/>
  <c r="AC123" i="2"/>
  <c r="AK107" i="2"/>
  <c r="AC107" i="2"/>
  <c r="AK115" i="2"/>
  <c r="AG115" i="2"/>
  <c r="AJ123" i="2"/>
  <c r="AF123" i="2"/>
  <c r="AB123" i="2"/>
  <c r="AE107" i="2"/>
  <c r="AJ115" i="2"/>
  <c r="AF115" i="2"/>
  <c r="AB115" i="2"/>
  <c r="AM123" i="2"/>
  <c r="AJ107" i="2"/>
  <c r="AB107" i="2"/>
  <c r="AI123" i="2"/>
  <c r="AE123" i="2"/>
  <c r="AG107" i="2"/>
  <c r="AI115" i="2"/>
  <c r="AE115" i="2"/>
  <c r="AD107" i="2"/>
  <c r="AD115" i="2"/>
  <c r="AL123" i="2"/>
  <c r="AD123" i="2"/>
  <c r="AI107" i="2"/>
  <c r="AA115" i="2"/>
  <c r="AC115" i="2"/>
  <c r="AM107" i="2"/>
  <c r="AH107" i="2"/>
  <c r="AH115" i="2"/>
  <c r="AL107" i="2"/>
  <c r="AM115" i="2"/>
  <c r="AH123" i="2"/>
  <c r="AL115" i="2"/>
  <c r="AA107" i="2"/>
  <c r="AA123" i="2"/>
  <c r="AF107" i="2"/>
  <c r="E57" i="2"/>
  <c r="E54" i="2"/>
  <c r="E61" i="2"/>
  <c r="E77" i="2"/>
  <c r="E19" i="2"/>
  <c r="E40" i="2"/>
  <c r="E73" i="2"/>
  <c r="F19" i="2"/>
  <c r="H3" i="2"/>
  <c r="H1" i="2"/>
  <c r="S19" i="2"/>
  <c r="AL109" i="2"/>
  <c r="AH120" i="2"/>
  <c r="AC125" i="2"/>
  <c r="AD125" i="2"/>
  <c r="AK119" i="2"/>
  <c r="AM125" i="2"/>
  <c r="AM117" i="2"/>
  <c r="AC109" i="2"/>
  <c r="AF125" i="2"/>
  <c r="AK128" i="2"/>
  <c r="AL128" i="2"/>
  <c r="AJ109" i="2"/>
  <c r="AI128" i="2"/>
  <c r="AE112" i="2"/>
  <c r="AD111" i="2"/>
  <c r="AM119" i="2"/>
  <c r="AM128" i="2"/>
  <c r="H18" i="2"/>
  <c r="AG112" i="2"/>
  <c r="H30" i="2"/>
  <c r="H75" i="2"/>
  <c r="AE109" i="2"/>
  <c r="AF111" i="2"/>
  <c r="AM109" i="2"/>
  <c r="H24" i="2"/>
  <c r="H70" i="2"/>
  <c r="AC119" i="2"/>
  <c r="H28" i="2"/>
  <c r="H32" i="2"/>
  <c r="AF120" i="2"/>
  <c r="AD128" i="2"/>
  <c r="AI125" i="2"/>
  <c r="AL117" i="2"/>
  <c r="H22" i="2"/>
  <c r="AI127" i="2"/>
  <c r="AI111" i="2"/>
  <c r="AC111" i="2"/>
  <c r="AK127" i="2"/>
  <c r="AH111" i="2"/>
  <c r="H51" i="2"/>
  <c r="H73" i="2"/>
  <c r="H37" i="2"/>
  <c r="I18" i="2"/>
  <c r="AI130" i="2"/>
  <c r="AI110" i="2" s="1"/>
  <c r="AE128" i="2"/>
  <c r="H29" i="2"/>
  <c r="AL111" i="2"/>
  <c r="AC130" i="2"/>
  <c r="AE120" i="2"/>
  <c r="AM111" i="2"/>
  <c r="I19" i="2"/>
  <c r="AK130" i="2"/>
  <c r="AB130" i="2"/>
  <c r="AI109" i="2"/>
  <c r="AM120" i="2"/>
  <c r="AC112" i="2"/>
  <c r="AL112" i="2"/>
  <c r="AC118" i="2"/>
  <c r="AF112" i="2"/>
  <c r="H33" i="2"/>
  <c r="AB117" i="2"/>
  <c r="H25" i="2"/>
  <c r="AF128" i="2"/>
  <c r="H42" i="2"/>
  <c r="H26" i="2"/>
  <c r="H2" i="2"/>
  <c r="AG130" i="2"/>
  <c r="AL130" i="2"/>
  <c r="AL126" i="2" s="1"/>
  <c r="AB119" i="2"/>
  <c r="AG126" i="2"/>
  <c r="AK112" i="2"/>
  <c r="H36" i="2"/>
  <c r="AG117" i="2"/>
  <c r="H52" i="2"/>
  <c r="AK118" i="2"/>
  <c r="H43" i="2"/>
  <c r="AI117" i="2"/>
  <c r="AJ117" i="2"/>
  <c r="H40" i="2"/>
  <c r="AJ128" i="2"/>
  <c r="AH119" i="2"/>
  <c r="H47" i="2"/>
  <c r="J18" i="2"/>
  <c r="AD130" i="2"/>
  <c r="AD110" i="2" s="1"/>
  <c r="AB112" i="2"/>
  <c r="AD119" i="2"/>
  <c r="AE125" i="2"/>
  <c r="AI119" i="2"/>
  <c r="AJ119" i="2"/>
  <c r="AF119" i="2"/>
  <c r="H66" i="2"/>
  <c r="H44" i="2"/>
  <c r="AK110" i="2"/>
  <c r="AE111" i="2"/>
  <c r="AG128" i="2"/>
  <c r="AC120" i="2"/>
  <c r="AD126" i="2"/>
  <c r="AD120" i="2"/>
  <c r="AK120" i="2"/>
  <c r="AH125" i="2"/>
  <c r="AD117" i="2"/>
  <c r="AC117" i="2"/>
  <c r="AE117" i="2"/>
  <c r="AG125" i="2"/>
  <c r="H54" i="2"/>
  <c r="AB111" i="2"/>
  <c r="H63" i="2"/>
  <c r="H21" i="2"/>
  <c r="AK109" i="2"/>
  <c r="AF127" i="2"/>
  <c r="H57" i="2"/>
  <c r="AM112" i="2"/>
  <c r="AJ127" i="2"/>
  <c r="AH117" i="2"/>
  <c r="AK111" i="2"/>
  <c r="AJ112" i="2"/>
  <c r="H62" i="2"/>
  <c r="H77" i="2"/>
  <c r="H23" i="2"/>
  <c r="AC127" i="2"/>
  <c r="AH127" i="2"/>
  <c r="J19" i="2"/>
  <c r="AC128" i="2"/>
  <c r="H78" i="2"/>
  <c r="AE130" i="2"/>
  <c r="AH112" i="2"/>
  <c r="AJ111" i="2"/>
  <c r="AB127" i="2"/>
  <c r="AG127" i="2"/>
  <c r="AJ130" i="2"/>
  <c r="AL120" i="2"/>
  <c r="AG120" i="2"/>
  <c r="AM130" i="2"/>
  <c r="AM126" i="2" s="1"/>
  <c r="H74" i="2"/>
  <c r="H38" i="2"/>
  <c r="H41" i="2"/>
  <c r="AL110" i="2"/>
  <c r="AL127" i="2"/>
  <c r="AF117" i="2"/>
  <c r="AB118" i="2"/>
  <c r="AG119" i="2"/>
  <c r="AD118" i="2"/>
  <c r="H65" i="2"/>
  <c r="AE118" i="2"/>
  <c r="H49" i="2"/>
  <c r="AB125" i="2"/>
  <c r="H50" i="2"/>
  <c r="H34" i="2"/>
  <c r="E7" i="2"/>
  <c r="AG109" i="2"/>
  <c r="AI112" i="2"/>
  <c r="AC110" i="2"/>
  <c r="AK125" i="2"/>
  <c r="AG111" i="2"/>
  <c r="AI118" i="2"/>
  <c r="H69" i="2"/>
  <c r="AJ118" i="2"/>
  <c r="AI120" i="2"/>
  <c r="H80" i="2"/>
  <c r="AL118" i="2"/>
  <c r="AM118" i="2"/>
  <c r="H48" i="2"/>
  <c r="H27" i="2"/>
  <c r="AJ125" i="2"/>
  <c r="H61" i="2"/>
  <c r="AB109" i="2"/>
  <c r="AK117" i="2"/>
  <c r="H59" i="2"/>
  <c r="AE119" i="2"/>
  <c r="AD109" i="2"/>
  <c r="AC126" i="2"/>
  <c r="AH130" i="2"/>
  <c r="AB120" i="2"/>
  <c r="H67" i="2"/>
  <c r="AK126" i="2"/>
  <c r="AF130" i="2"/>
  <c r="AL119" i="2"/>
  <c r="H58" i="2"/>
  <c r="AG110" i="2"/>
  <c r="AJ120" i="2"/>
  <c r="AH109" i="2"/>
  <c r="H46" i="2"/>
  <c r="AF109" i="2"/>
  <c r="AL125" i="2"/>
  <c r="AH128" i="2"/>
  <c r="AM127" i="2"/>
  <c r="AD127" i="2"/>
  <c r="AE127" i="2"/>
  <c r="AI126" i="2"/>
  <c r="AG118" i="2"/>
  <c r="AM110" i="2"/>
  <c r="AD112" i="2"/>
  <c r="AB128" i="2"/>
  <c r="H45" i="2"/>
  <c r="H81" i="2"/>
  <c r="H71" i="2"/>
  <c r="H35" i="2"/>
  <c r="AB126" i="2"/>
  <c r="AB110" i="2"/>
  <c r="AE110" i="2"/>
  <c r="AE126" i="2"/>
  <c r="AJ110" i="2"/>
  <c r="AJ126" i="2"/>
  <c r="AH126" i="2"/>
  <c r="AH110" i="2"/>
  <c r="AH118" i="2"/>
  <c r="AF126" i="2"/>
  <c r="AF110" i="2"/>
  <c r="AF118" i="2"/>
  <c r="H31" i="2" l="1"/>
  <c r="J1" i="2"/>
  <c r="P19" i="2"/>
  <c r="I1" i="2"/>
  <c r="M19" i="2"/>
  <c r="AA126" i="2"/>
  <c r="AA110" i="2"/>
  <c r="AA118" i="2"/>
  <c r="H79" i="2"/>
  <c r="H55" i="2"/>
  <c r="Z127" i="2"/>
  <c r="Z120" i="2"/>
  <c r="I29" i="2"/>
  <c r="I35" i="2"/>
  <c r="I74" i="2"/>
  <c r="I22" i="2"/>
  <c r="I24" i="2"/>
  <c r="I23" i="2"/>
  <c r="I81" i="2"/>
  <c r="I38" i="2"/>
  <c r="I80" i="2"/>
  <c r="I70" i="2"/>
  <c r="I62" i="2"/>
  <c r="I50" i="2"/>
  <c r="I73" i="2"/>
  <c r="I46" i="2"/>
  <c r="I52" i="2"/>
  <c r="I48" i="2"/>
  <c r="I42" i="2"/>
  <c r="I57" i="2"/>
  <c r="I44" i="2"/>
  <c r="I36" i="2"/>
  <c r="I63" i="2"/>
  <c r="I49" i="2"/>
  <c r="I40" i="2"/>
  <c r="I77" i="2"/>
  <c r="I33" i="2"/>
  <c r="I27" i="2"/>
  <c r="I59" i="2"/>
  <c r="I78" i="2"/>
  <c r="I67" i="2"/>
  <c r="I58" i="2"/>
  <c r="I43" i="2"/>
  <c r="I21" i="2"/>
  <c r="I66" i="2"/>
  <c r="I37" i="2"/>
  <c r="I71" i="2"/>
  <c r="I54" i="2"/>
  <c r="I65" i="2"/>
  <c r="I69" i="2"/>
  <c r="I32" i="2"/>
  <c r="I45" i="2"/>
  <c r="I34" i="2"/>
  <c r="I51" i="2"/>
  <c r="I47" i="2"/>
  <c r="I28" i="2"/>
  <c r="I41" i="2"/>
  <c r="I30" i="2"/>
  <c r="I61" i="2"/>
  <c r="I25" i="2"/>
  <c r="I75" i="2"/>
  <c r="I26" i="2"/>
  <c r="J21" i="2"/>
  <c r="J46" i="2"/>
  <c r="J32" i="2"/>
  <c r="J24" i="2"/>
  <c r="J80" i="2"/>
  <c r="J49" i="2"/>
  <c r="J23" i="2"/>
  <c r="J73" i="2"/>
  <c r="J65" i="2"/>
  <c r="J54" i="2"/>
  <c r="J77" i="2"/>
  <c r="J67" i="2"/>
  <c r="J25" i="2"/>
  <c r="J30" i="2"/>
  <c r="J27" i="2"/>
  <c r="J61" i="2"/>
  <c r="J48" i="2"/>
  <c r="J29" i="2"/>
  <c r="J63" i="2"/>
  <c r="J57" i="2"/>
  <c r="J40" i="2"/>
  <c r="J81" i="2"/>
  <c r="J41" i="2"/>
  <c r="J75" i="2"/>
  <c r="J37" i="2"/>
  <c r="J52" i="2"/>
  <c r="J44" i="2"/>
  <c r="J38" i="2"/>
  <c r="J70" i="2"/>
  <c r="J35" i="2"/>
  <c r="J71" i="2"/>
  <c r="J26" i="2"/>
  <c r="J36" i="2"/>
  <c r="J66" i="2"/>
  <c r="J33" i="2"/>
  <c r="J51" i="2"/>
  <c r="J42" i="2"/>
  <c r="J28" i="2"/>
  <c r="J47" i="2"/>
  <c r="J45" i="2"/>
  <c r="J22" i="2"/>
  <c r="J59" i="2"/>
  <c r="J34" i="2"/>
  <c r="J50" i="2"/>
  <c r="J62" i="2"/>
  <c r="J43" i="2"/>
  <c r="J78" i="2"/>
  <c r="J69" i="2"/>
  <c r="J74" i="2"/>
  <c r="J58" i="2"/>
  <c r="K18" i="2"/>
  <c r="Z112" i="2"/>
  <c r="Z128" i="2"/>
  <c r="Z119" i="2"/>
  <c r="Z111" i="2"/>
  <c r="K32" i="2"/>
  <c r="K48" i="2"/>
  <c r="K74" i="2"/>
  <c r="K69" i="2"/>
  <c r="K47" i="2"/>
  <c r="K63" i="2"/>
  <c r="K59" i="2"/>
  <c r="K41" i="2"/>
  <c r="K66" i="2"/>
  <c r="K51" i="2"/>
  <c r="K37" i="2"/>
  <c r="K57" i="2"/>
  <c r="K65" i="2"/>
  <c r="K80" i="2"/>
  <c r="K52" i="2"/>
  <c r="K50" i="2"/>
  <c r="K22" i="2"/>
  <c r="K43" i="2"/>
  <c r="K54" i="2"/>
  <c r="K46" i="2"/>
  <c r="K81" i="2"/>
  <c r="K36" i="2"/>
  <c r="K62" i="2"/>
  <c r="K77" i="2"/>
  <c r="K58" i="2"/>
  <c r="K49" i="2"/>
  <c r="K61" i="2"/>
  <c r="K40" i="2"/>
  <c r="K73" i="2"/>
  <c r="K30" i="2"/>
  <c r="K38" i="2"/>
  <c r="K29" i="2"/>
  <c r="K45" i="2"/>
  <c r="K34" i="2"/>
  <c r="K44" i="2"/>
  <c r="K26" i="2"/>
  <c r="K42" i="2"/>
  <c r="K78" i="2"/>
  <c r="K33" i="2"/>
  <c r="K28" i="2"/>
  <c r="K70" i="2"/>
  <c r="K23" i="2"/>
  <c r="K67" i="2"/>
  <c r="K35" i="2"/>
  <c r="K75" i="2"/>
  <c r="K24" i="2"/>
  <c r="K21" i="2"/>
  <c r="K27" i="2"/>
  <c r="K25" i="2"/>
  <c r="K71" i="2"/>
  <c r="S71" i="2" l="1"/>
  <c r="T71" i="2" s="1"/>
  <c r="S25" i="2"/>
  <c r="T25" i="2"/>
  <c r="U25" i="2" s="1"/>
  <c r="S27" i="2"/>
  <c r="T27" i="2" s="1"/>
  <c r="U27" i="2" s="1"/>
  <c r="K79" i="2"/>
  <c r="K55" i="2"/>
  <c r="S21" i="2"/>
  <c r="T21" i="2" s="1"/>
  <c r="U21" i="2" s="1"/>
  <c r="S24" i="2"/>
  <c r="T24" i="2" s="1"/>
  <c r="U24" i="2" s="1"/>
  <c r="S75" i="2"/>
  <c r="T75" i="2"/>
  <c r="S35" i="2"/>
  <c r="T35" i="2"/>
  <c r="U35" i="2" s="1"/>
  <c r="S67" i="2"/>
  <c r="T67" i="2" s="1"/>
  <c r="S23" i="2"/>
  <c r="T23" i="2" s="1"/>
  <c r="U23" i="2" s="1"/>
  <c r="S70" i="2"/>
  <c r="T70" i="2" s="1"/>
  <c r="U70" i="2" s="1"/>
  <c r="S28" i="2"/>
  <c r="T28" i="2" s="1"/>
  <c r="U28" i="2" s="1"/>
  <c r="S33" i="2"/>
  <c r="T33" i="2" s="1"/>
  <c r="U33" i="2" s="1"/>
  <c r="S78" i="2"/>
  <c r="T78" i="2" s="1"/>
  <c r="U78" i="2" s="1"/>
  <c r="S42" i="2"/>
  <c r="T42" i="2" s="1"/>
  <c r="U42" i="2" s="1"/>
  <c r="S26" i="2"/>
  <c r="T26" i="2"/>
  <c r="U26" i="2" s="1"/>
  <c r="S44" i="2"/>
  <c r="T44" i="2" s="1"/>
  <c r="U44" i="2" s="1"/>
  <c r="S34" i="2"/>
  <c r="T34" i="2" s="1"/>
  <c r="U34" i="2" s="1"/>
  <c r="S45" i="2"/>
  <c r="T45" i="2" s="1"/>
  <c r="U45" i="2" s="1"/>
  <c r="S29" i="2"/>
  <c r="T29" i="2" s="1"/>
  <c r="U29" i="2" s="1"/>
  <c r="S38" i="2"/>
  <c r="T38" i="2" s="1"/>
  <c r="S30" i="2"/>
  <c r="T30" i="2" s="1"/>
  <c r="U30" i="2" s="1"/>
  <c r="S73" i="2"/>
  <c r="T73" i="2"/>
  <c r="U73" i="2" s="1"/>
  <c r="S40" i="2"/>
  <c r="T40" i="2" s="1"/>
  <c r="U40" i="2" s="1"/>
  <c r="S61" i="2"/>
  <c r="T61" i="2" s="1"/>
  <c r="U61" i="2" s="1"/>
  <c r="S49" i="2"/>
  <c r="T49" i="2"/>
  <c r="U49" i="2" s="1"/>
  <c r="S58" i="2"/>
  <c r="T58" i="2" s="1"/>
  <c r="U58" i="2" s="1"/>
  <c r="S77" i="2"/>
  <c r="T77" i="2" s="1"/>
  <c r="U77" i="2" s="1"/>
  <c r="S62" i="2"/>
  <c r="T62" i="2" s="1"/>
  <c r="U62" i="2" s="1"/>
  <c r="S36" i="2"/>
  <c r="T36" i="2" s="1"/>
  <c r="U36" i="2" s="1"/>
  <c r="S81" i="2"/>
  <c r="T81" i="2" s="1"/>
  <c r="U81" i="2" s="1"/>
  <c r="S46" i="2"/>
  <c r="T46" i="2" s="1"/>
  <c r="U46" i="2" s="1"/>
  <c r="S54" i="2"/>
  <c r="T54" i="2" s="1"/>
  <c r="U54" i="2" s="1"/>
  <c r="S43" i="2"/>
  <c r="T43" i="2" s="1"/>
  <c r="U43" i="2" s="1"/>
  <c r="S22" i="2"/>
  <c r="T22" i="2"/>
  <c r="U22" i="2" s="1"/>
  <c r="S50" i="2"/>
  <c r="T50" i="2" s="1"/>
  <c r="U50" i="2" s="1"/>
  <c r="S52" i="2"/>
  <c r="T52" i="2" s="1"/>
  <c r="S80" i="2"/>
  <c r="T80" i="2" s="1"/>
  <c r="U80" i="2" s="1"/>
  <c r="S65" i="2"/>
  <c r="T65" i="2" s="1"/>
  <c r="U65" i="2" s="1"/>
  <c r="S57" i="2"/>
  <c r="T57" i="2" s="1"/>
  <c r="U57" i="2" s="1"/>
  <c r="S37" i="2"/>
  <c r="T37" i="2"/>
  <c r="U37" i="2" s="1"/>
  <c r="S51" i="2"/>
  <c r="T51" i="2" s="1"/>
  <c r="U51" i="2" s="1"/>
  <c r="S66" i="2"/>
  <c r="T66" i="2" s="1"/>
  <c r="U66" i="2" s="1"/>
  <c r="S41" i="2"/>
  <c r="T41" i="2" s="1"/>
  <c r="U41" i="2" s="1"/>
  <c r="S59" i="2"/>
  <c r="T59" i="2" s="1"/>
  <c r="S63" i="2"/>
  <c r="T63" i="2" s="1"/>
  <c r="S47" i="2"/>
  <c r="T47" i="2" s="1"/>
  <c r="U47" i="2" s="1"/>
  <c r="S69" i="2"/>
  <c r="T69" i="2" s="1"/>
  <c r="U69" i="2" s="1"/>
  <c r="S74" i="2"/>
  <c r="T74" i="2" s="1"/>
  <c r="U74" i="2" s="1"/>
  <c r="S48" i="2"/>
  <c r="T48" i="2" s="1"/>
  <c r="U48" i="2" s="1"/>
  <c r="K31" i="2"/>
  <c r="S31" i="2" s="1"/>
  <c r="T31" i="2" s="1"/>
  <c r="U31" i="2" s="1"/>
  <c r="S32" i="2"/>
  <c r="T32" i="2" s="1"/>
  <c r="U32" i="2" s="1"/>
  <c r="P58" i="2"/>
  <c r="Q58" i="2" s="1"/>
  <c r="R58" i="2" s="1"/>
  <c r="P74" i="2"/>
  <c r="Q74" i="2" s="1"/>
  <c r="R74" i="2" s="1"/>
  <c r="P69" i="2"/>
  <c r="Q69" i="2" s="1"/>
  <c r="R69" i="2" s="1"/>
  <c r="P78" i="2"/>
  <c r="Q78" i="2" s="1"/>
  <c r="R78" i="2" s="1"/>
  <c r="P43" i="2"/>
  <c r="Q43" i="2" s="1"/>
  <c r="R43" i="2" s="1"/>
  <c r="P62" i="2"/>
  <c r="Q62" i="2" s="1"/>
  <c r="R62" i="2" s="1"/>
  <c r="P50" i="2"/>
  <c r="Q50" i="2" s="1"/>
  <c r="R50" i="2" s="1"/>
  <c r="P34" i="2"/>
  <c r="Q34" i="2" s="1"/>
  <c r="R34" i="2" s="1"/>
  <c r="P59" i="2"/>
  <c r="Q59" i="2" s="1"/>
  <c r="P22" i="2"/>
  <c r="Q22" i="2" s="1"/>
  <c r="R22" i="2" s="1"/>
  <c r="P45" i="2"/>
  <c r="Q45" i="2" s="1"/>
  <c r="R45" i="2" s="1"/>
  <c r="P47" i="2"/>
  <c r="Q47" i="2" s="1"/>
  <c r="R47" i="2" s="1"/>
  <c r="P28" i="2"/>
  <c r="Q28" i="2" s="1"/>
  <c r="R28" i="2" s="1"/>
  <c r="P42" i="2"/>
  <c r="Q42" i="2" s="1"/>
  <c r="R42" i="2" s="1"/>
  <c r="P51" i="2"/>
  <c r="Q51" i="2" s="1"/>
  <c r="R51" i="2" s="1"/>
  <c r="P33" i="2"/>
  <c r="Q33" i="2" s="1"/>
  <c r="R33" i="2" s="1"/>
  <c r="P66" i="2"/>
  <c r="Q66" i="2" s="1"/>
  <c r="R66" i="2" s="1"/>
  <c r="P36" i="2"/>
  <c r="Q36" i="2" s="1"/>
  <c r="R36" i="2" s="1"/>
  <c r="P26" i="2"/>
  <c r="Q26" i="2" s="1"/>
  <c r="R26" i="2" s="1"/>
  <c r="P71" i="2"/>
  <c r="Q71" i="2" s="1"/>
  <c r="P35" i="2"/>
  <c r="Q35" i="2" s="1"/>
  <c r="R35" i="2" s="1"/>
  <c r="P70" i="2"/>
  <c r="Q70" i="2" s="1"/>
  <c r="R70" i="2" s="1"/>
  <c r="P38" i="2"/>
  <c r="Q38" i="2" s="1"/>
  <c r="P44" i="2"/>
  <c r="Q44" i="2" s="1"/>
  <c r="R44" i="2" s="1"/>
  <c r="P52" i="2"/>
  <c r="Q52" i="2" s="1"/>
  <c r="P37" i="2"/>
  <c r="Q37" i="2" s="1"/>
  <c r="R37" i="2" s="1"/>
  <c r="P75" i="2"/>
  <c r="Q75" i="2"/>
  <c r="P41" i="2"/>
  <c r="Q41" i="2" s="1"/>
  <c r="R41" i="2" s="1"/>
  <c r="P81" i="2"/>
  <c r="Q81" i="2" s="1"/>
  <c r="R81" i="2" s="1"/>
  <c r="P40" i="2"/>
  <c r="Q40" i="2" s="1"/>
  <c r="R40" i="2" s="1"/>
  <c r="P57" i="2"/>
  <c r="Q57" i="2" s="1"/>
  <c r="R57" i="2" s="1"/>
  <c r="P63" i="2"/>
  <c r="Q63" i="2" s="1"/>
  <c r="P29" i="2"/>
  <c r="Q29" i="2" s="1"/>
  <c r="R29" i="2" s="1"/>
  <c r="P48" i="2"/>
  <c r="Q48" i="2" s="1"/>
  <c r="R48" i="2" s="1"/>
  <c r="P61" i="2"/>
  <c r="Q61" i="2" s="1"/>
  <c r="R61" i="2" s="1"/>
  <c r="P27" i="2"/>
  <c r="Q27" i="2" s="1"/>
  <c r="R27" i="2" s="1"/>
  <c r="P30" i="2"/>
  <c r="Q30" i="2" s="1"/>
  <c r="R30" i="2" s="1"/>
  <c r="P25" i="2"/>
  <c r="Q25" i="2" s="1"/>
  <c r="R25" i="2" s="1"/>
  <c r="P67" i="2"/>
  <c r="Q67" i="2"/>
  <c r="P77" i="2"/>
  <c r="Q77" i="2" s="1"/>
  <c r="R77" i="2" s="1"/>
  <c r="P54" i="2"/>
  <c r="Q54" i="2" s="1"/>
  <c r="R54" i="2" s="1"/>
  <c r="P65" i="2"/>
  <c r="Q65" i="2" s="1"/>
  <c r="R65" i="2" s="1"/>
  <c r="P73" i="2"/>
  <c r="Q73" i="2" s="1"/>
  <c r="R73" i="2" s="1"/>
  <c r="P23" i="2"/>
  <c r="Q23" i="2" s="1"/>
  <c r="R23" i="2" s="1"/>
  <c r="P49" i="2"/>
  <c r="Q49" i="2" s="1"/>
  <c r="R49" i="2" s="1"/>
  <c r="P80" i="2"/>
  <c r="Q80" i="2" s="1"/>
  <c r="R80" i="2" s="1"/>
  <c r="P24" i="2"/>
  <c r="Q24" i="2" s="1"/>
  <c r="R24" i="2" s="1"/>
  <c r="J31" i="2"/>
  <c r="P31" i="2" s="1"/>
  <c r="P32" i="2"/>
  <c r="Q32" i="2" s="1"/>
  <c r="R32" i="2" s="1"/>
  <c r="P46" i="2"/>
  <c r="Q46" i="2" s="1"/>
  <c r="R46" i="2" s="1"/>
  <c r="P21" i="2"/>
  <c r="Q21" i="2"/>
  <c r="R21" i="2" s="1"/>
  <c r="M26" i="2"/>
  <c r="N26" i="2" s="1"/>
  <c r="O26" i="2" s="1"/>
  <c r="M75" i="2"/>
  <c r="N75" i="2" s="1"/>
  <c r="M25" i="2"/>
  <c r="N25" i="2" s="1"/>
  <c r="O25" i="2" s="1"/>
  <c r="M61" i="2"/>
  <c r="N61" i="2" s="1"/>
  <c r="O61" i="2" s="1"/>
  <c r="M30" i="2"/>
  <c r="N30" i="2" s="1"/>
  <c r="O30" i="2" s="1"/>
  <c r="M41" i="2"/>
  <c r="N41" i="2" s="1"/>
  <c r="O41" i="2" s="1"/>
  <c r="M28" i="2"/>
  <c r="N28" i="2"/>
  <c r="O28" i="2" s="1"/>
  <c r="M47" i="2"/>
  <c r="N47" i="2"/>
  <c r="O47" i="2" s="1"/>
  <c r="M51" i="2"/>
  <c r="N51" i="2" s="1"/>
  <c r="O51" i="2" s="1"/>
  <c r="M34" i="2"/>
  <c r="N34" i="2" s="1"/>
  <c r="O34" i="2" s="1"/>
  <c r="M45" i="2"/>
  <c r="N45" i="2" s="1"/>
  <c r="O45" i="2" s="1"/>
  <c r="M32" i="2"/>
  <c r="N32" i="2"/>
  <c r="O32" i="2" s="1"/>
  <c r="I31" i="2"/>
  <c r="M31" i="2" s="1"/>
  <c r="N31" i="2" s="1"/>
  <c r="O31" i="2" s="1"/>
  <c r="M69" i="2"/>
  <c r="N69" i="2" s="1"/>
  <c r="O69" i="2" s="1"/>
  <c r="M65" i="2"/>
  <c r="N65" i="2" s="1"/>
  <c r="O65" i="2" s="1"/>
  <c r="M54" i="2"/>
  <c r="N54" i="2"/>
  <c r="O54" i="2" s="1"/>
  <c r="M71" i="2"/>
  <c r="N71" i="2" s="1"/>
  <c r="M37" i="2"/>
  <c r="N37" i="2" s="1"/>
  <c r="O37" i="2" s="1"/>
  <c r="M66" i="2"/>
  <c r="N66" i="2" s="1"/>
  <c r="O66" i="2" s="1"/>
  <c r="M21" i="2"/>
  <c r="N21" i="2" s="1"/>
  <c r="O21" i="2" s="1"/>
  <c r="M43" i="2"/>
  <c r="N43" i="2" s="1"/>
  <c r="O43" i="2" s="1"/>
  <c r="M58" i="2"/>
  <c r="N58" i="2"/>
  <c r="O58" i="2" s="1"/>
  <c r="M67" i="2"/>
  <c r="N67" i="2" s="1"/>
  <c r="M78" i="2"/>
  <c r="N78" i="2" s="1"/>
  <c r="O78" i="2" s="1"/>
  <c r="M59" i="2"/>
  <c r="N59" i="2" s="1"/>
  <c r="M27" i="2"/>
  <c r="N27" i="2" s="1"/>
  <c r="O27" i="2" s="1"/>
  <c r="M33" i="2"/>
  <c r="N33" i="2" s="1"/>
  <c r="O33" i="2" s="1"/>
  <c r="M77" i="2"/>
  <c r="N77" i="2" s="1"/>
  <c r="O77" i="2" s="1"/>
  <c r="M40" i="2"/>
  <c r="N40" i="2"/>
  <c r="O40" i="2" s="1"/>
  <c r="M49" i="2"/>
  <c r="N49" i="2" s="1"/>
  <c r="O49" i="2" s="1"/>
  <c r="M63" i="2"/>
  <c r="N63" i="2" s="1"/>
  <c r="M36" i="2"/>
  <c r="N36" i="2" s="1"/>
  <c r="O36" i="2" s="1"/>
  <c r="M44" i="2"/>
  <c r="N44" i="2" s="1"/>
  <c r="O44" i="2" s="1"/>
  <c r="M57" i="2"/>
  <c r="N57" i="2" s="1"/>
  <c r="O57" i="2" s="1"/>
  <c r="M42" i="2"/>
  <c r="N42" i="2" s="1"/>
  <c r="O42" i="2" s="1"/>
  <c r="M48" i="2"/>
  <c r="N48" i="2" s="1"/>
  <c r="O48" i="2" s="1"/>
  <c r="M52" i="2"/>
  <c r="N52" i="2" s="1"/>
  <c r="M46" i="2"/>
  <c r="N46" i="2" s="1"/>
  <c r="O46" i="2" s="1"/>
  <c r="M73" i="2"/>
  <c r="N73" i="2" s="1"/>
  <c r="O73" i="2" s="1"/>
  <c r="M50" i="2"/>
  <c r="N50" i="2" s="1"/>
  <c r="O50" i="2" s="1"/>
  <c r="M62" i="2"/>
  <c r="N62" i="2"/>
  <c r="O62" i="2" s="1"/>
  <c r="M70" i="2"/>
  <c r="N70" i="2" s="1"/>
  <c r="O70" i="2" s="1"/>
  <c r="M80" i="2"/>
  <c r="N80" i="2" s="1"/>
  <c r="O80" i="2" s="1"/>
  <c r="M38" i="2"/>
  <c r="N38" i="2" s="1"/>
  <c r="M81" i="2"/>
  <c r="N81" i="2" s="1"/>
  <c r="O81" i="2" s="1"/>
  <c r="M23" i="2"/>
  <c r="N23" i="2" s="1"/>
  <c r="O23" i="2" s="1"/>
  <c r="M24" i="2"/>
  <c r="N24" i="2" s="1"/>
  <c r="O24" i="2" s="1"/>
  <c r="M22" i="2"/>
  <c r="N22" i="2" s="1"/>
  <c r="O22" i="2" s="1"/>
  <c r="M74" i="2"/>
  <c r="N74" i="2" s="1"/>
  <c r="O74" i="2" s="1"/>
  <c r="M35" i="2"/>
  <c r="N35" i="2" s="1"/>
  <c r="O35" i="2" s="1"/>
  <c r="M29" i="2"/>
  <c r="N29" i="2"/>
  <c r="O29" i="2" s="1"/>
  <c r="AA128" i="2"/>
  <c r="AA120" i="2"/>
  <c r="AA112" i="2"/>
  <c r="AA127" i="2"/>
  <c r="AA119" i="2"/>
  <c r="AA111" i="2"/>
  <c r="J55" i="2"/>
  <c r="J79" i="2"/>
  <c r="I79" i="2"/>
  <c r="I55" i="2"/>
  <c r="Q31" i="2" l="1"/>
  <c r="R31" i="2" s="1"/>
</calcChain>
</file>

<file path=xl/sharedStrings.xml><?xml version="1.0" encoding="utf-8"?>
<sst xmlns="http://schemas.openxmlformats.org/spreadsheetml/2006/main" count="156" uniqueCount="144">
  <si>
    <t>Server Name :</t>
  </si>
  <si>
    <t>tango_core_model:</t>
  </si>
  <si>
    <t>xServer</t>
  </si>
  <si>
    <t>Host Server :</t>
  </si>
  <si>
    <t>Flag Send Data :</t>
  </si>
  <si>
    <t>Flag Send Comment :</t>
  </si>
  <si>
    <t>Excel Report Context :</t>
  </si>
  <si>
    <t>Cube n°1 :</t>
  </si>
  <si>
    <t>Report_PL</t>
  </si>
  <si>
    <t>Cube n°2 :</t>
  </si>
  <si>
    <t>RP_Comments_PL</t>
  </si>
  <si>
    <t>Actual Year :</t>
  </si>
  <si>
    <t>Actual Month :</t>
  </si>
  <si>
    <t>Budget Version :</t>
  </si>
  <si>
    <t xml:space="preserve">Forecast Version </t>
  </si>
  <si>
    <t>Local language</t>
  </si>
  <si>
    <t>Language List :</t>
  </si>
  <si>
    <t>English</t>
  </si>
  <si>
    <t>French</t>
  </si>
  <si>
    <t>Dutch</t>
  </si>
  <si>
    <t>German</t>
  </si>
  <si>
    <t>Portuguese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</si>
  <si>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</si>
  <si>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</si>
  <si>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</si>
  <si>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</si>
  <si>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</si>
  <si>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</si>
  <si>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</si>
  <si>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</si>
  <si>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</si>
  <si>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Phase</t>
  </si>
  <si>
    <t>ACT_TOT</t>
  </si>
  <si>
    <t>ACT_PRIOR_NB</t>
  </si>
  <si>
    <t>ACT_PRIOR_PO</t>
  </si>
  <si>
    <t>ACT_BUDG_NB</t>
  </si>
  <si>
    <t>ACT_BUDG_PO</t>
  </si>
  <si>
    <t>ACT_FC_NB</t>
  </si>
  <si>
    <t>ACT_FC_PO</t>
  </si>
  <si>
    <t>Period</t>
  </si>
  <si>
    <t>AutoRefresh_PL_aggregated</t>
  </si>
  <si>
    <t>z_Translate_Report</t>
  </si>
  <si>
    <t>Context_selection</t>
  </si>
  <si>
    <t>Period_Year_Month</t>
  </si>
  <si>
    <t>Management_organization</t>
  </si>
  <si>
    <t>Language</t>
  </si>
  <si>
    <t>output</t>
  </si>
  <si>
    <t>Indicator</t>
  </si>
  <si>
    <t>Legal_organization</t>
  </si>
  <si>
    <t>TPL10_dest</t>
  </si>
  <si>
    <t>Activity</t>
  </si>
  <si>
    <t>PL0000_RC</t>
  </si>
  <si>
    <t>Currency</t>
  </si>
  <si>
    <t>PL1002_RC</t>
  </si>
  <si>
    <t>Gaap</t>
  </si>
  <si>
    <t>PL1003_RC_PR</t>
  </si>
  <si>
    <t>Integration_Rate</t>
  </si>
  <si>
    <t>PL1003_RC_30</t>
  </si>
  <si>
    <t>Variances</t>
  </si>
  <si>
    <t>PL1003_RC_SA</t>
  </si>
  <si>
    <t>Variance</t>
  </si>
  <si>
    <t>PL1003_RC_45</t>
  </si>
  <si>
    <t>Profit_Losses_aggregated</t>
  </si>
  <si>
    <t>PL1007_RC_OG</t>
  </si>
  <si>
    <t>Gross_Margin_percentage_ROA</t>
  </si>
  <si>
    <t>PL0000_RP</t>
  </si>
  <si>
    <t>Operating_profit_before_management_fees</t>
  </si>
  <si>
    <t>PL0000_AR</t>
  </si>
  <si>
    <t>Operating_profit_percentage_ROA</t>
  </si>
  <si>
    <t>PL0000_TPL10</t>
  </si>
  <si>
    <t>CAFOP_before_management_fees</t>
  </si>
  <si>
    <t>CAFOP_percentage_ROA</t>
  </si>
  <si>
    <t>TPL11_dest</t>
  </si>
  <si>
    <t>Comments</t>
  </si>
  <si>
    <t>PL0000_ST</t>
  </si>
  <si>
    <t>ROA</t>
  </si>
  <si>
    <t>PL0000_DO</t>
  </si>
  <si>
    <t>Gross_Margin</t>
  </si>
  <si>
    <t>PL0000_ET</t>
  </si>
  <si>
    <t>Operational_Profit</t>
  </si>
  <si>
    <t>PL0000_MF</t>
  </si>
  <si>
    <t>Ytd</t>
  </si>
  <si>
    <t>PL0000_MI</t>
  </si>
  <si>
    <t>Jan</t>
  </si>
  <si>
    <t>PL0000_CD</t>
  </si>
  <si>
    <t>Feb</t>
  </si>
  <si>
    <t>PL0000_CS</t>
  </si>
  <si>
    <t>Mar</t>
  </si>
  <si>
    <t>PL0000_DS</t>
  </si>
  <si>
    <t>Apr</t>
  </si>
  <si>
    <t>PL0000_FL</t>
  </si>
  <si>
    <t>May</t>
  </si>
  <si>
    <t>PL0000_IN</t>
  </si>
  <si>
    <t>Jun</t>
  </si>
  <si>
    <t>PL0000_AC</t>
  </si>
  <si>
    <t>Jul</t>
  </si>
  <si>
    <t>PL0000_TPL11</t>
  </si>
  <si>
    <t>Aug</t>
  </si>
  <si>
    <t>Sep</t>
  </si>
  <si>
    <t>GROSS_MARGIN_dest</t>
  </si>
  <si>
    <t>Oct</t>
  </si>
  <si>
    <t>Nov</t>
  </si>
  <si>
    <t>Dec</t>
  </si>
  <si>
    <t>TPL12_dest</t>
  </si>
  <si>
    <t>Prior_year</t>
  </si>
  <si>
    <t>PL0000_BD</t>
  </si>
  <si>
    <t>No_data_for_ROA</t>
  </si>
  <si>
    <t>PL0000_TPL12</t>
  </si>
  <si>
    <t>TPL13_dest</t>
  </si>
  <si>
    <t>TPL13_dest_GA</t>
  </si>
  <si>
    <t>PL0000_TPL13</t>
  </si>
  <si>
    <t>TPL14_dest</t>
  </si>
  <si>
    <t>PL0000_OO</t>
  </si>
  <si>
    <t>PL0000_TPL14</t>
  </si>
  <si>
    <t>TPL1_dest</t>
  </si>
  <si>
    <t>RESOP_bef_mgmt_fees</t>
  </si>
  <si>
    <t>Perc_RESOP_bef_mgmt_fees</t>
  </si>
  <si>
    <t>NFIOPE</t>
  </si>
  <si>
    <t>CAFOP_bef_mgmt_fees</t>
  </si>
  <si>
    <t>Comment_1</t>
  </si>
  <si>
    <t>Comment_2</t>
  </si>
  <si>
    <t>Comment_3</t>
  </si>
  <si>
    <t>Comment_4</t>
  </si>
  <si>
    <t>Year</t>
  </si>
  <si>
    <t>YearToDate</t>
  </si>
  <si>
    <t>Prior Year</t>
  </si>
  <si>
    <t>FC_ALL</t>
  </si>
  <si>
    <t>FC_1_TOT</t>
  </si>
  <si>
    <t>FC_2_TOT</t>
  </si>
  <si>
    <t>PL1002_FL_HG</t>
  </si>
  <si>
    <t>PL1002_MF_HG</t>
  </si>
  <si>
    <t>PL1003_MF_HG</t>
  </si>
  <si>
    <t>PL1006_FL</t>
  </si>
  <si>
    <t>PL1006_IN</t>
  </si>
  <si>
    <t>PL1006_RC</t>
  </si>
  <si>
    <t>PL1006</t>
  </si>
  <si>
    <t>TPL15_dest</t>
  </si>
  <si>
    <t>PL0000_TPL15</t>
  </si>
  <si>
    <t>TPL16_dest</t>
  </si>
  <si>
    <t>PL0000_TPL16</t>
  </si>
  <si>
    <t>PL0000_JV</t>
  </si>
  <si>
    <t>PL0000_AS</t>
  </si>
  <si>
    <t>Legal organization</t>
  </si>
  <si>
    <t>Integration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</si>
</sst>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#,##0.0"/>
    <numFmt numFmtId="165" formatCode="0.0%"/>
    <numFmt numFmtId="166" formatCode="0.0"/>
    <numFmt numFmtId="167" formatCode="_-* #,##0.00\ _F_-;\-* #,##0.00\ _F_-;_-* &quot;-&quot;??\ _F_-;_-@_-"/>
    <numFmt numFmtId="168" formatCode="_(* #,##0.00_);_(* \(#,##0.00\);_(* &quot;-&quot;??_);_(@_)"/>
    <numFmt numFmtId="169" formatCode="#,###,##0.00"/>
    <numFmt numFmtId="170" formatCode="#,###,##0.0"/>
    <numFmt numFmtId="171" formatCode="#,###,##0"/>
    <numFmt numFmtId="172" formatCode="0.00_)"/>
    <numFmt numFmtId="173" formatCode="#,###,##0.000"/>
    <numFmt numFmtId="174" formatCode="#,##0_);\(#,##0\)"/>
  </numFmts>
  <fonts count="122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0"/>
      <color indexed="46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4"/>
      <name val="Calibri"/>
      <family val="2"/>
    </font>
    <font>
      <b/>
      <sz val="32"/>
      <color indexed="9"/>
      <name val="Calibri"/>
      <family val="2"/>
    </font>
    <font>
      <sz val="32"/>
      <name val="Arial"/>
      <family val="2"/>
    </font>
    <font>
      <b/>
      <sz val="18"/>
      <color indexed="9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sz val="14"/>
      <color indexed="9"/>
      <name val="Calibri"/>
      <family val="2"/>
    </font>
    <font>
      <b/>
      <sz val="12"/>
      <name val="Calibri"/>
      <family val="2"/>
    </font>
    <font>
      <sz val="14"/>
      <color indexed="9"/>
      <name val="Calibri"/>
      <family val="2"/>
    </font>
    <font>
      <sz val="14"/>
      <name val="Calibri"/>
      <family val="2"/>
    </font>
    <font>
      <sz val="18"/>
      <name val="Calibri"/>
      <family val="2"/>
    </font>
    <font>
      <b/>
      <sz val="18"/>
      <name val="Calibri"/>
      <family val="2"/>
    </font>
    <font>
      <b/>
      <sz val="18"/>
      <color indexed="17"/>
      <name val="Calibri"/>
      <family val="2"/>
    </font>
    <font>
      <b/>
      <sz val="18"/>
      <color indexed="57"/>
      <name val="Wingdings"/>
      <charset val="2"/>
    </font>
    <font>
      <sz val="18"/>
      <color indexed="9"/>
      <name val="Calibri"/>
      <family val="2"/>
    </font>
    <font>
      <sz val="15"/>
      <name val="Calibri"/>
      <family val="2"/>
    </font>
    <font>
      <b/>
      <sz val="16"/>
      <color indexed="57"/>
      <name val="Wingdings"/>
      <charset val="2"/>
    </font>
    <font>
      <b/>
      <sz val="16"/>
      <color indexed="22"/>
      <name val="Wingdings"/>
      <charset val="2"/>
    </font>
    <font>
      <i/>
      <sz val="10"/>
      <name val="Calibri"/>
      <family val="2"/>
    </font>
    <font>
      <b/>
      <sz val="18"/>
      <color indexed="52"/>
      <name val="Wingdings"/>
      <charset val="2"/>
    </font>
    <font>
      <b/>
      <sz val="16"/>
      <color indexed="52"/>
      <name val="Wingdings"/>
      <charset val="2"/>
    </font>
    <font>
      <sz val="9"/>
      <name val="Calibri"/>
      <family val="2"/>
    </font>
    <font>
      <sz val="14"/>
      <color theme="1"/>
      <name val="Calibri"/>
      <family val="2"/>
    </font>
    <font>
      <sz val="12"/>
      <name val="Calibri"/>
      <family val="2"/>
    </font>
    <font>
      <sz val="11"/>
      <name val="Calibri"/>
      <family val="2"/>
    </font>
    <font>
      <sz val="10"/>
      <color indexed="9"/>
      <name val="Tahoma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57"/>
      <name val="Wingdings"/>
      <charset val="2"/>
    </font>
    <font>
      <sz val="12"/>
      <name val="SWISS"/>
    </font>
    <font>
      <b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9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10"/>
      <color indexed="53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4"/>
      <color indexed="9"/>
      <name val="Calibri"/>
      <family val="2"/>
      <scheme val="minor"/>
    </font>
    <font>
      <sz val="14"/>
      <name val="Calibri"/>
      <family val="2"/>
      <scheme val="minor"/>
    </font>
    <font>
      <sz val="18"/>
      <name val="Calibri"/>
      <family val="2"/>
      <scheme val="minor"/>
    </font>
    <font>
      <b/>
      <sz val="18"/>
      <name val="Calibri"/>
      <family val="2"/>
      <scheme val="minor"/>
    </font>
    <font>
      <sz val="15"/>
      <color indexed="63"/>
      <name val="Calibri"/>
      <family val="2"/>
      <scheme val="minor"/>
    </font>
    <font>
      <sz val="15"/>
      <color indexed="61"/>
      <name val="Calibri"/>
      <family val="2"/>
      <scheme val="minor"/>
    </font>
    <font>
      <sz val="15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61"/>
      <name val="Calibri"/>
      <family val="2"/>
      <scheme val="minor"/>
    </font>
    <font>
      <b/>
      <sz val="16"/>
      <color indexed="23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6"/>
      <color indexed="23"/>
      <name val="Calibri"/>
      <family val="2"/>
      <scheme val="minor"/>
    </font>
    <font>
      <i/>
      <sz val="15"/>
      <color indexed="63"/>
      <name val="Calibri"/>
      <family val="2"/>
      <scheme val="minor"/>
    </font>
    <font>
      <i/>
      <sz val="15"/>
      <color indexed="61"/>
      <name val="Calibri"/>
      <family val="2"/>
      <scheme val="minor"/>
    </font>
    <font>
      <b/>
      <sz val="18"/>
      <color indexed="23"/>
      <name val="Calibri"/>
      <family val="2"/>
      <scheme val="minor"/>
    </font>
    <font>
      <sz val="10"/>
      <color indexed="61"/>
      <name val="Calibri"/>
      <family val="2"/>
      <scheme val="minor"/>
    </font>
    <font>
      <i/>
      <sz val="15"/>
      <name val="Calibri"/>
      <family val="2"/>
      <scheme val="minor"/>
    </font>
    <font>
      <b/>
      <sz val="14"/>
      <color indexed="9"/>
      <name val="Calibri"/>
      <family val="2"/>
      <scheme val="minor"/>
    </font>
    <font>
      <sz val="14"/>
      <name val="Arial"/>
      <family val="2"/>
    </font>
    <font>
      <sz val="18"/>
      <color indexed="17"/>
      <name val="Calibri"/>
      <family val="2"/>
      <scheme val="minor"/>
    </font>
    <font>
      <sz val="14"/>
      <color indexed="57"/>
      <name val="Wingdings"/>
      <charset val="2"/>
    </font>
    <font>
      <i/>
      <sz val="14"/>
      <color indexed="63"/>
      <name val="Calibri"/>
      <family val="2"/>
    </font>
    <font>
      <sz val="18"/>
      <color indexed="10"/>
      <name val="Calibri"/>
      <family val="2"/>
      <scheme val="minor"/>
    </font>
    <font>
      <i/>
      <sz val="15"/>
      <color indexed="17"/>
      <name val="Calibri"/>
      <family val="2"/>
      <scheme val="minor"/>
    </font>
    <font>
      <i/>
      <sz val="14"/>
      <color indexed="17"/>
      <name val="Calibri"/>
      <family val="2"/>
    </font>
    <font>
      <sz val="14"/>
      <color indexed="17"/>
      <name val="Calibri"/>
      <family val="2"/>
    </font>
    <font>
      <sz val="15"/>
      <color indexed="17"/>
      <name val="Calibri"/>
      <family val="2"/>
      <scheme val="minor"/>
    </font>
    <font>
      <sz val="11"/>
      <color indexed="17"/>
      <name val="Calibri"/>
      <family val="2"/>
      <scheme val="minor"/>
    </font>
    <font>
      <sz val="18"/>
      <color indexed="17"/>
      <name val="Calibri"/>
      <family val="2"/>
    </font>
    <font>
      <sz val="12"/>
      <color indexed="9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9"/>
      <name val="Calibri"/>
      <family val="2"/>
    </font>
    <font>
      <b/>
      <u/>
      <sz val="12"/>
      <color indexed="8"/>
      <name val="Calibri"/>
      <family val="2"/>
      <scheme val="minor"/>
    </font>
    <font>
      <b/>
      <sz val="12"/>
      <color indexed="53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12"/>
      <color indexed="9"/>
      <name val="Calibri"/>
      <family val="2"/>
    </font>
    <font>
      <sz val="12"/>
      <color indexed="62"/>
      <name val="Calibri"/>
      <family val="2"/>
    </font>
    <font>
      <sz val="14"/>
      <color rgb="FFFF0000"/>
      <name val="Wingdings"/>
      <charset val="2"/>
    </font>
  </fonts>
  <fills count="4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rgb="FFFF00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AAAEB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  <bgColor indexed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B5B8BF"/>
      </top>
      <bottom style="thin">
        <color rgb="FFB5B8BF"/>
      </bottom>
      <diagonal/>
    </border>
    <border>
      <left/>
      <right/>
      <top/>
      <bottom style="thin">
        <color rgb="FFB5B8B6"/>
      </bottom>
      <diagonal/>
    </border>
    <border>
      <left/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23"/>
      </left>
      <right/>
      <top style="medium">
        <color indexed="22"/>
      </top>
      <bottom/>
      <diagonal/>
    </border>
    <border>
      <left/>
      <right/>
      <top style="medium">
        <color indexed="22"/>
      </top>
      <bottom/>
      <diagonal/>
    </border>
    <border>
      <left/>
      <right style="medium">
        <color indexed="63"/>
      </right>
      <top style="medium">
        <color indexed="22"/>
      </top>
      <bottom/>
      <diagonal/>
    </border>
    <border>
      <left style="medium">
        <color indexed="2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2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rgb="FFB5B8BF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/>
      <bottom style="medium">
        <color theme="0" tint="-0.14996795556505021"/>
      </bottom>
      <diagonal/>
    </border>
  </borders>
  <cellStyleXfs count="234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17" borderId="0" applyNumberFormat="0" applyBorder="0" applyAlignment="0" applyProtection="0"/>
    <xf numFmtId="0" fontId="39" fillId="17" borderId="0" applyNumberFormat="0" applyBorder="0" applyAlignment="0" applyProtection="0"/>
    <xf numFmtId="0" fontId="39" fillId="17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8" borderId="0" applyNumberFormat="0" applyBorder="0" applyAlignment="0" applyProtection="0"/>
    <xf numFmtId="0" fontId="39" fillId="18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19" borderId="0" applyNumberFormat="0" applyBorder="0" applyAlignment="0" applyProtection="0"/>
    <xf numFmtId="0" fontId="39" fillId="19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1" borderId="0" applyNumberFormat="0" applyBorder="0" applyAlignment="0" applyProtection="0"/>
    <xf numFmtId="0" fontId="39" fillId="21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2" borderId="0" applyNumberFormat="0" applyBorder="0" applyAlignment="0" applyProtection="0"/>
    <xf numFmtId="0" fontId="39" fillId="22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4" borderId="0" applyNumberFormat="0" applyBorder="0" applyAlignment="0" applyProtection="0"/>
    <xf numFmtId="0" fontId="39" fillId="24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5" borderId="0" applyNumberFormat="0" applyBorder="0" applyAlignment="0" applyProtection="0"/>
    <xf numFmtId="0" fontId="39" fillId="25" borderId="0" applyNumberFormat="0" applyBorder="0" applyAlignment="0" applyProtection="0"/>
    <xf numFmtId="0" fontId="39" fillId="25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0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3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39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7" borderId="0" applyNumberFormat="0" applyBorder="0" applyAlignment="0" applyProtection="0"/>
    <xf numFmtId="0" fontId="40" fillId="27" borderId="0" applyNumberFormat="0" applyBorder="0" applyAlignment="0" applyProtection="0"/>
    <xf numFmtId="0" fontId="40" fillId="27" borderId="0" applyNumberFormat="0" applyBorder="0" applyAlignment="0" applyProtection="0"/>
    <xf numFmtId="0" fontId="40" fillId="24" borderId="0" applyNumberFormat="0" applyBorder="0" applyAlignment="0" applyProtection="0"/>
    <xf numFmtId="0" fontId="40" fillId="24" borderId="0" applyNumberFormat="0" applyBorder="0" applyAlignment="0" applyProtection="0"/>
    <xf numFmtId="0" fontId="40" fillId="24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5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0" borderId="0" applyNumberFormat="0" applyBorder="0" applyAlignment="0" applyProtection="0"/>
    <xf numFmtId="0" fontId="40" fillId="30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1" borderId="0" applyNumberFormat="0" applyBorder="0" applyAlignment="0" applyProtection="0"/>
    <xf numFmtId="0" fontId="40" fillId="31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2" borderId="0" applyNumberFormat="0" applyBorder="0" applyAlignment="0" applyProtection="0"/>
    <xf numFmtId="0" fontId="40" fillId="32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33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29" borderId="0" applyNumberFormat="0" applyBorder="0" applyAlignment="0" applyProtection="0"/>
    <xf numFmtId="0" fontId="40" fillId="34" borderId="0" applyNumberFormat="0" applyBorder="0" applyAlignment="0" applyProtection="0"/>
    <xf numFmtId="0" fontId="40" fillId="34" borderId="0" applyNumberFormat="0" applyBorder="0" applyAlignment="0" applyProtection="0"/>
    <xf numFmtId="0" fontId="40" fillId="34" borderId="0" applyNumberFormat="0" applyBorder="0" applyAlignment="0" applyProtection="0"/>
    <xf numFmtId="0" fontId="40" fillId="34" borderId="0" applyNumberFormat="0" applyBorder="0" applyAlignment="0" applyProtection="0"/>
    <xf numFmtId="0" fontId="41" fillId="18" borderId="0" applyNumberFormat="0" applyBorder="0" applyAlignment="0" applyProtection="0"/>
    <xf numFmtId="0" fontId="41" fillId="18" borderId="0" applyNumberFormat="0" applyBorder="0" applyAlignment="0" applyProtection="0"/>
    <xf numFmtId="0" fontId="41" fillId="18" borderId="0" applyNumberFormat="0" applyBorder="0" applyAlignment="0" applyProtection="0"/>
    <xf numFmtId="0" fontId="41" fillId="18" borderId="0" applyNumberFormat="0" applyBorder="0" applyAlignment="0" applyProtection="0"/>
    <xf numFmtId="0" fontId="42" fillId="22" borderId="24" applyNumberFormat="0" applyAlignment="0" applyProtection="0"/>
    <xf numFmtId="0" fontId="42" fillId="22" borderId="24" applyNumberFormat="0" applyAlignment="0" applyProtection="0"/>
    <xf numFmtId="0" fontId="42" fillId="22" borderId="24" applyNumberFormat="0" applyAlignment="0" applyProtection="0"/>
    <xf numFmtId="0" fontId="42" fillId="22" borderId="24" applyNumberFormat="0" applyAlignment="0" applyProtection="0"/>
    <xf numFmtId="0" fontId="43" fillId="35" borderId="25" applyNumberFormat="0" applyAlignment="0" applyProtection="0"/>
    <xf numFmtId="0" fontId="43" fillId="35" borderId="25" applyNumberFormat="0" applyAlignment="0" applyProtection="0"/>
    <xf numFmtId="0" fontId="43" fillId="35" borderId="25" applyNumberFormat="0" applyAlignment="0" applyProtection="0"/>
    <xf numFmtId="0" fontId="43" fillId="35" borderId="25" applyNumberFormat="0" applyAlignment="0" applyProtection="0"/>
    <xf numFmtId="0" fontId="44" fillId="0" borderId="5">
      <alignment horizontal="left" wrapText="1"/>
    </xf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6" fillId="19" borderId="0" applyNumberFormat="0" applyBorder="0" applyAlignment="0" applyProtection="0"/>
    <xf numFmtId="0" fontId="47" fillId="0" borderId="26" applyNumberFormat="0" applyFill="0" applyAlignment="0" applyProtection="0"/>
    <xf numFmtId="0" fontId="47" fillId="0" borderId="26" applyNumberFormat="0" applyFill="0" applyAlignment="0" applyProtection="0"/>
    <xf numFmtId="0" fontId="47" fillId="0" borderId="26" applyNumberFormat="0" applyFill="0" applyAlignment="0" applyProtection="0"/>
    <xf numFmtId="0" fontId="47" fillId="0" borderId="26" applyNumberFormat="0" applyFill="0" applyAlignment="0" applyProtection="0"/>
    <xf numFmtId="0" fontId="48" fillId="0" borderId="27" applyNumberFormat="0" applyFill="0" applyAlignment="0" applyProtection="0"/>
    <xf numFmtId="0" fontId="48" fillId="0" borderId="27" applyNumberFormat="0" applyFill="0" applyAlignment="0" applyProtection="0"/>
    <xf numFmtId="0" fontId="48" fillId="0" borderId="27" applyNumberFormat="0" applyFill="0" applyAlignment="0" applyProtection="0"/>
    <xf numFmtId="0" fontId="48" fillId="0" borderId="27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28" applyNumberFormat="0" applyFill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>
      <alignment vertical="top"/>
      <protection locked="0"/>
    </xf>
    <xf numFmtId="0" fontId="51" fillId="0" borderId="0" applyNumberFormat="0" applyFill="0" applyBorder="0" applyAlignment="0" applyProtection="0">
      <alignment vertical="top"/>
      <protection locked="0"/>
    </xf>
    <xf numFmtId="0" fontId="52" fillId="22" borderId="24" applyNumberFormat="0" applyAlignment="0" applyProtection="0"/>
    <xf numFmtId="0" fontId="52" fillId="22" borderId="24" applyNumberFormat="0" applyAlignment="0" applyProtection="0"/>
    <xf numFmtId="0" fontId="52" fillId="22" borderId="24" applyNumberFormat="0" applyAlignment="0" applyProtection="0"/>
    <xf numFmtId="0" fontId="52" fillId="22" borderId="24" applyNumberFormat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169" fontId="53" fillId="36" borderId="0" applyNumberFormat="0" applyBorder="0">
      <alignment horizontal="right"/>
      <protection locked="0"/>
    </xf>
    <xf numFmtId="0" fontId="54" fillId="0" borderId="29" applyNumberFormat="0" applyFill="0" applyAlignment="0" applyProtection="0"/>
    <xf numFmtId="0" fontId="54" fillId="0" borderId="29" applyNumberFormat="0" applyFill="0" applyAlignment="0" applyProtection="0"/>
    <xf numFmtId="0" fontId="54" fillId="0" borderId="29" applyNumberFormat="0" applyFill="0" applyAlignment="0" applyProtection="0"/>
    <xf numFmtId="0" fontId="54" fillId="0" borderId="29" applyNumberFormat="0" applyFill="0" applyAlignment="0" applyProtection="0"/>
    <xf numFmtId="170" fontId="55" fillId="37" borderId="0" applyNumberFormat="0" applyBorder="0">
      <alignment horizontal="right" vertical="center"/>
      <protection locked="0"/>
    </xf>
    <xf numFmtId="171" fontId="55" fillId="38" borderId="0" applyNumberFormat="0" applyBorder="0">
      <alignment horizontal="right" vertical="center"/>
      <protection locked="0"/>
    </xf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56" fillId="7" borderId="0"/>
    <xf numFmtId="0" fontId="57" fillId="39" borderId="0" applyNumberFormat="0" applyBorder="0" applyAlignment="0" applyProtection="0"/>
    <xf numFmtId="0" fontId="57" fillId="39" borderId="0" applyNumberFormat="0" applyBorder="0" applyAlignment="0" applyProtection="0"/>
    <xf numFmtId="0" fontId="57" fillId="39" borderId="0" applyNumberFormat="0" applyBorder="0" applyAlignment="0" applyProtection="0"/>
    <xf numFmtId="0" fontId="57" fillId="39" borderId="0" applyNumberFormat="0" applyBorder="0" applyAlignment="0" applyProtection="0"/>
    <xf numFmtId="0" fontId="56" fillId="7" borderId="0"/>
    <xf numFmtId="0" fontId="56" fillId="7" borderId="0"/>
    <xf numFmtId="172" fontId="58" fillId="0" borderId="0"/>
    <xf numFmtId="0" fontId="3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9" fillId="40" borderId="30" applyNumberFormat="0" applyFont="0" applyAlignment="0" applyProtection="0"/>
    <xf numFmtId="0" fontId="39" fillId="40" borderId="30" applyNumberFormat="0" applyFont="0" applyAlignment="0" applyProtection="0"/>
    <xf numFmtId="0" fontId="39" fillId="40" borderId="30" applyNumberFormat="0" applyFont="0" applyAlignment="0" applyProtection="0"/>
    <xf numFmtId="0" fontId="39" fillId="40" borderId="30" applyNumberFormat="0" applyFont="0" applyAlignment="0" applyProtection="0"/>
    <xf numFmtId="0" fontId="56" fillId="7" borderId="0"/>
    <xf numFmtId="0" fontId="59" fillId="22" borderId="31" applyNumberFormat="0" applyAlignment="0" applyProtection="0"/>
    <xf numFmtId="0" fontId="59" fillId="22" borderId="31" applyNumberFormat="0" applyAlignment="0" applyProtection="0"/>
    <xf numFmtId="0" fontId="59" fillId="22" borderId="31" applyNumberFormat="0" applyAlignment="0" applyProtection="0"/>
    <xf numFmtId="0" fontId="59" fillId="22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3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173" fontId="61" fillId="41" borderId="0" applyNumberFormat="0" applyBorder="0">
      <alignment horizontal="left" vertical="center"/>
      <protection locked="0"/>
    </xf>
    <xf numFmtId="173" fontId="62" fillId="36" borderId="0" applyNumberFormat="0" applyBorder="0">
      <alignment horizontal="left"/>
      <protection locked="0"/>
    </xf>
    <xf numFmtId="0" fontId="63" fillId="0" borderId="32" applyNumberFormat="0" applyFill="0" applyAlignment="0" applyProtection="0"/>
    <xf numFmtId="0" fontId="63" fillId="0" borderId="32" applyNumberFormat="0" applyFill="0" applyAlignment="0" applyProtection="0"/>
    <xf numFmtId="0" fontId="63" fillId="0" borderId="32" applyNumberFormat="0" applyFill="0" applyAlignment="0" applyProtection="0"/>
    <xf numFmtId="0" fontId="63" fillId="0" borderId="32" applyNumberFormat="0" applyFill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174" fontId="67" fillId="0" borderId="0"/>
  </cellStyleXfs>
  <cellXfs count="279">
    <xf numFmtId="0" fontId="0" fillId="0" borderId="0" xfId="0"/>
    <xf numFmtId="0" fontId="2" fillId="0" borderId="0" xfId="1" applyFont="1" applyProtection="1">
      <protection locked="0"/>
    </xf>
    <xf numFmtId="0" fontId="1" fillId="0" borderId="0" xfId="1" applyProtection="1">
      <protection locked="0"/>
    </xf>
    <xf numFmtId="0" fontId="3" fillId="2" borderId="1" xfId="1" applyFont="1" applyFill="1" applyBorder="1" applyAlignment="1" applyProtection="1">
      <alignment horizontal="left"/>
      <protection locked="0"/>
    </xf>
    <xf numFmtId="0" fontId="4" fillId="2" borderId="2" xfId="1" applyFont="1" applyFill="1" applyBorder="1" applyProtection="1">
      <protection locked="0"/>
    </xf>
    <xf numFmtId="0" fontId="5" fillId="3" borderId="3" xfId="1" applyFont="1" applyFill="1" applyBorder="1" applyProtection="1">
      <protection locked="0"/>
    </xf>
    <xf numFmtId="0" fontId="5" fillId="0" borderId="3" xfId="1" applyFont="1" applyBorder="1" applyProtection="1">
      <protection locked="0"/>
    </xf>
    <xf numFmtId="0" fontId="5" fillId="0" borderId="4" xfId="1" applyFont="1" applyBorder="1" applyProtection="1">
      <protection locked="0"/>
    </xf>
    <xf numFmtId="0" fontId="6" fillId="4" borderId="5" xfId="1" applyFont="1" applyFill="1" applyBorder="1" applyAlignment="1">
      <alignment horizontal="center"/>
    </xf>
    <xf numFmtId="0" fontId="1" fillId="5" borderId="5" xfId="1" applyFill="1" applyBorder="1" applyProtection="1">
      <protection locked="0"/>
    </xf>
    <xf numFmtId="0" fontId="1" fillId="2" borderId="5" xfId="1" applyFill="1" applyBorder="1" applyProtection="1">
      <protection locked="0"/>
    </xf>
    <xf numFmtId="0" fontId="1" fillId="6" borderId="5" xfId="1" applyFill="1" applyBorder="1" applyProtection="1">
      <protection locked="0"/>
    </xf>
    <xf numFmtId="0" fontId="7" fillId="0" borderId="0" xfId="2" applyFont="1" applyAlignment="1">
      <alignment horizontal="center" vertical="center"/>
    </xf>
    <xf numFmtId="0" fontId="8" fillId="0" borderId="0" xfId="2" applyFont="1" applyAlignment="1">
      <alignment vertical="center"/>
    </xf>
    <xf numFmtId="0" fontId="9" fillId="0" borderId="0" xfId="2" applyFont="1" applyAlignment="1">
      <alignment vertical="center"/>
    </xf>
    <xf numFmtId="0" fontId="1" fillId="0" borderId="0" xfId="1"/>
    <xf numFmtId="0" fontId="10" fillId="0" borderId="0" xfId="2" applyFont="1" applyAlignment="1">
      <alignment vertical="center"/>
    </xf>
    <xf numFmtId="0" fontId="9" fillId="7" borderId="0" xfId="2" applyFont="1" applyFill="1" applyAlignment="1">
      <alignment vertical="center"/>
    </xf>
    <xf numFmtId="0" fontId="8" fillId="0" borderId="0" xfId="1" applyFont="1" applyAlignment="1">
      <alignment vertical="center"/>
    </xf>
    <xf numFmtId="0" fontId="17" fillId="0" borderId="0" xfId="1" applyFont="1" applyAlignment="1">
      <alignment horizontal="center" vertical="center" wrapText="1"/>
    </xf>
    <xf numFmtId="0" fontId="8" fillId="0" borderId="8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21" fillId="0" borderId="0" xfId="2" applyFont="1" applyAlignment="1">
      <alignment vertical="center"/>
    </xf>
    <xf numFmtId="0" fontId="23" fillId="0" borderId="0" xfId="4" applyFont="1" applyAlignment="1">
      <alignment horizontal="center"/>
    </xf>
    <xf numFmtId="0" fontId="24" fillId="0" borderId="0" xfId="4" applyFont="1" applyAlignment="1">
      <alignment horizontal="center" vertical="center"/>
    </xf>
    <xf numFmtId="0" fontId="25" fillId="0" borderId="0" xfId="2" applyFont="1" applyAlignment="1">
      <alignment vertical="center"/>
    </xf>
    <xf numFmtId="0" fontId="27" fillId="0" borderId="0" xfId="4" applyFont="1" applyAlignment="1">
      <alignment horizontal="center" vertical="center"/>
    </xf>
    <xf numFmtId="0" fontId="8" fillId="0" borderId="13" xfId="2" applyFont="1" applyBorder="1" applyAlignment="1">
      <alignment vertical="center"/>
    </xf>
    <xf numFmtId="165" fontId="28" fillId="0" borderId="0" xfId="3" applyNumberFormat="1" applyFont="1" applyAlignment="1">
      <alignment horizontal="center" vertical="center" wrapText="1"/>
    </xf>
    <xf numFmtId="0" fontId="29" fillId="0" borderId="0" xfId="2" applyFont="1" applyAlignment="1">
      <alignment vertical="center"/>
    </xf>
    <xf numFmtId="0" fontId="8" fillId="0" borderId="0" xfId="3" applyFont="1" applyAlignment="1">
      <alignment horizontal="left" vertical="center"/>
    </xf>
    <xf numFmtId="165" fontId="30" fillId="0" borderId="0" xfId="3" applyNumberFormat="1" applyFont="1" applyAlignment="1">
      <alignment horizontal="center" vertical="center" wrapText="1"/>
    </xf>
    <xf numFmtId="0" fontId="8" fillId="0" borderId="5" xfId="2" applyFont="1" applyBorder="1" applyAlignment="1">
      <alignment vertical="center"/>
    </xf>
    <xf numFmtId="165" fontId="31" fillId="0" borderId="0" xfId="3" applyNumberFormat="1" applyFont="1" applyAlignment="1">
      <alignment horizontal="center" vertical="center" wrapText="1"/>
    </xf>
    <xf numFmtId="0" fontId="16" fillId="0" borderId="8" xfId="2" applyFont="1" applyBorder="1" applyAlignment="1">
      <alignment vertical="center"/>
    </xf>
    <xf numFmtId="0" fontId="16" fillId="0" borderId="9" xfId="2" applyFont="1" applyBorder="1" applyAlignment="1">
      <alignment vertical="center"/>
    </xf>
    <xf numFmtId="165" fontId="32" fillId="0" borderId="0" xfId="3" applyNumberFormat="1" applyFont="1" applyAlignment="1">
      <alignment vertical="center"/>
    </xf>
    <xf numFmtId="0" fontId="8" fillId="0" borderId="0" xfId="3" applyFont="1" applyAlignment="1">
      <alignment horizontal="left" vertical="center" wrapText="1" indent="1"/>
    </xf>
    <xf numFmtId="0" fontId="14" fillId="0" borderId="0" xfId="2" applyFont="1" applyAlignment="1">
      <alignment vertical="center"/>
    </xf>
    <xf numFmtId="0" fontId="22" fillId="0" borderId="0" xfId="2" applyFont="1" applyAlignment="1">
      <alignment vertical="center"/>
    </xf>
    <xf numFmtId="0" fontId="16" fillId="0" borderId="13" xfId="2" applyFont="1" applyBorder="1" applyAlignment="1">
      <alignment vertical="center"/>
    </xf>
    <xf numFmtId="0" fontId="33" fillId="0" borderId="0" xfId="2" applyFont="1" applyAlignment="1">
      <alignment vertical="center"/>
    </xf>
    <xf numFmtId="0" fontId="34" fillId="0" borderId="0" xfId="2" applyFont="1" applyAlignment="1">
      <alignment vertical="center"/>
    </xf>
    <xf numFmtId="9" fontId="7" fillId="0" borderId="0" xfId="3" applyNumberFormat="1" applyFont="1" applyAlignment="1">
      <alignment vertical="center"/>
    </xf>
    <xf numFmtId="0" fontId="8" fillId="0" borderId="0" xfId="1" applyFont="1"/>
    <xf numFmtId="165" fontId="9" fillId="7" borderId="0" xfId="2" applyNumberFormat="1" applyFont="1" applyFill="1" applyAlignment="1">
      <alignment vertical="center"/>
    </xf>
    <xf numFmtId="0" fontId="36" fillId="0" borderId="0" xfId="2" applyFont="1" applyAlignment="1">
      <alignment vertical="center"/>
    </xf>
    <xf numFmtId="0" fontId="10" fillId="0" borderId="0" xfId="2" applyFont="1" applyAlignment="1">
      <alignment horizontal="center" vertical="center"/>
    </xf>
    <xf numFmtId="0" fontId="8" fillId="14" borderId="0" xfId="2" applyFont="1" applyFill="1" applyAlignment="1">
      <alignment horizontal="left" vertical="center"/>
    </xf>
    <xf numFmtId="0" fontId="8" fillId="14" borderId="0" xfId="2" applyFont="1" applyFill="1" applyAlignment="1">
      <alignment vertical="center"/>
    </xf>
    <xf numFmtId="0" fontId="9" fillId="14" borderId="0" xfId="2" applyFont="1" applyFill="1" applyAlignment="1">
      <alignment vertical="center"/>
    </xf>
    <xf numFmtId="0" fontId="16" fillId="0" borderId="0" xfId="2" applyFont="1" applyAlignment="1">
      <alignment vertical="center"/>
    </xf>
    <xf numFmtId="0" fontId="37" fillId="0" borderId="0" xfId="2" applyFont="1" applyAlignment="1">
      <alignment horizontal="right" vertical="center"/>
    </xf>
    <xf numFmtId="0" fontId="38" fillId="0" borderId="0" xfId="2" applyFont="1" applyAlignment="1">
      <alignment vertical="center"/>
    </xf>
    <xf numFmtId="0" fontId="3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0" fontId="15" fillId="0" borderId="5" xfId="2" applyFont="1" applyBorder="1" applyAlignment="1">
      <alignment horizontal="center" vertical="center"/>
    </xf>
    <xf numFmtId="0" fontId="7" fillId="14" borderId="0" xfId="2" applyFont="1" applyFill="1" applyAlignment="1">
      <alignment horizontal="center" vertical="center"/>
    </xf>
    <xf numFmtId="4" fontId="8" fillId="0" borderId="0" xfId="2" applyNumberFormat="1" applyFont="1" applyAlignment="1">
      <alignment vertical="center"/>
    </xf>
    <xf numFmtId="0" fontId="37" fillId="16" borderId="0" xfId="2" applyFont="1" applyFill="1" applyAlignment="1">
      <alignment horizontal="right" vertical="center"/>
    </xf>
    <xf numFmtId="17" fontId="10" fillId="0" borderId="0" xfId="2" quotePrefix="1" applyNumberFormat="1" applyFont="1" applyAlignment="1">
      <alignment vertical="center"/>
    </xf>
    <xf numFmtId="0" fontId="35" fillId="0" borderId="0" xfId="2" applyFont="1" applyAlignment="1">
      <alignment vertical="center"/>
    </xf>
    <xf numFmtId="0" fontId="66" fillId="0" borderId="0" xfId="4" applyFont="1" applyAlignment="1">
      <alignment horizontal="center" vertical="center"/>
    </xf>
    <xf numFmtId="0" fontId="40" fillId="0" borderId="0" xfId="2" applyFont="1" applyAlignment="1">
      <alignment vertical="center"/>
    </xf>
    <xf numFmtId="0" fontId="35" fillId="0" borderId="13" xfId="2" applyFont="1" applyBorder="1" applyAlignment="1">
      <alignment vertical="center"/>
    </xf>
    <xf numFmtId="0" fontId="35" fillId="0" borderId="8" xfId="2" applyFont="1" applyBorder="1" applyAlignment="1">
      <alignment vertical="center"/>
    </xf>
    <xf numFmtId="0" fontId="70" fillId="0" borderId="0" xfId="2" applyFont="1" applyAlignment="1">
      <alignment vertical="center"/>
    </xf>
    <xf numFmtId="0" fontId="71" fillId="0" borderId="0" xfId="2" applyFont="1" applyAlignment="1">
      <alignment horizontal="center" vertical="center"/>
    </xf>
    <xf numFmtId="0" fontId="69" fillId="0" borderId="0" xfId="1" applyFont="1" applyAlignment="1">
      <alignment horizontal="center"/>
    </xf>
    <xf numFmtId="0" fontId="72" fillId="0" borderId="0" xfId="1" applyFont="1" applyAlignment="1">
      <alignment horizontal="right"/>
    </xf>
    <xf numFmtId="0" fontId="70" fillId="5" borderId="5" xfId="1" applyFont="1" applyFill="1" applyBorder="1"/>
    <xf numFmtId="0" fontId="70" fillId="2" borderId="5" xfId="1" applyFont="1" applyFill="1" applyBorder="1" applyProtection="1">
      <protection locked="0"/>
    </xf>
    <xf numFmtId="0" fontId="73" fillId="0" borderId="0" xfId="2" applyFont="1" applyAlignment="1">
      <alignment vertical="center"/>
    </xf>
    <xf numFmtId="0" fontId="70" fillId="0" borderId="0" xfId="2" applyFont="1" applyAlignment="1">
      <alignment horizontal="left" vertical="center"/>
    </xf>
    <xf numFmtId="0" fontId="72" fillId="0" borderId="0" xfId="0" applyFont="1" applyAlignment="1">
      <alignment horizontal="right"/>
    </xf>
    <xf numFmtId="0" fontId="65" fillId="0" borderId="0" xfId="0" applyFont="1"/>
    <xf numFmtId="0" fontId="65" fillId="0" borderId="6" xfId="0" applyFont="1" applyBorder="1"/>
    <xf numFmtId="0" fontId="71" fillId="0" borderId="0" xfId="2" applyFont="1" applyAlignment="1">
      <alignment vertical="center"/>
    </xf>
    <xf numFmtId="0" fontId="70" fillId="0" borderId="0" xfId="3" applyFont="1" applyAlignment="1">
      <alignment vertical="center"/>
    </xf>
    <xf numFmtId="0" fontId="74" fillId="0" borderId="0" xfId="2" applyFont="1" applyAlignment="1">
      <alignment vertical="center"/>
    </xf>
    <xf numFmtId="0" fontId="69" fillId="4" borderId="5" xfId="0" applyFont="1" applyFill="1" applyBorder="1" applyAlignment="1">
      <alignment horizontal="center"/>
    </xf>
    <xf numFmtId="0" fontId="75" fillId="0" borderId="0" xfId="3" applyFont="1" applyAlignment="1">
      <alignment horizontal="right" vertical="center"/>
    </xf>
    <xf numFmtId="164" fontId="75" fillId="0" borderId="0" xfId="3" applyNumberFormat="1" applyFont="1" applyAlignment="1">
      <alignment horizontal="right" vertical="center"/>
    </xf>
    <xf numFmtId="2" fontId="76" fillId="0" borderId="0" xfId="3" applyNumberFormat="1" applyFont="1" applyAlignment="1">
      <alignment vertical="center"/>
    </xf>
    <xf numFmtId="0" fontId="77" fillId="0" borderId="0" xfId="2" applyFont="1" applyAlignment="1">
      <alignment horizontal="left" vertical="center"/>
    </xf>
    <xf numFmtId="0" fontId="70" fillId="0" borderId="0" xfId="1" applyFont="1" applyAlignment="1">
      <alignment vertical="center"/>
    </xf>
    <xf numFmtId="0" fontId="70" fillId="0" borderId="0" xfId="1" applyFont="1" applyAlignment="1">
      <alignment horizontal="left" indent="1"/>
    </xf>
    <xf numFmtId="0" fontId="70" fillId="0" borderId="0" xfId="1" applyFont="1"/>
    <xf numFmtId="0" fontId="78" fillId="9" borderId="0" xfId="1" applyFont="1" applyFill="1" applyAlignment="1">
      <alignment horizontal="left" vertical="center"/>
    </xf>
    <xf numFmtId="0" fontId="79" fillId="0" borderId="0" xfId="2" applyFont="1" applyAlignment="1">
      <alignment horizontal="center" vertical="center"/>
    </xf>
    <xf numFmtId="0" fontId="80" fillId="0" borderId="0" xfId="4" applyFont="1" applyAlignment="1">
      <alignment horizontal="center" vertical="center" wrapText="1"/>
    </xf>
    <xf numFmtId="0" fontId="72" fillId="0" borderId="0" xfId="1" applyFont="1" applyAlignment="1">
      <alignment horizontal="left"/>
    </xf>
    <xf numFmtId="0" fontId="70" fillId="0" borderId="0" xfId="1" applyFont="1" applyAlignment="1">
      <alignment vertical="center" wrapText="1"/>
    </xf>
    <xf numFmtId="0" fontId="81" fillId="0" borderId="0" xfId="1" applyFont="1" applyAlignment="1">
      <alignment horizontal="center" vertical="center" wrapText="1"/>
    </xf>
    <xf numFmtId="0" fontId="82" fillId="0" borderId="0" xfId="1" applyFont="1" applyAlignment="1">
      <alignment horizontal="center" vertical="center" wrapText="1"/>
    </xf>
    <xf numFmtId="0" fontId="83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84" fillId="0" borderId="0" xfId="3" applyFont="1" applyAlignment="1">
      <alignment horizontal="left" vertical="center"/>
    </xf>
    <xf numFmtId="164" fontId="83" fillId="0" borderId="0" xfId="2" applyNumberFormat="1" applyFont="1" applyAlignment="1">
      <alignment horizontal="right" vertical="center" indent="1"/>
    </xf>
    <xf numFmtId="0" fontId="71" fillId="0" borderId="0" xfId="3" applyFont="1" applyAlignment="1">
      <alignment horizontal="left" vertical="center"/>
    </xf>
    <xf numFmtId="0" fontId="86" fillId="0" borderId="7" xfId="4" applyFont="1" applyBorder="1" applyAlignment="1">
      <alignment horizontal="center"/>
    </xf>
    <xf numFmtId="164" fontId="87" fillId="0" borderId="0" xfId="2" applyNumberFormat="1" applyFont="1" applyAlignment="1">
      <alignment horizontal="right" vertical="center" indent="1"/>
    </xf>
    <xf numFmtId="0" fontId="86" fillId="0" borderId="0" xfId="4" applyFont="1" applyAlignment="1">
      <alignment horizontal="center"/>
    </xf>
    <xf numFmtId="164" fontId="87" fillId="0" borderId="0" xfId="3" applyNumberFormat="1" applyFont="1" applyAlignment="1">
      <alignment horizontal="right" vertical="center" wrapText="1" indent="1"/>
    </xf>
    <xf numFmtId="165" fontId="87" fillId="0" borderId="0" xfId="3" applyNumberFormat="1" applyFont="1" applyAlignment="1">
      <alignment horizontal="right" vertical="center" wrapText="1" indent="1"/>
    </xf>
    <xf numFmtId="0" fontId="88" fillId="0" borderId="0" xfId="2" applyFont="1" applyAlignment="1">
      <alignment vertical="center"/>
    </xf>
    <xf numFmtId="0" fontId="88" fillId="0" borderId="0" xfId="2" applyFont="1" applyAlignment="1">
      <alignment horizontal="left" vertical="center"/>
    </xf>
    <xf numFmtId="0" fontId="89" fillId="0" borderId="0" xfId="2" applyFont="1" applyAlignment="1">
      <alignment horizontal="center" vertical="center"/>
    </xf>
    <xf numFmtId="0" fontId="89" fillId="0" borderId="0" xfId="3" applyFont="1" applyAlignment="1">
      <alignment horizontal="left" vertical="center"/>
    </xf>
    <xf numFmtId="0" fontId="90" fillId="0" borderId="0" xfId="4" applyFont="1" applyAlignment="1">
      <alignment horizontal="center"/>
    </xf>
    <xf numFmtId="164" fontId="88" fillId="0" borderId="0" xfId="3" applyNumberFormat="1" applyFont="1" applyAlignment="1">
      <alignment horizontal="right" vertical="center" wrapText="1" indent="1"/>
    </xf>
    <xf numFmtId="164" fontId="88" fillId="0" borderId="0" xfId="2" applyNumberFormat="1" applyFont="1" applyAlignment="1">
      <alignment horizontal="right" vertical="center" indent="1"/>
    </xf>
    <xf numFmtId="165" fontId="88" fillId="0" borderId="0" xfId="3" applyNumberFormat="1" applyFont="1" applyAlignment="1">
      <alignment horizontal="right" vertical="center" wrapText="1" indent="1"/>
    </xf>
    <xf numFmtId="0" fontId="91" fillId="0" borderId="0" xfId="3" applyFont="1" applyAlignment="1">
      <alignment horizontal="center" vertical="center" textRotation="90"/>
    </xf>
    <xf numFmtId="0" fontId="86" fillId="0" borderId="14" xfId="4" applyFont="1" applyBorder="1" applyAlignment="1">
      <alignment horizontal="center"/>
    </xf>
    <xf numFmtId="0" fontId="92" fillId="0" borderId="0" xfId="2" applyFont="1" applyAlignment="1">
      <alignment vertical="center"/>
    </xf>
    <xf numFmtId="0" fontId="93" fillId="0" borderId="0" xfId="3" applyFont="1" applyAlignment="1">
      <alignment horizontal="center" vertical="center" textRotation="90"/>
    </xf>
    <xf numFmtId="0" fontId="95" fillId="0" borderId="0" xfId="4" applyFont="1" applyAlignment="1">
      <alignment horizontal="center"/>
    </xf>
    <xf numFmtId="0" fontId="70" fillId="0" borderId="0" xfId="3" applyFont="1" applyAlignment="1">
      <alignment horizontal="left" vertical="center"/>
    </xf>
    <xf numFmtId="164" fontId="70" fillId="0" borderId="0" xfId="3" applyNumberFormat="1" applyFont="1" applyAlignment="1">
      <alignment horizontal="left" vertical="center"/>
    </xf>
    <xf numFmtId="165" fontId="70" fillId="0" borderId="0" xfId="3" applyNumberFormat="1" applyFont="1" applyAlignment="1">
      <alignment horizontal="left" vertical="center"/>
    </xf>
    <xf numFmtId="0" fontId="96" fillId="0" borderId="0" xfId="3" applyFont="1" applyAlignment="1">
      <alignment horizontal="center" vertical="center" textRotation="90"/>
    </xf>
    <xf numFmtId="0" fontId="86" fillId="0" borderId="15" xfId="4" applyFont="1" applyBorder="1" applyAlignment="1">
      <alignment horizontal="center"/>
    </xf>
    <xf numFmtId="165" fontId="87" fillId="0" borderId="0" xfId="3" applyNumberFormat="1" applyFont="1" applyAlignment="1">
      <alignment horizontal="right" vertical="center" indent="1"/>
    </xf>
    <xf numFmtId="0" fontId="70" fillId="0" borderId="0" xfId="3" applyFont="1" applyAlignment="1">
      <alignment horizontal="left" vertical="center" wrapText="1" indent="1"/>
    </xf>
    <xf numFmtId="164" fontId="74" fillId="0" borderId="0" xfId="2" applyNumberFormat="1" applyFont="1" applyAlignment="1">
      <alignment vertical="center"/>
    </xf>
    <xf numFmtId="165" fontId="74" fillId="0" borderId="0" xfId="2" applyNumberFormat="1" applyFont="1" applyAlignment="1">
      <alignment vertical="center"/>
    </xf>
    <xf numFmtId="0" fontId="84" fillId="0" borderId="0" xfId="2" applyFont="1" applyAlignment="1">
      <alignment vertical="center"/>
    </xf>
    <xf numFmtId="0" fontId="98" fillId="0" borderId="0" xfId="3" applyFont="1" applyAlignment="1">
      <alignment horizontal="left" vertical="center"/>
    </xf>
    <xf numFmtId="165" fontId="98" fillId="0" borderId="0" xfId="3" applyNumberFormat="1" applyFont="1" applyAlignment="1">
      <alignment horizontal="right" vertical="center"/>
    </xf>
    <xf numFmtId="166" fontId="70" fillId="0" borderId="0" xfId="3" applyNumberFormat="1" applyFont="1" applyAlignment="1">
      <alignment horizontal="left" vertical="center" wrapText="1" indent="1"/>
    </xf>
    <xf numFmtId="165" fontId="70" fillId="0" borderId="0" xfId="3" applyNumberFormat="1" applyFont="1" applyAlignment="1">
      <alignment horizontal="left" vertical="center" wrapText="1" indent="1"/>
    </xf>
    <xf numFmtId="164" fontId="70" fillId="0" borderId="0" xfId="3" applyNumberFormat="1" applyFont="1" applyAlignment="1">
      <alignment horizontal="left" vertical="center" wrapText="1" indent="1"/>
    </xf>
    <xf numFmtId="0" fontId="79" fillId="0" borderId="0" xfId="3" applyFont="1" applyAlignment="1">
      <alignment horizontal="center" vertical="center"/>
    </xf>
    <xf numFmtId="0" fontId="88" fillId="0" borderId="0" xfId="3" applyFont="1" applyAlignment="1">
      <alignment horizontal="left" vertical="center"/>
    </xf>
    <xf numFmtId="9" fontId="88" fillId="0" borderId="0" xfId="3" applyNumberFormat="1" applyFont="1" applyAlignment="1">
      <alignment horizontal="right" vertical="center" indent="1"/>
    </xf>
    <xf numFmtId="0" fontId="74" fillId="7" borderId="0" xfId="1" applyFont="1" applyFill="1"/>
    <xf numFmtId="0" fontId="70" fillId="0" borderId="0" xfId="3" applyFont="1" applyAlignment="1">
      <alignment horizontal="right" indent="1"/>
    </xf>
    <xf numFmtId="0" fontId="70" fillId="0" borderId="0" xfId="2" applyFont="1" applyAlignment="1">
      <alignment horizontal="right" vertical="center" indent="1"/>
    </xf>
    <xf numFmtId="0" fontId="74" fillId="0" borderId="0" xfId="2" applyFont="1" applyAlignment="1">
      <alignment horizontal="right" vertical="center" indent="1"/>
    </xf>
    <xf numFmtId="0" fontId="73" fillId="0" borderId="0" xfId="2" applyFont="1" applyAlignment="1">
      <alignment horizontal="right" vertical="center" indent="1"/>
    </xf>
    <xf numFmtId="0" fontId="70" fillId="7" borderId="0" xfId="1" applyFont="1" applyFill="1"/>
    <xf numFmtId="9" fontId="88" fillId="0" borderId="0" xfId="3" applyNumberFormat="1" applyFont="1" applyAlignment="1">
      <alignment vertical="center"/>
    </xf>
    <xf numFmtId="0" fontId="70" fillId="14" borderId="0" xfId="2" applyFont="1" applyFill="1" applyAlignment="1">
      <alignment horizontal="left" vertical="center"/>
    </xf>
    <xf numFmtId="0" fontId="70" fillId="14" borderId="0" xfId="2" applyFont="1" applyFill="1" applyAlignment="1">
      <alignment vertical="center"/>
    </xf>
    <xf numFmtId="0" fontId="73" fillId="14" borderId="0" xfId="2" applyFont="1" applyFill="1" applyAlignment="1">
      <alignment vertical="center"/>
    </xf>
    <xf numFmtId="0" fontId="73" fillId="7" borderId="0" xfId="2" applyFont="1" applyFill="1" applyAlignment="1">
      <alignment vertical="center"/>
    </xf>
    <xf numFmtId="0" fontId="99" fillId="0" borderId="0" xfId="1" applyFont="1" applyAlignment="1">
      <alignment horizontal="center" vertical="center" wrapText="1"/>
    </xf>
    <xf numFmtId="0" fontId="74" fillId="14" borderId="0" xfId="2" applyFont="1" applyFill="1" applyAlignment="1">
      <alignment vertical="center"/>
    </xf>
    <xf numFmtId="0" fontId="20" fillId="0" borderId="0" xfId="3" applyFont="1" applyAlignment="1">
      <alignment horizontal="left" vertical="center"/>
    </xf>
    <xf numFmtId="0" fontId="19" fillId="0" borderId="0" xfId="2" applyFont="1" applyAlignment="1">
      <alignment vertical="center"/>
    </xf>
    <xf numFmtId="0" fontId="20" fillId="0" borderId="0" xfId="3" applyFont="1" applyAlignment="1">
      <alignment horizontal="left" vertical="center" wrapText="1" indent="1"/>
    </xf>
    <xf numFmtId="0" fontId="100" fillId="0" borderId="0" xfId="1" applyFont="1"/>
    <xf numFmtId="0" fontId="19" fillId="7" borderId="0" xfId="2" applyFont="1" applyFill="1" applyAlignment="1">
      <alignment vertical="center"/>
    </xf>
    <xf numFmtId="0" fontId="20" fillId="0" borderId="0" xfId="1" applyFont="1" applyAlignment="1">
      <alignment vertical="center"/>
    </xf>
    <xf numFmtId="165" fontId="19" fillId="7" borderId="0" xfId="2" applyNumberFormat="1" applyFont="1" applyFill="1" applyAlignment="1">
      <alignment vertical="center"/>
    </xf>
    <xf numFmtId="0" fontId="20" fillId="0" borderId="0" xfId="1" applyFont="1"/>
    <xf numFmtId="0" fontId="19" fillId="14" borderId="0" xfId="2" applyFont="1" applyFill="1" applyAlignment="1">
      <alignment vertical="center"/>
    </xf>
    <xf numFmtId="0" fontId="11" fillId="0" borderId="0" xfId="2" applyFont="1" applyAlignment="1">
      <alignment horizontal="center" vertical="center"/>
    </xf>
    <xf numFmtId="0" fontId="20" fillId="0" borderId="12" xfId="3" applyFont="1" applyBorder="1" applyAlignment="1">
      <alignment horizontal="left" vertical="center"/>
    </xf>
    <xf numFmtId="0" fontId="20" fillId="0" borderId="12" xfId="3" applyFont="1" applyBorder="1" applyAlignment="1">
      <alignment horizontal="left" vertical="center" wrapText="1" indent="1"/>
    </xf>
    <xf numFmtId="0" fontId="97" fillId="0" borderId="0" xfId="4" applyFont="1" applyAlignment="1">
      <alignment horizontal="center"/>
    </xf>
    <xf numFmtId="0" fontId="68" fillId="42" borderId="0" xfId="233" applyNumberFormat="1" applyFont="1" applyFill="1" applyAlignment="1">
      <alignment horizontal="left" vertical="center"/>
    </xf>
    <xf numFmtId="0" fontId="101" fillId="0" borderId="0" xfId="4" applyFont="1" applyAlignment="1">
      <alignment horizontal="center"/>
    </xf>
    <xf numFmtId="164" fontId="83" fillId="11" borderId="10" xfId="1" applyNumberFormat="1" applyFont="1" applyFill="1" applyBorder="1" applyAlignment="1">
      <alignment horizontal="right" vertical="center" wrapText="1" indent="1"/>
    </xf>
    <xf numFmtId="165" fontId="83" fillId="11" borderId="10" xfId="1" applyNumberFormat="1" applyFont="1" applyFill="1" applyBorder="1" applyAlignment="1">
      <alignment horizontal="right" vertical="center" wrapText="1" indent="1"/>
    </xf>
    <xf numFmtId="0" fontId="102" fillId="12" borderId="11" xfId="4" applyFont="1" applyFill="1" applyBorder="1" applyAlignment="1">
      <alignment horizontal="center" vertical="center"/>
    </xf>
    <xf numFmtId="164" fontId="87" fillId="10" borderId="0" xfId="3" applyNumberFormat="1" applyFont="1" applyFill="1" applyAlignment="1">
      <alignment horizontal="right" vertical="center" wrapText="1" indent="1"/>
    </xf>
    <xf numFmtId="165" fontId="87" fillId="10" borderId="0" xfId="3" applyNumberFormat="1" applyFont="1" applyFill="1" applyAlignment="1">
      <alignment horizontal="right" vertical="center" wrapText="1" indent="1"/>
    </xf>
    <xf numFmtId="0" fontId="102" fillId="12" borderId="0" xfId="4" applyFont="1" applyFill="1" applyAlignment="1">
      <alignment horizontal="center" vertical="center"/>
    </xf>
    <xf numFmtId="165" fontId="87" fillId="10" borderId="0" xfId="3" applyNumberFormat="1" applyFont="1" applyFill="1" applyAlignment="1">
      <alignment horizontal="right" vertical="center" indent="1"/>
    </xf>
    <xf numFmtId="0" fontId="102" fillId="13" borderId="12" xfId="4" applyFont="1" applyFill="1" applyBorder="1" applyAlignment="1">
      <alignment horizontal="center" vertical="center"/>
    </xf>
    <xf numFmtId="0" fontId="102" fillId="0" borderId="0" xfId="4" applyFont="1" applyAlignment="1">
      <alignment horizontal="center" vertical="center"/>
    </xf>
    <xf numFmtId="0" fontId="102" fillId="0" borderId="12" xfId="4" applyFont="1" applyBorder="1" applyAlignment="1">
      <alignment horizontal="center" vertical="center"/>
    </xf>
    <xf numFmtId="0" fontId="102" fillId="13" borderId="0" xfId="4" applyFont="1" applyFill="1" applyAlignment="1">
      <alignment horizontal="center" vertical="center"/>
    </xf>
    <xf numFmtId="164" fontId="94" fillId="10" borderId="0" xfId="3" applyNumberFormat="1" applyFont="1" applyFill="1" applyAlignment="1">
      <alignment horizontal="right" vertical="center" wrapText="1" indent="1"/>
    </xf>
    <xf numFmtId="164" fontId="94" fillId="0" borderId="0" xfId="2" applyNumberFormat="1" applyFont="1" applyAlignment="1">
      <alignment horizontal="right" vertical="center" indent="1"/>
    </xf>
    <xf numFmtId="165" fontId="94" fillId="10" borderId="0" xfId="3" applyNumberFormat="1" applyFont="1" applyFill="1" applyAlignment="1">
      <alignment horizontal="right" vertical="center" wrapText="1" indent="1"/>
    </xf>
    <xf numFmtId="164" fontId="103" fillId="10" borderId="0" xfId="3" applyNumberFormat="1" applyFont="1" applyFill="1" applyAlignment="1">
      <alignment horizontal="right" vertical="center" wrapText="1" indent="1"/>
    </xf>
    <xf numFmtId="0" fontId="104" fillId="0" borderId="0" xfId="4" applyFont="1" applyAlignment="1">
      <alignment horizontal="center"/>
    </xf>
    <xf numFmtId="164" fontId="94" fillId="0" borderId="0" xfId="3" applyNumberFormat="1" applyFont="1" applyAlignment="1">
      <alignment horizontal="right" vertical="center" wrapText="1" indent="1"/>
    </xf>
    <xf numFmtId="165" fontId="94" fillId="0" borderId="0" xfId="3" applyNumberFormat="1" applyFont="1" applyAlignment="1">
      <alignment horizontal="right" vertical="center" wrapText="1" indent="1"/>
    </xf>
    <xf numFmtId="164" fontId="103" fillId="0" borderId="0" xfId="3" applyNumberFormat="1" applyFont="1" applyAlignment="1">
      <alignment horizontal="right" vertical="center" wrapText="1" indent="1"/>
    </xf>
    <xf numFmtId="164" fontId="83" fillId="11" borderId="33" xfId="3" applyNumberFormat="1" applyFont="1" applyFill="1" applyBorder="1" applyAlignment="1">
      <alignment horizontal="right" vertical="center" indent="1"/>
    </xf>
    <xf numFmtId="165" fontId="83" fillId="11" borderId="33" xfId="3" applyNumberFormat="1" applyFont="1" applyFill="1" applyBorder="1" applyAlignment="1">
      <alignment horizontal="right" vertical="center" indent="1"/>
    </xf>
    <xf numFmtId="0" fontId="105" fillId="0" borderId="0" xfId="4" applyFont="1" applyAlignment="1">
      <alignment horizontal="center"/>
    </xf>
    <xf numFmtId="165" fontId="98" fillId="0" borderId="0" xfId="3" applyNumberFormat="1" applyFont="1" applyAlignment="1">
      <alignment horizontal="right" vertical="center" indent="1"/>
    </xf>
    <xf numFmtId="0" fontId="94" fillId="0" borderId="0" xfId="2" applyFont="1" applyAlignment="1">
      <alignment horizontal="right" vertical="center" indent="1"/>
    </xf>
    <xf numFmtId="166" fontId="98" fillId="0" borderId="0" xfId="3" applyNumberFormat="1" applyFont="1" applyAlignment="1">
      <alignment horizontal="right" vertical="center" indent="1"/>
    </xf>
    <xf numFmtId="0" fontId="106" fillId="0" borderId="0" xfId="4" applyFont="1" applyAlignment="1">
      <alignment horizontal="center"/>
    </xf>
    <xf numFmtId="0" fontId="107" fillId="0" borderId="12" xfId="4" applyFont="1" applyBorder="1" applyAlignment="1">
      <alignment horizontal="center"/>
    </xf>
    <xf numFmtId="164" fontId="83" fillId="11" borderId="0" xfId="1" applyNumberFormat="1" applyFont="1" applyFill="1" applyAlignment="1">
      <alignment horizontal="right" vertical="center" wrapText="1" indent="1"/>
    </xf>
    <xf numFmtId="165" fontId="83" fillId="11" borderId="0" xfId="1" applyNumberFormat="1" applyFont="1" applyFill="1" applyAlignment="1">
      <alignment horizontal="right" vertical="center" wrapText="1" indent="1"/>
    </xf>
    <xf numFmtId="164" fontId="83" fillId="11" borderId="0" xfId="3" applyNumberFormat="1" applyFont="1" applyFill="1" applyAlignment="1">
      <alignment horizontal="right" vertical="center" indent="1"/>
    </xf>
    <xf numFmtId="165" fontId="83" fillId="11" borderId="0" xfId="3" applyNumberFormat="1" applyFont="1" applyFill="1" applyAlignment="1">
      <alignment horizontal="right" vertical="center" indent="1"/>
    </xf>
    <xf numFmtId="0" fontId="102" fillId="11" borderId="0" xfId="4" applyFont="1" applyFill="1" applyAlignment="1">
      <alignment horizontal="center" vertical="center"/>
    </xf>
    <xf numFmtId="0" fontId="108" fillId="0" borderId="0" xfId="4" applyFont="1" applyAlignment="1">
      <alignment horizontal="center"/>
    </xf>
    <xf numFmtId="166" fontId="87" fillId="0" borderId="0" xfId="3" applyNumberFormat="1" applyFont="1" applyAlignment="1">
      <alignment horizontal="right" vertical="center" indent="1"/>
    </xf>
    <xf numFmtId="0" fontId="109" fillId="0" borderId="0" xfId="4" applyFont="1" applyAlignment="1">
      <alignment horizontal="center"/>
    </xf>
    <xf numFmtId="3" fontId="70" fillId="0" borderId="0" xfId="3" applyNumberFormat="1" applyFont="1" applyAlignment="1">
      <alignment horizontal="right" vertical="center" indent="1"/>
    </xf>
    <xf numFmtId="9" fontId="70" fillId="0" borderId="0" xfId="3" applyNumberFormat="1" applyFont="1" applyAlignment="1">
      <alignment horizontal="right" vertical="center" indent="1"/>
    </xf>
    <xf numFmtId="0" fontId="110" fillId="0" borderId="0" xfId="4" applyFont="1" applyAlignment="1">
      <alignment horizontal="center"/>
    </xf>
    <xf numFmtId="0" fontId="107" fillId="0" borderId="0" xfId="4" applyFont="1" applyAlignment="1">
      <alignment horizontal="center"/>
    </xf>
    <xf numFmtId="3" fontId="70" fillId="0" borderId="0" xfId="3" applyNumberFormat="1" applyFont="1" applyAlignment="1">
      <alignment vertical="center"/>
    </xf>
    <xf numFmtId="9" fontId="70" fillId="0" borderId="0" xfId="3" applyNumberFormat="1" applyFont="1" applyAlignment="1">
      <alignment vertical="center"/>
    </xf>
    <xf numFmtId="9" fontId="20" fillId="0" borderId="0" xfId="3" applyNumberFormat="1" applyFont="1" applyAlignment="1">
      <alignment vertical="center"/>
    </xf>
    <xf numFmtId="0" fontId="82" fillId="0" borderId="0" xfId="3" applyFont="1"/>
    <xf numFmtId="0" fontId="70" fillId="0" borderId="0" xfId="3" applyFont="1"/>
    <xf numFmtId="0" fontId="70" fillId="14" borderId="0" xfId="2" applyFont="1" applyFill="1" applyAlignment="1">
      <alignment horizontal="center" vertical="center"/>
    </xf>
    <xf numFmtId="0" fontId="70" fillId="0" borderId="0" xfId="2" applyFont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11" fillId="0" borderId="0" xfId="2" applyFont="1" applyAlignment="1">
      <alignment vertical="center"/>
    </xf>
    <xf numFmtId="0" fontId="69" fillId="0" borderId="0" xfId="1" applyFont="1" applyAlignment="1">
      <alignment vertical="center" wrapText="1"/>
    </xf>
    <xf numFmtId="0" fontId="13" fillId="0" borderId="0" xfId="1" applyFont="1"/>
    <xf numFmtId="0" fontId="70" fillId="0" borderId="0" xfId="2" applyFont="1" applyAlignment="1">
      <alignment vertical="center" wrapText="1"/>
    </xf>
    <xf numFmtId="0" fontId="71" fillId="0" borderId="0" xfId="2" applyFont="1" applyAlignment="1">
      <alignment horizontal="center" vertical="center" wrapText="1"/>
    </xf>
    <xf numFmtId="0" fontId="72" fillId="0" borderId="0" xfId="1" applyFont="1" applyAlignment="1">
      <alignment horizontal="left" wrapText="1"/>
    </xf>
    <xf numFmtId="0" fontId="79" fillId="0" borderId="0" xfId="2" applyFont="1" applyAlignment="1">
      <alignment horizontal="center" vertical="center" wrapText="1"/>
    </xf>
    <xf numFmtId="0" fontId="68" fillId="42" borderId="0" xfId="233" applyNumberFormat="1" applyFont="1" applyFill="1" applyAlignment="1">
      <alignment horizontal="center" vertical="center" wrapText="1"/>
    </xf>
    <xf numFmtId="0" fontId="68" fillId="43" borderId="0" xfId="233" applyNumberFormat="1" applyFont="1" applyFill="1" applyAlignment="1">
      <alignment horizontal="center" vertical="center" wrapText="1"/>
    </xf>
    <xf numFmtId="0" fontId="10" fillId="0" borderId="0" xfId="2" applyFont="1" applyAlignment="1">
      <alignment vertical="center" wrapText="1"/>
    </xf>
    <xf numFmtId="0" fontId="8" fillId="0" borderId="9" xfId="2" applyFont="1" applyBorder="1" applyAlignment="1">
      <alignment vertical="center" wrapText="1"/>
    </xf>
    <xf numFmtId="0" fontId="8" fillId="0" borderId="0" xfId="2" applyFont="1" applyAlignment="1">
      <alignment vertical="center" wrapText="1"/>
    </xf>
    <xf numFmtId="0" fontId="113" fillId="0" borderId="0" xfId="2" applyFont="1" applyAlignment="1">
      <alignment vertical="center" wrapText="1"/>
    </xf>
    <xf numFmtId="0" fontId="68" fillId="0" borderId="0" xfId="233" applyNumberFormat="1" applyFont="1" applyAlignment="1">
      <alignment horizontal="right" vertical="center" wrapText="1"/>
    </xf>
    <xf numFmtId="0" fontId="112" fillId="0" borderId="0" xfId="2" applyFont="1" applyAlignment="1">
      <alignment vertical="center"/>
    </xf>
    <xf numFmtId="0" fontId="69" fillId="0" borderId="0" xfId="2" applyFont="1" applyAlignment="1">
      <alignment horizontal="center" vertical="center"/>
    </xf>
    <xf numFmtId="0" fontId="112" fillId="43" borderId="0" xfId="1" applyFont="1" applyFill="1" applyAlignment="1">
      <alignment horizontal="left" vertical="center"/>
    </xf>
    <xf numFmtId="0" fontId="112" fillId="0" borderId="0" xfId="1" applyFont="1" applyAlignment="1">
      <alignment horizontal="left" indent="1"/>
    </xf>
    <xf numFmtId="0" fontId="112" fillId="0" borderId="0" xfId="1" applyFont="1"/>
    <xf numFmtId="0" fontId="114" fillId="7" borderId="0" xfId="2" applyFont="1" applyFill="1" applyAlignment="1">
      <alignment vertical="center"/>
    </xf>
    <xf numFmtId="0" fontId="111" fillId="7" borderId="0" xfId="2" applyFont="1" applyFill="1" applyAlignment="1">
      <alignment vertical="center"/>
    </xf>
    <xf numFmtId="0" fontId="114" fillId="0" borderId="0" xfId="2" applyFont="1" applyAlignment="1">
      <alignment vertical="center"/>
    </xf>
    <xf numFmtId="0" fontId="115" fillId="0" borderId="0" xfId="2" applyFont="1" applyAlignment="1">
      <alignment vertical="center"/>
    </xf>
    <xf numFmtId="0" fontId="116" fillId="0" borderId="0" xfId="2" applyFont="1" applyAlignment="1">
      <alignment horizontal="center" vertical="center"/>
    </xf>
    <xf numFmtId="0" fontId="117" fillId="0" borderId="0" xfId="2" applyFont="1" applyAlignment="1">
      <alignment vertical="center"/>
    </xf>
    <xf numFmtId="164" fontId="118" fillId="0" borderId="0" xfId="2" applyNumberFormat="1" applyFont="1" applyAlignment="1">
      <alignment horizontal="left" vertical="center"/>
    </xf>
    <xf numFmtId="0" fontId="119" fillId="0" borderId="0" xfId="1" applyFont="1" applyAlignment="1">
      <alignment horizontal="center" vertical="center" wrapText="1"/>
    </xf>
    <xf numFmtId="0" fontId="18" fillId="6" borderId="5" xfId="2" applyFont="1" applyFill="1" applyBorder="1" applyAlignment="1">
      <alignment horizontal="center" vertical="center"/>
    </xf>
    <xf numFmtId="0" fontId="120" fillId="0" borderId="0" xfId="2" applyFont="1" applyAlignment="1">
      <alignment vertical="center"/>
    </xf>
    <xf numFmtId="0" fontId="113" fillId="0" borderId="7" xfId="4" applyFont="1" applyBorder="1" applyAlignment="1">
      <alignment horizontal="center" vertical="center" wrapText="1"/>
    </xf>
    <xf numFmtId="0" fontId="34" fillId="0" borderId="8" xfId="2" applyFont="1" applyBorder="1" applyAlignment="1">
      <alignment vertical="center"/>
    </xf>
    <xf numFmtId="0" fontId="112" fillId="0" borderId="0" xfId="2" applyFont="1" applyAlignment="1">
      <alignment vertical="center" wrapText="1"/>
    </xf>
    <xf numFmtId="0" fontId="69" fillId="0" borderId="0" xfId="2" applyFont="1" applyAlignment="1">
      <alignment horizontal="center" vertical="center" wrapText="1"/>
    </xf>
    <xf numFmtId="0" fontId="116" fillId="0" borderId="0" xfId="2" applyFont="1" applyAlignment="1">
      <alignment horizontal="center" vertical="center" wrapText="1"/>
    </xf>
    <xf numFmtId="0" fontId="112" fillId="43" borderId="0" xfId="4" applyFont="1" applyFill="1" applyAlignment="1">
      <alignment horizontal="left" vertical="center" wrapText="1"/>
    </xf>
    <xf numFmtId="0" fontId="113" fillId="0" borderId="0" xfId="4" applyFont="1" applyAlignment="1">
      <alignment horizontal="center" vertical="center" wrapText="1"/>
    </xf>
    <xf numFmtId="0" fontId="114" fillId="0" borderId="0" xfId="2" applyFont="1" applyAlignment="1">
      <alignment vertical="center" wrapText="1"/>
    </xf>
    <xf numFmtId="0" fontId="34" fillId="0" borderId="9" xfId="2" applyFont="1" applyBorder="1" applyAlignment="1">
      <alignment vertical="center" wrapText="1"/>
    </xf>
    <xf numFmtId="0" fontId="34" fillId="0" borderId="0" xfId="2" applyFont="1" applyAlignment="1">
      <alignment vertical="center" wrapText="1"/>
    </xf>
    <xf numFmtId="0" fontId="34" fillId="0" borderId="0" xfId="2" quotePrefix="1" applyFont="1" applyAlignment="1">
      <alignment vertical="center"/>
    </xf>
    <xf numFmtId="0" fontId="68" fillId="42" borderId="0" xfId="233" applyNumberFormat="1" applyFont="1" applyFill="1" applyAlignment="1" applyProtection="1">
      <alignment horizontal="left" vertical="center" wrapText="1"/>
      <protection locked="0"/>
    </xf>
    <xf numFmtId="0" fontId="121" fillId="11" borderId="0" xfId="4" applyFont="1" applyFill="1" applyAlignment="1">
      <alignment horizontal="center" vertical="center"/>
    </xf>
    <xf numFmtId="0" fontId="4" fillId="2" borderId="1" xfId="1" applyFont="1" applyFill="1" applyBorder="1" applyAlignment="1" applyProtection="1">
      <alignment horizontal="left" vertical="center"/>
      <protection locked="0"/>
    </xf>
    <xf numFmtId="0" fontId="87" fillId="0" borderId="0" xfId="3" applyFont="1" applyAlignment="1">
      <alignment horizontal="left" vertical="center" wrapText="1" indent="1"/>
    </xf>
    <xf numFmtId="0" fontId="88" fillId="0" borderId="0" xfId="3" applyFont="1" applyAlignment="1">
      <alignment horizontal="left" vertical="center" wrapText="1" indent="1"/>
    </xf>
    <xf numFmtId="0" fontId="83" fillId="11" borderId="10" xfId="1" applyFont="1" applyFill="1" applyBorder="1" applyAlignment="1">
      <alignment horizontal="left" vertical="center"/>
    </xf>
    <xf numFmtId="0" fontId="85" fillId="10" borderId="0" xfId="3" applyFont="1" applyFill="1" applyAlignment="1">
      <alignment horizontal="left" vertical="center"/>
    </xf>
    <xf numFmtId="0" fontId="94" fillId="0" borderId="0" xfId="3" applyFont="1" applyAlignment="1">
      <alignment horizontal="left" vertical="center"/>
    </xf>
    <xf numFmtId="0" fontId="26" fillId="15" borderId="19" xfId="2" applyFont="1" applyFill="1" applyBorder="1" applyAlignment="1" applyProtection="1">
      <alignment horizontal="left" vertical="center"/>
      <protection locked="0"/>
    </xf>
    <xf numFmtId="0" fontId="26" fillId="15" borderId="0" xfId="2" applyFont="1" applyFill="1" applyAlignment="1" applyProtection="1">
      <alignment horizontal="left" vertical="center"/>
      <protection locked="0"/>
    </xf>
    <xf numFmtId="0" fontId="26" fillId="15" borderId="20" xfId="2" applyFont="1" applyFill="1" applyBorder="1" applyAlignment="1" applyProtection="1">
      <alignment horizontal="left" vertical="center"/>
      <protection locked="0"/>
    </xf>
    <xf numFmtId="0" fontId="26" fillId="15" borderId="21" xfId="2" applyFont="1" applyFill="1" applyBorder="1" applyAlignment="1" applyProtection="1">
      <alignment horizontal="left" vertical="center"/>
      <protection locked="0"/>
    </xf>
    <xf numFmtId="0" fontId="26" fillId="15" borderId="22" xfId="2" applyFont="1" applyFill="1" applyBorder="1" applyAlignment="1" applyProtection="1">
      <alignment horizontal="left" vertical="center"/>
      <protection locked="0"/>
    </xf>
    <xf numFmtId="0" fontId="26" fillId="15" borderId="23" xfId="2" applyFont="1" applyFill="1" applyBorder="1" applyAlignment="1" applyProtection="1">
      <alignment horizontal="left" vertical="center"/>
      <protection locked="0"/>
    </xf>
    <xf numFmtId="0" fontId="87" fillId="0" borderId="0" xfId="3" applyFont="1" applyAlignment="1">
      <alignment horizontal="left" vertical="center"/>
    </xf>
    <xf numFmtId="0" fontId="83" fillId="11" borderId="0" xfId="3" applyFont="1" applyFill="1" applyAlignment="1">
      <alignment horizontal="left" vertical="center"/>
    </xf>
    <xf numFmtId="0" fontId="26" fillId="15" borderId="16" xfId="2" applyFont="1" applyFill="1" applyBorder="1" applyAlignment="1" applyProtection="1">
      <alignment horizontal="left" vertical="center"/>
      <protection locked="0"/>
    </xf>
    <xf numFmtId="0" fontId="26" fillId="15" borderId="17" xfId="2" applyFont="1" applyFill="1" applyBorder="1" applyAlignment="1" applyProtection="1">
      <alignment horizontal="left" vertical="center"/>
      <protection locked="0"/>
    </xf>
    <xf numFmtId="0" fontId="26" fillId="15" borderId="18" xfId="2" applyFont="1" applyFill="1" applyBorder="1" applyAlignment="1" applyProtection="1">
      <alignment horizontal="left" vertical="center"/>
      <protection locked="0"/>
    </xf>
    <xf numFmtId="0" fontId="83" fillId="11" borderId="33" xfId="3" applyFont="1" applyFill="1" applyBorder="1" applyAlignment="1">
      <alignment horizontal="left" vertical="center"/>
    </xf>
    <xf numFmtId="0" fontId="83" fillId="11" borderId="0" xfId="1" applyFont="1" applyFill="1" applyAlignment="1">
      <alignment horizontal="left" vertical="center"/>
    </xf>
    <xf numFmtId="0" fontId="94" fillId="10" borderId="0" xfId="3" applyFont="1" applyFill="1" applyAlignment="1">
      <alignment horizontal="left" vertical="center"/>
    </xf>
    <xf numFmtId="0" fontId="12" fillId="8" borderId="0" xfId="1" applyFont="1" applyFill="1" applyAlignment="1">
      <alignment horizontal="center" vertical="center"/>
    </xf>
    <xf numFmtId="0" fontId="68" fillId="43" borderId="34" xfId="233" applyNumberFormat="1" applyFont="1" applyFill="1" applyBorder="1" applyAlignment="1">
      <alignment horizontal="center" vertical="center" wrapText="1"/>
    </xf>
    <xf numFmtId="0" fontId="68" fillId="43" borderId="35" xfId="233" applyNumberFormat="1" applyFont="1" applyFill="1" applyBorder="1" applyAlignment="1">
      <alignment horizontal="center" vertical="center" wrapText="1"/>
    </xf>
    <xf numFmtId="0" fontId="68" fillId="43" borderId="36" xfId="233" applyNumberFormat="1" applyFont="1" applyFill="1" applyBorder="1" applyAlignment="1">
      <alignment horizontal="center" vertical="center" wrapText="1"/>
    </xf>
    <xf numFmtId="0" fontId="68" fillId="43" borderId="37" xfId="233" applyNumberFormat="1" applyFont="1" applyFill="1" applyBorder="1" applyAlignment="1">
      <alignment horizontal="center" vertical="center" wrapText="1"/>
    </xf>
  </cellXfs>
  <cellStyles count="234">
    <cellStyle name="20% - Accent1 2" xfId="5" xr:uid="{00000000-0005-0000-0000-000000000000}"/>
    <cellStyle name="20% - Accent1 3" xfId="6" xr:uid="{00000000-0005-0000-0000-000001000000}"/>
    <cellStyle name="20% - Accent1 4" xfId="7" xr:uid="{00000000-0005-0000-0000-000002000000}"/>
    <cellStyle name="20% - Accent1 5" xfId="8" xr:uid="{00000000-0005-0000-0000-000003000000}"/>
    <cellStyle name="20% - Accent2 2" xfId="9" xr:uid="{00000000-0005-0000-0000-000004000000}"/>
    <cellStyle name="20% - Accent2 3" xfId="10" xr:uid="{00000000-0005-0000-0000-000005000000}"/>
    <cellStyle name="20% - Accent2 4" xfId="11" xr:uid="{00000000-0005-0000-0000-000006000000}"/>
    <cellStyle name="20% - Accent2 5" xfId="12" xr:uid="{00000000-0005-0000-0000-000007000000}"/>
    <cellStyle name="20% - Accent3 2" xfId="13" xr:uid="{00000000-0005-0000-0000-000008000000}"/>
    <cellStyle name="20% - Accent3 3" xfId="14" xr:uid="{00000000-0005-0000-0000-000009000000}"/>
    <cellStyle name="20% - Accent3 4" xfId="15" xr:uid="{00000000-0005-0000-0000-00000A000000}"/>
    <cellStyle name="20% - Accent3 5" xfId="16" xr:uid="{00000000-0005-0000-0000-00000B000000}"/>
    <cellStyle name="20% - Accent4 2" xfId="17" xr:uid="{00000000-0005-0000-0000-00000C000000}"/>
    <cellStyle name="20% - Accent4 3" xfId="18" xr:uid="{00000000-0005-0000-0000-00000D000000}"/>
    <cellStyle name="20% - Accent4 4" xfId="19" xr:uid="{00000000-0005-0000-0000-00000E000000}"/>
    <cellStyle name="20% - Accent4 5" xfId="20" xr:uid="{00000000-0005-0000-0000-00000F000000}"/>
    <cellStyle name="20% - Accent5 2" xfId="21" xr:uid="{00000000-0005-0000-0000-000010000000}"/>
    <cellStyle name="20% - Accent5 3" xfId="22" xr:uid="{00000000-0005-0000-0000-000011000000}"/>
    <cellStyle name="20% - Accent5 4" xfId="23" xr:uid="{00000000-0005-0000-0000-000012000000}"/>
    <cellStyle name="20% - Accent5 5" xfId="24" xr:uid="{00000000-0005-0000-0000-000013000000}"/>
    <cellStyle name="20% - Accent6 2" xfId="25" xr:uid="{00000000-0005-0000-0000-000014000000}"/>
    <cellStyle name="20% - Accent6 3" xfId="26" xr:uid="{00000000-0005-0000-0000-000015000000}"/>
    <cellStyle name="20% - Accent6 4" xfId="27" xr:uid="{00000000-0005-0000-0000-000016000000}"/>
    <cellStyle name="20% - Accent6 5" xfId="28" xr:uid="{00000000-0005-0000-0000-000017000000}"/>
    <cellStyle name="40% - Accent1 2" xfId="29" xr:uid="{00000000-0005-0000-0000-000018000000}"/>
    <cellStyle name="40% - Accent1 3" xfId="30" xr:uid="{00000000-0005-0000-0000-000019000000}"/>
    <cellStyle name="40% - Accent1 4" xfId="31" xr:uid="{00000000-0005-0000-0000-00001A000000}"/>
    <cellStyle name="40% - Accent1 5" xfId="32" xr:uid="{00000000-0005-0000-0000-00001B000000}"/>
    <cellStyle name="40% - Accent2 2" xfId="33" xr:uid="{00000000-0005-0000-0000-00001C000000}"/>
    <cellStyle name="40% - Accent2 3" xfId="34" xr:uid="{00000000-0005-0000-0000-00001D000000}"/>
    <cellStyle name="40% - Accent2 4" xfId="35" xr:uid="{00000000-0005-0000-0000-00001E000000}"/>
    <cellStyle name="40% - Accent2 5" xfId="36" xr:uid="{00000000-0005-0000-0000-00001F000000}"/>
    <cellStyle name="40% - Accent3 2" xfId="37" xr:uid="{00000000-0005-0000-0000-000020000000}"/>
    <cellStyle name="40% - Accent3 3" xfId="38" xr:uid="{00000000-0005-0000-0000-000021000000}"/>
    <cellStyle name="40% - Accent3 4" xfId="39" xr:uid="{00000000-0005-0000-0000-000022000000}"/>
    <cellStyle name="40% - Accent3 5" xfId="40" xr:uid="{00000000-0005-0000-0000-000023000000}"/>
    <cellStyle name="40% - Accent4 2" xfId="41" xr:uid="{00000000-0005-0000-0000-000024000000}"/>
    <cellStyle name="40% - Accent4 3" xfId="42" xr:uid="{00000000-0005-0000-0000-000025000000}"/>
    <cellStyle name="40% - Accent4 4" xfId="43" xr:uid="{00000000-0005-0000-0000-000026000000}"/>
    <cellStyle name="40% - Accent4 5" xfId="44" xr:uid="{00000000-0005-0000-0000-000027000000}"/>
    <cellStyle name="40% - Accent5 2" xfId="45" xr:uid="{00000000-0005-0000-0000-000028000000}"/>
    <cellStyle name="40% - Accent5 3" xfId="46" xr:uid="{00000000-0005-0000-0000-000029000000}"/>
    <cellStyle name="40% - Accent5 4" xfId="47" xr:uid="{00000000-0005-0000-0000-00002A000000}"/>
    <cellStyle name="40% - Accent5 5" xfId="48" xr:uid="{00000000-0005-0000-0000-00002B000000}"/>
    <cellStyle name="40% - Accent6 2" xfId="49" xr:uid="{00000000-0005-0000-0000-00002C000000}"/>
    <cellStyle name="40% - Accent6 3" xfId="50" xr:uid="{00000000-0005-0000-0000-00002D000000}"/>
    <cellStyle name="40% - Accent6 4" xfId="51" xr:uid="{00000000-0005-0000-0000-00002E000000}"/>
    <cellStyle name="40% - Accent6 5" xfId="52" xr:uid="{00000000-0005-0000-0000-00002F000000}"/>
    <cellStyle name="60% - Accent1 2" xfId="53" xr:uid="{00000000-0005-0000-0000-000030000000}"/>
    <cellStyle name="60% - Accent1 3" xfId="54" xr:uid="{00000000-0005-0000-0000-000031000000}"/>
    <cellStyle name="60% - Accent1 4" xfId="55" xr:uid="{00000000-0005-0000-0000-000032000000}"/>
    <cellStyle name="60% - Accent1 5" xfId="56" xr:uid="{00000000-0005-0000-0000-000033000000}"/>
    <cellStyle name="60% - Accent2 2" xfId="57" xr:uid="{00000000-0005-0000-0000-000034000000}"/>
    <cellStyle name="60% - Accent2 3" xfId="58" xr:uid="{00000000-0005-0000-0000-000035000000}"/>
    <cellStyle name="60% - Accent2 4" xfId="59" xr:uid="{00000000-0005-0000-0000-000036000000}"/>
    <cellStyle name="60% - Accent2 5" xfId="60" xr:uid="{00000000-0005-0000-0000-000037000000}"/>
    <cellStyle name="60% - Accent3 2" xfId="61" xr:uid="{00000000-0005-0000-0000-000038000000}"/>
    <cellStyle name="60% - Accent3 3" xfId="62" xr:uid="{00000000-0005-0000-0000-000039000000}"/>
    <cellStyle name="60% - Accent3 4" xfId="63" xr:uid="{00000000-0005-0000-0000-00003A000000}"/>
    <cellStyle name="60% - Accent3 5" xfId="64" xr:uid="{00000000-0005-0000-0000-00003B000000}"/>
    <cellStyle name="60% - Accent4 2" xfId="65" xr:uid="{00000000-0005-0000-0000-00003C000000}"/>
    <cellStyle name="60% - Accent4 3" xfId="66" xr:uid="{00000000-0005-0000-0000-00003D000000}"/>
    <cellStyle name="60% - Accent4 4" xfId="67" xr:uid="{00000000-0005-0000-0000-00003E000000}"/>
    <cellStyle name="60% - Accent4 5" xfId="68" xr:uid="{00000000-0005-0000-0000-00003F000000}"/>
    <cellStyle name="60% - Accent5 2" xfId="69" xr:uid="{00000000-0005-0000-0000-000040000000}"/>
    <cellStyle name="60% - Accent5 3" xfId="70" xr:uid="{00000000-0005-0000-0000-000041000000}"/>
    <cellStyle name="60% - Accent5 4" xfId="71" xr:uid="{00000000-0005-0000-0000-000042000000}"/>
    <cellStyle name="60% - Accent5 5" xfId="72" xr:uid="{00000000-0005-0000-0000-000043000000}"/>
    <cellStyle name="60% - Accent6 2" xfId="73" xr:uid="{00000000-0005-0000-0000-000044000000}"/>
    <cellStyle name="60% - Accent6 3" xfId="74" xr:uid="{00000000-0005-0000-0000-000045000000}"/>
    <cellStyle name="60% - Accent6 4" xfId="75" xr:uid="{00000000-0005-0000-0000-000046000000}"/>
    <cellStyle name="60% - Accent6 5" xfId="76" xr:uid="{00000000-0005-0000-0000-000047000000}"/>
    <cellStyle name="Accent1 2" xfId="77" xr:uid="{00000000-0005-0000-0000-000048000000}"/>
    <cellStyle name="Accent1 3" xfId="78" xr:uid="{00000000-0005-0000-0000-000049000000}"/>
    <cellStyle name="Accent1 4" xfId="79" xr:uid="{00000000-0005-0000-0000-00004A000000}"/>
    <cellStyle name="Accent1 5" xfId="80" xr:uid="{00000000-0005-0000-0000-00004B000000}"/>
    <cellStyle name="Accent2 2" xfId="81" xr:uid="{00000000-0005-0000-0000-00004C000000}"/>
    <cellStyle name="Accent2 3" xfId="82" xr:uid="{00000000-0005-0000-0000-00004D000000}"/>
    <cellStyle name="Accent2 4" xfId="83" xr:uid="{00000000-0005-0000-0000-00004E000000}"/>
    <cellStyle name="Accent2 5" xfId="84" xr:uid="{00000000-0005-0000-0000-00004F000000}"/>
    <cellStyle name="Accent3 2" xfId="85" xr:uid="{00000000-0005-0000-0000-000050000000}"/>
    <cellStyle name="Accent3 3" xfId="86" xr:uid="{00000000-0005-0000-0000-000051000000}"/>
    <cellStyle name="Accent3 4" xfId="87" xr:uid="{00000000-0005-0000-0000-000052000000}"/>
    <cellStyle name="Accent3 5" xfId="88" xr:uid="{00000000-0005-0000-0000-000053000000}"/>
    <cellStyle name="Accent4 2" xfId="89" xr:uid="{00000000-0005-0000-0000-000054000000}"/>
    <cellStyle name="Accent4 3" xfId="90" xr:uid="{00000000-0005-0000-0000-000055000000}"/>
    <cellStyle name="Accent4 4" xfId="91" xr:uid="{00000000-0005-0000-0000-000056000000}"/>
    <cellStyle name="Accent4 5" xfId="92" xr:uid="{00000000-0005-0000-0000-000057000000}"/>
    <cellStyle name="Accent5 2" xfId="93" xr:uid="{00000000-0005-0000-0000-000058000000}"/>
    <cellStyle name="Accent5 3" xfId="94" xr:uid="{00000000-0005-0000-0000-000059000000}"/>
    <cellStyle name="Accent5 4" xfId="95" xr:uid="{00000000-0005-0000-0000-00005A000000}"/>
    <cellStyle name="Accent5 5" xfId="96" xr:uid="{00000000-0005-0000-0000-00005B000000}"/>
    <cellStyle name="Accent6 2" xfId="97" xr:uid="{00000000-0005-0000-0000-00005C000000}"/>
    <cellStyle name="Accent6 3" xfId="98" xr:uid="{00000000-0005-0000-0000-00005D000000}"/>
    <cellStyle name="Accent6 4" xfId="99" xr:uid="{00000000-0005-0000-0000-00005E000000}"/>
    <cellStyle name="Accent6 5" xfId="100" xr:uid="{00000000-0005-0000-0000-00005F000000}"/>
    <cellStyle name="Bad 2" xfId="101" xr:uid="{00000000-0005-0000-0000-000060000000}"/>
    <cellStyle name="Bad 3" xfId="102" xr:uid="{00000000-0005-0000-0000-000061000000}"/>
    <cellStyle name="Bad 4" xfId="103" xr:uid="{00000000-0005-0000-0000-000062000000}"/>
    <cellStyle name="Bad 5" xfId="104" xr:uid="{00000000-0005-0000-0000-000063000000}"/>
    <cellStyle name="Calculation 2" xfId="105" xr:uid="{00000000-0005-0000-0000-000064000000}"/>
    <cellStyle name="Calculation 3" xfId="106" xr:uid="{00000000-0005-0000-0000-000065000000}"/>
    <cellStyle name="Calculation 4" xfId="107" xr:uid="{00000000-0005-0000-0000-000066000000}"/>
    <cellStyle name="Calculation 5" xfId="108" xr:uid="{00000000-0005-0000-0000-000067000000}"/>
    <cellStyle name="Check Cell 2" xfId="109" xr:uid="{00000000-0005-0000-0000-000068000000}"/>
    <cellStyle name="Check Cell 3" xfId="110" xr:uid="{00000000-0005-0000-0000-000069000000}"/>
    <cellStyle name="Check Cell 4" xfId="111" xr:uid="{00000000-0005-0000-0000-00006A000000}"/>
    <cellStyle name="Check Cell 5" xfId="112" xr:uid="{00000000-0005-0000-0000-00006B000000}"/>
    <cellStyle name="ColumnHeading" xfId="113" xr:uid="{00000000-0005-0000-0000-00006C000000}"/>
    <cellStyle name="Comma 2" xfId="114" xr:uid="{00000000-0005-0000-0000-00006D000000}"/>
    <cellStyle name="Comma 3" xfId="115" xr:uid="{00000000-0005-0000-0000-00006E000000}"/>
    <cellStyle name="Comma 4" xfId="116" xr:uid="{00000000-0005-0000-0000-00006F000000}"/>
    <cellStyle name="Comma 5" xfId="117" xr:uid="{00000000-0005-0000-0000-000070000000}"/>
    <cellStyle name="Comma 6" xfId="118" xr:uid="{00000000-0005-0000-0000-000071000000}"/>
    <cellStyle name="Comma 7" xfId="119" xr:uid="{00000000-0005-0000-0000-000072000000}"/>
    <cellStyle name="Comma 8" xfId="120" xr:uid="{00000000-0005-0000-0000-000073000000}"/>
    <cellStyle name="Euro" xfId="121" xr:uid="{00000000-0005-0000-0000-000074000000}"/>
    <cellStyle name="Explanatory Text 2" xfId="122" xr:uid="{00000000-0005-0000-0000-000075000000}"/>
    <cellStyle name="Explanatory Text 3" xfId="123" xr:uid="{00000000-0005-0000-0000-000076000000}"/>
    <cellStyle name="Explanatory Text 4" xfId="124" xr:uid="{00000000-0005-0000-0000-000077000000}"/>
    <cellStyle name="Explanatory Text 5" xfId="125" xr:uid="{00000000-0005-0000-0000-000078000000}"/>
    <cellStyle name="Good 2" xfId="126" xr:uid="{00000000-0005-0000-0000-000079000000}"/>
    <cellStyle name="Good 3" xfId="127" xr:uid="{00000000-0005-0000-0000-00007A000000}"/>
    <cellStyle name="Good 4" xfId="128" xr:uid="{00000000-0005-0000-0000-00007B000000}"/>
    <cellStyle name="Good 5" xfId="129" xr:uid="{00000000-0005-0000-0000-00007C000000}"/>
    <cellStyle name="Heading 1 2" xfId="130" xr:uid="{00000000-0005-0000-0000-00007D000000}"/>
    <cellStyle name="Heading 1 3" xfId="131" xr:uid="{00000000-0005-0000-0000-00007E000000}"/>
    <cellStyle name="Heading 1 4" xfId="132" xr:uid="{00000000-0005-0000-0000-00007F000000}"/>
    <cellStyle name="Heading 1 5" xfId="133" xr:uid="{00000000-0005-0000-0000-000080000000}"/>
    <cellStyle name="Heading 2 2" xfId="134" xr:uid="{00000000-0005-0000-0000-000081000000}"/>
    <cellStyle name="Heading 2 3" xfId="135" xr:uid="{00000000-0005-0000-0000-000082000000}"/>
    <cellStyle name="Heading 2 4" xfId="136" xr:uid="{00000000-0005-0000-0000-000083000000}"/>
    <cellStyle name="Heading 2 5" xfId="137" xr:uid="{00000000-0005-0000-0000-000084000000}"/>
    <cellStyle name="Heading 3 2" xfId="138" xr:uid="{00000000-0005-0000-0000-000085000000}"/>
    <cellStyle name="Heading 3 3" xfId="139" xr:uid="{00000000-0005-0000-0000-000086000000}"/>
    <cellStyle name="Heading 3 4" xfId="140" xr:uid="{00000000-0005-0000-0000-000087000000}"/>
    <cellStyle name="Heading 3 5" xfId="141" xr:uid="{00000000-0005-0000-0000-000088000000}"/>
    <cellStyle name="Heading 4 2" xfId="142" xr:uid="{00000000-0005-0000-0000-000089000000}"/>
    <cellStyle name="Heading 4 3" xfId="143" xr:uid="{00000000-0005-0000-0000-00008A000000}"/>
    <cellStyle name="Heading 4 4" xfId="144" xr:uid="{00000000-0005-0000-0000-00008B000000}"/>
    <cellStyle name="Heading 4 5" xfId="145" xr:uid="{00000000-0005-0000-0000-00008C000000}"/>
    <cellStyle name="Hyperlink 2" xfId="146" xr:uid="{00000000-0005-0000-0000-00008D000000}"/>
    <cellStyle name="Hyperlink 3" xfId="147" xr:uid="{00000000-0005-0000-0000-00008E000000}"/>
    <cellStyle name="Input 2" xfId="148" xr:uid="{00000000-0005-0000-0000-00008F000000}"/>
    <cellStyle name="Input 3" xfId="149" xr:uid="{00000000-0005-0000-0000-000090000000}"/>
    <cellStyle name="Input 4" xfId="150" xr:uid="{00000000-0005-0000-0000-000091000000}"/>
    <cellStyle name="Input 5" xfId="151" xr:uid="{00000000-0005-0000-0000-000092000000}"/>
    <cellStyle name="Lien hypertexte 3" xfId="152" xr:uid="{00000000-0005-0000-0000-000093000000}"/>
    <cellStyle name="Ligne détail" xfId="153" xr:uid="{00000000-0005-0000-0000-000094000000}"/>
    <cellStyle name="Linked Cell 2" xfId="154" xr:uid="{00000000-0005-0000-0000-000095000000}"/>
    <cellStyle name="Linked Cell 3" xfId="155" xr:uid="{00000000-0005-0000-0000-000096000000}"/>
    <cellStyle name="Linked Cell 4" xfId="156" xr:uid="{00000000-0005-0000-0000-000097000000}"/>
    <cellStyle name="Linked Cell 5" xfId="157" xr:uid="{00000000-0005-0000-0000-000098000000}"/>
    <cellStyle name="MEV4" xfId="158" xr:uid="{00000000-0005-0000-0000-000099000000}"/>
    <cellStyle name="MEV5" xfId="159" xr:uid="{00000000-0005-0000-0000-00009A000000}"/>
    <cellStyle name="Milliers 2" xfId="160" xr:uid="{00000000-0005-0000-0000-00009B000000}"/>
    <cellStyle name="Milliers 3" xfId="161" xr:uid="{00000000-0005-0000-0000-00009C000000}"/>
    <cellStyle name="Milliers 4" xfId="162" xr:uid="{00000000-0005-0000-0000-00009D000000}"/>
    <cellStyle name="N?rmal_la?oux_larou?" xfId="163" xr:uid="{00000000-0005-0000-0000-00009E000000}"/>
    <cellStyle name="Neutral 2" xfId="164" xr:uid="{00000000-0005-0000-0000-00009F000000}"/>
    <cellStyle name="Neutral 3" xfId="165" xr:uid="{00000000-0005-0000-0000-0000A0000000}"/>
    <cellStyle name="Neutral 4" xfId="166" xr:uid="{00000000-0005-0000-0000-0000A1000000}"/>
    <cellStyle name="Neutral 5" xfId="167" xr:uid="{00000000-0005-0000-0000-0000A2000000}"/>
    <cellStyle name="Norma?_On Hol?" xfId="168" xr:uid="{00000000-0005-0000-0000-0000A3000000}"/>
    <cellStyle name="Normaᷬ_On Holᷤ" xfId="169" xr:uid="{00000000-0005-0000-0000-0000A4000000}"/>
    <cellStyle name="Normal" xfId="0" builtinId="0"/>
    <cellStyle name="Normal - Style1" xfId="170" xr:uid="{00000000-0005-0000-0000-0000A6000000}"/>
    <cellStyle name="Normal 10" xfId="4" xr:uid="{00000000-0005-0000-0000-0000A7000000}"/>
    <cellStyle name="Normal 11" xfId="171" xr:uid="{00000000-0005-0000-0000-0000A8000000}"/>
    <cellStyle name="Normal 2" xfId="1" xr:uid="{00000000-0005-0000-0000-0000A9000000}"/>
    <cellStyle name="Normal 2 2" xfId="172" xr:uid="{00000000-0005-0000-0000-0000AA000000}"/>
    <cellStyle name="Normal 2 3" xfId="173" xr:uid="{00000000-0005-0000-0000-0000AB000000}"/>
    <cellStyle name="Normal 2 4" xfId="174" xr:uid="{00000000-0005-0000-0000-0000AC000000}"/>
    <cellStyle name="Normal 2 5" xfId="175" xr:uid="{00000000-0005-0000-0000-0000AD000000}"/>
    <cellStyle name="Normal 2_CRD hybride yc EMB" xfId="176" xr:uid="{00000000-0005-0000-0000-0000AE000000}"/>
    <cellStyle name="Normal 3" xfId="177" xr:uid="{00000000-0005-0000-0000-0000AF000000}"/>
    <cellStyle name="Normal 3 2" xfId="2" xr:uid="{00000000-0005-0000-0000-0000B0000000}"/>
    <cellStyle name="Normal 3 3" xfId="178" xr:uid="{00000000-0005-0000-0000-0000B1000000}"/>
    <cellStyle name="Normal 3 4" xfId="179" xr:uid="{00000000-0005-0000-0000-0000B2000000}"/>
    <cellStyle name="Normal 3 5" xfId="180" xr:uid="{00000000-0005-0000-0000-0000B3000000}"/>
    <cellStyle name="Normal 3 6" xfId="181" xr:uid="{00000000-0005-0000-0000-0000B4000000}"/>
    <cellStyle name="Normal 3_0. Investissement" xfId="182" xr:uid="{00000000-0005-0000-0000-0000B5000000}"/>
    <cellStyle name="Normal 4" xfId="183" xr:uid="{00000000-0005-0000-0000-0000B6000000}"/>
    <cellStyle name="Normal 5" xfId="184" xr:uid="{00000000-0005-0000-0000-0000B7000000}"/>
    <cellStyle name="Normal 6" xfId="185" xr:uid="{00000000-0005-0000-0000-0000B8000000}"/>
    <cellStyle name="Normal 6 2" xfId="186" xr:uid="{00000000-0005-0000-0000-0000B9000000}"/>
    <cellStyle name="Normal 6 3" xfId="187" xr:uid="{00000000-0005-0000-0000-0000BA000000}"/>
    <cellStyle name="Normal 6 4" xfId="188" xr:uid="{00000000-0005-0000-0000-0000BB000000}"/>
    <cellStyle name="Normal 6 5" xfId="189" xr:uid="{00000000-0005-0000-0000-0000BC000000}"/>
    <cellStyle name="Normal 6_0. Investissement" xfId="190" xr:uid="{00000000-0005-0000-0000-0000BD000000}"/>
    <cellStyle name="Normal 7" xfId="191" xr:uid="{00000000-0005-0000-0000-0000BE000000}"/>
    <cellStyle name="Normal 8" xfId="192" xr:uid="{00000000-0005-0000-0000-0000BF000000}"/>
    <cellStyle name="Normal 9" xfId="193" xr:uid="{00000000-0005-0000-0000-0000C0000000}"/>
    <cellStyle name="Normal_Copie de CRD_CRC_domaine TER_ergo" xfId="3" xr:uid="{00000000-0005-0000-0000-0000C1000000}"/>
    <cellStyle name="Normal_EBIT_EBITDA  groupe Actual 2003.12" xfId="233" xr:uid="{00000000-0005-0000-0000-0000C2000000}"/>
    <cellStyle name="Note 2" xfId="194" xr:uid="{00000000-0005-0000-0000-0000C3000000}"/>
    <cellStyle name="Note 3" xfId="195" xr:uid="{00000000-0005-0000-0000-0000C4000000}"/>
    <cellStyle name="Note 4" xfId="196" xr:uid="{00000000-0005-0000-0000-0000C5000000}"/>
    <cellStyle name="Note 5" xfId="197" xr:uid="{00000000-0005-0000-0000-0000C6000000}"/>
    <cellStyle name="N䃯rmal_la䇲oux_larou᷸" xfId="198" xr:uid="{00000000-0005-0000-0000-0000C7000000}"/>
    <cellStyle name="Output 2" xfId="199" xr:uid="{00000000-0005-0000-0000-0000C8000000}"/>
    <cellStyle name="Output 3" xfId="200" xr:uid="{00000000-0005-0000-0000-0000C9000000}"/>
    <cellStyle name="Output 4" xfId="201" xr:uid="{00000000-0005-0000-0000-0000CA000000}"/>
    <cellStyle name="Output 5" xfId="202" xr:uid="{00000000-0005-0000-0000-0000CB000000}"/>
    <cellStyle name="Percent 10" xfId="203" xr:uid="{00000000-0005-0000-0000-0000CC000000}"/>
    <cellStyle name="Percent 2" xfId="204" xr:uid="{00000000-0005-0000-0000-0000CD000000}"/>
    <cellStyle name="Percent 2 2" xfId="205" xr:uid="{00000000-0005-0000-0000-0000CE000000}"/>
    <cellStyle name="Percent 3" xfId="206" xr:uid="{00000000-0005-0000-0000-0000CF000000}"/>
    <cellStyle name="Percent 4" xfId="207" xr:uid="{00000000-0005-0000-0000-0000D0000000}"/>
    <cellStyle name="Percent 5" xfId="208" xr:uid="{00000000-0005-0000-0000-0000D1000000}"/>
    <cellStyle name="Percent 5 2" xfId="209" xr:uid="{00000000-0005-0000-0000-0000D2000000}"/>
    <cellStyle name="Percent 5 3" xfId="210" xr:uid="{00000000-0005-0000-0000-0000D3000000}"/>
    <cellStyle name="Percent 5 4" xfId="211" xr:uid="{00000000-0005-0000-0000-0000D4000000}"/>
    <cellStyle name="Percent 5 5" xfId="212" xr:uid="{00000000-0005-0000-0000-0000D5000000}"/>
    <cellStyle name="Percent 6" xfId="213" xr:uid="{00000000-0005-0000-0000-0000D6000000}"/>
    <cellStyle name="Percent 7" xfId="214" xr:uid="{00000000-0005-0000-0000-0000D7000000}"/>
    <cellStyle name="Percent 8" xfId="215" xr:uid="{00000000-0005-0000-0000-0000D8000000}"/>
    <cellStyle name="Percent 9" xfId="216" xr:uid="{00000000-0005-0000-0000-0000D9000000}"/>
    <cellStyle name="Pourcentage 2" xfId="217" xr:uid="{00000000-0005-0000-0000-0000DA000000}"/>
    <cellStyle name="Pourcentage 3" xfId="218" xr:uid="{00000000-0005-0000-0000-0000DB000000}"/>
    <cellStyle name="Title 2" xfId="219" xr:uid="{00000000-0005-0000-0000-0000DC000000}"/>
    <cellStyle name="Title 3" xfId="220" xr:uid="{00000000-0005-0000-0000-0000DD000000}"/>
    <cellStyle name="Title 4" xfId="221" xr:uid="{00000000-0005-0000-0000-0000DE000000}"/>
    <cellStyle name="Title 5" xfId="222" xr:uid="{00000000-0005-0000-0000-0000DF000000}"/>
    <cellStyle name="Titre colonnes" xfId="223" xr:uid="{00000000-0005-0000-0000-0000E0000000}"/>
    <cellStyle name="Titre lignes" xfId="224" xr:uid="{00000000-0005-0000-0000-0000E1000000}"/>
    <cellStyle name="Total 2" xfId="225" xr:uid="{00000000-0005-0000-0000-0000E2000000}"/>
    <cellStyle name="Total 3" xfId="226" xr:uid="{00000000-0005-0000-0000-0000E3000000}"/>
    <cellStyle name="Total 4" xfId="227" xr:uid="{00000000-0005-0000-0000-0000E4000000}"/>
    <cellStyle name="Total 5" xfId="228" xr:uid="{00000000-0005-0000-0000-0000E5000000}"/>
    <cellStyle name="Warning Text 2" xfId="229" xr:uid="{00000000-0005-0000-0000-0000E6000000}"/>
    <cellStyle name="Warning Text 3" xfId="230" xr:uid="{00000000-0005-0000-0000-0000E7000000}"/>
    <cellStyle name="Warning Text 4" xfId="231" xr:uid="{00000000-0005-0000-0000-0000E8000000}"/>
    <cellStyle name="Warning Text 5" xfId="232" xr:uid="{00000000-0005-0000-0000-0000E9000000}"/>
  </cellStyles>
  <dxfs count="126"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AAAEB6"/>
        </patternFill>
      </fill>
    </dxf>
    <dxf>
      <font>
        <condense val="0"/>
        <extend val="0"/>
        <color indexed="10"/>
      </font>
      <fill>
        <patternFill patternType="solid">
          <bgColor rgb="FFAAAEB6"/>
        </patternFill>
      </fill>
    </dxf>
    <dxf>
      <font>
        <condense val="0"/>
        <extend val="0"/>
        <color indexed="57"/>
      </font>
      <fill>
        <patternFill patternType="solid">
          <bgColor rgb="FFAAAEB6"/>
        </patternFill>
      </fill>
    </dxf>
    <dxf>
      <font>
        <condense val="0"/>
        <extend val="0"/>
        <color indexed="52"/>
      </font>
      <fill>
        <patternFill>
          <bgColor rgb="FFDDDDDD"/>
        </patternFill>
      </fill>
    </dxf>
    <dxf>
      <font>
        <condense val="0"/>
        <extend val="0"/>
        <color indexed="10"/>
      </font>
      <fill>
        <patternFill patternType="solid">
          <bgColor rgb="FFDDDDDD"/>
        </patternFill>
      </fill>
    </dxf>
    <dxf>
      <font>
        <condense val="0"/>
        <extend val="0"/>
        <color indexed="57"/>
      </font>
      <fill>
        <patternFill patternType="solid">
          <bgColor rgb="FFDDDDDD"/>
        </patternFill>
      </fill>
    </dxf>
  </dxfs>
  <tableStyles count="0" defaultTableStyle="TableStyleMedium2" defaultPivotStyle="PivotStyleLight16"/>
  <colors>
    <mruColors>
      <color rgb="FFADAF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69850</xdr:rowOff>
        </xdr:from>
        <xdr:to>
          <xdr:col>10</xdr:col>
          <xdr:colOff>927100</xdr:colOff>
          <xdr:row>15</xdr:row>
          <xdr:rowOff>44450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4</xdr:col>
      <xdr:colOff>133350</xdr:colOff>
      <xdr:row>5</xdr:row>
      <xdr:rowOff>209551</xdr:rowOff>
    </xdr:from>
    <xdr:to>
      <xdr:col>4</xdr:col>
      <xdr:colOff>2609850</xdr:colOff>
      <xdr:row>7</xdr:row>
      <xdr:rowOff>191806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09551"/>
          <a:ext cx="2476500" cy="842970"/>
        </a:xfrm>
        <a:prstGeom prst="rect">
          <a:avLst/>
        </a:prstGeom>
      </xdr:spPr>
    </xdr:pic>
    <xdr:clientData/>
  </xdr:twoCellAnchor>
  <xdr:twoCellAnchor>
    <xdr:from>
      <xdr:col>5</xdr:col>
      <xdr:colOff>2389909</xdr:colOff>
      <xdr:row>10</xdr:row>
      <xdr:rowOff>0</xdr:rowOff>
    </xdr:from>
    <xdr:to>
      <xdr:col>7</xdr:col>
      <xdr:colOff>121227</xdr:colOff>
      <xdr:row>16</xdr:row>
      <xdr:rowOff>294408</xdr:rowOff>
    </xdr:to>
    <xdr:sp macro="" textlink="">
      <xdr:nvSpPr>
        <xdr:cNvPr id="3" name="Accolade ferman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73091" y="2753589"/>
          <a:ext cx="588818" cy="207818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31172</xdr:colOff>
      <xdr:row>15</xdr:row>
      <xdr:rowOff>48485</xdr:rowOff>
    </xdr:from>
    <xdr:to>
      <xdr:col>9</xdr:col>
      <xdr:colOff>1887683</xdr:colOff>
      <xdr:row>17</xdr:row>
      <xdr:rowOff>17314</xdr:rowOff>
    </xdr:to>
    <xdr:sp macro="" textlink="">
      <xdr:nvSpPr>
        <xdr:cNvPr id="6" name="Accolade fermant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16200000">
          <a:off x="9036627" y="1052939"/>
          <a:ext cx="557647" cy="4887193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173182</xdr:colOff>
      <xdr:row>12</xdr:row>
      <xdr:rowOff>103909</xdr:rowOff>
    </xdr:from>
    <xdr:to>
      <xdr:col>8</xdr:col>
      <xdr:colOff>1108364</xdr:colOff>
      <xdr:row>14</xdr:row>
      <xdr:rowOff>259771</xdr:rowOff>
    </xdr:to>
    <xdr:sp macro="" textlink="">
      <xdr:nvSpPr>
        <xdr:cNvPr id="5" name="Arrondir un rectangle avec un coin diagon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013864" y="2545773"/>
          <a:ext cx="2320636" cy="623453"/>
        </a:xfrm>
        <a:prstGeom prst="round2Diag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solidFill>
                <a:srgbClr val="FF0000"/>
              </a:solidFill>
              <a:latin typeface="+mn-lt"/>
            </a:rPr>
            <a:t>Changeable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10"/>
  </sheetPr>
  <dimension ref="A1:B31"/>
  <sheetViews>
    <sheetView workbookViewId="0">
      <selection activeCell="D11" sqref="D11"/>
    </sheetView>
  </sheetViews>
  <sheetFormatPr baseColWidth="10" defaultColWidth="9.1796875" defaultRowHeight="13"/>
  <cols>
    <col min="1" max="1" width="44.1796875" style="2" customWidth="1"/>
    <col min="2" max="2" width="17.81640625" style="2" bestFit="1" customWidth="1"/>
    <col min="3" max="3" width="9.1796875" style="2"/>
    <col min="4" max="4" width="27.7265625" style="2" customWidth="1"/>
    <col min="5" max="16384" width="9.1796875" style="2"/>
  </cols>
  <sheetData>
    <row r="1" spans="1:2" ht="18">
      <c r="A1" s="1" t="s">
        <v>126</v>
      </c>
    </row>
    <row r="2" spans="1:2">
      <c r="A2" s="2" t="s">
        <v>127</v>
      </c>
    </row>
    <row r="3" spans="1:2" ht="15.5">
      <c r="A3" s="3" t="s">
        <v>128</v>
      </c>
    </row>
    <row r="4" spans="1:2">
      <c r="A4" s="4" t="s">
        <v>0</v>
      </c>
      <c r="B4" s="5" t="s">
        <v>1</v>
      </c>
    </row>
    <row r="5" spans="1:2">
      <c r="A5" s="4" t="s">
        <v>2</v>
      </c>
      <c r="B5" s="6" t="str">
        <f>LEFT(Server,LEN(Server)-1)</f>
        <v>tango_core_model</v>
      </c>
    </row>
    <row r="6" spans="1:2">
      <c r="A6" s="4" t="s">
        <v>3</v>
      </c>
      <c r="B6" s="6" t="str">
        <f>Host_Serveur</f>
        <v>91.236.254.119</v>
      </c>
    </row>
    <row r="7" spans="1:2">
      <c r="A7" s="4" t="s">
        <v>4</v>
      </c>
      <c r="B7" s="6">
        <v>0</v>
      </c>
    </row>
    <row r="8" spans="1:2">
      <c r="A8" s="4" t="s">
        <v>5</v>
      </c>
      <c r="B8" s="6">
        <v>0</v>
      </c>
    </row>
    <row r="10" spans="1:2" ht="15.5">
      <c r="A10" s="3" t="s">
        <v>6</v>
      </c>
    </row>
    <row r="11" spans="1:2" ht="13.5" customHeight="1">
      <c r="A11" s="4" t="s">
        <v>7</v>
      </c>
      <c r="B11" s="6" t="s">
        <v>8</v>
      </c>
    </row>
    <row r="12" spans="1:2" ht="13.5" customHeight="1">
      <c r="A12" s="4" t="s">
        <v>9</v>
      </c>
      <c r="B12" s="6" t="s">
        <v>10</v>
      </c>
    </row>
    <row r="13" spans="1:2">
      <c r="A13" s="4" t="s">
        <v>11</v>
      </c>
      <c r="B13" s="6" t="str">
        <f>_xll.DBR(Server&amp;"z_Admin_Param","YEAR_ACTUAL","STR_VAR1")</f>
        <v>2023</v>
      </c>
    </row>
    <row r="14" spans="1:2">
      <c r="A14" s="4" t="s">
        <v>12</v>
      </c>
      <c r="B14" s="6" t="str">
        <f>_xll.DBR(Server&amp;"z_Admin_Param","MONTH_ACTUAL","STR_VAR1")</f>
        <v>2023.08</v>
      </c>
    </row>
    <row r="15" spans="1:2">
      <c r="A15" s="4" t="s">
        <v>13</v>
      </c>
      <c r="B15" s="6" t="str">
        <f>_xll.DBR(Server&amp;"z_Admin_Param","BUDGET_VERSION","STR_VAR1")</f>
        <v>BUDG_TOT</v>
      </c>
    </row>
    <row r="16" spans="1:2">
      <c r="A16" s="4" t="s">
        <v>14</v>
      </c>
      <c r="B16" s="6" t="str">
        <f>_xll.DBR(Server&amp;"z_Admin_Param","FORECAST_VERSION","STR_VAR1")</f>
        <v>FC_2_TOT</v>
      </c>
    </row>
    <row r="17" spans="1:2">
      <c r="A17" s="4" t="s">
        <v>15</v>
      </c>
      <c r="B17" s="6" t="str">
        <f>_xll.DBR(Server&amp;"z_Client_Properties","Language",_xll.TM1USER(xServer))</f>
        <v>French</v>
      </c>
    </row>
    <row r="18" spans="1:2">
      <c r="A18" s="254" t="s">
        <v>16</v>
      </c>
      <c r="B18" s="7" t="s">
        <v>17</v>
      </c>
    </row>
    <row r="19" spans="1:2">
      <c r="A19" s="254"/>
      <c r="B19" s="7" t="s">
        <v>18</v>
      </c>
    </row>
    <row r="20" spans="1:2">
      <c r="A20" s="254"/>
      <c r="B20" s="7" t="s">
        <v>19</v>
      </c>
    </row>
    <row r="21" spans="1:2">
      <c r="A21" s="254"/>
      <c r="B21" s="7" t="s">
        <v>20</v>
      </c>
    </row>
    <row r="22" spans="1:2">
      <c r="A22" s="254"/>
      <c r="B22" s="7" t="s">
        <v>21</v>
      </c>
    </row>
    <row r="23" spans="1:2">
      <c r="A23" s="254" t="s">
        <v>22</v>
      </c>
      <c r="B23" s="7" t="s">
        <v>23</v>
      </c>
    </row>
    <row r="24" spans="1:2">
      <c r="A24" s="254"/>
      <c r="B24" s="7" t="s">
        <v>24</v>
      </c>
    </row>
    <row r="25" spans="1:2">
      <c r="A25" s="254"/>
      <c r="B25" s="7" t="s">
        <v>25</v>
      </c>
    </row>
    <row r="27" spans="1:2" ht="15.5">
      <c r="A27" s="3" t="s">
        <v>26</v>
      </c>
    </row>
    <row r="28" spans="1:2" ht="13.5" customHeight="1">
      <c r="A28" s="2" t="s">
        <v>27</v>
      </c>
      <c r="B28" s="8"/>
    </row>
    <row r="29" spans="1:2">
      <c r="A29" s="2" t="s">
        <v>28</v>
      </c>
      <c r="B29" s="9"/>
    </row>
    <row r="30" spans="1:2">
      <c r="A30" s="2" t="s">
        <v>29</v>
      </c>
      <c r="B30" s="10"/>
    </row>
    <row r="31" spans="1:2">
      <c r="A31" s="2" t="s">
        <v>30</v>
      </c>
      <c r="B31" s="11"/>
    </row>
  </sheetData>
  <sheetProtection formatColumns="0" formatRows="0"/>
  <mergeCells count="2">
    <mergeCell ref="A18:A22"/>
    <mergeCell ref="A23:A25"/>
  </mergeCell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7C8B3-5D69-4BDB-B191-137B63B9ACD8}">
  <dimension ref="A1"/>
  <sheetViews>
    <sheetView workbookViewId="0"/>
  </sheetViews>
  <sheetFormatPr baseColWidth="10" defaultRowHeight="14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  <pageSetUpPr fitToPage="1"/>
  </sheetPr>
  <dimension ref="A1:AY163"/>
  <sheetViews>
    <sheetView showGridLines="0" tabSelected="1" topLeftCell="D7" zoomScale="55" zoomScaleNormal="55" zoomScaleSheetLayoutView="40" workbookViewId="0"/>
  </sheetViews>
  <sheetFormatPr baseColWidth="10" defaultColWidth="11.453125" defaultRowHeight="18" customHeight="1" outlineLevelRow="1"/>
  <cols>
    <col min="1" max="1" width="9.1796875" style="67" hidden="1" customWidth="1"/>
    <col min="2" max="2" width="19.54296875" style="68" hidden="1" customWidth="1"/>
    <col min="3" max="3" width="74.54296875" style="68" hidden="1" customWidth="1"/>
    <col min="4" max="4" width="2.54296875" style="68" customWidth="1"/>
    <col min="5" max="5" width="57.1796875" style="74" customWidth="1"/>
    <col min="6" max="6" width="36.26953125" style="74" customWidth="1"/>
    <col min="7" max="7" width="6.453125" style="67" customWidth="1"/>
    <col min="8" max="8" width="16.1796875" style="67" bestFit="1" customWidth="1"/>
    <col min="9" max="9" width="16.26953125" style="67" bestFit="1" customWidth="1"/>
    <col min="10" max="10" width="19.08984375" style="67" bestFit="1" customWidth="1"/>
    <col min="11" max="11" width="19.1796875" style="67" bestFit="1" customWidth="1"/>
    <col min="12" max="12" width="2.7265625" style="73" customWidth="1"/>
    <col min="13" max="13" width="16.1796875" style="73" bestFit="1" customWidth="1"/>
    <col min="14" max="14" width="16.1796875" style="80" bestFit="1" customWidth="1"/>
    <col min="15" max="15" width="20.7265625" style="17" bestFit="1" customWidth="1"/>
    <col min="16" max="17" width="16.1796875" style="147" bestFit="1" customWidth="1"/>
    <col min="18" max="18" width="20.7265625" style="154" bestFit="1" customWidth="1"/>
    <col min="19" max="20" width="16.1796875" style="80" bestFit="1" customWidth="1"/>
    <col min="21" max="21" width="20.7265625" style="151" bestFit="1" customWidth="1"/>
    <col min="22" max="22" width="5" style="16" customWidth="1"/>
    <col min="23" max="23" width="7.1796875" style="16" customWidth="1"/>
    <col min="24" max="24" width="29.7265625" style="16" customWidth="1"/>
    <col min="25" max="25" width="25.7265625" style="16" hidden="1" customWidth="1"/>
    <col min="26" max="26" width="16.54296875" style="16" customWidth="1"/>
    <col min="27" max="27" width="25.453125" style="16" customWidth="1"/>
    <col min="28" max="38" width="9" style="16" customWidth="1"/>
    <col min="39" max="40" width="10.1796875" style="13" customWidth="1"/>
    <col min="41" max="50" width="6.54296875" style="13" customWidth="1"/>
    <col min="51" max="52" width="6.453125" style="13" customWidth="1"/>
    <col min="53" max="16384" width="11.453125" style="13"/>
  </cols>
  <sheetData>
    <row r="1" spans="1:51" ht="18" hidden="1" customHeight="1">
      <c r="E1" s="69"/>
      <c r="F1" s="70" t="s">
        <v>31</v>
      </c>
      <c r="H1" s="71" t="str">
        <f>H19</f>
        <v>Actual</v>
      </c>
      <c r="I1" s="72" t="str">
        <f>I19</f>
        <v>Budget V current</v>
      </c>
      <c r="J1" s="72" t="str">
        <f>J19</f>
        <v>Forecast 2 V current</v>
      </c>
      <c r="K1" s="71" t="s">
        <v>32</v>
      </c>
      <c r="M1" s="71" t="s">
        <v>33</v>
      </c>
      <c r="N1" s="71" t="s">
        <v>34</v>
      </c>
      <c r="O1" s="15"/>
      <c r="P1" s="71" t="s">
        <v>35</v>
      </c>
      <c r="Q1" s="71" t="s">
        <v>36</v>
      </c>
      <c r="R1" s="153"/>
      <c r="S1" s="71" t="s">
        <v>37</v>
      </c>
      <c r="T1" s="71" t="s">
        <v>38</v>
      </c>
      <c r="U1" s="153"/>
    </row>
    <row r="2" spans="1:51" ht="18" hidden="1" customHeight="1">
      <c r="F2" s="75" t="s">
        <v>39</v>
      </c>
      <c r="G2" s="76" t="e">
        <f>_xll.SUBNM(Server&amp;"Period","",#REF!,"")</f>
        <v>#VALUE!</v>
      </c>
      <c r="H2" s="77" t="str">
        <f>_xll.DBRA(Server&amp;$F$2,H18,"Prior Year")</f>
        <v>2022.08_YTD</v>
      </c>
      <c r="I2" s="78" t="str">
        <f>SUBSTITUTE(ActualBudget,"_TOT","_VC")</f>
        <v>BUDG_VC</v>
      </c>
      <c r="J2" s="79"/>
      <c r="K2" s="79"/>
      <c r="O2" s="14"/>
      <c r="P2" s="73"/>
      <c r="Q2" s="73"/>
      <c r="R2" s="151"/>
    </row>
    <row r="3" spans="1:51" ht="18" hidden="1" customHeight="1">
      <c r="F3" s="81" t="s">
        <v>40</v>
      </c>
      <c r="G3" s="82"/>
      <c r="H3" s="67" t="str">
        <f>_xll.VIEW(Server&amp;Cube1,$F$13,$F$14,$F$15,$F$16,$F$11,$F$12,"!","!")</f>
        <v>tango_core_model:Report_PL</v>
      </c>
      <c r="I3" s="78"/>
      <c r="J3" s="79"/>
      <c r="K3" s="79"/>
      <c r="O3" s="14"/>
      <c r="P3" s="73"/>
      <c r="Q3" s="73"/>
      <c r="R3" s="151"/>
    </row>
    <row r="4" spans="1:51" ht="18" hidden="1" customHeight="1">
      <c r="G4" s="83"/>
      <c r="I4" s="78"/>
      <c r="J4" s="79"/>
      <c r="K4" s="84"/>
    </row>
    <row r="5" spans="1:51" ht="18" hidden="1" customHeight="1">
      <c r="F5" s="85"/>
      <c r="G5" s="82"/>
      <c r="H5" s="86"/>
      <c r="I5" s="78"/>
      <c r="J5" s="86"/>
      <c r="K5" s="86"/>
      <c r="L5" s="86"/>
      <c r="M5" s="86"/>
      <c r="N5" s="86"/>
      <c r="O5" s="18"/>
      <c r="P5" s="86"/>
      <c r="Q5" s="86"/>
      <c r="R5" s="155"/>
      <c r="S5" s="86"/>
      <c r="T5" s="86"/>
    </row>
    <row r="6" spans="1:51" ht="18" hidden="1" customHeight="1">
      <c r="F6" s="87"/>
    </row>
    <row r="7" spans="1:51" ht="51" customHeight="1">
      <c r="E7" s="274" t="str">
        <f>_xll.DBRA(Server&amp;$Y$15,$Y30,$F$17)&amp;" - "&amp;F11&amp;" - "&amp;F12&amp;" - "&amp;F13</f>
        <v>Profit &amp; Losses (aggregated) - TRANSDEV All - TRANSDEV All - All activity</v>
      </c>
      <c r="F7" s="274"/>
      <c r="G7" s="274"/>
      <c r="H7" s="274"/>
      <c r="I7" s="274"/>
      <c r="J7" s="274"/>
      <c r="K7" s="274"/>
      <c r="L7" s="274"/>
      <c r="M7" s="274"/>
      <c r="N7" s="274"/>
      <c r="O7" s="274"/>
      <c r="P7" s="274"/>
      <c r="Q7" s="274"/>
      <c r="R7" s="274"/>
      <c r="S7" s="274"/>
      <c r="T7" s="274"/>
      <c r="U7" s="274"/>
      <c r="V7" s="214"/>
    </row>
    <row r="8" spans="1:51" ht="18" customHeight="1">
      <c r="E8" s="274"/>
      <c r="F8" s="274"/>
      <c r="G8" s="274"/>
      <c r="H8" s="274"/>
      <c r="I8" s="274"/>
      <c r="J8" s="274"/>
      <c r="K8" s="274"/>
      <c r="L8" s="274"/>
      <c r="M8" s="274"/>
      <c r="N8" s="274"/>
      <c r="O8" s="274"/>
      <c r="P8" s="274"/>
      <c r="Q8" s="274"/>
      <c r="R8" s="274"/>
      <c r="S8" s="274"/>
      <c r="T8" s="274"/>
      <c r="U8" s="274"/>
      <c r="V8" s="214"/>
    </row>
    <row r="9" spans="1:51" ht="18" customHeight="1">
      <c r="E9" s="67"/>
      <c r="F9" s="87"/>
      <c r="G9" s="87"/>
      <c r="H9" s="88"/>
      <c r="I9" s="88"/>
      <c r="J9" s="88"/>
      <c r="K9" s="88"/>
      <c r="L9" s="88"/>
      <c r="M9" s="88"/>
      <c r="N9" s="88"/>
      <c r="O9" s="15"/>
      <c r="P9" s="88"/>
      <c r="Q9" s="88"/>
      <c r="R9" s="153"/>
      <c r="S9" s="88"/>
      <c r="T9" s="88"/>
      <c r="U9" s="153"/>
      <c r="V9" s="15"/>
    </row>
    <row r="10" spans="1:51" ht="23.25" customHeight="1">
      <c r="E10" s="89" t="str">
        <f>_xll.DBRA(Server&amp;$Y$15,$Y16,$F$17)</f>
        <v>Context selection</v>
      </c>
      <c r="G10" s="87"/>
      <c r="H10" s="88"/>
      <c r="I10" s="88"/>
      <c r="J10" s="88"/>
      <c r="K10" s="88"/>
      <c r="L10" s="88"/>
      <c r="M10" s="88"/>
      <c r="N10" s="88"/>
      <c r="O10" s="15"/>
      <c r="P10" s="88"/>
      <c r="Q10" s="88"/>
      <c r="R10" s="153"/>
      <c r="S10" s="88"/>
      <c r="T10" s="88"/>
      <c r="U10" s="153"/>
      <c r="V10" s="15"/>
    </row>
    <row r="11" spans="1:51" s="42" customFormat="1" ht="17.25" customHeight="1">
      <c r="A11" s="226"/>
      <c r="B11" s="227"/>
      <c r="C11" s="227"/>
      <c r="D11" s="227"/>
      <c r="E11" s="228" t="s">
        <v>142</v>
      </c>
      <c r="F11" s="163" t="str">
        <f>_xll.SUBNM(Server&amp;"Legal_Organization","default",_xll.DBR(Server&amp;"z_Client_Properties","Default_Legal_Organization",_xll.TM1USER(xServer)),F17)</f>
        <v>TRANSDEV All</v>
      </c>
      <c r="G11" s="229"/>
      <c r="H11" s="230"/>
      <c r="I11" s="226"/>
      <c r="J11" s="226"/>
      <c r="K11" s="226"/>
      <c r="L11" s="212"/>
      <c r="M11" s="212"/>
      <c r="N11" s="212"/>
      <c r="O11" s="231"/>
      <c r="P11" s="232"/>
      <c r="Q11" s="232"/>
      <c r="R11" s="231"/>
      <c r="S11" s="212"/>
      <c r="T11" s="212"/>
      <c r="U11" s="233"/>
      <c r="V11" s="233"/>
      <c r="W11" s="233"/>
      <c r="X11" s="233"/>
      <c r="Y11" s="233"/>
      <c r="Z11" s="233"/>
      <c r="AA11" s="233"/>
      <c r="AB11" s="233"/>
      <c r="AC11" s="233"/>
      <c r="AD11" s="233"/>
      <c r="AE11" s="233"/>
      <c r="AF11" s="233"/>
      <c r="AG11" s="233"/>
      <c r="AH11" s="233"/>
      <c r="AI11" s="233"/>
      <c r="AJ11" s="233"/>
      <c r="AK11" s="233"/>
      <c r="AL11" s="233"/>
    </row>
    <row r="12" spans="1:51" s="42" customFormat="1" ht="17.25" customHeight="1">
      <c r="A12" s="226"/>
      <c r="B12" s="227"/>
      <c r="C12" s="227"/>
      <c r="D12" s="227"/>
      <c r="E12" s="228" t="s">
        <v>44</v>
      </c>
      <c r="F12" s="163" t="str">
        <f>_xll.SUBNM(Server&amp;"Management_Organization","default",_xll.DBR(Server&amp;"z_Client_Properties","Default_Management_Organization",_xll.TM1USER(xServer)),F17)</f>
        <v>TRANSDEV All</v>
      </c>
      <c r="G12" s="229"/>
      <c r="H12" s="230"/>
      <c r="I12" s="230"/>
      <c r="J12" s="230"/>
      <c r="K12" s="226"/>
      <c r="L12" s="212"/>
      <c r="M12" s="212"/>
      <c r="N12" s="212"/>
      <c r="O12" s="231"/>
      <c r="P12" s="232"/>
      <c r="Q12" s="232"/>
      <c r="R12" s="231"/>
      <c r="S12" s="212"/>
      <c r="T12" s="212"/>
      <c r="U12" s="233"/>
      <c r="V12" s="233"/>
      <c r="W12" s="233"/>
      <c r="X12" s="233"/>
      <c r="Y12" s="233"/>
      <c r="Z12" s="233"/>
      <c r="AA12" s="233"/>
      <c r="AB12" s="233"/>
      <c r="AC12" s="233"/>
      <c r="AD12" s="233"/>
      <c r="AE12" s="233"/>
      <c r="AF12" s="233"/>
      <c r="AG12" s="233"/>
      <c r="AH12" s="233"/>
      <c r="AI12" s="233"/>
      <c r="AJ12" s="233"/>
      <c r="AK12" s="233"/>
      <c r="AL12" s="233"/>
    </row>
    <row r="13" spans="1:51" s="42" customFormat="1" ht="17.25" customHeight="1">
      <c r="A13" s="226"/>
      <c r="B13" s="227"/>
      <c r="C13" s="227"/>
      <c r="D13" s="227"/>
      <c r="E13" s="228" t="s">
        <v>50</v>
      </c>
      <c r="F13" s="163" t="str">
        <f>_xll.SUBNM(Server&amp;"Activity","default","Tot_act",F17)</f>
        <v>All activity</v>
      </c>
      <c r="G13" s="226"/>
      <c r="H13" s="230"/>
      <c r="I13" s="230"/>
      <c r="J13" s="230"/>
      <c r="K13" s="226"/>
      <c r="L13" s="212"/>
      <c r="M13" s="212"/>
      <c r="N13" s="212"/>
      <c r="O13" s="231"/>
      <c r="P13" s="232"/>
      <c r="Q13" s="232"/>
      <c r="R13" s="231"/>
      <c r="S13" s="212"/>
      <c r="T13" s="212"/>
      <c r="U13" s="233"/>
      <c r="V13" s="233"/>
      <c r="W13" s="233"/>
      <c r="X13" s="233"/>
      <c r="Y13" s="233"/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</row>
    <row r="14" spans="1:51" s="42" customFormat="1" ht="17.25" customHeight="1">
      <c r="A14" s="226"/>
      <c r="B14" s="227"/>
      <c r="C14" s="227"/>
      <c r="D14" s="234"/>
      <c r="E14" s="228" t="s">
        <v>52</v>
      </c>
      <c r="F14" s="163" t="str">
        <f>_xll.SUBNM(Server&amp;"Currency","default","KEUR",F17)</f>
        <v>K€</v>
      </c>
      <c r="G14" s="226"/>
      <c r="H14" s="230"/>
      <c r="I14" s="230"/>
      <c r="J14" s="230"/>
      <c r="K14" s="226"/>
      <c r="L14" s="212"/>
      <c r="M14" s="212"/>
      <c r="N14" s="212"/>
      <c r="O14" s="231"/>
      <c r="P14" s="232"/>
      <c r="Q14" s="232"/>
      <c r="R14" s="231"/>
      <c r="S14" s="212"/>
      <c r="T14" s="212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  <c r="AI14" s="233"/>
      <c r="AJ14" s="233"/>
      <c r="AK14" s="233"/>
      <c r="AL14" s="233"/>
    </row>
    <row r="15" spans="1:51" s="42" customFormat="1" ht="17.25" customHeight="1">
      <c r="A15" s="226"/>
      <c r="B15" s="227"/>
      <c r="C15" s="235"/>
      <c r="D15" s="236"/>
      <c r="E15" s="228" t="s">
        <v>54</v>
      </c>
      <c r="F15" s="163" t="str">
        <f>_xll.SUBNM(Server&amp;"Gaap","default","Total_conso_wo_opt_dis")</f>
        <v>Total_conso_wo_opt_dis</v>
      </c>
      <c r="G15" s="237"/>
      <c r="H15" s="226"/>
      <c r="I15" s="226"/>
      <c r="J15" s="226"/>
      <c r="K15" s="226"/>
      <c r="L15" s="212"/>
      <c r="M15" s="212"/>
      <c r="N15" s="212"/>
      <c r="O15" s="231"/>
      <c r="P15" s="232"/>
      <c r="Q15" s="232"/>
      <c r="R15" s="231"/>
      <c r="S15" s="212"/>
      <c r="T15" s="212"/>
      <c r="U15" s="233"/>
      <c r="V15" s="238"/>
      <c r="W15" s="233"/>
      <c r="X15" s="233"/>
      <c r="Y15" s="239" t="s">
        <v>41</v>
      </c>
      <c r="Z15" s="233"/>
      <c r="AA15" s="233"/>
      <c r="AB15" s="233"/>
      <c r="AC15" s="233"/>
      <c r="AD15" s="233"/>
      <c r="AE15" s="233"/>
      <c r="AF15" s="233"/>
      <c r="AG15" s="233"/>
      <c r="AH15" s="233"/>
      <c r="AI15" s="233"/>
      <c r="AJ15" s="233"/>
      <c r="AK15" s="233"/>
      <c r="AL15" s="233"/>
      <c r="AM15" s="240"/>
      <c r="AN15" s="240"/>
      <c r="AO15" s="240"/>
      <c r="AP15" s="240"/>
      <c r="AQ15" s="240"/>
      <c r="AR15" s="240"/>
      <c r="AS15" s="240"/>
      <c r="AT15" s="240"/>
      <c r="AU15" s="240"/>
      <c r="AV15" s="240"/>
      <c r="AW15" s="240"/>
      <c r="AX15" s="240"/>
      <c r="AY15" s="240"/>
    </row>
    <row r="16" spans="1:51" s="42" customFormat="1" ht="17.25" customHeight="1">
      <c r="A16" s="226"/>
      <c r="B16" s="227"/>
      <c r="C16" s="235"/>
      <c r="D16" s="235"/>
      <c r="E16" s="228" t="s">
        <v>143</v>
      </c>
      <c r="F16" s="163" t="str">
        <f>_xll.SUBNM(Server&amp;"Integration_Rate","default","APP")</f>
        <v>APP</v>
      </c>
      <c r="G16" s="241"/>
      <c r="N16" s="251"/>
      <c r="V16" s="238"/>
      <c r="W16" s="233"/>
      <c r="Y16" s="242" t="s">
        <v>42</v>
      </c>
      <c r="AK16" s="233"/>
      <c r="AL16" s="233"/>
    </row>
    <row r="17" spans="1:38" s="250" customFormat="1" ht="17.25" customHeight="1">
      <c r="A17" s="243"/>
      <c r="B17" s="244"/>
      <c r="C17" s="243"/>
      <c r="D17" s="245"/>
      <c r="E17" s="246" t="s">
        <v>45</v>
      </c>
      <c r="F17" s="252" t="s">
        <v>17</v>
      </c>
      <c r="G17" s="247"/>
      <c r="H17" s="226"/>
      <c r="I17" s="226"/>
      <c r="J17" s="226"/>
      <c r="K17" s="226"/>
      <c r="L17" s="226"/>
      <c r="M17" s="226"/>
      <c r="N17" s="226"/>
      <c r="O17" s="42"/>
      <c r="P17" s="226"/>
      <c r="Q17" s="226"/>
      <c r="R17" s="42"/>
      <c r="S17" s="226"/>
      <c r="T17" s="226"/>
      <c r="U17" s="42"/>
      <c r="V17" s="238"/>
      <c r="W17" s="248"/>
      <c r="X17" s="248"/>
      <c r="Y17" s="249" t="s">
        <v>43</v>
      </c>
      <c r="Z17" s="248"/>
      <c r="AA17" s="248"/>
      <c r="AB17" s="248"/>
      <c r="AC17" s="248"/>
      <c r="AD17" s="248"/>
      <c r="AE17" s="248"/>
      <c r="AF17" s="248"/>
      <c r="AG17" s="248"/>
      <c r="AH17" s="248"/>
      <c r="AI17" s="248"/>
      <c r="AJ17" s="248"/>
      <c r="AK17" s="248"/>
      <c r="AL17" s="248"/>
    </row>
    <row r="18" spans="1:38" s="223" customFormat="1" ht="27.75" customHeight="1" thickBot="1">
      <c r="A18" s="215"/>
      <c r="B18" s="216"/>
      <c r="C18" s="215"/>
      <c r="D18" s="218"/>
      <c r="E18" s="215"/>
      <c r="G18" s="91"/>
      <c r="H18" s="219" t="str">
        <f>_xll.SUBNM(Server&amp;$F$2,"default",ActualMonth&amp;"_YTD","English")</f>
        <v>August 2023 YTD</v>
      </c>
      <c r="I18" s="219" t="str">
        <f>_xll.SUBNM(Server&amp;$F$2,"default",H18,"English")</f>
        <v>August 2023 YTD</v>
      </c>
      <c r="J18" s="219" t="str">
        <f>_xll.SUBNM(Server&amp;$F$2,"default",H18,"English")</f>
        <v>August 2023 YTD</v>
      </c>
      <c r="K18" s="220" t="str">
        <f>_xll.SUBNM(Server&amp;$F$2,"default",PriorYear,"English")</f>
        <v>August 2022 YTD</v>
      </c>
      <c r="L18" s="224"/>
      <c r="M18" s="278" t="str">
        <f>_xll.DBRA(Server&amp;$Y$15,$Y34,$F$17)</f>
        <v>Variances</v>
      </c>
      <c r="N18" s="278"/>
      <c r="O18" s="278"/>
      <c r="P18" s="278"/>
      <c r="Q18" s="278"/>
      <c r="R18" s="278"/>
      <c r="S18" s="278"/>
      <c r="T18" s="278"/>
      <c r="U18" s="278"/>
      <c r="V18" s="19"/>
      <c r="W18" s="221"/>
      <c r="X18" s="221"/>
      <c r="Y18" s="222"/>
      <c r="Z18" s="221"/>
      <c r="AA18" s="221"/>
      <c r="AB18" s="221"/>
      <c r="AC18" s="221"/>
      <c r="AD18" s="221"/>
      <c r="AE18" s="221"/>
      <c r="AF18" s="221"/>
      <c r="AG18" s="221"/>
      <c r="AH18" s="221"/>
      <c r="AI18" s="221"/>
      <c r="AJ18" s="221"/>
      <c r="AK18" s="221"/>
      <c r="AL18" s="221"/>
    </row>
    <row r="19" spans="1:38" s="223" customFormat="1" ht="27.75" customHeight="1" thickBot="1">
      <c r="A19" s="215"/>
      <c r="B19" s="216"/>
      <c r="C19" s="217"/>
      <c r="D19" s="218"/>
      <c r="E19" s="225" t="str">
        <f>F15</f>
        <v>Total_conso_wo_opt_dis</v>
      </c>
      <c r="F19" s="225" t="str">
        <f>F14</f>
        <v>K€</v>
      </c>
      <c r="G19" s="91"/>
      <c r="H19" s="219" t="str">
        <f>_xll.SUBNM(Server&amp;$F$1,"default","ACT_TOT","English")</f>
        <v>Actual</v>
      </c>
      <c r="I19" s="219" t="str">
        <f>_xll.SUBNM(Server&amp;$F$1,"default",SUBSTITUTE(ActualBudget,"_TOT","_VC_TOT"),"English")</f>
        <v>Budget V current</v>
      </c>
      <c r="J19" s="219" t="str">
        <f>_xll.SUBNM(Server&amp;$F$1,"default",SUBSTITUTE(ActualForecast,"_TOT","_VC_TOT"),"English")</f>
        <v>Forecast 2 V current</v>
      </c>
      <c r="K19" s="220" t="str">
        <f>_xll.DBRA(Server&amp;$Y$15,Y$57,$F$17)</f>
        <v>Prior Year</v>
      </c>
      <c r="L19" s="213"/>
      <c r="M19" s="275" t="str">
        <f>$H19&amp;" vs "&amp;I19</f>
        <v>Actual vs Budget V current</v>
      </c>
      <c r="N19" s="276"/>
      <c r="O19" s="277"/>
      <c r="P19" s="275" t="str">
        <f>$H19&amp;" vs "&amp;J19</f>
        <v>Actual vs Forecast 2 V current</v>
      </c>
      <c r="Q19" s="276"/>
      <c r="R19" s="277" t="str">
        <f>_xll.DBRA(Server&amp;$Y$15,$Y29,$F$17)</f>
        <v>Variance</v>
      </c>
      <c r="S19" s="275" t="str">
        <f>$H19&amp;" vs "&amp;K19</f>
        <v>Actual vs Prior Year</v>
      </c>
      <c r="T19" s="276"/>
      <c r="U19" s="277" t="str">
        <f>_xll.DBRA(Server&amp;$Y$15,$Y29,$F$17)</f>
        <v>Variance</v>
      </c>
      <c r="V19" s="19"/>
      <c r="W19" s="221"/>
      <c r="X19" s="221"/>
      <c r="Y19" s="222" t="s">
        <v>46</v>
      </c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</row>
    <row r="20" spans="1:38" ht="15.75" customHeight="1">
      <c r="B20" s="67"/>
      <c r="C20" s="92" t="s">
        <v>47</v>
      </c>
      <c r="D20" s="90"/>
      <c r="E20" s="67"/>
      <c r="F20" s="13"/>
      <c r="G20" s="91"/>
      <c r="H20" s="94"/>
      <c r="I20" s="94"/>
      <c r="J20" s="94"/>
      <c r="K20" s="94"/>
      <c r="L20" s="93"/>
      <c r="M20" s="94"/>
      <c r="N20" s="95"/>
      <c r="O20" s="19"/>
      <c r="P20" s="148"/>
      <c r="Q20" s="148"/>
      <c r="R20" s="19"/>
      <c r="S20" s="94"/>
      <c r="T20" s="95"/>
      <c r="U20" s="19"/>
      <c r="V20" s="19"/>
      <c r="Y20" s="21" t="s">
        <v>48</v>
      </c>
    </row>
    <row r="21" spans="1:38" s="22" customFormat="1" ht="25" customHeight="1">
      <c r="A21" s="96"/>
      <c r="B21" s="97" t="s">
        <v>49</v>
      </c>
      <c r="C21" s="96" t="str">
        <f>_xll.DBRA(Server&amp;$C$20,$B21,$F$17)</f>
        <v>REVENUE FROM ORDINARY ACTIVITIES (by destination)</v>
      </c>
      <c r="D21" s="98"/>
      <c r="E21" s="257" t="str">
        <f>LEFT(C21,FIND("(",C21,1)-1)</f>
        <v xml:space="preserve">REVENUE FROM ORDINARY ACTIVITIES </v>
      </c>
      <c r="F21" s="257"/>
      <c r="G21" s="164"/>
      <c r="H21" s="165">
        <f>_xll.DBRW($H$3,$F$13,$F$14,$F$15,$F$16,$F$11,$F$12,H$18,H$1,$B21)</f>
        <v>0</v>
      </c>
      <c r="I21" s="165">
        <f>_xll.DBRW($H$3,$F$13,$F$14,$F$15,$F$16,$F$11,$F$12,I$18,I$1,$B21)</f>
        <v>0</v>
      </c>
      <c r="J21" s="165">
        <f>_xll.DBRW($H$3,$F$13,$F$14,$F$15,$F$16,$F$11,$F$12,J$18,J$1,$B21)</f>
        <v>0</v>
      </c>
      <c r="K21" s="165">
        <f>_xll.DBRW($H$3,$F$13,$F$14,$F$15,$F$16,$F$11,$F$12,K$18,K$1,$B21)</f>
        <v>4961921.1646769997</v>
      </c>
      <c r="L21" s="99"/>
      <c r="M21" s="165">
        <f>IF(OR($H21="",I21=""),"-",IFERROR(($H21-I21),""))</f>
        <v>0</v>
      </c>
      <c r="N21" s="166" t="str">
        <f>IF(OR($I21=0,M21=0),"-",IF(ABS(M21/$I21)&gt;2,"-",M21/$I21))</f>
        <v>-</v>
      </c>
      <c r="O21" s="167" t="str">
        <f>IF(OR(AND(N21&gt;0.01,M21&lt;0),AND(N21&lt;-0.01,M21&lt;0)),"î",IF(OR(AND(N21&lt;-0.01,M21&gt;0),AND(N21&gt;0.01,M21&gt;0)),"ì","è"))</f>
        <v>è</v>
      </c>
      <c r="P21" s="165">
        <f>IF(OR($H21="",J21=""),"-",IFERROR(($H21-J21),""))</f>
        <v>0</v>
      </c>
      <c r="Q21" s="166" t="str">
        <f>IF(OR($J21=0,P21=0),"-",IF(ABS(P21/$J21)&gt;2,"-",P21/$J21))</f>
        <v>-</v>
      </c>
      <c r="R21" s="167" t="str">
        <f>IF(OR(AND(Q21&gt;0.01,P21&lt;0),AND(Q21&lt;-0.01,P21&lt;0)),"î",IF(OR(AND(Q21&lt;-0.01,P21&gt;0),AND(Q21&gt;0.01,P21&gt;0)),"ì","è"))</f>
        <v>è</v>
      </c>
      <c r="S21" s="165">
        <f>IF(OR($H21="",K21=""),"-",IFERROR(($H21-K21),""))</f>
        <v>-4961921.1646769997</v>
      </c>
      <c r="T21" s="166">
        <f>IF(OR($K21=0,S21=0),"-",IF(ABS(S21/$K21)&gt;2,"-",S21/$K21))</f>
        <v>-1</v>
      </c>
      <c r="U21" s="167" t="str">
        <f>IF(OR(AND(T21&gt;0.01,S21&lt;0),AND(T21&lt;-0.01,S21&lt;0)),"î",IF(OR(AND(T21&lt;-0.01,S21&gt;0),AND(T21&gt;0.01,S21&gt;0)),"ì","è"))</f>
        <v>î</v>
      </c>
      <c r="V21" s="24"/>
      <c r="W21" s="25"/>
      <c r="X21" s="25"/>
      <c r="Y21" s="21" t="s">
        <v>50</v>
      </c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</row>
    <row r="22" spans="1:38" ht="20.25" customHeight="1">
      <c r="B22" s="74" t="s">
        <v>51</v>
      </c>
      <c r="D22" s="100"/>
      <c r="E22" s="258" t="str">
        <f>_xll.DBRA(Server&amp;$C$20,$B22,$F$17)</f>
        <v>ROA on the current period</v>
      </c>
      <c r="F22" s="258"/>
      <c r="G22" s="101"/>
      <c r="H22" s="168">
        <f>_xll.DBRW($H$3,$F$13,$F$14,$F$15,$F$16,$F$11,$F$12,H$18,H$1,$B22)</f>
        <v>0</v>
      </c>
      <c r="I22" s="168">
        <f>_xll.DBRW($H$3,$F$13,$F$14,$F$15,$F$16,$F$11,$F$12,I$18,I$1,$B22)</f>
        <v>0</v>
      </c>
      <c r="J22" s="168">
        <f>_xll.DBRW($H$3,$F$13,$F$14,$F$15,$F$16,$F$11,$F$12,J$18,J$1,$B22)</f>
        <v>0</v>
      </c>
      <c r="K22" s="168">
        <f>_xll.DBRW($H$3,$F$13,$F$14,$F$15,$F$16,$F$11,$F$12,K$18,K$1,$B22)</f>
        <v>4752097.1794092432</v>
      </c>
      <c r="L22" s="102"/>
      <c r="M22" s="168">
        <f t="shared" ref="M22:M38" si="0">IF(OR($H22="",I22=""),"-",IFERROR(($H22-I22),""))</f>
        <v>0</v>
      </c>
      <c r="N22" s="169" t="str">
        <f t="shared" ref="N22:N38" si="1">IF(OR($I22=0,M22=0),"-",IF(ABS(M22/$I22)&gt;2,"-",M22/$I22))</f>
        <v>-</v>
      </c>
      <c r="O22" s="170" t="str">
        <f t="shared" ref="O22:O37" si="2">IF(OR(AND(N22&gt;0.01,M22&lt;0),AND(N22&lt;-0.01,M22&lt;0)),"î",IF(OR(AND(N22&lt;-0.01,M22&gt;0),AND(N22&gt;0.01,M22&gt;0)),"ì","è"))</f>
        <v>è</v>
      </c>
      <c r="P22" s="168">
        <f t="shared" ref="P22:P38" si="3">IF(OR($H22="",J22=""),"-",IFERROR(($H22-J22),""))</f>
        <v>0</v>
      </c>
      <c r="Q22" s="169" t="str">
        <f t="shared" ref="Q22:Q38" si="4">IF(OR($J22=0,P22=0),"-",IF(ABS(P22/$J22)&gt;2,"-",P22/$J22))</f>
        <v>-</v>
      </c>
      <c r="R22" s="170" t="str">
        <f t="shared" ref="R22:R37" si="5">IF(OR(AND(Q22&gt;0.01,P22&lt;0),AND(Q22&lt;-0.01,P22&lt;0)),"î",IF(OR(AND(Q22&lt;-0.01,P22&gt;0),AND(Q22&gt;0.01,P22&gt;0)),"ì","è"))</f>
        <v>è</v>
      </c>
      <c r="S22" s="168">
        <f t="shared" ref="S22:S38" si="6">IF(OR($H22="",K22=""),"-",IFERROR(($H22-K22),""))</f>
        <v>-4752097.1794092432</v>
      </c>
      <c r="T22" s="171">
        <f t="shared" ref="T22:T38" si="7">IF(OR($K22=0,S22=0),"-",IF(ABS(S22/$K22)&gt;2,"-",S22/$K22))</f>
        <v>-1</v>
      </c>
      <c r="U22" s="172" t="str">
        <f t="shared" ref="U22:U37" si="8">IF(OR(AND(T22&gt;0.01,S22&lt;0),AND(T22&lt;-0.01,S22&lt;0)),"î",IF(OR(AND(T22&lt;-0.01,S22&gt;0),AND(T22&gt;0.01,S22&gt;0)),"ì","è"))</f>
        <v>î</v>
      </c>
      <c r="V22" s="26"/>
      <c r="Y22" s="21" t="s">
        <v>52</v>
      </c>
    </row>
    <row r="23" spans="1:38" ht="19.5" customHeight="1">
      <c r="B23" s="74" t="s">
        <v>129</v>
      </c>
      <c r="D23" s="100"/>
      <c r="E23" s="255" t="str">
        <f>LEFT(_xll.DBRA(Server&amp;$C$20,$B23,$F$17),LEN(_xll.DBRA(Server&amp;$C$20,$B23,$F$17))-4)</f>
        <v xml:space="preserve">Sales of </v>
      </c>
      <c r="F23" s="255"/>
      <c r="G23" s="103"/>
      <c r="H23" s="104">
        <f>_xll.DBRW($H$3,$F$13,$F$14,$F$15,$F$16,$F$11,$F$12,H$18,H$1,$B23)</f>
        <v>0</v>
      </c>
      <c r="I23" s="104">
        <f>_xll.DBRW($H$3,$F$13,$F$14,$F$15,$F$16,$F$11,$F$12,I$18,I$1,$B23)</f>
        <v>0</v>
      </c>
      <c r="J23" s="104">
        <f>_xll.DBRW($H$3,$F$13,$F$14,$F$15,$F$16,$F$11,$F$12,J$18,J$1,$B23)</f>
        <v>0</v>
      </c>
      <c r="K23" s="104">
        <f>_xll.DBRW($H$3,$F$13,$F$14,$F$15,$F$16,$F$11,$F$12,K$18,K$1,$B23)</f>
        <v>14377.058079384891</v>
      </c>
      <c r="L23" s="102"/>
      <c r="M23" s="104">
        <f t="shared" si="0"/>
        <v>0</v>
      </c>
      <c r="N23" s="105" t="str">
        <f t="shared" si="1"/>
        <v>-</v>
      </c>
      <c r="O23" s="173" t="str">
        <f t="shared" si="2"/>
        <v>è</v>
      </c>
      <c r="P23" s="104">
        <f t="shared" si="3"/>
        <v>0</v>
      </c>
      <c r="Q23" s="105" t="str">
        <f t="shared" si="4"/>
        <v>-</v>
      </c>
      <c r="R23" s="173" t="str">
        <f t="shared" si="5"/>
        <v>è</v>
      </c>
      <c r="S23" s="104">
        <f t="shared" si="6"/>
        <v>-14377.058079384891</v>
      </c>
      <c r="T23" s="105">
        <f t="shared" si="7"/>
        <v>-1</v>
      </c>
      <c r="U23" s="174" t="str">
        <f t="shared" si="8"/>
        <v>î</v>
      </c>
      <c r="V23" s="26"/>
      <c r="Y23" s="21" t="s">
        <v>54</v>
      </c>
    </row>
    <row r="24" spans="1:38" ht="19.5" customHeight="1">
      <c r="B24" s="74" t="s">
        <v>130</v>
      </c>
      <c r="D24" s="100"/>
      <c r="E24" s="255" t="str">
        <f>_xll.DBRA(Server&amp;$C$20,$B24,$F$17)</f>
        <v>Sales of spare parts</v>
      </c>
      <c r="F24" s="255"/>
      <c r="G24" s="103"/>
      <c r="H24" s="104">
        <f>_xll.DBRW($H$3,$F$13,$F$14,$F$15,$F$16,$F$11,$F$12,H$18,H$1,$B24)</f>
        <v>0</v>
      </c>
      <c r="I24" s="104">
        <f>_xll.DBRW($H$3,$F$13,$F$14,$F$15,$F$16,$F$11,$F$12,I$18,I$1,$B24)</f>
        <v>0</v>
      </c>
      <c r="J24" s="104">
        <f>_xll.DBRW($H$3,$F$13,$F$14,$F$15,$F$16,$F$11,$F$12,J$18,J$1,$B24)</f>
        <v>0</v>
      </c>
      <c r="K24" s="104">
        <f>_xll.DBRW($H$3,$F$13,$F$14,$F$15,$F$16,$F$11,$F$12,K$18,K$1,$B24)</f>
        <v>1422.7985473952481</v>
      </c>
      <c r="L24" s="102"/>
      <c r="M24" s="104">
        <f t="shared" si="0"/>
        <v>0</v>
      </c>
      <c r="N24" s="105" t="str">
        <f t="shared" si="1"/>
        <v>-</v>
      </c>
      <c r="O24" s="173" t="str">
        <f t="shared" si="2"/>
        <v>è</v>
      </c>
      <c r="P24" s="104">
        <f t="shared" si="3"/>
        <v>0</v>
      </c>
      <c r="Q24" s="105" t="str">
        <f t="shared" si="4"/>
        <v>-</v>
      </c>
      <c r="R24" s="173" t="str">
        <f t="shared" si="5"/>
        <v>è</v>
      </c>
      <c r="S24" s="104">
        <f t="shared" si="6"/>
        <v>-1422.7985473952481</v>
      </c>
      <c r="T24" s="105">
        <f t="shared" si="7"/>
        <v>-1</v>
      </c>
      <c r="U24" s="174" t="str">
        <f t="shared" si="8"/>
        <v>î</v>
      </c>
      <c r="V24" s="26"/>
      <c r="Y24" s="27" t="s">
        <v>56</v>
      </c>
    </row>
    <row r="25" spans="1:38" ht="19.5" customHeight="1">
      <c r="B25" s="74" t="s">
        <v>53</v>
      </c>
      <c r="D25" s="100"/>
      <c r="E25" s="255" t="str">
        <f>_xll.DBRA(Server&amp;$C$20,$B25,$F$17)</f>
        <v>Sales of goods (RC)</v>
      </c>
      <c r="F25" s="255"/>
      <c r="G25" s="103"/>
      <c r="H25" s="104">
        <f>_xll.DBRW($H$3,$F$13,$F$14,$F$15,$F$16,$F$11,$F$12,H$18,H$1,$B25)</f>
        <v>0</v>
      </c>
      <c r="I25" s="104">
        <f>_xll.DBRW($H$3,$F$13,$F$14,$F$15,$F$16,$F$11,$F$12,I$18,I$1,$B25)</f>
        <v>0</v>
      </c>
      <c r="J25" s="104">
        <f>_xll.DBRW($H$3,$F$13,$F$14,$F$15,$F$16,$F$11,$F$12,J$18,J$1,$B25)</f>
        <v>0</v>
      </c>
      <c r="K25" s="104">
        <f>_xll.DBRW($H$3,$F$13,$F$14,$F$15,$F$16,$F$11,$F$12,K$18,K$1,$B25)</f>
        <v>14029.877799916379</v>
      </c>
      <c r="L25" s="102"/>
      <c r="M25" s="104">
        <f t="shared" si="0"/>
        <v>0</v>
      </c>
      <c r="N25" s="105" t="str">
        <f t="shared" si="1"/>
        <v>-</v>
      </c>
      <c r="O25" s="173" t="str">
        <f t="shared" si="2"/>
        <v>è</v>
      </c>
      <c r="P25" s="104">
        <f t="shared" si="3"/>
        <v>0</v>
      </c>
      <c r="Q25" s="105" t="str">
        <f t="shared" si="4"/>
        <v>-</v>
      </c>
      <c r="R25" s="173" t="str">
        <f t="shared" si="5"/>
        <v>è</v>
      </c>
      <c r="S25" s="104">
        <f t="shared" si="6"/>
        <v>-14029.877799916379</v>
      </c>
      <c r="T25" s="105">
        <f t="shared" si="7"/>
        <v>-1</v>
      </c>
      <c r="U25" s="174" t="str">
        <f t="shared" si="8"/>
        <v>î</v>
      </c>
      <c r="V25" s="26"/>
      <c r="Y25" s="27" t="s">
        <v>56</v>
      </c>
    </row>
    <row r="26" spans="1:38" ht="19.5" customHeight="1">
      <c r="B26" s="74" t="s">
        <v>131</v>
      </c>
      <c r="D26" s="100"/>
      <c r="E26" s="255" t="str">
        <f>_xll.DBRA(Server&amp;$C$20,$B26,$F$17)</f>
        <v>Workshop services</v>
      </c>
      <c r="F26" s="255"/>
      <c r="G26" s="103"/>
      <c r="H26" s="104">
        <f>_xll.DBRW($H$3,$F$13,$F$14,$F$15,$F$16,$F$11,$F$12,H$18,H$1,$B26)</f>
        <v>0</v>
      </c>
      <c r="I26" s="104">
        <f>_xll.DBRW($H$3,$F$13,$F$14,$F$15,$F$16,$F$11,$F$12,I$18,I$1,$B26)</f>
        <v>0</v>
      </c>
      <c r="J26" s="104">
        <f>_xll.DBRW($H$3,$F$13,$F$14,$F$15,$F$16,$F$11,$F$12,J$18,J$1,$B26)</f>
        <v>0</v>
      </c>
      <c r="K26" s="104">
        <f>_xll.DBRW($H$3,$F$13,$F$14,$F$15,$F$16,$F$11,$F$12,K$18,K$1,$B26)</f>
        <v>2166.96925639446</v>
      </c>
      <c r="L26" s="102"/>
      <c r="M26" s="104">
        <f t="shared" si="0"/>
        <v>0</v>
      </c>
      <c r="N26" s="105" t="str">
        <f t="shared" si="1"/>
        <v>-</v>
      </c>
      <c r="O26" s="173" t="str">
        <f t="shared" si="2"/>
        <v>è</v>
      </c>
      <c r="P26" s="104">
        <f t="shared" si="3"/>
        <v>0</v>
      </c>
      <c r="Q26" s="105" t="str">
        <f t="shared" si="4"/>
        <v>-</v>
      </c>
      <c r="R26" s="173" t="str">
        <f t="shared" si="5"/>
        <v>è</v>
      </c>
      <c r="S26" s="104">
        <f t="shared" si="6"/>
        <v>-2166.96925639446</v>
      </c>
      <c r="T26" s="105">
        <f t="shared" si="7"/>
        <v>-1</v>
      </c>
      <c r="U26" s="174" t="str">
        <f t="shared" si="8"/>
        <v>î</v>
      </c>
      <c r="V26" s="26"/>
      <c r="Y26" s="27" t="s">
        <v>56</v>
      </c>
    </row>
    <row r="27" spans="1:38" ht="19.5" customHeight="1">
      <c r="B27" s="74" t="s">
        <v>57</v>
      </c>
      <c r="D27" s="100"/>
      <c r="E27" s="255" t="str">
        <f>_xll.DBRA(Server&amp;$C$20,$B27,$F$17)</f>
        <v>Other transportation revenue (incl. subcontracting revenue)</v>
      </c>
      <c r="F27" s="255"/>
      <c r="G27" s="103"/>
      <c r="H27" s="104">
        <f>_xll.DBRW($H$3,$F$13,$F$14,$F$15,$F$16,$F$11,$F$12,H$18,H$1,$B27)</f>
        <v>0</v>
      </c>
      <c r="I27" s="104">
        <f>_xll.DBRW($H$3,$F$13,$F$14,$F$15,$F$16,$F$11,$F$12,I$18,I$1,$B27)</f>
        <v>0</v>
      </c>
      <c r="J27" s="104">
        <f>_xll.DBRW($H$3,$F$13,$F$14,$F$15,$F$16,$F$11,$F$12,J$18,J$1,$B27)</f>
        <v>0</v>
      </c>
      <c r="K27" s="104">
        <f>_xll.DBRW($H$3,$F$13,$F$14,$F$15,$F$16,$F$11,$F$12,K$18,K$1,$B27)</f>
        <v>241229.52287232745</v>
      </c>
      <c r="L27" s="102"/>
      <c r="M27" s="104">
        <f t="shared" si="0"/>
        <v>0</v>
      </c>
      <c r="N27" s="105" t="str">
        <f t="shared" si="1"/>
        <v>-</v>
      </c>
      <c r="O27" s="173" t="str">
        <f t="shared" si="2"/>
        <v>è</v>
      </c>
      <c r="P27" s="104">
        <f t="shared" si="3"/>
        <v>0</v>
      </c>
      <c r="Q27" s="105" t="str">
        <f t="shared" si="4"/>
        <v>-</v>
      </c>
      <c r="R27" s="173" t="str">
        <f t="shared" si="5"/>
        <v>è</v>
      </c>
      <c r="S27" s="104">
        <f t="shared" si="6"/>
        <v>-241229.52287232745</v>
      </c>
      <c r="T27" s="105">
        <f t="shared" si="7"/>
        <v>-1</v>
      </c>
      <c r="U27" s="174" t="str">
        <f t="shared" si="8"/>
        <v>î</v>
      </c>
      <c r="V27" s="26"/>
      <c r="Y27" s="27" t="s">
        <v>56</v>
      </c>
    </row>
    <row r="28" spans="1:38" ht="19.5" customHeight="1">
      <c r="B28" s="74" t="s">
        <v>61</v>
      </c>
      <c r="D28" s="100"/>
      <c r="E28" s="255" t="str">
        <f>_xll.DBRA(Server&amp;$C$20,$B28,$F$17)</f>
        <v>Bonus/penalties</v>
      </c>
      <c r="F28" s="255"/>
      <c r="G28" s="103"/>
      <c r="H28" s="104">
        <f>_xll.DBRW($H$3,$F$13,$F$14,$F$15,$F$16,$F$11,$F$12,H$18,H$1,$B28)</f>
        <v>0</v>
      </c>
      <c r="I28" s="104">
        <f>_xll.DBRW($H$3,$F$13,$F$14,$F$15,$F$16,$F$11,$F$12,I$18,I$1,$B28)</f>
        <v>0</v>
      </c>
      <c r="J28" s="104">
        <f>_xll.DBRW($H$3,$F$13,$F$14,$F$15,$F$16,$F$11,$F$12,J$18,J$1,$B28)</f>
        <v>0</v>
      </c>
      <c r="K28" s="104">
        <f>_xll.DBRW($H$3,$F$13,$F$14,$F$15,$F$16,$F$11,$F$12,K$18,K$1,$B28)</f>
        <v>-12392.576340512092</v>
      </c>
      <c r="L28" s="102"/>
      <c r="M28" s="104">
        <f t="shared" si="0"/>
        <v>0</v>
      </c>
      <c r="N28" s="105" t="str">
        <f t="shared" si="1"/>
        <v>-</v>
      </c>
      <c r="O28" s="173" t="str">
        <f t="shared" si="2"/>
        <v>è</v>
      </c>
      <c r="P28" s="104">
        <f t="shared" si="3"/>
        <v>0</v>
      </c>
      <c r="Q28" s="105" t="str">
        <f t="shared" si="4"/>
        <v>-</v>
      </c>
      <c r="R28" s="173" t="str">
        <f t="shared" si="5"/>
        <v>è</v>
      </c>
      <c r="S28" s="104">
        <f t="shared" si="6"/>
        <v>12392.576340512092</v>
      </c>
      <c r="T28" s="105">
        <f t="shared" si="7"/>
        <v>-1</v>
      </c>
      <c r="U28" s="174" t="str">
        <f t="shared" si="8"/>
        <v>ì</v>
      </c>
      <c r="V28" s="26"/>
      <c r="Y28" s="27" t="s">
        <v>56</v>
      </c>
    </row>
    <row r="29" spans="1:38" ht="19.5" customHeight="1">
      <c r="B29" s="74" t="s">
        <v>55</v>
      </c>
      <c r="D29" s="100"/>
      <c r="E29" s="255" t="str">
        <f>_xll.DBRA(Server&amp;$C$20,$B29,$F$17)</f>
        <v>Passengers Revenues</v>
      </c>
      <c r="F29" s="255"/>
      <c r="G29" s="103"/>
      <c r="H29" s="104">
        <f>_xll.DBRW($H$3,$F$13,$F$14,$F$15,$F$16,$F$11,$F$12,H$18,H$1,$B29)</f>
        <v>0</v>
      </c>
      <c r="I29" s="104">
        <f>_xll.DBRW($H$3,$F$13,$F$14,$F$15,$F$16,$F$11,$F$12,I$18,I$1,$B29)</f>
        <v>0</v>
      </c>
      <c r="J29" s="104">
        <f>_xll.DBRW($H$3,$F$13,$F$14,$F$15,$F$16,$F$11,$F$12,J$18,J$1,$B29)</f>
        <v>0</v>
      </c>
      <c r="K29" s="104">
        <f>_xll.DBRW($H$3,$F$13,$F$14,$F$15,$F$16,$F$11,$F$12,K$18,K$1,$B29)</f>
        <v>2039776.3890856907</v>
      </c>
      <c r="L29" s="102"/>
      <c r="M29" s="104">
        <f t="shared" si="0"/>
        <v>0</v>
      </c>
      <c r="N29" s="105" t="str">
        <f t="shared" si="1"/>
        <v>-</v>
      </c>
      <c r="O29" s="173" t="str">
        <f t="shared" si="2"/>
        <v>è</v>
      </c>
      <c r="P29" s="104">
        <f t="shared" si="3"/>
        <v>0</v>
      </c>
      <c r="Q29" s="105" t="str">
        <f t="shared" si="4"/>
        <v>-</v>
      </c>
      <c r="R29" s="173" t="str">
        <f t="shared" si="5"/>
        <v>è</v>
      </c>
      <c r="S29" s="104">
        <f t="shared" si="6"/>
        <v>-2039776.3890856907</v>
      </c>
      <c r="T29" s="105">
        <f t="shared" si="7"/>
        <v>-1</v>
      </c>
      <c r="U29" s="174" t="str">
        <f t="shared" si="8"/>
        <v>î</v>
      </c>
      <c r="V29" s="26"/>
      <c r="Y29" s="21" t="s">
        <v>60</v>
      </c>
    </row>
    <row r="30" spans="1:38" ht="19.5" customHeight="1">
      <c r="B30" s="74" t="s">
        <v>59</v>
      </c>
      <c r="D30" s="100"/>
      <c r="E30" s="255" t="str">
        <f>_xll.DBRA(Server&amp;$C$20,$B30,$F$17)</f>
        <v>Others sales of services &amp; Advertising</v>
      </c>
      <c r="F30" s="255"/>
      <c r="G30" s="103"/>
      <c r="H30" s="104">
        <f>_xll.DBRW($H$3,$F$13,$F$14,$F$15,$F$16,$F$11,$F$12,H$18,H$1,$B30)</f>
        <v>0</v>
      </c>
      <c r="I30" s="104">
        <f>_xll.DBRW($H$3,$F$13,$F$14,$F$15,$F$16,$F$11,$F$12,I$18,I$1,$B30)</f>
        <v>0</v>
      </c>
      <c r="J30" s="104">
        <f>_xll.DBRW($H$3,$F$13,$F$14,$F$15,$F$16,$F$11,$F$12,J$18,J$1,$B30)</f>
        <v>0</v>
      </c>
      <c r="K30" s="104">
        <f>_xll.DBRW($H$3,$F$13,$F$14,$F$15,$F$16,$F$11,$F$12,K$18,K$1,$B30)</f>
        <v>261074.55699884167</v>
      </c>
      <c r="L30" s="102"/>
      <c r="M30" s="104">
        <f t="shared" si="0"/>
        <v>0</v>
      </c>
      <c r="N30" s="105" t="str">
        <f t="shared" si="1"/>
        <v>-</v>
      </c>
      <c r="O30" s="173" t="str">
        <f t="shared" si="2"/>
        <v>è</v>
      </c>
      <c r="P30" s="104">
        <f t="shared" si="3"/>
        <v>0</v>
      </c>
      <c r="Q30" s="105" t="str">
        <f t="shared" si="4"/>
        <v>-</v>
      </c>
      <c r="R30" s="173" t="str">
        <f t="shared" si="5"/>
        <v>è</v>
      </c>
      <c r="S30" s="104">
        <f t="shared" si="6"/>
        <v>-261074.55699884167</v>
      </c>
      <c r="T30" s="105">
        <f t="shared" si="7"/>
        <v>-1</v>
      </c>
      <c r="U30" s="174" t="str">
        <f t="shared" si="8"/>
        <v>î</v>
      </c>
      <c r="V30" s="26"/>
      <c r="Y30" s="27" t="s">
        <v>62</v>
      </c>
    </row>
    <row r="31" spans="1:38" ht="19.5" customHeight="1">
      <c r="B31" s="74" t="s">
        <v>135</v>
      </c>
      <c r="D31" s="100"/>
      <c r="E31" s="255" t="str">
        <f>_xll.DBRA(Server&amp;$C$20,$B31,$F$17)</f>
        <v>Re-invoicing of lease expenses and revenue from IFRS16 operating leases</v>
      </c>
      <c r="F31" s="255"/>
      <c r="G31" s="103"/>
      <c r="H31" s="104">
        <f>SUM(H32:H34)</f>
        <v>0</v>
      </c>
      <c r="I31" s="104">
        <f t="shared" ref="I31:K31" si="9">SUM(I32:I34)</f>
        <v>0</v>
      </c>
      <c r="J31" s="104">
        <f t="shared" si="9"/>
        <v>0</v>
      </c>
      <c r="K31" s="104">
        <f t="shared" si="9"/>
        <v>4364.3782000000374</v>
      </c>
      <c r="L31" s="102"/>
      <c r="M31" s="104">
        <f t="shared" si="0"/>
        <v>0</v>
      </c>
      <c r="N31" s="105" t="str">
        <f t="shared" si="1"/>
        <v>-</v>
      </c>
      <c r="O31" s="173" t="str">
        <f t="shared" si="2"/>
        <v>è</v>
      </c>
      <c r="P31" s="104">
        <f t="shared" si="3"/>
        <v>0</v>
      </c>
      <c r="Q31" s="105" t="str">
        <f t="shared" si="4"/>
        <v>-</v>
      </c>
      <c r="R31" s="173" t="str">
        <f t="shared" si="5"/>
        <v>è</v>
      </c>
      <c r="S31" s="104">
        <f t="shared" si="6"/>
        <v>-4364.3782000000374</v>
      </c>
      <c r="T31" s="105">
        <f t="shared" si="7"/>
        <v>-1</v>
      </c>
      <c r="U31" s="174" t="str">
        <f t="shared" si="8"/>
        <v>î</v>
      </c>
      <c r="V31" s="26"/>
      <c r="Y31" s="27"/>
    </row>
    <row r="32" spans="1:38" s="62" customFormat="1" ht="19.5" hidden="1" customHeight="1" outlineLevel="1">
      <c r="A32" s="106"/>
      <c r="B32" s="107" t="s">
        <v>132</v>
      </c>
      <c r="C32" s="108"/>
      <c r="D32" s="109"/>
      <c r="E32" s="256" t="str">
        <f>_xll.DBRA(Server&amp;$C$20,$B32,$F$17)</f>
        <v>Lease revenue (or reinvoicing) of passenger rolling stock</v>
      </c>
      <c r="F32" s="256"/>
      <c r="G32" s="110"/>
      <c r="H32" s="111">
        <f>_xll.DBRW($H$3,$F$13,$F$14,$F$15,$F$16,$F$11,$F$12,H$18,H$1,$B32)</f>
        <v>0</v>
      </c>
      <c r="I32" s="111">
        <f>_xll.DBRW($H$3,$F$13,$F$14,$F$15,$F$16,$F$11,$F$12,I$18,I$1,$B32)</f>
        <v>0</v>
      </c>
      <c r="J32" s="111">
        <f>_xll.DBRW($H$3,$F$13,$F$14,$F$15,$F$16,$F$11,$F$12,J$18,J$1,$B32)</f>
        <v>0</v>
      </c>
      <c r="K32" s="111">
        <f>_xll.DBRW($H$3,$F$13,$F$14,$F$15,$F$16,$F$11,$F$12,K$18,K$1,$B32)</f>
        <v>2934.5311200000388</v>
      </c>
      <c r="L32" s="112"/>
      <c r="M32" s="111">
        <f t="shared" si="0"/>
        <v>0</v>
      </c>
      <c r="N32" s="113" t="str">
        <f t="shared" si="1"/>
        <v>-</v>
      </c>
      <c r="O32" s="173" t="str">
        <f t="shared" si="2"/>
        <v>è</v>
      </c>
      <c r="P32" s="111">
        <f t="shared" si="3"/>
        <v>0</v>
      </c>
      <c r="Q32" s="113" t="str">
        <f t="shared" si="4"/>
        <v>-</v>
      </c>
      <c r="R32" s="173" t="str">
        <f t="shared" si="5"/>
        <v>è</v>
      </c>
      <c r="S32" s="111">
        <f t="shared" si="6"/>
        <v>-2934.5311200000388</v>
      </c>
      <c r="T32" s="113">
        <f t="shared" si="7"/>
        <v>-1</v>
      </c>
      <c r="U32" s="174" t="str">
        <f t="shared" si="8"/>
        <v>î</v>
      </c>
      <c r="V32" s="63"/>
      <c r="W32" s="64"/>
      <c r="X32" s="64"/>
      <c r="Y32" s="65" t="s">
        <v>56</v>
      </c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</row>
    <row r="33" spans="1:38" s="62" customFormat="1" ht="19.5" hidden="1" customHeight="1" outlineLevel="1">
      <c r="A33" s="106"/>
      <c r="B33" s="107" t="s">
        <v>133</v>
      </c>
      <c r="C33" s="108"/>
      <c r="D33" s="109"/>
      <c r="E33" s="256" t="str">
        <f>_xll.DBRA(Server&amp;$C$20,$B33,$F$17)</f>
        <v>Re-Invoicing of operating lease expenses of infrastructures</v>
      </c>
      <c r="F33" s="256"/>
      <c r="G33" s="110"/>
      <c r="H33" s="111">
        <f>_xll.DBRW($H$3,$F$13,$F$14,$F$15,$F$16,$F$11,$F$12,H$18,H$1,$B33)</f>
        <v>0</v>
      </c>
      <c r="I33" s="111">
        <f>_xll.DBRW($H$3,$F$13,$F$14,$F$15,$F$16,$F$11,$F$12,I$18,I$1,$B33)</f>
        <v>0</v>
      </c>
      <c r="J33" s="111">
        <f>_xll.DBRW($H$3,$F$13,$F$14,$F$15,$F$16,$F$11,$F$12,J$18,J$1,$B33)</f>
        <v>0</v>
      </c>
      <c r="K33" s="111">
        <f>_xll.DBRW($H$3,$F$13,$F$14,$F$15,$F$16,$F$11,$F$12,K$18,K$1,$B33)</f>
        <v>1429.8470799999989</v>
      </c>
      <c r="L33" s="112"/>
      <c r="M33" s="111">
        <f t="shared" si="0"/>
        <v>0</v>
      </c>
      <c r="N33" s="113" t="str">
        <f t="shared" si="1"/>
        <v>-</v>
      </c>
      <c r="O33" s="173" t="str">
        <f t="shared" si="2"/>
        <v>è</v>
      </c>
      <c r="P33" s="111">
        <f t="shared" si="3"/>
        <v>0</v>
      </c>
      <c r="Q33" s="113" t="str">
        <f t="shared" si="4"/>
        <v>-</v>
      </c>
      <c r="R33" s="173" t="str">
        <f t="shared" si="5"/>
        <v>è</v>
      </c>
      <c r="S33" s="111">
        <f t="shared" si="6"/>
        <v>-1429.8470799999989</v>
      </c>
      <c r="T33" s="113">
        <f t="shared" si="7"/>
        <v>-1</v>
      </c>
      <c r="U33" s="174" t="str">
        <f t="shared" si="8"/>
        <v>î</v>
      </c>
      <c r="V33" s="63"/>
      <c r="W33" s="64"/>
      <c r="X33" s="64"/>
      <c r="Y33" s="65" t="s">
        <v>56</v>
      </c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</row>
    <row r="34" spans="1:38" s="62" customFormat="1" ht="19.5" hidden="1" customHeight="1" outlineLevel="1">
      <c r="A34" s="106"/>
      <c r="B34" s="107" t="s">
        <v>134</v>
      </c>
      <c r="C34" s="108"/>
      <c r="D34" s="109"/>
      <c r="E34" s="256" t="str">
        <f>_xll.DBRA(Server&amp;$C$20,$B34,$F$17)</f>
        <v>Lease revenue (or reinvoicing) of other assets</v>
      </c>
      <c r="F34" s="256"/>
      <c r="G34" s="110"/>
      <c r="H34" s="111">
        <f>_xll.DBRW($H$3,$F$13,$F$14,$F$15,$F$16,$F$11,$F$12,H$18,H$1,$B34)</f>
        <v>0</v>
      </c>
      <c r="I34" s="111">
        <f>_xll.DBRW($H$3,$F$13,$F$14,$F$15,$F$16,$F$11,$F$12,I$18,I$1,$B34)</f>
        <v>0</v>
      </c>
      <c r="J34" s="111">
        <f>_xll.DBRW($H$3,$F$13,$F$14,$F$15,$F$16,$F$11,$F$12,J$18,J$1,$B34)</f>
        <v>0</v>
      </c>
      <c r="K34" s="111">
        <f>_xll.DBRW($H$3,$F$13,$F$14,$F$15,$F$16,$F$11,$F$12,K$18,K$1,$B34)</f>
        <v>-1.1368683772161603E-13</v>
      </c>
      <c r="L34" s="112"/>
      <c r="M34" s="111">
        <f t="shared" si="0"/>
        <v>0</v>
      </c>
      <c r="N34" s="113" t="str">
        <f t="shared" si="1"/>
        <v>-</v>
      </c>
      <c r="O34" s="173" t="str">
        <f t="shared" si="2"/>
        <v>è</v>
      </c>
      <c r="P34" s="111">
        <f t="shared" si="3"/>
        <v>0</v>
      </c>
      <c r="Q34" s="113" t="str">
        <f t="shared" si="4"/>
        <v>-</v>
      </c>
      <c r="R34" s="173" t="str">
        <f t="shared" si="5"/>
        <v>è</v>
      </c>
      <c r="S34" s="111">
        <f t="shared" si="6"/>
        <v>1.1368683772161603E-13</v>
      </c>
      <c r="T34" s="113">
        <f t="shared" si="7"/>
        <v>-1</v>
      </c>
      <c r="U34" s="174" t="str">
        <f t="shared" si="8"/>
        <v>ì</v>
      </c>
      <c r="V34" s="63"/>
      <c r="W34" s="64"/>
      <c r="X34" s="64"/>
      <c r="Y34" s="66" t="s">
        <v>58</v>
      </c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</row>
    <row r="35" spans="1:38" ht="19.5" customHeight="1" collapsed="1">
      <c r="B35" s="74" t="s">
        <v>63</v>
      </c>
      <c r="D35" s="100"/>
      <c r="E35" s="255" t="str">
        <f>_xll.DBRA(Server&amp;$C$20,$B35,$F$17)</f>
        <v>Operating grants (guaranteed and variable)</v>
      </c>
      <c r="F35" s="255"/>
      <c r="G35" s="103"/>
      <c r="H35" s="104">
        <f>_xll.DBRW($H$3,$F$13,$F$14,$F$15,$F$16,$F$11,$F$12,H$18,H$1,$B35)</f>
        <v>0</v>
      </c>
      <c r="I35" s="104">
        <f>_xll.DBRW($H$3,$F$13,$F$14,$F$15,$F$16,$F$11,$F$12,I$18,I$1,$B35)</f>
        <v>0</v>
      </c>
      <c r="J35" s="104">
        <f>_xll.DBRW($H$3,$F$13,$F$14,$F$15,$F$16,$F$11,$F$12,J$18,J$1,$B35)</f>
        <v>0</v>
      </c>
      <c r="K35" s="104">
        <f>_xll.DBRW($H$3,$F$13,$F$14,$F$15,$F$16,$F$11,$F$12,K$18,K$1,$B35)</f>
        <v>2075978.4204850895</v>
      </c>
      <c r="L35" s="102"/>
      <c r="M35" s="104">
        <f t="shared" si="0"/>
        <v>0</v>
      </c>
      <c r="N35" s="105" t="str">
        <f t="shared" si="1"/>
        <v>-</v>
      </c>
      <c r="O35" s="173" t="str">
        <f t="shared" si="2"/>
        <v>è</v>
      </c>
      <c r="P35" s="104">
        <f t="shared" si="3"/>
        <v>0</v>
      </c>
      <c r="Q35" s="105" t="str">
        <f t="shared" si="4"/>
        <v>-</v>
      </c>
      <c r="R35" s="173" t="str">
        <f t="shared" si="5"/>
        <v>è</v>
      </c>
      <c r="S35" s="104">
        <f t="shared" si="6"/>
        <v>-2075978.4204850895</v>
      </c>
      <c r="T35" s="105">
        <f t="shared" si="7"/>
        <v>-1</v>
      </c>
      <c r="U35" s="174" t="str">
        <f t="shared" si="8"/>
        <v>î</v>
      </c>
      <c r="V35" s="26"/>
      <c r="Y35" s="20" t="s">
        <v>64</v>
      </c>
    </row>
    <row r="36" spans="1:38" ht="24" customHeight="1">
      <c r="B36" s="74" t="s">
        <v>65</v>
      </c>
      <c r="D36" s="114"/>
      <c r="E36" s="258" t="str">
        <f>_xll.DBRA(Server&amp;$C$20,$B36,$F$17)</f>
        <v>Adjusted revenues from previous periods</v>
      </c>
      <c r="F36" s="258"/>
      <c r="G36" s="115"/>
      <c r="H36" s="168">
        <f>_xll.DBRW($H$3,$F$13,$F$14,$F$15,$F$16,$F$11,$F$12,H$18,H$1,$B36)</f>
        <v>0</v>
      </c>
      <c r="I36" s="168">
        <f>_xll.DBRW($H$3,$F$13,$F$14,$F$15,$F$16,$F$11,$F$12,I$18,I$1,$B36)</f>
        <v>0</v>
      </c>
      <c r="J36" s="168">
        <f>_xll.DBRW($H$3,$F$13,$F$14,$F$15,$F$16,$F$11,$F$12,J$18,J$1,$B36)</f>
        <v>0</v>
      </c>
      <c r="K36" s="168">
        <f>_xll.DBRW($H$3,$F$13,$F$14,$F$15,$F$16,$F$11,$F$12,K$18,K$1,$B36)</f>
        <v>0</v>
      </c>
      <c r="L36" s="102"/>
      <c r="M36" s="168">
        <f t="shared" si="0"/>
        <v>0</v>
      </c>
      <c r="N36" s="171" t="str">
        <f t="shared" si="1"/>
        <v>-</v>
      </c>
      <c r="O36" s="175" t="str">
        <f t="shared" si="2"/>
        <v>è</v>
      </c>
      <c r="P36" s="168">
        <f t="shared" si="3"/>
        <v>0</v>
      </c>
      <c r="Q36" s="171" t="str">
        <f t="shared" si="4"/>
        <v>-</v>
      </c>
      <c r="R36" s="175" t="str">
        <f t="shared" si="5"/>
        <v>è</v>
      </c>
      <c r="S36" s="168">
        <f t="shared" si="6"/>
        <v>0</v>
      </c>
      <c r="T36" s="171" t="str">
        <f t="shared" si="7"/>
        <v>-</v>
      </c>
      <c r="U36" s="172" t="str">
        <f t="shared" si="8"/>
        <v>è</v>
      </c>
      <c r="V36" s="26"/>
      <c r="Y36" s="21" t="s">
        <v>66</v>
      </c>
    </row>
    <row r="37" spans="1:38" ht="18" customHeight="1">
      <c r="B37" s="67" t="s">
        <v>67</v>
      </c>
      <c r="D37" s="114"/>
      <c r="E37" s="258" t="str">
        <f>_xll.DBRA(Server&amp;$C$20,$B37,$F$17)</f>
        <v>Additional Revenues</v>
      </c>
      <c r="F37" s="258"/>
      <c r="G37" s="103"/>
      <c r="H37" s="168">
        <f>_xll.DBRW($H$3,$F$13,$F$14,$F$15,$F$16,$F$11,$F$12,H$18,H$1,$B37)</f>
        <v>0</v>
      </c>
      <c r="I37" s="168">
        <f>_xll.DBRW($H$3,$F$13,$F$14,$F$15,$F$16,$F$11,$F$12,I$18,I$1,$B37)</f>
        <v>0</v>
      </c>
      <c r="J37" s="168">
        <f>_xll.DBRW($H$3,$F$13,$F$14,$F$15,$F$16,$F$11,$F$12,J$18,J$1,$B37)</f>
        <v>0</v>
      </c>
      <c r="K37" s="168">
        <f>_xll.DBRW($H$3,$F$13,$F$14,$F$15,$F$16,$F$11,$F$12,K$18,K$1,$B37)</f>
        <v>-3888.0815270784692</v>
      </c>
      <c r="L37" s="102"/>
      <c r="M37" s="168">
        <f t="shared" si="0"/>
        <v>0</v>
      </c>
      <c r="N37" s="169" t="str">
        <f t="shared" si="1"/>
        <v>-</v>
      </c>
      <c r="O37" s="175" t="str">
        <f t="shared" si="2"/>
        <v>è</v>
      </c>
      <c r="P37" s="168">
        <f t="shared" si="3"/>
        <v>0</v>
      </c>
      <c r="Q37" s="169" t="str">
        <f t="shared" si="4"/>
        <v>-</v>
      </c>
      <c r="R37" s="175" t="str">
        <f t="shared" si="5"/>
        <v>è</v>
      </c>
      <c r="S37" s="168">
        <f t="shared" si="6"/>
        <v>3888.0815270784692</v>
      </c>
      <c r="T37" s="169">
        <f t="shared" si="7"/>
        <v>-1</v>
      </c>
      <c r="U37" s="172" t="str">
        <f t="shared" si="8"/>
        <v>ì</v>
      </c>
      <c r="V37" s="26"/>
      <c r="Y37" s="21" t="s">
        <v>68</v>
      </c>
    </row>
    <row r="38" spans="1:38" s="29" customFormat="1" ht="18" customHeight="1">
      <c r="A38" s="116"/>
      <c r="B38" s="74" t="s">
        <v>69</v>
      </c>
      <c r="C38" s="116"/>
      <c r="D38" s="117"/>
      <c r="E38" s="273" t="str">
        <f>_xll.DBRA(Server&amp;$C$20,$B38,$F$17)</f>
        <v>Revenue from ordinary activities - Vector Reconciliation</v>
      </c>
      <c r="F38" s="273"/>
      <c r="G38" s="118"/>
      <c r="H38" s="176">
        <f>_xll.DBRW($H$3,$F$13,$F$14,$F$15,$F$16,$F$11,$F$12,H$18,H$1,$B38)</f>
        <v>0</v>
      </c>
      <c r="I38" s="176">
        <f>_xll.DBRW($H$3,$F$13,$F$14,$F$15,$F$16,$F$11,$F$12,I$18,I$1,$B38)</f>
        <v>0</v>
      </c>
      <c r="J38" s="176">
        <f>_xll.DBRW($H$3,$F$13,$F$14,$F$15,$F$16,$F$11,$F$12,J$18,J$1,$B38)</f>
        <v>0</v>
      </c>
      <c r="K38" s="176">
        <f>_xll.DBRW($H$3,$F$13,$F$14,$F$15,$F$16,$F$11,$F$12,K$18,K$1,$B38)</f>
        <v>213712.06679483497</v>
      </c>
      <c r="L38" s="177"/>
      <c r="M38" s="176">
        <f t="shared" si="0"/>
        <v>0</v>
      </c>
      <c r="N38" s="178" t="str">
        <f t="shared" si="1"/>
        <v>-</v>
      </c>
      <c r="O38" s="179"/>
      <c r="P38" s="176">
        <f t="shared" si="3"/>
        <v>0</v>
      </c>
      <c r="Q38" s="178" t="str">
        <f t="shared" si="4"/>
        <v>-</v>
      </c>
      <c r="R38" s="179"/>
      <c r="S38" s="176">
        <f t="shared" si="6"/>
        <v>-213712.06679483497</v>
      </c>
      <c r="T38" s="178">
        <f t="shared" si="7"/>
        <v>-1</v>
      </c>
      <c r="U38" s="179"/>
      <c r="V38" s="28"/>
      <c r="W38" s="16"/>
      <c r="X38" s="16"/>
      <c r="Y38" s="21" t="s">
        <v>70</v>
      </c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</row>
    <row r="39" spans="1:38" ht="9.75" customHeight="1">
      <c r="C39" s="74"/>
      <c r="D39" s="100"/>
      <c r="E39" s="119"/>
      <c r="F39" s="119"/>
      <c r="G39" s="119"/>
      <c r="H39" s="120"/>
      <c r="I39" s="120"/>
      <c r="J39" s="120"/>
      <c r="K39" s="120"/>
      <c r="L39" s="120"/>
      <c r="M39" s="120"/>
      <c r="N39" s="121"/>
      <c r="O39" s="150"/>
      <c r="P39" s="120"/>
      <c r="Q39" s="121"/>
      <c r="R39" s="150"/>
      <c r="S39" s="120"/>
      <c r="T39" s="121"/>
      <c r="U39" s="160"/>
      <c r="V39" s="30"/>
      <c r="W39" s="30"/>
      <c r="Y39" s="27" t="s">
        <v>71</v>
      </c>
    </row>
    <row r="40" spans="1:38" s="22" customFormat="1" ht="25" customHeight="1">
      <c r="A40" s="96"/>
      <c r="B40" s="97" t="s">
        <v>72</v>
      </c>
      <c r="C40" s="96" t="str">
        <f>_xll.DBRA(Server&amp;$C$20,$B40,$F$17)</f>
        <v>COST OF SALES (COS) (by destination)</v>
      </c>
      <c r="D40" s="122"/>
      <c r="E40" s="257" t="str">
        <f>LEFT(C40,FIND("(",C40,1)-1)</f>
        <v xml:space="preserve">COST OF SALES </v>
      </c>
      <c r="F40" s="257"/>
      <c r="G40" s="180"/>
      <c r="H40" s="165">
        <f>_xll.DBRW($H$3,$F$13,$F$14,$F$15,$F$16,$F$11,$F$12,H$18,H$1,$B40)</f>
        <v>0</v>
      </c>
      <c r="I40" s="165">
        <f>_xll.DBRW($H$3,$F$13,$F$14,$F$15,$F$16,$F$11,$F$12,I$18,I$1,$B40)</f>
        <v>0</v>
      </c>
      <c r="J40" s="165">
        <f>_xll.DBRW($H$3,$F$13,$F$14,$F$15,$F$16,$F$11,$F$12,J$18,J$1,$B40)</f>
        <v>0</v>
      </c>
      <c r="K40" s="165">
        <f>_xll.DBRW($H$3,$F$13,$F$14,$F$15,$F$16,$F$11,$F$12,K$18,K$1,$B40)</f>
        <v>-4478300.0064890021</v>
      </c>
      <c r="L40" s="99"/>
      <c r="M40" s="165">
        <f t="shared" ref="M40:M52" si="10">IF(OR($H40="",I40=""),"-",IFERROR(($H40-I40),""))</f>
        <v>0</v>
      </c>
      <c r="N40" s="166" t="str">
        <f t="shared" ref="N40:N52" si="11">IF(OR($I40=0,M40=0),"-",IF(ABS(M40/$I40)&gt;2,"-",M40/$I40))</f>
        <v>-</v>
      </c>
      <c r="O40" s="167" t="str">
        <f t="shared" ref="O40:O51" si="12">IF(OR(AND(N40&gt;0.01,M40&lt;0),AND(N40&lt;-0.01,M40&lt;0)),"î",IF(OR(AND(N40&lt;-0.01,M40&gt;0),AND(N40&gt;0.01,M40&gt;0)),"ì","è"))</f>
        <v>è</v>
      </c>
      <c r="P40" s="165">
        <f t="shared" ref="P40:P52" si="13">IF(OR($H40="",J40=""),"-",IFERROR(($H40-J40),""))</f>
        <v>0</v>
      </c>
      <c r="Q40" s="166" t="str">
        <f t="shared" ref="Q40:Q52" si="14">IF(OR($J40=0,P40=0),"-",IF(ABS(P40/$J40)&gt;2,"-",P40/$J40))</f>
        <v>-</v>
      </c>
      <c r="R40" s="167" t="str">
        <f t="shared" ref="R40:R51" si="15">IF(OR(AND(Q40&gt;0.01,P40&lt;0),AND(Q40&lt;-0.01,P40&lt;0)),"î",IF(OR(AND(Q40&lt;-0.01,P40&gt;0),AND(Q40&gt;0.01,P40&gt;0)),"ì","è"))</f>
        <v>è</v>
      </c>
      <c r="S40" s="165">
        <f t="shared" ref="S40:S52" si="16">IF(OR($H40="",K40=""),"-",IFERROR(($H40-K40),""))</f>
        <v>4478300.0064890021</v>
      </c>
      <c r="T40" s="166">
        <f t="shared" ref="T40:T52" si="17">IF(OR($K40=0,S40=0),"-",IF(ABS(S40/$K40)&gt;2,"-",S40/$K40))</f>
        <v>-1</v>
      </c>
      <c r="U40" s="167" t="str">
        <f t="shared" ref="U40:U51" si="18">IF(OR(AND(T40&gt;0.01,S40&lt;0),AND(T40&lt;-0.01,S40&lt;0)),"î",IF(OR(AND(T40&lt;-0.01,S40&gt;0),AND(T40&gt;0.01,S40&gt;0)),"ì","è"))</f>
        <v>ì</v>
      </c>
      <c r="V40" s="31"/>
      <c r="W40" s="25"/>
      <c r="X40" s="25"/>
      <c r="Y40" s="32" t="s">
        <v>73</v>
      </c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</row>
    <row r="41" spans="1:38" ht="20.25">
      <c r="B41" s="74" t="s">
        <v>74</v>
      </c>
      <c r="D41" s="114"/>
      <c r="E41" s="255" t="str">
        <f>_xll.DBRA(Server&amp;$C$20,$B41,$F$17)</f>
        <v>Subcontracted transport</v>
      </c>
      <c r="F41" s="255"/>
      <c r="G41" s="101"/>
      <c r="H41" s="104">
        <f>_xll.DBRW($H$3,$F$13,$F$14,$F$15,$F$16,$F$11,$F$12,H$18,H$1,$B41)</f>
        <v>0</v>
      </c>
      <c r="I41" s="104">
        <f>_xll.DBRW($H$3,$F$13,$F$14,$F$15,$F$16,$F$11,$F$12,I$18,I$1,$B41)</f>
        <v>0</v>
      </c>
      <c r="J41" s="104">
        <f>_xll.DBRW($H$3,$F$13,$F$14,$F$15,$F$16,$F$11,$F$12,J$18,J$1,$B41)</f>
        <v>0</v>
      </c>
      <c r="K41" s="104">
        <f>_xll.DBRW($H$3,$F$13,$F$14,$F$15,$F$16,$F$11,$F$12,K$18,K$1,$B41)</f>
        <v>-353189.83504776412</v>
      </c>
      <c r="L41" s="102"/>
      <c r="M41" s="104">
        <f t="shared" si="10"/>
        <v>0</v>
      </c>
      <c r="N41" s="105" t="str">
        <f t="shared" si="11"/>
        <v>-</v>
      </c>
      <c r="O41" s="173" t="str">
        <f t="shared" si="12"/>
        <v>è</v>
      </c>
      <c r="P41" s="104">
        <f t="shared" si="13"/>
        <v>0</v>
      </c>
      <c r="Q41" s="105" t="str">
        <f t="shared" si="14"/>
        <v>-</v>
      </c>
      <c r="R41" s="173" t="str">
        <f t="shared" si="15"/>
        <v>è</v>
      </c>
      <c r="S41" s="104">
        <f t="shared" si="16"/>
        <v>353189.83504776412</v>
      </c>
      <c r="T41" s="105">
        <f t="shared" si="17"/>
        <v>-1</v>
      </c>
      <c r="U41" s="174" t="str">
        <f t="shared" si="18"/>
        <v>ì</v>
      </c>
      <c r="V41" s="33"/>
      <c r="X41" s="13"/>
      <c r="Y41" s="20" t="s">
        <v>75</v>
      </c>
    </row>
    <row r="42" spans="1:38" ht="20.25">
      <c r="B42" s="74" t="s">
        <v>76</v>
      </c>
      <c r="D42" s="114"/>
      <c r="E42" s="255" t="str">
        <f>_xll.DBRA(Server&amp;$C$20,$B42,$F$17)</f>
        <v>Driving/operating (RESOP)</v>
      </c>
      <c r="F42" s="255"/>
      <c r="G42" s="123"/>
      <c r="H42" s="104">
        <f>_xll.DBRW($H$3,$F$13,$F$14,$F$15,$F$16,$F$11,$F$12,H$18,H$1,$B42)</f>
        <v>0</v>
      </c>
      <c r="I42" s="104">
        <f>_xll.DBRW($H$3,$F$13,$F$14,$F$15,$F$16,$F$11,$F$12,I$18,I$1,$B42)</f>
        <v>0</v>
      </c>
      <c r="J42" s="104">
        <f>_xll.DBRW($H$3,$F$13,$F$14,$F$15,$F$16,$F$11,$F$12,J$18,J$1,$B42)</f>
        <v>0</v>
      </c>
      <c r="K42" s="104">
        <f>_xll.DBRW($H$3,$F$13,$F$14,$F$15,$F$16,$F$11,$F$12,K$18,K$1,$B42)</f>
        <v>-1667844.2325520606</v>
      </c>
      <c r="L42" s="102"/>
      <c r="M42" s="104">
        <f t="shared" si="10"/>
        <v>0</v>
      </c>
      <c r="N42" s="105" t="str">
        <f t="shared" si="11"/>
        <v>-</v>
      </c>
      <c r="O42" s="173" t="str">
        <f t="shared" si="12"/>
        <v>è</v>
      </c>
      <c r="P42" s="104">
        <f t="shared" si="13"/>
        <v>0</v>
      </c>
      <c r="Q42" s="105" t="str">
        <f t="shared" si="14"/>
        <v>-</v>
      </c>
      <c r="R42" s="173" t="str">
        <f t="shared" si="15"/>
        <v>è</v>
      </c>
      <c r="S42" s="104">
        <f t="shared" si="16"/>
        <v>1667844.2325520606</v>
      </c>
      <c r="T42" s="105">
        <f t="shared" si="17"/>
        <v>-1</v>
      </c>
      <c r="U42" s="174" t="str">
        <f t="shared" si="18"/>
        <v>ì</v>
      </c>
      <c r="V42" s="33"/>
      <c r="Y42" s="21" t="s">
        <v>77</v>
      </c>
    </row>
    <row r="43" spans="1:38" ht="20.25">
      <c r="B43" s="74" t="s">
        <v>78</v>
      </c>
      <c r="D43" s="114"/>
      <c r="E43" s="255" t="str">
        <f>_xll.DBRA(Server&amp;$C$20,$B43,$F$17)</f>
        <v>Energy for traction</v>
      </c>
      <c r="F43" s="255"/>
      <c r="G43" s="123"/>
      <c r="H43" s="104">
        <f>_xll.DBRW($H$3,$F$13,$F$14,$F$15,$F$16,$F$11,$F$12,H$18,H$1,$B43)</f>
        <v>0</v>
      </c>
      <c r="I43" s="104">
        <f>_xll.DBRW($H$3,$F$13,$F$14,$F$15,$F$16,$F$11,$F$12,I$18,I$1,$B43)</f>
        <v>0</v>
      </c>
      <c r="J43" s="104">
        <f>_xll.DBRW($H$3,$F$13,$F$14,$F$15,$F$16,$F$11,$F$12,J$18,J$1,$B43)</f>
        <v>0</v>
      </c>
      <c r="K43" s="104">
        <f>_xll.DBRW($H$3,$F$13,$F$14,$F$15,$F$16,$F$11,$F$12,K$18,K$1,$B43)</f>
        <v>-480959.34760076628</v>
      </c>
      <c r="L43" s="102"/>
      <c r="M43" s="104">
        <f t="shared" si="10"/>
        <v>0</v>
      </c>
      <c r="N43" s="105" t="str">
        <f t="shared" si="11"/>
        <v>-</v>
      </c>
      <c r="O43" s="173" t="str">
        <f t="shared" si="12"/>
        <v>è</v>
      </c>
      <c r="P43" s="104">
        <f t="shared" si="13"/>
        <v>0</v>
      </c>
      <c r="Q43" s="105" t="str">
        <f t="shared" si="14"/>
        <v>-</v>
      </c>
      <c r="R43" s="173" t="str">
        <f t="shared" si="15"/>
        <v>è</v>
      </c>
      <c r="S43" s="104">
        <f t="shared" si="16"/>
        <v>480959.34760076628</v>
      </c>
      <c r="T43" s="105">
        <f t="shared" si="17"/>
        <v>-1</v>
      </c>
      <c r="U43" s="174" t="str">
        <f t="shared" si="18"/>
        <v>ì</v>
      </c>
      <c r="V43" s="33"/>
      <c r="Y43" s="27" t="s">
        <v>79</v>
      </c>
    </row>
    <row r="44" spans="1:38" ht="20.25">
      <c r="B44" s="74" t="s">
        <v>80</v>
      </c>
      <c r="D44" s="114"/>
      <c r="E44" s="255" t="str">
        <f>_xll.DBRA(Server&amp;$C$20,$B44,$F$17)</f>
        <v>Maintenance &amp; cleaning of fleet (RESOP)</v>
      </c>
      <c r="F44" s="255"/>
      <c r="G44" s="123"/>
      <c r="H44" s="104">
        <f>_xll.DBRW($H$3,$F$13,$F$14,$F$15,$F$16,$F$11,$F$12,H$18,H$1,$B44)</f>
        <v>0</v>
      </c>
      <c r="I44" s="104">
        <f>_xll.DBRW($H$3,$F$13,$F$14,$F$15,$F$16,$F$11,$F$12,I$18,I$1,$B44)</f>
        <v>0</v>
      </c>
      <c r="J44" s="104">
        <f>_xll.DBRW($H$3,$F$13,$F$14,$F$15,$F$16,$F$11,$F$12,J$18,J$1,$B44)</f>
        <v>0</v>
      </c>
      <c r="K44" s="104">
        <f>_xll.DBRW($H$3,$F$13,$F$14,$F$15,$F$16,$F$11,$F$12,K$18,K$1,$B44)</f>
        <v>-488912.84526067285</v>
      </c>
      <c r="L44" s="102"/>
      <c r="M44" s="104">
        <f t="shared" si="10"/>
        <v>0</v>
      </c>
      <c r="N44" s="105" t="str">
        <f t="shared" si="11"/>
        <v>-</v>
      </c>
      <c r="O44" s="173" t="str">
        <f t="shared" si="12"/>
        <v>è</v>
      </c>
      <c r="P44" s="104">
        <f t="shared" si="13"/>
        <v>0</v>
      </c>
      <c r="Q44" s="105" t="str">
        <f t="shared" si="14"/>
        <v>-</v>
      </c>
      <c r="R44" s="173" t="str">
        <f t="shared" si="15"/>
        <v>è</v>
      </c>
      <c r="S44" s="104">
        <f t="shared" si="16"/>
        <v>488912.84526067285</v>
      </c>
      <c r="T44" s="105">
        <f t="shared" si="17"/>
        <v>-1</v>
      </c>
      <c r="U44" s="174" t="str">
        <f t="shared" si="18"/>
        <v>ì</v>
      </c>
      <c r="V44" s="33"/>
      <c r="Y44" s="34" t="s">
        <v>81</v>
      </c>
    </row>
    <row r="45" spans="1:38" ht="20.25">
      <c r="B45" s="74" t="s">
        <v>82</v>
      </c>
      <c r="D45" s="114"/>
      <c r="E45" s="255" t="str">
        <f>_xll.DBRA(Server&amp;$C$20,$B45,$F$17)</f>
        <v>Maintenance &amp; cleaning of infrastructures (RESOP)</v>
      </c>
      <c r="F45" s="255"/>
      <c r="G45" s="123"/>
      <c r="H45" s="104">
        <f>_xll.DBRW($H$3,$F$13,$F$14,$F$15,$F$16,$F$11,$F$12,H$18,H$1,$B45)</f>
        <v>0</v>
      </c>
      <c r="I45" s="104">
        <f>_xll.DBRW($H$3,$F$13,$F$14,$F$15,$F$16,$F$11,$F$12,I$18,I$1,$B45)</f>
        <v>0</v>
      </c>
      <c r="J45" s="104">
        <f>_xll.DBRW($H$3,$F$13,$F$14,$F$15,$F$16,$F$11,$F$12,J$18,J$1,$B45)</f>
        <v>0</v>
      </c>
      <c r="K45" s="104">
        <f>_xll.DBRW($H$3,$F$13,$F$14,$F$15,$F$16,$F$11,$F$12,K$18,K$1,$B45)</f>
        <v>-81263.547630595713</v>
      </c>
      <c r="L45" s="102"/>
      <c r="M45" s="104">
        <f t="shared" si="10"/>
        <v>0</v>
      </c>
      <c r="N45" s="105" t="str">
        <f t="shared" si="11"/>
        <v>-</v>
      </c>
      <c r="O45" s="173" t="str">
        <f t="shared" si="12"/>
        <v>è</v>
      </c>
      <c r="P45" s="104">
        <f t="shared" si="13"/>
        <v>0</v>
      </c>
      <c r="Q45" s="105" t="str">
        <f t="shared" si="14"/>
        <v>-</v>
      </c>
      <c r="R45" s="173" t="str">
        <f t="shared" si="15"/>
        <v>è</v>
      </c>
      <c r="S45" s="104">
        <f t="shared" si="16"/>
        <v>81263.547630595713</v>
      </c>
      <c r="T45" s="105">
        <f t="shared" si="17"/>
        <v>-1</v>
      </c>
      <c r="U45" s="174" t="str">
        <f t="shared" si="18"/>
        <v>ì</v>
      </c>
      <c r="V45" s="33"/>
      <c r="Y45" s="35" t="s">
        <v>83</v>
      </c>
    </row>
    <row r="46" spans="1:38" ht="20.25">
      <c r="B46" s="74" t="s">
        <v>84</v>
      </c>
      <c r="D46" s="114"/>
      <c r="E46" s="255" t="str">
        <f>_xll.DBRA(Server&amp;$C$20,$B46,$F$17)</f>
        <v>Cost of damages (RESOP)</v>
      </c>
      <c r="F46" s="255"/>
      <c r="G46" s="115"/>
      <c r="H46" s="104">
        <f>_xll.DBRW($H$3,$F$13,$F$14,$F$15,$F$16,$F$11,$F$12,H$18,H$1,$B46)</f>
        <v>0</v>
      </c>
      <c r="I46" s="104">
        <f>_xll.DBRW($H$3,$F$13,$F$14,$F$15,$F$16,$F$11,$F$12,I$18,I$1,$B46)</f>
        <v>0</v>
      </c>
      <c r="J46" s="104">
        <f>_xll.DBRW($H$3,$F$13,$F$14,$F$15,$F$16,$F$11,$F$12,J$18,J$1,$B46)</f>
        <v>0</v>
      </c>
      <c r="K46" s="104">
        <f>_xll.DBRW($H$3,$F$13,$F$14,$F$15,$F$16,$F$11,$F$12,K$18,K$1,$B46)</f>
        <v>-79521.326685577675</v>
      </c>
      <c r="L46" s="102"/>
      <c r="M46" s="104">
        <f t="shared" si="10"/>
        <v>0</v>
      </c>
      <c r="N46" s="105" t="str">
        <f t="shared" si="11"/>
        <v>-</v>
      </c>
      <c r="O46" s="173" t="str">
        <f t="shared" si="12"/>
        <v>è</v>
      </c>
      <c r="P46" s="104">
        <f t="shared" si="13"/>
        <v>0</v>
      </c>
      <c r="Q46" s="105" t="str">
        <f t="shared" si="14"/>
        <v>-</v>
      </c>
      <c r="R46" s="173" t="str">
        <f t="shared" si="15"/>
        <v>è</v>
      </c>
      <c r="S46" s="104">
        <f t="shared" si="16"/>
        <v>79521.326685577675</v>
      </c>
      <c r="T46" s="105">
        <f t="shared" si="17"/>
        <v>-1</v>
      </c>
      <c r="U46" s="174" t="str">
        <f t="shared" si="18"/>
        <v>ì</v>
      </c>
      <c r="V46" s="33"/>
      <c r="Y46" s="35" t="s">
        <v>85</v>
      </c>
    </row>
    <row r="47" spans="1:38" ht="20.25">
      <c r="B47" s="74" t="s">
        <v>86</v>
      </c>
      <c r="D47" s="114"/>
      <c r="E47" s="255" t="str">
        <f>_xll.DBRA(Server&amp;$C$20,$B47,$F$17)</f>
        <v>Customer services (RESOP)</v>
      </c>
      <c r="F47" s="255"/>
      <c r="G47" s="103"/>
      <c r="H47" s="104">
        <f>_xll.DBRW($H$3,$F$13,$F$14,$F$15,$F$16,$F$11,$F$12,H$18,H$1,$B47)</f>
        <v>0</v>
      </c>
      <c r="I47" s="104">
        <f>_xll.DBRW($H$3,$F$13,$F$14,$F$15,$F$16,$F$11,$F$12,I$18,I$1,$B47)</f>
        <v>0</v>
      </c>
      <c r="J47" s="104">
        <f>_xll.DBRW($H$3,$F$13,$F$14,$F$15,$F$16,$F$11,$F$12,J$18,J$1,$B47)</f>
        <v>0</v>
      </c>
      <c r="K47" s="104">
        <f>_xll.DBRW($H$3,$F$13,$F$14,$F$15,$F$16,$F$11,$F$12,K$18,K$1,$B47)</f>
        <v>-94616.734839994722</v>
      </c>
      <c r="L47" s="102"/>
      <c r="M47" s="104">
        <f t="shared" si="10"/>
        <v>0</v>
      </c>
      <c r="N47" s="105" t="str">
        <f t="shared" si="11"/>
        <v>-</v>
      </c>
      <c r="O47" s="173" t="str">
        <f t="shared" si="12"/>
        <v>è</v>
      </c>
      <c r="P47" s="104">
        <f t="shared" si="13"/>
        <v>0</v>
      </c>
      <c r="Q47" s="105" t="str">
        <f t="shared" si="14"/>
        <v>-</v>
      </c>
      <c r="R47" s="173" t="str">
        <f t="shared" si="15"/>
        <v>è</v>
      </c>
      <c r="S47" s="104">
        <f t="shared" si="16"/>
        <v>94616.734839994722</v>
      </c>
      <c r="T47" s="105">
        <f t="shared" si="17"/>
        <v>-1</v>
      </c>
      <c r="U47" s="174" t="str">
        <f t="shared" si="18"/>
        <v>ì</v>
      </c>
      <c r="V47" s="33"/>
      <c r="Y47" s="35" t="s">
        <v>87</v>
      </c>
    </row>
    <row r="48" spans="1:38" ht="20.25">
      <c r="B48" s="74" t="s">
        <v>88</v>
      </c>
      <c r="D48" s="114"/>
      <c r="E48" s="255" t="str">
        <f>_xll.DBRA(Server&amp;$C$20,$B48,$F$17)</f>
        <v>Direct support to operations (RESOP)</v>
      </c>
      <c r="F48" s="255"/>
      <c r="G48" s="101"/>
      <c r="H48" s="104">
        <f>_xll.DBRW($H$3,$F$13,$F$14,$F$15,$F$16,$F$11,$F$12,H$18,H$1,$B48)</f>
        <v>0</v>
      </c>
      <c r="I48" s="104">
        <f>_xll.DBRW($H$3,$F$13,$F$14,$F$15,$F$16,$F$11,$F$12,I$18,I$1,$B48)</f>
        <v>0</v>
      </c>
      <c r="J48" s="104">
        <f>_xll.DBRW($H$3,$F$13,$F$14,$F$15,$F$16,$F$11,$F$12,J$18,J$1,$B48)</f>
        <v>0</v>
      </c>
      <c r="K48" s="104">
        <f>_xll.DBRW($H$3,$F$13,$F$14,$F$15,$F$16,$F$11,$F$12,K$18,K$1,$B48)</f>
        <v>-434106.66831884743</v>
      </c>
      <c r="L48" s="102"/>
      <c r="M48" s="104">
        <f t="shared" si="10"/>
        <v>0</v>
      </c>
      <c r="N48" s="105" t="str">
        <f t="shared" si="11"/>
        <v>-</v>
      </c>
      <c r="O48" s="173" t="str">
        <f t="shared" si="12"/>
        <v>è</v>
      </c>
      <c r="P48" s="104">
        <f t="shared" si="13"/>
        <v>0</v>
      </c>
      <c r="Q48" s="105" t="str">
        <f t="shared" si="14"/>
        <v>-</v>
      </c>
      <c r="R48" s="173" t="str">
        <f t="shared" si="15"/>
        <v>è</v>
      </c>
      <c r="S48" s="104">
        <f t="shared" si="16"/>
        <v>434106.66831884743</v>
      </c>
      <c r="T48" s="105">
        <f t="shared" si="17"/>
        <v>-1</v>
      </c>
      <c r="U48" s="174" t="str">
        <f t="shared" si="18"/>
        <v>ì</v>
      </c>
      <c r="V48" s="33"/>
      <c r="Y48" s="35" t="s">
        <v>89</v>
      </c>
    </row>
    <row r="49" spans="1:38" ht="20.25">
      <c r="B49" s="74" t="s">
        <v>90</v>
      </c>
      <c r="D49" s="114"/>
      <c r="E49" s="255" t="str">
        <f>_xll.DBRA(Server&amp;$C$20,$B49,$F$17)</f>
        <v>Fleet (RESOP)</v>
      </c>
      <c r="F49" s="255"/>
      <c r="G49" s="123"/>
      <c r="H49" s="104">
        <f>_xll.DBRW($H$3,$F$13,$F$14,$F$15,$F$16,$F$11,$F$12,H$18,H$1,$B49)</f>
        <v>0</v>
      </c>
      <c r="I49" s="104">
        <f>_xll.DBRW($H$3,$F$13,$F$14,$F$15,$F$16,$F$11,$F$12,I$18,I$1,$B49)</f>
        <v>0</v>
      </c>
      <c r="J49" s="104">
        <f>_xll.DBRW($H$3,$F$13,$F$14,$F$15,$F$16,$F$11,$F$12,J$18,J$1,$B49)</f>
        <v>0</v>
      </c>
      <c r="K49" s="104">
        <f>_xll.DBRW($H$3,$F$13,$F$14,$F$15,$F$16,$F$11,$F$12,K$18,K$1,$B49)</f>
        <v>-287978.24069094495</v>
      </c>
      <c r="L49" s="102"/>
      <c r="M49" s="104">
        <f t="shared" si="10"/>
        <v>0</v>
      </c>
      <c r="N49" s="105" t="str">
        <f t="shared" si="11"/>
        <v>-</v>
      </c>
      <c r="O49" s="173" t="str">
        <f t="shared" si="12"/>
        <v>è</v>
      </c>
      <c r="P49" s="104">
        <f t="shared" si="13"/>
        <v>0</v>
      </c>
      <c r="Q49" s="105" t="str">
        <f t="shared" si="14"/>
        <v>-</v>
      </c>
      <c r="R49" s="173" t="str">
        <f t="shared" si="15"/>
        <v>è</v>
      </c>
      <c r="S49" s="104">
        <f t="shared" si="16"/>
        <v>287978.24069094495</v>
      </c>
      <c r="T49" s="105">
        <f t="shared" si="17"/>
        <v>-1</v>
      </c>
      <c r="U49" s="174" t="str">
        <f t="shared" si="18"/>
        <v>ì</v>
      </c>
      <c r="V49" s="33"/>
      <c r="X49" s="13"/>
      <c r="Y49" s="35" t="s">
        <v>91</v>
      </c>
    </row>
    <row r="50" spans="1:38" ht="20.25">
      <c r="B50" s="74" t="s">
        <v>92</v>
      </c>
      <c r="D50" s="114"/>
      <c r="E50" s="255" t="str">
        <f>_xll.DBRA(Server&amp;$C$20,$B50,$F$17)</f>
        <v>Infrastructure (RESOP)</v>
      </c>
      <c r="F50" s="255"/>
      <c r="G50" s="123"/>
      <c r="H50" s="104">
        <f>_xll.DBRW($H$3,$F$13,$F$14,$F$15,$F$16,$F$11,$F$12,H$18,H$1,$B50)</f>
        <v>0</v>
      </c>
      <c r="I50" s="104">
        <f>_xll.DBRW($H$3,$F$13,$F$14,$F$15,$F$16,$F$11,$F$12,I$18,I$1,$B50)</f>
        <v>0</v>
      </c>
      <c r="J50" s="104">
        <f>_xll.DBRW($H$3,$F$13,$F$14,$F$15,$F$16,$F$11,$F$12,J$18,J$1,$B50)</f>
        <v>0</v>
      </c>
      <c r="K50" s="104">
        <f>_xll.DBRW($H$3,$F$13,$F$14,$F$15,$F$16,$F$11,$F$12,K$18,K$1,$B50)</f>
        <v>-272011.98291101004</v>
      </c>
      <c r="L50" s="102"/>
      <c r="M50" s="104">
        <f t="shared" si="10"/>
        <v>0</v>
      </c>
      <c r="N50" s="124" t="str">
        <f t="shared" si="11"/>
        <v>-</v>
      </c>
      <c r="O50" s="173" t="str">
        <f t="shared" si="12"/>
        <v>è</v>
      </c>
      <c r="P50" s="104">
        <f t="shared" si="13"/>
        <v>0</v>
      </c>
      <c r="Q50" s="124" t="str">
        <f t="shared" si="14"/>
        <v>-</v>
      </c>
      <c r="R50" s="173" t="str">
        <f t="shared" si="15"/>
        <v>è</v>
      </c>
      <c r="S50" s="104">
        <f t="shared" si="16"/>
        <v>272011.98291101004</v>
      </c>
      <c r="T50" s="124">
        <f t="shared" si="17"/>
        <v>-1</v>
      </c>
      <c r="U50" s="174" t="str">
        <f t="shared" si="18"/>
        <v>ì</v>
      </c>
      <c r="V50" s="33"/>
      <c r="Y50" s="35" t="s">
        <v>93</v>
      </c>
    </row>
    <row r="51" spans="1:38" ht="20.25">
      <c r="B51" s="74" t="s">
        <v>94</v>
      </c>
      <c r="D51" s="114"/>
      <c r="E51" s="255" t="str">
        <f>_xll.DBRA(Server&amp;$C$20,$B51,$F$17)</f>
        <v>Additional transport costs (RESOP)</v>
      </c>
      <c r="F51" s="255"/>
      <c r="G51" s="115"/>
      <c r="H51" s="104">
        <f>_xll.DBRW($H$3,$F$13,$F$14,$F$15,$F$16,$F$11,$F$12,H$18,H$1,$B51)</f>
        <v>0</v>
      </c>
      <c r="I51" s="104">
        <f>_xll.DBRW($H$3,$F$13,$F$14,$F$15,$F$16,$F$11,$F$12,I$18,I$1,$B51)</f>
        <v>0</v>
      </c>
      <c r="J51" s="104">
        <f>_xll.DBRW($H$3,$F$13,$F$14,$F$15,$F$16,$F$11,$F$12,J$18,J$1,$B51)</f>
        <v>0</v>
      </c>
      <c r="K51" s="104">
        <f>_xll.DBRW($H$3,$F$13,$F$14,$F$15,$F$16,$F$11,$F$12,K$18,K$1,$B51)</f>
        <v>-64968.925186013919</v>
      </c>
      <c r="L51" s="102"/>
      <c r="M51" s="104">
        <f t="shared" si="10"/>
        <v>0</v>
      </c>
      <c r="N51" s="105" t="str">
        <f t="shared" si="11"/>
        <v>-</v>
      </c>
      <c r="O51" s="173" t="str">
        <f t="shared" si="12"/>
        <v>è</v>
      </c>
      <c r="P51" s="104">
        <f t="shared" si="13"/>
        <v>0</v>
      </c>
      <c r="Q51" s="105" t="str">
        <f t="shared" si="14"/>
        <v>-</v>
      </c>
      <c r="R51" s="173" t="str">
        <f t="shared" si="15"/>
        <v>è</v>
      </c>
      <c r="S51" s="104">
        <f t="shared" si="16"/>
        <v>64968.925186013919</v>
      </c>
      <c r="T51" s="105">
        <f t="shared" si="17"/>
        <v>-1</v>
      </c>
      <c r="U51" s="174" t="str">
        <f t="shared" si="18"/>
        <v>ì</v>
      </c>
      <c r="V51" s="33"/>
      <c r="Y51" s="35" t="s">
        <v>95</v>
      </c>
    </row>
    <row r="52" spans="1:38" ht="18.75" customHeight="1">
      <c r="B52" s="74" t="s">
        <v>96</v>
      </c>
      <c r="D52" s="114"/>
      <c r="E52" s="259" t="str">
        <f>_xll.DBRA(Server&amp;$C$20,$B52,$F$17)</f>
        <v>Transport costs - Vector Reconciliation</v>
      </c>
      <c r="F52" s="259"/>
      <c r="G52" s="118"/>
      <c r="H52" s="181">
        <f>_xll.DBRW($H$3,$F$13,$F$14,$F$15,$F$16,$F$11,$F$12,H$18,H$1,$B52)</f>
        <v>0</v>
      </c>
      <c r="I52" s="181">
        <f>_xll.DBRW($H$3,$F$13,$F$14,$F$15,$F$16,$F$11,$F$12,I$18,I$1,$B52)</f>
        <v>0</v>
      </c>
      <c r="J52" s="181">
        <f>_xll.DBRW($H$3,$F$13,$F$14,$F$15,$F$16,$F$11,$F$12,J$18,J$1,$B52)</f>
        <v>0</v>
      </c>
      <c r="K52" s="181">
        <f>_xll.DBRW($H$3,$F$13,$F$14,$F$15,$F$16,$F$11,$F$12,K$18,K$1,$B52)</f>
        <v>-172926.31976475214</v>
      </c>
      <c r="L52" s="177"/>
      <c r="M52" s="181">
        <f t="shared" si="10"/>
        <v>0</v>
      </c>
      <c r="N52" s="182" t="str">
        <f t="shared" si="11"/>
        <v>-</v>
      </c>
      <c r="O52" s="183"/>
      <c r="P52" s="181">
        <f t="shared" si="13"/>
        <v>0</v>
      </c>
      <c r="Q52" s="182" t="str">
        <f t="shared" si="14"/>
        <v>-</v>
      </c>
      <c r="R52" s="183"/>
      <c r="S52" s="181">
        <f t="shared" si="16"/>
        <v>172926.31976475214</v>
      </c>
      <c r="T52" s="182">
        <f t="shared" si="17"/>
        <v>-1</v>
      </c>
      <c r="U52" s="183"/>
      <c r="V52" s="36"/>
      <c r="Y52" s="51" t="s">
        <v>97</v>
      </c>
    </row>
    <row r="53" spans="1:38" ht="9.75" customHeight="1">
      <c r="C53" s="74"/>
      <c r="D53" s="100"/>
      <c r="E53" s="119"/>
      <c r="F53" s="125"/>
      <c r="G53" s="162"/>
      <c r="H53" s="126"/>
      <c r="I53" s="126"/>
      <c r="J53" s="126"/>
      <c r="K53" s="126"/>
      <c r="L53" s="177"/>
      <c r="M53" s="126"/>
      <c r="N53" s="127"/>
      <c r="O53" s="151"/>
      <c r="P53" s="126"/>
      <c r="Q53" s="127"/>
      <c r="R53" s="151"/>
      <c r="S53" s="126"/>
      <c r="T53" s="127"/>
      <c r="Y53" s="51" t="s">
        <v>98</v>
      </c>
    </row>
    <row r="54" spans="1:38" s="39" customFormat="1" ht="25" customHeight="1" thickBot="1">
      <c r="A54" s="128"/>
      <c r="B54" s="97" t="s">
        <v>99</v>
      </c>
      <c r="C54" s="96" t="str">
        <f>_xll.DBRA(Server&amp;$C$20,$B54,$F$17)</f>
        <v>GROSS MARGIN (by destination)</v>
      </c>
      <c r="D54" s="122"/>
      <c r="E54" s="271" t="str">
        <f>LEFT(C54,FIND("(",C54,1)-1)</f>
        <v xml:space="preserve">GROSS MARGIN </v>
      </c>
      <c r="F54" s="271"/>
      <c r="G54" s="164"/>
      <c r="H54" s="184">
        <f>_xll.DBRW($H$3,$F$13,$F$14,$F$15,$F$16,$F$11,$F$12,H$18,H$1,$B54)</f>
        <v>0</v>
      </c>
      <c r="I54" s="184">
        <f>_xll.DBRW($H$3,$F$13,$F$14,$F$15,$F$16,$F$11,$F$12,I$18,I$1,$B54)</f>
        <v>0</v>
      </c>
      <c r="J54" s="184">
        <f>_xll.DBRW($H$3,$F$13,$F$14,$F$15,$F$16,$F$11,$F$12,J$18,J$1,$B54)</f>
        <v>0</v>
      </c>
      <c r="K54" s="184">
        <f>_xll.DBRW($H$3,$F$13,$F$14,$F$15,$F$16,$F$11,$F$12,K$18,K$1,$B54)</f>
        <v>483621.15818799916</v>
      </c>
      <c r="L54" s="177"/>
      <c r="M54" s="184">
        <f>IF(OR($H54="",I54=""),"-",IFERROR(($H54-I54),""))</f>
        <v>0</v>
      </c>
      <c r="N54" s="185" t="str">
        <f>IF(OR($I54=0,M54=0),"-",IF(ABS(M54/$I54)&gt;2,"-",M54/$I54))</f>
        <v>-</v>
      </c>
      <c r="O54" s="167" t="str">
        <f>IF(OR(AND(N54&gt;0.01,M54&lt;0),AND(N54&lt;-0.01,M54&lt;0)),"î",IF(OR(AND(N54&lt;-0.01,M54&gt;0),AND(N54&gt;0.01,M54&gt;0)),"ì","è"))</f>
        <v>è</v>
      </c>
      <c r="P54" s="184">
        <f>IF(OR($H54="",J54=""),"-",IFERROR(($H54-J54),""))</f>
        <v>0</v>
      </c>
      <c r="Q54" s="185" t="str">
        <f>IF(OR($J54=0,P54=0),"-",IF(ABS(P54/$J54)&gt;2,"-",P54/$J54))</f>
        <v>-</v>
      </c>
      <c r="R54" s="167" t="str">
        <f>IF(OR(AND(Q54&gt;0.01,P54&lt;0),AND(Q54&lt;-0.01,P54&lt;0)),"î",IF(OR(AND(Q54&lt;-0.01,P54&gt;0),AND(Q54&gt;0.01,P54&gt;0)),"ì","è"))</f>
        <v>è</v>
      </c>
      <c r="S54" s="184">
        <f>IF(OR($H54="",K54=""),"-",IFERROR(($H54-K54),""))</f>
        <v>-483621.15818799916</v>
      </c>
      <c r="T54" s="185">
        <f>IF(OR($K54=0,S54=0),"-",IF(ABS(S54/$K54)&gt;2,"-",S54/$K54))</f>
        <v>-1</v>
      </c>
      <c r="U54" s="167" t="str">
        <f>IF(OR(AND(T54&gt;0.01,S54&lt;0),AND(T54&lt;-0.01,S54&lt;0)),"î",IF(OR(AND(T54&lt;-0.01,S54&gt;0),AND(T54&gt;0.01,S54&gt;0)),"ì","è"))</f>
        <v>î</v>
      </c>
      <c r="V54" s="24"/>
      <c r="W54" s="38"/>
      <c r="X54" s="38"/>
      <c r="Y54" s="35" t="s">
        <v>100</v>
      </c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</row>
    <row r="55" spans="1:38" ht="18.75" customHeight="1">
      <c r="C55" s="74"/>
      <c r="D55" s="114"/>
      <c r="E55" s="129" t="str">
        <f>_xll.DBRA(Server&amp;$Y$15,$Y35,$F$17)</f>
        <v>Gross Margin (in percentage of ROA)</v>
      </c>
      <c r="F55" s="129"/>
      <c r="G55" s="186"/>
      <c r="H55" s="187" t="str">
        <f>IF(H$21=0,_xll.DBRA(Server&amp;$Y$15,Y$58,$F$17),H54/H$21)</f>
        <v>No Data for ROA</v>
      </c>
      <c r="I55" s="130" t="e">
        <f>IF(I$21=0,_xll.DBRA(Server&amp;$Y$15,Z$58,$F$17),I54/I$21)</f>
        <v>#VALUE!</v>
      </c>
      <c r="J55" s="130" t="e">
        <f>IF(J$21=0,_xll.DBRA(Server&amp;$Y$15,AA$58,$F$17),J54/J$21)</f>
        <v>#VALUE!</v>
      </c>
      <c r="K55" s="130">
        <f>IF(K$21=0,_xll.DBRA(Server&amp;$Y$15,AB$58,$F$17),K54/K$21)</f>
        <v>9.7466513904092E-2</v>
      </c>
      <c r="L55" s="188"/>
      <c r="M55" s="189"/>
      <c r="N55" s="187"/>
      <c r="O55" s="190"/>
      <c r="P55" s="189"/>
      <c r="Q55" s="187"/>
      <c r="R55" s="190"/>
      <c r="S55" s="189"/>
      <c r="T55" s="187"/>
      <c r="U55" s="191"/>
      <c r="V55" s="23"/>
      <c r="Y55" s="35" t="s">
        <v>101</v>
      </c>
    </row>
    <row r="56" spans="1:38" ht="9.75" customHeight="1">
      <c r="C56" s="74"/>
      <c r="D56" s="100"/>
      <c r="E56" s="119"/>
      <c r="F56" s="125"/>
      <c r="G56" s="125"/>
      <c r="H56" s="131"/>
      <c r="I56" s="131"/>
      <c r="J56" s="131"/>
      <c r="K56" s="131"/>
      <c r="L56" s="125"/>
      <c r="M56" s="131"/>
      <c r="N56" s="132"/>
      <c r="O56" s="152"/>
      <c r="P56" s="131"/>
      <c r="Q56" s="132"/>
      <c r="R56" s="152"/>
      <c r="S56" s="131"/>
      <c r="T56" s="132"/>
      <c r="U56" s="161"/>
      <c r="V56" s="37"/>
      <c r="Y56" s="40" t="s">
        <v>102</v>
      </c>
    </row>
    <row r="57" spans="1:38" s="22" customFormat="1" ht="25" customHeight="1">
      <c r="A57" s="96"/>
      <c r="B57" s="97" t="s">
        <v>103</v>
      </c>
      <c r="C57" s="96" t="str">
        <f>_xll.DBRA(Server&amp;$C$20,$B57,$F$17)</f>
        <v>SELLING EXPENSES (by destination)</v>
      </c>
      <c r="D57" s="122"/>
      <c r="E57" s="257" t="str">
        <f>LEFT(C57,FIND("(",C57,1)-1)</f>
        <v xml:space="preserve">SELLING EXPENSES </v>
      </c>
      <c r="F57" s="257"/>
      <c r="G57" s="164"/>
      <c r="H57" s="165">
        <f>_xll.DBRW($H$3,$F$13,$F$14,$F$15,$F$16,$F$11,$F$12,H$18,H$1,$B57)</f>
        <v>0</v>
      </c>
      <c r="I57" s="165">
        <f>_xll.DBRW($H$3,$F$13,$F$14,$F$15,$F$16,$F$11,$F$12,I$18,I$1,$B57)</f>
        <v>0</v>
      </c>
      <c r="J57" s="165">
        <f>_xll.DBRW($H$3,$F$13,$F$14,$F$15,$F$16,$F$11,$F$12,J$18,J$1,$B57)</f>
        <v>0</v>
      </c>
      <c r="K57" s="165">
        <f>_xll.DBRW($H$3,$F$13,$F$14,$F$15,$F$16,$F$11,$F$12,K$18,K$1,$B57)</f>
        <v>-17960.379488999999</v>
      </c>
      <c r="L57" s="99"/>
      <c r="M57" s="165">
        <f t="shared" ref="M57:M59" si="19">IF(OR($H57="",I57=""),"-",IFERROR(($H57-I57),""))</f>
        <v>0</v>
      </c>
      <c r="N57" s="166" t="str">
        <f t="shared" ref="N57:N59" si="20">IF(OR($I57=0,M57=0),"-",IF(ABS(M57/$I57)&gt;2,"-",M57/$I57))</f>
        <v>-</v>
      </c>
      <c r="O57" s="167" t="str">
        <f>IF(OR(AND(N57&gt;0.01,M57&lt;0),AND(N57&lt;-0.01,M57&lt;0)),"î",IF(OR(AND(N57&lt;-0.01,M57&gt;0),AND(N57&gt;0.01,M57&gt;0)),"ì","è"))</f>
        <v>è</v>
      </c>
      <c r="P57" s="165">
        <f t="shared" ref="P57:P59" si="21">IF(OR($H57="",J57=""),"-",IFERROR(($H57-J57),""))</f>
        <v>0</v>
      </c>
      <c r="Q57" s="166" t="str">
        <f t="shared" ref="Q57:Q59" si="22">IF(OR($J57=0,P57=0),"-",IF(ABS(P57/$J57)&gt;2,"-",P57/$J57))</f>
        <v>-</v>
      </c>
      <c r="R57" s="167" t="str">
        <f>IF(OR(AND(Q57&gt;0.01,P57&lt;0),AND(Q57&lt;-0.01,P57&lt;0)),"î",IF(OR(AND(Q57&lt;-0.01,P57&gt;0),AND(Q57&gt;0.01,P57&gt;0)),"ì","è"))</f>
        <v>è</v>
      </c>
      <c r="S57" s="165">
        <f t="shared" ref="S57:S59" si="23">IF(OR($H57="",K57=""),"-",IFERROR(($H57-K57),""))</f>
        <v>17960.379488999999</v>
      </c>
      <c r="T57" s="166">
        <f t="shared" ref="T57:T59" si="24">IF(OR($K57=0,S57=0),"-",IF(ABS(S57/$K57)&gt;2,"-",S57/$K57))</f>
        <v>-1</v>
      </c>
      <c r="U57" s="167" t="str">
        <f t="shared" ref="U57:U58" si="25">IF(OR(AND(T57&gt;0.01,S57&lt;0),AND(T57&lt;-0.01,S57&lt;0)),"î",IF(OR(AND(T57&lt;-0.01,S57&gt;0),AND(T57&gt;0.01,S57&gt;0)),"ì","è"))</f>
        <v>ì</v>
      </c>
      <c r="V57" s="24"/>
      <c r="W57" s="25"/>
      <c r="X57" s="25"/>
      <c r="Y57" s="41" t="s">
        <v>104</v>
      </c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</row>
    <row r="58" spans="1:38" ht="20.25" customHeight="1">
      <c r="B58" s="74" t="s">
        <v>105</v>
      </c>
      <c r="D58" s="100"/>
      <c r="E58" s="258" t="str">
        <f>_xll.DBRA(Server&amp;$C$20,$B58,$F$17)</f>
        <v>Business development expenses (RESOP)</v>
      </c>
      <c r="F58" s="258"/>
      <c r="G58" s="101"/>
      <c r="H58" s="168">
        <f>_xll.DBRW($H$3,$F$13,$F$14,$F$15,$F$16,$F$11,$F$12,H$18,H$1,$B58)</f>
        <v>0</v>
      </c>
      <c r="I58" s="168">
        <f>_xll.DBRW($H$3,$F$13,$F$14,$F$15,$F$16,$F$11,$F$12,I$18,I$1,$B58)</f>
        <v>0</v>
      </c>
      <c r="J58" s="168">
        <f>_xll.DBRW($H$3,$F$13,$F$14,$F$15,$F$16,$F$11,$F$12,J$18,J$1,$B58)</f>
        <v>0</v>
      </c>
      <c r="K58" s="168">
        <f>_xll.DBRW($H$3,$F$13,$F$14,$F$15,$F$16,$F$11,$F$12,K$18,K$1,$B58)</f>
        <v>-14241.79757355672</v>
      </c>
      <c r="L58" s="102"/>
      <c r="M58" s="168">
        <f t="shared" si="19"/>
        <v>0</v>
      </c>
      <c r="N58" s="169" t="str">
        <f t="shared" si="20"/>
        <v>-</v>
      </c>
      <c r="O58" s="170" t="str">
        <f>IF(OR(AND(N58&gt;0.01,M58&lt;0),AND(N58&lt;-0.01,M58&lt;0)),"î",IF(OR(AND(N58&lt;-0.01,M58&gt;0),AND(N58&gt;0.01,M58&gt;0)),"ì","è"))</f>
        <v>è</v>
      </c>
      <c r="P58" s="168">
        <f t="shared" si="21"/>
        <v>0</v>
      </c>
      <c r="Q58" s="169" t="str">
        <f t="shared" si="22"/>
        <v>-</v>
      </c>
      <c r="R58" s="170" t="str">
        <f>IF(OR(AND(Q58&gt;0.01,P58&lt;0),AND(Q58&lt;-0.01,P58&lt;0)),"î",IF(OR(AND(Q58&lt;-0.01,P58&gt;0),AND(Q58&gt;0.01,P58&gt;0)),"ì","è"))</f>
        <v>è</v>
      </c>
      <c r="S58" s="168">
        <f t="shared" si="23"/>
        <v>14241.79757355672</v>
      </c>
      <c r="T58" s="171">
        <f t="shared" si="24"/>
        <v>-1</v>
      </c>
      <c r="U58" s="172" t="str">
        <f t="shared" si="25"/>
        <v>ì</v>
      </c>
      <c r="V58" s="26"/>
      <c r="Y58" s="21" t="s">
        <v>106</v>
      </c>
    </row>
    <row r="59" spans="1:38" ht="18.75" customHeight="1">
      <c r="B59" s="74" t="s">
        <v>107</v>
      </c>
      <c r="D59" s="114"/>
      <c r="E59" s="259" t="str">
        <f>_xll.DBRA(Server&amp;$C$20,$B59,$F$17)</f>
        <v>Business development expenses - Vector Reconciliation</v>
      </c>
      <c r="F59" s="259"/>
      <c r="G59" s="118"/>
      <c r="H59" s="181">
        <f>_xll.DBRW($H$3,$F$13,$F$14,$F$15,$F$16,$F$11,$F$12,H$18,H$1,$B59)</f>
        <v>0</v>
      </c>
      <c r="I59" s="181">
        <f>_xll.DBRW($H$3,$F$13,$F$14,$F$15,$F$16,$F$11,$F$12,I$18,I$1,$B59)</f>
        <v>0</v>
      </c>
      <c r="J59" s="181">
        <f>_xll.DBRW($H$3,$F$13,$F$14,$F$15,$F$16,$F$11,$F$12,J$18,J$1,$B59)</f>
        <v>0</v>
      </c>
      <c r="K59" s="181">
        <f>_xll.DBRW($H$3,$F$13,$F$14,$F$15,$F$16,$F$11,$F$12,K$18,K$1,$B59)</f>
        <v>-3718.5819154432802</v>
      </c>
      <c r="L59" s="177"/>
      <c r="M59" s="181">
        <f t="shared" si="19"/>
        <v>0</v>
      </c>
      <c r="N59" s="182" t="str">
        <f t="shared" si="20"/>
        <v>-</v>
      </c>
      <c r="O59" s="183"/>
      <c r="P59" s="181">
        <f t="shared" si="21"/>
        <v>0</v>
      </c>
      <c r="Q59" s="182" t="str">
        <f t="shared" si="22"/>
        <v>-</v>
      </c>
      <c r="R59" s="183"/>
      <c r="S59" s="181">
        <f t="shared" si="23"/>
        <v>3718.5819154432802</v>
      </c>
      <c r="T59" s="182">
        <f t="shared" si="24"/>
        <v>-1</v>
      </c>
      <c r="U59" s="183"/>
      <c r="V59" s="36"/>
    </row>
    <row r="60" spans="1:38" ht="9.75" customHeight="1">
      <c r="C60" s="74"/>
      <c r="D60" s="100"/>
      <c r="E60" s="119"/>
      <c r="F60" s="125"/>
      <c r="G60" s="125"/>
      <c r="H60" s="133"/>
      <c r="I60" s="133"/>
      <c r="J60" s="133"/>
      <c r="K60" s="133"/>
      <c r="L60" s="133"/>
      <c r="M60" s="133"/>
      <c r="N60" s="132"/>
      <c r="O60" s="152"/>
      <c r="P60" s="133"/>
      <c r="Q60" s="132"/>
      <c r="R60" s="152"/>
      <c r="S60" s="133"/>
      <c r="T60" s="132"/>
      <c r="U60" s="161"/>
      <c r="V60" s="37"/>
      <c r="W60" s="37"/>
    </row>
    <row r="61" spans="1:38" s="22" customFormat="1" ht="25" customHeight="1">
      <c r="A61" s="96"/>
      <c r="B61" s="97" t="s">
        <v>108</v>
      </c>
      <c r="C61" s="96" t="str">
        <f>_xll.DBRA(Server&amp;$C$20,$B61,$F$17)</f>
        <v>GENERAL AND ADMINISTRATIVE COSTS (by destination)</v>
      </c>
      <c r="D61" s="122"/>
      <c r="E61" s="257" t="str">
        <f>LEFT(C61,FIND("(",C61,1)-1)</f>
        <v xml:space="preserve">GENERAL AND ADMINISTRATIVE COSTS </v>
      </c>
      <c r="F61" s="257"/>
      <c r="G61" s="180"/>
      <c r="H61" s="165">
        <f>_xll.DBRW($H$3,$F$13,$F$14,$F$15,$F$16,$F$11,$F$12,H$18,H$1,$B61)</f>
        <v>0</v>
      </c>
      <c r="I61" s="165">
        <f>_xll.DBRW($H$3,$F$13,$F$14,$F$15,$F$16,$F$11,$F$12,I$18,I$1,$B61)</f>
        <v>0</v>
      </c>
      <c r="J61" s="165">
        <f>_xll.DBRW($H$3,$F$13,$F$14,$F$15,$F$16,$F$11,$F$12,J$18,J$1,$B61)</f>
        <v>0</v>
      </c>
      <c r="K61" s="165">
        <f>_xll.DBRW($H$3,$F$13,$F$14,$F$15,$F$16,$F$11,$F$12,K$18,K$1,$B61)</f>
        <v>-427557.31329599995</v>
      </c>
      <c r="L61" s="99"/>
      <c r="M61" s="165">
        <f t="shared" ref="M61:M63" si="26">IF(OR($H61="",I61=""),"-",IFERROR(($H61-I61),""))</f>
        <v>0</v>
      </c>
      <c r="N61" s="166" t="str">
        <f t="shared" ref="N61:N63" si="27">IF(OR($I61=0,M61=0),"-",IF(ABS(M61/$I61)&gt;2,"-",M61/$I61))</f>
        <v>-</v>
      </c>
      <c r="O61" s="167" t="str">
        <f>IF(OR(AND(N61&gt;0.01,M61&lt;0),AND(N61&lt;-0.01,M61&lt;0)),"î",IF(OR(AND(N61&lt;-0.01,M61&gt;0),AND(N61&gt;0.01,M61&gt;0)),"ì","è"))</f>
        <v>è</v>
      </c>
      <c r="P61" s="165">
        <f t="shared" ref="P61:P63" si="28">IF(OR($H61="",J61=""),"-",IFERROR(($H61-J61),""))</f>
        <v>0</v>
      </c>
      <c r="Q61" s="166" t="str">
        <f t="shared" ref="Q61:Q63" si="29">IF(OR($J61=0,P61=0),"-",IF(ABS(P61/$J61)&gt;2,"-",P61/$J61))</f>
        <v>-</v>
      </c>
      <c r="R61" s="167" t="str">
        <f>IF(OR(AND(Q61&gt;0.01,P61&lt;0),AND(Q61&lt;-0.01,P61&lt;0)),"î",IF(OR(AND(Q61&lt;-0.01,P61&gt;0),AND(Q61&gt;0.01,P61&gt;0)),"ì","è"))</f>
        <v>è</v>
      </c>
      <c r="S61" s="165">
        <f t="shared" ref="S61:S63" si="30">IF(OR($H61="",K61=""),"-",IFERROR(($H61-K61),""))</f>
        <v>427557.31329599995</v>
      </c>
      <c r="T61" s="166">
        <f t="shared" ref="T61:T63" si="31">IF(OR($K61=0,S61=0),"-",IF(ABS(S61/$K61)&gt;2,"-",S61/$K61))</f>
        <v>-1</v>
      </c>
      <c r="U61" s="167" t="str">
        <f t="shared" ref="U61:U62" si="32">IF(OR(AND(T61&gt;0.01,S61&lt;0),AND(T61&lt;-0.01,S61&lt;0)),"î",IF(OR(AND(T61&lt;-0.01,S61&gt;0),AND(T61&gt;0.01,S61&gt;0)),"ì","è"))</f>
        <v>ì</v>
      </c>
      <c r="V61" s="24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</row>
    <row r="62" spans="1:38" ht="20.25" customHeight="1">
      <c r="B62" s="74" t="s">
        <v>109</v>
      </c>
      <c r="D62" s="100"/>
      <c r="E62" s="258" t="str">
        <f>_xll.DBRA(Server&amp;$C$20,$B62,$F$17)</f>
        <v>G&amp;A (management fees + overhead costs)</v>
      </c>
      <c r="F62" s="258"/>
      <c r="G62" s="101"/>
      <c r="H62" s="168">
        <f>_xll.DBRW($H$3,$F$13,$F$14,$F$15,$F$16,$F$11,$F$12,H$18,H$1,$B62)</f>
        <v>0</v>
      </c>
      <c r="I62" s="168">
        <f>_xll.DBRW($H$3,$F$13,$F$14,$F$15,$F$16,$F$11,$F$12,I$18,I$1,$B62)</f>
        <v>0</v>
      </c>
      <c r="J62" s="168">
        <f>_xll.DBRW($H$3,$F$13,$F$14,$F$15,$F$16,$F$11,$F$12,J$18,J$1,$B62)</f>
        <v>0</v>
      </c>
      <c r="K62" s="168">
        <f>_xll.DBRW($H$3,$F$13,$F$14,$F$15,$F$16,$F$11,$F$12,K$18,K$1,$B62)</f>
        <v>-382697.91631185269</v>
      </c>
      <c r="L62" s="102"/>
      <c r="M62" s="168">
        <f t="shared" si="26"/>
        <v>0</v>
      </c>
      <c r="N62" s="169" t="str">
        <f t="shared" si="27"/>
        <v>-</v>
      </c>
      <c r="O62" s="170" t="str">
        <f>IF(OR(AND(N62&gt;0.01,M62&lt;0),AND(N62&lt;-0.01,M62&lt;0)),"î",IF(OR(AND(N62&lt;-0.01,M62&gt;0),AND(N62&gt;0.01,M62&gt;0)),"ì","è"))</f>
        <v>è</v>
      </c>
      <c r="P62" s="168">
        <f t="shared" si="28"/>
        <v>0</v>
      </c>
      <c r="Q62" s="169" t="str">
        <f t="shared" si="29"/>
        <v>-</v>
      </c>
      <c r="R62" s="170" t="str">
        <f>IF(OR(AND(Q62&gt;0.01,P62&lt;0),AND(Q62&lt;-0.01,P62&lt;0)),"î",IF(OR(AND(Q62&lt;-0.01,P62&gt;0),AND(Q62&gt;0.01,P62&gt;0)),"ì","è"))</f>
        <v>è</v>
      </c>
      <c r="S62" s="168">
        <f t="shared" si="30"/>
        <v>382697.91631185269</v>
      </c>
      <c r="T62" s="171">
        <f t="shared" si="31"/>
        <v>-1</v>
      </c>
      <c r="U62" s="172" t="str">
        <f t="shared" si="32"/>
        <v>ì</v>
      </c>
      <c r="V62" s="26"/>
      <c r="Y62" s="21"/>
    </row>
    <row r="63" spans="1:38" ht="18.75" customHeight="1">
      <c r="B63" s="74" t="s">
        <v>110</v>
      </c>
      <c r="D63" s="114"/>
      <c r="E63" s="259" t="str">
        <f>_xll.DBRA(Server&amp;$C$20,$B63,$F$17)</f>
        <v>G&amp;A Overhead costs - Vector Reconciliation</v>
      </c>
      <c r="F63" s="259"/>
      <c r="G63" s="118"/>
      <c r="H63" s="181">
        <f>_xll.DBRW($H$3,$F$13,$F$14,$F$15,$F$16,$F$11,$F$12,H$18,H$1,$B63)</f>
        <v>0</v>
      </c>
      <c r="I63" s="181">
        <f>_xll.DBRW($H$3,$F$13,$F$14,$F$15,$F$16,$F$11,$F$12,I$18,I$1,$B63)</f>
        <v>0</v>
      </c>
      <c r="J63" s="181">
        <f>_xll.DBRW($H$3,$F$13,$F$14,$F$15,$F$16,$F$11,$F$12,J$18,J$1,$B63)</f>
        <v>0</v>
      </c>
      <c r="K63" s="181">
        <f>_xll.DBRW($H$3,$F$13,$F$14,$F$15,$F$16,$F$11,$F$12,K$18,K$1,$B63)</f>
        <v>-44859.396984147206</v>
      </c>
      <c r="L63" s="177"/>
      <c r="M63" s="181">
        <f t="shared" si="26"/>
        <v>0</v>
      </c>
      <c r="N63" s="182" t="str">
        <f t="shared" si="27"/>
        <v>-</v>
      </c>
      <c r="O63" s="183"/>
      <c r="P63" s="181">
        <f t="shared" si="28"/>
        <v>0</v>
      </c>
      <c r="Q63" s="182" t="str">
        <f t="shared" si="29"/>
        <v>-</v>
      </c>
      <c r="R63" s="183"/>
      <c r="S63" s="181">
        <f t="shared" si="30"/>
        <v>44859.396984147206</v>
      </c>
      <c r="T63" s="182">
        <f t="shared" si="31"/>
        <v>-1</v>
      </c>
      <c r="U63" s="183"/>
      <c r="V63" s="36"/>
    </row>
    <row r="64" spans="1:38" ht="6.75" customHeight="1">
      <c r="C64" s="74"/>
      <c r="D64" s="100"/>
      <c r="E64" s="119"/>
      <c r="F64" s="125"/>
      <c r="G64" s="125"/>
      <c r="H64" s="133"/>
      <c r="I64" s="133"/>
      <c r="J64" s="133"/>
      <c r="K64" s="133"/>
      <c r="L64" s="133"/>
      <c r="M64" s="133"/>
      <c r="N64" s="132"/>
      <c r="O64" s="152"/>
      <c r="P64" s="133"/>
      <c r="Q64" s="132"/>
      <c r="R64" s="152"/>
      <c r="S64" s="133"/>
      <c r="T64" s="132"/>
      <c r="U64" s="161"/>
      <c r="V64" s="37"/>
      <c r="W64" s="37"/>
    </row>
    <row r="65" spans="1:51" s="39" customFormat="1" ht="25" customHeight="1">
      <c r="A65" s="128"/>
      <c r="B65" s="97" t="s">
        <v>111</v>
      </c>
      <c r="C65" s="96" t="str">
        <f>_xll.DBRA(Server&amp;$C$20,$B65,$F$17)</f>
        <v>OTHER OPERATING REVENUE AND EXPENSE (by destination)</v>
      </c>
      <c r="D65" s="122"/>
      <c r="E65" s="257" t="str">
        <f>LEFT(C65,FIND("(",C65,1)-1)</f>
        <v xml:space="preserve">OTHER OPERATING REVENUE AND EXPENSE </v>
      </c>
      <c r="F65" s="257"/>
      <c r="G65" s="180"/>
      <c r="H65" s="165">
        <f>_xll.DBRW($H$3,$F$13,$F$14,$F$15,$F$16,$F$11,$F$12,H$18,H$1,$B65)</f>
        <v>0</v>
      </c>
      <c r="I65" s="165">
        <f>_xll.DBRW($H$3,$F$13,$F$14,$F$15,$F$16,$F$11,$F$12,I$18,I$1,$B65)</f>
        <v>0</v>
      </c>
      <c r="J65" s="165">
        <f>_xll.DBRW($H$3,$F$13,$F$14,$F$15,$F$16,$F$11,$F$12,J$18,J$1,$B65)</f>
        <v>0</v>
      </c>
      <c r="K65" s="165">
        <f>_xll.DBRW($H$3,$F$13,$F$14,$F$15,$F$16,$F$11,$F$12,K$18,K$1,$B65)</f>
        <v>10402.01471600038</v>
      </c>
      <c r="L65" s="99"/>
      <c r="M65" s="165">
        <f t="shared" ref="M65:M67" si="33">IF(OR($H65="",I65=""),"-",IFERROR(($H65-I65),""))</f>
        <v>0</v>
      </c>
      <c r="N65" s="166" t="str">
        <f t="shared" ref="N65:N67" si="34">IF(OR($I65=0,M65=0),"-",IF(ABS(M65/$I65)&gt;2,"-",M65/$I65))</f>
        <v>-</v>
      </c>
      <c r="O65" s="167" t="str">
        <f>IF(OR(AND(N65&gt;0.01,M65&lt;0),AND(N65&lt;-0.01,M65&lt;0)),"î",IF(OR(AND(N65&lt;-0.01,M65&gt;0),AND(N65&gt;0.01,M65&gt;0)),"ì","è"))</f>
        <v>è</v>
      </c>
      <c r="P65" s="165">
        <f t="shared" ref="P65:P67" si="35">IF(OR($H65="",J65=""),"-",IFERROR(($H65-J65),""))</f>
        <v>0</v>
      </c>
      <c r="Q65" s="166" t="str">
        <f t="shared" ref="Q65:Q67" si="36">IF(OR($J65=0,P65=0),"-",IF(ABS(P65/$J65)&gt;2,"-",P65/$J65))</f>
        <v>-</v>
      </c>
      <c r="R65" s="167" t="str">
        <f>IF(OR(AND(Q65&gt;0.01,P65&lt;0),AND(Q65&lt;-0.01,P65&lt;0)),"î",IF(OR(AND(Q65&lt;-0.01,P65&gt;0),AND(Q65&gt;0.01,P65&gt;0)),"ì","è"))</f>
        <v>è</v>
      </c>
      <c r="S65" s="165">
        <f t="shared" ref="S65:S67" si="37">IF(OR($H65="",K65=""),"-",IFERROR(($H65-K65),""))</f>
        <v>-10402.01471600038</v>
      </c>
      <c r="T65" s="166">
        <f t="shared" ref="T65:T67" si="38">IF(OR($K65=0,S65=0),"-",IF(ABS(S65/$K65)&gt;2,"-",S65/$K65))</f>
        <v>-1</v>
      </c>
      <c r="U65" s="167" t="str">
        <f t="shared" ref="U65:U66" si="39">IF(OR(AND(T65&gt;0.01,S65&lt;0),AND(T65&lt;-0.01,S65&lt;0)),"î",IF(OR(AND(T65&lt;-0.01,S65&gt;0),AND(T65&gt;0.01,S65&gt;0)),"ì","è"))</f>
        <v>î</v>
      </c>
      <c r="V65" s="24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</row>
    <row r="66" spans="1:51" ht="20.25" customHeight="1">
      <c r="B66" s="74" t="s">
        <v>112</v>
      </c>
      <c r="D66" s="100"/>
      <c r="E66" s="258" t="str">
        <f>_xll.DBRA(Server&amp;$C$20,$B66,$F$17)</f>
        <v>Other operating rev. &amp; exp.</v>
      </c>
      <c r="F66" s="258"/>
      <c r="G66" s="101"/>
      <c r="H66" s="168">
        <f>_xll.DBRW($H$3,$F$13,$F$14,$F$15,$F$16,$F$11,$F$12,H$18,H$1,$B66)</f>
        <v>0</v>
      </c>
      <c r="I66" s="168">
        <f>_xll.DBRW($H$3,$F$13,$F$14,$F$15,$F$16,$F$11,$F$12,I$18,I$1,$B66)</f>
        <v>0</v>
      </c>
      <c r="J66" s="168">
        <f>_xll.DBRW($H$3,$F$13,$F$14,$F$15,$F$16,$F$11,$F$12,J$18,J$1,$B66)</f>
        <v>0</v>
      </c>
      <c r="K66" s="168">
        <f>_xll.DBRW($H$3,$F$13,$F$14,$F$15,$F$16,$F$11,$F$12,K$18,K$1,$B66)</f>
        <v>9332.2697899069954</v>
      </c>
      <c r="L66" s="102"/>
      <c r="M66" s="168">
        <f t="shared" si="33"/>
        <v>0</v>
      </c>
      <c r="N66" s="169" t="str">
        <f t="shared" si="34"/>
        <v>-</v>
      </c>
      <c r="O66" s="170" t="str">
        <f>IF(OR(AND(N66&gt;0.01,M66&lt;0),AND(N66&lt;-0.01,M66&lt;0)),"î",IF(OR(AND(N66&lt;-0.01,M66&gt;0),AND(N66&gt;0.01,M66&gt;0)),"ì","è"))</f>
        <v>è</v>
      </c>
      <c r="P66" s="168">
        <f t="shared" si="35"/>
        <v>0</v>
      </c>
      <c r="Q66" s="169" t="str">
        <f t="shared" si="36"/>
        <v>-</v>
      </c>
      <c r="R66" s="170" t="str">
        <f>IF(OR(AND(Q66&gt;0.01,P66&lt;0),AND(Q66&lt;-0.01,P66&lt;0)),"î",IF(OR(AND(Q66&lt;-0.01,P66&gt;0),AND(Q66&gt;0.01,P66&gt;0)),"ì","è"))</f>
        <v>è</v>
      </c>
      <c r="S66" s="168">
        <f t="shared" si="37"/>
        <v>-9332.2697899069954</v>
      </c>
      <c r="T66" s="171">
        <f t="shared" si="38"/>
        <v>-1</v>
      </c>
      <c r="U66" s="172" t="str">
        <f t="shared" si="39"/>
        <v>î</v>
      </c>
      <c r="V66" s="26"/>
      <c r="Y66" s="21"/>
    </row>
    <row r="67" spans="1:51" ht="18.75" customHeight="1">
      <c r="B67" s="74" t="s">
        <v>113</v>
      </c>
      <c r="D67" s="114"/>
      <c r="E67" s="259" t="str">
        <f>_xll.DBRA(Server&amp;$C$20,$B67,$F$17)</f>
        <v>Other operating rev. &amp; exp. - Vector Reconciliation</v>
      </c>
      <c r="F67" s="259"/>
      <c r="G67" s="118"/>
      <c r="H67" s="181">
        <f>_xll.DBRW($H$3,$F$13,$F$14,$F$15,$F$16,$F$11,$F$12,H$18,H$1,$B67)</f>
        <v>0</v>
      </c>
      <c r="I67" s="181">
        <f>_xll.DBRW($H$3,$F$13,$F$14,$F$15,$F$16,$F$11,$F$12,I$18,I$1,$B67)</f>
        <v>0</v>
      </c>
      <c r="J67" s="181">
        <f>_xll.DBRW($H$3,$F$13,$F$14,$F$15,$F$16,$F$11,$F$12,J$18,J$1,$B67)</f>
        <v>0</v>
      </c>
      <c r="K67" s="181">
        <f>_xll.DBRW($H$3,$F$13,$F$14,$F$15,$F$16,$F$11,$F$12,K$18,K$1,$B67)</f>
        <v>1069.7449260933845</v>
      </c>
      <c r="L67" s="177"/>
      <c r="M67" s="181">
        <f t="shared" si="33"/>
        <v>0</v>
      </c>
      <c r="N67" s="182" t="str">
        <f t="shared" si="34"/>
        <v>-</v>
      </c>
      <c r="O67" s="183"/>
      <c r="P67" s="181">
        <f t="shared" si="35"/>
        <v>0</v>
      </c>
      <c r="Q67" s="182" t="str">
        <f t="shared" si="36"/>
        <v>-</v>
      </c>
      <c r="R67" s="183"/>
      <c r="S67" s="181">
        <f t="shared" si="37"/>
        <v>-1069.7449260933845</v>
      </c>
      <c r="T67" s="182">
        <f t="shared" si="38"/>
        <v>-1</v>
      </c>
      <c r="U67" s="183"/>
      <c r="V67" s="36"/>
    </row>
    <row r="68" spans="1:51" ht="6.75" customHeight="1">
      <c r="C68" s="74"/>
      <c r="D68" s="100"/>
      <c r="E68" s="119"/>
      <c r="F68" s="125"/>
      <c r="G68" s="125"/>
      <c r="H68" s="133"/>
      <c r="I68" s="133"/>
      <c r="J68" s="133"/>
      <c r="K68" s="133"/>
      <c r="L68" s="133"/>
      <c r="M68" s="133"/>
      <c r="N68" s="132"/>
      <c r="O68" s="152"/>
      <c r="P68" s="133"/>
      <c r="Q68" s="132"/>
      <c r="R68" s="152"/>
      <c r="S68" s="133"/>
      <c r="T68" s="132"/>
      <c r="U68" s="161"/>
      <c r="V68" s="37"/>
      <c r="W68" s="37"/>
    </row>
    <row r="69" spans="1:51" s="39" customFormat="1" ht="25" customHeight="1">
      <c r="A69" s="128"/>
      <c r="B69" s="97" t="s">
        <v>136</v>
      </c>
      <c r="C69" s="96" t="str">
        <f>_xll.DBRA(Server&amp;$C$20,$B69,$F$17)</f>
        <v>PROFIT OR LOSS OF JOINT VENTURES (from 2013)  (by destination)</v>
      </c>
      <c r="D69" s="122"/>
      <c r="E69" s="257" t="str">
        <f>LEFT(C69,FIND("(",C69,1)-1)</f>
        <v xml:space="preserve">PROFIT OR LOSS OF JOINT VENTURES </v>
      </c>
      <c r="F69" s="257"/>
      <c r="G69" s="180"/>
      <c r="H69" s="165">
        <f>_xll.DBRW($H$3,$F$13,$F$14,$F$15,$F$16,$F$11,$F$12,H$18,H$1,$B69)</f>
        <v>0</v>
      </c>
      <c r="I69" s="165">
        <f>_xll.DBRW($H$3,$F$13,$F$14,$F$15,$F$16,$F$11,$F$12,I$18,I$1,$B69)</f>
        <v>0</v>
      </c>
      <c r="J69" s="165">
        <f>_xll.DBRW($H$3,$F$13,$F$14,$F$15,$F$16,$F$11,$F$12,J$18,J$1,$B69)</f>
        <v>0</v>
      </c>
      <c r="K69" s="165">
        <f>_xll.DBRW($H$3,$F$13,$F$14,$F$15,$F$16,$F$11,$F$12,K$18,K$1,$B69)</f>
        <v>3647.4840820000009</v>
      </c>
      <c r="L69" s="99"/>
      <c r="M69" s="165">
        <f t="shared" ref="M69:M71" si="40">IF(OR($H69="",I69=""),"-",IFERROR(($H69-I69),""))</f>
        <v>0</v>
      </c>
      <c r="N69" s="166" t="str">
        <f t="shared" ref="N69:N71" si="41">IF(OR($I69=0,M69=0),"-",IF(ABS(M69/$I69)&gt;2,"-",M69/$I69))</f>
        <v>-</v>
      </c>
      <c r="O69" s="167" t="str">
        <f>IF(OR(AND(N69&gt;0.01,M69&lt;0),AND(N69&lt;-0.01,M69&lt;0)),"î",IF(OR(AND(N69&lt;-0.01,M69&gt;0),AND(N69&gt;0.01,M69&gt;0)),"ì","è"))</f>
        <v>è</v>
      </c>
      <c r="P69" s="165">
        <f t="shared" ref="P69:P71" si="42">IF(OR($H69="",J69=""),"-",IFERROR(($H69-J69),""))</f>
        <v>0</v>
      </c>
      <c r="Q69" s="166" t="str">
        <f t="shared" ref="Q69:Q71" si="43">IF(OR($J69=0,P69=0),"-",IF(ABS(P69/$J69)&gt;2,"-",P69/$J69))</f>
        <v>-</v>
      </c>
      <c r="R69" s="167" t="str">
        <f>IF(OR(AND(Q69&gt;0.01,P69&lt;0),AND(Q69&lt;-0.01,P69&lt;0)),"î",IF(OR(AND(Q69&lt;-0.01,P69&gt;0),AND(Q69&gt;0.01,P69&gt;0)),"ì","è"))</f>
        <v>è</v>
      </c>
      <c r="S69" s="165">
        <f t="shared" ref="S69:S71" si="44">IF(OR($H69="",K69=""),"-",IFERROR(($H69-K69),""))</f>
        <v>-3647.4840820000009</v>
      </c>
      <c r="T69" s="166">
        <f t="shared" ref="T69:T71" si="45">IF(OR($K69=0,S69=0),"-",IF(ABS(S69/$K69)&gt;2,"-",S69/$K69))</f>
        <v>-1</v>
      </c>
      <c r="U69" s="167" t="str">
        <f t="shared" ref="U69:U70" si="46">IF(OR(AND(T69&gt;0.01,S69&lt;0),AND(T69&lt;-0.01,S69&lt;0)),"î",IF(OR(AND(T69&lt;-0.01,S69&gt;0),AND(T69&gt;0.01,S69&gt;0)),"ì","è"))</f>
        <v>î</v>
      </c>
      <c r="V69" s="24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</row>
    <row r="70" spans="1:51" ht="20.25" customHeight="1">
      <c r="B70" s="74" t="s">
        <v>140</v>
      </c>
      <c r="D70" s="100"/>
      <c r="E70" s="258" t="str">
        <f>_xll.DBRA(Server&amp;$C$20,$B70,$F$17)</f>
        <v>Profit or loss of joint ventures (from 2013)</v>
      </c>
      <c r="F70" s="258"/>
      <c r="G70" s="101"/>
      <c r="H70" s="168">
        <f>_xll.DBRW($H$3,$F$13,$F$14,$F$15,$F$16,$F$11,$F$12,H$18,H$1,$B70)</f>
        <v>0</v>
      </c>
      <c r="I70" s="168">
        <f>_xll.DBRW($H$3,$F$13,$F$14,$F$15,$F$16,$F$11,$F$12,I$18,I$1,$B70)</f>
        <v>0</v>
      </c>
      <c r="J70" s="168">
        <f>_xll.DBRW($H$3,$F$13,$F$14,$F$15,$F$16,$F$11,$F$12,J$18,J$1,$B70)</f>
        <v>0</v>
      </c>
      <c r="K70" s="168">
        <f>_xll.DBRW($H$3,$F$13,$F$14,$F$15,$F$16,$F$11,$F$12,K$18,K$1,$B70)</f>
        <v>2528.9555321807429</v>
      </c>
      <c r="L70" s="102"/>
      <c r="M70" s="168">
        <f t="shared" si="40"/>
        <v>0</v>
      </c>
      <c r="N70" s="169" t="str">
        <f t="shared" si="41"/>
        <v>-</v>
      </c>
      <c r="O70" s="170" t="str">
        <f>IF(OR(AND(N70&gt;0.01,M70&lt;0),AND(N70&lt;-0.01,M70&lt;0)),"î",IF(OR(AND(N70&lt;-0.01,M70&gt;0),AND(N70&gt;0.01,M70&gt;0)),"ì","è"))</f>
        <v>è</v>
      </c>
      <c r="P70" s="168">
        <f t="shared" si="42"/>
        <v>0</v>
      </c>
      <c r="Q70" s="169" t="str">
        <f t="shared" si="43"/>
        <v>-</v>
      </c>
      <c r="R70" s="170" t="str">
        <f>IF(OR(AND(Q70&gt;0.01,P70&lt;0),AND(Q70&lt;-0.01,P70&lt;0)),"î",IF(OR(AND(Q70&lt;-0.01,P70&gt;0),AND(Q70&gt;0.01,P70&gt;0)),"ì","è"))</f>
        <v>è</v>
      </c>
      <c r="S70" s="168">
        <f t="shared" si="44"/>
        <v>-2528.9555321807429</v>
      </c>
      <c r="T70" s="171">
        <f t="shared" si="45"/>
        <v>-1</v>
      </c>
      <c r="U70" s="172" t="str">
        <f t="shared" si="46"/>
        <v>î</v>
      </c>
      <c r="V70" s="26"/>
      <c r="Y70" s="21"/>
    </row>
    <row r="71" spans="1:51" ht="18.75" customHeight="1">
      <c r="B71" s="74" t="s">
        <v>137</v>
      </c>
      <c r="D71" s="114"/>
      <c r="E71" s="259" t="str">
        <f>_xll.DBRA(Server&amp;$C$20,$B71,$F$17)</f>
        <v>Profit or loss of joint ventures (from 2013) - Vector Reconciliation</v>
      </c>
      <c r="F71" s="259"/>
      <c r="G71" s="118"/>
      <c r="H71" s="181">
        <f>_xll.DBRW($H$3,$F$13,$F$14,$F$15,$F$16,$F$11,$F$12,H$18,H$1,$B71)</f>
        <v>0</v>
      </c>
      <c r="I71" s="181">
        <f>_xll.DBRW($H$3,$F$13,$F$14,$F$15,$F$16,$F$11,$F$12,I$18,I$1,$B71)</f>
        <v>0</v>
      </c>
      <c r="J71" s="181">
        <f>_xll.DBRW($H$3,$F$13,$F$14,$F$15,$F$16,$F$11,$F$12,J$18,J$1,$B71)</f>
        <v>0</v>
      </c>
      <c r="K71" s="181">
        <f>_xll.DBRW($H$3,$F$13,$F$14,$F$15,$F$16,$F$11,$F$12,K$18,K$1,$B71)</f>
        <v>1118.5285498192579</v>
      </c>
      <c r="L71" s="177"/>
      <c r="M71" s="181">
        <f t="shared" si="40"/>
        <v>0</v>
      </c>
      <c r="N71" s="182" t="str">
        <f t="shared" si="41"/>
        <v>-</v>
      </c>
      <c r="O71" s="183"/>
      <c r="P71" s="181">
        <f t="shared" si="42"/>
        <v>0</v>
      </c>
      <c r="Q71" s="182" t="str">
        <f t="shared" si="43"/>
        <v>-</v>
      </c>
      <c r="R71" s="183"/>
      <c r="S71" s="181">
        <f t="shared" si="44"/>
        <v>-1118.5285498192579</v>
      </c>
      <c r="T71" s="182">
        <f t="shared" si="45"/>
        <v>-1</v>
      </c>
      <c r="U71" s="183"/>
      <c r="V71" s="36"/>
    </row>
    <row r="72" spans="1:51" ht="6.75" customHeight="1">
      <c r="C72" s="74"/>
      <c r="D72" s="100"/>
      <c r="E72" s="119"/>
      <c r="F72" s="125"/>
      <c r="G72" s="125"/>
      <c r="H72" s="133"/>
      <c r="I72" s="133"/>
      <c r="J72" s="133"/>
      <c r="K72" s="133"/>
      <c r="L72" s="133"/>
      <c r="M72" s="133"/>
      <c r="N72" s="132"/>
      <c r="O72" s="152"/>
      <c r="P72" s="133"/>
      <c r="Q72" s="132"/>
      <c r="R72" s="152"/>
      <c r="S72" s="133"/>
      <c r="T72" s="132"/>
      <c r="U72" s="161"/>
      <c r="V72" s="37"/>
      <c r="W72" s="37"/>
    </row>
    <row r="73" spans="1:51" s="39" customFormat="1" ht="25" customHeight="1">
      <c r="A73" s="128"/>
      <c r="B73" s="97" t="s">
        <v>138</v>
      </c>
      <c r="C73" s="96" t="str">
        <f>_xll.DBRA(Server&amp;$C$20,$B73,$F$17)</f>
        <v>PROFIT OR LOSS OF ASSOCIATES (from 2013) (by destination)</v>
      </c>
      <c r="D73" s="122"/>
      <c r="E73" s="272" t="str">
        <f>LEFT(C73,FIND("(",C73,1)-1)</f>
        <v xml:space="preserve">PROFIT OR LOSS OF ASSOCIATES </v>
      </c>
      <c r="F73" s="272"/>
      <c r="G73" s="180"/>
      <c r="H73" s="192">
        <f>_xll.DBRW($H$3,$F$13,$F$14,$F$15,$F$16,$F$11,$F$12,H$18,H$1,$B73)</f>
        <v>0</v>
      </c>
      <c r="I73" s="192">
        <f>_xll.DBRW($H$3,$F$13,$F$14,$F$15,$F$16,$F$11,$F$12,I$18,I$1,$B73)</f>
        <v>0</v>
      </c>
      <c r="J73" s="192">
        <f>_xll.DBRW($H$3,$F$13,$F$14,$F$15,$F$16,$F$11,$F$12,J$18,J$1,$B73)</f>
        <v>0</v>
      </c>
      <c r="K73" s="192">
        <f>_xll.DBRW($H$3,$F$13,$F$14,$F$15,$F$16,$F$11,$F$12,K$18,K$1,$B73)</f>
        <v>-1723.3287860000003</v>
      </c>
      <c r="L73" s="99"/>
      <c r="M73" s="192">
        <f t="shared" ref="M73:M75" si="47">IF(OR($H73="",I73=""),"-",IFERROR(($H73-I73),""))</f>
        <v>0</v>
      </c>
      <c r="N73" s="193" t="str">
        <f t="shared" ref="N73:N75" si="48">IF(OR($I73=0,M73=0),"-",IF(ABS(M73/$I73)&gt;2,"-",M73/$I73))</f>
        <v>-</v>
      </c>
      <c r="O73" s="170" t="str">
        <f>IF(OR(AND(N73&gt;0.01,M73&lt;0),AND(N73&lt;-0.01,M73&lt;0)),"î",IF(OR(AND(N73&lt;-0.01,M73&gt;0),AND(N73&gt;0.01,M73&gt;0)),"ì","è"))</f>
        <v>è</v>
      </c>
      <c r="P73" s="192">
        <f t="shared" ref="P73:P75" si="49">IF(OR($H73="",J73=""),"-",IFERROR(($H73-J73),""))</f>
        <v>0</v>
      </c>
      <c r="Q73" s="193" t="str">
        <f t="shared" ref="Q73:Q75" si="50">IF(OR($J73=0,P73=0),"-",IF(ABS(P73/$J73)&gt;2,"-",P73/$J73))</f>
        <v>-</v>
      </c>
      <c r="R73" s="170" t="str">
        <f>IF(OR(AND(Q73&gt;0.01,P73&lt;0),AND(Q73&lt;-0.01,P73&lt;0)),"î",IF(OR(AND(Q73&lt;-0.01,P73&gt;0),AND(Q73&gt;0.01,P73&gt;0)),"ì","è"))</f>
        <v>è</v>
      </c>
      <c r="S73" s="192">
        <f t="shared" ref="S73:S75" si="51">IF(OR($H73="",K73=""),"-",IFERROR(($H73-K73),""))</f>
        <v>1723.3287860000003</v>
      </c>
      <c r="T73" s="193">
        <f t="shared" ref="T73:T75" si="52">IF(OR($K73=0,S73=0),"-",IF(ABS(S73/$K73)&gt;2,"-",S73/$K73))</f>
        <v>-1</v>
      </c>
      <c r="U73" s="170" t="str">
        <f t="shared" ref="U73:U74" si="53">IF(OR(AND(T73&gt;0.01,S73&lt;0),AND(T73&lt;-0.01,S73&lt;0)),"î",IF(OR(AND(T73&lt;-0.01,S73&gt;0),AND(T73&gt;0.01,S73&gt;0)),"ì","è"))</f>
        <v>ì</v>
      </c>
      <c r="V73" s="24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</row>
    <row r="74" spans="1:51" ht="20.25" customHeight="1">
      <c r="B74" s="74" t="s">
        <v>141</v>
      </c>
      <c r="D74" s="100"/>
      <c r="E74" s="258" t="str">
        <f>_xll.DBRA(Server&amp;$C$20,$B74,$F$17)</f>
        <v>Profit or loss of associates (from 2013)</v>
      </c>
      <c r="F74" s="258"/>
      <c r="G74" s="103"/>
      <c r="H74" s="168">
        <f>_xll.DBRW($H$3,$F$13,$F$14,$F$15,$F$16,$F$11,$F$12,H$18,H$1,$B74)</f>
        <v>0</v>
      </c>
      <c r="I74" s="168">
        <f>_xll.DBRW($H$3,$F$13,$F$14,$F$15,$F$16,$F$11,$F$12,I$18,I$1,$B74)</f>
        <v>0</v>
      </c>
      <c r="J74" s="168">
        <f>_xll.DBRW($H$3,$F$13,$F$14,$F$15,$F$16,$F$11,$F$12,J$18,J$1,$B74)</f>
        <v>0</v>
      </c>
      <c r="K74" s="168">
        <f>_xll.DBRW($H$3,$F$13,$F$14,$F$15,$F$16,$F$11,$F$12,K$18,K$1,$B74)</f>
        <v>-2671.7546059424167</v>
      </c>
      <c r="L74" s="102"/>
      <c r="M74" s="168">
        <f t="shared" si="47"/>
        <v>0</v>
      </c>
      <c r="N74" s="169" t="str">
        <f t="shared" si="48"/>
        <v>-</v>
      </c>
      <c r="O74" s="170" t="str">
        <f>IF(OR(AND(N74&gt;0.01,M74&lt;0),AND(N74&lt;-0.01,M74&lt;0)),"î",IF(OR(AND(N74&lt;-0.01,M74&gt;0),AND(N74&gt;0.01,M74&gt;0)),"ì","è"))</f>
        <v>è</v>
      </c>
      <c r="P74" s="168">
        <f t="shared" si="49"/>
        <v>0</v>
      </c>
      <c r="Q74" s="169" t="str">
        <f t="shared" si="50"/>
        <v>-</v>
      </c>
      <c r="R74" s="170" t="str">
        <f>IF(OR(AND(Q74&gt;0.01,P74&lt;0),AND(Q74&lt;-0.01,P74&lt;0)),"î",IF(OR(AND(Q74&lt;-0.01,P74&gt;0),AND(Q74&gt;0.01,P74&gt;0)),"ì","è"))</f>
        <v>è</v>
      </c>
      <c r="S74" s="168">
        <f t="shared" si="51"/>
        <v>2671.7546059424167</v>
      </c>
      <c r="T74" s="171">
        <f t="shared" si="52"/>
        <v>-1</v>
      </c>
      <c r="U74" s="175" t="str">
        <f t="shared" si="53"/>
        <v>ì</v>
      </c>
      <c r="V74" s="26"/>
      <c r="Y74" s="13"/>
    </row>
    <row r="75" spans="1:51" ht="18.75" customHeight="1">
      <c r="B75" s="74" t="s">
        <v>139</v>
      </c>
      <c r="D75" s="114"/>
      <c r="E75" s="259" t="str">
        <f>_xll.DBRA(Server&amp;$C$20,$B75,$F$17)</f>
        <v>Profit or loss of associates (from 2013) - Vector Reconciliation</v>
      </c>
      <c r="F75" s="259"/>
      <c r="G75" s="118"/>
      <c r="H75" s="181">
        <f>_xll.DBRW($H$3,$F$13,$F$14,$F$15,$F$16,$F$11,$F$12,H$18,H$1,$B75)</f>
        <v>0</v>
      </c>
      <c r="I75" s="181">
        <f>_xll.DBRW($H$3,$F$13,$F$14,$F$15,$F$16,$F$11,$F$12,I$18,I$1,$B75)</f>
        <v>0</v>
      </c>
      <c r="J75" s="181">
        <f>_xll.DBRW($H$3,$F$13,$F$14,$F$15,$F$16,$F$11,$F$12,J$18,J$1,$B75)</f>
        <v>0</v>
      </c>
      <c r="K75" s="181">
        <f>_xll.DBRW($H$3,$F$13,$F$14,$F$15,$F$16,$F$11,$F$12,K$18,K$1,$B75)</f>
        <v>948.42581994241641</v>
      </c>
      <c r="L75" s="177"/>
      <c r="M75" s="181">
        <f t="shared" si="47"/>
        <v>0</v>
      </c>
      <c r="N75" s="182" t="str">
        <f t="shared" si="48"/>
        <v>-</v>
      </c>
      <c r="O75" s="183"/>
      <c r="P75" s="181">
        <f t="shared" si="49"/>
        <v>0</v>
      </c>
      <c r="Q75" s="182" t="str">
        <f t="shared" si="50"/>
        <v>-</v>
      </c>
      <c r="R75" s="183"/>
      <c r="S75" s="181">
        <f t="shared" si="51"/>
        <v>-948.42581994241641</v>
      </c>
      <c r="T75" s="182">
        <f t="shared" si="52"/>
        <v>-1</v>
      </c>
      <c r="U75" s="183"/>
      <c r="V75" s="36"/>
    </row>
    <row r="76" spans="1:51" ht="9.75" customHeight="1">
      <c r="C76" s="74"/>
      <c r="D76" s="100"/>
      <c r="E76" s="119"/>
      <c r="F76" s="125"/>
      <c r="G76" s="125"/>
      <c r="H76" s="133"/>
      <c r="I76" s="133"/>
      <c r="J76" s="133"/>
      <c r="K76" s="133"/>
      <c r="L76" s="177"/>
      <c r="M76" s="133"/>
      <c r="N76" s="132"/>
      <c r="O76" s="152"/>
      <c r="P76" s="133"/>
      <c r="Q76" s="132"/>
      <c r="R76" s="152"/>
      <c r="S76" s="133"/>
      <c r="T76" s="132"/>
      <c r="U76" s="152"/>
      <c r="V76" s="37"/>
      <c r="W76" s="37"/>
    </row>
    <row r="77" spans="1:51" s="39" customFormat="1" ht="25" customHeight="1">
      <c r="A77" s="128"/>
      <c r="B77" s="97" t="s">
        <v>114</v>
      </c>
      <c r="C77" s="96" t="str">
        <f>_xll.DBRA(Server&amp;$C$20,$B77,$F$17)</f>
        <v>OPERATING PROFIT (by destination)</v>
      </c>
      <c r="D77" s="122"/>
      <c r="E77" s="267" t="str">
        <f>LEFT(C77,FIND("(",C77,1)-1)</f>
        <v xml:space="preserve">OPERATING PROFIT </v>
      </c>
      <c r="F77" s="267"/>
      <c r="G77" s="164"/>
      <c r="H77" s="194">
        <f>_xll.DBRW($H$3,$F$13,$F$14,$F$15,$F$16,$F$11,$F$12,H$18,H$1,$B77)</f>
        <v>0</v>
      </c>
      <c r="I77" s="194">
        <f>_xll.DBRW($H$3,$F$13,$F$14,$F$15,$F$16,$F$11,$F$12,I$18,I$1,$B77)</f>
        <v>0</v>
      </c>
      <c r="J77" s="194">
        <f>_xll.DBRW($H$3,$F$13,$F$14,$F$15,$F$16,$F$11,$F$12,J$18,J$1,$B77)</f>
        <v>0</v>
      </c>
      <c r="K77" s="194">
        <f>_xll.DBRW($H$3,$F$13,$F$14,$F$15,$F$16,$F$11,$F$12,K$18,K$1,$B77)</f>
        <v>50429.635414999873</v>
      </c>
      <c r="L77" s="177"/>
      <c r="M77" s="194">
        <f t="shared" ref="M77:M78" si="54">IF(OR($H77="",I77=""),"-",IFERROR(($H77-I77),""))</f>
        <v>0</v>
      </c>
      <c r="N77" s="195" t="str">
        <f t="shared" ref="N77:N78" si="55">IF(OR($I77=0,M77=0),"-",IF(ABS(M77/$I77)&gt;2,"-",M77/$I77))</f>
        <v>-</v>
      </c>
      <c r="O77" s="196" t="str">
        <f>IF(OR(AND(N77&gt;0.01,M77&lt;0),AND(N77&lt;-0.01,M77&lt;0)),"î",IF(OR(AND(N77&lt;-0.01,M77&gt;0),AND(N77&gt;0.01,M77&gt;0)),"ì","è"))</f>
        <v>è</v>
      </c>
      <c r="P77" s="194">
        <f t="shared" ref="P77:P78" si="56">IF(OR($H77="",J77=""),"-",IFERROR(($H77-J77),""))</f>
        <v>0</v>
      </c>
      <c r="Q77" s="195" t="str">
        <f t="shared" ref="Q77:Q78" si="57">IF(OR($J77=0,P77=0),"-",IF(ABS(P77/$J77)&gt;2,"-",P77/$J77))</f>
        <v>-</v>
      </c>
      <c r="R77" s="196" t="str">
        <f>IF(OR(AND(Q77&gt;0.01,P77&lt;0),AND(Q77&lt;-0.01,P77&lt;0)),"î",IF(OR(AND(Q77&lt;-0.01,P77&gt;0),AND(Q77&gt;0.01,P77&gt;0)),"ì","è"))</f>
        <v>è</v>
      </c>
      <c r="S77" s="194">
        <f t="shared" ref="S77:S78" si="58">IF(OR($H77="",K77=""),"-",IFERROR(($H77-K77),""))</f>
        <v>-50429.635414999873</v>
      </c>
      <c r="T77" s="195">
        <f t="shared" ref="T77:T78" si="59">IF(OR($K77=0,S77=0),"-",IF(ABS(S77/$K77)&gt;2,"-",S77/$K77))</f>
        <v>-1</v>
      </c>
      <c r="U77" s="196" t="str">
        <f t="shared" ref="U77:U78" si="60">IF(OR(AND(T77&gt;0.01,S77&lt;0),AND(T77&lt;-0.01,S77&lt;0)),"î",IF(OR(AND(T77&lt;-0.01,S77&gt;0),AND(T77&gt;0.01,S77&gt;0)),"ì","è"))</f>
        <v>î</v>
      </c>
      <c r="V77" s="24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</row>
    <row r="78" spans="1:51" ht="20.25" customHeight="1">
      <c r="B78" s="74" t="s">
        <v>115</v>
      </c>
      <c r="D78" s="100"/>
      <c r="E78" s="258" t="str">
        <f>_xll.DBRA(Server&amp;$C$20,$B78,$F$17)</f>
        <v>OPERATING PROFIT bef. Mgmt &amp; Brand fees</v>
      </c>
      <c r="F78" s="258"/>
      <c r="G78" s="103"/>
      <c r="H78" s="168">
        <f>_xll.DBRW($H$3,$F$13,$F$14,$F$15,$F$16,$F$11,$F$12,H$18,H$1,$B78)</f>
        <v>0</v>
      </c>
      <c r="I78" s="168">
        <f>_xll.DBRW($H$3,$F$13,$F$14,$F$15,$F$16,$F$11,$F$12,I$18,I$1,$B78)</f>
        <v>0</v>
      </c>
      <c r="J78" s="168">
        <f>_xll.DBRW($H$3,$F$13,$F$14,$F$15,$F$16,$F$11,$F$12,J$18,J$1,$B78)</f>
        <v>0</v>
      </c>
      <c r="K78" s="168">
        <f>_xll.DBRW($H$3,$F$13,$F$14,$F$15,$F$16,$F$11,$F$12,K$18,K$1,$B78)</f>
        <v>50882.635414999786</v>
      </c>
      <c r="L78" s="102"/>
      <c r="M78" s="168">
        <f t="shared" si="54"/>
        <v>0</v>
      </c>
      <c r="N78" s="169" t="str">
        <f t="shared" si="55"/>
        <v>-</v>
      </c>
      <c r="O78" s="170" t="str">
        <f>IF(OR(AND(N78&gt;0.01,M78&lt;0),AND(N78&lt;-0.01,M78&lt;0)),"î",IF(OR(AND(N78&lt;-0.01,M78&gt;0),AND(N78&gt;0.01,M78&gt;0)),"ì","è"))</f>
        <v>è</v>
      </c>
      <c r="P78" s="168">
        <f t="shared" si="56"/>
        <v>0</v>
      </c>
      <c r="Q78" s="169" t="str">
        <f t="shared" si="57"/>
        <v>-</v>
      </c>
      <c r="R78" s="170" t="str">
        <f>IF(OR(AND(Q78&gt;0.01,P78&lt;0),AND(Q78&lt;-0.01,P78&lt;0)),"î",IF(OR(AND(Q78&lt;-0.01,P78&gt;0),AND(Q78&gt;0.01,P78&gt;0)),"ì","è"))</f>
        <v>è</v>
      </c>
      <c r="S78" s="168">
        <f t="shared" si="58"/>
        <v>-50882.635414999786</v>
      </c>
      <c r="T78" s="171">
        <f t="shared" si="59"/>
        <v>-1</v>
      </c>
      <c r="U78" s="175" t="str">
        <f t="shared" si="60"/>
        <v>î</v>
      </c>
      <c r="V78" s="26"/>
      <c r="Y78" s="13"/>
    </row>
    <row r="79" spans="1:51" s="16" customFormat="1" ht="20.25">
      <c r="A79" s="80"/>
      <c r="B79" s="74" t="s">
        <v>116</v>
      </c>
      <c r="C79" s="80"/>
      <c r="D79" s="134"/>
      <c r="E79" s="266" t="str">
        <f>_xll.DBRA(Server&amp;$C$20,$B79,$F$17)</f>
        <v>Operating profit bef. Mgmt &amp; Brand fees (% of ROA)</v>
      </c>
      <c r="F79" s="266"/>
      <c r="G79" s="197"/>
      <c r="H79" s="124" t="str">
        <f>IF(H$21=0,_xll.DBRA(Server&amp;$Y$15,Y$58,$F$17),H78/H$21)</f>
        <v>No Data for ROA</v>
      </c>
      <c r="I79" s="124" t="e">
        <f>IF(I$21=0,_xll.DBRA(Server&amp;$Y$15,Z$58,$F$17),I78/I$21)</f>
        <v>#VALUE!</v>
      </c>
      <c r="J79" s="124" t="e">
        <f>IF(J$21=0,_xll.DBRA(Server&amp;$Y$15,AA$58,$F$17),J78/J$21)</f>
        <v>#VALUE!</v>
      </c>
      <c r="K79" s="124">
        <f>IF(K$21=0,_xll.DBRA(Server&amp;$Y$15,AB$58,$F$17),K78/K$21)</f>
        <v>1.0254623910033853E-2</v>
      </c>
      <c r="L79" s="188"/>
      <c r="M79" s="198"/>
      <c r="N79" s="124"/>
      <c r="O79" s="173"/>
      <c r="P79" s="198"/>
      <c r="Q79" s="124"/>
      <c r="R79" s="173"/>
      <c r="S79" s="198"/>
      <c r="T79" s="124"/>
      <c r="U79" s="173"/>
      <c r="V79" s="26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</row>
    <row r="80" spans="1:51" s="39" customFormat="1" ht="25" customHeight="1">
      <c r="A80" s="128"/>
      <c r="B80" s="97" t="s">
        <v>117</v>
      </c>
      <c r="C80" s="128"/>
      <c r="D80" s="122"/>
      <c r="E80" s="267" t="str">
        <f>_xll.DBRA(Server&amp;$C$20,$B80,$F$17)</f>
        <v>OPERATING CASH FLOW</v>
      </c>
      <c r="F80" s="267"/>
      <c r="G80" s="164"/>
      <c r="H80" s="194">
        <f>_xll.DBRW($H$3,$F$13,$F$14,$F$15,$F$16,$F$11,$F$12,H$18,H$1,$B80)</f>
        <v>0</v>
      </c>
      <c r="I80" s="194">
        <f>_xll.DBRW($H$3,$F$13,$F$14,$F$15,$F$16,$F$11,$F$12,I$18,I$1,$B80)</f>
        <v>0</v>
      </c>
      <c r="J80" s="194">
        <f>_xll.DBRW($H$3,$F$13,$F$14,$F$15,$F$16,$F$11,$F$12,J$18,J$1,$B80)</f>
        <v>0</v>
      </c>
      <c r="K80" s="194">
        <f>_xll.DBRW($H$3,$F$13,$F$14,$F$15,$F$16,$F$11,$F$12,K$18,K$1,$B80)</f>
        <v>315184.8851409998</v>
      </c>
      <c r="L80" s="188"/>
      <c r="M80" s="194">
        <f t="shared" ref="M80:M81" si="61">IF(OR($H80="",I80=""),"-",IFERROR(($H80-I80),""))</f>
        <v>0</v>
      </c>
      <c r="N80" s="195" t="str">
        <f t="shared" ref="N80:N81" si="62">IF(OR($I80=0,M80=0),"-",IF(ABS(M80/$I80)&gt;2,"-",M80/$I80))</f>
        <v>-</v>
      </c>
      <c r="O80" s="253" t="str">
        <f>IF(OR(AND(N80&gt;0.01,M80&lt;0),AND(N80&lt;-0.01,M80&lt;0)),"î",IF(OR(AND(N80&lt;-0.01,M80&gt;0),AND(N80&gt;0.01,M80&gt;0)),"ì","è"))</f>
        <v>è</v>
      </c>
      <c r="P80" s="194">
        <f t="shared" ref="P80:P81" si="63">IF(OR($H80="",J80=""),"-",IFERROR(($H80-J80),""))</f>
        <v>0</v>
      </c>
      <c r="Q80" s="195" t="str">
        <f t="shared" ref="Q80:Q81" si="64">IF(OR($J80=0,P80=0),"-",IF(ABS(P80/$J80)&gt;2,"-",P80/$J80))</f>
        <v>-</v>
      </c>
      <c r="R80" s="196" t="str">
        <f>IF(OR(AND(Q80&gt;0.01,P80&lt;0),AND(Q80&lt;-0.01,P80&lt;0)),"î",IF(OR(AND(Q80&lt;-0.01,P80&gt;0),AND(Q80&gt;0.01,P80&gt;0)),"ì","è"))</f>
        <v>è</v>
      </c>
      <c r="S80" s="194">
        <f t="shared" ref="S80:S81" si="65">IF(OR($H80="",K80=""),"-",IFERROR(($H80-K80),""))</f>
        <v>-315184.8851409998</v>
      </c>
      <c r="T80" s="195">
        <f>IF(OR($K80=0,S80=0),"-",IF(ABS(S80/$K80)&gt;2,"-",S80/$K80))</f>
        <v>-1</v>
      </c>
      <c r="U80" s="253" t="str">
        <f t="shared" ref="U80:U81" si="66">IF(OR(AND(T80&gt;0.01,S80&lt;0),AND(T80&lt;-0.01,S80&lt;0)),"î",IF(OR(AND(T80&lt;-0.01,S80&gt;0),AND(T80&gt;0.01,S80&gt;0)),"ì","è"))</f>
        <v>î</v>
      </c>
      <c r="V80" s="24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</row>
    <row r="81" spans="1:51" ht="20.25" customHeight="1">
      <c r="B81" s="74" t="s">
        <v>118</v>
      </c>
      <c r="D81" s="100"/>
      <c r="E81" s="258" t="str">
        <f>_xll.DBRA(Server&amp;$C$20,$B81,$F$17)</f>
        <v>OPERATING CASH FLOW bef. Mgmt &amp; Brand fees</v>
      </c>
      <c r="F81" s="258"/>
      <c r="G81" s="103"/>
      <c r="H81" s="168">
        <f>_xll.DBRW($H$3,$F$13,$F$14,$F$15,$F$16,$F$11,$F$12,H$18,H$1,$B81)</f>
        <v>0</v>
      </c>
      <c r="I81" s="168">
        <f>_xll.DBRW($H$3,$F$13,$F$14,$F$15,$F$16,$F$11,$F$12,I$18,I$1,$B81)</f>
        <v>0</v>
      </c>
      <c r="J81" s="168">
        <f>_xll.DBRW($H$3,$F$13,$F$14,$F$15,$F$16,$F$11,$F$12,J$18,J$1,$B81)</f>
        <v>0</v>
      </c>
      <c r="K81" s="168">
        <f>_xll.DBRW($H$3,$F$13,$F$14,$F$15,$F$16,$F$11,$F$12,K$18,K$1,$B81)</f>
        <v>315637.88514099998</v>
      </c>
      <c r="L81" s="102"/>
      <c r="M81" s="168">
        <f t="shared" si="61"/>
        <v>0</v>
      </c>
      <c r="N81" s="169" t="str">
        <f t="shared" si="62"/>
        <v>-</v>
      </c>
      <c r="O81" s="170" t="str">
        <f>IF(OR(AND(N81&gt;0.01,M81&lt;0),AND(N81&lt;-0.01,M81&lt;0)),"î",IF(OR(AND(N81&lt;-0.01,M81&gt;0),AND(N81&gt;0.01,M81&gt;0)),"ì","è"))</f>
        <v>è</v>
      </c>
      <c r="P81" s="168">
        <f t="shared" si="63"/>
        <v>0</v>
      </c>
      <c r="Q81" s="169" t="str">
        <f t="shared" si="64"/>
        <v>-</v>
      </c>
      <c r="R81" s="170" t="str">
        <f>IF(OR(AND(Q81&gt;0.01,P81&lt;0),AND(Q81&lt;-0.01,P81&lt;0)),"î",IF(OR(AND(Q81&lt;-0.01,P81&gt;0),AND(Q81&gt;0.01,P81&gt;0)),"ì","è"))</f>
        <v>è</v>
      </c>
      <c r="S81" s="168">
        <f t="shared" si="65"/>
        <v>-315637.88514099998</v>
      </c>
      <c r="T81" s="171">
        <f>IF(OR($K81=0,S81=0),"-",IF(ABS(S81/$K81)&gt;2,"-",S81/$K81))</f>
        <v>-1</v>
      </c>
      <c r="U81" s="175" t="str">
        <f t="shared" si="66"/>
        <v>î</v>
      </c>
      <c r="V81" s="26"/>
      <c r="Y81" s="13"/>
    </row>
    <row r="82" spans="1:51" s="16" customFormat="1" ht="18" hidden="1" customHeight="1">
      <c r="A82" s="80"/>
      <c r="B82" s="68"/>
      <c r="C82" s="68"/>
      <c r="D82" s="134"/>
      <c r="E82" s="135"/>
      <c r="F82" s="135"/>
      <c r="G82" s="199"/>
      <c r="H82" s="136"/>
      <c r="I82" s="136"/>
      <c r="J82" s="136"/>
      <c r="K82" s="136"/>
      <c r="L82" s="139"/>
      <c r="M82" s="200"/>
      <c r="N82" s="201"/>
      <c r="O82" s="202"/>
      <c r="P82" s="200"/>
      <c r="Q82" s="201"/>
      <c r="R82" s="203"/>
      <c r="S82" s="204"/>
      <c r="T82" s="205"/>
      <c r="U82" s="206"/>
      <c r="V82" s="4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</row>
    <row r="83" spans="1:51" s="44" customFormat="1" ht="19.25" hidden="1" thickBot="1">
      <c r="A83" s="88"/>
      <c r="B83" s="68"/>
      <c r="C83" s="88"/>
      <c r="D83" s="137"/>
      <c r="E83" s="207" t="str">
        <f>_xll.DBRA(Server&amp;$Y$15,$Y40,$F$17)</f>
        <v>Comments</v>
      </c>
      <c r="F83" s="208"/>
      <c r="G83" s="80"/>
      <c r="H83" s="138"/>
      <c r="I83" s="138"/>
      <c r="J83" s="139"/>
      <c r="K83" s="140"/>
      <c r="L83" s="140"/>
      <c r="M83" s="140"/>
      <c r="N83" s="141"/>
      <c r="O83" s="45"/>
      <c r="P83" s="140"/>
      <c r="Q83" s="140"/>
      <c r="R83" s="156"/>
      <c r="S83" s="147"/>
      <c r="T83" s="147"/>
      <c r="U83" s="151"/>
      <c r="V83" s="1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16"/>
    </row>
    <row r="84" spans="1:51" s="44" customFormat="1" ht="21" hidden="1" customHeight="1">
      <c r="A84" s="88"/>
      <c r="B84" s="68"/>
      <c r="C84" s="88" t="s">
        <v>119</v>
      </c>
      <c r="D84" s="137"/>
      <c r="E84" s="268" t="e">
        <f>_xll.DBRW(Server&amp;Cube2,$F$13,$F$15,$F$16,$F$11,$F$12,#REF!,"PL_aggregated",C84)</f>
        <v>#VALUE!</v>
      </c>
      <c r="F84" s="269"/>
      <c r="G84" s="269"/>
      <c r="H84" s="269"/>
      <c r="I84" s="269"/>
      <c r="J84" s="269"/>
      <c r="K84" s="269"/>
      <c r="L84" s="269"/>
      <c r="M84" s="269"/>
      <c r="N84" s="269"/>
      <c r="O84" s="269"/>
      <c r="P84" s="269"/>
      <c r="Q84" s="269"/>
      <c r="R84" s="269"/>
      <c r="S84" s="269"/>
      <c r="T84" s="269"/>
      <c r="U84" s="270"/>
      <c r="V84" s="47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</row>
    <row r="85" spans="1:51" s="44" customFormat="1" ht="21" hidden="1" customHeight="1">
      <c r="A85" s="88"/>
      <c r="B85" s="68"/>
      <c r="C85" s="88" t="s">
        <v>120</v>
      </c>
      <c r="D85" s="142"/>
      <c r="E85" s="260" t="e">
        <f>_xll.DBRW(Server&amp;Cube2,$F$13,$F$15,$F$16,$F$11,$F$12,#REF!,"PL_aggregated",C85)</f>
        <v>#VALUE!</v>
      </c>
      <c r="F85" s="261"/>
      <c r="G85" s="261"/>
      <c r="H85" s="261"/>
      <c r="I85" s="261"/>
      <c r="J85" s="261"/>
      <c r="K85" s="261"/>
      <c r="L85" s="261"/>
      <c r="M85" s="261"/>
      <c r="N85" s="261"/>
      <c r="O85" s="261"/>
      <c r="P85" s="261"/>
      <c r="Q85" s="261"/>
      <c r="R85" s="261"/>
      <c r="S85" s="261"/>
      <c r="T85" s="261"/>
      <c r="U85" s="262"/>
      <c r="V85" s="47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</row>
    <row r="86" spans="1:51" s="44" customFormat="1" ht="21" hidden="1" customHeight="1">
      <c r="A86" s="88"/>
      <c r="B86" s="68"/>
      <c r="C86" s="88" t="s">
        <v>121</v>
      </c>
      <c r="D86" s="142"/>
      <c r="E86" s="260" t="e">
        <f>_xll.DBRW(Server&amp;Cube2,$F$13,$F$15,$F$16,$F$11,$F$12,#REF!,"PL_aggregated",C86)</f>
        <v>#VALUE!</v>
      </c>
      <c r="F86" s="261"/>
      <c r="G86" s="261"/>
      <c r="H86" s="261"/>
      <c r="I86" s="261"/>
      <c r="J86" s="261"/>
      <c r="K86" s="261"/>
      <c r="L86" s="261"/>
      <c r="M86" s="261"/>
      <c r="N86" s="261"/>
      <c r="O86" s="261"/>
      <c r="P86" s="261"/>
      <c r="Q86" s="261"/>
      <c r="R86" s="261"/>
      <c r="S86" s="261"/>
      <c r="T86" s="261"/>
      <c r="U86" s="262"/>
      <c r="V86" s="47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</row>
    <row r="87" spans="1:51" s="44" customFormat="1" ht="21" hidden="1" customHeight="1" thickBot="1">
      <c r="A87" s="88"/>
      <c r="B87" s="68"/>
      <c r="C87" s="88" t="s">
        <v>122</v>
      </c>
      <c r="D87" s="88"/>
      <c r="E87" s="263" t="e">
        <f>_xll.DBRW(Server&amp;Cube2,$F$13,$F$15,$F$16,$F$11,$F$12,#REF!,"PL_aggregated",C87)</f>
        <v>#VALUE!</v>
      </c>
      <c r="F87" s="264"/>
      <c r="G87" s="264"/>
      <c r="H87" s="264"/>
      <c r="I87" s="264"/>
      <c r="J87" s="264"/>
      <c r="K87" s="264"/>
      <c r="L87" s="264"/>
      <c r="M87" s="264"/>
      <c r="N87" s="264"/>
      <c r="O87" s="264"/>
      <c r="P87" s="264"/>
      <c r="Q87" s="264"/>
      <c r="R87" s="264"/>
      <c r="S87" s="264"/>
      <c r="T87" s="264"/>
      <c r="U87" s="265"/>
      <c r="V87" s="47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</row>
    <row r="88" spans="1:51" s="44" customFormat="1" ht="18.5" hidden="1">
      <c r="A88" s="88"/>
      <c r="B88" s="68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P88" s="88"/>
      <c r="Q88" s="88"/>
      <c r="R88" s="157"/>
      <c r="S88" s="88"/>
      <c r="T88" s="88"/>
      <c r="U88" s="157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</row>
    <row r="89" spans="1:51" s="44" customFormat="1" ht="18.5" hidden="1">
      <c r="A89" s="88"/>
      <c r="B89" s="68"/>
      <c r="C89" s="88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P89" s="88"/>
      <c r="Q89" s="88"/>
      <c r="R89" s="157"/>
      <c r="S89" s="88"/>
      <c r="T89" s="88"/>
      <c r="U89" s="157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</row>
    <row r="90" spans="1:51" s="44" customFormat="1" ht="18.5" hidden="1">
      <c r="A90" s="88"/>
      <c r="B90" s="68"/>
      <c r="C90" s="88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P90" s="88"/>
      <c r="Q90" s="88"/>
      <c r="R90" s="157"/>
      <c r="S90" s="88"/>
      <c r="T90" s="88"/>
      <c r="U90" s="157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</row>
    <row r="91" spans="1:51" s="44" customFormat="1" ht="18.5" hidden="1">
      <c r="A91" s="88"/>
      <c r="B91" s="68"/>
      <c r="C91" s="88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P91" s="88"/>
      <c r="Q91" s="88"/>
      <c r="R91" s="157"/>
      <c r="S91" s="88"/>
      <c r="T91" s="88"/>
      <c r="U91" s="157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</row>
    <row r="92" spans="1:51" s="16" customFormat="1" ht="18" hidden="1" customHeight="1">
      <c r="A92" s="80"/>
      <c r="B92" s="68"/>
      <c r="C92" s="68"/>
      <c r="D92" s="134"/>
      <c r="E92" s="135"/>
      <c r="F92" s="135"/>
      <c r="G92" s="199"/>
      <c r="H92" s="143"/>
      <c r="I92" s="143"/>
      <c r="J92" s="143"/>
      <c r="K92" s="143"/>
      <c r="L92" s="67"/>
      <c r="M92" s="204"/>
      <c r="N92" s="205"/>
      <c r="O92" s="202"/>
      <c r="P92" s="204"/>
      <c r="Q92" s="205"/>
      <c r="R92" s="203"/>
      <c r="S92" s="204"/>
      <c r="T92" s="205"/>
      <c r="U92" s="206"/>
      <c r="V92" s="4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</row>
    <row r="93" spans="1:51" ht="18" hidden="1" customHeight="1">
      <c r="E93" s="144"/>
      <c r="F93" s="144"/>
      <c r="G93" s="144"/>
      <c r="H93" s="145"/>
      <c r="I93" s="145"/>
      <c r="J93" s="145"/>
      <c r="K93" s="145"/>
      <c r="L93" s="145"/>
      <c r="M93" s="146"/>
      <c r="N93" s="146"/>
      <c r="O93" s="50"/>
      <c r="P93" s="149"/>
      <c r="Q93" s="146"/>
      <c r="R93" s="158"/>
      <c r="S93" s="146"/>
      <c r="T93" s="149"/>
      <c r="U93" s="158"/>
      <c r="W93" s="48"/>
    </row>
    <row r="94" spans="1:51" ht="18" hidden="1" customHeight="1">
      <c r="E94" s="145"/>
      <c r="F94" s="145"/>
      <c r="G94" s="145"/>
      <c r="H94" s="145"/>
      <c r="I94" s="145"/>
      <c r="J94" s="145"/>
      <c r="K94" s="145"/>
      <c r="L94" s="145"/>
      <c r="M94" s="146"/>
      <c r="N94" s="146"/>
      <c r="O94" s="50"/>
      <c r="P94" s="149"/>
      <c r="Q94" s="146"/>
      <c r="R94" s="158"/>
      <c r="S94" s="146"/>
      <c r="T94" s="149"/>
      <c r="U94" s="158"/>
      <c r="W94" s="49"/>
    </row>
    <row r="95" spans="1:51" ht="18" hidden="1" customHeight="1">
      <c r="E95" s="145"/>
      <c r="F95" s="145"/>
      <c r="G95" s="145"/>
      <c r="H95" s="145"/>
      <c r="I95" s="145"/>
      <c r="J95" s="145"/>
      <c r="K95" s="145"/>
      <c r="L95" s="145"/>
      <c r="M95" s="146"/>
      <c r="N95" s="146"/>
      <c r="O95" s="50"/>
      <c r="P95" s="149"/>
      <c r="Q95" s="146"/>
      <c r="R95" s="158"/>
      <c r="S95" s="146"/>
      <c r="T95" s="149"/>
      <c r="U95" s="158"/>
      <c r="W95" s="49"/>
    </row>
    <row r="96" spans="1:51" ht="18" hidden="1" customHeight="1">
      <c r="E96" s="144"/>
      <c r="F96" s="144"/>
      <c r="G96" s="144"/>
      <c r="H96" s="145"/>
      <c r="I96" s="145"/>
      <c r="J96" s="145"/>
      <c r="K96" s="145"/>
      <c r="L96" s="145"/>
      <c r="M96" s="146"/>
      <c r="N96" s="146"/>
      <c r="O96" s="50"/>
      <c r="P96" s="149"/>
      <c r="Q96" s="146"/>
      <c r="R96" s="158"/>
      <c r="S96" s="146"/>
      <c r="T96" s="149"/>
      <c r="U96" s="158"/>
      <c r="W96" s="48"/>
    </row>
    <row r="97" spans="5:39" ht="18" hidden="1" customHeight="1">
      <c r="E97" s="144"/>
      <c r="F97" s="144"/>
      <c r="G97" s="144"/>
      <c r="H97" s="145"/>
      <c r="I97" s="145"/>
      <c r="J97" s="145"/>
      <c r="K97" s="145"/>
      <c r="L97" s="145"/>
      <c r="M97" s="146"/>
      <c r="N97" s="146"/>
      <c r="O97" s="50"/>
      <c r="P97" s="149"/>
      <c r="Q97" s="146"/>
      <c r="R97" s="158"/>
      <c r="S97" s="146"/>
      <c r="T97" s="149"/>
      <c r="U97" s="158"/>
      <c r="W97" s="48"/>
    </row>
    <row r="98" spans="5:39" ht="18" hidden="1" customHeight="1">
      <c r="E98" s="144"/>
      <c r="F98" s="144"/>
      <c r="G98" s="144"/>
      <c r="H98" s="145"/>
      <c r="I98" s="145"/>
      <c r="J98" s="145"/>
      <c r="K98" s="145"/>
      <c r="L98" s="145"/>
      <c r="M98" s="146"/>
      <c r="N98" s="146"/>
      <c r="O98" s="50"/>
      <c r="P98" s="149"/>
      <c r="Q98" s="146"/>
      <c r="R98" s="158"/>
      <c r="S98" s="146"/>
      <c r="T98" s="149"/>
      <c r="U98" s="158"/>
      <c r="W98" s="48"/>
    </row>
    <row r="99" spans="5:39" ht="18" hidden="1" customHeight="1">
      <c r="E99" s="144"/>
      <c r="F99" s="144"/>
      <c r="G99" s="144"/>
      <c r="H99" s="145"/>
      <c r="I99" s="145"/>
      <c r="J99" s="145"/>
      <c r="K99" s="145"/>
      <c r="L99" s="145"/>
      <c r="M99" s="146"/>
      <c r="N99" s="146"/>
      <c r="O99" s="50"/>
      <c r="P99" s="149"/>
      <c r="Q99" s="146"/>
      <c r="R99" s="158"/>
      <c r="S99" s="146"/>
      <c r="T99" s="149"/>
      <c r="U99" s="158"/>
      <c r="W99" s="48"/>
    </row>
    <row r="100" spans="5:39" ht="18" hidden="1" customHeight="1">
      <c r="E100" s="144"/>
      <c r="F100" s="144"/>
      <c r="G100" s="144"/>
      <c r="H100" s="145"/>
      <c r="I100" s="145"/>
      <c r="J100" s="145"/>
      <c r="K100" s="145"/>
      <c r="L100" s="145"/>
      <c r="M100" s="146"/>
      <c r="N100" s="146"/>
      <c r="O100" s="50"/>
      <c r="P100" s="149"/>
      <c r="Q100" s="146"/>
      <c r="R100" s="158"/>
      <c r="S100" s="146"/>
      <c r="T100" s="149"/>
      <c r="U100" s="158"/>
      <c r="W100" s="48"/>
    </row>
    <row r="101" spans="5:39" ht="18" hidden="1" customHeight="1">
      <c r="E101" s="144"/>
      <c r="F101" s="144"/>
      <c r="G101" s="144"/>
      <c r="H101" s="145"/>
      <c r="I101" s="145"/>
      <c r="J101" s="145"/>
      <c r="K101" s="145"/>
      <c r="L101" s="145"/>
      <c r="M101" s="146"/>
      <c r="N101" s="146"/>
      <c r="O101" s="50"/>
      <c r="P101" s="149"/>
      <c r="Q101" s="146"/>
      <c r="R101" s="158"/>
      <c r="S101" s="146"/>
      <c r="T101" s="149"/>
      <c r="U101" s="158"/>
      <c r="W101" s="48"/>
    </row>
    <row r="102" spans="5:39" ht="18" hidden="1" customHeight="1">
      <c r="E102" s="144"/>
      <c r="F102" s="144"/>
      <c r="G102" s="144"/>
      <c r="H102" s="145"/>
      <c r="I102" s="145"/>
      <c r="J102" s="145"/>
      <c r="K102" s="145"/>
      <c r="L102" s="145"/>
      <c r="M102" s="146"/>
      <c r="N102" s="146"/>
      <c r="O102" s="50"/>
      <c r="P102" s="149"/>
      <c r="Q102" s="146"/>
      <c r="R102" s="158"/>
      <c r="S102" s="146"/>
      <c r="T102" s="149"/>
      <c r="U102" s="158"/>
      <c r="W102" s="48"/>
    </row>
    <row r="103" spans="5:39" ht="18" hidden="1" customHeight="1">
      <c r="E103" s="144"/>
      <c r="F103" s="144"/>
      <c r="G103" s="144"/>
      <c r="H103" s="145"/>
      <c r="I103" s="145"/>
      <c r="J103" s="145"/>
      <c r="K103" s="145"/>
      <c r="L103" s="145"/>
      <c r="M103" s="146"/>
      <c r="N103" s="146"/>
      <c r="O103" s="50"/>
      <c r="P103" s="149"/>
      <c r="Q103" s="146"/>
      <c r="R103" s="158"/>
      <c r="S103" s="146"/>
      <c r="T103" s="149"/>
      <c r="U103" s="158"/>
      <c r="W103" s="48"/>
    </row>
    <row r="104" spans="5:39" ht="18" hidden="1" customHeight="1">
      <c r="E104" s="144"/>
      <c r="F104" s="144"/>
      <c r="G104" s="144"/>
      <c r="H104" s="145"/>
      <c r="I104" s="145"/>
      <c r="J104" s="145"/>
      <c r="K104" s="145"/>
      <c r="L104" s="145"/>
      <c r="M104" s="146"/>
      <c r="N104" s="146"/>
      <c r="O104" s="50"/>
      <c r="P104" s="149"/>
      <c r="Q104" s="146"/>
      <c r="R104" s="158"/>
      <c r="S104" s="146"/>
      <c r="T104" s="149"/>
      <c r="U104" s="158"/>
      <c r="W104" s="48"/>
      <c r="AB104" s="51"/>
    </row>
    <row r="105" spans="5:39" ht="18" hidden="1" customHeight="1">
      <c r="E105" s="144"/>
      <c r="F105" s="144"/>
      <c r="G105" s="144"/>
      <c r="H105" s="145"/>
      <c r="I105" s="145"/>
      <c r="J105" s="145"/>
      <c r="K105" s="145"/>
      <c r="L105" s="145"/>
      <c r="M105" s="146"/>
      <c r="N105" s="146"/>
      <c r="O105" s="50"/>
      <c r="P105" s="149"/>
      <c r="Q105" s="146"/>
      <c r="R105" s="158"/>
      <c r="S105" s="146"/>
      <c r="T105" s="149"/>
      <c r="U105" s="158"/>
      <c r="W105" s="48"/>
      <c r="AA105" s="52" t="s">
        <v>123</v>
      </c>
      <c r="AB105" s="53" t="e">
        <f>LEFT(_xll.SUBNM(Server&amp;"Period","",#REF!,""),4)</f>
        <v>#VALUE!</v>
      </c>
      <c r="AC105" s="54" t="s">
        <v>124</v>
      </c>
      <c r="AE105" s="53" t="e">
        <f>IF(RIGHT(_xll.SUBNM(Server&amp;"Period","",#REF!,""),3)="YTD","Yes","No")</f>
        <v>#VALUE!</v>
      </c>
    </row>
    <row r="106" spans="5:39" ht="18" hidden="1" customHeight="1">
      <c r="E106" s="144"/>
      <c r="F106" s="144"/>
      <c r="G106" s="144"/>
      <c r="H106" s="145"/>
      <c r="I106" s="145"/>
      <c r="J106" s="145"/>
      <c r="K106" s="145"/>
      <c r="L106" s="145"/>
      <c r="M106" s="146"/>
      <c r="N106" s="146"/>
      <c r="O106" s="50"/>
      <c r="P106" s="149"/>
      <c r="Q106" s="146"/>
      <c r="R106" s="158"/>
      <c r="S106" s="146"/>
      <c r="T106" s="149"/>
      <c r="U106" s="158"/>
      <c r="W106" s="48"/>
      <c r="Z106" s="13"/>
      <c r="AM106" s="55"/>
    </row>
    <row r="107" spans="5:39" ht="18" hidden="1" customHeight="1">
      <c r="E107" s="144"/>
      <c r="F107" s="144"/>
      <c r="G107" s="144"/>
      <c r="H107" s="145"/>
      <c r="I107" s="145"/>
      <c r="J107" s="145"/>
      <c r="K107" s="145"/>
      <c r="L107" s="145"/>
      <c r="M107" s="146"/>
      <c r="N107" s="146"/>
      <c r="O107" s="50"/>
      <c r="P107" s="149"/>
      <c r="Q107" s="146"/>
      <c r="R107" s="158"/>
      <c r="S107" s="146"/>
      <c r="T107" s="149"/>
      <c r="U107" s="158"/>
      <c r="W107" s="48"/>
      <c r="X107" s="12"/>
      <c r="Z107" s="13"/>
      <c r="AA107" s="12" t="e">
        <f>IF(AE105="No",_xll.DBRA(Server&amp;$Y$15,$Y41,$F$17),_xll.DBRA(Server&amp;$Y$15,$Y41,$F$17)&amp; " ("&amp;_xll.DBRA(Server&amp;$Y$15,$Y44,$F$17)&amp;")")</f>
        <v>#VALUE!</v>
      </c>
      <c r="AB107" s="12" t="e">
        <f>IF($AE$105="No",$AB$105&amp;".01",$AB$105&amp;".01_YTD")</f>
        <v>#VALUE!</v>
      </c>
      <c r="AC107" s="12" t="e">
        <f>IF($AE$105="No",$AB$105&amp;".02",$AB$105&amp;".02_YTD")</f>
        <v>#VALUE!</v>
      </c>
      <c r="AD107" s="12" t="e">
        <f>IF($AE$105="No",$AB$105&amp;".03",$AB$105&amp;".03_YTD")</f>
        <v>#VALUE!</v>
      </c>
      <c r="AE107" s="12" t="e">
        <f>IF($AE$105="No",$AB$105&amp;".04",$AB$105&amp;".04_YTD")</f>
        <v>#VALUE!</v>
      </c>
      <c r="AF107" s="12" t="e">
        <f>IF($AE$105="No",$AB$105&amp;".05",$AB$105&amp;".05_YTD")</f>
        <v>#VALUE!</v>
      </c>
      <c r="AG107" s="12" t="e">
        <f>IF($AE$105="No",$AB$105&amp;".06",$AB$105&amp;".06_YTD")</f>
        <v>#VALUE!</v>
      </c>
      <c r="AH107" s="12" t="e">
        <f>IF($AE$105="No",$AB$105&amp;".07",$AB$105&amp;".07_YTD")</f>
        <v>#VALUE!</v>
      </c>
      <c r="AI107" s="12" t="e">
        <f>IF($AE$105="No",$AB$105&amp;".08",$AB$105&amp;".08_YTD")</f>
        <v>#VALUE!</v>
      </c>
      <c r="AJ107" s="12" t="e">
        <f>IF($AE$105="No",$AB$105&amp;".09",$AB$105&amp;".09_YTD")</f>
        <v>#VALUE!</v>
      </c>
      <c r="AK107" s="12" t="e">
        <f>IF($AE$105="No",$AB$105&amp;".10",$AB$105&amp;".10_YTD")</f>
        <v>#VALUE!</v>
      </c>
      <c r="AL107" s="12" t="e">
        <f>IF($AE$105="No",$AB$105&amp;".11",$AB$105&amp;".11_YTD")</f>
        <v>#VALUE!</v>
      </c>
      <c r="AM107" s="12" t="e">
        <f>IF($AE$105="No",$AB$105&amp;".12",$AB$105&amp;".12_YTD")</f>
        <v>#VALUE!</v>
      </c>
    </row>
    <row r="108" spans="5:39" ht="18" hidden="1" customHeight="1">
      <c r="E108" s="144"/>
      <c r="F108" s="144"/>
      <c r="G108" s="144"/>
      <c r="H108" s="145"/>
      <c r="I108" s="145"/>
      <c r="J108" s="145"/>
      <c r="K108" s="145"/>
      <c r="L108" s="145"/>
      <c r="M108" s="146"/>
      <c r="N108" s="146"/>
      <c r="O108" s="50"/>
      <c r="P108" s="149"/>
      <c r="Q108" s="146"/>
      <c r="R108" s="158"/>
      <c r="S108" s="146"/>
      <c r="T108" s="149"/>
      <c r="U108" s="158"/>
      <c r="W108" s="48"/>
      <c r="X108" s="12"/>
      <c r="Z108" s="13"/>
      <c r="AA108" s="12"/>
      <c r="AB108" s="51" t="str">
        <f>_xll.DBRA(Server&amp;$Y$15,$Y45,$F$17)</f>
        <v>Jan</v>
      </c>
      <c r="AC108" s="51" t="str">
        <f>_xll.DBRA(Server&amp;$Y$15,$Y46,$F$17)</f>
        <v>Feb</v>
      </c>
      <c r="AD108" s="51" t="str">
        <f>_xll.DBRA(Server&amp;$Y$15,$Y47,$F$17)</f>
        <v>March</v>
      </c>
      <c r="AE108" s="51" t="str">
        <f>_xll.DBRA(Server&amp;$Y$15,$Y48,$F$17)</f>
        <v>April</v>
      </c>
      <c r="AF108" s="51" t="str">
        <f>_xll.DBRA(Server&amp;$Y$15,$Y49,$F$17)</f>
        <v>May</v>
      </c>
      <c r="AG108" s="51" t="str">
        <f>_xll.DBRA(Server&amp;$Y$15,$Y50,$F$17)</f>
        <v>June</v>
      </c>
      <c r="AH108" s="51" t="str">
        <f>_xll.DBRA(Server&amp;$Y$15,$Y51,$F$17)</f>
        <v>July</v>
      </c>
      <c r="AI108" s="51" t="str">
        <f>_xll.DBRA(Server&amp;$Y$15,$Y52,$F$17)</f>
        <v>Aug</v>
      </c>
      <c r="AJ108" s="51" t="str">
        <f>_xll.DBRA(Server&amp;$Y$15,$Y53,$F$17)</f>
        <v>Sep</v>
      </c>
      <c r="AK108" s="51" t="str">
        <f>_xll.DBRA(Server&amp;$Y$15,$Y54,$F$17)</f>
        <v>Oct</v>
      </c>
      <c r="AL108" s="51" t="str">
        <f>_xll.DBRA(Server&amp;$Y$15,$Y55,$F$17)</f>
        <v>Nov</v>
      </c>
      <c r="AM108" s="51" t="str">
        <f>_xll.DBRA(Server&amp;$Y$15,$Y56,$F$17)</f>
        <v>Dec</v>
      </c>
    </row>
    <row r="109" spans="5:39" ht="18" hidden="1" customHeight="1">
      <c r="E109" s="144"/>
      <c r="F109" s="144"/>
      <c r="G109" s="144"/>
      <c r="H109" s="145"/>
      <c r="I109" s="145"/>
      <c r="J109" s="145"/>
      <c r="K109" s="145"/>
      <c r="L109" s="145"/>
      <c r="M109" s="146"/>
      <c r="N109" s="146"/>
      <c r="O109" s="50"/>
      <c r="P109" s="149"/>
      <c r="Q109" s="146"/>
      <c r="R109" s="158"/>
      <c r="S109" s="146"/>
      <c r="T109" s="149"/>
      <c r="U109" s="158"/>
      <c r="W109" s="48"/>
      <c r="X109" s="12"/>
      <c r="Z109" s="13" t="str">
        <f>_xll.DBRA(Server&amp;$F$1,K$1,$F$17)</f>
        <v>Actual</v>
      </c>
      <c r="AA109" s="56" t="str">
        <f>$K$1</f>
        <v>ACT_TOT</v>
      </c>
      <c r="AB109" s="57" t="e">
        <f>_xll.DBRW($H$3,$F$13,$F$14,$F$15,$F$16,$F$11,$F$12,AB$107,$AA109,$B$21)</f>
        <v>#VALUE!</v>
      </c>
      <c r="AC109" s="57" t="e">
        <f>_xll.DBRW($H$3,$F$13,$F$14,$F$15,$F$16,$F$11,$F$12,AC$107,$AA109,$B$21)</f>
        <v>#VALUE!</v>
      </c>
      <c r="AD109" s="57" t="e">
        <f>_xll.DBRW($H$3,$F$13,$F$14,$F$15,$F$16,$F$11,$F$12,AD$107,$AA109,$B$21)</f>
        <v>#VALUE!</v>
      </c>
      <c r="AE109" s="57" t="e">
        <f>_xll.DBRW($H$3,$F$13,$F$14,$F$15,$F$16,$F$11,$F$12,AE$107,$AA109,$B$21)</f>
        <v>#VALUE!</v>
      </c>
      <c r="AF109" s="57" t="e">
        <f>_xll.DBRW($H$3,$F$13,$F$14,$F$15,$F$16,$F$11,$F$12,AF$107,$AA109,$B$21)</f>
        <v>#VALUE!</v>
      </c>
      <c r="AG109" s="57" t="e">
        <f>_xll.DBRW($H$3,$F$13,$F$14,$F$15,$F$16,$F$11,$F$12,AG$107,$AA109,$B$21)</f>
        <v>#VALUE!</v>
      </c>
      <c r="AH109" s="57" t="e">
        <f>_xll.DBRW($H$3,$F$13,$F$14,$F$15,$F$16,$F$11,$F$12,AH$107,$AA109,$B$21)</f>
        <v>#VALUE!</v>
      </c>
      <c r="AI109" s="57" t="e">
        <f>_xll.DBRW($H$3,$F$13,$F$14,$F$15,$F$16,$F$11,$F$12,AI$107,$AA109,$B$21)</f>
        <v>#VALUE!</v>
      </c>
      <c r="AJ109" s="57" t="e">
        <f>_xll.DBRW($H$3,$F$13,$F$14,$F$15,$F$16,$F$11,$F$12,AJ$107,$AA109,$B$21)</f>
        <v>#VALUE!</v>
      </c>
      <c r="AK109" s="57" t="e">
        <f>_xll.DBRW($H$3,$F$13,$F$14,$F$15,$F$16,$F$11,$F$12,AK$107,$AA109,$B$21)</f>
        <v>#VALUE!</v>
      </c>
      <c r="AL109" s="57" t="e">
        <f>_xll.DBRW($H$3,$F$13,$F$14,$F$15,$F$16,$F$11,$F$12,AL$107,$AA109,$B$21)</f>
        <v>#VALUE!</v>
      </c>
      <c r="AM109" s="57" t="e">
        <f>_xll.DBRW($H$3,$F$13,$F$14,$F$15,$F$16,$F$11,$F$12,AM$107,$AA109,$B$21)</f>
        <v>#VALUE!</v>
      </c>
    </row>
    <row r="110" spans="5:39" ht="18" hidden="1" customHeight="1">
      <c r="E110" s="144"/>
      <c r="F110" s="144"/>
      <c r="G110" s="144"/>
      <c r="H110" s="145"/>
      <c r="I110" s="145"/>
      <c r="J110" s="145"/>
      <c r="K110" s="145"/>
      <c r="L110" s="145"/>
      <c r="M110" s="146"/>
      <c r="N110" s="146"/>
      <c r="O110" s="50"/>
      <c r="P110" s="149"/>
      <c r="Q110" s="146"/>
      <c r="R110" s="158"/>
      <c r="S110" s="146"/>
      <c r="T110" s="149"/>
      <c r="U110" s="158"/>
      <c r="W110" s="48"/>
      <c r="X110" s="12"/>
      <c r="Z110" s="13" t="str">
        <f>_xll.DBRA(Server&amp;$Y$15,Y$57,$F$17)</f>
        <v>Prior Year</v>
      </c>
      <c r="AA110" s="56" t="str">
        <f>$H$1</f>
        <v>Actual</v>
      </c>
      <c r="AB110" s="57" t="e">
        <f>_xll.DBRW($H$3,$F$13,$F$14,$F$15,$F$16,$F$11,$F$12,AB$130,$AA110,$B$21)</f>
        <v>#VALUE!</v>
      </c>
      <c r="AC110" s="57" t="e">
        <f>_xll.DBRW($H$3,$F$13,$F$14,$F$15,$F$16,$F$11,$F$12,AC$130,$AA110,$B$21)</f>
        <v>#VALUE!</v>
      </c>
      <c r="AD110" s="57" t="e">
        <f>_xll.DBRW($H$3,$F$13,$F$14,$F$15,$F$16,$F$11,$F$12,AD$130,$AA110,$B$21)</f>
        <v>#VALUE!</v>
      </c>
      <c r="AE110" s="57" t="e">
        <f>_xll.DBRW($H$3,$F$13,$F$14,$F$15,$F$16,$F$11,$F$12,AE$130,$AA110,$B$21)</f>
        <v>#VALUE!</v>
      </c>
      <c r="AF110" s="57" t="e">
        <f>_xll.DBRW($H$3,$F$13,$F$14,$F$15,$F$16,$F$11,$F$12,AF$130,$AA110,$B$21)</f>
        <v>#VALUE!</v>
      </c>
      <c r="AG110" s="57" t="e">
        <f>_xll.DBRW($H$3,$F$13,$F$14,$F$15,$F$16,$F$11,$F$12,AG$130,$AA110,$B$21)</f>
        <v>#VALUE!</v>
      </c>
      <c r="AH110" s="57" t="e">
        <f>_xll.DBRW($H$3,$F$13,$F$14,$F$15,$F$16,$F$11,$F$12,AH$130,$AA110,$B$21)</f>
        <v>#VALUE!</v>
      </c>
      <c r="AI110" s="57" t="e">
        <f>_xll.DBRW($H$3,$F$13,$F$14,$F$15,$F$16,$F$11,$F$12,AI$130,$AA110,$B$21)</f>
        <v>#VALUE!</v>
      </c>
      <c r="AJ110" s="57" t="e">
        <f>_xll.DBRW($H$3,$F$13,$F$14,$F$15,$F$16,$F$11,$F$12,AJ$130,$AA110,$B$21)</f>
        <v>#VALUE!</v>
      </c>
      <c r="AK110" s="57" t="e">
        <f>_xll.DBRW($H$3,$F$13,$F$14,$F$15,$F$16,$F$11,$F$12,AK$130,$AA110,$B$21)</f>
        <v>#VALUE!</v>
      </c>
      <c r="AL110" s="57" t="e">
        <f>_xll.DBRW($H$3,$F$13,$F$14,$F$15,$F$16,$F$11,$F$12,AL$130,$AA110,$B$21)</f>
        <v>#VALUE!</v>
      </c>
      <c r="AM110" s="57" t="e">
        <f>_xll.DBRW($H$3,$F$13,$F$14,$F$15,$F$16,$F$11,$F$12,AM$130,$AA110,$B$21)</f>
        <v>#VALUE!</v>
      </c>
    </row>
    <row r="111" spans="5:39" ht="18" hidden="1" customHeight="1">
      <c r="E111" s="144"/>
      <c r="F111" s="144"/>
      <c r="G111" s="144"/>
      <c r="H111" s="145"/>
      <c r="I111" s="145"/>
      <c r="J111" s="145"/>
      <c r="K111" s="145"/>
      <c r="L111" s="145"/>
      <c r="M111" s="146"/>
      <c r="N111" s="146"/>
      <c r="O111" s="50"/>
      <c r="P111" s="149"/>
      <c r="Q111" s="146"/>
      <c r="R111" s="158"/>
      <c r="S111" s="146"/>
      <c r="T111" s="149"/>
      <c r="U111" s="158"/>
      <c r="W111" s="48"/>
      <c r="X111" s="12"/>
      <c r="Z111" s="13" t="str">
        <f>_xll.DBRA(Server&amp;$F$1,I$1,$F$17)</f>
        <v>Budget V current</v>
      </c>
      <c r="AA111" s="56" t="str">
        <f>$I$1</f>
        <v>Budget V current</v>
      </c>
      <c r="AB111" s="57" t="e">
        <f>_xll.DBRW($H$3,$F$13,$F$14,$F$15,$F$16,$F$11,$F$12,AB$107,$AA111,$B$21)</f>
        <v>#VALUE!</v>
      </c>
      <c r="AC111" s="57" t="e">
        <f>_xll.DBRW($H$3,$F$13,$F$14,$F$15,$F$16,$F$11,$F$12,AC$107,$AA111,$B$21)</f>
        <v>#VALUE!</v>
      </c>
      <c r="AD111" s="57" t="e">
        <f>_xll.DBRW($H$3,$F$13,$F$14,$F$15,$F$16,$F$11,$F$12,AD$107,$AA111,$B$21)</f>
        <v>#VALUE!</v>
      </c>
      <c r="AE111" s="57" t="e">
        <f>_xll.DBRW($H$3,$F$13,$F$14,$F$15,$F$16,$F$11,$F$12,AE$107,$AA111,$B$21)</f>
        <v>#VALUE!</v>
      </c>
      <c r="AF111" s="57" t="e">
        <f>_xll.DBRW($H$3,$F$13,$F$14,$F$15,$F$16,$F$11,$F$12,AF$107,$AA111,$B$21)</f>
        <v>#VALUE!</v>
      </c>
      <c r="AG111" s="57" t="e">
        <f>_xll.DBRW($H$3,$F$13,$F$14,$F$15,$F$16,$F$11,$F$12,AG$107,$AA111,$B$21)</f>
        <v>#VALUE!</v>
      </c>
      <c r="AH111" s="57" t="e">
        <f>_xll.DBRW($H$3,$F$13,$F$14,$F$15,$F$16,$F$11,$F$12,AH$107,$AA111,$B$21)</f>
        <v>#VALUE!</v>
      </c>
      <c r="AI111" s="57" t="e">
        <f>_xll.DBRW($H$3,$F$13,$F$14,$F$15,$F$16,$F$11,$F$12,AI$107,$AA111,$B$21)</f>
        <v>#VALUE!</v>
      </c>
      <c r="AJ111" s="57" t="e">
        <f>_xll.DBRW($H$3,$F$13,$F$14,$F$15,$F$16,$F$11,$F$12,AJ$107,$AA111,$B$21)</f>
        <v>#VALUE!</v>
      </c>
      <c r="AK111" s="57" t="e">
        <f>_xll.DBRW($H$3,$F$13,$F$14,$F$15,$F$16,$F$11,$F$12,AK$107,$AA111,$B$21)</f>
        <v>#VALUE!</v>
      </c>
      <c r="AL111" s="57" t="e">
        <f>_xll.DBRW($H$3,$F$13,$F$14,$F$15,$F$16,$F$11,$F$12,AL$107,$AA111,$B$21)</f>
        <v>#VALUE!</v>
      </c>
      <c r="AM111" s="57" t="e">
        <f>_xll.DBRW($H$3,$F$13,$F$14,$F$15,$F$16,$F$11,$F$12,AM$107,$AA111,$B$21)</f>
        <v>#VALUE!</v>
      </c>
    </row>
    <row r="112" spans="5:39" ht="18" hidden="1" customHeight="1">
      <c r="E112" s="144"/>
      <c r="F112" s="144"/>
      <c r="G112" s="144"/>
      <c r="H112" s="145"/>
      <c r="I112" s="145"/>
      <c r="J112" s="145"/>
      <c r="K112" s="145"/>
      <c r="L112" s="145"/>
      <c r="M112" s="146"/>
      <c r="N112" s="146"/>
      <c r="O112" s="50"/>
      <c r="P112" s="149"/>
      <c r="Q112" s="146"/>
      <c r="R112" s="158"/>
      <c r="S112" s="146"/>
      <c r="T112" s="149"/>
      <c r="U112" s="158"/>
      <c r="W112" s="48"/>
      <c r="X112" s="12"/>
      <c r="Z112" s="13" t="str">
        <f>_xll.DBRA(Server&amp;$F$1,J$1,$F$17)</f>
        <v>Forecast 2 V current</v>
      </c>
      <c r="AA112" s="56" t="str">
        <f>$J$1</f>
        <v>Forecast 2 V current</v>
      </c>
      <c r="AB112" s="57" t="e">
        <f>_xll.DBRW($H$3,$F$13,$F$14,$F$15,$F$16,$F$11,$F$12,AB$107,$AA112,$B$21)</f>
        <v>#VALUE!</v>
      </c>
      <c r="AC112" s="57" t="e">
        <f>_xll.DBRW($H$3,$F$13,$F$14,$F$15,$F$16,$F$11,$F$12,AC$107,$AA112,$B$21)</f>
        <v>#VALUE!</v>
      </c>
      <c r="AD112" s="57" t="e">
        <f>_xll.DBRW($H$3,$F$13,$F$14,$F$15,$F$16,$F$11,$F$12,AD$107,$AA112,$B$21)</f>
        <v>#VALUE!</v>
      </c>
      <c r="AE112" s="57" t="e">
        <f>_xll.DBRW($H$3,$F$13,$F$14,$F$15,$F$16,$F$11,$F$12,AE$107,$AA112,$B$21)</f>
        <v>#VALUE!</v>
      </c>
      <c r="AF112" s="57" t="e">
        <f>_xll.DBRW($H$3,$F$13,$F$14,$F$15,$F$16,$F$11,$F$12,AF$107,$AA112,$B$21)</f>
        <v>#VALUE!</v>
      </c>
      <c r="AG112" s="57" t="e">
        <f>_xll.DBRW($H$3,$F$13,$F$14,$F$15,$F$16,$F$11,$F$12,AG$107,$AA112,$B$21)</f>
        <v>#VALUE!</v>
      </c>
      <c r="AH112" s="57" t="e">
        <f>_xll.DBRW($H$3,$F$13,$F$14,$F$15,$F$16,$F$11,$F$12,AH$107,$AA112,$B$21)</f>
        <v>#VALUE!</v>
      </c>
      <c r="AI112" s="57" t="e">
        <f>_xll.DBRW($H$3,$F$13,$F$14,$F$15,$F$16,$F$11,$F$12,AI$107,$AA112,$B$21)</f>
        <v>#VALUE!</v>
      </c>
      <c r="AJ112" s="57" t="e">
        <f>_xll.DBRW($H$3,$F$13,$F$14,$F$15,$F$16,$F$11,$F$12,AJ$107,$AA112,$B$21)</f>
        <v>#VALUE!</v>
      </c>
      <c r="AK112" s="57" t="e">
        <f>_xll.DBRW($H$3,$F$13,$F$14,$F$15,$F$16,$F$11,$F$12,AK$107,$AA112,$B$21)</f>
        <v>#VALUE!</v>
      </c>
      <c r="AL112" s="57" t="e">
        <f>_xll.DBRW($H$3,$F$13,$F$14,$F$15,$F$16,$F$11,$F$12,AL$107,$AA112,$B$21)</f>
        <v>#VALUE!</v>
      </c>
      <c r="AM112" s="57" t="e">
        <f>_xll.DBRW($H$3,$F$13,$F$14,$F$15,$F$16,$F$11,$F$12,AM$107,$AA112,$B$21)</f>
        <v>#VALUE!</v>
      </c>
    </row>
    <row r="113" spans="5:39" ht="18" hidden="1" customHeight="1">
      <c r="E113" s="144"/>
      <c r="F113" s="144"/>
      <c r="G113" s="144"/>
      <c r="H113" s="145"/>
      <c r="I113" s="145"/>
      <c r="J113" s="145"/>
      <c r="K113" s="145"/>
      <c r="L113" s="145"/>
      <c r="M113" s="146"/>
      <c r="N113" s="146"/>
      <c r="O113" s="50"/>
      <c r="P113" s="149"/>
      <c r="Q113" s="146"/>
      <c r="R113" s="158"/>
      <c r="S113" s="146"/>
      <c r="T113" s="149"/>
      <c r="U113" s="158"/>
      <c r="W113" s="48"/>
      <c r="X113" s="12"/>
      <c r="Z113" s="13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</row>
    <row r="114" spans="5:39" ht="18" hidden="1" customHeight="1">
      <c r="E114" s="209"/>
      <c r="F114" s="209"/>
      <c r="G114" s="144"/>
      <c r="H114" s="144"/>
      <c r="I114" s="145"/>
      <c r="J114" s="145"/>
      <c r="K114" s="145"/>
      <c r="L114" s="145"/>
      <c r="M114" s="145"/>
      <c r="N114" s="146"/>
      <c r="O114" s="50"/>
      <c r="P114" s="146"/>
      <c r="Q114" s="149"/>
      <c r="R114" s="158"/>
      <c r="S114" s="146"/>
      <c r="T114" s="146"/>
      <c r="U114" s="158"/>
      <c r="W114" s="58"/>
      <c r="X114" s="12"/>
      <c r="Z114" s="13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</row>
    <row r="115" spans="5:39" ht="18" hidden="1" customHeight="1">
      <c r="E115" s="209"/>
      <c r="F115" s="209"/>
      <c r="G115" s="144"/>
      <c r="H115" s="144"/>
      <c r="I115" s="145"/>
      <c r="J115" s="145"/>
      <c r="K115" s="145"/>
      <c r="L115" s="145"/>
      <c r="M115" s="145"/>
      <c r="N115" s="146"/>
      <c r="O115" s="50"/>
      <c r="P115" s="146"/>
      <c r="Q115" s="149"/>
      <c r="R115" s="158"/>
      <c r="S115" s="146"/>
      <c r="T115" s="146"/>
      <c r="U115" s="158"/>
      <c r="W115" s="58"/>
      <c r="X115" s="12"/>
      <c r="Z115" s="13"/>
      <c r="AA115" s="12" t="e">
        <f>IF(AE105="No",_xll.DBRA(Server&amp;$Y$15,$Y42,$F$17),_xll.DBRA(Server&amp;$Y$15,$Y42,$F$17)&amp; " ("&amp;_xll.DBRA(Server&amp;$Y$15,$Y44,$F$17)&amp;")")</f>
        <v>#VALUE!</v>
      </c>
      <c r="AB115" s="12" t="e">
        <f>IF($AE$105="No",$AB$105&amp;".01",$AB$105&amp;".01_YTD")</f>
        <v>#VALUE!</v>
      </c>
      <c r="AC115" s="12" t="e">
        <f>IF($AE$105="No",$AB$105&amp;".02",$AB$105&amp;".02_YTD")</f>
        <v>#VALUE!</v>
      </c>
      <c r="AD115" s="12" t="e">
        <f>IF($AE$105="No",$AB$105&amp;".03",$AB$105&amp;".03_YTD")</f>
        <v>#VALUE!</v>
      </c>
      <c r="AE115" s="12" t="e">
        <f>IF($AE$105="No",$AB$105&amp;".04",$AB$105&amp;".04_YTD")</f>
        <v>#VALUE!</v>
      </c>
      <c r="AF115" s="12" t="e">
        <f>IF($AE$105="No",$AB$105&amp;".05",$AB$105&amp;".05_YTD")</f>
        <v>#VALUE!</v>
      </c>
      <c r="AG115" s="12" t="e">
        <f>IF($AE$105="No",$AB$105&amp;".06",$AB$105&amp;".06_YTD")</f>
        <v>#VALUE!</v>
      </c>
      <c r="AH115" s="12" t="e">
        <f>IF($AE$105="No",$AB$105&amp;".07",$AB$105&amp;".07_YTD")</f>
        <v>#VALUE!</v>
      </c>
      <c r="AI115" s="12" t="e">
        <f>IF($AE$105="No",$AB$105&amp;".08",$AB$105&amp;".08_YTD")</f>
        <v>#VALUE!</v>
      </c>
      <c r="AJ115" s="12" t="e">
        <f>IF($AE$105="No",$AB$105&amp;".09",$AB$105&amp;".09_YTD")</f>
        <v>#VALUE!</v>
      </c>
      <c r="AK115" s="12" t="e">
        <f>IF($AE$105="No",$AB$105&amp;".10",$AB$105&amp;".10_YTD")</f>
        <v>#VALUE!</v>
      </c>
      <c r="AL115" s="12" t="e">
        <f>IF($AE$105="No",$AB$105&amp;".11",$AB$105&amp;".11_YTD")</f>
        <v>#VALUE!</v>
      </c>
      <c r="AM115" s="12" t="e">
        <f>IF($AE$105="No",$AB$105&amp;".12",$AB$105&amp;".12_YTD")</f>
        <v>#VALUE!</v>
      </c>
    </row>
    <row r="116" spans="5:39" ht="18" hidden="1" customHeight="1">
      <c r="E116" s="209"/>
      <c r="F116" s="209"/>
      <c r="G116" s="144"/>
      <c r="H116" s="144"/>
      <c r="I116" s="145"/>
      <c r="J116" s="145"/>
      <c r="K116" s="145"/>
      <c r="L116" s="145"/>
      <c r="M116" s="145"/>
      <c r="N116" s="146"/>
      <c r="O116" s="50"/>
      <c r="P116" s="146"/>
      <c r="Q116" s="149"/>
      <c r="R116" s="158"/>
      <c r="S116" s="146"/>
      <c r="T116" s="146"/>
      <c r="U116" s="158"/>
      <c r="W116" s="58"/>
      <c r="X116" s="12"/>
      <c r="Z116" s="13"/>
      <c r="AA116" s="12"/>
      <c r="AB116" s="51" t="str">
        <f>_xll.DBRA(Server&amp;$Y$15,$Y45,$F$17)</f>
        <v>Jan</v>
      </c>
      <c r="AC116" s="51" t="str">
        <f>_xll.DBRA(Server&amp;$Y$15,$Y46,$F$17)</f>
        <v>Feb</v>
      </c>
      <c r="AD116" s="51" t="str">
        <f>_xll.DBRA(Server&amp;$Y$15,$Y47,$F$17)</f>
        <v>March</v>
      </c>
      <c r="AE116" s="51" t="str">
        <f>_xll.DBRA(Server&amp;$Y$15,$Y48,$F$17)</f>
        <v>April</v>
      </c>
      <c r="AF116" s="51" t="str">
        <f>_xll.DBRA(Server&amp;$Y$15,$Y49,$F$17)</f>
        <v>May</v>
      </c>
      <c r="AG116" s="51" t="str">
        <f>_xll.DBRA(Server&amp;$Y$15,$Y50,$F$17)</f>
        <v>June</v>
      </c>
      <c r="AH116" s="51" t="str">
        <f>_xll.DBRA(Server&amp;$Y$15,$Y51,$F$17)</f>
        <v>July</v>
      </c>
      <c r="AI116" s="51" t="str">
        <f>_xll.DBRA(Server&amp;$Y$15,$Y52,$F$17)</f>
        <v>Aug</v>
      </c>
      <c r="AJ116" s="51" t="str">
        <f>_xll.DBRA(Server&amp;$Y$15,$Y53,$F$17)</f>
        <v>Sep</v>
      </c>
      <c r="AK116" s="51" t="str">
        <f>_xll.DBRA(Server&amp;$Y$15,$Y54,$F$17)</f>
        <v>Oct</v>
      </c>
      <c r="AL116" s="51" t="str">
        <f>_xll.DBRA(Server&amp;$Y$15,$Y55,$F$17)</f>
        <v>Nov</v>
      </c>
      <c r="AM116" s="51" t="str">
        <f>_xll.DBRA(Server&amp;$Y$15,$Y56,$F$17)</f>
        <v>Dec</v>
      </c>
    </row>
    <row r="117" spans="5:39" ht="18" hidden="1" customHeight="1">
      <c r="E117" s="209"/>
      <c r="F117" s="209"/>
      <c r="G117" s="144"/>
      <c r="H117" s="144"/>
      <c r="I117" s="145"/>
      <c r="J117" s="145"/>
      <c r="K117" s="145"/>
      <c r="L117" s="145"/>
      <c r="M117" s="145"/>
      <c r="N117" s="146"/>
      <c r="O117" s="50"/>
      <c r="P117" s="146"/>
      <c r="Q117" s="149"/>
      <c r="R117" s="158"/>
      <c r="S117" s="146"/>
      <c r="T117" s="146"/>
      <c r="U117" s="158"/>
      <c r="W117" s="58"/>
      <c r="X117" s="12"/>
      <c r="Z117" s="13" t="str">
        <f>_xll.DBRA(Server&amp;$F$1,K$1,$F$17)</f>
        <v>Actual</v>
      </c>
      <c r="AA117" s="56" t="str">
        <f>$K$1</f>
        <v>ACT_TOT</v>
      </c>
      <c r="AB117" s="57" t="e">
        <f>_xll.DBRW($H$3,$F$13,$F$14,$F$15,$F$16,$F$11,$F$12,AB$115,$AA117,$B$54)</f>
        <v>#VALUE!</v>
      </c>
      <c r="AC117" s="57" t="e">
        <f>_xll.DBRW($H$3,$F$13,$F$14,$F$15,$F$16,$F$11,$F$12,AC$115,$AA117,$B$54)</f>
        <v>#VALUE!</v>
      </c>
      <c r="AD117" s="57" t="e">
        <f>_xll.DBRW($H$3,$F$13,$F$14,$F$15,$F$16,$F$11,$F$12,AD$115,$AA117,$B$54)</f>
        <v>#VALUE!</v>
      </c>
      <c r="AE117" s="57" t="e">
        <f>_xll.DBRW($H$3,$F$13,$F$14,$F$15,$F$16,$F$11,$F$12,AE$115,$AA117,$B$54)</f>
        <v>#VALUE!</v>
      </c>
      <c r="AF117" s="57" t="e">
        <f>_xll.DBRW($H$3,$F$13,$F$14,$F$15,$F$16,$F$11,$F$12,AF$115,$AA117,$B$54)</f>
        <v>#VALUE!</v>
      </c>
      <c r="AG117" s="57" t="e">
        <f>_xll.DBRW($H$3,$F$13,$F$14,$F$15,$F$16,$F$11,$F$12,AG$115,$AA117,$B$54)</f>
        <v>#VALUE!</v>
      </c>
      <c r="AH117" s="57" t="e">
        <f>_xll.DBRW($H$3,$F$13,$F$14,$F$15,$F$16,$F$11,$F$12,AH$115,$AA117,$B$54)</f>
        <v>#VALUE!</v>
      </c>
      <c r="AI117" s="57" t="e">
        <f>_xll.DBRW($H$3,$F$13,$F$14,$F$15,$F$16,$F$11,$F$12,AI$115,$AA117,$B$54)</f>
        <v>#VALUE!</v>
      </c>
      <c r="AJ117" s="57" t="e">
        <f>_xll.DBRW($H$3,$F$13,$F$14,$F$15,$F$16,$F$11,$F$12,AJ$115,$AA117,$B$54)</f>
        <v>#VALUE!</v>
      </c>
      <c r="AK117" s="57" t="e">
        <f>_xll.DBRW($H$3,$F$13,$F$14,$F$15,$F$16,$F$11,$F$12,AK$115,$AA117,$B$54)</f>
        <v>#VALUE!</v>
      </c>
      <c r="AL117" s="57" t="e">
        <f>_xll.DBRW($H$3,$F$13,$F$14,$F$15,$F$16,$F$11,$F$12,AL$115,$AA117,$B$54)</f>
        <v>#VALUE!</v>
      </c>
      <c r="AM117" s="57" t="e">
        <f>_xll.DBRW($H$3,$F$13,$F$14,$F$15,$F$16,$F$11,$F$12,AM$115,$AA117,$B$54)</f>
        <v>#VALUE!</v>
      </c>
    </row>
    <row r="118" spans="5:39" ht="18" hidden="1" customHeight="1">
      <c r="E118" s="210"/>
      <c r="G118" s="74"/>
      <c r="L118" s="67"/>
      <c r="N118" s="73"/>
      <c r="P118" s="80"/>
      <c r="S118" s="147"/>
      <c r="W118" s="12"/>
      <c r="X118" s="12"/>
      <c r="Z118" s="13" t="str">
        <f>_xll.DBRA(Server&amp;$Y$15,Y$57,$F$17)</f>
        <v>Prior Year</v>
      </c>
      <c r="AA118" s="56" t="str">
        <f>$H$1</f>
        <v>Actual</v>
      </c>
      <c r="AB118" s="57" t="e">
        <f>_xll.DBRW($H$3,$F$13,$F$14,$F$15,$F$16,$F$11,$F$12,AB$130,$AA118,$B$54)</f>
        <v>#VALUE!</v>
      </c>
      <c r="AC118" s="57" t="e">
        <f>_xll.DBRW($H$3,$F$13,$F$14,$F$15,$F$16,$F$11,$F$12,AC$130,$AA118,$B$54)</f>
        <v>#VALUE!</v>
      </c>
      <c r="AD118" s="57" t="e">
        <f>_xll.DBRW($H$3,$F$13,$F$14,$F$15,$F$16,$F$11,$F$12,AD$130,$AA118,$B$54)</f>
        <v>#VALUE!</v>
      </c>
      <c r="AE118" s="57" t="e">
        <f>_xll.DBRW($H$3,$F$13,$F$14,$F$15,$F$16,$F$11,$F$12,AE$130,$AA118,$B$54)</f>
        <v>#VALUE!</v>
      </c>
      <c r="AF118" s="57" t="e">
        <f>_xll.DBRW($H$3,$F$13,$F$14,$F$15,$F$16,$F$11,$F$12,AF$130,$AA118,$B$54)</f>
        <v>#VALUE!</v>
      </c>
      <c r="AG118" s="57" t="e">
        <f>_xll.DBRW($H$3,$F$13,$F$14,$F$15,$F$16,$F$11,$F$12,AG$130,$AA118,$B$54)</f>
        <v>#VALUE!</v>
      </c>
      <c r="AH118" s="57" t="e">
        <f>_xll.DBRW($H$3,$F$13,$F$14,$F$15,$F$16,$F$11,$F$12,AH$130,$AA118,$B$54)</f>
        <v>#VALUE!</v>
      </c>
      <c r="AI118" s="57" t="e">
        <f>_xll.DBRW($H$3,$F$13,$F$14,$F$15,$F$16,$F$11,$F$12,AI$130,$AA118,$B$54)</f>
        <v>#VALUE!</v>
      </c>
      <c r="AJ118" s="57" t="e">
        <f>_xll.DBRW($H$3,$F$13,$F$14,$F$15,$F$16,$F$11,$F$12,AJ$130,$AA118,$B$54)</f>
        <v>#VALUE!</v>
      </c>
      <c r="AK118" s="57" t="e">
        <f>_xll.DBRW($H$3,$F$13,$F$14,$F$15,$F$16,$F$11,$F$12,AK$130,$AA118,$B$54)</f>
        <v>#VALUE!</v>
      </c>
      <c r="AL118" s="57" t="e">
        <f>_xll.DBRW($H$3,$F$13,$F$14,$F$15,$F$16,$F$11,$F$12,AL$130,$AA118,$B$54)</f>
        <v>#VALUE!</v>
      </c>
      <c r="AM118" s="57" t="e">
        <f>_xll.DBRW($H$3,$F$13,$F$14,$F$15,$F$16,$F$11,$F$12,AM$130,$AA118,$B$54)</f>
        <v>#VALUE!</v>
      </c>
    </row>
    <row r="119" spans="5:39" ht="18" hidden="1" customHeight="1">
      <c r="E119" s="210"/>
      <c r="F119" s="210"/>
      <c r="G119" s="210"/>
      <c r="H119" s="210"/>
      <c r="I119" s="210"/>
      <c r="J119" s="210"/>
      <c r="K119" s="210"/>
      <c r="L119" s="210"/>
      <c r="M119" s="210"/>
      <c r="N119" s="210"/>
      <c r="O119" s="55"/>
      <c r="P119" s="210"/>
      <c r="Q119" s="210"/>
      <c r="R119" s="211"/>
      <c r="S119" s="210"/>
      <c r="T119" s="210"/>
      <c r="U119" s="211"/>
      <c r="V119" s="12"/>
      <c r="W119" s="12"/>
      <c r="X119" s="12"/>
      <c r="Z119" s="13" t="str">
        <f>_xll.DBRA(Server&amp;$F$1,I$1,$F$17)</f>
        <v>Budget V current</v>
      </c>
      <c r="AA119" s="56" t="str">
        <f>$I$1</f>
        <v>Budget V current</v>
      </c>
      <c r="AB119" s="57" t="e">
        <f>_xll.DBRW($H$3,$F$13,$F$14,$F$15,$F$16,$F$11,$F$12,AB$115,$AA119,$B$54)</f>
        <v>#VALUE!</v>
      </c>
      <c r="AC119" s="57" t="e">
        <f>_xll.DBRW($H$3,$F$13,$F$14,$F$15,$F$16,$F$11,$F$12,AC$115,$AA119,$B$54)</f>
        <v>#VALUE!</v>
      </c>
      <c r="AD119" s="57" t="e">
        <f>_xll.DBRW($H$3,$F$13,$F$14,$F$15,$F$16,$F$11,$F$12,AD$115,$AA119,$B$54)</f>
        <v>#VALUE!</v>
      </c>
      <c r="AE119" s="57" t="e">
        <f>_xll.DBRW($H$3,$F$13,$F$14,$F$15,$F$16,$F$11,$F$12,AE$115,$AA119,$B$54)</f>
        <v>#VALUE!</v>
      </c>
      <c r="AF119" s="57" t="e">
        <f>_xll.DBRW($H$3,$F$13,$F$14,$F$15,$F$16,$F$11,$F$12,AF$115,$AA119,$B$54)</f>
        <v>#VALUE!</v>
      </c>
      <c r="AG119" s="57" t="e">
        <f>_xll.DBRW($H$3,$F$13,$F$14,$F$15,$F$16,$F$11,$F$12,AG$115,$AA119,$B$54)</f>
        <v>#VALUE!</v>
      </c>
      <c r="AH119" s="57" t="e">
        <f>_xll.DBRW($H$3,$F$13,$F$14,$F$15,$F$16,$F$11,$F$12,AH$115,$AA119,$B$54)</f>
        <v>#VALUE!</v>
      </c>
      <c r="AI119" s="57" t="e">
        <f>_xll.DBRW($H$3,$F$13,$F$14,$F$15,$F$16,$F$11,$F$12,AI$115,$AA119,$B$54)</f>
        <v>#VALUE!</v>
      </c>
      <c r="AJ119" s="57" t="e">
        <f>_xll.DBRW($H$3,$F$13,$F$14,$F$15,$F$16,$F$11,$F$12,AJ$115,$AA119,$B$54)</f>
        <v>#VALUE!</v>
      </c>
      <c r="AK119" s="57" t="e">
        <f>_xll.DBRW($H$3,$F$13,$F$14,$F$15,$F$16,$F$11,$F$12,AK$115,$AA119,$B$54)</f>
        <v>#VALUE!</v>
      </c>
      <c r="AL119" s="57" t="e">
        <f>_xll.DBRW($H$3,$F$13,$F$14,$F$15,$F$16,$F$11,$F$12,AL$115,$AA119,$B$54)</f>
        <v>#VALUE!</v>
      </c>
      <c r="AM119" s="57" t="e">
        <f>_xll.DBRW($H$3,$F$13,$F$14,$F$15,$F$16,$F$11,$F$12,AM$115,$AA119,$B$54)</f>
        <v>#VALUE!</v>
      </c>
    </row>
    <row r="120" spans="5:39" ht="18" hidden="1" customHeight="1">
      <c r="E120" s="210"/>
      <c r="F120" s="210"/>
      <c r="G120" s="210"/>
      <c r="H120" s="210"/>
      <c r="I120" s="210"/>
      <c r="J120" s="210"/>
      <c r="K120" s="210"/>
      <c r="L120" s="210"/>
      <c r="M120" s="210"/>
      <c r="N120" s="210"/>
      <c r="O120" s="55"/>
      <c r="P120" s="210"/>
      <c r="Q120" s="210"/>
      <c r="R120" s="211"/>
      <c r="S120" s="210"/>
      <c r="T120" s="210"/>
      <c r="U120" s="211"/>
      <c r="V120" s="12"/>
      <c r="W120" s="12"/>
      <c r="X120" s="12"/>
      <c r="Z120" s="13" t="str">
        <f>_xll.DBRA(Server&amp;$F$1,J$1,$F$17)</f>
        <v>Forecast 2 V current</v>
      </c>
      <c r="AA120" s="56" t="str">
        <f>$J$1</f>
        <v>Forecast 2 V current</v>
      </c>
      <c r="AB120" s="57" t="e">
        <f>_xll.DBRW($H$3,$F$13,$F$14,$F$15,$F$16,$F$11,$F$12,AB$115,$AA120,$B$54)</f>
        <v>#VALUE!</v>
      </c>
      <c r="AC120" s="57" t="e">
        <f>_xll.DBRW($H$3,$F$13,$F$14,$F$15,$F$16,$F$11,$F$12,AC$115,$AA120,$B$54)</f>
        <v>#VALUE!</v>
      </c>
      <c r="AD120" s="57" t="e">
        <f>_xll.DBRW($H$3,$F$13,$F$14,$F$15,$F$16,$F$11,$F$12,AD$115,$AA120,$B$54)</f>
        <v>#VALUE!</v>
      </c>
      <c r="AE120" s="57" t="e">
        <f>_xll.DBRW($H$3,$F$13,$F$14,$F$15,$F$16,$F$11,$F$12,AE$115,$AA120,$B$54)</f>
        <v>#VALUE!</v>
      </c>
      <c r="AF120" s="57" t="e">
        <f>_xll.DBRW($H$3,$F$13,$F$14,$F$15,$F$16,$F$11,$F$12,AF$115,$AA120,$B$54)</f>
        <v>#VALUE!</v>
      </c>
      <c r="AG120" s="57" t="e">
        <f>_xll.DBRW($H$3,$F$13,$F$14,$F$15,$F$16,$F$11,$F$12,AG$115,$AA120,$B$54)</f>
        <v>#VALUE!</v>
      </c>
      <c r="AH120" s="57" t="e">
        <f>_xll.DBRW($H$3,$F$13,$F$14,$F$15,$F$16,$F$11,$F$12,AH$115,$AA120,$B$54)</f>
        <v>#VALUE!</v>
      </c>
      <c r="AI120" s="57" t="e">
        <f>_xll.DBRW($H$3,$F$13,$F$14,$F$15,$F$16,$F$11,$F$12,AI$115,$AA120,$B$54)</f>
        <v>#VALUE!</v>
      </c>
      <c r="AJ120" s="57" t="e">
        <f>_xll.DBRW($H$3,$F$13,$F$14,$F$15,$F$16,$F$11,$F$12,AJ$115,$AA120,$B$54)</f>
        <v>#VALUE!</v>
      </c>
      <c r="AK120" s="57" t="e">
        <f>_xll.DBRW($H$3,$F$13,$F$14,$F$15,$F$16,$F$11,$F$12,AK$115,$AA120,$B$54)</f>
        <v>#VALUE!</v>
      </c>
      <c r="AL120" s="57" t="e">
        <f>_xll.DBRW($H$3,$F$13,$F$14,$F$15,$F$16,$F$11,$F$12,AL$115,$AA120,$B$54)</f>
        <v>#VALUE!</v>
      </c>
      <c r="AM120" s="57" t="e">
        <f>_xll.DBRW($H$3,$F$13,$F$14,$F$15,$F$16,$F$11,$F$12,AM$115,$AA120,$B$54)</f>
        <v>#VALUE!</v>
      </c>
    </row>
    <row r="121" spans="5:39" ht="18" hidden="1" customHeight="1"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55"/>
      <c r="P121" s="210"/>
      <c r="Q121" s="210"/>
      <c r="R121" s="211"/>
      <c r="S121" s="210"/>
      <c r="T121" s="210"/>
      <c r="U121" s="211"/>
      <c r="V121" s="12"/>
      <c r="W121" s="12"/>
      <c r="X121" s="12"/>
      <c r="Z121" s="13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</row>
    <row r="122" spans="5:39" ht="18" hidden="1" customHeight="1">
      <c r="E122" s="210"/>
      <c r="F122" s="210"/>
      <c r="G122" s="210"/>
      <c r="H122" s="210"/>
      <c r="I122" s="210"/>
      <c r="J122" s="210"/>
      <c r="K122" s="210"/>
      <c r="L122" s="210"/>
      <c r="M122" s="210"/>
      <c r="N122" s="210"/>
      <c r="O122" s="55"/>
      <c r="P122" s="210"/>
      <c r="Q122" s="210"/>
      <c r="R122" s="211"/>
      <c r="S122" s="210"/>
      <c r="T122" s="210"/>
      <c r="U122" s="211"/>
      <c r="V122" s="12"/>
      <c r="W122" s="12"/>
      <c r="X122" s="12"/>
      <c r="Z122" s="13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</row>
    <row r="123" spans="5:39" ht="18" hidden="1" customHeight="1">
      <c r="E123" s="210"/>
      <c r="F123" s="210"/>
      <c r="G123" s="210"/>
      <c r="H123" s="210"/>
      <c r="I123" s="210"/>
      <c r="J123" s="210"/>
      <c r="K123" s="210"/>
      <c r="L123" s="210"/>
      <c r="M123" s="210"/>
      <c r="N123" s="210"/>
      <c r="O123" s="55"/>
      <c r="P123" s="210"/>
      <c r="Q123" s="210"/>
      <c r="R123" s="211"/>
      <c r="S123" s="210"/>
      <c r="T123" s="210"/>
      <c r="U123" s="211"/>
      <c r="V123" s="12"/>
      <c r="W123" s="12"/>
      <c r="X123" s="12"/>
      <c r="Z123" s="13"/>
      <c r="AA123" s="12" t="e">
        <f>IF(AE105="No",_xll.DBRA(Server&amp;$Y$15,$Y43,$F$17),_xll.DBRA(Server&amp;$Y$15,$Y43,$F$17)&amp; " ("&amp;_xll.DBRA(Server&amp;$Y$15,$Y44,$F$17)&amp;")")</f>
        <v>#VALUE!</v>
      </c>
      <c r="AB123" s="12" t="e">
        <f>IF($AE$105="No",$AB$105&amp;".01",$AB$105&amp;".01_YTD")</f>
        <v>#VALUE!</v>
      </c>
      <c r="AC123" s="12" t="e">
        <f>IF($AE$105="No",$AB$105&amp;".02",$AB$105&amp;".02_YTD")</f>
        <v>#VALUE!</v>
      </c>
      <c r="AD123" s="12" t="e">
        <f>IF($AE$105="No",$AB$105&amp;".03",$AB$105&amp;".03_YTD")</f>
        <v>#VALUE!</v>
      </c>
      <c r="AE123" s="12" t="e">
        <f>IF($AE$105="No",$AB$105&amp;".04",$AB$105&amp;".04_YTD")</f>
        <v>#VALUE!</v>
      </c>
      <c r="AF123" s="12" t="e">
        <f>IF($AE$105="No",$AB$105&amp;".05",$AB$105&amp;".05_YTD")</f>
        <v>#VALUE!</v>
      </c>
      <c r="AG123" s="12" t="e">
        <f>IF($AE$105="No",$AB$105&amp;".06",$AB$105&amp;".06_YTD")</f>
        <v>#VALUE!</v>
      </c>
      <c r="AH123" s="12" t="e">
        <f>IF($AE$105="No",$AB$105&amp;".07",$AB$105&amp;".07_YTD")</f>
        <v>#VALUE!</v>
      </c>
      <c r="AI123" s="12" t="e">
        <f>IF($AE$105="No",$AB$105&amp;".08",$AB$105&amp;".08_YTD")</f>
        <v>#VALUE!</v>
      </c>
      <c r="AJ123" s="12" t="e">
        <f>IF($AE$105="No",$AB$105&amp;".09",$AB$105&amp;".09_YTD")</f>
        <v>#VALUE!</v>
      </c>
      <c r="AK123" s="12" t="e">
        <f>IF($AE$105="No",$AB$105&amp;".10",$AB$105&amp;".10_YTD")</f>
        <v>#VALUE!</v>
      </c>
      <c r="AL123" s="12" t="e">
        <f>IF($AE$105="No",$AB$105&amp;".11",$AB$105&amp;".11_YTD")</f>
        <v>#VALUE!</v>
      </c>
      <c r="AM123" s="12" t="e">
        <f>IF($AE$105="No",$AB$105&amp;".12",$AB$105&amp;".12_YTD")</f>
        <v>#VALUE!</v>
      </c>
    </row>
    <row r="124" spans="5:39" ht="18" hidden="1" customHeight="1">
      <c r="E124" s="210"/>
      <c r="F124" s="210"/>
      <c r="G124" s="210"/>
      <c r="H124" s="210"/>
      <c r="I124" s="210"/>
      <c r="J124" s="210"/>
      <c r="K124" s="210"/>
      <c r="L124" s="210"/>
      <c r="M124" s="210"/>
      <c r="N124" s="210"/>
      <c r="O124" s="55"/>
      <c r="P124" s="210"/>
      <c r="Q124" s="210"/>
      <c r="R124" s="211"/>
      <c r="S124" s="210"/>
      <c r="T124" s="210"/>
      <c r="U124" s="211"/>
      <c r="V124" s="12"/>
      <c r="W124" s="12"/>
      <c r="X124" s="12"/>
      <c r="Z124" s="13"/>
      <c r="AA124" s="12"/>
      <c r="AB124" s="51" t="str">
        <f>_xll.DBRA(Server&amp;$Y$15,$Y45,$F$17)</f>
        <v>Jan</v>
      </c>
      <c r="AC124" s="51" t="str">
        <f>_xll.DBRA(Server&amp;$Y$15,$Y46,$F$17)</f>
        <v>Feb</v>
      </c>
      <c r="AD124" s="51" t="str">
        <f>_xll.DBRA(Server&amp;$Y$15,$Y47,$F$17)</f>
        <v>March</v>
      </c>
      <c r="AE124" s="51" t="str">
        <f>_xll.DBRA(Server&amp;$Y$15,$Y48,$F$17)</f>
        <v>April</v>
      </c>
      <c r="AF124" s="51" t="str">
        <f>_xll.DBRA(Server&amp;$Y$15,$Y49,$F$17)</f>
        <v>May</v>
      </c>
      <c r="AG124" s="51" t="str">
        <f>_xll.DBRA(Server&amp;$Y$15,$Y50,$F$17)</f>
        <v>June</v>
      </c>
      <c r="AH124" s="51" t="str">
        <f>_xll.DBRA(Server&amp;$Y$15,$Y51,$F$17)</f>
        <v>July</v>
      </c>
      <c r="AI124" s="51" t="str">
        <f>_xll.DBRA(Server&amp;$Y$15,$Y52,$F$17)</f>
        <v>Aug</v>
      </c>
      <c r="AJ124" s="51" t="str">
        <f>_xll.DBRA(Server&amp;$Y$15,$Y53,$F$17)</f>
        <v>Sep</v>
      </c>
      <c r="AK124" s="51" t="str">
        <f>_xll.DBRA(Server&amp;$Y$15,$Y54,$F$17)</f>
        <v>Oct</v>
      </c>
      <c r="AL124" s="51" t="str">
        <f>_xll.DBRA(Server&amp;$Y$15,$Y55,$F$17)</f>
        <v>Nov</v>
      </c>
      <c r="AM124" s="51" t="str">
        <f>_xll.DBRA(Server&amp;$Y$15,$Y56,$F$17)</f>
        <v>Dec</v>
      </c>
    </row>
    <row r="125" spans="5:39" ht="18" hidden="1" customHeight="1">
      <c r="E125" s="210"/>
      <c r="F125" s="210"/>
      <c r="G125" s="210"/>
      <c r="H125" s="210"/>
      <c r="I125" s="210"/>
      <c r="J125" s="210"/>
      <c r="K125" s="210"/>
      <c r="L125" s="210"/>
      <c r="M125" s="210"/>
      <c r="N125" s="210"/>
      <c r="O125" s="55"/>
      <c r="P125" s="210"/>
      <c r="Q125" s="210"/>
      <c r="R125" s="211"/>
      <c r="S125" s="210"/>
      <c r="T125" s="210"/>
      <c r="U125" s="211"/>
      <c r="V125" s="12"/>
      <c r="W125" s="12"/>
      <c r="X125" s="12"/>
      <c r="Z125" s="13" t="str">
        <f>_xll.DBRA(Server&amp;$F$1,K$1,$F$17)</f>
        <v>Actual</v>
      </c>
      <c r="AA125" s="56" t="str">
        <f>$K$1</f>
        <v>ACT_TOT</v>
      </c>
      <c r="AB125" s="57" t="e">
        <f>_xll.DBRW($H$3,$F$13,$F$14,$F$15,$F$16,$F$11,$F$12,AB$123,$AA125,$B$77)</f>
        <v>#VALUE!</v>
      </c>
      <c r="AC125" s="57" t="e">
        <f>_xll.DBRW($H$3,$F$13,$F$14,$F$15,$F$16,$F$11,$F$12,AC$123,$AA125,$B$77)</f>
        <v>#VALUE!</v>
      </c>
      <c r="AD125" s="57" t="e">
        <f>_xll.DBRW($H$3,$F$13,$F$14,$F$15,$F$16,$F$11,$F$12,AD$123,$AA125,$B$77)</f>
        <v>#VALUE!</v>
      </c>
      <c r="AE125" s="57" t="e">
        <f>_xll.DBRW($H$3,$F$13,$F$14,$F$15,$F$16,$F$11,$F$12,AE$123,$AA125,$B$77)</f>
        <v>#VALUE!</v>
      </c>
      <c r="AF125" s="57" t="e">
        <f>_xll.DBRW($H$3,$F$13,$F$14,$F$15,$F$16,$F$11,$F$12,AF$123,$AA125,$B$77)</f>
        <v>#VALUE!</v>
      </c>
      <c r="AG125" s="57" t="e">
        <f>_xll.DBRW($H$3,$F$13,$F$14,$F$15,$F$16,$F$11,$F$12,AG$123,$AA125,$B$77)</f>
        <v>#VALUE!</v>
      </c>
      <c r="AH125" s="57" t="e">
        <f>_xll.DBRW($H$3,$F$13,$F$14,$F$15,$F$16,$F$11,$F$12,AH$123,$AA125,$B$77)</f>
        <v>#VALUE!</v>
      </c>
      <c r="AI125" s="57" t="e">
        <f>_xll.DBRW($H$3,$F$13,$F$14,$F$15,$F$16,$F$11,$F$12,AI$123,$AA125,$B$77)</f>
        <v>#VALUE!</v>
      </c>
      <c r="AJ125" s="57" t="e">
        <f>_xll.DBRW($H$3,$F$13,$F$14,$F$15,$F$16,$F$11,$F$12,AJ$123,$AA125,$B$77)</f>
        <v>#VALUE!</v>
      </c>
      <c r="AK125" s="57" t="e">
        <f>_xll.DBRW($H$3,$F$13,$F$14,$F$15,$F$16,$F$11,$F$12,AK$123,$AA125,$B$77)</f>
        <v>#VALUE!</v>
      </c>
      <c r="AL125" s="57" t="e">
        <f>_xll.DBRW($H$3,$F$13,$F$14,$F$15,$F$16,$F$11,$F$12,AL$123,$AA125,$B$77)</f>
        <v>#VALUE!</v>
      </c>
      <c r="AM125" s="57" t="e">
        <f>_xll.DBRW($H$3,$F$13,$F$14,$F$15,$F$16,$F$11,$F$12,AM$123,$AA125,$B$77)</f>
        <v>#VALUE!</v>
      </c>
    </row>
    <row r="126" spans="5:39" ht="18" hidden="1" customHeight="1">
      <c r="E126" s="210"/>
      <c r="F126" s="210"/>
      <c r="G126" s="210"/>
      <c r="H126" s="210"/>
      <c r="I126" s="210"/>
      <c r="J126" s="210"/>
      <c r="K126" s="210"/>
      <c r="L126" s="210"/>
      <c r="M126" s="210"/>
      <c r="N126" s="210"/>
      <c r="O126" s="55"/>
      <c r="P126" s="210"/>
      <c r="Q126" s="210"/>
      <c r="R126" s="211"/>
      <c r="S126" s="210"/>
      <c r="T126" s="210"/>
      <c r="U126" s="211"/>
      <c r="V126" s="12"/>
      <c r="W126" s="12"/>
      <c r="X126" s="12"/>
      <c r="Z126" s="13" t="str">
        <f>_xll.DBRA(Server&amp;$Y$15,Y$57,$F$17)</f>
        <v>Prior Year</v>
      </c>
      <c r="AA126" s="56" t="str">
        <f>$H$1</f>
        <v>Actual</v>
      </c>
      <c r="AB126" s="57" t="e">
        <f>_xll.DBRW($H$3,$F$13,$F$14,$F$15,$F$16,$F$11,$F$12,AB$130,$AA126,$B$77)</f>
        <v>#VALUE!</v>
      </c>
      <c r="AC126" s="57" t="e">
        <f>_xll.DBRW($H$3,$F$13,$F$14,$F$15,$F$16,$F$11,$F$12,AC$130,$AA126,$B$77)</f>
        <v>#VALUE!</v>
      </c>
      <c r="AD126" s="57" t="e">
        <f>_xll.DBRW($H$3,$F$13,$F$14,$F$15,$F$16,$F$11,$F$12,AD$130,$AA126,$B$77)</f>
        <v>#VALUE!</v>
      </c>
      <c r="AE126" s="57" t="e">
        <f>_xll.DBRW($H$3,$F$13,$F$14,$F$15,$F$16,$F$11,$F$12,AE$130,$AA126,$B$77)</f>
        <v>#VALUE!</v>
      </c>
      <c r="AF126" s="57" t="e">
        <f>_xll.DBRW($H$3,$F$13,$F$14,$F$15,$F$16,$F$11,$F$12,AF$130,$AA126,$B$77)</f>
        <v>#VALUE!</v>
      </c>
      <c r="AG126" s="57" t="e">
        <f>_xll.DBRW($H$3,$F$13,$F$14,$F$15,$F$16,$F$11,$F$12,AG$130,$AA126,$B$77)</f>
        <v>#VALUE!</v>
      </c>
      <c r="AH126" s="57" t="e">
        <f>_xll.DBRW($H$3,$F$13,$F$14,$F$15,$F$16,$F$11,$F$12,AH$130,$AA126,$B$77)</f>
        <v>#VALUE!</v>
      </c>
      <c r="AI126" s="57" t="e">
        <f>_xll.DBRW($H$3,$F$13,$F$14,$F$15,$F$16,$F$11,$F$12,AI$130,$AA126,$B$77)</f>
        <v>#VALUE!</v>
      </c>
      <c r="AJ126" s="57" t="e">
        <f>_xll.DBRW($H$3,$F$13,$F$14,$F$15,$F$16,$F$11,$F$12,AJ$130,$AA126,$B$77)</f>
        <v>#VALUE!</v>
      </c>
      <c r="AK126" s="57" t="e">
        <f>_xll.DBRW($H$3,$F$13,$F$14,$F$15,$F$16,$F$11,$F$12,AK$130,$AA126,$B$77)</f>
        <v>#VALUE!</v>
      </c>
      <c r="AL126" s="57" t="e">
        <f>_xll.DBRW($H$3,$F$13,$F$14,$F$15,$F$16,$F$11,$F$12,AL$130,$AA126,$B$77)</f>
        <v>#VALUE!</v>
      </c>
      <c r="AM126" s="57" t="e">
        <f>_xll.DBRW($H$3,$F$13,$F$14,$F$15,$F$16,$F$11,$F$12,AM$130,$AA126,$B$77)</f>
        <v>#VALUE!</v>
      </c>
    </row>
    <row r="127" spans="5:39" ht="18" hidden="1" customHeight="1"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12"/>
      <c r="P127" s="68"/>
      <c r="Q127" s="68"/>
      <c r="R127" s="159"/>
      <c r="S127" s="68"/>
      <c r="T127" s="68"/>
      <c r="U127" s="159"/>
      <c r="V127" s="12"/>
      <c r="W127" s="12"/>
      <c r="X127" s="12"/>
      <c r="Z127" s="13" t="str">
        <f>_xll.DBRA(Server&amp;$F$1,I$1,$F$17)</f>
        <v>Budget V current</v>
      </c>
      <c r="AA127" s="56" t="str">
        <f>$I$1</f>
        <v>Budget V current</v>
      </c>
      <c r="AB127" s="57" t="e">
        <f>_xll.DBRW($H$3,$F$13,$F$14,$F$15,$F$16,$F$11,$F$12,AB$123,$AA127,$B$77)</f>
        <v>#VALUE!</v>
      </c>
      <c r="AC127" s="57" t="e">
        <f>_xll.DBRW($H$3,$F$13,$F$14,$F$15,$F$16,$F$11,$F$12,AC$123,$AA127,$B$77)</f>
        <v>#VALUE!</v>
      </c>
      <c r="AD127" s="57" t="e">
        <f>_xll.DBRW($H$3,$F$13,$F$14,$F$15,$F$16,$F$11,$F$12,AD$123,$AA127,$B$77)</f>
        <v>#VALUE!</v>
      </c>
      <c r="AE127" s="57" t="e">
        <f>_xll.DBRW($H$3,$F$13,$F$14,$F$15,$F$16,$F$11,$F$12,AE$123,$AA127,$B$77)</f>
        <v>#VALUE!</v>
      </c>
      <c r="AF127" s="57" t="e">
        <f>_xll.DBRW($H$3,$F$13,$F$14,$F$15,$F$16,$F$11,$F$12,AF$123,$AA127,$B$77)</f>
        <v>#VALUE!</v>
      </c>
      <c r="AG127" s="57" t="e">
        <f>_xll.DBRW($H$3,$F$13,$F$14,$F$15,$F$16,$F$11,$F$12,AG$123,$AA127,$B$77)</f>
        <v>#VALUE!</v>
      </c>
      <c r="AH127" s="57" t="e">
        <f>_xll.DBRW($H$3,$F$13,$F$14,$F$15,$F$16,$F$11,$F$12,AH$123,$AA127,$B$77)</f>
        <v>#VALUE!</v>
      </c>
      <c r="AI127" s="57" t="e">
        <f>_xll.DBRW($H$3,$F$13,$F$14,$F$15,$F$16,$F$11,$F$12,AI$123,$AA127,$B$77)</f>
        <v>#VALUE!</v>
      </c>
      <c r="AJ127" s="57" t="e">
        <f>_xll.DBRW($H$3,$F$13,$F$14,$F$15,$F$16,$F$11,$F$12,AJ$123,$AA127,$B$77)</f>
        <v>#VALUE!</v>
      </c>
      <c r="AK127" s="57" t="e">
        <f>_xll.DBRW($H$3,$F$13,$F$14,$F$15,$F$16,$F$11,$F$12,AK$123,$AA127,$B$77)</f>
        <v>#VALUE!</v>
      </c>
      <c r="AL127" s="57" t="e">
        <f>_xll.DBRW($H$3,$F$13,$F$14,$F$15,$F$16,$F$11,$F$12,AL$123,$AA127,$B$77)</f>
        <v>#VALUE!</v>
      </c>
      <c r="AM127" s="57" t="e">
        <f>_xll.DBRW($H$3,$F$13,$F$14,$F$15,$F$16,$F$11,$F$12,AM$123,$AA127,$B$77)</f>
        <v>#VALUE!</v>
      </c>
    </row>
    <row r="128" spans="5:39" ht="18" hidden="1" customHeight="1"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12"/>
      <c r="P128" s="68"/>
      <c r="Q128" s="68"/>
      <c r="R128" s="159"/>
      <c r="S128" s="68"/>
      <c r="T128" s="68"/>
      <c r="U128" s="159"/>
      <c r="V128" s="12"/>
      <c r="W128" s="12"/>
      <c r="X128" s="12"/>
      <c r="Z128" s="13" t="str">
        <f>_xll.DBRA(Server&amp;$F$1,J$1,$F$17)</f>
        <v>Forecast 2 V current</v>
      </c>
      <c r="AA128" s="56" t="str">
        <f>$J$1</f>
        <v>Forecast 2 V current</v>
      </c>
      <c r="AB128" s="57" t="e">
        <f>_xll.DBRW($H$3,$F$13,$F$14,$F$15,$F$16,$F$11,$F$12,AB$123,$AA128,$B$77)</f>
        <v>#VALUE!</v>
      </c>
      <c r="AC128" s="57" t="e">
        <f>_xll.DBRW($H$3,$F$13,$F$14,$F$15,$F$16,$F$11,$F$12,AC$123,$AA128,$B$77)</f>
        <v>#VALUE!</v>
      </c>
      <c r="AD128" s="57" t="e">
        <f>_xll.DBRW($H$3,$F$13,$F$14,$F$15,$F$16,$F$11,$F$12,AD$123,$AA128,$B$77)</f>
        <v>#VALUE!</v>
      </c>
      <c r="AE128" s="57" t="e">
        <f>_xll.DBRW($H$3,$F$13,$F$14,$F$15,$F$16,$F$11,$F$12,AE$123,$AA128,$B$77)</f>
        <v>#VALUE!</v>
      </c>
      <c r="AF128" s="57" t="e">
        <f>_xll.DBRW($H$3,$F$13,$F$14,$F$15,$F$16,$F$11,$F$12,AF$123,$AA128,$B$77)</f>
        <v>#VALUE!</v>
      </c>
      <c r="AG128" s="57" t="e">
        <f>_xll.DBRW($H$3,$F$13,$F$14,$F$15,$F$16,$F$11,$F$12,AG$123,$AA128,$B$77)</f>
        <v>#VALUE!</v>
      </c>
      <c r="AH128" s="57" t="e">
        <f>_xll.DBRW($H$3,$F$13,$F$14,$F$15,$F$16,$F$11,$F$12,AH$123,$AA128,$B$77)</f>
        <v>#VALUE!</v>
      </c>
      <c r="AI128" s="57" t="e">
        <f>_xll.DBRW($H$3,$F$13,$F$14,$F$15,$F$16,$F$11,$F$12,AI$123,$AA128,$B$77)</f>
        <v>#VALUE!</v>
      </c>
      <c r="AJ128" s="57" t="e">
        <f>_xll.DBRW($H$3,$F$13,$F$14,$F$15,$F$16,$F$11,$F$12,AJ$123,$AA128,$B$77)</f>
        <v>#VALUE!</v>
      </c>
      <c r="AK128" s="57" t="e">
        <f>_xll.DBRW($H$3,$F$13,$F$14,$F$15,$F$16,$F$11,$F$12,AK$123,$AA128,$B$77)</f>
        <v>#VALUE!</v>
      </c>
      <c r="AL128" s="57" t="e">
        <f>_xll.DBRW($H$3,$F$13,$F$14,$F$15,$F$16,$F$11,$F$12,AL$123,$AA128,$B$77)</f>
        <v>#VALUE!</v>
      </c>
      <c r="AM128" s="57" t="e">
        <f>_xll.DBRW($H$3,$F$13,$F$14,$F$15,$F$16,$F$11,$F$12,AM$123,$AA128,$B$77)</f>
        <v>#VALUE!</v>
      </c>
    </row>
    <row r="129" spans="5:39" ht="18" hidden="1" customHeight="1"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12"/>
      <c r="P129" s="68"/>
      <c r="Q129" s="68"/>
      <c r="R129" s="159"/>
      <c r="S129" s="68"/>
      <c r="T129" s="68"/>
      <c r="U129" s="159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59"/>
    </row>
    <row r="130" spans="5:39" ht="18" hidden="1" customHeight="1"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12"/>
      <c r="P130" s="68"/>
      <c r="Q130" s="68"/>
      <c r="R130" s="159"/>
      <c r="S130" s="68"/>
      <c r="T130" s="68"/>
      <c r="U130" s="159"/>
      <c r="V130" s="12"/>
      <c r="W130" s="12"/>
      <c r="X130" s="12"/>
      <c r="Y130" s="12"/>
      <c r="Z130" s="12"/>
      <c r="AA130" s="60" t="s">
        <v>125</v>
      </c>
      <c r="AB130" s="12" t="e">
        <f>_xll.DBRA(Server&amp;$F$2,AB$107,"Prior year")</f>
        <v>#VALUE!</v>
      </c>
      <c r="AC130" s="12" t="e">
        <f>_xll.DBRA(Server&amp;$F$2,AC$107,"Prior year")</f>
        <v>#VALUE!</v>
      </c>
      <c r="AD130" s="12" t="e">
        <f>_xll.DBRA(Server&amp;$F$2,AD$107,"Prior year")</f>
        <v>#VALUE!</v>
      </c>
      <c r="AE130" s="12" t="e">
        <f>_xll.DBRA(Server&amp;$F$2,AE$107,"Prior year")</f>
        <v>#VALUE!</v>
      </c>
      <c r="AF130" s="12" t="e">
        <f>_xll.DBRA(Server&amp;$F$2,AF$107,"Prior year")</f>
        <v>#VALUE!</v>
      </c>
      <c r="AG130" s="12" t="e">
        <f>_xll.DBRA(Server&amp;$F$2,AG$107,"Prior year")</f>
        <v>#VALUE!</v>
      </c>
      <c r="AH130" s="12" t="e">
        <f>_xll.DBRA(Server&amp;$F$2,AH$107,"Prior year")</f>
        <v>#VALUE!</v>
      </c>
      <c r="AI130" s="12" t="e">
        <f>_xll.DBRA(Server&amp;$F$2,AI$107,"Prior year")</f>
        <v>#VALUE!</v>
      </c>
      <c r="AJ130" s="12" t="e">
        <f>_xll.DBRA(Server&amp;$F$2,AJ$107,"Prior year")</f>
        <v>#VALUE!</v>
      </c>
      <c r="AK130" s="12" t="e">
        <f>_xll.DBRA(Server&amp;$F$2,AK$107,"Prior year")</f>
        <v>#VALUE!</v>
      </c>
      <c r="AL130" s="12" t="e">
        <f>_xll.DBRA(Server&amp;$F$2,AL$107,"Prior year")</f>
        <v>#VALUE!</v>
      </c>
      <c r="AM130" s="12" t="e">
        <f>_xll.DBRA(Server&amp;$F$2,AM$107,"Prior year")</f>
        <v>#VALUE!</v>
      </c>
    </row>
    <row r="131" spans="5:39" ht="18" hidden="1" customHeight="1"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12"/>
      <c r="P131" s="68"/>
      <c r="Q131" s="68"/>
      <c r="R131" s="159"/>
      <c r="S131" s="68"/>
      <c r="T131" s="68"/>
      <c r="U131" s="159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59"/>
    </row>
    <row r="132" spans="5:39" ht="18" hidden="1" customHeight="1"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12"/>
      <c r="P132" s="68"/>
      <c r="Q132" s="68"/>
      <c r="R132" s="159"/>
      <c r="S132" s="68"/>
      <c r="T132" s="68"/>
      <c r="U132" s="159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59"/>
    </row>
    <row r="133" spans="5:39" ht="18" hidden="1" customHeight="1"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12"/>
      <c r="P133" s="68"/>
      <c r="Q133" s="68"/>
      <c r="R133" s="159"/>
      <c r="S133" s="68"/>
      <c r="T133" s="68"/>
      <c r="U133" s="159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59"/>
    </row>
    <row r="134" spans="5:39" ht="18" hidden="1" customHeight="1"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12"/>
      <c r="P134" s="68"/>
      <c r="Q134" s="68"/>
      <c r="R134" s="159"/>
      <c r="S134" s="68"/>
      <c r="T134" s="68"/>
      <c r="U134" s="159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59"/>
    </row>
    <row r="135" spans="5:39" ht="18" hidden="1" customHeight="1"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12"/>
      <c r="P135" s="68"/>
      <c r="Q135" s="68"/>
      <c r="R135" s="159"/>
      <c r="S135" s="68"/>
      <c r="T135" s="68"/>
      <c r="U135" s="159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59"/>
    </row>
    <row r="136" spans="5:39" ht="18" hidden="1" customHeight="1"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12"/>
      <c r="P136" s="68"/>
      <c r="Q136" s="68"/>
      <c r="R136" s="159"/>
      <c r="S136" s="68"/>
      <c r="T136" s="68"/>
      <c r="U136" s="159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59"/>
    </row>
    <row r="137" spans="5:39" ht="18" hidden="1" customHeight="1"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12"/>
      <c r="P137" s="68"/>
      <c r="Q137" s="68"/>
      <c r="R137" s="159"/>
      <c r="S137" s="68"/>
      <c r="T137" s="68"/>
      <c r="U137" s="159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59"/>
    </row>
    <row r="138" spans="5:39" ht="18" hidden="1" customHeight="1"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12"/>
      <c r="P138" s="68"/>
      <c r="Q138" s="68"/>
      <c r="R138" s="159"/>
      <c r="S138" s="68"/>
      <c r="T138" s="68"/>
      <c r="U138" s="159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59"/>
    </row>
    <row r="139" spans="5:39" ht="18" hidden="1" customHeight="1"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12"/>
      <c r="P139" s="68"/>
      <c r="Q139" s="68"/>
      <c r="R139" s="159"/>
      <c r="S139" s="68"/>
      <c r="T139" s="68"/>
      <c r="U139" s="159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59"/>
    </row>
    <row r="140" spans="5:39" ht="18" hidden="1" customHeight="1"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12"/>
      <c r="P140" s="68"/>
      <c r="Q140" s="68"/>
      <c r="R140" s="159"/>
      <c r="S140" s="68"/>
      <c r="T140" s="68"/>
      <c r="U140" s="159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59"/>
    </row>
    <row r="141" spans="5:39" ht="18" hidden="1" customHeight="1"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12"/>
      <c r="P141" s="68"/>
      <c r="Q141" s="68"/>
      <c r="R141" s="159"/>
      <c r="S141" s="68"/>
      <c r="T141" s="68"/>
      <c r="U141" s="159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59"/>
    </row>
    <row r="142" spans="5:39" ht="18" hidden="1" customHeight="1"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12"/>
      <c r="P142" s="68"/>
      <c r="Q142" s="68"/>
      <c r="R142" s="159"/>
      <c r="S142" s="68"/>
      <c r="T142" s="68"/>
      <c r="U142" s="159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59"/>
    </row>
    <row r="143" spans="5:39" ht="18" hidden="1" customHeight="1">
      <c r="O143" s="14"/>
      <c r="P143" s="73"/>
      <c r="Q143" s="73"/>
      <c r="R143" s="151"/>
    </row>
    <row r="144" spans="5:39" ht="18" hidden="1" customHeight="1">
      <c r="O144" s="14"/>
      <c r="P144" s="73"/>
      <c r="Q144" s="73"/>
      <c r="R144" s="151"/>
    </row>
    <row r="145" spans="15:27" ht="18" hidden="1" customHeight="1">
      <c r="O145" s="14"/>
      <c r="P145" s="73"/>
      <c r="Q145" s="73"/>
      <c r="R145" s="151"/>
    </row>
    <row r="146" spans="15:27" ht="18" hidden="1" customHeight="1">
      <c r="O146" s="14"/>
      <c r="P146" s="73"/>
      <c r="Q146" s="73"/>
      <c r="R146" s="151"/>
      <c r="Z146" s="61"/>
      <c r="AA146" s="47"/>
    </row>
    <row r="147" spans="15:27" ht="18" hidden="1" customHeight="1">
      <c r="O147" s="14"/>
      <c r="P147" s="73"/>
      <c r="Q147" s="73"/>
      <c r="R147" s="151"/>
      <c r="Z147" s="61"/>
      <c r="AA147" s="47"/>
    </row>
    <row r="148" spans="15:27" ht="18" hidden="1" customHeight="1">
      <c r="O148" s="14"/>
      <c r="P148" s="73"/>
      <c r="Q148" s="73"/>
      <c r="R148" s="151"/>
      <c r="Z148" s="61"/>
      <c r="AA148" s="47"/>
    </row>
    <row r="149" spans="15:27" ht="18" hidden="1" customHeight="1">
      <c r="O149" s="14"/>
      <c r="P149" s="73"/>
      <c r="Q149" s="73"/>
      <c r="R149" s="151"/>
      <c r="Z149" s="61"/>
      <c r="AA149" s="47"/>
    </row>
    <row r="150" spans="15:27" ht="18" hidden="1" customHeight="1">
      <c r="O150" s="14"/>
      <c r="P150" s="73"/>
      <c r="Q150" s="73"/>
      <c r="R150" s="151"/>
      <c r="Z150" s="61"/>
      <c r="AA150" s="47"/>
    </row>
    <row r="151" spans="15:27" ht="18" hidden="1" customHeight="1">
      <c r="O151" s="14"/>
      <c r="P151" s="73"/>
      <c r="Q151" s="73"/>
      <c r="R151" s="151"/>
      <c r="Z151" s="61"/>
      <c r="AA151" s="47"/>
    </row>
    <row r="152" spans="15:27" ht="18" hidden="1" customHeight="1">
      <c r="Z152" s="61"/>
      <c r="AA152" s="47"/>
    </row>
    <row r="153" spans="15:27" ht="18" hidden="1" customHeight="1">
      <c r="Z153" s="61"/>
      <c r="AA153" s="47"/>
    </row>
    <row r="154" spans="15:27" ht="18" hidden="1" customHeight="1">
      <c r="Z154" s="61"/>
      <c r="AA154" s="47"/>
    </row>
    <row r="155" spans="15:27" ht="18" hidden="1" customHeight="1">
      <c r="Z155" s="61"/>
      <c r="AA155" s="47"/>
    </row>
    <row r="156" spans="15:27" ht="18" hidden="1" customHeight="1">
      <c r="Z156" s="61"/>
      <c r="AA156" s="47"/>
    </row>
    <row r="157" spans="15:27" ht="18" hidden="1" customHeight="1">
      <c r="Z157" s="61"/>
      <c r="AA157" s="47"/>
    </row>
    <row r="158" spans="15:27" ht="18" hidden="1" customHeight="1">
      <c r="AA158" s="47"/>
    </row>
    <row r="159" spans="15:27" ht="18" hidden="1" customHeight="1">
      <c r="AA159" s="47"/>
    </row>
    <row r="160" spans="15:27" ht="18" hidden="1" customHeight="1">
      <c r="AA160" s="47"/>
    </row>
    <row r="161" spans="27:27" ht="18" hidden="1" customHeight="1">
      <c r="AA161" s="47"/>
    </row>
    <row r="162" spans="27:27" ht="18" hidden="1" customHeight="1">
      <c r="AA162" s="47"/>
    </row>
    <row r="163" spans="27:27" ht="18" customHeight="1">
      <c r="AA163" s="47"/>
    </row>
  </sheetData>
  <sheetProtection formatColumns="0" formatRows="0"/>
  <protectedRanges>
    <protectedRange sqref="F84:V86" name="Commentaires"/>
  </protectedRanges>
  <mergeCells count="61">
    <mergeCell ref="E7:U8"/>
    <mergeCell ref="E27:F27"/>
    <mergeCell ref="M19:O19"/>
    <mergeCell ref="P19:R19"/>
    <mergeCell ref="S19:U19"/>
    <mergeCell ref="M18:U18"/>
    <mergeCell ref="E51:F51"/>
    <mergeCell ref="E40:F40"/>
    <mergeCell ref="E21:F21"/>
    <mergeCell ref="E22:F22"/>
    <mergeCell ref="E23:F23"/>
    <mergeCell ref="E33:F33"/>
    <mergeCell ref="E34:F34"/>
    <mergeCell ref="E29:F29"/>
    <mergeCell ref="E30:F30"/>
    <mergeCell ref="E35:F35"/>
    <mergeCell ref="E36:F36"/>
    <mergeCell ref="E37:F37"/>
    <mergeCell ref="E38:F38"/>
    <mergeCell ref="E24:F24"/>
    <mergeCell ref="E25:F25"/>
    <mergeCell ref="E26:F26"/>
    <mergeCell ref="E78:F78"/>
    <mergeCell ref="E54:F54"/>
    <mergeCell ref="E57:F57"/>
    <mergeCell ref="E58:F58"/>
    <mergeCell ref="E59:F59"/>
    <mergeCell ref="E61:F61"/>
    <mergeCell ref="E62:F62"/>
    <mergeCell ref="E63:F63"/>
    <mergeCell ref="E65:F65"/>
    <mergeCell ref="E66:F66"/>
    <mergeCell ref="E67:F67"/>
    <mergeCell ref="E77:F77"/>
    <mergeCell ref="E71:F71"/>
    <mergeCell ref="E73:F73"/>
    <mergeCell ref="E74:F74"/>
    <mergeCell ref="E75:F75"/>
    <mergeCell ref="E86:U86"/>
    <mergeCell ref="E87:U87"/>
    <mergeCell ref="E79:F79"/>
    <mergeCell ref="E80:F80"/>
    <mergeCell ref="E81:F81"/>
    <mergeCell ref="E84:U84"/>
    <mergeCell ref="E85:U85"/>
    <mergeCell ref="E28:F28"/>
    <mergeCell ref="E32:F32"/>
    <mergeCell ref="E31:F31"/>
    <mergeCell ref="E69:F69"/>
    <mergeCell ref="E70:F70"/>
    <mergeCell ref="E52:F52"/>
    <mergeCell ref="E41:F41"/>
    <mergeCell ref="E42:F42"/>
    <mergeCell ref="E43:F43"/>
    <mergeCell ref="E44:F44"/>
    <mergeCell ref="E45:F45"/>
    <mergeCell ref="E46:F46"/>
    <mergeCell ref="E47:F47"/>
    <mergeCell ref="E48:F48"/>
    <mergeCell ref="E49:F49"/>
    <mergeCell ref="E50:F50"/>
  </mergeCells>
  <conditionalFormatting sqref="R22:R23 R41:R51 U22:U23 U41:U51 U33:U37 U29:U31 R33:R37 R29:R31">
    <cfRule type="cellIs" dxfId="125" priority="145" stopIfTrue="1" operator="equal">
      <formula>"ì"</formula>
    </cfRule>
    <cfRule type="cellIs" dxfId="124" priority="146" stopIfTrue="1" operator="equal">
      <formula>"î"</formula>
    </cfRule>
    <cfRule type="cellIs" dxfId="123" priority="147" stopIfTrue="1" operator="equal">
      <formula>"è"</formula>
    </cfRule>
  </conditionalFormatting>
  <conditionalFormatting sqref="R40">
    <cfRule type="cellIs" dxfId="122" priority="136" stopIfTrue="1" operator="equal">
      <formula>"ì"</formula>
    </cfRule>
    <cfRule type="cellIs" dxfId="121" priority="137" stopIfTrue="1" operator="equal">
      <formula>"î"</formula>
    </cfRule>
    <cfRule type="cellIs" dxfId="120" priority="138" stopIfTrue="1" operator="equal">
      <formula>"è"</formula>
    </cfRule>
  </conditionalFormatting>
  <conditionalFormatting sqref="U40">
    <cfRule type="cellIs" dxfId="119" priority="133" stopIfTrue="1" operator="equal">
      <formula>"ì"</formula>
    </cfRule>
    <cfRule type="cellIs" dxfId="118" priority="134" stopIfTrue="1" operator="equal">
      <formula>"î"</formula>
    </cfRule>
    <cfRule type="cellIs" dxfId="117" priority="135" stopIfTrue="1" operator="equal">
      <formula>"è"</formula>
    </cfRule>
  </conditionalFormatting>
  <conditionalFormatting sqref="R54">
    <cfRule type="cellIs" dxfId="116" priority="130" stopIfTrue="1" operator="equal">
      <formula>"ì"</formula>
    </cfRule>
    <cfRule type="cellIs" dxfId="115" priority="131" stopIfTrue="1" operator="equal">
      <formula>"î"</formula>
    </cfRule>
    <cfRule type="cellIs" dxfId="114" priority="132" stopIfTrue="1" operator="equal">
      <formula>"è"</formula>
    </cfRule>
  </conditionalFormatting>
  <conditionalFormatting sqref="U54">
    <cfRule type="cellIs" dxfId="113" priority="127" stopIfTrue="1" operator="equal">
      <formula>"ì"</formula>
    </cfRule>
    <cfRule type="cellIs" dxfId="112" priority="128" stopIfTrue="1" operator="equal">
      <formula>"î"</formula>
    </cfRule>
    <cfRule type="cellIs" dxfId="111" priority="129" stopIfTrue="1" operator="equal">
      <formula>"è"</formula>
    </cfRule>
  </conditionalFormatting>
  <conditionalFormatting sqref="R57">
    <cfRule type="cellIs" dxfId="110" priority="124" stopIfTrue="1" operator="equal">
      <formula>"ì"</formula>
    </cfRule>
    <cfRule type="cellIs" dxfId="109" priority="125" stopIfTrue="1" operator="equal">
      <formula>"î"</formula>
    </cfRule>
    <cfRule type="cellIs" dxfId="108" priority="126" stopIfTrue="1" operator="equal">
      <formula>"è"</formula>
    </cfRule>
  </conditionalFormatting>
  <conditionalFormatting sqref="U57">
    <cfRule type="cellIs" dxfId="107" priority="121" stopIfTrue="1" operator="equal">
      <formula>"ì"</formula>
    </cfRule>
    <cfRule type="cellIs" dxfId="106" priority="122" stopIfTrue="1" operator="equal">
      <formula>"î"</formula>
    </cfRule>
    <cfRule type="cellIs" dxfId="105" priority="123" stopIfTrue="1" operator="equal">
      <formula>"è"</formula>
    </cfRule>
  </conditionalFormatting>
  <conditionalFormatting sqref="R61">
    <cfRule type="cellIs" dxfId="104" priority="118" stopIfTrue="1" operator="equal">
      <formula>"ì"</formula>
    </cfRule>
    <cfRule type="cellIs" dxfId="103" priority="119" stopIfTrue="1" operator="equal">
      <formula>"î"</formula>
    </cfRule>
    <cfRule type="cellIs" dxfId="102" priority="120" stopIfTrue="1" operator="equal">
      <formula>"è"</formula>
    </cfRule>
  </conditionalFormatting>
  <conditionalFormatting sqref="U61">
    <cfRule type="cellIs" dxfId="101" priority="115" stopIfTrue="1" operator="equal">
      <formula>"ì"</formula>
    </cfRule>
    <cfRule type="cellIs" dxfId="100" priority="116" stopIfTrue="1" operator="equal">
      <formula>"î"</formula>
    </cfRule>
    <cfRule type="cellIs" dxfId="99" priority="117" stopIfTrue="1" operator="equal">
      <formula>"è"</formula>
    </cfRule>
  </conditionalFormatting>
  <conditionalFormatting sqref="R65">
    <cfRule type="cellIs" dxfId="98" priority="112" stopIfTrue="1" operator="equal">
      <formula>"ì"</formula>
    </cfRule>
    <cfRule type="cellIs" dxfId="97" priority="113" stopIfTrue="1" operator="equal">
      <formula>"î"</formula>
    </cfRule>
    <cfRule type="cellIs" dxfId="96" priority="114" stopIfTrue="1" operator="equal">
      <formula>"è"</formula>
    </cfRule>
  </conditionalFormatting>
  <conditionalFormatting sqref="U65">
    <cfRule type="cellIs" dxfId="95" priority="109" stopIfTrue="1" operator="equal">
      <formula>"ì"</formula>
    </cfRule>
    <cfRule type="cellIs" dxfId="94" priority="110" stopIfTrue="1" operator="equal">
      <formula>"î"</formula>
    </cfRule>
    <cfRule type="cellIs" dxfId="93" priority="111" stopIfTrue="1" operator="equal">
      <formula>"è"</formula>
    </cfRule>
  </conditionalFormatting>
  <conditionalFormatting sqref="U24:U28 R24:R28 R32 U32">
    <cfRule type="cellIs" dxfId="92" priority="106" stopIfTrue="1" operator="equal">
      <formula>"ì"</formula>
    </cfRule>
    <cfRule type="cellIs" dxfId="91" priority="107" stopIfTrue="1" operator="equal">
      <formula>"î"</formula>
    </cfRule>
    <cfRule type="cellIs" dxfId="90" priority="108" stopIfTrue="1" operator="equal">
      <formula>"è"</formula>
    </cfRule>
  </conditionalFormatting>
  <conditionalFormatting sqref="R69">
    <cfRule type="cellIs" dxfId="89" priority="100" stopIfTrue="1" operator="equal">
      <formula>"ì"</formula>
    </cfRule>
    <cfRule type="cellIs" dxfId="88" priority="101" stopIfTrue="1" operator="equal">
      <formula>"î"</formula>
    </cfRule>
    <cfRule type="cellIs" dxfId="87" priority="102" stopIfTrue="1" operator="equal">
      <formula>"è"</formula>
    </cfRule>
  </conditionalFormatting>
  <conditionalFormatting sqref="U69">
    <cfRule type="cellIs" dxfId="86" priority="97" stopIfTrue="1" operator="equal">
      <formula>"ì"</formula>
    </cfRule>
    <cfRule type="cellIs" dxfId="85" priority="98" stopIfTrue="1" operator="equal">
      <formula>"î"</formula>
    </cfRule>
    <cfRule type="cellIs" dxfId="84" priority="99" stopIfTrue="1" operator="equal">
      <formula>"è"</formula>
    </cfRule>
  </conditionalFormatting>
  <conditionalFormatting sqref="R73">
    <cfRule type="cellIs" dxfId="83" priority="91" stopIfTrue="1" operator="equal">
      <formula>"ì"</formula>
    </cfRule>
    <cfRule type="cellIs" dxfId="82" priority="92" stopIfTrue="1" operator="equal">
      <formula>"î"</formula>
    </cfRule>
    <cfRule type="cellIs" dxfId="81" priority="93" stopIfTrue="1" operator="equal">
      <formula>"è"</formula>
    </cfRule>
  </conditionalFormatting>
  <conditionalFormatting sqref="U73">
    <cfRule type="cellIs" dxfId="80" priority="88" stopIfTrue="1" operator="equal">
      <formula>"ì"</formula>
    </cfRule>
    <cfRule type="cellIs" dxfId="79" priority="89" stopIfTrue="1" operator="equal">
      <formula>"î"</formula>
    </cfRule>
    <cfRule type="cellIs" dxfId="78" priority="90" stopIfTrue="1" operator="equal">
      <formula>"è"</formula>
    </cfRule>
  </conditionalFormatting>
  <conditionalFormatting sqref="O22:O23 O41:O51 O33:O37 O29:O31">
    <cfRule type="cellIs" dxfId="77" priority="85" stopIfTrue="1" operator="equal">
      <formula>"ì"</formula>
    </cfRule>
    <cfRule type="cellIs" dxfId="76" priority="86" stopIfTrue="1" operator="equal">
      <formula>"î"</formula>
    </cfRule>
    <cfRule type="cellIs" dxfId="75" priority="87" stopIfTrue="1" operator="equal">
      <formula>"è"</formula>
    </cfRule>
  </conditionalFormatting>
  <conditionalFormatting sqref="O21">
    <cfRule type="cellIs" dxfId="74" priority="82" stopIfTrue="1" operator="equal">
      <formula>"ì"</formula>
    </cfRule>
    <cfRule type="cellIs" dxfId="73" priority="83" stopIfTrue="1" operator="equal">
      <formula>"î"</formula>
    </cfRule>
    <cfRule type="cellIs" dxfId="72" priority="84" stopIfTrue="1" operator="equal">
      <formula>"è"</formula>
    </cfRule>
  </conditionalFormatting>
  <conditionalFormatting sqref="O40">
    <cfRule type="cellIs" dxfId="71" priority="79" stopIfTrue="1" operator="equal">
      <formula>"ì"</formula>
    </cfRule>
    <cfRule type="cellIs" dxfId="70" priority="80" stopIfTrue="1" operator="equal">
      <formula>"î"</formula>
    </cfRule>
    <cfRule type="cellIs" dxfId="69" priority="81" stopIfTrue="1" operator="equal">
      <formula>"è"</formula>
    </cfRule>
  </conditionalFormatting>
  <conditionalFormatting sqref="O54">
    <cfRule type="cellIs" dxfId="68" priority="76" stopIfTrue="1" operator="equal">
      <formula>"ì"</formula>
    </cfRule>
    <cfRule type="cellIs" dxfId="67" priority="77" stopIfTrue="1" operator="equal">
      <formula>"î"</formula>
    </cfRule>
    <cfRule type="cellIs" dxfId="66" priority="78" stopIfTrue="1" operator="equal">
      <formula>"è"</formula>
    </cfRule>
  </conditionalFormatting>
  <conditionalFormatting sqref="O57">
    <cfRule type="cellIs" dxfId="65" priority="73" stopIfTrue="1" operator="equal">
      <formula>"ì"</formula>
    </cfRule>
    <cfRule type="cellIs" dxfId="64" priority="74" stopIfTrue="1" operator="equal">
      <formula>"î"</formula>
    </cfRule>
    <cfRule type="cellIs" dxfId="63" priority="75" stopIfTrue="1" operator="equal">
      <formula>"è"</formula>
    </cfRule>
  </conditionalFormatting>
  <conditionalFormatting sqref="O61">
    <cfRule type="cellIs" dxfId="62" priority="70" stopIfTrue="1" operator="equal">
      <formula>"ì"</formula>
    </cfRule>
    <cfRule type="cellIs" dxfId="61" priority="71" stopIfTrue="1" operator="equal">
      <formula>"î"</formula>
    </cfRule>
    <cfRule type="cellIs" dxfId="60" priority="72" stopIfTrue="1" operator="equal">
      <formula>"è"</formula>
    </cfRule>
  </conditionalFormatting>
  <conditionalFormatting sqref="O65">
    <cfRule type="cellIs" dxfId="59" priority="67" stopIfTrue="1" operator="equal">
      <formula>"ì"</formula>
    </cfRule>
    <cfRule type="cellIs" dxfId="58" priority="68" stopIfTrue="1" operator="equal">
      <formula>"î"</formula>
    </cfRule>
    <cfRule type="cellIs" dxfId="57" priority="69" stopIfTrue="1" operator="equal">
      <formula>"è"</formula>
    </cfRule>
  </conditionalFormatting>
  <conditionalFormatting sqref="O24:O28 O32">
    <cfRule type="cellIs" dxfId="56" priority="64" stopIfTrue="1" operator="equal">
      <formula>"ì"</formula>
    </cfRule>
    <cfRule type="cellIs" dxfId="55" priority="65" stopIfTrue="1" operator="equal">
      <formula>"î"</formula>
    </cfRule>
    <cfRule type="cellIs" dxfId="54" priority="66" stopIfTrue="1" operator="equal">
      <formula>"è"</formula>
    </cfRule>
  </conditionalFormatting>
  <conditionalFormatting sqref="R66 U66">
    <cfRule type="cellIs" dxfId="53" priority="37" stopIfTrue="1" operator="equal">
      <formula>"ì"</formula>
    </cfRule>
    <cfRule type="cellIs" dxfId="52" priority="38" stopIfTrue="1" operator="equal">
      <formula>"î"</formula>
    </cfRule>
    <cfRule type="cellIs" dxfId="51" priority="39" stopIfTrue="1" operator="equal">
      <formula>"è"</formula>
    </cfRule>
  </conditionalFormatting>
  <conditionalFormatting sqref="O69">
    <cfRule type="cellIs" dxfId="50" priority="58" stopIfTrue="1" operator="equal">
      <formula>"ì"</formula>
    </cfRule>
    <cfRule type="cellIs" dxfId="49" priority="59" stopIfTrue="1" operator="equal">
      <formula>"î"</formula>
    </cfRule>
    <cfRule type="cellIs" dxfId="48" priority="60" stopIfTrue="1" operator="equal">
      <formula>"è"</formula>
    </cfRule>
  </conditionalFormatting>
  <conditionalFormatting sqref="O73">
    <cfRule type="cellIs" dxfId="47" priority="52" stopIfTrue="1" operator="equal">
      <formula>"ì"</formula>
    </cfRule>
    <cfRule type="cellIs" dxfId="46" priority="53" stopIfTrue="1" operator="equal">
      <formula>"î"</formula>
    </cfRule>
    <cfRule type="cellIs" dxfId="45" priority="54" stopIfTrue="1" operator="equal">
      <formula>"è"</formula>
    </cfRule>
  </conditionalFormatting>
  <conditionalFormatting sqref="R58 U58">
    <cfRule type="cellIs" dxfId="44" priority="49" stopIfTrue="1" operator="equal">
      <formula>"ì"</formula>
    </cfRule>
    <cfRule type="cellIs" dxfId="43" priority="50" stopIfTrue="1" operator="equal">
      <formula>"î"</formula>
    </cfRule>
    <cfRule type="cellIs" dxfId="42" priority="51" stopIfTrue="1" operator="equal">
      <formula>"è"</formula>
    </cfRule>
  </conditionalFormatting>
  <conditionalFormatting sqref="O58">
    <cfRule type="cellIs" dxfId="41" priority="46" stopIfTrue="1" operator="equal">
      <formula>"ì"</formula>
    </cfRule>
    <cfRule type="cellIs" dxfId="40" priority="47" stopIfTrue="1" operator="equal">
      <formula>"î"</formula>
    </cfRule>
    <cfRule type="cellIs" dxfId="39" priority="48" stopIfTrue="1" operator="equal">
      <formula>"è"</formula>
    </cfRule>
  </conditionalFormatting>
  <conditionalFormatting sqref="R62 U62">
    <cfRule type="cellIs" dxfId="38" priority="43" stopIfTrue="1" operator="equal">
      <formula>"ì"</formula>
    </cfRule>
    <cfRule type="cellIs" dxfId="37" priority="44" stopIfTrue="1" operator="equal">
      <formula>"î"</formula>
    </cfRule>
    <cfRule type="cellIs" dxfId="36" priority="45" stopIfTrue="1" operator="equal">
      <formula>"è"</formula>
    </cfRule>
  </conditionalFormatting>
  <conditionalFormatting sqref="O62">
    <cfRule type="cellIs" dxfId="35" priority="40" stopIfTrue="1" operator="equal">
      <formula>"ì"</formula>
    </cfRule>
    <cfRule type="cellIs" dxfId="34" priority="41" stopIfTrue="1" operator="equal">
      <formula>"î"</formula>
    </cfRule>
    <cfRule type="cellIs" dxfId="33" priority="42" stopIfTrue="1" operator="equal">
      <formula>"è"</formula>
    </cfRule>
  </conditionalFormatting>
  <conditionalFormatting sqref="O66">
    <cfRule type="cellIs" dxfId="32" priority="34" stopIfTrue="1" operator="equal">
      <formula>"ì"</formula>
    </cfRule>
    <cfRule type="cellIs" dxfId="31" priority="35" stopIfTrue="1" operator="equal">
      <formula>"î"</formula>
    </cfRule>
    <cfRule type="cellIs" dxfId="30" priority="36" stopIfTrue="1" operator="equal">
      <formula>"è"</formula>
    </cfRule>
  </conditionalFormatting>
  <conditionalFormatting sqref="R70 U70">
    <cfRule type="cellIs" dxfId="29" priority="31" stopIfTrue="1" operator="equal">
      <formula>"ì"</formula>
    </cfRule>
    <cfRule type="cellIs" dxfId="28" priority="32" stopIfTrue="1" operator="equal">
      <formula>"î"</formula>
    </cfRule>
    <cfRule type="cellIs" dxfId="27" priority="33" stopIfTrue="1" operator="equal">
      <formula>"è"</formula>
    </cfRule>
  </conditionalFormatting>
  <conditionalFormatting sqref="O70">
    <cfRule type="cellIs" dxfId="26" priority="28" stopIfTrue="1" operator="equal">
      <formula>"ì"</formula>
    </cfRule>
    <cfRule type="cellIs" dxfId="25" priority="29" stopIfTrue="1" operator="equal">
      <formula>"î"</formula>
    </cfRule>
    <cfRule type="cellIs" dxfId="24" priority="30" stopIfTrue="1" operator="equal">
      <formula>"è"</formula>
    </cfRule>
  </conditionalFormatting>
  <conditionalFormatting sqref="R74 U74">
    <cfRule type="cellIs" dxfId="23" priority="25" stopIfTrue="1" operator="equal">
      <formula>"ì"</formula>
    </cfRule>
    <cfRule type="cellIs" dxfId="22" priority="26" stopIfTrue="1" operator="equal">
      <formula>"î"</formula>
    </cfRule>
    <cfRule type="cellIs" dxfId="21" priority="27" stopIfTrue="1" operator="equal">
      <formula>"è"</formula>
    </cfRule>
  </conditionalFormatting>
  <conditionalFormatting sqref="O74">
    <cfRule type="cellIs" dxfId="20" priority="22" stopIfTrue="1" operator="equal">
      <formula>"ì"</formula>
    </cfRule>
    <cfRule type="cellIs" dxfId="19" priority="23" stopIfTrue="1" operator="equal">
      <formula>"î"</formula>
    </cfRule>
    <cfRule type="cellIs" dxfId="18" priority="24" stopIfTrue="1" operator="equal">
      <formula>"è"</formula>
    </cfRule>
  </conditionalFormatting>
  <conditionalFormatting sqref="R78 U78">
    <cfRule type="cellIs" dxfId="17" priority="19" stopIfTrue="1" operator="equal">
      <formula>"ì"</formula>
    </cfRule>
    <cfRule type="cellIs" dxfId="16" priority="20" stopIfTrue="1" operator="equal">
      <formula>"î"</formula>
    </cfRule>
    <cfRule type="cellIs" dxfId="15" priority="21" stopIfTrue="1" operator="equal">
      <formula>"è"</formula>
    </cfRule>
  </conditionalFormatting>
  <conditionalFormatting sqref="O78">
    <cfRule type="cellIs" dxfId="14" priority="16" stopIfTrue="1" operator="equal">
      <formula>"ì"</formula>
    </cfRule>
    <cfRule type="cellIs" dxfId="13" priority="17" stopIfTrue="1" operator="equal">
      <formula>"î"</formula>
    </cfRule>
    <cfRule type="cellIs" dxfId="12" priority="18" stopIfTrue="1" operator="equal">
      <formula>"è"</formula>
    </cfRule>
  </conditionalFormatting>
  <conditionalFormatting sqref="R81 U81">
    <cfRule type="cellIs" dxfId="11" priority="13" stopIfTrue="1" operator="equal">
      <formula>"ì"</formula>
    </cfRule>
    <cfRule type="cellIs" dxfId="10" priority="14" stopIfTrue="1" operator="equal">
      <formula>"î"</formula>
    </cfRule>
    <cfRule type="cellIs" dxfId="9" priority="15" stopIfTrue="1" operator="equal">
      <formula>"è"</formula>
    </cfRule>
  </conditionalFormatting>
  <conditionalFormatting sqref="O81">
    <cfRule type="cellIs" dxfId="8" priority="10" stopIfTrue="1" operator="equal">
      <formula>"ì"</formula>
    </cfRule>
    <cfRule type="cellIs" dxfId="7" priority="11" stopIfTrue="1" operator="equal">
      <formula>"î"</formula>
    </cfRule>
    <cfRule type="cellIs" dxfId="6" priority="12" stopIfTrue="1" operator="equal">
      <formula>"è"</formula>
    </cfRule>
  </conditionalFormatting>
  <conditionalFormatting sqref="R21">
    <cfRule type="cellIs" dxfId="5" priority="7" stopIfTrue="1" operator="equal">
      <formula>"ì"</formula>
    </cfRule>
    <cfRule type="cellIs" dxfId="4" priority="8" stopIfTrue="1" operator="equal">
      <formula>"î"</formula>
    </cfRule>
    <cfRule type="cellIs" dxfId="3" priority="9" stopIfTrue="1" operator="equal">
      <formula>"è"</formula>
    </cfRule>
  </conditionalFormatting>
  <conditionalFormatting sqref="U21">
    <cfRule type="cellIs" dxfId="2" priority="4" stopIfTrue="1" operator="equal">
      <formula>"ì"</formula>
    </cfRule>
    <cfRule type="cellIs" dxfId="1" priority="5" stopIfTrue="1" operator="equal">
      <formula>"î"</formula>
    </cfRule>
    <cfRule type="cellIs" dxfId="0" priority="6" stopIfTrue="1" operator="equal">
      <formula>"è"</formula>
    </cfRule>
  </conditionalFormatting>
  <dataValidations count="1">
    <dataValidation type="list" allowBlank="1" showInputMessage="1" showErrorMessage="1" sqref="F17" xr:uid="{00000000-0002-0000-0100-000000000000}">
      <formula1>Language</formula1>
    </dataValidation>
  </dataValidations>
  <printOptions horizontalCentered="1"/>
  <pageMargins left="0.15748031496062992" right="0.11811023622047245" top="0.39370078740157483" bottom="0.39370078740157483" header="0.19685039370078741" footer="0.19685039370078741"/>
  <pageSetup paperSize="9" scale="44" orientation="landscape" r:id="rId1"/>
  <headerFooter alignWithMargins="0">
    <oddFooter>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 moveWithCells="1">
              <from>
                <xdr:col>9</xdr:col>
                <xdr:colOff>0</xdr:colOff>
                <xdr:row>12</xdr:row>
                <xdr:rowOff>69850</xdr:rowOff>
              </from>
              <to>
                <xdr:col>10</xdr:col>
                <xdr:colOff>927100</xdr:colOff>
                <xdr:row>15</xdr:row>
                <xdr:rowOff>34925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A2"/>
  <sheetViews>
    <sheetView workbookViewId="0"/>
  </sheetViews>
  <sheetFormatPr baseColWidth="10" defaultColWidth="11.453125" defaultRowHeight="14.75"/>
  <sheetData>
    <row r="1" spans="1:1">
      <c r="A1" t="s">
        <v>127</v>
      </c>
    </row>
    <row r="2" spans="1:1">
      <c r="A2" t="s">
        <v>128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18</vt:i4>
      </vt:variant>
    </vt:vector>
  </HeadingPairs>
  <TitlesOfParts>
    <vt:vector size="21" baseType="lpstr">
      <vt:lpstr>Context</vt:lpstr>
      <vt:lpstr>PL_aggregated</vt:lpstr>
      <vt:lpstr>{PL}PickLst</vt:lpstr>
      <vt:lpstr>ActualBudget</vt:lpstr>
      <vt:lpstr>ActualForecast</vt:lpstr>
      <vt:lpstr>ActualMonth</vt:lpstr>
      <vt:lpstr>ActualYear</vt:lpstr>
      <vt:lpstr>AutoFit</vt:lpstr>
      <vt:lpstr>PL_aggregated!AutoRefresh_PL</vt:lpstr>
      <vt:lpstr>AutoRefresh_PL_aggregated</vt:lpstr>
      <vt:lpstr>Cube1</vt:lpstr>
      <vt:lpstr>Cube2</vt:lpstr>
      <vt:lpstr>Flag_Send_Comment</vt:lpstr>
      <vt:lpstr>Flag_Send_Data</vt:lpstr>
      <vt:lpstr>Language</vt:lpstr>
      <vt:lpstr>LocalLanguage</vt:lpstr>
      <vt:lpstr>PL_aggregated!Print_Titles</vt:lpstr>
      <vt:lpstr>PL_aggregated!Print_Area</vt:lpstr>
      <vt:lpstr>PriorYear</vt:lpstr>
      <vt:lpstr>Server</vt:lpstr>
      <vt:lpstr>xServer</vt:lpstr>
    </vt:vector>
  </TitlesOfParts>
  <Company>Transdev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Mila Barki</cp:lastModifiedBy>
  <cp:lastPrinted>2017-03-03T14:54:12Z</cp:lastPrinted>
  <dcterms:created xsi:type="dcterms:W3CDTF">2016-02-23T13:35:31Z</dcterms:created>
  <dcterms:modified xsi:type="dcterms:W3CDTF">2024-09-12T07:13:37Z</dcterms:modified>
</cp:coreProperties>
</file>