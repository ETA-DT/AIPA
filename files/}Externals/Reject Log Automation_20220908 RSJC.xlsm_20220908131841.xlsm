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-165" windowWidth="23025" windowHeight="9495" firstSheet="1" activeTab="1"/>
  </bookViews>
  <sheets>
    <sheet name="Context" sheetId="9" state="hidden" r:id="rId1"/>
    <sheet name="Process Reject CPP" sheetId="8" r:id="rId2"/>
  </sheets>
  <definedNames>
    <definedName name="_xlnm._FilterDatabase" localSheetId="1" hidden="1">'Process Reject CPP'!#REF!</definedName>
    <definedName name="Month_Actual">Context!$B$22</definedName>
    <definedName name="Month_Actual_YTD">Context!$B$23</definedName>
    <definedName name="Period_YTD">'Process Reject CPP'!$G$12</definedName>
    <definedName name="Phase_List">Context!$D$2:$D$5</definedName>
    <definedName name="Server">Context!$B$4</definedName>
    <definedName name="Serveur">Context!$B$6</definedName>
    <definedName name="source_entity">Context!$B$21</definedName>
    <definedName name="TM1REBUILDOPTION">1</definedName>
    <definedName name="TM1RPTDATARNG1" localSheetId="1">'Process Reject CPP'!$28:$29</definedName>
    <definedName name="TM1RPTDATARNGARPT1" localSheetId="1">'Process Reject CPP'!$82:$95</definedName>
    <definedName name="TM1RPTDATARNGARPT2" localSheetId="1">'Process Reject CPP'!$38:$39</definedName>
    <definedName name="TM1RPTDATARNGARPT3" localSheetId="1">'Process Reject CPP'!$68:$68</definedName>
    <definedName name="TM1RPTDATARNGARPT4" localSheetId="1">'Process Reject CPP'!$52:$58</definedName>
    <definedName name="TM1RPTFMTIDCOL" localSheetId="1">'Process Reject CPP'!$A$1:$A$9</definedName>
    <definedName name="TM1RPTFMTRNG" localSheetId="1">'Process Reject CPP'!$C$1:$I$9</definedName>
    <definedName name="Total_Year_Budget_Forecast">Context!$B$25</definedName>
    <definedName name="xServer">Context!$B$5</definedName>
    <definedName name="xTM1User">Context!$B$13</definedName>
    <definedName name="Year_Budget_Forecast">Context!$B$24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A29" i="8" l="1"/>
  <c r="C10" i="8"/>
  <c r="B74" i="8"/>
  <c r="C82" i="8"/>
  <c r="D19" i="8"/>
  <c r="G12" i="8"/>
  <c r="D21" i="8"/>
  <c r="I29" i="8"/>
  <c r="H29" i="8"/>
  <c r="G29" i="8"/>
  <c r="F29" i="8"/>
  <c r="E29" i="8"/>
  <c r="D29" i="8"/>
  <c r="A39" i="8"/>
  <c r="C31" i="8"/>
  <c r="D17" i="8"/>
  <c r="D34" i="8"/>
  <c r="D33" i="8"/>
  <c r="I39" i="8"/>
  <c r="H39" i="8"/>
  <c r="G39" i="8"/>
  <c r="F39" i="8"/>
  <c r="E39" i="8"/>
  <c r="D39" i="8"/>
  <c r="A58" i="8"/>
  <c r="A57" i="8"/>
  <c r="A56" i="8"/>
  <c r="A55" i="8"/>
  <c r="A54" i="8"/>
  <c r="A53" i="8"/>
  <c r="C43" i="8"/>
  <c r="D46" i="8"/>
  <c r="D45" i="8"/>
  <c r="D47" i="8"/>
  <c r="D48" i="8"/>
  <c r="G58" i="8"/>
  <c r="E58" i="8"/>
  <c r="G57" i="8"/>
  <c r="E57" i="8"/>
  <c r="G56" i="8"/>
  <c r="E56" i="8"/>
  <c r="G55" i="8"/>
  <c r="E55" i="8"/>
  <c r="G54" i="8"/>
  <c r="E54" i="8"/>
  <c r="G53" i="8"/>
  <c r="E53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C76" i="8"/>
  <c r="C77" i="8"/>
  <c r="C78" i="8"/>
  <c r="D95" i="8"/>
  <c r="D94" i="8"/>
  <c r="D93" i="8"/>
  <c r="D92" i="8"/>
  <c r="D91" i="8"/>
  <c r="D90" i="8"/>
  <c r="D89" i="8"/>
  <c r="D88" i="8"/>
  <c r="D87" i="8"/>
  <c r="D86" i="8"/>
  <c r="D85" i="8"/>
  <c r="D84" i="8"/>
  <c r="D83" i="8"/>
  <c r="B22" i="9"/>
  <c r="B23" i="9"/>
  <c r="B21" i="9"/>
  <c r="B24" i="9"/>
  <c r="B25" i="9"/>
  <c r="B5" i="9"/>
  <c r="C61" i="8"/>
  <c r="D64" i="8"/>
  <c r="D63" i="8"/>
  <c r="A82" i="8"/>
  <c r="D52" i="8"/>
  <c r="D68" i="8"/>
  <c r="C68" i="8"/>
  <c r="B13" i="9"/>
  <c r="B14" i="9"/>
  <c r="C38" i="8"/>
  <c r="D38" i="8"/>
  <c r="E38" i="8"/>
  <c r="E10" i="8"/>
  <c r="C52" i="8"/>
  <c r="A3" i="8"/>
  <c r="A2" i="8"/>
  <c r="A4" i="8"/>
  <c r="A5" i="8"/>
  <c r="H68" i="8"/>
  <c r="G68" i="8"/>
  <c r="E68" i="8"/>
  <c r="A68" i="8"/>
  <c r="G52" i="8"/>
  <c r="E52" i="8"/>
  <c r="A52" i="8"/>
  <c r="I38" i="8"/>
  <c r="H38" i="8"/>
  <c r="G38" i="8"/>
  <c r="F38" i="8"/>
  <c r="A38" i="8"/>
  <c r="C28" i="8"/>
  <c r="E28" i="8"/>
  <c r="B82" i="8"/>
  <c r="D82" i="8"/>
  <c r="B6" i="9"/>
  <c r="B15" i="9"/>
  <c r="I28" i="8"/>
  <c r="H28" i="8"/>
  <c r="G28" i="8"/>
  <c r="F28" i="8"/>
  <c r="D28" i="8"/>
  <c r="A28" i="8"/>
</calcChain>
</file>

<file path=xl/sharedStrings.xml><?xml version="1.0" encoding="utf-8"?>
<sst xmlns="http://schemas.openxmlformats.org/spreadsheetml/2006/main" count="118" uniqueCount="73">
  <si>
    <t>}Processes</t>
  </si>
  <si>
    <t>zz_Date_Time_loading</t>
  </si>
  <si>
    <t>Period_YTD</t>
  </si>
  <si>
    <t>Phase</t>
  </si>
  <si>
    <t>Status</t>
  </si>
  <si>
    <t>DL_TANGO_FRANCE_OPE</t>
  </si>
  <si>
    <t>DL_TANGO_FRANCE_P&amp;L</t>
  </si>
  <si>
    <t>D</t>
  </si>
  <si>
    <t>N</t>
  </si>
  <si>
    <t>[Begin Format Range]</t>
  </si>
  <si>
    <t>[End Format Range]</t>
  </si>
  <si>
    <t>DL_ST_PL_YTD_ROLLOUT2</t>
  </si>
  <si>
    <t>ACT</t>
  </si>
  <si>
    <t>Country</t>
  </si>
  <si>
    <t>Tango upload Error Report</t>
  </si>
  <si>
    <t>Context</t>
  </si>
  <si>
    <t>Upload status</t>
  </si>
  <si>
    <t>Error report</t>
  </si>
  <si>
    <t>Start Date</t>
  </si>
  <si>
    <t>End Date</t>
  </si>
  <si>
    <t>Number of input records</t>
  </si>
  <si>
    <t>Number of reject records</t>
  </si>
  <si>
    <t>Number of load records</t>
  </si>
  <si>
    <t>Functional Message</t>
  </si>
  <si>
    <t>Administration Generic Context :</t>
  </si>
  <si>
    <t>Server Name :</t>
  </si>
  <si>
    <t>tango_core_model:</t>
  </si>
  <si>
    <t>xServer</t>
  </si>
  <si>
    <t>Host Server :</t>
  </si>
  <si>
    <t>Flag Send Data :</t>
  </si>
  <si>
    <t>Flag Send Comment :</t>
  </si>
  <si>
    <t>Excel Report Context :</t>
  </si>
  <si>
    <t>Cube n°1 :</t>
  </si>
  <si>
    <t>z_Contract_Pending_Approval</t>
  </si>
  <si>
    <t>Cube n°2 :</t>
  </si>
  <si>
    <t>z_Comments_Contract</t>
  </si>
  <si>
    <t>User :</t>
  </si>
  <si>
    <t>Organization :</t>
  </si>
  <si>
    <t>Local language :</t>
  </si>
  <si>
    <t>Language List :</t>
  </si>
  <si>
    <t>English</t>
  </si>
  <si>
    <t>French</t>
  </si>
  <si>
    <t>Dutch</t>
  </si>
  <si>
    <t>German</t>
  </si>
  <si>
    <t>Portugese</t>
  </si>
  <si>
    <t>Start_date</t>
  </si>
  <si>
    <t>Record</t>
  </si>
  <si>
    <t>Source entity</t>
  </si>
  <si>
    <t>zz_Process_Source</t>
  </si>
  <si>
    <t>Instruction to resolve the issue</t>
  </si>
  <si>
    <t>MONTH_ACTUAL</t>
  </si>
  <si>
    <t>End_Date</t>
  </si>
  <si>
    <t>H</t>
  </si>
  <si>
    <t>Line 2</t>
  </si>
  <si>
    <t>MONTH_ACTUAL_YTD</t>
  </si>
  <si>
    <t>2022-SEP-6</t>
  </si>
  <si>
    <t>2022-SEP-5</t>
  </si>
  <si>
    <t>2022-SEP-4</t>
  </si>
  <si>
    <t>2022-SEP-3</t>
  </si>
  <si>
    <t>2022-SEP-2</t>
  </si>
  <si>
    <t>2022-SEP-1</t>
  </si>
  <si>
    <t>2022-SEP-7</t>
  </si>
  <si>
    <t>Line 3</t>
  </si>
  <si>
    <t>Line 4</t>
  </si>
  <si>
    <t>Line 5</t>
  </si>
  <si>
    <t>Line 6</t>
  </si>
  <si>
    <t>Line 7</t>
  </si>
  <si>
    <t>DL_RP_PL_ST_PL_YTD_by_SRC_YEAR</t>
  </si>
  <si>
    <t>YEAR_BUDGET_FORECAST</t>
  </si>
  <si>
    <t>Total YEAR_BUDGET_Forecast</t>
  </si>
  <si>
    <t>BUDG_VC</t>
  </si>
  <si>
    <t>FC_1_VC</t>
  </si>
  <si>
    <t>FC_2_VC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</si>
</sst>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_);\(#,##0\)"/>
  </numFmts>
  <fonts count="1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sz val="12"/>
      <name val="SWISS"/>
    </font>
    <font>
      <b/>
      <sz val="9"/>
      <color theme="3"/>
      <name val="Calibri"/>
      <family val="2"/>
      <scheme val="minor"/>
    </font>
    <font>
      <b/>
      <sz val="9"/>
      <color rgb="FF3391AA"/>
      <name val="Calibri"/>
      <family val="2"/>
      <scheme val="minor"/>
    </font>
    <font>
      <b/>
      <sz val="12"/>
      <color indexed="45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color rgb="FF7E408F"/>
      <name val="Arial"/>
      <family val="2"/>
    </font>
    <font>
      <b/>
      <sz val="11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auto="1"/>
      </patternFill>
    </fill>
    <fill>
      <patternFill patternType="solid">
        <fgColor rgb="FF7030A0"/>
        <bgColor indexed="64"/>
      </patternFill>
    </fill>
    <fill>
      <patternFill patternType="solid">
        <fgColor indexed="43"/>
        <bgColor indexed="64"/>
      </patternFill>
    </fill>
  </fills>
  <borders count="10">
    <border>
      <left/>
      <right/>
      <top/>
      <bottom/>
      <diagonal/>
    </border>
    <border>
      <left/>
      <right/>
      <top style="dotted">
        <color theme="8" tint="-0.24994659260841701"/>
      </top>
      <bottom style="dotted">
        <color theme="8" tint="-0.2499465926084170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rgb="FF7E408F"/>
      </right>
      <top style="thin">
        <color rgb="FF7E408F"/>
      </top>
      <bottom style="thin">
        <color rgb="FF7E408F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 style="thin">
        <color rgb="FF7E408F"/>
      </right>
      <top style="thin">
        <color rgb="FF7E408F"/>
      </top>
      <bottom style="thin">
        <color rgb="FF7E408F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dotted">
        <color theme="8" tint="-0.24994659260841701"/>
      </bottom>
      <diagonal/>
    </border>
  </borders>
  <cellStyleXfs count="2">
    <xf numFmtId="0" fontId="0" fillId="0" borderId="0"/>
    <xf numFmtId="164" fontId="7" fillId="0" borderId="0"/>
  </cellStyleXfs>
  <cellXfs count="58">
    <xf numFmtId="0" fontId="0" fillId="0" borderId="0" xfId="0"/>
    <xf numFmtId="0" fontId="0" fillId="2" borderId="0" xfId="0" applyFill="1"/>
    <xf numFmtId="0" fontId="1" fillId="2" borderId="0" xfId="0" applyFont="1" applyFill="1"/>
    <xf numFmtId="49" fontId="0" fillId="2" borderId="0" xfId="0" applyNumberFormat="1" applyFill="1" applyAlignment="1"/>
    <xf numFmtId="0" fontId="3" fillId="2" borderId="0" xfId="0" applyNumberFormat="1" applyFont="1" applyFill="1"/>
    <xf numFmtId="0" fontId="2" fillId="3" borderId="0" xfId="0" applyFont="1" applyFill="1" applyAlignment="1">
      <alignment horizontal="center"/>
    </xf>
    <xf numFmtId="0" fontId="0" fillId="3" borderId="0" xfId="0" applyFill="1"/>
    <xf numFmtId="0" fontId="3" fillId="3" borderId="0" xfId="0" applyNumberFormat="1" applyFont="1" applyFill="1"/>
    <xf numFmtId="0" fontId="3" fillId="2" borderId="1" xfId="0" applyNumberFormat="1" applyFont="1" applyFill="1" applyBorder="1"/>
    <xf numFmtId="49" fontId="0" fillId="2" borderId="1" xfId="0" applyNumberFormat="1" applyFill="1" applyBorder="1" applyAlignment="1"/>
    <xf numFmtId="49" fontId="0" fillId="2" borderId="0" xfId="0" applyNumberFormat="1" applyFill="1" applyBorder="1" applyAlignment="1"/>
    <xf numFmtId="0" fontId="3" fillId="2" borderId="0" xfId="0" applyNumberFormat="1" applyFont="1" applyFill="1" applyBorder="1"/>
    <xf numFmtId="0" fontId="0" fillId="0" borderId="0" xfId="0" applyFill="1"/>
    <xf numFmtId="0" fontId="5" fillId="2" borderId="0" xfId="0" applyFont="1" applyFill="1"/>
    <xf numFmtId="0" fontId="5" fillId="0" borderId="0" xfId="0" applyFont="1"/>
    <xf numFmtId="0" fontId="6" fillId="2" borderId="0" xfId="0" applyFont="1" applyFill="1"/>
    <xf numFmtId="0" fontId="8" fillId="0" borderId="0" xfId="0" applyFont="1" applyAlignment="1">
      <alignment horizontal="right"/>
    </xf>
    <xf numFmtId="0" fontId="9" fillId="4" borderId="0" xfId="1" applyNumberFormat="1" applyFont="1" applyFill="1" applyBorder="1" applyAlignment="1" applyProtection="1">
      <alignment horizontal="center" vertical="center"/>
    </xf>
    <xf numFmtId="0" fontId="9" fillId="0" borderId="0" xfId="1" applyNumberFormat="1" applyFont="1" applyFill="1" applyBorder="1" applyAlignment="1" applyProtection="1">
      <alignment horizontal="center" vertical="center"/>
    </xf>
    <xf numFmtId="0" fontId="0" fillId="0" borderId="0" xfId="0" applyBorder="1"/>
    <xf numFmtId="0" fontId="2" fillId="3" borderId="0" xfId="0" applyFont="1" applyFill="1" applyAlignment="1">
      <alignment horizontal="left"/>
    </xf>
    <xf numFmtId="0" fontId="10" fillId="5" borderId="2" xfId="0" applyFont="1" applyFill="1" applyBorder="1" applyAlignment="1" applyProtection="1">
      <alignment horizontal="left"/>
      <protection locked="0"/>
    </xf>
    <xf numFmtId="0" fontId="11" fillId="0" borderId="0" xfId="0" applyFont="1" applyProtection="1">
      <protection locked="0"/>
    </xf>
    <xf numFmtId="0" fontId="12" fillId="5" borderId="3" xfId="0" applyFont="1" applyFill="1" applyBorder="1" applyProtection="1">
      <protection locked="0"/>
    </xf>
    <xf numFmtId="0" fontId="13" fillId="6" borderId="4" xfId="0" applyFont="1" applyFill="1" applyBorder="1" applyProtection="1">
      <protection locked="0"/>
    </xf>
    <xf numFmtId="0" fontId="13" fillId="0" borderId="4" xfId="0" applyFont="1" applyBorder="1" applyProtection="1">
      <protection locked="0"/>
    </xf>
    <xf numFmtId="0" fontId="0" fillId="0" borderId="0" xfId="0" applyProtection="1">
      <protection locked="0"/>
    </xf>
    <xf numFmtId="0" fontId="13" fillId="0" borderId="4" xfId="0" applyNumberFormat="1" applyFont="1" applyBorder="1" applyProtection="1">
      <protection locked="0"/>
    </xf>
    <xf numFmtId="0" fontId="13" fillId="0" borderId="6" xfId="0" applyFont="1" applyBorder="1" applyProtection="1">
      <protection locked="0"/>
    </xf>
    <xf numFmtId="0" fontId="1" fillId="0" borderId="0" xfId="0" applyFont="1"/>
    <xf numFmtId="49" fontId="9" fillId="4" borderId="0" xfId="1" applyNumberFormat="1" applyFont="1" applyFill="1" applyBorder="1" applyAlignment="1" applyProtection="1">
      <alignment horizontal="center" vertical="center"/>
    </xf>
    <xf numFmtId="49" fontId="0" fillId="0" borderId="0" xfId="0" applyNumberFormat="1"/>
    <xf numFmtId="0" fontId="14" fillId="3" borderId="0" xfId="0" applyFont="1" applyFill="1"/>
    <xf numFmtId="0" fontId="12" fillId="5" borderId="0" xfId="0" applyFont="1" applyFill="1" applyBorder="1" applyProtection="1">
      <protection locked="0"/>
    </xf>
    <xf numFmtId="0" fontId="0" fillId="2" borderId="1" xfId="0" applyFont="1" applyFill="1" applyBorder="1"/>
    <xf numFmtId="49" fontId="0" fillId="2" borderId="1" xfId="0" applyNumberFormat="1" applyFont="1" applyFill="1" applyBorder="1" applyAlignment="1"/>
    <xf numFmtId="0" fontId="0" fillId="2" borderId="1" xfId="0" applyNumberFormat="1" applyFont="1" applyFill="1" applyBorder="1"/>
    <xf numFmtId="0" fontId="0" fillId="0" borderId="0" xfId="0" applyFont="1" applyBorder="1"/>
    <xf numFmtId="49" fontId="0" fillId="2" borderId="0" xfId="0" applyNumberFormat="1" applyFont="1" applyFill="1" applyBorder="1" applyAlignment="1"/>
    <xf numFmtId="0" fontId="5" fillId="2" borderId="0" xfId="0" applyFont="1" applyFill="1" applyBorder="1"/>
    <xf numFmtId="0" fontId="5" fillId="0" borderId="0" xfId="0" applyFont="1" applyBorder="1"/>
    <xf numFmtId="0" fontId="16" fillId="0" borderId="0" xfId="0" applyFont="1" applyFill="1" applyBorder="1"/>
    <xf numFmtId="49" fontId="16" fillId="0" borderId="0" xfId="0" applyNumberFormat="1" applyFont="1" applyFill="1" applyBorder="1" applyAlignment="1"/>
    <xf numFmtId="49" fontId="15" fillId="0" borderId="0" xfId="0" applyNumberFormat="1" applyFont="1" applyFill="1" applyBorder="1" applyAlignment="1"/>
    <xf numFmtId="49" fontId="0" fillId="2" borderId="9" xfId="0" applyNumberFormat="1" applyFont="1" applyFill="1" applyBorder="1" applyAlignment="1"/>
    <xf numFmtId="0" fontId="0" fillId="2" borderId="9" xfId="0" applyNumberFormat="1" applyFont="1" applyFill="1" applyBorder="1" applyAlignment="1"/>
    <xf numFmtId="49" fontId="0" fillId="2" borderId="9" xfId="0" applyNumberFormat="1" applyFill="1" applyBorder="1" applyAlignment="1"/>
    <xf numFmtId="0" fontId="3" fillId="2" borderId="9" xfId="0" applyNumberFormat="1" applyFont="1" applyFill="1" applyBorder="1"/>
    <xf numFmtId="0" fontId="16" fillId="0" borderId="0" xfId="0" applyNumberFormat="1" applyFont="1" applyFill="1" applyBorder="1" applyAlignment="1"/>
    <xf numFmtId="0" fontId="17" fillId="0" borderId="0" xfId="0" applyNumberFormat="1" applyFont="1" applyFill="1" applyBorder="1"/>
    <xf numFmtId="0" fontId="14" fillId="0" borderId="0" xfId="0" applyFont="1" applyFill="1" applyAlignment="1">
      <alignment horizontal="left"/>
    </xf>
    <xf numFmtId="0" fontId="14" fillId="0" borderId="0" xfId="0" applyFont="1" applyFill="1"/>
    <xf numFmtId="0" fontId="14" fillId="0" borderId="0" xfId="0" applyFont="1" applyFill="1" applyAlignment="1">
      <alignment horizontal="center"/>
    </xf>
    <xf numFmtId="49" fontId="15" fillId="2" borderId="1" xfId="0" applyNumberFormat="1" applyFont="1" applyFill="1" applyBorder="1" applyAlignment="1"/>
    <xf numFmtId="0" fontId="12" fillId="5" borderId="5" xfId="0" applyFont="1" applyFill="1" applyBorder="1" applyAlignment="1" applyProtection="1">
      <alignment horizontal="left" vertical="center"/>
      <protection locked="0"/>
    </xf>
    <xf numFmtId="0" fontId="12" fillId="5" borderId="7" xfId="0" applyFont="1" applyFill="1" applyBorder="1" applyAlignment="1" applyProtection="1">
      <alignment horizontal="left" vertical="center"/>
      <protection locked="0"/>
    </xf>
    <xf numFmtId="0" fontId="12" fillId="5" borderId="8" xfId="0" applyFont="1" applyFill="1" applyBorder="1" applyAlignment="1" applyProtection="1">
      <alignment horizontal="left" vertical="center"/>
      <protection locked="0"/>
    </xf>
    <xf numFmtId="0" fontId="4" fillId="3" borderId="0" xfId="0" applyFont="1" applyFill="1" applyAlignment="1">
      <alignment horizontal="center" vertical="center"/>
    </xf>
  </cellXfs>
  <cellStyles count="2">
    <cellStyle name="Normal" xfId="0" builtinId="0"/>
    <cellStyle name="Normal_EBIT_EBITDA  groupe Actual 2003.12" xfId="1"/>
  </cellStyles>
  <dxfs count="78"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180975</xdr:colOff>
      <xdr:row>17</xdr:row>
      <xdr:rowOff>57150</xdr:rowOff>
    </xdr:from>
    <xdr:to>
      <xdr:col>4</xdr:col>
      <xdr:colOff>1381125</xdr:colOff>
      <xdr:row>20</xdr:row>
      <xdr:rowOff>152400</xdr:rowOff>
    </xdr:to>
    <xdr:sp macro="[0]!Chevron1_Cliquer" textlink="">
      <xdr:nvSpPr>
        <xdr:cNvPr id="2" name="Chevron 1"/>
        <xdr:cNvSpPr/>
      </xdr:nvSpPr>
      <xdr:spPr>
        <a:xfrm>
          <a:off x="3562350" y="1019175"/>
          <a:ext cx="1200150" cy="438150"/>
        </a:xfrm>
        <a:prstGeom prst="chevron">
          <a:avLst/>
        </a:prstGeom>
        <a:noFill/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chemeClr val="accent5">
                  <a:lumMod val="75000"/>
                </a:schemeClr>
              </a:solidFill>
            </a:rPr>
            <a:t>Refresh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E25"/>
  <sheetViews>
    <sheetView workbookViewId="0">
      <selection activeCell="F6" sqref="F6"/>
    </sheetView>
  </sheetViews>
  <sheetFormatPr baseColWidth="10" defaultRowHeight="15"/>
  <cols>
    <col min="1" max="1" width="37.42578125" bestFit="1" customWidth="1"/>
    <col min="2" max="2" width="28.7109375" bestFit="1" customWidth="1"/>
  </cols>
  <sheetData>
    <row r="1" spans="1:5">
      <c r="D1" t="s">
        <v>3</v>
      </c>
    </row>
    <row r="2" spans="1:5">
      <c r="D2" t="s">
        <v>12</v>
      </c>
    </row>
    <row r="3" spans="1:5" ht="15.75">
      <c r="A3" s="21" t="s">
        <v>24</v>
      </c>
      <c r="B3" s="22"/>
      <c r="D3" t="s">
        <v>70</v>
      </c>
    </row>
    <row r="4" spans="1:5">
      <c r="A4" s="23" t="s">
        <v>25</v>
      </c>
      <c r="B4" s="24" t="s">
        <v>26</v>
      </c>
      <c r="D4" t="s">
        <v>71</v>
      </c>
    </row>
    <row r="5" spans="1:5">
      <c r="A5" s="23" t="s">
        <v>27</v>
      </c>
      <c r="B5" s="25" t="str">
        <f>LEFT(Server,LEN(Server)-1)</f>
        <v>tango_core_model</v>
      </c>
      <c r="D5" t="s">
        <v>72</v>
      </c>
    </row>
    <row r="6" spans="1:5">
      <c r="A6" s="23" t="s">
        <v>28</v>
      </c>
      <c r="B6" s="25" t="str">
        <f ca="1">_xll.DBRW("tango_core_model:Z_Admin_Param","SERVER_NAME","STR_VAR1")</f>
        <v>FRSAPP021269</v>
      </c>
    </row>
    <row r="7" spans="1:5">
      <c r="A7" s="23" t="s">
        <v>29</v>
      </c>
      <c r="B7" s="25">
        <v>0</v>
      </c>
    </row>
    <row r="8" spans="1:5">
      <c r="A8" s="23" t="s">
        <v>30</v>
      </c>
      <c r="B8" s="25">
        <v>0</v>
      </c>
    </row>
    <row r="9" spans="1:5">
      <c r="A9" s="26"/>
      <c r="B9" s="26"/>
    </row>
    <row r="10" spans="1:5" ht="15.75">
      <c r="A10" s="21" t="s">
        <v>31</v>
      </c>
      <c r="B10" s="26"/>
    </row>
    <row r="11" spans="1:5">
      <c r="A11" s="23" t="s">
        <v>32</v>
      </c>
      <c r="B11" s="25" t="s">
        <v>33</v>
      </c>
    </row>
    <row r="12" spans="1:5">
      <c r="A12" s="23" t="s">
        <v>34</v>
      </c>
      <c r="B12" s="25" t="s">
        <v>35</v>
      </c>
    </row>
    <row r="13" spans="1:5">
      <c r="A13" s="23" t="s">
        <v>36</v>
      </c>
      <c r="B13" s="25" t="str">
        <f ca="1">_xll.TM1USER(xServer)</f>
        <v>rozenn.decrevecoeur</v>
      </c>
      <c r="E13" s="26"/>
    </row>
    <row r="14" spans="1:5">
      <c r="A14" s="23" t="s">
        <v>37</v>
      </c>
      <c r="B14" s="25" t="str">
        <f ca="1">_xll.DBRW(Server&amp;"z_Client_Properties","Default_Legal_Organization",xTM1User)</f>
        <v>S7000</v>
      </c>
    </row>
    <row r="15" spans="1:5">
      <c r="A15" s="23" t="s">
        <v>38</v>
      </c>
      <c r="B15" s="27" t="str">
        <f ca="1">_xll.DBR(Server&amp;"z_Client_Properties","Language",xTM1User)</f>
        <v>French</v>
      </c>
    </row>
    <row r="16" spans="1:5">
      <c r="A16" s="54" t="s">
        <v>39</v>
      </c>
      <c r="B16" s="28" t="s">
        <v>40</v>
      </c>
    </row>
    <row r="17" spans="1:2">
      <c r="A17" s="55"/>
      <c r="B17" s="28" t="s">
        <v>41</v>
      </c>
    </row>
    <row r="18" spans="1:2">
      <c r="A18" s="55"/>
      <c r="B18" s="28" t="s">
        <v>42</v>
      </c>
    </row>
    <row r="19" spans="1:2">
      <c r="A19" s="55"/>
      <c r="B19" s="28" t="s">
        <v>43</v>
      </c>
    </row>
    <row r="20" spans="1:2">
      <c r="A20" s="56"/>
      <c r="B20" s="28" t="s">
        <v>44</v>
      </c>
    </row>
    <row r="21" spans="1:2">
      <c r="A21" s="23" t="s">
        <v>47</v>
      </c>
      <c r="B21" s="28" t="str">
        <f ca="1">_xll.DBRA(Server&amp;"Legal_Organization",_xll.DBR(Server&amp;"z_Client_Properties","Default_Legal_Organization",_xll.TM1USER(xServer)),"Source_Entity")</f>
        <v>TANGO_FRANCE</v>
      </c>
    </row>
    <row r="22" spans="1:2">
      <c r="A22" s="33" t="s">
        <v>50</v>
      </c>
      <c r="B22" s="28" t="str">
        <f ca="1">_xll.DBRW("tango_core_model:z_admin_param","MONTH_ACTUAL","STR_VAR1")</f>
        <v>2022.08</v>
      </c>
    </row>
    <row r="23" spans="1:2">
      <c r="A23" s="33" t="s">
        <v>54</v>
      </c>
      <c r="B23" s="28" t="str">
        <f ca="1">Month_Actual&amp;"_YTD"</f>
        <v>2022.08_YTD</v>
      </c>
    </row>
    <row r="24" spans="1:2">
      <c r="A24" s="33" t="s">
        <v>68</v>
      </c>
      <c r="B24" s="28" t="str">
        <f ca="1">_xll.DBRW("tango_core_model:z_admin_param","YEAR_BUDGET_FORECAST","STR_VAR1")</f>
        <v>2022</v>
      </c>
    </row>
    <row r="25" spans="1:2">
      <c r="A25" s="33" t="s">
        <v>69</v>
      </c>
      <c r="B25" s="28" t="str">
        <f ca="1">"Total_"&amp;Year_Budget_Forecast</f>
        <v>Total_2022</v>
      </c>
    </row>
  </sheetData>
  <mergeCells count="1">
    <mergeCell ref="A16:A2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LL98"/>
  <sheetViews>
    <sheetView showGridLines="0" tabSelected="1" topLeftCell="B13" workbookViewId="0">
      <selection activeCell="D23" sqref="D23"/>
    </sheetView>
  </sheetViews>
  <sheetFormatPr baseColWidth="10" defaultColWidth="11.42578125" defaultRowHeight="15" outlineLevelRow="1"/>
  <cols>
    <col min="1" max="1" width="20.140625" hidden="1" customWidth="1"/>
    <col min="2" max="2" width="3.5703125" customWidth="1"/>
    <col min="3" max="3" width="30.7109375" customWidth="1"/>
    <col min="4" max="4" width="18.7109375" customWidth="1"/>
    <col min="5" max="5" width="28.7109375" customWidth="1"/>
    <col min="6" max="6" width="37.42578125" customWidth="1"/>
    <col min="7" max="7" width="80.5703125" customWidth="1"/>
    <col min="8" max="8" width="33.7109375" customWidth="1"/>
    <col min="9" max="9" width="20.140625" customWidth="1"/>
  </cols>
  <sheetData>
    <row r="1" spans="1:10" hidden="1">
      <c r="A1" t="s">
        <v>9</v>
      </c>
    </row>
    <row r="2" spans="1:10" hidden="1">
      <c r="A2" s="19">
        <f ca="1">0</f>
        <v>0</v>
      </c>
      <c r="B2" s="19"/>
      <c r="C2" s="6"/>
      <c r="D2" s="7"/>
      <c r="E2" s="7"/>
      <c r="F2" s="7"/>
      <c r="G2" s="7"/>
      <c r="H2" s="7"/>
      <c r="I2" s="7"/>
    </row>
    <row r="3" spans="1:10" s="19" customFormat="1" hidden="1">
      <c r="A3" s="37">
        <f ca="1">1</f>
        <v>1</v>
      </c>
      <c r="B3" s="37"/>
      <c r="C3" s="34"/>
      <c r="D3" s="36"/>
      <c r="E3" s="8"/>
      <c r="F3" s="8"/>
      <c r="G3" s="8"/>
      <c r="H3" s="8"/>
      <c r="I3" s="8"/>
    </row>
    <row r="4" spans="1:10" s="19" customFormat="1" hidden="1">
      <c r="A4" s="37">
        <f ca="1">2</f>
        <v>2</v>
      </c>
      <c r="B4" s="37"/>
      <c r="C4" s="34"/>
      <c r="D4" s="36"/>
      <c r="E4" s="8"/>
      <c r="F4" s="8"/>
      <c r="G4" s="8"/>
      <c r="H4" s="8"/>
      <c r="I4" s="8"/>
    </row>
    <row r="5" spans="1:10" s="19" customFormat="1" hidden="1">
      <c r="A5" s="37">
        <f ca="1">3</f>
        <v>3</v>
      </c>
      <c r="B5" s="37"/>
      <c r="C5" s="34"/>
      <c r="D5" s="36"/>
      <c r="E5" s="8"/>
      <c r="F5" s="8"/>
      <c r="G5" s="8"/>
      <c r="H5" s="8"/>
      <c r="I5" s="8"/>
    </row>
    <row r="6" spans="1:10" s="19" customFormat="1" hidden="1">
      <c r="A6" s="37" t="s">
        <v>7</v>
      </c>
      <c r="B6" s="38"/>
      <c r="C6" s="35"/>
      <c r="D6" s="35"/>
      <c r="E6" s="9"/>
      <c r="F6" s="8"/>
      <c r="G6" s="8"/>
      <c r="H6" s="8"/>
      <c r="I6" s="8"/>
    </row>
    <row r="7" spans="1:10" s="19" customFormat="1" hidden="1">
      <c r="A7" s="37" t="s">
        <v>8</v>
      </c>
      <c r="B7" s="38"/>
      <c r="C7" s="35"/>
      <c r="D7" s="35"/>
      <c r="E7" s="9"/>
      <c r="F7" s="8"/>
      <c r="G7" s="8"/>
      <c r="H7" s="8"/>
      <c r="I7" s="8"/>
    </row>
    <row r="8" spans="1:10" s="19" customFormat="1" hidden="1">
      <c r="A8" s="41" t="s">
        <v>52</v>
      </c>
      <c r="B8" s="42"/>
      <c r="C8" s="42"/>
      <c r="D8" s="48"/>
      <c r="E8" s="48"/>
      <c r="F8" s="49"/>
      <c r="G8" s="49"/>
      <c r="H8" s="49"/>
      <c r="I8" s="49"/>
      <c r="J8" s="41"/>
    </row>
    <row r="9" spans="1:10" s="19" customFormat="1" hidden="1">
      <c r="A9" s="37" t="s">
        <v>10</v>
      </c>
      <c r="B9" s="37"/>
      <c r="C9" s="44"/>
      <c r="D9" s="45"/>
      <c r="E9" s="46"/>
      <c r="F9" s="47"/>
      <c r="G9" s="47"/>
      <c r="H9" s="47"/>
      <c r="I9" s="47"/>
    </row>
    <row r="10" spans="1:10" s="1" customFormat="1" hidden="1">
      <c r="C10" s="1" t="str">
        <f ca="1">_xll.TM1RPTVIEW("tango_core_model:zz_process_detail_cpp:1",1, _xll.TM1RPTTITLE("tango_core_model:}Processes",$D$12), _xll.TM1RPTTITLE("tango_core_model:zz_Date_Time_loading",$D$19), _xll.TM1RPTTITLE("tango_core_model:Period_YTD",$D$21), _xll.TM1RPTTITLE("tango_core_model:Phase",$D$23),TM1RPTFMTRNG,TM1RPTFMTIDCOL)</f>
        <v>tango_core_model:zz_process_detail_cpp:1</v>
      </c>
      <c r="E10" s="1" t="str">
        <f ca="1">"{TM1FILTERBYPATTERN( {TM1SUBSETALL( [}Chores] )}, """ &amp; "*_"&amp;D17&amp;"_*"&amp;""")}"</f>
        <v>{TM1FILTERBYPATTERN( {TM1SUBSETALL( [}Chores] )}, "*_TANGO_FRANCE_*")}</v>
      </c>
    </row>
    <row r="11" spans="1:10" s="1" customFormat="1" hidden="1"/>
    <row r="12" spans="1:10" s="1" customFormat="1" hidden="1">
      <c r="C12" s="2" t="s">
        <v>0</v>
      </c>
      <c r="D12" s="1" t="s">
        <v>11</v>
      </c>
      <c r="F12" s="1" t="s">
        <v>2</v>
      </c>
      <c r="G12" s="1" t="str">
        <f ca="1">IF(D23="ACT",Month_Actual_YTD,Total_Year_Budget_Forecast)</f>
        <v>2022.08_YTD</v>
      </c>
    </row>
    <row r="13" spans="1:10" s="1" customFormat="1" ht="15" customHeight="1">
      <c r="B13" s="57" t="s">
        <v>14</v>
      </c>
      <c r="C13" s="57"/>
      <c r="D13" s="57"/>
      <c r="E13" s="57"/>
      <c r="F13" s="57"/>
      <c r="G13" s="57"/>
      <c r="H13" s="57"/>
      <c r="I13" s="57"/>
    </row>
    <row r="14" spans="1:10" s="1" customFormat="1" ht="15" customHeight="1">
      <c r="B14" s="57"/>
      <c r="C14" s="57"/>
      <c r="D14" s="57"/>
      <c r="E14" s="57"/>
      <c r="F14" s="57"/>
      <c r="G14" s="57"/>
      <c r="H14" s="57"/>
      <c r="I14" s="57"/>
    </row>
    <row r="15" spans="1:10" s="1" customFormat="1" ht="15" customHeight="1">
      <c r="B15" s="57"/>
      <c r="C15" s="57"/>
      <c r="D15" s="57"/>
      <c r="E15" s="57"/>
      <c r="F15" s="57"/>
      <c r="G15" s="57"/>
      <c r="H15" s="57"/>
      <c r="I15" s="57"/>
    </row>
    <row r="16" spans="1:10" s="1" customFormat="1" ht="15.75">
      <c r="A16" s="13"/>
      <c r="B16" s="15">
        <v>1</v>
      </c>
      <c r="C16" s="15" t="s">
        <v>15</v>
      </c>
    </row>
    <row r="17" spans="1:1000" s="1" customFormat="1">
      <c r="A17" s="13"/>
      <c r="B17" s="13"/>
      <c r="C17" s="16" t="s">
        <v>13</v>
      </c>
      <c r="D17" s="17" t="str">
        <f ca="1">_xll.SUBNM("tango_core_model:zz_process_source","L0",source_entity)</f>
        <v>TANGO_FRANCE</v>
      </c>
      <c r="F17"/>
    </row>
    <row r="18" spans="1:1000" s="1" customFormat="1" ht="6" customHeight="1">
      <c r="A18" s="13"/>
      <c r="B18" s="13"/>
      <c r="C18" s="16"/>
      <c r="D18" s="18"/>
    </row>
    <row r="19" spans="1:1000" s="1" customFormat="1">
      <c r="A19" s="13"/>
      <c r="B19" s="13"/>
      <c r="C19" s="16" t="s">
        <v>1</v>
      </c>
      <c r="D19" s="30" t="str">
        <f ca="1">C82</f>
        <v>2022-SEP-7</v>
      </c>
      <c r="F19"/>
    </row>
    <row r="20" spans="1:1000" s="1" customFormat="1" ht="6" customHeight="1">
      <c r="A20" s="13"/>
      <c r="B20" s="13"/>
      <c r="C20" s="16"/>
      <c r="D20" s="18"/>
    </row>
    <row r="21" spans="1:1000" s="1" customFormat="1">
      <c r="A21" s="13"/>
      <c r="B21" s="13"/>
      <c r="C21" s="16" t="s">
        <v>2</v>
      </c>
      <c r="D21" s="17" t="str">
        <f ca="1">_xll.SUBNM("tango_core_model:period_YTD","Default_Periods",Period_YTD)</f>
        <v>2022.08_YTD</v>
      </c>
    </row>
    <row r="22" spans="1:1000" s="1" customFormat="1" ht="6" customHeight="1">
      <c r="A22" s="13"/>
      <c r="B22" s="13"/>
      <c r="C22" s="16"/>
      <c r="D22" s="18"/>
    </row>
    <row r="23" spans="1:1000" s="1" customFormat="1">
      <c r="A23" s="13"/>
      <c r="B23" s="13"/>
      <c r="C23" s="16" t="s">
        <v>3</v>
      </c>
      <c r="D23" s="17" t="s">
        <v>12</v>
      </c>
    </row>
    <row r="24" spans="1:1000" s="1" customFormat="1">
      <c r="A24" s="13"/>
      <c r="B24" s="13"/>
    </row>
    <row r="25" spans="1:1000" s="1" customFormat="1">
      <c r="A25" s="13"/>
      <c r="B25" s="13"/>
    </row>
    <row r="26" spans="1:1000" s="1" customFormat="1" ht="15.75">
      <c r="A26" s="13"/>
      <c r="B26" s="15">
        <v>2</v>
      </c>
      <c r="C26" s="15" t="s">
        <v>16</v>
      </c>
    </row>
    <row r="27" spans="1:1000" s="1" customFormat="1">
      <c r="A27" s="39"/>
      <c r="B27" s="39"/>
      <c r="D27" s="20" t="s">
        <v>18</v>
      </c>
      <c r="E27" s="20" t="s">
        <v>19</v>
      </c>
      <c r="F27" s="20" t="s">
        <v>20</v>
      </c>
      <c r="G27" s="20" t="s">
        <v>21</v>
      </c>
      <c r="H27" s="20" t="s">
        <v>22</v>
      </c>
      <c r="I27" s="20" t="s">
        <v>4</v>
      </c>
    </row>
    <row r="28" spans="1:1000" s="1" customFormat="1">
      <c r="A28" s="37" t="str">
        <f ca="1">IF(_xll.TM1RPTELISCONSOLIDATED($C$28,$C28),IF(_xll.TM1RPTELLEV($C$28,$C28)&lt;=3,_xll.TM1RPTELLEV($C$28,$C28),"D"),"N")</f>
        <v>N</v>
      </c>
      <c r="B28" s="38"/>
      <c r="C28" s="35" t="str">
        <f ca="1">_xll.TM1RPTROW($C$10,"tango_core_model:}Chores","L0",,,,$E$10)</f>
        <v>DL_TANGO_FRANCE_OPE</v>
      </c>
      <c r="D28" s="35" t="str">
        <f ca="1">_xll.DBRW($C$10,$C28,$D$12,$D$19,$D$21,$D$23,D$27)</f>
        <v>2022-SEP-7 22:30:03</v>
      </c>
      <c r="E28" s="9" t="str">
        <f ca="1">_xll.DBRW($C$10,$C28,$D$12,$D$19,$D$21,$D$23,E$27)</f>
        <v>2022-SEP-7 22:30:03</v>
      </c>
      <c r="F28" s="8" t="str">
        <f ca="1">_xll.DBRW($C$10,$C28,$D$12,$D$19,$D$21,$D$23,F$27)</f>
        <v>3235</v>
      </c>
      <c r="G28" s="8" t="str">
        <f ca="1">_xll.DBRW($C$10,$C28,$D$12,$D$19,$D$21,$D$23,G$27)</f>
        <v>0</v>
      </c>
      <c r="H28" s="8" t="str">
        <f ca="1">_xll.DBRW($C$10,$C28,$D$12,$D$19,$D$21,$D$23,H$27)</f>
        <v>3235</v>
      </c>
      <c r="I28" s="8" t="str">
        <f ca="1">_xll.DBRW($C$10,$C28,$D$12,$D$19,$D$21,$D$23,I$27)</f>
        <v>OK</v>
      </c>
    </row>
    <row r="29" spans="1:1000">
      <c r="A29" s="37" t="str">
        <f ca="1">IF(_xll.TM1RPTELISCONSOLIDATED($C$28,$C29),IF(_xll.TM1RPTELLEV($C$28,$C29)&lt;=3,_xll.TM1RPTELLEV($C$28,$C29),"D"),"N")</f>
        <v>N</v>
      </c>
      <c r="B29" s="38"/>
      <c r="C29" s="35" t="s">
        <v>6</v>
      </c>
      <c r="D29" s="35" t="str">
        <f ca="1">_xll.DBRW($C$10,$C29,$D$12,$D$19,$D$21,$D$23,D$27)</f>
        <v>2022-SEP-7 22:35:00</v>
      </c>
      <c r="E29" s="9" t="str">
        <f ca="1">_xll.DBRW($C$10,$C29,$D$12,$D$19,$D$21,$D$23,E$27)</f>
        <v>2022-SEP-7 22:35:04</v>
      </c>
      <c r="F29" s="8" t="str">
        <f ca="1">_xll.DBRW($C$10,$C29,$D$12,$D$19,$D$21,$D$23,F$27)</f>
        <v>34490</v>
      </c>
      <c r="G29" s="8" t="str">
        <f ca="1">_xll.DBRW($C$10,$C29,$D$12,$D$19,$D$21,$D$23,G$27)</f>
        <v>7</v>
      </c>
      <c r="H29" s="8" t="str">
        <f ca="1">_xll.DBRW($C$10,$C29,$D$12,$D$19,$D$21,$D$23,H$27)</f>
        <v>34483</v>
      </c>
      <c r="I29" s="8" t="str">
        <f ca="1">_xll.DBRW($C$10,$C29,$D$12,$D$19,$D$21,$D$23,I$27)</f>
        <v>KO</v>
      </c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1"/>
      <c r="OM29" s="1"/>
      <c r="ON29" s="1"/>
      <c r="OO29" s="1"/>
      <c r="OP29" s="1"/>
      <c r="OQ29" s="1"/>
      <c r="OR29" s="1"/>
      <c r="OS29" s="1"/>
      <c r="OT29" s="1"/>
      <c r="OU29" s="1"/>
      <c r="OV29" s="1"/>
      <c r="OW29" s="1"/>
      <c r="OX29" s="1"/>
      <c r="OY29" s="1"/>
      <c r="OZ29" s="1"/>
      <c r="PA29" s="1"/>
      <c r="PB29" s="1"/>
      <c r="PC29" s="1"/>
      <c r="PD29" s="1"/>
      <c r="PE29" s="1"/>
      <c r="PF29" s="1"/>
      <c r="PG29" s="1"/>
      <c r="PH29" s="1"/>
      <c r="PI29" s="1"/>
      <c r="PJ29" s="1"/>
      <c r="PK29" s="1"/>
      <c r="PL29" s="1"/>
      <c r="PM29" s="1"/>
      <c r="PN29" s="1"/>
      <c r="PO29" s="1"/>
      <c r="PP29" s="1"/>
      <c r="PQ29" s="1"/>
      <c r="PR29" s="1"/>
      <c r="PS29" s="1"/>
      <c r="PT29" s="1"/>
      <c r="PU29" s="1"/>
      <c r="PV29" s="1"/>
      <c r="PW29" s="1"/>
      <c r="PX29" s="1"/>
      <c r="PY29" s="1"/>
      <c r="PZ29" s="1"/>
      <c r="QA29" s="1"/>
      <c r="QB29" s="1"/>
      <c r="QC29" s="1"/>
      <c r="QD29" s="1"/>
      <c r="QE29" s="1"/>
      <c r="QF29" s="1"/>
      <c r="QG29" s="1"/>
      <c r="QH29" s="1"/>
      <c r="QI29" s="1"/>
      <c r="QJ29" s="1"/>
      <c r="QK29" s="1"/>
      <c r="QL29" s="1"/>
      <c r="QM29" s="1"/>
      <c r="QN29" s="1"/>
      <c r="QO29" s="1"/>
      <c r="QP29" s="1"/>
      <c r="QQ29" s="1"/>
      <c r="QR29" s="1"/>
      <c r="QS29" s="1"/>
      <c r="QT29" s="1"/>
      <c r="QU29" s="1"/>
      <c r="QV29" s="1"/>
      <c r="QW29" s="1"/>
      <c r="QX29" s="1"/>
      <c r="QY29" s="1"/>
      <c r="QZ29" s="1"/>
      <c r="RA29" s="1"/>
      <c r="RB29" s="1"/>
      <c r="RC29" s="1"/>
      <c r="RD29" s="1"/>
      <c r="RE29" s="1"/>
      <c r="RF29" s="1"/>
      <c r="RG29" s="1"/>
      <c r="RH29" s="1"/>
      <c r="RI29" s="1"/>
      <c r="RJ29" s="1"/>
      <c r="RK29" s="1"/>
      <c r="RL29" s="1"/>
      <c r="RM29" s="1"/>
      <c r="RN29" s="1"/>
      <c r="RO29" s="1"/>
      <c r="RP29" s="1"/>
      <c r="RQ29" s="1"/>
      <c r="RR29" s="1"/>
      <c r="RS29" s="1"/>
      <c r="RT29" s="1"/>
      <c r="RU29" s="1"/>
      <c r="RV29" s="1"/>
      <c r="RW29" s="1"/>
      <c r="RX29" s="1"/>
      <c r="RY29" s="1"/>
      <c r="RZ29" s="1"/>
      <c r="SA29" s="1"/>
      <c r="SB29" s="1"/>
      <c r="SC29" s="1"/>
      <c r="SD29" s="1"/>
      <c r="SE29" s="1"/>
      <c r="SF29" s="1"/>
      <c r="SG29" s="1"/>
      <c r="SH29" s="1"/>
      <c r="SI29" s="1"/>
      <c r="SJ29" s="1"/>
      <c r="SK29" s="1"/>
      <c r="SL29" s="1"/>
      <c r="SM29" s="1"/>
      <c r="SN29" s="1"/>
      <c r="SO29" s="1"/>
      <c r="SP29" s="1"/>
      <c r="SQ29" s="1"/>
      <c r="SR29" s="1"/>
      <c r="SS29" s="1"/>
      <c r="ST29" s="1"/>
      <c r="SU29" s="1"/>
      <c r="SV29" s="1"/>
      <c r="SW29" s="1"/>
      <c r="SX29" s="1"/>
      <c r="SY29" s="1"/>
      <c r="SZ29" s="1"/>
      <c r="TA29" s="1"/>
      <c r="TB29" s="1"/>
      <c r="TC29" s="1"/>
      <c r="TD29" s="1"/>
      <c r="TE29" s="1"/>
      <c r="TF29" s="1"/>
      <c r="TG29" s="1"/>
      <c r="TH29" s="1"/>
      <c r="TI29" s="1"/>
      <c r="TJ29" s="1"/>
      <c r="TK29" s="1"/>
      <c r="TL29" s="1"/>
      <c r="TM29" s="1"/>
      <c r="TN29" s="1"/>
      <c r="TO29" s="1"/>
      <c r="TP29" s="1"/>
      <c r="TQ29" s="1"/>
      <c r="TR29" s="1"/>
      <c r="TS29" s="1"/>
      <c r="TT29" s="1"/>
      <c r="TU29" s="1"/>
      <c r="TV29" s="1"/>
      <c r="TW29" s="1"/>
      <c r="TX29" s="1"/>
      <c r="TY29" s="1"/>
      <c r="TZ29" s="1"/>
      <c r="UA29" s="1"/>
      <c r="UB29" s="1"/>
      <c r="UC29" s="1"/>
      <c r="UD29" s="1"/>
      <c r="UE29" s="1"/>
      <c r="UF29" s="1"/>
      <c r="UG29" s="1"/>
      <c r="UH29" s="1"/>
      <c r="UI29" s="1"/>
      <c r="UJ29" s="1"/>
      <c r="UK29" s="1"/>
      <c r="UL29" s="1"/>
      <c r="UM29" s="1"/>
      <c r="UN29" s="1"/>
      <c r="UO29" s="1"/>
      <c r="UP29" s="1"/>
      <c r="UQ29" s="1"/>
      <c r="UR29" s="1"/>
      <c r="US29" s="1"/>
      <c r="UT29" s="1"/>
      <c r="UU29" s="1"/>
      <c r="UV29" s="1"/>
      <c r="UW29" s="1"/>
      <c r="UX29" s="1"/>
      <c r="UY29" s="1"/>
      <c r="UZ29" s="1"/>
      <c r="VA29" s="1"/>
      <c r="VB29" s="1"/>
      <c r="VC29" s="1"/>
      <c r="VD29" s="1"/>
      <c r="VE29" s="1"/>
      <c r="VF29" s="1"/>
      <c r="VG29" s="1"/>
      <c r="VH29" s="1"/>
      <c r="VI29" s="1"/>
      <c r="VJ29" s="1"/>
      <c r="VK29" s="1"/>
      <c r="VL29" s="1"/>
      <c r="VM29" s="1"/>
      <c r="VN29" s="1"/>
      <c r="VO29" s="1"/>
      <c r="VP29" s="1"/>
      <c r="VQ29" s="1"/>
      <c r="VR29" s="1"/>
      <c r="VS29" s="1"/>
      <c r="VT29" s="1"/>
      <c r="VU29" s="1"/>
      <c r="VV29" s="1"/>
      <c r="VW29" s="1"/>
      <c r="VX29" s="1"/>
      <c r="VY29" s="1"/>
      <c r="VZ29" s="1"/>
      <c r="WA29" s="1"/>
      <c r="WB29" s="1"/>
      <c r="WC29" s="1"/>
      <c r="WD29" s="1"/>
      <c r="WE29" s="1"/>
      <c r="WF29" s="1"/>
      <c r="WG29" s="1"/>
      <c r="WH29" s="1"/>
      <c r="WI29" s="1"/>
      <c r="WJ29" s="1"/>
      <c r="WK29" s="1"/>
      <c r="WL29" s="1"/>
      <c r="WM29" s="1"/>
      <c r="WN29" s="1"/>
      <c r="WO29" s="1"/>
      <c r="WP29" s="1"/>
      <c r="WQ29" s="1"/>
      <c r="WR29" s="1"/>
      <c r="WS29" s="1"/>
      <c r="WT29" s="1"/>
      <c r="WU29" s="1"/>
      <c r="WV29" s="1"/>
      <c r="WW29" s="1"/>
      <c r="WX29" s="1"/>
      <c r="WY29" s="1"/>
      <c r="WZ29" s="1"/>
      <c r="XA29" s="1"/>
      <c r="XB29" s="1"/>
      <c r="XC29" s="1"/>
      <c r="XD29" s="1"/>
      <c r="XE29" s="1"/>
      <c r="XF29" s="1"/>
      <c r="XG29" s="1"/>
      <c r="XH29" s="1"/>
      <c r="XI29" s="1"/>
      <c r="XJ29" s="1"/>
      <c r="XK29" s="1"/>
      <c r="XL29" s="1"/>
      <c r="XM29" s="1"/>
      <c r="XN29" s="1"/>
      <c r="XO29" s="1"/>
      <c r="XP29" s="1"/>
      <c r="XQ29" s="1"/>
      <c r="XR29" s="1"/>
      <c r="XS29" s="1"/>
      <c r="XT29" s="1"/>
      <c r="XU29" s="1"/>
      <c r="XV29" s="1"/>
      <c r="XW29" s="1"/>
      <c r="XX29" s="1"/>
      <c r="XY29" s="1"/>
      <c r="XZ29" s="1"/>
      <c r="YA29" s="1"/>
      <c r="YB29" s="1"/>
      <c r="YC29" s="1"/>
      <c r="YD29" s="1"/>
      <c r="YE29" s="1"/>
      <c r="YF29" s="1"/>
      <c r="YG29" s="1"/>
      <c r="YH29" s="1"/>
      <c r="YI29" s="1"/>
      <c r="YJ29" s="1"/>
      <c r="YK29" s="1"/>
      <c r="YL29" s="1"/>
      <c r="YM29" s="1"/>
      <c r="YN29" s="1"/>
      <c r="YO29" s="1"/>
      <c r="YP29" s="1"/>
      <c r="YQ29" s="1"/>
      <c r="YR29" s="1"/>
      <c r="YS29" s="1"/>
      <c r="YT29" s="1"/>
      <c r="YU29" s="1"/>
      <c r="YV29" s="1"/>
      <c r="YW29" s="1"/>
      <c r="YX29" s="1"/>
      <c r="YY29" s="1"/>
      <c r="YZ29" s="1"/>
      <c r="ZA29" s="1"/>
      <c r="ZB29" s="1"/>
      <c r="ZC29" s="1"/>
      <c r="ZD29" s="1"/>
      <c r="ZE29" s="1"/>
      <c r="ZF29" s="1"/>
      <c r="ZG29" s="1"/>
      <c r="ZH29" s="1"/>
      <c r="ZI29" s="1"/>
      <c r="ZJ29" s="1"/>
      <c r="ZK29" s="1"/>
      <c r="ZL29" s="1"/>
      <c r="ZM29" s="1"/>
      <c r="ZN29" s="1"/>
      <c r="ZO29" s="1"/>
      <c r="ZP29" s="1"/>
      <c r="ZQ29" s="1"/>
      <c r="ZR29" s="1"/>
      <c r="ZS29" s="1"/>
      <c r="ZT29" s="1"/>
      <c r="ZU29" s="1"/>
      <c r="ZV29" s="1"/>
      <c r="ZW29" s="1"/>
      <c r="ZX29" s="1"/>
      <c r="ZY29" s="1"/>
      <c r="ZZ29" s="1"/>
      <c r="AAA29" s="1"/>
      <c r="AAB29" s="1"/>
      <c r="AAC29" s="1"/>
      <c r="AAD29" s="1"/>
      <c r="AAE29" s="1"/>
      <c r="AAF29" s="1"/>
      <c r="AAG29" s="1"/>
      <c r="AAH29" s="1"/>
      <c r="AAI29" s="1"/>
      <c r="AAJ29" s="1"/>
      <c r="AAK29" s="1"/>
      <c r="AAL29" s="1"/>
      <c r="AAM29" s="1"/>
      <c r="AAN29" s="1"/>
      <c r="AAO29" s="1"/>
      <c r="AAP29" s="1"/>
      <c r="AAQ29" s="1"/>
      <c r="AAR29" s="1"/>
      <c r="AAS29" s="1"/>
      <c r="AAT29" s="1"/>
      <c r="AAU29" s="1"/>
      <c r="AAV29" s="1"/>
      <c r="AAW29" s="1"/>
      <c r="AAX29" s="1"/>
      <c r="AAY29" s="1"/>
      <c r="AAZ29" s="1"/>
      <c r="ABA29" s="1"/>
      <c r="ABB29" s="1"/>
      <c r="ABC29" s="1"/>
      <c r="ABD29" s="1"/>
      <c r="ABE29" s="1"/>
      <c r="ABF29" s="1"/>
      <c r="ABG29" s="1"/>
      <c r="ABH29" s="1"/>
      <c r="ABI29" s="1"/>
      <c r="ABJ29" s="1"/>
      <c r="ABK29" s="1"/>
      <c r="ABL29" s="1"/>
      <c r="ABM29" s="1"/>
      <c r="ABN29" s="1"/>
      <c r="ABO29" s="1"/>
      <c r="ABP29" s="1"/>
      <c r="ABQ29" s="1"/>
      <c r="ABR29" s="1"/>
      <c r="ABS29" s="1"/>
      <c r="ABT29" s="1"/>
      <c r="ABU29" s="1"/>
      <c r="ABV29" s="1"/>
      <c r="ABW29" s="1"/>
      <c r="ABX29" s="1"/>
      <c r="ABY29" s="1"/>
      <c r="ABZ29" s="1"/>
      <c r="ACA29" s="1"/>
      <c r="ACB29" s="1"/>
      <c r="ACC29" s="1"/>
      <c r="ACD29" s="1"/>
      <c r="ACE29" s="1"/>
      <c r="ACF29" s="1"/>
      <c r="ACG29" s="1"/>
      <c r="ACH29" s="1"/>
      <c r="ACI29" s="1"/>
      <c r="ACJ29" s="1"/>
      <c r="ACK29" s="1"/>
      <c r="ACL29" s="1"/>
      <c r="ACM29" s="1"/>
      <c r="ACN29" s="1"/>
      <c r="ACO29" s="1"/>
      <c r="ACP29" s="1"/>
      <c r="ACQ29" s="1"/>
      <c r="ACR29" s="1"/>
      <c r="ACS29" s="1"/>
      <c r="ACT29" s="1"/>
      <c r="ACU29" s="1"/>
      <c r="ACV29" s="1"/>
      <c r="ACW29" s="1"/>
      <c r="ACX29" s="1"/>
      <c r="ACY29" s="1"/>
      <c r="ACZ29" s="1"/>
      <c r="ADA29" s="1"/>
      <c r="ADB29" s="1"/>
      <c r="ADC29" s="1"/>
      <c r="ADD29" s="1"/>
      <c r="ADE29" s="1"/>
      <c r="ADF29" s="1"/>
      <c r="ADG29" s="1"/>
      <c r="ADH29" s="1"/>
      <c r="ADI29" s="1"/>
      <c r="ADJ29" s="1"/>
      <c r="ADK29" s="1"/>
      <c r="ADL29" s="1"/>
      <c r="ADM29" s="1"/>
      <c r="ADN29" s="1"/>
      <c r="ADO29" s="1"/>
      <c r="ADP29" s="1"/>
      <c r="ADQ29" s="1"/>
      <c r="ADR29" s="1"/>
      <c r="ADS29" s="1"/>
      <c r="ADT29" s="1"/>
      <c r="ADU29" s="1"/>
      <c r="ADV29" s="1"/>
      <c r="ADW29" s="1"/>
      <c r="ADX29" s="1"/>
      <c r="ADY29" s="1"/>
      <c r="ADZ29" s="1"/>
      <c r="AEA29" s="1"/>
      <c r="AEB29" s="1"/>
      <c r="AEC29" s="1"/>
      <c r="AED29" s="1"/>
      <c r="AEE29" s="1"/>
      <c r="AEF29" s="1"/>
      <c r="AEG29" s="1"/>
      <c r="AEH29" s="1"/>
      <c r="AEI29" s="1"/>
      <c r="AEJ29" s="1"/>
      <c r="AEK29" s="1"/>
      <c r="AEL29" s="1"/>
      <c r="AEM29" s="1"/>
      <c r="AEN29" s="1"/>
      <c r="AEO29" s="1"/>
      <c r="AEP29" s="1"/>
      <c r="AEQ29" s="1"/>
      <c r="AER29" s="1"/>
      <c r="AES29" s="1"/>
      <c r="AET29" s="1"/>
      <c r="AEU29" s="1"/>
      <c r="AEV29" s="1"/>
      <c r="AEW29" s="1"/>
      <c r="AEX29" s="1"/>
      <c r="AEY29" s="1"/>
      <c r="AEZ29" s="1"/>
      <c r="AFA29" s="1"/>
      <c r="AFB29" s="1"/>
      <c r="AFC29" s="1"/>
      <c r="AFD29" s="1"/>
      <c r="AFE29" s="1"/>
      <c r="AFF29" s="1"/>
      <c r="AFG29" s="1"/>
      <c r="AFH29" s="1"/>
      <c r="AFI29" s="1"/>
      <c r="AFJ29" s="1"/>
      <c r="AFK29" s="1"/>
      <c r="AFL29" s="1"/>
      <c r="AFM29" s="1"/>
      <c r="AFN29" s="1"/>
      <c r="AFO29" s="1"/>
      <c r="AFP29" s="1"/>
      <c r="AFQ29" s="1"/>
      <c r="AFR29" s="1"/>
      <c r="AFS29" s="1"/>
      <c r="AFT29" s="1"/>
      <c r="AFU29" s="1"/>
      <c r="AFV29" s="1"/>
      <c r="AFW29" s="1"/>
      <c r="AFX29" s="1"/>
      <c r="AFY29" s="1"/>
      <c r="AFZ29" s="1"/>
      <c r="AGA29" s="1"/>
      <c r="AGB29" s="1"/>
      <c r="AGC29" s="1"/>
      <c r="AGD29" s="1"/>
      <c r="AGE29" s="1"/>
      <c r="AGF29" s="1"/>
      <c r="AGG29" s="1"/>
      <c r="AGH29" s="1"/>
      <c r="AGI29" s="1"/>
      <c r="AGJ29" s="1"/>
      <c r="AGK29" s="1"/>
      <c r="AGL29" s="1"/>
      <c r="AGM29" s="1"/>
      <c r="AGN29" s="1"/>
      <c r="AGO29" s="1"/>
      <c r="AGP29" s="1"/>
      <c r="AGQ29" s="1"/>
      <c r="AGR29" s="1"/>
      <c r="AGS29" s="1"/>
      <c r="AGT29" s="1"/>
      <c r="AGU29" s="1"/>
      <c r="AGV29" s="1"/>
      <c r="AGW29" s="1"/>
      <c r="AGX29" s="1"/>
      <c r="AGY29" s="1"/>
      <c r="AGZ29" s="1"/>
      <c r="AHA29" s="1"/>
      <c r="AHB29" s="1"/>
      <c r="AHC29" s="1"/>
      <c r="AHD29" s="1"/>
      <c r="AHE29" s="1"/>
      <c r="AHF29" s="1"/>
      <c r="AHG29" s="1"/>
      <c r="AHH29" s="1"/>
      <c r="AHI29" s="1"/>
      <c r="AHJ29" s="1"/>
      <c r="AHK29" s="1"/>
      <c r="AHL29" s="1"/>
      <c r="AHM29" s="1"/>
      <c r="AHN29" s="1"/>
      <c r="AHO29" s="1"/>
      <c r="AHP29" s="1"/>
      <c r="AHQ29" s="1"/>
      <c r="AHR29" s="1"/>
      <c r="AHS29" s="1"/>
      <c r="AHT29" s="1"/>
      <c r="AHU29" s="1"/>
      <c r="AHV29" s="1"/>
      <c r="AHW29" s="1"/>
      <c r="AHX29" s="1"/>
      <c r="AHY29" s="1"/>
      <c r="AHZ29" s="1"/>
      <c r="AIA29" s="1"/>
      <c r="AIB29" s="1"/>
      <c r="AIC29" s="1"/>
      <c r="AID29" s="1"/>
      <c r="AIE29" s="1"/>
      <c r="AIF29" s="1"/>
      <c r="AIG29" s="1"/>
      <c r="AIH29" s="1"/>
      <c r="AII29" s="1"/>
      <c r="AIJ29" s="1"/>
      <c r="AIK29" s="1"/>
      <c r="AIL29" s="1"/>
      <c r="AIM29" s="1"/>
      <c r="AIN29" s="1"/>
      <c r="AIO29" s="1"/>
      <c r="AIP29" s="1"/>
      <c r="AIQ29" s="1"/>
      <c r="AIR29" s="1"/>
      <c r="AIS29" s="1"/>
      <c r="AIT29" s="1"/>
      <c r="AIU29" s="1"/>
      <c r="AIV29" s="1"/>
      <c r="AIW29" s="1"/>
      <c r="AIX29" s="1"/>
      <c r="AIY29" s="1"/>
      <c r="AIZ29" s="1"/>
      <c r="AJA29" s="1"/>
      <c r="AJB29" s="1"/>
      <c r="AJC29" s="1"/>
      <c r="AJD29" s="1"/>
      <c r="AJE29" s="1"/>
      <c r="AJF29" s="1"/>
      <c r="AJG29" s="1"/>
      <c r="AJH29" s="1"/>
      <c r="AJI29" s="1"/>
      <c r="AJJ29" s="1"/>
      <c r="AJK29" s="1"/>
      <c r="AJL29" s="1"/>
      <c r="AJM29" s="1"/>
      <c r="AJN29" s="1"/>
      <c r="AJO29" s="1"/>
      <c r="AJP29" s="1"/>
      <c r="AJQ29" s="1"/>
      <c r="AJR29" s="1"/>
      <c r="AJS29" s="1"/>
      <c r="AJT29" s="1"/>
      <c r="AJU29" s="1"/>
      <c r="AJV29" s="1"/>
      <c r="AJW29" s="1"/>
      <c r="AJX29" s="1"/>
      <c r="AJY29" s="1"/>
      <c r="AJZ29" s="1"/>
      <c r="AKA29" s="1"/>
      <c r="AKB29" s="1"/>
      <c r="AKC29" s="1"/>
      <c r="AKD29" s="1"/>
      <c r="AKE29" s="1"/>
      <c r="AKF29" s="1"/>
      <c r="AKG29" s="1"/>
      <c r="AKH29" s="1"/>
      <c r="AKI29" s="1"/>
      <c r="AKJ29" s="1"/>
      <c r="AKK29" s="1"/>
      <c r="AKL29" s="1"/>
      <c r="AKM29" s="1"/>
      <c r="AKN29" s="1"/>
      <c r="AKO29" s="1"/>
      <c r="AKP29" s="1"/>
      <c r="AKQ29" s="1"/>
      <c r="AKR29" s="1"/>
      <c r="AKS29" s="1"/>
      <c r="AKT29" s="1"/>
      <c r="AKU29" s="1"/>
      <c r="AKV29" s="1"/>
      <c r="AKW29" s="1"/>
      <c r="AKX29" s="1"/>
      <c r="AKY29" s="1"/>
      <c r="AKZ29" s="1"/>
      <c r="ALA29" s="1"/>
      <c r="ALB29" s="1"/>
      <c r="ALC29" s="1"/>
      <c r="ALD29" s="1"/>
      <c r="ALE29" s="1"/>
      <c r="ALF29" s="1"/>
      <c r="ALG29" s="1"/>
      <c r="ALH29" s="1"/>
      <c r="ALI29" s="1"/>
      <c r="ALJ29" s="1"/>
      <c r="ALK29" s="1"/>
      <c r="ALL29" s="1"/>
    </row>
    <row r="30" spans="1:1000" hidden="1">
      <c r="A30" s="40"/>
      <c r="B30" s="40"/>
      <c r="C30" s="10"/>
      <c r="D30" s="11"/>
      <c r="E30" s="11"/>
      <c r="F30" s="11"/>
      <c r="G30" s="11"/>
      <c r="H30" s="4"/>
      <c r="I30" s="4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1"/>
      <c r="OM30" s="1"/>
      <c r="ON30" s="1"/>
      <c r="OO30" s="1"/>
      <c r="OP30" s="1"/>
      <c r="OQ30" s="1"/>
      <c r="OR30" s="1"/>
      <c r="OS30" s="1"/>
      <c r="OT30" s="1"/>
      <c r="OU30" s="1"/>
      <c r="OV30" s="1"/>
      <c r="OW30" s="1"/>
      <c r="OX30" s="1"/>
      <c r="OY30" s="1"/>
      <c r="OZ30" s="1"/>
      <c r="PA30" s="1"/>
      <c r="PB30" s="1"/>
      <c r="PC30" s="1"/>
      <c r="PD30" s="1"/>
      <c r="PE30" s="1"/>
      <c r="PF30" s="1"/>
      <c r="PG30" s="1"/>
      <c r="PH30" s="1"/>
      <c r="PI30" s="1"/>
      <c r="PJ30" s="1"/>
      <c r="PK30" s="1"/>
      <c r="PL30" s="1"/>
      <c r="PM30" s="1"/>
      <c r="PN30" s="1"/>
      <c r="PO30" s="1"/>
      <c r="PP30" s="1"/>
      <c r="PQ30" s="1"/>
      <c r="PR30" s="1"/>
      <c r="PS30" s="1"/>
      <c r="PT30" s="1"/>
      <c r="PU30" s="1"/>
      <c r="PV30" s="1"/>
      <c r="PW30" s="1"/>
      <c r="PX30" s="1"/>
      <c r="PY30" s="1"/>
      <c r="PZ30" s="1"/>
      <c r="QA30" s="1"/>
      <c r="QB30" s="1"/>
      <c r="QC30" s="1"/>
      <c r="QD30" s="1"/>
      <c r="QE30" s="1"/>
      <c r="QF30" s="1"/>
      <c r="QG30" s="1"/>
      <c r="QH30" s="1"/>
      <c r="QI30" s="1"/>
      <c r="QJ30" s="1"/>
      <c r="QK30" s="1"/>
      <c r="QL30" s="1"/>
      <c r="QM30" s="1"/>
      <c r="QN30" s="1"/>
      <c r="QO30" s="1"/>
      <c r="QP30" s="1"/>
      <c r="QQ30" s="1"/>
      <c r="QR30" s="1"/>
      <c r="QS30" s="1"/>
      <c r="QT30" s="1"/>
      <c r="QU30" s="1"/>
      <c r="QV30" s="1"/>
      <c r="QW30" s="1"/>
      <c r="QX30" s="1"/>
      <c r="QY30" s="1"/>
      <c r="QZ30" s="1"/>
      <c r="RA30" s="1"/>
      <c r="RB30" s="1"/>
      <c r="RC30" s="1"/>
      <c r="RD30" s="1"/>
      <c r="RE30" s="1"/>
      <c r="RF30" s="1"/>
      <c r="RG30" s="1"/>
      <c r="RH30" s="1"/>
      <c r="RI30" s="1"/>
      <c r="RJ30" s="1"/>
      <c r="RK30" s="1"/>
      <c r="RL30" s="1"/>
      <c r="RM30" s="1"/>
      <c r="RN30" s="1"/>
      <c r="RO30" s="1"/>
      <c r="RP30" s="1"/>
      <c r="RQ30" s="1"/>
      <c r="RR30" s="1"/>
      <c r="RS30" s="1"/>
      <c r="RT30" s="1"/>
      <c r="RU30" s="1"/>
      <c r="RV30" s="1"/>
      <c r="RW30" s="1"/>
      <c r="RX30" s="1"/>
      <c r="RY30" s="1"/>
      <c r="RZ30" s="1"/>
      <c r="SA30" s="1"/>
      <c r="SB30" s="1"/>
      <c r="SC30" s="1"/>
      <c r="SD30" s="1"/>
      <c r="SE30" s="1"/>
      <c r="SF30" s="1"/>
      <c r="SG30" s="1"/>
      <c r="SH30" s="1"/>
      <c r="SI30" s="1"/>
      <c r="SJ30" s="1"/>
      <c r="SK30" s="1"/>
      <c r="SL30" s="1"/>
      <c r="SM30" s="1"/>
      <c r="SN30" s="1"/>
      <c r="SO30" s="1"/>
      <c r="SP30" s="1"/>
      <c r="SQ30" s="1"/>
      <c r="SR30" s="1"/>
      <c r="SS30" s="1"/>
      <c r="ST30" s="1"/>
      <c r="SU30" s="1"/>
      <c r="SV30" s="1"/>
      <c r="SW30" s="1"/>
      <c r="SX30" s="1"/>
      <c r="SY30" s="1"/>
      <c r="SZ30" s="1"/>
      <c r="TA30" s="1"/>
      <c r="TB30" s="1"/>
      <c r="TC30" s="1"/>
      <c r="TD30" s="1"/>
      <c r="TE30" s="1"/>
      <c r="TF30" s="1"/>
      <c r="TG30" s="1"/>
      <c r="TH30" s="1"/>
      <c r="TI30" s="1"/>
      <c r="TJ30" s="1"/>
      <c r="TK30" s="1"/>
      <c r="TL30" s="1"/>
      <c r="TM30" s="1"/>
      <c r="TN30" s="1"/>
      <c r="TO30" s="1"/>
      <c r="TP30" s="1"/>
      <c r="TQ30" s="1"/>
      <c r="TR30" s="1"/>
      <c r="TS30" s="1"/>
      <c r="TT30" s="1"/>
      <c r="TU30" s="1"/>
      <c r="TV30" s="1"/>
      <c r="TW30" s="1"/>
      <c r="TX30" s="1"/>
      <c r="TY30" s="1"/>
      <c r="TZ30" s="1"/>
      <c r="UA30" s="1"/>
      <c r="UB30" s="1"/>
      <c r="UC30" s="1"/>
      <c r="UD30" s="1"/>
      <c r="UE30" s="1"/>
      <c r="UF30" s="1"/>
      <c r="UG30" s="1"/>
      <c r="UH30" s="1"/>
      <c r="UI30" s="1"/>
      <c r="UJ30" s="1"/>
      <c r="UK30" s="1"/>
      <c r="UL30" s="1"/>
      <c r="UM30" s="1"/>
      <c r="UN30" s="1"/>
      <c r="UO30" s="1"/>
      <c r="UP30" s="1"/>
      <c r="UQ30" s="1"/>
      <c r="UR30" s="1"/>
      <c r="US30" s="1"/>
      <c r="UT30" s="1"/>
      <c r="UU30" s="1"/>
      <c r="UV30" s="1"/>
      <c r="UW30" s="1"/>
      <c r="UX30" s="1"/>
      <c r="UY30" s="1"/>
      <c r="UZ30" s="1"/>
      <c r="VA30" s="1"/>
      <c r="VB30" s="1"/>
      <c r="VC30" s="1"/>
      <c r="VD30" s="1"/>
      <c r="VE30" s="1"/>
      <c r="VF30" s="1"/>
      <c r="VG30" s="1"/>
      <c r="VH30" s="1"/>
      <c r="VI30" s="1"/>
      <c r="VJ30" s="1"/>
      <c r="VK30" s="1"/>
      <c r="VL30" s="1"/>
      <c r="VM30" s="1"/>
      <c r="VN30" s="1"/>
      <c r="VO30" s="1"/>
      <c r="VP30" s="1"/>
      <c r="VQ30" s="1"/>
      <c r="VR30" s="1"/>
      <c r="VS30" s="1"/>
      <c r="VT30" s="1"/>
      <c r="VU30" s="1"/>
      <c r="VV30" s="1"/>
      <c r="VW30" s="1"/>
      <c r="VX30" s="1"/>
      <c r="VY30" s="1"/>
      <c r="VZ30" s="1"/>
      <c r="WA30" s="1"/>
      <c r="WB30" s="1"/>
      <c r="WC30" s="1"/>
      <c r="WD30" s="1"/>
      <c r="WE30" s="1"/>
      <c r="WF30" s="1"/>
      <c r="WG30" s="1"/>
      <c r="WH30" s="1"/>
      <c r="WI30" s="1"/>
      <c r="WJ30" s="1"/>
      <c r="WK30" s="1"/>
      <c r="WL30" s="1"/>
      <c r="WM30" s="1"/>
      <c r="WN30" s="1"/>
      <c r="WO30" s="1"/>
      <c r="WP30" s="1"/>
      <c r="WQ30" s="1"/>
      <c r="WR30" s="1"/>
      <c r="WS30" s="1"/>
      <c r="WT30" s="1"/>
      <c r="WU30" s="1"/>
      <c r="WV30" s="1"/>
      <c r="WW30" s="1"/>
      <c r="WX30" s="1"/>
      <c r="WY30" s="1"/>
      <c r="WZ30" s="1"/>
      <c r="XA30" s="1"/>
      <c r="XB30" s="1"/>
      <c r="XC30" s="1"/>
      <c r="XD30" s="1"/>
      <c r="XE30" s="1"/>
      <c r="XF30" s="1"/>
      <c r="XG30" s="1"/>
      <c r="XH30" s="1"/>
      <c r="XI30" s="1"/>
      <c r="XJ30" s="1"/>
      <c r="XK30" s="1"/>
      <c r="XL30" s="1"/>
      <c r="XM30" s="1"/>
      <c r="XN30" s="1"/>
      <c r="XO30" s="1"/>
      <c r="XP30" s="1"/>
      <c r="XQ30" s="1"/>
      <c r="XR30" s="1"/>
      <c r="XS30" s="1"/>
      <c r="XT30" s="1"/>
      <c r="XU30" s="1"/>
      <c r="XV30" s="1"/>
      <c r="XW30" s="1"/>
      <c r="XX30" s="1"/>
      <c r="XY30" s="1"/>
      <c r="XZ30" s="1"/>
      <c r="YA30" s="1"/>
      <c r="YB30" s="1"/>
      <c r="YC30" s="1"/>
      <c r="YD30" s="1"/>
      <c r="YE30" s="1"/>
      <c r="YF30" s="1"/>
      <c r="YG30" s="1"/>
      <c r="YH30" s="1"/>
      <c r="YI30" s="1"/>
      <c r="YJ30" s="1"/>
      <c r="YK30" s="1"/>
      <c r="YL30" s="1"/>
      <c r="YM30" s="1"/>
      <c r="YN30" s="1"/>
      <c r="YO30" s="1"/>
      <c r="YP30" s="1"/>
      <c r="YQ30" s="1"/>
      <c r="YR30" s="1"/>
      <c r="YS30" s="1"/>
      <c r="YT30" s="1"/>
      <c r="YU30" s="1"/>
      <c r="YV30" s="1"/>
      <c r="YW30" s="1"/>
      <c r="YX30" s="1"/>
      <c r="YY30" s="1"/>
      <c r="YZ30" s="1"/>
      <c r="ZA30" s="1"/>
      <c r="ZB30" s="1"/>
      <c r="ZC30" s="1"/>
      <c r="ZD30" s="1"/>
      <c r="ZE30" s="1"/>
      <c r="ZF30" s="1"/>
      <c r="ZG30" s="1"/>
      <c r="ZH30" s="1"/>
      <c r="ZI30" s="1"/>
      <c r="ZJ30" s="1"/>
      <c r="ZK30" s="1"/>
      <c r="ZL30" s="1"/>
      <c r="ZM30" s="1"/>
      <c r="ZN30" s="1"/>
      <c r="ZO30" s="1"/>
      <c r="ZP30" s="1"/>
      <c r="ZQ30" s="1"/>
      <c r="ZR30" s="1"/>
      <c r="ZS30" s="1"/>
      <c r="ZT30" s="1"/>
      <c r="ZU30" s="1"/>
      <c r="ZV30" s="1"/>
      <c r="ZW30" s="1"/>
      <c r="ZX30" s="1"/>
      <c r="ZY30" s="1"/>
      <c r="ZZ30" s="1"/>
      <c r="AAA30" s="1"/>
      <c r="AAB30" s="1"/>
      <c r="AAC30" s="1"/>
      <c r="AAD30" s="1"/>
      <c r="AAE30" s="1"/>
      <c r="AAF30" s="1"/>
      <c r="AAG30" s="1"/>
      <c r="AAH30" s="1"/>
      <c r="AAI30" s="1"/>
      <c r="AAJ30" s="1"/>
      <c r="AAK30" s="1"/>
      <c r="AAL30" s="1"/>
      <c r="AAM30" s="1"/>
      <c r="AAN30" s="1"/>
      <c r="AAO30" s="1"/>
      <c r="AAP30" s="1"/>
      <c r="AAQ30" s="1"/>
      <c r="AAR30" s="1"/>
      <c r="AAS30" s="1"/>
      <c r="AAT30" s="1"/>
      <c r="AAU30" s="1"/>
      <c r="AAV30" s="1"/>
      <c r="AAW30" s="1"/>
      <c r="AAX30" s="1"/>
      <c r="AAY30" s="1"/>
      <c r="AAZ30" s="1"/>
      <c r="ABA30" s="1"/>
      <c r="ABB30" s="1"/>
      <c r="ABC30" s="1"/>
      <c r="ABD30" s="1"/>
      <c r="ABE30" s="1"/>
      <c r="ABF30" s="1"/>
      <c r="ABG30" s="1"/>
      <c r="ABH30" s="1"/>
      <c r="ABI30" s="1"/>
      <c r="ABJ30" s="1"/>
      <c r="ABK30" s="1"/>
      <c r="ABL30" s="1"/>
      <c r="ABM30" s="1"/>
      <c r="ABN30" s="1"/>
      <c r="ABO30" s="1"/>
      <c r="ABP30" s="1"/>
      <c r="ABQ30" s="1"/>
      <c r="ABR30" s="1"/>
      <c r="ABS30" s="1"/>
      <c r="ABT30" s="1"/>
      <c r="ABU30" s="1"/>
      <c r="ABV30" s="1"/>
      <c r="ABW30" s="1"/>
      <c r="ABX30" s="1"/>
      <c r="ABY30" s="1"/>
      <c r="ABZ30" s="1"/>
      <c r="ACA30" s="1"/>
      <c r="ACB30" s="1"/>
      <c r="ACC30" s="1"/>
      <c r="ACD30" s="1"/>
      <c r="ACE30" s="1"/>
      <c r="ACF30" s="1"/>
      <c r="ACG30" s="1"/>
      <c r="ACH30" s="1"/>
      <c r="ACI30" s="1"/>
      <c r="ACJ30" s="1"/>
      <c r="ACK30" s="1"/>
      <c r="ACL30" s="1"/>
      <c r="ACM30" s="1"/>
      <c r="ACN30" s="1"/>
      <c r="ACO30" s="1"/>
      <c r="ACP30" s="1"/>
      <c r="ACQ30" s="1"/>
      <c r="ACR30" s="1"/>
      <c r="ACS30" s="1"/>
      <c r="ACT30" s="1"/>
      <c r="ACU30" s="1"/>
      <c r="ACV30" s="1"/>
      <c r="ACW30" s="1"/>
      <c r="ACX30" s="1"/>
      <c r="ACY30" s="1"/>
      <c r="ACZ30" s="1"/>
      <c r="ADA30" s="1"/>
      <c r="ADB30" s="1"/>
      <c r="ADC30" s="1"/>
      <c r="ADD30" s="1"/>
      <c r="ADE30" s="1"/>
      <c r="ADF30" s="1"/>
      <c r="ADG30" s="1"/>
      <c r="ADH30" s="1"/>
      <c r="ADI30" s="1"/>
      <c r="ADJ30" s="1"/>
      <c r="ADK30" s="1"/>
      <c r="ADL30" s="1"/>
      <c r="ADM30" s="1"/>
      <c r="ADN30" s="1"/>
      <c r="ADO30" s="1"/>
      <c r="ADP30" s="1"/>
      <c r="ADQ30" s="1"/>
      <c r="ADR30" s="1"/>
      <c r="ADS30" s="1"/>
      <c r="ADT30" s="1"/>
      <c r="ADU30" s="1"/>
      <c r="ADV30" s="1"/>
      <c r="ADW30" s="1"/>
      <c r="ADX30" s="1"/>
      <c r="ADY30" s="1"/>
      <c r="ADZ30" s="1"/>
      <c r="AEA30" s="1"/>
      <c r="AEB30" s="1"/>
      <c r="AEC30" s="1"/>
      <c r="AED30" s="1"/>
      <c r="AEE30" s="1"/>
      <c r="AEF30" s="1"/>
      <c r="AEG30" s="1"/>
      <c r="AEH30" s="1"/>
      <c r="AEI30" s="1"/>
      <c r="AEJ30" s="1"/>
      <c r="AEK30" s="1"/>
      <c r="AEL30" s="1"/>
      <c r="AEM30" s="1"/>
      <c r="AEN30" s="1"/>
      <c r="AEO30" s="1"/>
      <c r="AEP30" s="1"/>
      <c r="AEQ30" s="1"/>
      <c r="AER30" s="1"/>
      <c r="AES30" s="1"/>
      <c r="AET30" s="1"/>
      <c r="AEU30" s="1"/>
      <c r="AEV30" s="1"/>
      <c r="AEW30" s="1"/>
      <c r="AEX30" s="1"/>
      <c r="AEY30" s="1"/>
      <c r="AEZ30" s="1"/>
      <c r="AFA30" s="1"/>
      <c r="AFB30" s="1"/>
      <c r="AFC30" s="1"/>
      <c r="AFD30" s="1"/>
      <c r="AFE30" s="1"/>
      <c r="AFF30" s="1"/>
      <c r="AFG30" s="1"/>
      <c r="AFH30" s="1"/>
      <c r="AFI30" s="1"/>
      <c r="AFJ30" s="1"/>
      <c r="AFK30" s="1"/>
      <c r="AFL30" s="1"/>
      <c r="AFM30" s="1"/>
      <c r="AFN30" s="1"/>
      <c r="AFO30" s="1"/>
      <c r="AFP30" s="1"/>
      <c r="AFQ30" s="1"/>
      <c r="AFR30" s="1"/>
      <c r="AFS30" s="1"/>
      <c r="AFT30" s="1"/>
      <c r="AFU30" s="1"/>
      <c r="AFV30" s="1"/>
      <c r="AFW30" s="1"/>
      <c r="AFX30" s="1"/>
      <c r="AFY30" s="1"/>
      <c r="AFZ30" s="1"/>
      <c r="AGA30" s="1"/>
      <c r="AGB30" s="1"/>
      <c r="AGC30" s="1"/>
      <c r="AGD30" s="1"/>
      <c r="AGE30" s="1"/>
      <c r="AGF30" s="1"/>
      <c r="AGG30" s="1"/>
      <c r="AGH30" s="1"/>
      <c r="AGI30" s="1"/>
      <c r="AGJ30" s="1"/>
      <c r="AGK30" s="1"/>
      <c r="AGL30" s="1"/>
      <c r="AGM30" s="1"/>
      <c r="AGN30" s="1"/>
      <c r="AGO30" s="1"/>
      <c r="AGP30" s="1"/>
      <c r="AGQ30" s="1"/>
      <c r="AGR30" s="1"/>
      <c r="AGS30" s="1"/>
      <c r="AGT30" s="1"/>
      <c r="AGU30" s="1"/>
      <c r="AGV30" s="1"/>
      <c r="AGW30" s="1"/>
      <c r="AGX30" s="1"/>
      <c r="AGY30" s="1"/>
      <c r="AGZ30" s="1"/>
      <c r="AHA30" s="1"/>
      <c r="AHB30" s="1"/>
      <c r="AHC30" s="1"/>
      <c r="AHD30" s="1"/>
      <c r="AHE30" s="1"/>
      <c r="AHF30" s="1"/>
      <c r="AHG30" s="1"/>
      <c r="AHH30" s="1"/>
      <c r="AHI30" s="1"/>
      <c r="AHJ30" s="1"/>
      <c r="AHK30" s="1"/>
      <c r="AHL30" s="1"/>
      <c r="AHM30" s="1"/>
      <c r="AHN30" s="1"/>
      <c r="AHO30" s="1"/>
      <c r="AHP30" s="1"/>
      <c r="AHQ30" s="1"/>
      <c r="AHR30" s="1"/>
      <c r="AHS30" s="1"/>
      <c r="AHT30" s="1"/>
      <c r="AHU30" s="1"/>
      <c r="AHV30" s="1"/>
      <c r="AHW30" s="1"/>
      <c r="AHX30" s="1"/>
      <c r="AHY30" s="1"/>
      <c r="AHZ30" s="1"/>
      <c r="AIA30" s="1"/>
      <c r="AIB30" s="1"/>
      <c r="AIC30" s="1"/>
      <c r="AID30" s="1"/>
      <c r="AIE30" s="1"/>
      <c r="AIF30" s="1"/>
      <c r="AIG30" s="1"/>
      <c r="AIH30" s="1"/>
      <c r="AII30" s="1"/>
      <c r="AIJ30" s="1"/>
      <c r="AIK30" s="1"/>
      <c r="AIL30" s="1"/>
      <c r="AIM30" s="1"/>
      <c r="AIN30" s="1"/>
      <c r="AIO30" s="1"/>
      <c r="AIP30" s="1"/>
      <c r="AIQ30" s="1"/>
      <c r="AIR30" s="1"/>
      <c r="AIS30" s="1"/>
      <c r="AIT30" s="1"/>
      <c r="AIU30" s="1"/>
      <c r="AIV30" s="1"/>
      <c r="AIW30" s="1"/>
      <c r="AIX30" s="1"/>
      <c r="AIY30" s="1"/>
      <c r="AIZ30" s="1"/>
      <c r="AJA30" s="1"/>
      <c r="AJB30" s="1"/>
      <c r="AJC30" s="1"/>
      <c r="AJD30" s="1"/>
      <c r="AJE30" s="1"/>
      <c r="AJF30" s="1"/>
      <c r="AJG30" s="1"/>
      <c r="AJH30" s="1"/>
      <c r="AJI30" s="1"/>
      <c r="AJJ30" s="1"/>
      <c r="AJK30" s="1"/>
      <c r="AJL30" s="1"/>
      <c r="AJM30" s="1"/>
      <c r="AJN30" s="1"/>
      <c r="AJO30" s="1"/>
      <c r="AJP30" s="1"/>
      <c r="AJQ30" s="1"/>
      <c r="AJR30" s="1"/>
      <c r="AJS30" s="1"/>
      <c r="AJT30" s="1"/>
      <c r="AJU30" s="1"/>
      <c r="AJV30" s="1"/>
      <c r="AJW30" s="1"/>
      <c r="AJX30" s="1"/>
      <c r="AJY30" s="1"/>
      <c r="AJZ30" s="1"/>
      <c r="AKA30" s="1"/>
      <c r="AKB30" s="1"/>
      <c r="AKC30" s="1"/>
      <c r="AKD30" s="1"/>
      <c r="AKE30" s="1"/>
      <c r="AKF30" s="1"/>
      <c r="AKG30" s="1"/>
      <c r="AKH30" s="1"/>
      <c r="AKI30" s="1"/>
      <c r="AKJ30" s="1"/>
      <c r="AKK30" s="1"/>
      <c r="AKL30" s="1"/>
      <c r="AKM30" s="1"/>
      <c r="AKN30" s="1"/>
      <c r="AKO30" s="1"/>
      <c r="AKP30" s="1"/>
      <c r="AKQ30" s="1"/>
      <c r="AKR30" s="1"/>
      <c r="AKS30" s="1"/>
      <c r="AKT30" s="1"/>
      <c r="AKU30" s="1"/>
      <c r="AKV30" s="1"/>
      <c r="AKW30" s="1"/>
      <c r="AKX30" s="1"/>
      <c r="AKY30" s="1"/>
      <c r="AKZ30" s="1"/>
      <c r="ALA30" s="1"/>
      <c r="ALB30" s="1"/>
      <c r="ALC30" s="1"/>
      <c r="ALD30" s="1"/>
      <c r="ALE30" s="1"/>
      <c r="ALF30" s="1"/>
      <c r="ALG30" s="1"/>
      <c r="ALH30" s="1"/>
      <c r="ALI30" s="1"/>
      <c r="ALJ30" s="1"/>
      <c r="ALK30" s="1"/>
    </row>
    <row r="31" spans="1:1000" hidden="1">
      <c r="A31" s="19"/>
      <c r="B31" s="19"/>
      <c r="C31" t="str">
        <f ca="1">_xll.TM1RPTVIEW("tango_core_model:zz_Process_Detail_By_Source:ARPT2", 1, _xll.TM1RPTTITLE("tango_core_model:zz_Process_Source",$D$34), _xll.TM1RPTTITLE("tango_core_model:zz_Date_Time_loading",$D$33),TM1RPTFMTRNG,TM1RPTFMTIDCOL)</f>
        <v>tango_core_model:zz_Process_Detail_By_Source:ARPT2</v>
      </c>
    </row>
    <row r="32" spans="1:1000" hidden="1">
      <c r="A32" s="19"/>
      <c r="B32" s="19"/>
    </row>
    <row r="33" spans="1:1000" hidden="1">
      <c r="A33" s="19"/>
      <c r="B33" s="19"/>
      <c r="C33" s="29" t="s">
        <v>1</v>
      </c>
      <c r="D33" s="31" t="str">
        <f ca="1">D19</f>
        <v>2022-SEP-7</v>
      </c>
    </row>
    <row r="34" spans="1:1000" hidden="1">
      <c r="A34" s="19"/>
      <c r="B34" s="19"/>
      <c r="C34" s="29" t="s">
        <v>48</v>
      </c>
      <c r="D34" t="str">
        <f ca="1">D17</f>
        <v>TANGO_FRANCE</v>
      </c>
    </row>
    <row r="35" spans="1:1000" hidden="1">
      <c r="A35" s="19"/>
      <c r="B35" s="19"/>
    </row>
    <row r="36" spans="1:1000" hidden="1">
      <c r="A36" s="19"/>
      <c r="B36" s="19"/>
    </row>
    <row r="37" spans="1:1000" hidden="1">
      <c r="A37" s="19"/>
      <c r="B37" s="19"/>
      <c r="D37" s="20" t="s">
        <v>18</v>
      </c>
      <c r="E37" s="20" t="s">
        <v>51</v>
      </c>
      <c r="F37" s="20" t="s">
        <v>20</v>
      </c>
      <c r="G37" s="20" t="s">
        <v>21</v>
      </c>
      <c r="H37" s="20" t="s">
        <v>22</v>
      </c>
      <c r="I37" s="20" t="s">
        <v>4</v>
      </c>
    </row>
    <row r="38" spans="1:1000">
      <c r="A38" s="37" t="str">
        <f ca="1">IF(_xll.TM1RPTELISCONSOLIDATED($C$38,$C38),IF(_xll.TM1RPTELLEV($C$38,$C38)&lt;=3,_xll.TM1RPTELLEV($C$38,$C38),"D"),"N")</f>
        <v>N</v>
      </c>
      <c r="B38" s="38"/>
      <c r="C38" s="35" t="str">
        <f ca="1">_xll.TM1RPTROW($C$31,"tango_core_model:}Processes")</f>
        <v>DL_RP_PL_ST_PL_YTD_by_SRC</v>
      </c>
      <c r="D38" s="35" t="str">
        <f ca="1">_xll.DBRW($C$31,$D$34,$C38,$D$33,D$37)</f>
        <v>2022-SEP-7 22:35:04</v>
      </c>
      <c r="E38" s="9" t="str">
        <f ca="1">_xll.DBRW($C$31,$D$34,$C38,$D$33,E$37)</f>
        <v>2022-SEP-7 22:35:06</v>
      </c>
      <c r="F38" s="8" t="str">
        <f ca="1">_xll.DBRW($C$31,$D$34,$C38,$D$33,F$37)</f>
        <v>23689</v>
      </c>
      <c r="G38" s="8" t="str">
        <f ca="1">_xll.DBRW($C$31,$D$34,$C38,$D$33,G$37)</f>
        <v>0</v>
      </c>
      <c r="H38" s="8" t="str">
        <f ca="1">_xll.DBRW($C$31,$D$34,$C38,$D$33,H$37)</f>
        <v>23689</v>
      </c>
      <c r="I38" s="8" t="str">
        <f ca="1">_xll.DBRW($C$31,$D$34,$C38,$D$33,I$37)</f>
        <v>OK</v>
      </c>
    </row>
    <row r="39" spans="1:1000">
      <c r="A39" s="37" t="str">
        <f ca="1">IF(_xll.TM1RPTELISCONSOLIDATED($C$38,$C39),IF(_xll.TM1RPTELLEV($C$38,$C39)&lt;=3,_xll.TM1RPTELLEV($C$38,$C39),"D"),"N")</f>
        <v>N</v>
      </c>
      <c r="B39" s="38"/>
      <c r="C39" s="35" t="s">
        <v>67</v>
      </c>
      <c r="D39" s="35" t="str">
        <f ca="1">_xll.DBRW($C$31,$D$34,$C39,$D$33,D$37)</f>
        <v>2022-SEP-7 22:00:24</v>
      </c>
      <c r="E39" s="9" t="str">
        <f ca="1">_xll.DBRW($C$31,$D$34,$C39,$D$33,E$37)</f>
        <v>2022-SEP-7 22:00:42</v>
      </c>
      <c r="F39" s="8" t="str">
        <f ca="1">_xll.DBRW($C$31,$D$34,$C39,$D$33,F$37)</f>
        <v>261101</v>
      </c>
      <c r="G39" s="8" t="str">
        <f ca="1">_xll.DBRW($C$31,$D$34,$C39,$D$33,G$37)</f>
        <v>0</v>
      </c>
      <c r="H39" s="8" t="str">
        <f ca="1">_xll.DBRW($C$31,$D$34,$C39,$D$33,H$37)</f>
        <v>261101</v>
      </c>
      <c r="I39" s="8" t="str">
        <f ca="1">_xll.DBRW($C$31,$D$34,$C39,$D$33,I$37)</f>
        <v>OK</v>
      </c>
    </row>
    <row r="40" spans="1:1000">
      <c r="A40" s="40"/>
      <c r="B40" s="40"/>
      <c r="C40" s="10"/>
      <c r="D40" s="11"/>
      <c r="E40" s="11"/>
      <c r="F40" s="11"/>
      <c r="G40" s="11"/>
      <c r="H40" s="4"/>
      <c r="I40" s="4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1"/>
      <c r="OM40" s="1"/>
      <c r="ON40" s="1"/>
      <c r="OO40" s="1"/>
      <c r="OP40" s="1"/>
      <c r="OQ40" s="1"/>
      <c r="OR40" s="1"/>
      <c r="OS40" s="1"/>
      <c r="OT40" s="1"/>
      <c r="OU40" s="1"/>
      <c r="OV40" s="1"/>
      <c r="OW40" s="1"/>
      <c r="OX40" s="1"/>
      <c r="OY40" s="1"/>
      <c r="OZ40" s="1"/>
      <c r="PA40" s="1"/>
      <c r="PB40" s="1"/>
      <c r="PC40" s="1"/>
      <c r="PD40" s="1"/>
      <c r="PE40" s="1"/>
      <c r="PF40" s="1"/>
      <c r="PG40" s="1"/>
      <c r="PH40" s="1"/>
      <c r="PI40" s="1"/>
      <c r="PJ40" s="1"/>
      <c r="PK40" s="1"/>
      <c r="PL40" s="1"/>
      <c r="PM40" s="1"/>
      <c r="PN40" s="1"/>
      <c r="PO40" s="1"/>
      <c r="PP40" s="1"/>
      <c r="PQ40" s="1"/>
      <c r="PR40" s="1"/>
      <c r="PS40" s="1"/>
      <c r="PT40" s="1"/>
      <c r="PU40" s="1"/>
      <c r="PV40" s="1"/>
      <c r="PW40" s="1"/>
      <c r="PX40" s="1"/>
      <c r="PY40" s="1"/>
      <c r="PZ40" s="1"/>
      <c r="QA40" s="1"/>
      <c r="QB40" s="1"/>
      <c r="QC40" s="1"/>
      <c r="QD40" s="1"/>
      <c r="QE40" s="1"/>
      <c r="QF40" s="1"/>
      <c r="QG40" s="1"/>
      <c r="QH40" s="1"/>
      <c r="QI40" s="1"/>
      <c r="QJ40" s="1"/>
      <c r="QK40" s="1"/>
      <c r="QL40" s="1"/>
      <c r="QM40" s="1"/>
      <c r="QN40" s="1"/>
      <c r="QO40" s="1"/>
      <c r="QP40" s="1"/>
      <c r="QQ40" s="1"/>
      <c r="QR40" s="1"/>
      <c r="QS40" s="1"/>
      <c r="QT40" s="1"/>
      <c r="QU40" s="1"/>
      <c r="QV40" s="1"/>
      <c r="QW40" s="1"/>
      <c r="QX40" s="1"/>
      <c r="QY40" s="1"/>
      <c r="QZ40" s="1"/>
      <c r="RA40" s="1"/>
      <c r="RB40" s="1"/>
      <c r="RC40" s="1"/>
      <c r="RD40" s="1"/>
      <c r="RE40" s="1"/>
      <c r="RF40" s="1"/>
      <c r="RG40" s="1"/>
      <c r="RH40" s="1"/>
      <c r="RI40" s="1"/>
      <c r="RJ40" s="1"/>
      <c r="RK40" s="1"/>
      <c r="RL40" s="1"/>
      <c r="RM40" s="1"/>
      <c r="RN40" s="1"/>
      <c r="RO40" s="1"/>
      <c r="RP40" s="1"/>
      <c r="RQ40" s="1"/>
      <c r="RR40" s="1"/>
      <c r="RS40" s="1"/>
      <c r="RT40" s="1"/>
      <c r="RU40" s="1"/>
      <c r="RV40" s="1"/>
      <c r="RW40" s="1"/>
      <c r="RX40" s="1"/>
      <c r="RY40" s="1"/>
      <c r="RZ40" s="1"/>
      <c r="SA40" s="1"/>
      <c r="SB40" s="1"/>
      <c r="SC40" s="1"/>
      <c r="SD40" s="1"/>
      <c r="SE40" s="1"/>
      <c r="SF40" s="1"/>
      <c r="SG40" s="1"/>
      <c r="SH40" s="1"/>
      <c r="SI40" s="1"/>
      <c r="SJ40" s="1"/>
      <c r="SK40" s="1"/>
      <c r="SL40" s="1"/>
      <c r="SM40" s="1"/>
      <c r="SN40" s="1"/>
      <c r="SO40" s="1"/>
      <c r="SP40" s="1"/>
      <c r="SQ40" s="1"/>
      <c r="SR40" s="1"/>
      <c r="SS40" s="1"/>
      <c r="ST40" s="1"/>
      <c r="SU40" s="1"/>
      <c r="SV40" s="1"/>
      <c r="SW40" s="1"/>
      <c r="SX40" s="1"/>
      <c r="SY40" s="1"/>
      <c r="SZ40" s="1"/>
      <c r="TA40" s="1"/>
      <c r="TB40" s="1"/>
      <c r="TC40" s="1"/>
      <c r="TD40" s="1"/>
      <c r="TE40" s="1"/>
      <c r="TF40" s="1"/>
      <c r="TG40" s="1"/>
      <c r="TH40" s="1"/>
      <c r="TI40" s="1"/>
      <c r="TJ40" s="1"/>
      <c r="TK40" s="1"/>
      <c r="TL40" s="1"/>
      <c r="TM40" s="1"/>
      <c r="TN40" s="1"/>
      <c r="TO40" s="1"/>
      <c r="TP40" s="1"/>
      <c r="TQ40" s="1"/>
      <c r="TR40" s="1"/>
      <c r="TS40" s="1"/>
      <c r="TT40" s="1"/>
      <c r="TU40" s="1"/>
      <c r="TV40" s="1"/>
      <c r="TW40" s="1"/>
      <c r="TX40" s="1"/>
      <c r="TY40" s="1"/>
      <c r="TZ40" s="1"/>
      <c r="UA40" s="1"/>
      <c r="UB40" s="1"/>
      <c r="UC40" s="1"/>
      <c r="UD40" s="1"/>
      <c r="UE40" s="1"/>
      <c r="UF40" s="1"/>
      <c r="UG40" s="1"/>
      <c r="UH40" s="1"/>
      <c r="UI40" s="1"/>
      <c r="UJ40" s="1"/>
      <c r="UK40" s="1"/>
      <c r="UL40" s="1"/>
      <c r="UM40" s="1"/>
      <c r="UN40" s="1"/>
      <c r="UO40" s="1"/>
      <c r="UP40" s="1"/>
      <c r="UQ40" s="1"/>
      <c r="UR40" s="1"/>
      <c r="US40" s="1"/>
      <c r="UT40" s="1"/>
      <c r="UU40" s="1"/>
      <c r="UV40" s="1"/>
      <c r="UW40" s="1"/>
      <c r="UX40" s="1"/>
      <c r="UY40" s="1"/>
      <c r="UZ40" s="1"/>
      <c r="VA40" s="1"/>
      <c r="VB40" s="1"/>
      <c r="VC40" s="1"/>
      <c r="VD40" s="1"/>
      <c r="VE40" s="1"/>
      <c r="VF40" s="1"/>
      <c r="VG40" s="1"/>
      <c r="VH40" s="1"/>
      <c r="VI40" s="1"/>
      <c r="VJ40" s="1"/>
      <c r="VK40" s="1"/>
      <c r="VL40" s="1"/>
      <c r="VM40" s="1"/>
      <c r="VN40" s="1"/>
      <c r="VO40" s="1"/>
      <c r="VP40" s="1"/>
      <c r="VQ40" s="1"/>
      <c r="VR40" s="1"/>
      <c r="VS40" s="1"/>
      <c r="VT40" s="1"/>
      <c r="VU40" s="1"/>
      <c r="VV40" s="1"/>
      <c r="VW40" s="1"/>
      <c r="VX40" s="1"/>
      <c r="VY40" s="1"/>
      <c r="VZ40" s="1"/>
      <c r="WA40" s="1"/>
      <c r="WB40" s="1"/>
      <c r="WC40" s="1"/>
      <c r="WD40" s="1"/>
      <c r="WE40" s="1"/>
      <c r="WF40" s="1"/>
      <c r="WG40" s="1"/>
      <c r="WH40" s="1"/>
      <c r="WI40" s="1"/>
      <c r="WJ40" s="1"/>
      <c r="WK40" s="1"/>
      <c r="WL40" s="1"/>
      <c r="WM40" s="1"/>
      <c r="WN40" s="1"/>
      <c r="WO40" s="1"/>
      <c r="WP40" s="1"/>
      <c r="WQ40" s="1"/>
      <c r="WR40" s="1"/>
      <c r="WS40" s="1"/>
      <c r="WT40" s="1"/>
      <c r="WU40" s="1"/>
      <c r="WV40" s="1"/>
      <c r="WW40" s="1"/>
      <c r="WX40" s="1"/>
      <c r="WY40" s="1"/>
      <c r="WZ40" s="1"/>
      <c r="XA40" s="1"/>
      <c r="XB40" s="1"/>
      <c r="XC40" s="1"/>
      <c r="XD40" s="1"/>
      <c r="XE40" s="1"/>
      <c r="XF40" s="1"/>
      <c r="XG40" s="1"/>
      <c r="XH40" s="1"/>
      <c r="XI40" s="1"/>
      <c r="XJ40" s="1"/>
      <c r="XK40" s="1"/>
      <c r="XL40" s="1"/>
      <c r="XM40" s="1"/>
      <c r="XN40" s="1"/>
      <c r="XO40" s="1"/>
      <c r="XP40" s="1"/>
      <c r="XQ40" s="1"/>
      <c r="XR40" s="1"/>
      <c r="XS40" s="1"/>
      <c r="XT40" s="1"/>
      <c r="XU40" s="1"/>
      <c r="XV40" s="1"/>
      <c r="XW40" s="1"/>
      <c r="XX40" s="1"/>
      <c r="XY40" s="1"/>
      <c r="XZ40" s="1"/>
      <c r="YA40" s="1"/>
      <c r="YB40" s="1"/>
      <c r="YC40" s="1"/>
      <c r="YD40" s="1"/>
      <c r="YE40" s="1"/>
      <c r="YF40" s="1"/>
      <c r="YG40" s="1"/>
      <c r="YH40" s="1"/>
      <c r="YI40" s="1"/>
      <c r="YJ40" s="1"/>
      <c r="YK40" s="1"/>
      <c r="YL40" s="1"/>
      <c r="YM40" s="1"/>
      <c r="YN40" s="1"/>
      <c r="YO40" s="1"/>
      <c r="YP40" s="1"/>
      <c r="YQ40" s="1"/>
      <c r="YR40" s="1"/>
      <c r="YS40" s="1"/>
      <c r="YT40" s="1"/>
      <c r="YU40" s="1"/>
      <c r="YV40" s="1"/>
      <c r="YW40" s="1"/>
      <c r="YX40" s="1"/>
      <c r="YY40" s="1"/>
      <c r="YZ40" s="1"/>
      <c r="ZA40" s="1"/>
      <c r="ZB40" s="1"/>
      <c r="ZC40" s="1"/>
      <c r="ZD40" s="1"/>
      <c r="ZE40" s="1"/>
      <c r="ZF40" s="1"/>
      <c r="ZG40" s="1"/>
      <c r="ZH40" s="1"/>
      <c r="ZI40" s="1"/>
      <c r="ZJ40" s="1"/>
      <c r="ZK40" s="1"/>
      <c r="ZL40" s="1"/>
      <c r="ZM40" s="1"/>
      <c r="ZN40" s="1"/>
      <c r="ZO40" s="1"/>
      <c r="ZP40" s="1"/>
      <c r="ZQ40" s="1"/>
      <c r="ZR40" s="1"/>
      <c r="ZS40" s="1"/>
      <c r="ZT40" s="1"/>
      <c r="ZU40" s="1"/>
      <c r="ZV40" s="1"/>
      <c r="ZW40" s="1"/>
      <c r="ZX40" s="1"/>
      <c r="ZY40" s="1"/>
      <c r="ZZ40" s="1"/>
      <c r="AAA40" s="1"/>
      <c r="AAB40" s="1"/>
      <c r="AAC40" s="1"/>
      <c r="AAD40" s="1"/>
      <c r="AAE40" s="1"/>
      <c r="AAF40" s="1"/>
      <c r="AAG40" s="1"/>
      <c r="AAH40" s="1"/>
      <c r="AAI40" s="1"/>
      <c r="AAJ40" s="1"/>
      <c r="AAK40" s="1"/>
      <c r="AAL40" s="1"/>
      <c r="AAM40" s="1"/>
      <c r="AAN40" s="1"/>
      <c r="AAO40" s="1"/>
      <c r="AAP40" s="1"/>
      <c r="AAQ40" s="1"/>
      <c r="AAR40" s="1"/>
      <c r="AAS40" s="1"/>
      <c r="AAT40" s="1"/>
      <c r="AAU40" s="1"/>
      <c r="AAV40" s="1"/>
      <c r="AAW40" s="1"/>
      <c r="AAX40" s="1"/>
      <c r="AAY40" s="1"/>
      <c r="AAZ40" s="1"/>
      <c r="ABA40" s="1"/>
      <c r="ABB40" s="1"/>
      <c r="ABC40" s="1"/>
      <c r="ABD40" s="1"/>
      <c r="ABE40" s="1"/>
      <c r="ABF40" s="1"/>
      <c r="ABG40" s="1"/>
      <c r="ABH40" s="1"/>
      <c r="ABI40" s="1"/>
      <c r="ABJ40" s="1"/>
      <c r="ABK40" s="1"/>
      <c r="ABL40" s="1"/>
      <c r="ABM40" s="1"/>
      <c r="ABN40" s="1"/>
      <c r="ABO40" s="1"/>
      <c r="ABP40" s="1"/>
      <c r="ABQ40" s="1"/>
      <c r="ABR40" s="1"/>
      <c r="ABS40" s="1"/>
      <c r="ABT40" s="1"/>
      <c r="ABU40" s="1"/>
      <c r="ABV40" s="1"/>
      <c r="ABW40" s="1"/>
      <c r="ABX40" s="1"/>
      <c r="ABY40" s="1"/>
      <c r="ABZ40" s="1"/>
      <c r="ACA40" s="1"/>
      <c r="ACB40" s="1"/>
      <c r="ACC40" s="1"/>
      <c r="ACD40" s="1"/>
      <c r="ACE40" s="1"/>
      <c r="ACF40" s="1"/>
      <c r="ACG40" s="1"/>
      <c r="ACH40" s="1"/>
      <c r="ACI40" s="1"/>
      <c r="ACJ40" s="1"/>
      <c r="ACK40" s="1"/>
      <c r="ACL40" s="1"/>
      <c r="ACM40" s="1"/>
      <c r="ACN40" s="1"/>
      <c r="ACO40" s="1"/>
      <c r="ACP40" s="1"/>
      <c r="ACQ40" s="1"/>
      <c r="ACR40" s="1"/>
      <c r="ACS40" s="1"/>
      <c r="ACT40" s="1"/>
      <c r="ACU40" s="1"/>
      <c r="ACV40" s="1"/>
      <c r="ACW40" s="1"/>
      <c r="ACX40" s="1"/>
      <c r="ACY40" s="1"/>
      <c r="ACZ40" s="1"/>
      <c r="ADA40" s="1"/>
      <c r="ADB40" s="1"/>
      <c r="ADC40" s="1"/>
      <c r="ADD40" s="1"/>
      <c r="ADE40" s="1"/>
      <c r="ADF40" s="1"/>
      <c r="ADG40" s="1"/>
      <c r="ADH40" s="1"/>
      <c r="ADI40" s="1"/>
      <c r="ADJ40" s="1"/>
      <c r="ADK40" s="1"/>
      <c r="ADL40" s="1"/>
      <c r="ADM40" s="1"/>
      <c r="ADN40" s="1"/>
      <c r="ADO40" s="1"/>
      <c r="ADP40" s="1"/>
      <c r="ADQ40" s="1"/>
      <c r="ADR40" s="1"/>
      <c r="ADS40" s="1"/>
      <c r="ADT40" s="1"/>
      <c r="ADU40" s="1"/>
      <c r="ADV40" s="1"/>
      <c r="ADW40" s="1"/>
      <c r="ADX40" s="1"/>
      <c r="ADY40" s="1"/>
      <c r="ADZ40" s="1"/>
      <c r="AEA40" s="1"/>
      <c r="AEB40" s="1"/>
      <c r="AEC40" s="1"/>
      <c r="AED40" s="1"/>
      <c r="AEE40" s="1"/>
      <c r="AEF40" s="1"/>
      <c r="AEG40" s="1"/>
      <c r="AEH40" s="1"/>
      <c r="AEI40" s="1"/>
      <c r="AEJ40" s="1"/>
      <c r="AEK40" s="1"/>
      <c r="AEL40" s="1"/>
      <c r="AEM40" s="1"/>
      <c r="AEN40" s="1"/>
      <c r="AEO40" s="1"/>
      <c r="AEP40" s="1"/>
      <c r="AEQ40" s="1"/>
      <c r="AER40" s="1"/>
      <c r="AES40" s="1"/>
      <c r="AET40" s="1"/>
      <c r="AEU40" s="1"/>
      <c r="AEV40" s="1"/>
      <c r="AEW40" s="1"/>
      <c r="AEX40" s="1"/>
      <c r="AEY40" s="1"/>
      <c r="AEZ40" s="1"/>
      <c r="AFA40" s="1"/>
      <c r="AFB40" s="1"/>
      <c r="AFC40" s="1"/>
      <c r="AFD40" s="1"/>
      <c r="AFE40" s="1"/>
      <c r="AFF40" s="1"/>
      <c r="AFG40" s="1"/>
      <c r="AFH40" s="1"/>
      <c r="AFI40" s="1"/>
      <c r="AFJ40" s="1"/>
      <c r="AFK40" s="1"/>
      <c r="AFL40" s="1"/>
      <c r="AFM40" s="1"/>
      <c r="AFN40" s="1"/>
      <c r="AFO40" s="1"/>
      <c r="AFP40" s="1"/>
      <c r="AFQ40" s="1"/>
      <c r="AFR40" s="1"/>
      <c r="AFS40" s="1"/>
      <c r="AFT40" s="1"/>
      <c r="AFU40" s="1"/>
      <c r="AFV40" s="1"/>
      <c r="AFW40" s="1"/>
      <c r="AFX40" s="1"/>
      <c r="AFY40" s="1"/>
      <c r="AFZ40" s="1"/>
      <c r="AGA40" s="1"/>
      <c r="AGB40" s="1"/>
      <c r="AGC40" s="1"/>
      <c r="AGD40" s="1"/>
      <c r="AGE40" s="1"/>
      <c r="AGF40" s="1"/>
      <c r="AGG40" s="1"/>
      <c r="AGH40" s="1"/>
      <c r="AGI40" s="1"/>
      <c r="AGJ40" s="1"/>
      <c r="AGK40" s="1"/>
      <c r="AGL40" s="1"/>
      <c r="AGM40" s="1"/>
      <c r="AGN40" s="1"/>
      <c r="AGO40" s="1"/>
      <c r="AGP40" s="1"/>
      <c r="AGQ40" s="1"/>
      <c r="AGR40" s="1"/>
      <c r="AGS40" s="1"/>
      <c r="AGT40" s="1"/>
      <c r="AGU40" s="1"/>
      <c r="AGV40" s="1"/>
      <c r="AGW40" s="1"/>
      <c r="AGX40" s="1"/>
      <c r="AGY40" s="1"/>
      <c r="AGZ40" s="1"/>
      <c r="AHA40" s="1"/>
      <c r="AHB40" s="1"/>
      <c r="AHC40" s="1"/>
      <c r="AHD40" s="1"/>
      <c r="AHE40" s="1"/>
      <c r="AHF40" s="1"/>
      <c r="AHG40" s="1"/>
      <c r="AHH40" s="1"/>
      <c r="AHI40" s="1"/>
      <c r="AHJ40" s="1"/>
      <c r="AHK40" s="1"/>
      <c r="AHL40" s="1"/>
      <c r="AHM40" s="1"/>
      <c r="AHN40" s="1"/>
      <c r="AHO40" s="1"/>
      <c r="AHP40" s="1"/>
      <c r="AHQ40" s="1"/>
      <c r="AHR40" s="1"/>
      <c r="AHS40" s="1"/>
      <c r="AHT40" s="1"/>
      <c r="AHU40" s="1"/>
      <c r="AHV40" s="1"/>
      <c r="AHW40" s="1"/>
      <c r="AHX40" s="1"/>
      <c r="AHY40" s="1"/>
      <c r="AHZ40" s="1"/>
      <c r="AIA40" s="1"/>
      <c r="AIB40" s="1"/>
      <c r="AIC40" s="1"/>
      <c r="AID40" s="1"/>
      <c r="AIE40" s="1"/>
      <c r="AIF40" s="1"/>
      <c r="AIG40" s="1"/>
      <c r="AIH40" s="1"/>
      <c r="AII40" s="1"/>
      <c r="AIJ40" s="1"/>
      <c r="AIK40" s="1"/>
      <c r="AIL40" s="1"/>
      <c r="AIM40" s="1"/>
      <c r="AIN40" s="1"/>
      <c r="AIO40" s="1"/>
      <c r="AIP40" s="1"/>
      <c r="AIQ40" s="1"/>
      <c r="AIR40" s="1"/>
      <c r="AIS40" s="1"/>
      <c r="AIT40" s="1"/>
      <c r="AIU40" s="1"/>
      <c r="AIV40" s="1"/>
      <c r="AIW40" s="1"/>
      <c r="AIX40" s="1"/>
      <c r="AIY40" s="1"/>
      <c r="AIZ40" s="1"/>
      <c r="AJA40" s="1"/>
      <c r="AJB40" s="1"/>
      <c r="AJC40" s="1"/>
      <c r="AJD40" s="1"/>
      <c r="AJE40" s="1"/>
      <c r="AJF40" s="1"/>
      <c r="AJG40" s="1"/>
      <c r="AJH40" s="1"/>
      <c r="AJI40" s="1"/>
      <c r="AJJ40" s="1"/>
      <c r="AJK40" s="1"/>
      <c r="AJL40" s="1"/>
      <c r="AJM40" s="1"/>
      <c r="AJN40" s="1"/>
      <c r="AJO40" s="1"/>
      <c r="AJP40" s="1"/>
      <c r="AJQ40" s="1"/>
      <c r="AJR40" s="1"/>
      <c r="AJS40" s="1"/>
      <c r="AJT40" s="1"/>
      <c r="AJU40" s="1"/>
      <c r="AJV40" s="1"/>
      <c r="AJW40" s="1"/>
      <c r="AJX40" s="1"/>
      <c r="AJY40" s="1"/>
      <c r="AJZ40" s="1"/>
      <c r="AKA40" s="1"/>
      <c r="AKB40" s="1"/>
      <c r="AKC40" s="1"/>
      <c r="AKD40" s="1"/>
      <c r="AKE40" s="1"/>
      <c r="AKF40" s="1"/>
      <c r="AKG40" s="1"/>
      <c r="AKH40" s="1"/>
      <c r="AKI40" s="1"/>
      <c r="AKJ40" s="1"/>
      <c r="AKK40" s="1"/>
      <c r="AKL40" s="1"/>
      <c r="AKM40" s="1"/>
      <c r="AKN40" s="1"/>
      <c r="AKO40" s="1"/>
      <c r="AKP40" s="1"/>
      <c r="AKQ40" s="1"/>
      <c r="AKR40" s="1"/>
      <c r="AKS40" s="1"/>
      <c r="AKT40" s="1"/>
      <c r="AKU40" s="1"/>
      <c r="AKV40" s="1"/>
      <c r="AKW40" s="1"/>
      <c r="AKX40" s="1"/>
      <c r="AKY40" s="1"/>
      <c r="AKZ40" s="1"/>
      <c r="ALA40" s="1"/>
      <c r="ALB40" s="1"/>
      <c r="ALC40" s="1"/>
      <c r="ALD40" s="1"/>
      <c r="ALE40" s="1"/>
      <c r="ALF40" s="1"/>
      <c r="ALG40" s="1"/>
      <c r="ALH40" s="1"/>
      <c r="ALI40" s="1"/>
      <c r="ALJ40" s="1"/>
      <c r="ALK40" s="1"/>
    </row>
    <row r="41" spans="1:1000">
      <c r="A41" s="14"/>
      <c r="B41" s="14"/>
      <c r="C41" s="3"/>
      <c r="D41" s="4"/>
      <c r="E41" s="4"/>
      <c r="F41" s="4"/>
      <c r="G41" s="4"/>
      <c r="H41" s="4"/>
      <c r="I41" s="4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  <c r="NE41" s="1"/>
      <c r="NF41" s="1"/>
      <c r="NG41" s="1"/>
      <c r="NH41" s="1"/>
      <c r="NI41" s="1"/>
      <c r="NJ41" s="1"/>
      <c r="NK41" s="1"/>
      <c r="NL41" s="1"/>
      <c r="NM41" s="1"/>
      <c r="NN41" s="1"/>
      <c r="NO41" s="1"/>
      <c r="NP41" s="1"/>
      <c r="NQ41" s="1"/>
      <c r="NR41" s="1"/>
      <c r="NS41" s="1"/>
      <c r="NT41" s="1"/>
      <c r="NU41" s="1"/>
      <c r="NV41" s="1"/>
      <c r="NW41" s="1"/>
      <c r="NX41" s="1"/>
      <c r="NY41" s="1"/>
      <c r="NZ41" s="1"/>
      <c r="OA41" s="1"/>
      <c r="OB41" s="1"/>
      <c r="OC41" s="1"/>
      <c r="OD41" s="1"/>
      <c r="OE41" s="1"/>
      <c r="OF41" s="1"/>
      <c r="OG41" s="1"/>
      <c r="OH41" s="1"/>
      <c r="OI41" s="1"/>
      <c r="OJ41" s="1"/>
      <c r="OK41" s="1"/>
      <c r="OL41" s="1"/>
      <c r="OM41" s="1"/>
      <c r="ON41" s="1"/>
      <c r="OO41" s="1"/>
      <c r="OP41" s="1"/>
      <c r="OQ41" s="1"/>
      <c r="OR41" s="1"/>
      <c r="OS41" s="1"/>
      <c r="OT41" s="1"/>
      <c r="OU41" s="1"/>
      <c r="OV41" s="1"/>
      <c r="OW41" s="1"/>
      <c r="OX41" s="1"/>
      <c r="OY41" s="1"/>
      <c r="OZ41" s="1"/>
      <c r="PA41" s="1"/>
      <c r="PB41" s="1"/>
      <c r="PC41" s="1"/>
      <c r="PD41" s="1"/>
      <c r="PE41" s="1"/>
      <c r="PF41" s="1"/>
      <c r="PG41" s="1"/>
      <c r="PH41" s="1"/>
      <c r="PI41" s="1"/>
      <c r="PJ41" s="1"/>
      <c r="PK41" s="1"/>
      <c r="PL41" s="1"/>
      <c r="PM41" s="1"/>
      <c r="PN41" s="1"/>
      <c r="PO41" s="1"/>
      <c r="PP41" s="1"/>
      <c r="PQ41" s="1"/>
      <c r="PR41" s="1"/>
      <c r="PS41" s="1"/>
      <c r="PT41" s="1"/>
      <c r="PU41" s="1"/>
      <c r="PV41" s="1"/>
      <c r="PW41" s="1"/>
      <c r="PX41" s="1"/>
      <c r="PY41" s="1"/>
      <c r="PZ41" s="1"/>
      <c r="QA41" s="1"/>
      <c r="QB41" s="1"/>
      <c r="QC41" s="1"/>
      <c r="QD41" s="1"/>
      <c r="QE41" s="1"/>
      <c r="QF41" s="1"/>
      <c r="QG41" s="1"/>
      <c r="QH41" s="1"/>
      <c r="QI41" s="1"/>
      <c r="QJ41" s="1"/>
      <c r="QK41" s="1"/>
      <c r="QL41" s="1"/>
      <c r="QM41" s="1"/>
      <c r="QN41" s="1"/>
      <c r="QO41" s="1"/>
      <c r="QP41" s="1"/>
      <c r="QQ41" s="1"/>
      <c r="QR41" s="1"/>
      <c r="QS41" s="1"/>
      <c r="QT41" s="1"/>
      <c r="QU41" s="1"/>
      <c r="QV41" s="1"/>
      <c r="QW41" s="1"/>
      <c r="QX41" s="1"/>
      <c r="QY41" s="1"/>
      <c r="QZ41" s="1"/>
      <c r="RA41" s="1"/>
      <c r="RB41" s="1"/>
      <c r="RC41" s="1"/>
      <c r="RD41" s="1"/>
      <c r="RE41" s="1"/>
      <c r="RF41" s="1"/>
      <c r="RG41" s="1"/>
      <c r="RH41" s="1"/>
      <c r="RI41" s="1"/>
      <c r="RJ41" s="1"/>
      <c r="RK41" s="1"/>
      <c r="RL41" s="1"/>
      <c r="RM41" s="1"/>
      <c r="RN41" s="1"/>
      <c r="RO41" s="1"/>
      <c r="RP41" s="1"/>
      <c r="RQ41" s="1"/>
      <c r="RR41" s="1"/>
      <c r="RS41" s="1"/>
      <c r="RT41" s="1"/>
      <c r="RU41" s="1"/>
      <c r="RV41" s="1"/>
      <c r="RW41" s="1"/>
      <c r="RX41" s="1"/>
      <c r="RY41" s="1"/>
      <c r="RZ41" s="1"/>
      <c r="SA41" s="1"/>
      <c r="SB41" s="1"/>
      <c r="SC41" s="1"/>
      <c r="SD41" s="1"/>
      <c r="SE41" s="1"/>
      <c r="SF41" s="1"/>
      <c r="SG41" s="1"/>
      <c r="SH41" s="1"/>
      <c r="SI41" s="1"/>
      <c r="SJ41" s="1"/>
      <c r="SK41" s="1"/>
      <c r="SL41" s="1"/>
      <c r="SM41" s="1"/>
      <c r="SN41" s="1"/>
      <c r="SO41" s="1"/>
      <c r="SP41" s="1"/>
      <c r="SQ41" s="1"/>
      <c r="SR41" s="1"/>
      <c r="SS41" s="1"/>
      <c r="ST41" s="1"/>
      <c r="SU41" s="1"/>
      <c r="SV41" s="1"/>
      <c r="SW41" s="1"/>
      <c r="SX41" s="1"/>
      <c r="SY41" s="1"/>
      <c r="SZ41" s="1"/>
      <c r="TA41" s="1"/>
      <c r="TB41" s="1"/>
      <c r="TC41" s="1"/>
      <c r="TD41" s="1"/>
      <c r="TE41" s="1"/>
      <c r="TF41" s="1"/>
      <c r="TG41" s="1"/>
      <c r="TH41" s="1"/>
      <c r="TI41" s="1"/>
      <c r="TJ41" s="1"/>
      <c r="TK41" s="1"/>
      <c r="TL41" s="1"/>
      <c r="TM41" s="1"/>
      <c r="TN41" s="1"/>
      <c r="TO41" s="1"/>
      <c r="TP41" s="1"/>
      <c r="TQ41" s="1"/>
      <c r="TR41" s="1"/>
      <c r="TS41" s="1"/>
      <c r="TT41" s="1"/>
      <c r="TU41" s="1"/>
      <c r="TV41" s="1"/>
      <c r="TW41" s="1"/>
      <c r="TX41" s="1"/>
      <c r="TY41" s="1"/>
      <c r="TZ41" s="1"/>
      <c r="UA41" s="1"/>
      <c r="UB41" s="1"/>
      <c r="UC41" s="1"/>
      <c r="UD41" s="1"/>
      <c r="UE41" s="1"/>
      <c r="UF41" s="1"/>
      <c r="UG41" s="1"/>
      <c r="UH41" s="1"/>
      <c r="UI41" s="1"/>
      <c r="UJ41" s="1"/>
      <c r="UK41" s="1"/>
      <c r="UL41" s="1"/>
      <c r="UM41" s="1"/>
      <c r="UN41" s="1"/>
      <c r="UO41" s="1"/>
      <c r="UP41" s="1"/>
      <c r="UQ41" s="1"/>
      <c r="UR41" s="1"/>
      <c r="US41" s="1"/>
      <c r="UT41" s="1"/>
      <c r="UU41" s="1"/>
      <c r="UV41" s="1"/>
      <c r="UW41" s="1"/>
      <c r="UX41" s="1"/>
      <c r="UY41" s="1"/>
      <c r="UZ41" s="1"/>
      <c r="VA41" s="1"/>
      <c r="VB41" s="1"/>
      <c r="VC41" s="1"/>
      <c r="VD41" s="1"/>
      <c r="VE41" s="1"/>
      <c r="VF41" s="1"/>
      <c r="VG41" s="1"/>
      <c r="VH41" s="1"/>
      <c r="VI41" s="1"/>
      <c r="VJ41" s="1"/>
      <c r="VK41" s="1"/>
      <c r="VL41" s="1"/>
      <c r="VM41" s="1"/>
      <c r="VN41" s="1"/>
      <c r="VO41" s="1"/>
      <c r="VP41" s="1"/>
      <c r="VQ41" s="1"/>
      <c r="VR41" s="1"/>
      <c r="VS41" s="1"/>
      <c r="VT41" s="1"/>
      <c r="VU41" s="1"/>
      <c r="VV41" s="1"/>
      <c r="VW41" s="1"/>
      <c r="VX41" s="1"/>
      <c r="VY41" s="1"/>
      <c r="VZ41" s="1"/>
      <c r="WA41" s="1"/>
      <c r="WB41" s="1"/>
      <c r="WC41" s="1"/>
      <c r="WD41" s="1"/>
      <c r="WE41" s="1"/>
      <c r="WF41" s="1"/>
      <c r="WG41" s="1"/>
      <c r="WH41" s="1"/>
      <c r="WI41" s="1"/>
      <c r="WJ41" s="1"/>
      <c r="WK41" s="1"/>
      <c r="WL41" s="1"/>
      <c r="WM41" s="1"/>
      <c r="WN41" s="1"/>
      <c r="WO41" s="1"/>
      <c r="WP41" s="1"/>
      <c r="WQ41" s="1"/>
      <c r="WR41" s="1"/>
      <c r="WS41" s="1"/>
      <c r="WT41" s="1"/>
      <c r="WU41" s="1"/>
      <c r="WV41" s="1"/>
      <c r="WW41" s="1"/>
      <c r="WX41" s="1"/>
      <c r="WY41" s="1"/>
      <c r="WZ41" s="1"/>
      <c r="XA41" s="1"/>
      <c r="XB41" s="1"/>
      <c r="XC41" s="1"/>
      <c r="XD41" s="1"/>
      <c r="XE41" s="1"/>
      <c r="XF41" s="1"/>
      <c r="XG41" s="1"/>
      <c r="XH41" s="1"/>
      <c r="XI41" s="1"/>
      <c r="XJ41" s="1"/>
      <c r="XK41" s="1"/>
      <c r="XL41" s="1"/>
      <c r="XM41" s="1"/>
      <c r="XN41" s="1"/>
      <c r="XO41" s="1"/>
      <c r="XP41" s="1"/>
      <c r="XQ41" s="1"/>
      <c r="XR41" s="1"/>
      <c r="XS41" s="1"/>
      <c r="XT41" s="1"/>
      <c r="XU41" s="1"/>
      <c r="XV41" s="1"/>
      <c r="XW41" s="1"/>
      <c r="XX41" s="1"/>
      <c r="XY41" s="1"/>
      <c r="XZ41" s="1"/>
      <c r="YA41" s="1"/>
      <c r="YB41" s="1"/>
      <c r="YC41" s="1"/>
      <c r="YD41" s="1"/>
      <c r="YE41" s="1"/>
      <c r="YF41" s="1"/>
      <c r="YG41" s="1"/>
      <c r="YH41" s="1"/>
      <c r="YI41" s="1"/>
      <c r="YJ41" s="1"/>
      <c r="YK41" s="1"/>
      <c r="YL41" s="1"/>
      <c r="YM41" s="1"/>
      <c r="YN41" s="1"/>
      <c r="YO41" s="1"/>
      <c r="YP41" s="1"/>
      <c r="YQ41" s="1"/>
      <c r="YR41" s="1"/>
      <c r="YS41" s="1"/>
      <c r="YT41" s="1"/>
      <c r="YU41" s="1"/>
      <c r="YV41" s="1"/>
      <c r="YW41" s="1"/>
      <c r="YX41" s="1"/>
      <c r="YY41" s="1"/>
      <c r="YZ41" s="1"/>
      <c r="ZA41" s="1"/>
      <c r="ZB41" s="1"/>
      <c r="ZC41" s="1"/>
      <c r="ZD41" s="1"/>
      <c r="ZE41" s="1"/>
      <c r="ZF41" s="1"/>
      <c r="ZG41" s="1"/>
      <c r="ZH41" s="1"/>
      <c r="ZI41" s="1"/>
      <c r="ZJ41" s="1"/>
      <c r="ZK41" s="1"/>
      <c r="ZL41" s="1"/>
      <c r="ZM41" s="1"/>
      <c r="ZN41" s="1"/>
      <c r="ZO41" s="1"/>
      <c r="ZP41" s="1"/>
      <c r="ZQ41" s="1"/>
      <c r="ZR41" s="1"/>
      <c r="ZS41" s="1"/>
      <c r="ZT41" s="1"/>
      <c r="ZU41" s="1"/>
      <c r="ZV41" s="1"/>
      <c r="ZW41" s="1"/>
      <c r="ZX41" s="1"/>
      <c r="ZY41" s="1"/>
      <c r="ZZ41" s="1"/>
      <c r="AAA41" s="1"/>
      <c r="AAB41" s="1"/>
      <c r="AAC41" s="1"/>
      <c r="AAD41" s="1"/>
      <c r="AAE41" s="1"/>
      <c r="AAF41" s="1"/>
      <c r="AAG41" s="1"/>
      <c r="AAH41" s="1"/>
      <c r="AAI41" s="1"/>
      <c r="AAJ41" s="1"/>
      <c r="AAK41" s="1"/>
      <c r="AAL41" s="1"/>
      <c r="AAM41" s="1"/>
      <c r="AAN41" s="1"/>
      <c r="AAO41" s="1"/>
      <c r="AAP41" s="1"/>
      <c r="AAQ41" s="1"/>
      <c r="AAR41" s="1"/>
      <c r="AAS41" s="1"/>
      <c r="AAT41" s="1"/>
      <c r="AAU41" s="1"/>
      <c r="AAV41" s="1"/>
      <c r="AAW41" s="1"/>
      <c r="AAX41" s="1"/>
      <c r="AAY41" s="1"/>
      <c r="AAZ41" s="1"/>
      <c r="ABA41" s="1"/>
      <c r="ABB41" s="1"/>
      <c r="ABC41" s="1"/>
      <c r="ABD41" s="1"/>
      <c r="ABE41" s="1"/>
      <c r="ABF41" s="1"/>
      <c r="ABG41" s="1"/>
      <c r="ABH41" s="1"/>
      <c r="ABI41" s="1"/>
      <c r="ABJ41" s="1"/>
      <c r="ABK41" s="1"/>
      <c r="ABL41" s="1"/>
      <c r="ABM41" s="1"/>
      <c r="ABN41" s="1"/>
      <c r="ABO41" s="1"/>
      <c r="ABP41" s="1"/>
      <c r="ABQ41" s="1"/>
      <c r="ABR41" s="1"/>
      <c r="ABS41" s="1"/>
      <c r="ABT41" s="1"/>
      <c r="ABU41" s="1"/>
      <c r="ABV41" s="1"/>
      <c r="ABW41" s="1"/>
      <c r="ABX41" s="1"/>
      <c r="ABY41" s="1"/>
      <c r="ABZ41" s="1"/>
      <c r="ACA41" s="1"/>
      <c r="ACB41" s="1"/>
      <c r="ACC41" s="1"/>
      <c r="ACD41" s="1"/>
      <c r="ACE41" s="1"/>
      <c r="ACF41" s="1"/>
      <c r="ACG41" s="1"/>
      <c r="ACH41" s="1"/>
      <c r="ACI41" s="1"/>
      <c r="ACJ41" s="1"/>
      <c r="ACK41" s="1"/>
      <c r="ACL41" s="1"/>
      <c r="ACM41" s="1"/>
      <c r="ACN41" s="1"/>
      <c r="ACO41" s="1"/>
      <c r="ACP41" s="1"/>
      <c r="ACQ41" s="1"/>
      <c r="ACR41" s="1"/>
      <c r="ACS41" s="1"/>
      <c r="ACT41" s="1"/>
      <c r="ACU41" s="1"/>
      <c r="ACV41" s="1"/>
      <c r="ACW41" s="1"/>
      <c r="ACX41" s="1"/>
      <c r="ACY41" s="1"/>
      <c r="ACZ41" s="1"/>
      <c r="ADA41" s="1"/>
      <c r="ADB41" s="1"/>
      <c r="ADC41" s="1"/>
      <c r="ADD41" s="1"/>
      <c r="ADE41" s="1"/>
      <c r="ADF41" s="1"/>
      <c r="ADG41" s="1"/>
      <c r="ADH41" s="1"/>
      <c r="ADI41" s="1"/>
      <c r="ADJ41" s="1"/>
      <c r="ADK41" s="1"/>
      <c r="ADL41" s="1"/>
      <c r="ADM41" s="1"/>
      <c r="ADN41" s="1"/>
      <c r="ADO41" s="1"/>
      <c r="ADP41" s="1"/>
      <c r="ADQ41" s="1"/>
      <c r="ADR41" s="1"/>
      <c r="ADS41" s="1"/>
      <c r="ADT41" s="1"/>
      <c r="ADU41" s="1"/>
      <c r="ADV41" s="1"/>
      <c r="ADW41" s="1"/>
      <c r="ADX41" s="1"/>
      <c r="ADY41" s="1"/>
      <c r="ADZ41" s="1"/>
      <c r="AEA41" s="1"/>
      <c r="AEB41" s="1"/>
      <c r="AEC41" s="1"/>
      <c r="AED41" s="1"/>
      <c r="AEE41" s="1"/>
      <c r="AEF41" s="1"/>
      <c r="AEG41" s="1"/>
      <c r="AEH41" s="1"/>
      <c r="AEI41" s="1"/>
      <c r="AEJ41" s="1"/>
      <c r="AEK41" s="1"/>
      <c r="AEL41" s="1"/>
      <c r="AEM41" s="1"/>
      <c r="AEN41" s="1"/>
      <c r="AEO41" s="1"/>
      <c r="AEP41" s="1"/>
      <c r="AEQ41" s="1"/>
      <c r="AER41" s="1"/>
      <c r="AES41" s="1"/>
      <c r="AET41" s="1"/>
      <c r="AEU41" s="1"/>
      <c r="AEV41" s="1"/>
      <c r="AEW41" s="1"/>
      <c r="AEX41" s="1"/>
      <c r="AEY41" s="1"/>
      <c r="AEZ41" s="1"/>
      <c r="AFA41" s="1"/>
      <c r="AFB41" s="1"/>
      <c r="AFC41" s="1"/>
      <c r="AFD41" s="1"/>
      <c r="AFE41" s="1"/>
      <c r="AFF41" s="1"/>
      <c r="AFG41" s="1"/>
      <c r="AFH41" s="1"/>
      <c r="AFI41" s="1"/>
      <c r="AFJ41" s="1"/>
      <c r="AFK41" s="1"/>
      <c r="AFL41" s="1"/>
      <c r="AFM41" s="1"/>
      <c r="AFN41" s="1"/>
      <c r="AFO41" s="1"/>
      <c r="AFP41" s="1"/>
      <c r="AFQ41" s="1"/>
      <c r="AFR41" s="1"/>
      <c r="AFS41" s="1"/>
      <c r="AFT41" s="1"/>
      <c r="AFU41" s="1"/>
      <c r="AFV41" s="1"/>
      <c r="AFW41" s="1"/>
      <c r="AFX41" s="1"/>
      <c r="AFY41" s="1"/>
      <c r="AFZ41" s="1"/>
      <c r="AGA41" s="1"/>
      <c r="AGB41" s="1"/>
      <c r="AGC41" s="1"/>
      <c r="AGD41" s="1"/>
      <c r="AGE41" s="1"/>
      <c r="AGF41" s="1"/>
      <c r="AGG41" s="1"/>
      <c r="AGH41" s="1"/>
      <c r="AGI41" s="1"/>
      <c r="AGJ41" s="1"/>
      <c r="AGK41" s="1"/>
      <c r="AGL41" s="1"/>
      <c r="AGM41" s="1"/>
      <c r="AGN41" s="1"/>
      <c r="AGO41" s="1"/>
      <c r="AGP41" s="1"/>
      <c r="AGQ41" s="1"/>
      <c r="AGR41" s="1"/>
      <c r="AGS41" s="1"/>
      <c r="AGT41" s="1"/>
      <c r="AGU41" s="1"/>
      <c r="AGV41" s="1"/>
      <c r="AGW41" s="1"/>
      <c r="AGX41" s="1"/>
      <c r="AGY41" s="1"/>
      <c r="AGZ41" s="1"/>
      <c r="AHA41" s="1"/>
      <c r="AHB41" s="1"/>
      <c r="AHC41" s="1"/>
      <c r="AHD41" s="1"/>
      <c r="AHE41" s="1"/>
      <c r="AHF41" s="1"/>
      <c r="AHG41" s="1"/>
      <c r="AHH41" s="1"/>
      <c r="AHI41" s="1"/>
      <c r="AHJ41" s="1"/>
      <c r="AHK41" s="1"/>
      <c r="AHL41" s="1"/>
      <c r="AHM41" s="1"/>
      <c r="AHN41" s="1"/>
      <c r="AHO41" s="1"/>
      <c r="AHP41" s="1"/>
      <c r="AHQ41" s="1"/>
      <c r="AHR41" s="1"/>
      <c r="AHS41" s="1"/>
      <c r="AHT41" s="1"/>
      <c r="AHU41" s="1"/>
      <c r="AHV41" s="1"/>
      <c r="AHW41" s="1"/>
      <c r="AHX41" s="1"/>
      <c r="AHY41" s="1"/>
      <c r="AHZ41" s="1"/>
      <c r="AIA41" s="1"/>
      <c r="AIB41" s="1"/>
      <c r="AIC41" s="1"/>
      <c r="AID41" s="1"/>
      <c r="AIE41" s="1"/>
      <c r="AIF41" s="1"/>
      <c r="AIG41" s="1"/>
      <c r="AIH41" s="1"/>
      <c r="AII41" s="1"/>
      <c r="AIJ41" s="1"/>
      <c r="AIK41" s="1"/>
      <c r="AIL41" s="1"/>
      <c r="AIM41" s="1"/>
      <c r="AIN41" s="1"/>
      <c r="AIO41" s="1"/>
      <c r="AIP41" s="1"/>
      <c r="AIQ41" s="1"/>
      <c r="AIR41" s="1"/>
      <c r="AIS41" s="1"/>
      <c r="AIT41" s="1"/>
      <c r="AIU41" s="1"/>
      <c r="AIV41" s="1"/>
      <c r="AIW41" s="1"/>
      <c r="AIX41" s="1"/>
      <c r="AIY41" s="1"/>
      <c r="AIZ41" s="1"/>
      <c r="AJA41" s="1"/>
      <c r="AJB41" s="1"/>
      <c r="AJC41" s="1"/>
      <c r="AJD41" s="1"/>
      <c r="AJE41" s="1"/>
      <c r="AJF41" s="1"/>
      <c r="AJG41" s="1"/>
      <c r="AJH41" s="1"/>
      <c r="AJI41" s="1"/>
      <c r="AJJ41" s="1"/>
      <c r="AJK41" s="1"/>
      <c r="AJL41" s="1"/>
      <c r="AJM41" s="1"/>
      <c r="AJN41" s="1"/>
      <c r="AJO41" s="1"/>
      <c r="AJP41" s="1"/>
      <c r="AJQ41" s="1"/>
      <c r="AJR41" s="1"/>
      <c r="AJS41" s="1"/>
      <c r="AJT41" s="1"/>
      <c r="AJU41" s="1"/>
      <c r="AJV41" s="1"/>
      <c r="AJW41" s="1"/>
      <c r="AJX41" s="1"/>
      <c r="AJY41" s="1"/>
      <c r="AJZ41" s="1"/>
      <c r="AKA41" s="1"/>
      <c r="AKB41" s="1"/>
      <c r="AKC41" s="1"/>
      <c r="AKD41" s="1"/>
      <c r="AKE41" s="1"/>
      <c r="AKF41" s="1"/>
      <c r="AKG41" s="1"/>
      <c r="AKH41" s="1"/>
      <c r="AKI41" s="1"/>
      <c r="AKJ41" s="1"/>
      <c r="AKK41" s="1"/>
      <c r="AKL41" s="1"/>
      <c r="AKM41" s="1"/>
      <c r="AKN41" s="1"/>
      <c r="AKO41" s="1"/>
      <c r="AKP41" s="1"/>
      <c r="AKQ41" s="1"/>
      <c r="AKR41" s="1"/>
      <c r="AKS41" s="1"/>
      <c r="AKT41" s="1"/>
      <c r="AKU41" s="1"/>
      <c r="AKV41" s="1"/>
      <c r="AKW41" s="1"/>
      <c r="AKX41" s="1"/>
      <c r="AKY41" s="1"/>
      <c r="AKZ41" s="1"/>
      <c r="ALA41" s="1"/>
      <c r="ALB41" s="1"/>
      <c r="ALC41" s="1"/>
      <c r="ALD41" s="1"/>
      <c r="ALE41" s="1"/>
      <c r="ALF41" s="1"/>
      <c r="ALG41" s="1"/>
      <c r="ALH41" s="1"/>
      <c r="ALI41" s="1"/>
      <c r="ALJ41" s="1"/>
      <c r="ALK41" s="1"/>
      <c r="ALL41" s="1"/>
    </row>
    <row r="43" spans="1:1000" hidden="1">
      <c r="C43" t="str">
        <f ca="1">_xll.TM1RPTVIEW("tango_core_model:zz_process_reject_cpp:ARPT4", 1, _xll.TM1RPTTITLE("tango_core_model:}Processes",$D$46), _xll.TM1RPTTITLE("tango_core_model:zz_Date_Time_loading",$D$45), _xll.TM1RPTTITLE("tango_core_model:Period_YTD",$D$47), _xll.TM1RPTTITLE("tango_core_model:Phase",$D$48),TM1RPTFMTRNG,TM1RPTFMTIDCOL)</f>
        <v>tango_core_model:zz_process_reject_cpp:ARPT4</v>
      </c>
    </row>
    <row r="44" spans="1:1000" hidden="1"/>
    <row r="45" spans="1:1000" hidden="1">
      <c r="C45" s="29" t="s">
        <v>1</v>
      </c>
      <c r="D45" s="31" t="str">
        <f ca="1">D19</f>
        <v>2022-SEP-7</v>
      </c>
    </row>
    <row r="46" spans="1:1000" hidden="1">
      <c r="C46" s="29" t="s">
        <v>0</v>
      </c>
      <c r="D46" t="str">
        <f ca="1">_xll.SUBNM("tango_core_model:}Processes","","DL_ST_PL_YTD_ROLLOUT2")</f>
        <v>DL_ST_PL_YTD_ROLLOUT2</v>
      </c>
    </row>
    <row r="47" spans="1:1000" hidden="1">
      <c r="C47" s="29" t="s">
        <v>2</v>
      </c>
      <c r="D47" t="str">
        <f ca="1">D21</f>
        <v>2022.08_YTD</v>
      </c>
    </row>
    <row r="48" spans="1:1000" hidden="1">
      <c r="C48" s="29" t="s">
        <v>3</v>
      </c>
      <c r="D48" t="str">
        <f ca="1">D23</f>
        <v>ACT</v>
      </c>
    </row>
    <row r="49" spans="1:9" hidden="1"/>
    <row r="50" spans="1:9" ht="15.75">
      <c r="B50" s="15">
        <v>3</v>
      </c>
      <c r="C50" s="15" t="s">
        <v>17</v>
      </c>
    </row>
    <row r="51" spans="1:9">
      <c r="D51" s="6"/>
      <c r="E51" s="20" t="s">
        <v>23</v>
      </c>
      <c r="F51" s="5"/>
      <c r="G51" s="20" t="s">
        <v>49</v>
      </c>
      <c r="H51" s="20" t="s">
        <v>46</v>
      </c>
      <c r="I51" s="5"/>
    </row>
    <row r="52" spans="1:9">
      <c r="A52" s="37" t="str">
        <f ca="1">IF(_xll.TM1RPTELISCONSOLIDATED($D$52,$D52),IF(_xll.TM1RPTELLEV($D$52,$D52)&lt;=3,_xll.TM1RPTELLEV($D$52,$D52),"D"),"N")</f>
        <v>N</v>
      </c>
      <c r="B52" s="38"/>
      <c r="C52" s="35" t="str">
        <f ca="1">_xll.TM1RPTROW($C$43,"tango_core_model:}Chores","L0",,,,$E$10)</f>
        <v>DL_TANGO_FRANCE_P&amp;L</v>
      </c>
      <c r="D52" s="35" t="str">
        <f ca="1">_xll.TM1RPTROW($C$43,"tango_core_model:zz_Num_Lign","First 25")</f>
        <v>Line 1</v>
      </c>
      <c r="E52" s="9" t="str">
        <f ca="1">_xll.DBRW($C$43,$C52,$D$46,$D$45,$D52,$D$47,$D$48,E$51)</f>
        <v>The entity UP_COM does not exist in Tango. The line 29285 is not loaded in Tango.</v>
      </c>
      <c r="F52" s="8"/>
      <c r="G52" s="8" t="str">
        <f ca="1">_xll.DBRW($C$43,$C52,$D$46,$D$45,$D52,$D$47,$D$48,G$51)</f>
        <v>Please update the data file and reload data or contact Tango support if the entity is consolidated.</v>
      </c>
      <c r="H52" s="8"/>
      <c r="I52" s="8"/>
    </row>
    <row r="53" spans="1:9">
      <c r="A53" s="37" t="str">
        <f ca="1">IF(_xll.TM1RPTELISCONSOLIDATED($D$52,$D53),IF(_xll.TM1RPTELLEV($D$52,$D53)&lt;=3,_xll.TM1RPTELLEV($D$52,$D53),"D"),"N")</f>
        <v>N</v>
      </c>
      <c r="B53" s="38"/>
      <c r="C53" s="53" t="s">
        <v>6</v>
      </c>
      <c r="D53" s="35" t="s">
        <v>53</v>
      </c>
      <c r="E53" s="9" t="str">
        <f ca="1">_xll.DBRW($C$43,$C53,$D$46,$D$45,$D53,$D$47,$D$48,E$51)</f>
        <v>The entity UP_COM does not exist in Tango. The line 29286 is not loaded in Tango.</v>
      </c>
      <c r="F53" s="8"/>
      <c r="G53" s="8" t="str">
        <f ca="1">_xll.DBRW($C$43,$C53,$D$46,$D$45,$D53,$D$47,$D$48,G$51)</f>
        <v>Please update the data file and reload data or contact Tango support if the entity is consolidated.</v>
      </c>
      <c r="H53" s="8"/>
      <c r="I53" s="8"/>
    </row>
    <row r="54" spans="1:9">
      <c r="A54" s="37" t="str">
        <f ca="1">IF(_xll.TM1RPTELISCONSOLIDATED($D$52,$D54),IF(_xll.TM1RPTELLEV($D$52,$D54)&lt;=3,_xll.TM1RPTELLEV($D$52,$D54),"D"),"N")</f>
        <v>N</v>
      </c>
      <c r="B54" s="38"/>
      <c r="C54" s="53" t="s">
        <v>6</v>
      </c>
      <c r="D54" s="35" t="s">
        <v>62</v>
      </c>
      <c r="E54" s="9" t="str">
        <f ca="1">_xll.DBRW($C$43,$C54,$D$46,$D$45,$D54,$D$47,$D$48,E$51)</f>
        <v>The entity UP_COM does not exist in Tango. The line 29287 is not loaded in Tango.</v>
      </c>
      <c r="F54" s="8"/>
      <c r="G54" s="8" t="str">
        <f ca="1">_xll.DBRW($C$43,$C54,$D$46,$D$45,$D54,$D$47,$D$48,G$51)</f>
        <v>Please update the data file and reload data or contact Tango support if the entity is consolidated.</v>
      </c>
      <c r="H54" s="8"/>
      <c r="I54" s="8"/>
    </row>
    <row r="55" spans="1:9">
      <c r="A55" s="37" t="str">
        <f ca="1">IF(_xll.TM1RPTELISCONSOLIDATED($D$52,$D55),IF(_xll.TM1RPTELLEV($D$52,$D55)&lt;=3,_xll.TM1RPTELLEV($D$52,$D55),"D"),"N")</f>
        <v>N</v>
      </c>
      <c r="B55" s="38"/>
      <c r="C55" s="53" t="s">
        <v>6</v>
      </c>
      <c r="D55" s="35" t="s">
        <v>63</v>
      </c>
      <c r="E55" s="9" t="str">
        <f ca="1">_xll.DBRW($C$43,$C55,$D$46,$D$45,$D55,$D$47,$D$48,E$51)</f>
        <v>The entity UP_COM does not exist in Tango. The line 29288 is not loaded in Tango.</v>
      </c>
      <c r="F55" s="8"/>
      <c r="G55" s="8" t="str">
        <f ca="1">_xll.DBRW($C$43,$C55,$D$46,$D$45,$D55,$D$47,$D$48,G$51)</f>
        <v>Please update the data file and reload data or contact Tango support if the entity is consolidated.</v>
      </c>
      <c r="H55" s="8"/>
      <c r="I55" s="8"/>
    </row>
    <row r="56" spans="1:9">
      <c r="A56" s="37" t="str">
        <f ca="1">IF(_xll.TM1RPTELISCONSOLIDATED($D$52,$D56),IF(_xll.TM1RPTELLEV($D$52,$D56)&lt;=3,_xll.TM1RPTELLEV($D$52,$D56),"D"),"N")</f>
        <v>N</v>
      </c>
      <c r="B56" s="38"/>
      <c r="C56" s="53" t="s">
        <v>6</v>
      </c>
      <c r="D56" s="35" t="s">
        <v>64</v>
      </c>
      <c r="E56" s="9" t="str">
        <f ca="1">_xll.DBRW($C$43,$C56,$D$46,$D$45,$D56,$D$47,$D$48,E$51)</f>
        <v>The entity UP_GAR does not exist in Tango. The line 29289 is not loaded in Tango.</v>
      </c>
      <c r="F56" s="8"/>
      <c r="G56" s="8" t="str">
        <f ca="1">_xll.DBRW($C$43,$C56,$D$46,$D$45,$D56,$D$47,$D$48,G$51)</f>
        <v>Please update the data file and reload data or contact Tango support if the entity is consolidated.</v>
      </c>
      <c r="H56" s="8"/>
      <c r="I56" s="8"/>
    </row>
    <row r="57" spans="1:9">
      <c r="A57" s="37" t="str">
        <f ca="1">IF(_xll.TM1RPTELISCONSOLIDATED($D$52,$D57),IF(_xll.TM1RPTELLEV($D$52,$D57)&lt;=3,_xll.TM1RPTELLEV($D$52,$D57),"D"),"N")</f>
        <v>N</v>
      </c>
      <c r="B57" s="38"/>
      <c r="C57" s="53" t="s">
        <v>6</v>
      </c>
      <c r="D57" s="35" t="s">
        <v>65</v>
      </c>
      <c r="E57" s="9" t="str">
        <f ca="1">_xll.DBRW($C$43,$C57,$D$46,$D$45,$D57,$D$47,$D$48,E$51)</f>
        <v>The entity UP_GAR does not exist in Tango. The line 29290 is not loaded in Tango.</v>
      </c>
      <c r="F57" s="8"/>
      <c r="G57" s="8" t="str">
        <f ca="1">_xll.DBRW($C$43,$C57,$D$46,$D$45,$D57,$D$47,$D$48,G$51)</f>
        <v>Please update the data file and reload data or contact Tango support if the entity is consolidated.</v>
      </c>
      <c r="H57" s="8"/>
      <c r="I57" s="8"/>
    </row>
    <row r="58" spans="1:9">
      <c r="A58" s="37" t="str">
        <f ca="1">IF(_xll.TM1RPTELISCONSOLIDATED($D$52,$D58),IF(_xll.TM1RPTELLEV($D$52,$D58)&lt;=3,_xll.TM1RPTELLEV($D$52,$D58),"D"),"N")</f>
        <v>N</v>
      </c>
      <c r="B58" s="38"/>
      <c r="C58" s="53" t="s">
        <v>6</v>
      </c>
      <c r="D58" s="35" t="s">
        <v>66</v>
      </c>
      <c r="E58" s="9" t="str">
        <f ca="1">_xll.DBRW($C$43,$C58,$D$46,$D$45,$D58,$D$47,$D$48,E$51)</f>
        <v>The entity UP_GAR does not exist in Tango. The line 29291 is not loaded in Tango.</v>
      </c>
      <c r="F58" s="8"/>
      <c r="G58" s="8" t="str">
        <f ca="1">_xll.DBRW($C$43,$C58,$D$46,$D$45,$D58,$D$47,$D$48,G$51)</f>
        <v>Please update the data file and reload data or contact Tango support if the entity is consolidated.</v>
      </c>
      <c r="H58" s="8"/>
      <c r="I58" s="8"/>
    </row>
    <row r="59" spans="1:9" hidden="1"/>
    <row r="60" spans="1:9" hidden="1"/>
    <row r="61" spans="1:9" hidden="1">
      <c r="C61" t="str">
        <f ca="1">_xll.TM1RPTVIEW("tango_core_model:zz_Process_Reject_By_Source:ARPT3", 1, _xll.TM1RPTTITLE("tango_core_model:zz_Process_Source",$D$64), _xll.TM1RPTTITLE("tango_core_model:zz_Date_Time_loading",$D$63),TM1RPTFMTRNG,TM1RPTFMTIDCOL)</f>
        <v>tango_core_model:zz_Process_Reject_By_Source:ARPT3</v>
      </c>
    </row>
    <row r="62" spans="1:9" hidden="1"/>
    <row r="63" spans="1:9" hidden="1">
      <c r="C63" s="29" t="s">
        <v>1</v>
      </c>
      <c r="D63" s="31" t="str">
        <f ca="1">D19</f>
        <v>2022-SEP-7</v>
      </c>
    </row>
    <row r="64" spans="1:9" hidden="1">
      <c r="C64" s="29" t="s">
        <v>48</v>
      </c>
      <c r="D64" t="str">
        <f ca="1">D17</f>
        <v>TANGO_FRANCE</v>
      </c>
    </row>
    <row r="65" spans="1:9" hidden="1"/>
    <row r="66" spans="1:9" hidden="1"/>
    <row r="67" spans="1:9" hidden="1">
      <c r="D67" s="6"/>
      <c r="E67" s="20" t="s">
        <v>23</v>
      </c>
      <c r="F67" s="5"/>
      <c r="G67" s="20" t="s">
        <v>49</v>
      </c>
      <c r="H67" s="20" t="s">
        <v>46</v>
      </c>
      <c r="I67" s="5"/>
    </row>
    <row r="68" spans="1:9">
      <c r="A68" s="37" t="str">
        <f ca="1">IF(_xll.TM1RPTELISCONSOLIDATED($D$68,$D68),IF(_xll.TM1RPTELLEV($D$68,$D68)&lt;=3,_xll.TM1RPTELLEV($D$68,$D68),"D"),"N")</f>
        <v>N</v>
      </c>
      <c r="B68" s="38"/>
      <c r="C68" s="35" t="str">
        <f ca="1">_xll.TM1RPTROW($C$61,"tango_core_model:}Processes")</f>
        <v/>
      </c>
      <c r="D68" s="35" t="str">
        <f ca="1">_xll.TM1RPTROW($C$61,"tango_core_model:zz_Num_Lign","First 25")</f>
        <v/>
      </c>
      <c r="E68" s="9" t="str">
        <f ca="1">_xll.DBRW($C$61,$D$64,$C68,$D$63,$D68,E$67)</f>
        <v/>
      </c>
      <c r="F68" s="8"/>
      <c r="G68" s="8" t="str">
        <f ca="1">_xll.DBRW($C$61,$D$64,$C68,$D$63,$D68,G$67)</f>
        <v/>
      </c>
      <c r="H68" s="8" t="str">
        <f ca="1">_xll.DBRW($C$61,$D$64,$C68,$D$63,$D68,H$67)</f>
        <v/>
      </c>
      <c r="I68" s="8"/>
    </row>
    <row r="73" spans="1:9" hidden="1" outlineLevel="1"/>
    <row r="74" spans="1:9" hidden="1" outlineLevel="1">
      <c r="B74" t="str">
        <f ca="1">_xll.TM1RPTVIEW("tango_core_model:zz_process_detail_cpp:ARPT1", 1, _xll.TM1RPTTITLE("tango_core_model:}Processes",$C$76), _xll.TM1RPTTITLE("tango_core_model:Period_YTD",$C$77), _xll.TM1RPTTITLE("tango_core_model:Phase",$C$78),TM1RPTFMTRNG,TM1RPTFMTIDCOL)</f>
        <v>tango_core_model:zz_process_detail_cpp:ARPT1</v>
      </c>
    </row>
    <row r="75" spans="1:9" hidden="1" outlineLevel="1"/>
    <row r="76" spans="1:9" hidden="1" outlineLevel="1">
      <c r="B76" s="29" t="s">
        <v>0</v>
      </c>
      <c r="C76" t="str">
        <f ca="1">_xll.SUBNM("tango_core_model:}Processes","","DL_ST_PL_YTD_ROLLOUT2")</f>
        <v>DL_ST_PL_YTD_ROLLOUT2</v>
      </c>
    </row>
    <row r="77" spans="1:9" hidden="1" outlineLevel="1">
      <c r="B77" s="29" t="s">
        <v>2</v>
      </c>
      <c r="C77" t="str">
        <f ca="1">D21</f>
        <v>2022.08_YTD</v>
      </c>
    </row>
    <row r="78" spans="1:9" hidden="1" outlineLevel="1">
      <c r="B78" s="29" t="s">
        <v>3</v>
      </c>
      <c r="C78" t="str">
        <f ca="1">D23</f>
        <v>ACT</v>
      </c>
    </row>
    <row r="79" spans="1:9" hidden="1" outlineLevel="1"/>
    <row r="80" spans="1:9" hidden="1" outlineLevel="1"/>
    <row r="81" spans="1:9" hidden="1" outlineLevel="1">
      <c r="C81" s="12"/>
      <c r="D81" s="32" t="s">
        <v>45</v>
      </c>
      <c r="E81" s="50"/>
      <c r="F81" s="51"/>
      <c r="G81" s="50"/>
      <c r="H81" s="51"/>
      <c r="I81" s="52"/>
    </row>
    <row r="82" spans="1:9" hidden="1" outlineLevel="1">
      <c r="A82" s="41" t="str">
        <f ca="1">IF(_xll.TM1RPTELISCONSOLIDATED($C$82,$C82),IF(_xll.TM1RPTELLEV($C$82,$C82)&lt;=3,_xll.TM1RPTELLEV($C$82,$C82),"D"),"H")</f>
        <v>H</v>
      </c>
      <c r="B82" s="42" t="str">
        <f ca="1">_xll.TM1RPTROW($B$74,"tango_core_model:}Chores","L0",,,,$E$10)</f>
        <v>DL_TANGO_FRANCE_OPE</v>
      </c>
      <c r="C82" s="42" t="str">
        <f ca="1">_xll.TM1RPTROW($B$74,"tango_core_model:zz_Date_Time_loading","L0")</f>
        <v>2022-SEP-7</v>
      </c>
      <c r="D82" s="48" t="str">
        <f ca="1">_xll.DBRW($B$74,$B82,$C$76,$C82,$C$77,$C$78,D$81)</f>
        <v>2022-SEP-7 22:30:03</v>
      </c>
      <c r="E82" s="48"/>
      <c r="F82" s="49"/>
      <c r="G82" s="49"/>
      <c r="H82" s="49"/>
      <c r="I82" s="49"/>
    </row>
    <row r="83" spans="1:9" outlineLevel="1">
      <c r="A83" s="41" t="str">
        <f ca="1">IF(_xll.TM1RPTELISCONSOLIDATED($C$82,$C83),IF(_xll.TM1RPTELLEV($C$82,$C83)&lt;=3,_xll.TM1RPTELLEV($C$82,$C83),"D"),"H")</f>
        <v>H</v>
      </c>
      <c r="B83" s="43" t="s">
        <v>5</v>
      </c>
      <c r="C83" s="42" t="s">
        <v>55</v>
      </c>
      <c r="D83" s="48" t="str">
        <f ca="1">_xll.DBRW($B$74,$B83,$C$76,$C83,$C$77,$C$78,D$81)</f>
        <v>2022-SEP-6 22:30:03</v>
      </c>
      <c r="E83" s="48"/>
      <c r="F83" s="49"/>
      <c r="G83" s="49"/>
      <c r="H83" s="49"/>
      <c r="I83" s="49"/>
    </row>
    <row r="84" spans="1:9" outlineLevel="1">
      <c r="A84" s="41" t="str">
        <f ca="1">IF(_xll.TM1RPTELISCONSOLIDATED($C$82,$C84),IF(_xll.TM1RPTELLEV($C$82,$C84)&lt;=3,_xll.TM1RPTELLEV($C$82,$C84),"D"),"H")</f>
        <v>H</v>
      </c>
      <c r="B84" s="43" t="s">
        <v>5</v>
      </c>
      <c r="C84" s="42" t="s">
        <v>56</v>
      </c>
      <c r="D84" s="48" t="str">
        <f ca="1">_xll.DBRW($B$74,$B84,$C$76,$C84,$C$77,$C$78,D$81)</f>
        <v>2022-SEP-5 22:30:03</v>
      </c>
      <c r="E84" s="48"/>
      <c r="F84" s="49"/>
      <c r="G84" s="49"/>
      <c r="H84" s="49"/>
      <c r="I84" s="49"/>
    </row>
    <row r="85" spans="1:9" outlineLevel="1">
      <c r="A85" s="41" t="str">
        <f ca="1">IF(_xll.TM1RPTELISCONSOLIDATED($C$82,$C85),IF(_xll.TM1RPTELLEV($C$82,$C85)&lt;=3,_xll.TM1RPTELLEV($C$82,$C85),"D"),"H")</f>
        <v>H</v>
      </c>
      <c r="B85" s="43" t="s">
        <v>5</v>
      </c>
      <c r="C85" s="42" t="s">
        <v>57</v>
      </c>
      <c r="D85" s="48" t="str">
        <f ca="1">_xll.DBRW($B$74,$B85,$C$76,$C85,$C$77,$C$78,D$81)</f>
        <v>2022-SEP-4 22:30:02</v>
      </c>
      <c r="E85" s="48"/>
      <c r="F85" s="49"/>
      <c r="G85" s="49"/>
      <c r="H85" s="49"/>
      <c r="I85" s="49"/>
    </row>
    <row r="86" spans="1:9" outlineLevel="1">
      <c r="A86" s="41" t="str">
        <f ca="1">IF(_xll.TM1RPTELISCONSOLIDATED($C$82,$C86),IF(_xll.TM1RPTELLEV($C$82,$C86)&lt;=3,_xll.TM1RPTELLEV($C$82,$C86),"D"),"H")</f>
        <v>H</v>
      </c>
      <c r="B86" s="43" t="s">
        <v>5</v>
      </c>
      <c r="C86" s="42" t="s">
        <v>58</v>
      </c>
      <c r="D86" s="48" t="str">
        <f ca="1">_xll.DBRW($B$74,$B86,$C$76,$C86,$C$77,$C$78,D$81)</f>
        <v>2022-SEP-3 22:30:00</v>
      </c>
      <c r="E86" s="48"/>
      <c r="F86" s="49"/>
      <c r="G86" s="49"/>
      <c r="H86" s="49"/>
      <c r="I86" s="49"/>
    </row>
    <row r="87" spans="1:9" outlineLevel="1">
      <c r="A87" s="41" t="str">
        <f ca="1">IF(_xll.TM1RPTELISCONSOLIDATED($C$82,$C87),IF(_xll.TM1RPTELLEV($C$82,$C87)&lt;=3,_xll.TM1RPTELLEV($C$82,$C87),"D"),"H")</f>
        <v>H</v>
      </c>
      <c r="B87" s="43" t="s">
        <v>5</v>
      </c>
      <c r="C87" s="42" t="s">
        <v>59</v>
      </c>
      <c r="D87" s="48" t="str">
        <f ca="1">_xll.DBRW($B$74,$B87,$C$76,$C87,$C$77,$C$78,D$81)</f>
        <v>2022-SEP-2 22:30:00</v>
      </c>
      <c r="E87" s="48"/>
      <c r="F87" s="49"/>
      <c r="G87" s="49"/>
      <c r="H87" s="49"/>
      <c r="I87" s="49"/>
    </row>
    <row r="88" spans="1:9" outlineLevel="1">
      <c r="A88" s="41" t="str">
        <f ca="1">IF(_xll.TM1RPTELISCONSOLIDATED($C$82,$C88),IF(_xll.TM1RPTELLEV($C$82,$C88)&lt;=3,_xll.TM1RPTELLEV($C$82,$C88),"D"),"H")</f>
        <v>H</v>
      </c>
      <c r="B88" s="43" t="s">
        <v>5</v>
      </c>
      <c r="C88" s="42" t="s">
        <v>60</v>
      </c>
      <c r="D88" s="48" t="str">
        <f ca="1">_xll.DBRW($B$74,$B88,$C$76,$C88,$C$77,$C$78,D$81)</f>
        <v>2022-SEP-1 22:30:03</v>
      </c>
      <c r="E88" s="48"/>
      <c r="F88" s="49"/>
      <c r="G88" s="49"/>
      <c r="H88" s="49"/>
      <c r="I88" s="49"/>
    </row>
    <row r="89" spans="1:9" outlineLevel="1">
      <c r="A89" s="41" t="str">
        <f ca="1">IF(_xll.TM1RPTELISCONSOLIDATED($C$82,$C89),IF(_xll.TM1RPTELLEV($C$82,$C89)&lt;=3,_xll.TM1RPTELLEV($C$82,$C89),"D"),"H")</f>
        <v>H</v>
      </c>
      <c r="B89" s="42" t="s">
        <v>6</v>
      </c>
      <c r="C89" s="42" t="s">
        <v>61</v>
      </c>
      <c r="D89" s="48" t="str">
        <f ca="1">_xll.DBRW($B$74,$B89,$C$76,$C89,$C$77,$C$78,D$81)</f>
        <v>2022-SEP-7 22:35:00</v>
      </c>
      <c r="E89" s="48"/>
      <c r="F89" s="49"/>
      <c r="G89" s="49"/>
      <c r="H89" s="49"/>
      <c r="I89" s="49"/>
    </row>
    <row r="90" spans="1:9" outlineLevel="1">
      <c r="A90" s="41" t="str">
        <f ca="1">IF(_xll.TM1RPTELISCONSOLIDATED($C$82,$C90),IF(_xll.TM1RPTELLEV($C$82,$C90)&lt;=3,_xll.TM1RPTELLEV($C$82,$C90),"D"),"H")</f>
        <v>H</v>
      </c>
      <c r="B90" s="43" t="s">
        <v>6</v>
      </c>
      <c r="C90" s="42" t="s">
        <v>55</v>
      </c>
      <c r="D90" s="48" t="str">
        <f ca="1">_xll.DBRW($B$74,$B90,$C$76,$C90,$C$77,$C$78,D$81)</f>
        <v>2022-SEP-6 22:35:00</v>
      </c>
      <c r="E90" s="48"/>
      <c r="F90" s="49"/>
      <c r="G90" s="49"/>
      <c r="H90" s="49"/>
      <c r="I90" s="49"/>
    </row>
    <row r="91" spans="1:9" outlineLevel="1">
      <c r="A91" s="41" t="str">
        <f ca="1">IF(_xll.TM1RPTELISCONSOLIDATED($C$82,$C91),IF(_xll.TM1RPTELLEV($C$82,$C91)&lt;=3,_xll.TM1RPTELLEV($C$82,$C91),"D"),"H")</f>
        <v>H</v>
      </c>
      <c r="B91" s="43" t="s">
        <v>6</v>
      </c>
      <c r="C91" s="42" t="s">
        <v>56</v>
      </c>
      <c r="D91" s="48" t="str">
        <f ca="1">_xll.DBRW($B$74,$B91,$C$76,$C91,$C$77,$C$78,D$81)</f>
        <v>2022-SEP-5 22:35:03</v>
      </c>
      <c r="E91" s="48"/>
      <c r="F91" s="49"/>
      <c r="G91" s="49"/>
      <c r="H91" s="49"/>
      <c r="I91" s="49"/>
    </row>
    <row r="92" spans="1:9" outlineLevel="1">
      <c r="A92" s="41" t="str">
        <f ca="1">IF(_xll.TM1RPTELISCONSOLIDATED($C$82,$C92),IF(_xll.TM1RPTELLEV($C$82,$C92)&lt;=3,_xll.TM1RPTELLEV($C$82,$C92),"D"),"H")</f>
        <v>H</v>
      </c>
      <c r="B92" s="43" t="s">
        <v>6</v>
      </c>
      <c r="C92" s="42" t="s">
        <v>57</v>
      </c>
      <c r="D92" s="48" t="str">
        <f ca="1">_xll.DBRW($B$74,$B92,$C$76,$C92,$C$77,$C$78,D$81)</f>
        <v>2022-SEP-4 22:35:02</v>
      </c>
      <c r="E92" s="48"/>
      <c r="F92" s="49"/>
      <c r="G92" s="49"/>
      <c r="H92" s="49"/>
      <c r="I92" s="49"/>
    </row>
    <row r="93" spans="1:9" outlineLevel="1">
      <c r="A93" s="41" t="str">
        <f ca="1">IF(_xll.TM1RPTELISCONSOLIDATED($C$82,$C93),IF(_xll.TM1RPTELLEV($C$82,$C93)&lt;=3,_xll.TM1RPTELLEV($C$82,$C93),"D"),"H")</f>
        <v>H</v>
      </c>
      <c r="B93" s="43" t="s">
        <v>6</v>
      </c>
      <c r="C93" s="42" t="s">
        <v>58</v>
      </c>
      <c r="D93" s="48" t="str">
        <f ca="1">_xll.DBRW($B$74,$B93,$C$76,$C93,$C$77,$C$78,D$81)</f>
        <v>2022-SEP-3 22:35:00</v>
      </c>
      <c r="E93" s="48"/>
      <c r="F93" s="49"/>
      <c r="G93" s="49"/>
      <c r="H93" s="49"/>
      <c r="I93" s="49"/>
    </row>
    <row r="94" spans="1:9" outlineLevel="1">
      <c r="A94" s="41" t="str">
        <f ca="1">IF(_xll.TM1RPTELISCONSOLIDATED($C$82,$C94),IF(_xll.TM1RPTELLEV($C$82,$C94)&lt;=3,_xll.TM1RPTELLEV($C$82,$C94),"D"),"H")</f>
        <v>H</v>
      </c>
      <c r="B94" s="43" t="s">
        <v>6</v>
      </c>
      <c r="C94" s="42" t="s">
        <v>59</v>
      </c>
      <c r="D94" s="48" t="str">
        <f ca="1">_xll.DBRW($B$74,$B94,$C$76,$C94,$C$77,$C$78,D$81)</f>
        <v>2022-SEP-2 22:35:03</v>
      </c>
      <c r="E94" s="48"/>
      <c r="F94" s="49"/>
      <c r="G94" s="49"/>
      <c r="H94" s="49"/>
      <c r="I94" s="49"/>
    </row>
    <row r="95" spans="1:9" outlineLevel="1">
      <c r="A95" s="41" t="str">
        <f ca="1">IF(_xll.TM1RPTELISCONSOLIDATED($C$82,$C95),IF(_xll.TM1RPTELLEV($C$82,$C95)&lt;=3,_xll.TM1RPTELLEV($C$82,$C95),"D"),"H")</f>
        <v>H</v>
      </c>
      <c r="B95" s="43" t="s">
        <v>6</v>
      </c>
      <c r="C95" s="42" t="s">
        <v>60</v>
      </c>
      <c r="D95" s="48" t="str">
        <f ca="1">_xll.DBRW($B$74,$B95,$C$76,$C95,$C$77,$C$78,D$81)</f>
        <v>2022-SEP-1 22:35:02</v>
      </c>
      <c r="E95" s="48"/>
      <c r="F95" s="49"/>
      <c r="G95" s="49"/>
      <c r="H95" s="49"/>
      <c r="I95" s="49"/>
    </row>
    <row r="96" spans="1:9" hidden="1" outlineLevel="1"/>
    <row r="97" hidden="1" outlineLevel="1"/>
    <row r="98" collapsed="1"/>
  </sheetData>
  <mergeCells count="1">
    <mergeCell ref="B13:I15"/>
  </mergeCells>
  <conditionalFormatting sqref="I8 I96:I1027 I30 I71:I80 I59 I10:I27 I40:I42">
    <cfRule type="containsText" dxfId="77" priority="989" operator="containsText" text="KO">
      <formula>NOT(ISERROR(SEARCH("KO",I8)))</formula>
    </cfRule>
    <cfRule type="containsText" dxfId="76" priority="990" operator="containsText" text="OK">
      <formula>NOT(ISERROR(SEARCH("OK",I8)))</formula>
    </cfRule>
  </conditionalFormatting>
  <conditionalFormatting sqref="I81">
    <cfRule type="containsText" dxfId="75" priority="861" operator="containsText" text="KO">
      <formula>NOT(ISERROR(SEARCH("KO",I81)))</formula>
    </cfRule>
    <cfRule type="containsText" dxfId="74" priority="862" operator="containsText" text="OK">
      <formula>NOT(ISERROR(SEARCH("OK",I81)))</formula>
    </cfRule>
  </conditionalFormatting>
  <conditionalFormatting sqref="I9">
    <cfRule type="containsText" dxfId="73" priority="631" operator="containsText" text="KO">
      <formula>NOT(ISERROR(SEARCH("KO",I9)))</formula>
    </cfRule>
    <cfRule type="containsText" dxfId="72" priority="632" operator="containsText" text="OK">
      <formula>NOT(ISERROR(SEARCH("OK",I9)))</formula>
    </cfRule>
  </conditionalFormatting>
  <conditionalFormatting sqref="I37">
    <cfRule type="containsText" dxfId="71" priority="823" operator="containsText" text="KO">
      <formula>NOT(ISERROR(SEARCH("KO",I37)))</formula>
    </cfRule>
    <cfRule type="containsText" dxfId="70" priority="824" operator="containsText" text="OK">
      <formula>NOT(ISERROR(SEARCH("OK",I37)))</formula>
    </cfRule>
  </conditionalFormatting>
  <conditionalFormatting sqref="I3:I6">
    <cfRule type="containsText" dxfId="69" priority="633" operator="containsText" text="KO">
      <formula>NOT(ISERROR(SEARCH("KO",I3)))</formula>
    </cfRule>
    <cfRule type="containsText" dxfId="68" priority="634" operator="containsText" text="OK">
      <formula>NOT(ISERROR(SEARCH("OK",I3)))</formula>
    </cfRule>
  </conditionalFormatting>
  <conditionalFormatting sqref="I7">
    <cfRule type="containsText" dxfId="67" priority="121" operator="containsText" text="KO">
      <formula>NOT(ISERROR(SEARCH("KO",I7)))</formula>
    </cfRule>
    <cfRule type="containsText" dxfId="66" priority="122" operator="containsText" text="OK">
      <formula>NOT(ISERROR(SEARCH("OK",I7)))</formula>
    </cfRule>
  </conditionalFormatting>
  <conditionalFormatting sqref="I68">
    <cfRule type="containsText" dxfId="61" priority="63" operator="containsText" text="KO">
      <formula>NOT(ISERROR(SEARCH("KO",I68)))</formula>
    </cfRule>
    <cfRule type="containsText" dxfId="60" priority="64" operator="containsText" text="OK">
      <formula>NOT(ISERROR(SEARCH("OK",I68)))</formula>
    </cfRule>
  </conditionalFormatting>
  <conditionalFormatting sqref="I82:I95">
    <cfRule type="containsText" dxfId="13" priority="13" operator="containsText" text="KO">
      <formula>NOT(ISERROR(SEARCH("KO",I82)))</formula>
    </cfRule>
    <cfRule type="containsText" dxfId="12" priority="14" operator="containsText" text="OK">
      <formula>NOT(ISERROR(SEARCH("OK",I82)))</formula>
    </cfRule>
  </conditionalFormatting>
  <conditionalFormatting sqref="I52:I58">
    <cfRule type="containsText" dxfId="9" priority="9" operator="containsText" text="KO">
      <formula>NOT(ISERROR(SEARCH("KO",I52)))</formula>
    </cfRule>
    <cfRule type="containsText" dxfId="8" priority="10" operator="containsText" text="OK">
      <formula>NOT(ISERROR(SEARCH("OK",I52)))</formula>
    </cfRule>
  </conditionalFormatting>
  <conditionalFormatting sqref="I38:I39">
    <cfRule type="containsText" dxfId="5" priority="5" operator="containsText" text="KO">
      <formula>NOT(ISERROR(SEARCH("KO",I38)))</formula>
    </cfRule>
    <cfRule type="containsText" dxfId="4" priority="6" operator="containsText" text="OK">
      <formula>NOT(ISERROR(SEARCH("OK",I38)))</formula>
    </cfRule>
  </conditionalFormatting>
  <conditionalFormatting sqref="I28:I29">
    <cfRule type="containsText" dxfId="1" priority="1" operator="containsText" text="KO">
      <formula>NOT(ISERROR(SEARCH("KO",I28)))</formula>
    </cfRule>
    <cfRule type="containsText" dxfId="0" priority="2" operator="containsText" text="OK">
      <formula>NOT(ISERROR(SEARCH("OK",I28)))</formula>
    </cfRule>
  </conditionalFormatting>
  <dataValidations count="4">
    <dataValidation showDropDown="1" showInputMessage="1" showErrorMessage="1" sqref="G19 D21"/>
    <dataValidation type="list" allowBlank="1" showInputMessage="1" showErrorMessage="1" sqref="E19:E20">
      <formula1>#REF!</formula1>
    </dataValidation>
    <dataValidation type="list" allowBlank="1" showInputMessage="1" showErrorMessage="1" sqref="D12 D16 F20:G20 D22">
      <formula1>#REF!</formula1>
    </dataValidation>
    <dataValidation type="list" allowBlank="1" showInputMessage="1" showErrorMessage="1" sqref="D23">
      <formula1>Phase_List</formula1>
    </dataValidation>
  </dataValidation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8F41DDFC12A047B89ADFEAFA8CA40C" ma:contentTypeVersion="18" ma:contentTypeDescription="Crée un document." ma:contentTypeScope="" ma:versionID="1f7140a7bbedc0c2710b5bb791715270">
  <xsd:schema xmlns:xsd="http://www.w3.org/2001/XMLSchema" xmlns:xs="http://www.w3.org/2001/XMLSchema" xmlns:p="http://schemas.microsoft.com/office/2006/metadata/properties" xmlns:ns2="37c46d26-95e5-4380-a06b-df42f7fe1bef" xmlns:ns3="7ab32658-e8b5-4d7e-b280-1fb722dd2be1" targetNamespace="http://schemas.microsoft.com/office/2006/metadata/properties" ma:root="true" ma:fieldsID="99e5fd3a55f4560dcbc440286aaed2a9" ns2:_="" ns3:_="">
    <xsd:import namespace="37c46d26-95e5-4380-a06b-df42f7fe1bef"/>
    <xsd:import namespace="7ab32658-e8b5-4d7e-b280-1fb722dd2be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c46d26-95e5-4380-a06b-df42f7fe1b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b32658-e8b5-4d7e-b280-1fb722dd2be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b49a2378-73c7-4e4c-bff8-b85a2f404b86" ContentTypeId="0x0101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ED66BEE-CFBC-4F5E-A12D-4507A31A6B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7c46d26-95e5-4380-a06b-df42f7fe1bef"/>
    <ds:schemaRef ds:uri="7ab32658-e8b5-4d7e-b280-1fb722dd2be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DDE55A6-0099-4DE4-844D-5003A03D9045}">
  <ds:schemaRefs>
    <ds:schemaRef ds:uri="Microsoft.SharePoint.Taxonomy.ContentTypeSync"/>
  </ds:schemaRefs>
</ds:datastoreItem>
</file>

<file path=customXml/itemProps3.xml><?xml version="1.0" encoding="utf-8"?>
<ds:datastoreItem xmlns:ds="http://schemas.openxmlformats.org/officeDocument/2006/customXml" ds:itemID="{0F2E2DDD-9DD0-404A-97C4-40B39B582369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D869B577-1F5E-4A6D-BF5A-1C1745E6EFD7}">
  <ds:schemaRefs>
    <ds:schemaRef ds:uri="http://schemas.microsoft.com/office/infopath/2007/PartnerControls"/>
    <ds:schemaRef ds:uri="http://www.w3.org/XML/1998/namespace"/>
    <ds:schemaRef ds:uri="http://purl.org/dc/terms/"/>
    <ds:schemaRef ds:uri="http://purl.org/dc/elements/1.1/"/>
    <ds:schemaRef ds:uri="http://purl.org/dc/dcmitype/"/>
    <ds:schemaRef ds:uri="http://schemas.microsoft.com/office/2006/metadata/properties"/>
    <ds:schemaRef ds:uri="7ab32658-e8b5-4d7e-b280-1fb722dd2be1"/>
    <ds:schemaRef ds:uri="http://schemas.openxmlformats.org/package/2006/metadata/core-properties"/>
    <ds:schemaRef ds:uri="http://schemas.microsoft.com/office/2006/documentManagement/types"/>
    <ds:schemaRef ds:uri="37c46d26-95e5-4380-a06b-df42f7fe1b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18</vt:i4>
      </vt:variant>
    </vt:vector>
  </HeadingPairs>
  <TitlesOfParts>
    <vt:vector size="20" baseType="lpstr">
      <vt:lpstr>Context</vt:lpstr>
      <vt:lpstr>Process Reject CPP</vt:lpstr>
      <vt:lpstr>Month_Actual</vt:lpstr>
      <vt:lpstr>Month_Actual_YTD</vt:lpstr>
      <vt:lpstr>Period_YTD</vt:lpstr>
      <vt:lpstr>Phase_List</vt:lpstr>
      <vt:lpstr>Server</vt:lpstr>
      <vt:lpstr>Serveur</vt:lpstr>
      <vt:lpstr>source_entity</vt:lpstr>
      <vt:lpstr>'Process Reject CPP'!TM1RPTDATARNG1</vt:lpstr>
      <vt:lpstr>'Process Reject CPP'!TM1RPTDATARNGARPT1</vt:lpstr>
      <vt:lpstr>'Process Reject CPP'!TM1RPTDATARNGARPT2</vt:lpstr>
      <vt:lpstr>'Process Reject CPP'!TM1RPTDATARNGARPT3</vt:lpstr>
      <vt:lpstr>'Process Reject CPP'!TM1RPTDATARNGARPT4</vt:lpstr>
      <vt:lpstr>'Process Reject CPP'!TM1RPTFMTIDCOL</vt:lpstr>
      <vt:lpstr>'Process Reject CPP'!TM1RPTFMTRNG</vt:lpstr>
      <vt:lpstr>Total_Year_Budget_Forecast</vt:lpstr>
      <vt:lpstr>xServer</vt:lpstr>
      <vt:lpstr>xTM1User</vt:lpstr>
      <vt:lpstr>Year_Budget_Forecast</vt:lpstr>
    </vt:vector>
  </TitlesOfParts>
  <Company>TRANSDEV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Gurav, Omkar</dc:creator>
  <cp:lastModifiedBy>SAINT JOHN de CREVECOEUR, Rozenn</cp:lastModifiedBy>
  <cp:lastPrinted>2022-02-21T10:13:52Z</cp:lastPrinted>
  <dcterms:created xsi:type="dcterms:W3CDTF">2022-02-09T11:49:39Z</dcterms:created>
  <dcterms:modified xsi:type="dcterms:W3CDTF">2022-09-08T13:17:17Z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0x010100CF8F41DDFC12A047B89ADFEAFA8CA40C</vt:lpwstr>
  </property>
</Properties>
</file>