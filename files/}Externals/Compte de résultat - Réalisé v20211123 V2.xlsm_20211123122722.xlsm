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-15" windowWidth="19320" windowHeight="4770" tabRatio="852" firstSheet="1" activeTab="1"/>
  </bookViews>
  <sheets>
    <sheet name="Context" sheetId="66" state="hidden" r:id="rId1"/>
    <sheet name="PL" sheetId="58" r:id="rId2"/>
  </sheet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Context!$B$15</definedName>
    <definedName name="ActualMonth">Context!$B$13</definedName>
    <definedName name="ActualMonthYTD">Context!$F$13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PL!$I$23:$N$97,PL!$M$26:$M$97,PL!#REF!,PL!#REF!</definedName>
    <definedName name="AutoRefresh_PL" localSheetId="0">Context!$H$1</definedName>
    <definedName name="AutoRefresh_PL">PL!$F$1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PL!$E$132</definedName>
    <definedName name="DBS_COM_pl_2">PL!$E$133</definedName>
    <definedName name="DBS_COM_pl_3">PL!$E$134</definedName>
    <definedName name="DBS_COM_pl_4">PL!$E$135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PL!$10:$24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Context!$B$17:$B$18</definedName>
    <definedName name="LocalLanguage">Context!$B$16</definedName>
    <definedName name="LocalLanguage2">Context!$C$16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Context!$B$22:$B$24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_xll.DBRW("tango_core_model:z_Admin_Param","SERVER_NAME","STR_VAR1")</definedName>
    <definedName name="xServer">Context!$B$5</definedName>
    <definedName name="_xlnm.Print_Area" localSheetId="1">PL!$E$10:$P$92,PL!$E$94:$P$139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B13" i="66" l="1"/>
  <c r="C13" i="66"/>
  <c r="F13" i="66"/>
  <c r="F18" i="58"/>
  <c r="H2" i="58"/>
  <c r="Y93" i="58"/>
  <c r="AB93" i="58"/>
  <c r="AA94" i="58"/>
  <c r="AA95" i="58"/>
  <c r="AA96" i="58"/>
  <c r="J2" i="58"/>
  <c r="Z99" i="58"/>
  <c r="AB99" i="58"/>
  <c r="AB100" i="58"/>
  <c r="AB104" i="58"/>
  <c r="AC99" i="58"/>
  <c r="AC100" i="58"/>
  <c r="AC104" i="58"/>
  <c r="AD99" i="58"/>
  <c r="AD100" i="58"/>
  <c r="AD104" i="58"/>
  <c r="AE99" i="58"/>
  <c r="AE100" i="58"/>
  <c r="AE104" i="58"/>
  <c r="AF99" i="58"/>
  <c r="AF100" i="58"/>
  <c r="AF104" i="58"/>
  <c r="AA99" i="58"/>
  <c r="AA100" i="58"/>
  <c r="AA104" i="58"/>
  <c r="D13" i="66"/>
  <c r="E13" i="66"/>
  <c r="R21" i="58"/>
  <c r="F17" i="58"/>
  <c r="F19" i="58"/>
  <c r="B5" i="66"/>
  <c r="R97" i="58"/>
  <c r="R96" i="58"/>
  <c r="R95" i="58"/>
  <c r="R94" i="58"/>
  <c r="J94" i="58"/>
  <c r="K94" i="58"/>
  <c r="M94" i="58"/>
  <c r="AC11" i="58"/>
  <c r="F21" i="58"/>
  <c r="F14" i="58"/>
  <c r="F15" i="58"/>
  <c r="F20" i="58"/>
  <c r="K26" i="58"/>
  <c r="R92" i="58"/>
  <c r="K92" i="58"/>
  <c r="T92" i="58"/>
  <c r="U92" i="58"/>
  <c r="R90" i="58"/>
  <c r="K90" i="58"/>
  <c r="T90" i="58"/>
  <c r="U90" i="58"/>
  <c r="R88" i="58"/>
  <c r="K88" i="58"/>
  <c r="T88" i="58"/>
  <c r="U88" i="58"/>
  <c r="R86" i="58"/>
  <c r="K86" i="58"/>
  <c r="T86" i="58"/>
  <c r="U86" i="58"/>
  <c r="R85" i="58"/>
  <c r="K85" i="58"/>
  <c r="T85" i="58"/>
  <c r="U85" i="58"/>
  <c r="R83" i="58"/>
  <c r="K83" i="58"/>
  <c r="T83" i="58"/>
  <c r="U83" i="58"/>
  <c r="R81" i="58"/>
  <c r="K81" i="58"/>
  <c r="T81" i="58"/>
  <c r="U81" i="58"/>
  <c r="R80" i="58"/>
  <c r="K80" i="58"/>
  <c r="T80" i="58"/>
  <c r="U80" i="58"/>
  <c r="R79" i="58"/>
  <c r="K79" i="58"/>
  <c r="T79" i="58"/>
  <c r="U79" i="58"/>
  <c r="R78" i="58"/>
  <c r="K78" i="58"/>
  <c r="T78" i="58"/>
  <c r="U78" i="58"/>
  <c r="R77" i="58"/>
  <c r="K77" i="58"/>
  <c r="T77" i="58"/>
  <c r="U77" i="58"/>
  <c r="R76" i="58"/>
  <c r="K76" i="58"/>
  <c r="T76" i="58"/>
  <c r="U76" i="58"/>
  <c r="R75" i="58"/>
  <c r="K75" i="58"/>
  <c r="T75" i="58"/>
  <c r="U75" i="58"/>
  <c r="R74" i="58"/>
  <c r="K74" i="58"/>
  <c r="T74" i="58"/>
  <c r="U74" i="58"/>
  <c r="R73" i="58"/>
  <c r="K73" i="58"/>
  <c r="T73" i="58"/>
  <c r="U73" i="58"/>
  <c r="R72" i="58"/>
  <c r="K72" i="58"/>
  <c r="T72" i="58"/>
  <c r="U72" i="58"/>
  <c r="R71" i="58"/>
  <c r="K71" i="58"/>
  <c r="T71" i="58"/>
  <c r="U71" i="58"/>
  <c r="R70" i="58"/>
  <c r="K70" i="58"/>
  <c r="T70" i="58"/>
  <c r="U70" i="58"/>
  <c r="R69" i="58"/>
  <c r="K69" i="58"/>
  <c r="T69" i="58"/>
  <c r="U69" i="58"/>
  <c r="R68" i="58"/>
  <c r="K68" i="58"/>
  <c r="T68" i="58"/>
  <c r="U68" i="58"/>
  <c r="R67" i="58"/>
  <c r="K67" i="58"/>
  <c r="T67" i="58"/>
  <c r="U67" i="58"/>
  <c r="R66" i="58"/>
  <c r="K66" i="58"/>
  <c r="T66" i="58"/>
  <c r="U66" i="58"/>
  <c r="R65" i="58"/>
  <c r="K65" i="58"/>
  <c r="T65" i="58"/>
  <c r="U65" i="58"/>
  <c r="R64" i="58"/>
  <c r="K64" i="58"/>
  <c r="T64" i="58"/>
  <c r="U64" i="58"/>
  <c r="R63" i="58"/>
  <c r="K63" i="58"/>
  <c r="T63" i="58"/>
  <c r="U63" i="58"/>
  <c r="R62" i="58"/>
  <c r="K62" i="58"/>
  <c r="T62" i="58"/>
  <c r="U62" i="58"/>
  <c r="R61" i="58"/>
  <c r="K61" i="58"/>
  <c r="T61" i="58"/>
  <c r="U61" i="58"/>
  <c r="R60" i="58"/>
  <c r="K60" i="58"/>
  <c r="T60" i="58"/>
  <c r="U60" i="58"/>
  <c r="R59" i="58"/>
  <c r="K59" i="58"/>
  <c r="T59" i="58"/>
  <c r="U59" i="58"/>
  <c r="R58" i="58"/>
  <c r="K58" i="58"/>
  <c r="T58" i="58"/>
  <c r="U58" i="58"/>
  <c r="R57" i="58"/>
  <c r="K57" i="58"/>
  <c r="T57" i="58"/>
  <c r="U57" i="58"/>
  <c r="R56" i="58"/>
  <c r="K56" i="58"/>
  <c r="T56" i="58"/>
  <c r="U56" i="58"/>
  <c r="R55" i="58"/>
  <c r="K55" i="58"/>
  <c r="T55" i="58"/>
  <c r="U55" i="58"/>
  <c r="R54" i="58"/>
  <c r="K54" i="58"/>
  <c r="T54" i="58"/>
  <c r="U54" i="58"/>
  <c r="R53" i="58"/>
  <c r="K53" i="58"/>
  <c r="T53" i="58"/>
  <c r="U53" i="58"/>
  <c r="R52" i="58"/>
  <c r="K52" i="58"/>
  <c r="T52" i="58"/>
  <c r="U52" i="58"/>
  <c r="R51" i="58"/>
  <c r="K51" i="58"/>
  <c r="T51" i="58"/>
  <c r="U51" i="58"/>
  <c r="R50" i="58"/>
  <c r="K50" i="58"/>
  <c r="T50" i="58"/>
  <c r="U50" i="58"/>
  <c r="R49" i="58"/>
  <c r="K49" i="58"/>
  <c r="T49" i="58"/>
  <c r="U49" i="58"/>
  <c r="R48" i="58"/>
  <c r="K48" i="58"/>
  <c r="T48" i="58"/>
  <c r="U48" i="58"/>
  <c r="R47" i="58"/>
  <c r="K47" i="58"/>
  <c r="T47" i="58"/>
  <c r="U47" i="58"/>
  <c r="R46" i="58"/>
  <c r="K46" i="58"/>
  <c r="T46" i="58"/>
  <c r="U46" i="58"/>
  <c r="R45" i="58"/>
  <c r="K45" i="58"/>
  <c r="T45" i="58"/>
  <c r="U45" i="58"/>
  <c r="R44" i="58"/>
  <c r="K44" i="58"/>
  <c r="T44" i="58"/>
  <c r="U44" i="58"/>
  <c r="R43" i="58"/>
  <c r="K43" i="58"/>
  <c r="T43" i="58"/>
  <c r="U43" i="58"/>
  <c r="R42" i="58"/>
  <c r="K42" i="58"/>
  <c r="T42" i="58"/>
  <c r="U42" i="58"/>
  <c r="R41" i="58"/>
  <c r="K41" i="58"/>
  <c r="T41" i="58"/>
  <c r="U41" i="58"/>
  <c r="R40" i="58"/>
  <c r="K40" i="58"/>
  <c r="T40" i="58"/>
  <c r="U40" i="58"/>
  <c r="R39" i="58"/>
  <c r="K39" i="58"/>
  <c r="T39" i="58"/>
  <c r="U39" i="58"/>
  <c r="R38" i="58"/>
  <c r="K38" i="58"/>
  <c r="T38" i="58"/>
  <c r="U38" i="58"/>
  <c r="R37" i="58"/>
  <c r="K37" i="58"/>
  <c r="T37" i="58"/>
  <c r="U37" i="58"/>
  <c r="R36" i="58"/>
  <c r="K36" i="58"/>
  <c r="T36" i="58"/>
  <c r="U36" i="58"/>
  <c r="R35" i="58"/>
  <c r="K35" i="58"/>
  <c r="T35" i="58"/>
  <c r="U35" i="58"/>
  <c r="R34" i="58"/>
  <c r="K34" i="58"/>
  <c r="T34" i="58"/>
  <c r="U34" i="58"/>
  <c r="R33" i="58"/>
  <c r="K33" i="58"/>
  <c r="T33" i="58"/>
  <c r="U33" i="58"/>
  <c r="R32" i="58"/>
  <c r="K32" i="58"/>
  <c r="T32" i="58"/>
  <c r="U32" i="58"/>
  <c r="R31" i="58"/>
  <c r="K31" i="58"/>
  <c r="T31" i="58"/>
  <c r="U31" i="58"/>
  <c r="R30" i="58"/>
  <c r="K30" i="58"/>
  <c r="T30" i="58"/>
  <c r="U30" i="58"/>
  <c r="R28" i="58"/>
  <c r="K28" i="58"/>
  <c r="T28" i="58"/>
  <c r="U28" i="58"/>
  <c r="R27" i="58"/>
  <c r="K27" i="58"/>
  <c r="T27" i="58"/>
  <c r="U27" i="58"/>
  <c r="R26" i="58"/>
  <c r="T26" i="58"/>
  <c r="U26" i="58"/>
  <c r="J27" i="58"/>
  <c r="M27" i="58"/>
  <c r="N27" i="58"/>
  <c r="R91" i="58"/>
  <c r="R89" i="58"/>
  <c r="R87" i="58"/>
  <c r="R84" i="58"/>
  <c r="R82" i="58"/>
  <c r="T82" i="58"/>
  <c r="J26" i="58"/>
  <c r="H3" i="58"/>
  <c r="I94" i="58"/>
  <c r="I81" i="58"/>
  <c r="P81" i="58"/>
  <c r="J81" i="58"/>
  <c r="M81" i="58"/>
  <c r="N81" i="58"/>
  <c r="O81" i="58"/>
  <c r="E81" i="58"/>
  <c r="J32" i="58"/>
  <c r="M32" i="58"/>
  <c r="N32" i="58"/>
  <c r="I41" i="58"/>
  <c r="P41" i="58"/>
  <c r="I28" i="58"/>
  <c r="P28" i="58"/>
  <c r="J28" i="58"/>
  <c r="M28" i="58"/>
  <c r="N28" i="58"/>
  <c r="O28" i="58"/>
  <c r="E28" i="58"/>
  <c r="B6" i="66"/>
  <c r="Z98" i="58"/>
  <c r="AA98" i="58"/>
  <c r="AD97" i="58"/>
  <c r="AA102" i="58"/>
  <c r="I95" i="58"/>
  <c r="I96" i="58"/>
  <c r="I97" i="58"/>
  <c r="K95" i="58"/>
  <c r="K96" i="58"/>
  <c r="K97" i="58"/>
  <c r="J95" i="58"/>
  <c r="J96" i="58"/>
  <c r="J97" i="58"/>
  <c r="I26" i="58"/>
  <c r="M26" i="58"/>
  <c r="I92" i="58"/>
  <c r="I90" i="58"/>
  <c r="I88" i="58"/>
  <c r="I86" i="58"/>
  <c r="I85" i="58"/>
  <c r="I83" i="58"/>
  <c r="I80" i="58"/>
  <c r="I79" i="58"/>
  <c r="I78" i="58"/>
  <c r="I77" i="58"/>
  <c r="I76" i="58"/>
  <c r="I75" i="58"/>
  <c r="I74" i="58"/>
  <c r="I73" i="58"/>
  <c r="I72" i="58"/>
  <c r="I71" i="58"/>
  <c r="I70" i="58"/>
  <c r="I69" i="58"/>
  <c r="I68" i="58"/>
  <c r="I67" i="58"/>
  <c r="I66" i="58"/>
  <c r="I65" i="58"/>
  <c r="I64" i="58"/>
  <c r="I63" i="58"/>
  <c r="I62" i="58"/>
  <c r="I61" i="58"/>
  <c r="I60" i="58"/>
  <c r="I59" i="58"/>
  <c r="I58" i="58"/>
  <c r="I57" i="58"/>
  <c r="I56" i="58"/>
  <c r="I55" i="58"/>
  <c r="I54" i="58"/>
  <c r="I53" i="58"/>
  <c r="I52" i="58"/>
  <c r="I51" i="58"/>
  <c r="I50" i="58"/>
  <c r="I49" i="58"/>
  <c r="I48" i="58"/>
  <c r="I47" i="58"/>
  <c r="I46" i="58"/>
  <c r="I45" i="58"/>
  <c r="I44" i="58"/>
  <c r="I43" i="58"/>
  <c r="I42" i="58"/>
  <c r="I40" i="58"/>
  <c r="I39" i="58"/>
  <c r="I38" i="58"/>
  <c r="I37" i="58"/>
  <c r="I36" i="58"/>
  <c r="I35" i="58"/>
  <c r="I34" i="58"/>
  <c r="I32" i="58"/>
  <c r="I31" i="58"/>
  <c r="I30" i="58"/>
  <c r="I27" i="58"/>
  <c r="I33" i="58"/>
  <c r="P26" i="58"/>
  <c r="J92" i="58"/>
  <c r="J90" i="58"/>
  <c r="J88" i="58"/>
  <c r="J86" i="58"/>
  <c r="J85" i="58"/>
  <c r="J83" i="58"/>
  <c r="J80" i="58"/>
  <c r="J79" i="58"/>
  <c r="J78" i="58"/>
  <c r="J77" i="58"/>
  <c r="J76" i="58"/>
  <c r="J75" i="58"/>
  <c r="J74" i="58"/>
  <c r="J73" i="58"/>
  <c r="J72" i="58"/>
  <c r="J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1" i="58"/>
  <c r="J30" i="58"/>
  <c r="J33" i="58"/>
  <c r="I23" i="58"/>
  <c r="AF98" i="58"/>
  <c r="AF103" i="58"/>
  <c r="Z118" i="58"/>
  <c r="AF118" i="58"/>
  <c r="AB98" i="58"/>
  <c r="AB103" i="58"/>
  <c r="AB118" i="58"/>
  <c r="AC98" i="58"/>
  <c r="AC103" i="58"/>
  <c r="AC118" i="58"/>
  <c r="AD98" i="58"/>
  <c r="AD103" i="58"/>
  <c r="AD118" i="58"/>
  <c r="AE98" i="58"/>
  <c r="AE103" i="58"/>
  <c r="AE118" i="58"/>
  <c r="AA103" i="58"/>
  <c r="AA118" i="58"/>
  <c r="Z114" i="58"/>
  <c r="AB114" i="58"/>
  <c r="AC114" i="58"/>
  <c r="AD114" i="58"/>
  <c r="AE114" i="58"/>
  <c r="AF114" i="58"/>
  <c r="AA114" i="58"/>
  <c r="Z110" i="58"/>
  <c r="AB110" i="58"/>
  <c r="AC110" i="58"/>
  <c r="AD110" i="58"/>
  <c r="AE110" i="58"/>
  <c r="AF110" i="58"/>
  <c r="AA110" i="58"/>
  <c r="Z106" i="58"/>
  <c r="AB106" i="58"/>
  <c r="AC106" i="58"/>
  <c r="AD106" i="58"/>
  <c r="AE106" i="58"/>
  <c r="AF106" i="58"/>
  <c r="AA106" i="58"/>
  <c r="Z107" i="58"/>
  <c r="AA107" i="58"/>
  <c r="AF102" i="58"/>
  <c r="Z119" i="58"/>
  <c r="AF119" i="58"/>
  <c r="AE102" i="58"/>
  <c r="AE119" i="58"/>
  <c r="AD102" i="58"/>
  <c r="AD119" i="58"/>
  <c r="AC102" i="58"/>
  <c r="AC119" i="58"/>
  <c r="AB102" i="58"/>
  <c r="AB119" i="58"/>
  <c r="AF101" i="58"/>
  <c r="AF117" i="58"/>
  <c r="AE101" i="58"/>
  <c r="AE117" i="58"/>
  <c r="AD101" i="58"/>
  <c r="AD117" i="58"/>
  <c r="AC101" i="58"/>
  <c r="AC117" i="58"/>
  <c r="AB101" i="58"/>
  <c r="Z117" i="58"/>
  <c r="AB117" i="58"/>
  <c r="AA119" i="58"/>
  <c r="AA101" i="58"/>
  <c r="AA117" i="58"/>
  <c r="Z115" i="58"/>
  <c r="AF115" i="58"/>
  <c r="AE115" i="58"/>
  <c r="AD115" i="58"/>
  <c r="AC115" i="58"/>
  <c r="AB115" i="58"/>
  <c r="AF113" i="58"/>
  <c r="AE113" i="58"/>
  <c r="AD113" i="58"/>
  <c r="AC113" i="58"/>
  <c r="Z113" i="58"/>
  <c r="AB113" i="58"/>
  <c r="AA115" i="58"/>
  <c r="AA113" i="58"/>
  <c r="Z111" i="58"/>
  <c r="AF111" i="58"/>
  <c r="AE111" i="58"/>
  <c r="AD111" i="58"/>
  <c r="AC111" i="58"/>
  <c r="AB111" i="58"/>
  <c r="AA111" i="58"/>
  <c r="AF109" i="58"/>
  <c r="AE109" i="58"/>
  <c r="AD109" i="58"/>
  <c r="AC109" i="58"/>
  <c r="Z109" i="58"/>
  <c r="AB109" i="58"/>
  <c r="AA109" i="58"/>
  <c r="AF105" i="58"/>
  <c r="AE105" i="58"/>
  <c r="AD105" i="58"/>
  <c r="AC105" i="58"/>
  <c r="Z105" i="58"/>
  <c r="AB105" i="58"/>
  <c r="AA105" i="58"/>
  <c r="AF107" i="58"/>
  <c r="Y105" i="58"/>
  <c r="P96" i="58"/>
  <c r="P97" i="58"/>
  <c r="P95" i="58"/>
  <c r="P94" i="58"/>
  <c r="M97" i="58"/>
  <c r="N97" i="58"/>
  <c r="M96" i="58"/>
  <c r="N96" i="58"/>
  <c r="M95" i="58"/>
  <c r="N95" i="58"/>
  <c r="N94" i="58"/>
  <c r="P92" i="58"/>
  <c r="P90" i="58"/>
  <c r="P88" i="58"/>
  <c r="P86" i="58"/>
  <c r="P85" i="58"/>
  <c r="P83" i="58"/>
  <c r="P80" i="58"/>
  <c r="P79" i="58"/>
  <c r="P78" i="58"/>
  <c r="P77" i="58"/>
  <c r="P76" i="58"/>
  <c r="P75" i="58"/>
  <c r="P74" i="58"/>
  <c r="P73" i="58"/>
  <c r="P72" i="58"/>
  <c r="P71" i="58"/>
  <c r="P70" i="58"/>
  <c r="P69" i="58"/>
  <c r="P68" i="58"/>
  <c r="P67" i="58"/>
  <c r="P66" i="58"/>
  <c r="P65" i="58"/>
  <c r="P64" i="58"/>
  <c r="P63" i="58"/>
  <c r="P62" i="58"/>
  <c r="P61" i="58"/>
  <c r="P60" i="58"/>
  <c r="P59" i="58"/>
  <c r="P58" i="58"/>
  <c r="P57" i="58"/>
  <c r="P56" i="58"/>
  <c r="P55" i="58"/>
  <c r="P54" i="58"/>
  <c r="P53" i="58"/>
  <c r="P52" i="58"/>
  <c r="P51" i="58"/>
  <c r="P50" i="58"/>
  <c r="P49" i="58"/>
  <c r="P48" i="58"/>
  <c r="P47" i="58"/>
  <c r="P46" i="58"/>
  <c r="P45" i="58"/>
  <c r="P44" i="58"/>
  <c r="P43" i="58"/>
  <c r="P42" i="58"/>
  <c r="P40" i="58"/>
  <c r="P39" i="58"/>
  <c r="P38" i="58"/>
  <c r="P37" i="58"/>
  <c r="P36" i="58"/>
  <c r="P35" i="58"/>
  <c r="P34" i="58"/>
  <c r="P32" i="58"/>
  <c r="P31" i="58"/>
  <c r="P30" i="58"/>
  <c r="P27" i="58"/>
  <c r="P33" i="58"/>
  <c r="M92" i="58"/>
  <c r="N92" i="58"/>
  <c r="M33" i="58"/>
  <c r="M90" i="58"/>
  <c r="N90" i="58"/>
  <c r="M88" i="58"/>
  <c r="N88" i="58"/>
  <c r="M86" i="58"/>
  <c r="N86" i="58"/>
  <c r="M85" i="58"/>
  <c r="N85" i="58"/>
  <c r="M83" i="58"/>
  <c r="N83" i="58"/>
  <c r="M80" i="58"/>
  <c r="N80" i="58"/>
  <c r="M79" i="58"/>
  <c r="N79" i="58"/>
  <c r="M78" i="58"/>
  <c r="N78" i="58"/>
  <c r="M77" i="58"/>
  <c r="N77" i="58"/>
  <c r="M76" i="58"/>
  <c r="N76" i="58"/>
  <c r="M75" i="58"/>
  <c r="N75" i="58"/>
  <c r="M74" i="58"/>
  <c r="N74" i="58"/>
  <c r="M73" i="58"/>
  <c r="N73" i="58"/>
  <c r="M72" i="58"/>
  <c r="N72" i="58"/>
  <c r="M71" i="58"/>
  <c r="N71" i="58"/>
  <c r="M70" i="58"/>
  <c r="N70" i="58"/>
  <c r="M69" i="58"/>
  <c r="N69" i="58"/>
  <c r="M68" i="58"/>
  <c r="N68" i="58"/>
  <c r="M67" i="58"/>
  <c r="N67" i="58"/>
  <c r="M66" i="58"/>
  <c r="N66" i="58"/>
  <c r="M65" i="58"/>
  <c r="N65" i="58"/>
  <c r="M64" i="58"/>
  <c r="N64" i="58"/>
  <c r="M63" i="58"/>
  <c r="N63" i="58"/>
  <c r="M62" i="58"/>
  <c r="N62" i="58"/>
  <c r="M61" i="58"/>
  <c r="N61" i="58"/>
  <c r="M60" i="58"/>
  <c r="N60" i="58"/>
  <c r="M59" i="58"/>
  <c r="N59" i="58"/>
  <c r="M58" i="58"/>
  <c r="N58" i="58"/>
  <c r="M57" i="58"/>
  <c r="N57" i="58"/>
  <c r="M56" i="58"/>
  <c r="N56" i="58"/>
  <c r="M55" i="58"/>
  <c r="N55" i="58"/>
  <c r="M54" i="58"/>
  <c r="N54" i="58"/>
  <c r="M53" i="58"/>
  <c r="N53" i="58"/>
  <c r="M52" i="58"/>
  <c r="N52" i="58"/>
  <c r="M51" i="58"/>
  <c r="N51" i="58"/>
  <c r="M50" i="58"/>
  <c r="N50" i="58"/>
  <c r="M49" i="58"/>
  <c r="N49" i="58"/>
  <c r="M48" i="58"/>
  <c r="N48" i="58"/>
  <c r="M47" i="58"/>
  <c r="N47" i="58"/>
  <c r="M46" i="58"/>
  <c r="N46" i="58"/>
  <c r="M45" i="58"/>
  <c r="N45" i="58"/>
  <c r="M44" i="58"/>
  <c r="N44" i="58"/>
  <c r="M43" i="58"/>
  <c r="N43" i="58"/>
  <c r="M42" i="58"/>
  <c r="N42" i="58"/>
  <c r="M41" i="58"/>
  <c r="N41" i="58"/>
  <c r="M40" i="58"/>
  <c r="N40" i="58"/>
  <c r="M39" i="58"/>
  <c r="N39" i="58"/>
  <c r="M38" i="58"/>
  <c r="N38" i="58"/>
  <c r="M37" i="58"/>
  <c r="N37" i="58"/>
  <c r="M36" i="58"/>
  <c r="N36" i="58"/>
  <c r="M35" i="58"/>
  <c r="N35" i="58"/>
  <c r="M34" i="58"/>
  <c r="N34" i="58"/>
  <c r="M31" i="58"/>
  <c r="N31" i="58"/>
  <c r="M30" i="58"/>
  <c r="N30" i="58"/>
  <c r="N33" i="58"/>
  <c r="N26" i="58"/>
  <c r="K23" i="58"/>
  <c r="P23" i="58"/>
  <c r="J23" i="58"/>
  <c r="M23" i="58"/>
  <c r="O86" i="58"/>
  <c r="E86" i="58"/>
  <c r="H5" i="58"/>
  <c r="E2" i="58"/>
  <c r="O80" i="58"/>
  <c r="E80" i="58"/>
  <c r="L30" i="58"/>
  <c r="I21" i="58"/>
  <c r="E85" i="58"/>
  <c r="E26" i="58"/>
  <c r="E32" i="58"/>
  <c r="E27" i="58"/>
  <c r="E33" i="58"/>
  <c r="E31" i="58"/>
  <c r="O32" i="58"/>
  <c r="O33" i="58"/>
  <c r="B16" i="66"/>
  <c r="B15" i="66"/>
  <c r="B14" i="66"/>
  <c r="I19" i="58"/>
  <c r="O2" i="58"/>
  <c r="E135" i="58"/>
  <c r="E134" i="58"/>
  <c r="E133" i="58"/>
  <c r="E132" i="58"/>
  <c r="C16" i="66"/>
  <c r="AD13" i="58"/>
  <c r="E131" i="58"/>
  <c r="AB107" i="58"/>
  <c r="AC107" i="58"/>
  <c r="AD107" i="58"/>
  <c r="AE107" i="58"/>
  <c r="Y104" i="58"/>
  <c r="Y116" i="58"/>
  <c r="Y112" i="58"/>
  <c r="Y108" i="58"/>
  <c r="Y119" i="58"/>
  <c r="Y118" i="58"/>
  <c r="Y117" i="58"/>
  <c r="Y114" i="58"/>
  <c r="Y115" i="58"/>
  <c r="Y113" i="58"/>
  <c r="Y109" i="58"/>
  <c r="Y110" i="58"/>
  <c r="Y111" i="58"/>
  <c r="Y106" i="58"/>
  <c r="Y107" i="58"/>
  <c r="AD14" i="58"/>
  <c r="O97" i="58"/>
  <c r="O96" i="58"/>
  <c r="O95" i="58"/>
  <c r="O94" i="58"/>
  <c r="F97" i="58"/>
  <c r="F96" i="58"/>
  <c r="F95" i="58"/>
  <c r="F94" i="58"/>
  <c r="M21" i="58"/>
  <c r="E10" i="58"/>
  <c r="O92" i="58"/>
  <c r="O90" i="58"/>
  <c r="O88" i="58"/>
  <c r="O85" i="58"/>
  <c r="O83" i="58"/>
  <c r="O79" i="58"/>
  <c r="O78" i="58"/>
  <c r="O77" i="58"/>
  <c r="O76" i="58"/>
  <c r="O75" i="58"/>
  <c r="O74" i="58"/>
  <c r="O73" i="58"/>
  <c r="O72" i="58"/>
  <c r="O71" i="58"/>
  <c r="O70" i="58"/>
  <c r="O69" i="58"/>
  <c r="O68" i="58"/>
  <c r="O67" i="58"/>
  <c r="O66" i="58"/>
  <c r="O65" i="58"/>
  <c r="O64" i="58"/>
  <c r="O63" i="58"/>
  <c r="O62" i="58"/>
  <c r="O61" i="58"/>
  <c r="O60" i="58"/>
  <c r="O59" i="58"/>
  <c r="O58" i="58"/>
  <c r="O57" i="58"/>
  <c r="O56" i="58"/>
  <c r="O55" i="58"/>
  <c r="O54" i="58"/>
  <c r="O53" i="58"/>
  <c r="O52" i="58"/>
  <c r="O51" i="58"/>
  <c r="O50" i="58"/>
  <c r="O49" i="58"/>
  <c r="O48" i="58"/>
  <c r="O47" i="58"/>
  <c r="O46" i="58"/>
  <c r="O45" i="58"/>
  <c r="O44" i="58"/>
  <c r="O43" i="58"/>
  <c r="O42" i="58"/>
  <c r="O41" i="58"/>
  <c r="O40" i="58"/>
  <c r="O39" i="58"/>
  <c r="O38" i="58"/>
  <c r="O37" i="58"/>
  <c r="O36" i="58"/>
  <c r="O35" i="58"/>
  <c r="O34" i="58"/>
  <c r="O30" i="58"/>
  <c r="O27" i="58"/>
  <c r="O31" i="58"/>
  <c r="O26" i="58"/>
  <c r="E92" i="58"/>
  <c r="E90" i="58"/>
  <c r="E88" i="58"/>
  <c r="E83" i="58"/>
  <c r="E78" i="58"/>
  <c r="E77" i="58"/>
  <c r="E75" i="58"/>
  <c r="E74" i="58"/>
  <c r="E73" i="58"/>
  <c r="E71" i="58"/>
  <c r="E70" i="58"/>
  <c r="E68" i="58"/>
  <c r="E67" i="58"/>
  <c r="E64" i="58"/>
  <c r="E63" i="58"/>
  <c r="E61" i="58"/>
  <c r="E60" i="58"/>
  <c r="E57" i="58"/>
  <c r="E56" i="58"/>
  <c r="E54" i="58"/>
  <c r="E53" i="58"/>
  <c r="E52" i="58"/>
  <c r="E79" i="58"/>
  <c r="E76" i="58"/>
  <c r="E72" i="58"/>
  <c r="E69" i="58"/>
  <c r="E66" i="58"/>
  <c r="E62" i="58"/>
  <c r="E59" i="58"/>
  <c r="E58" i="58"/>
  <c r="E55" i="58"/>
  <c r="E51" i="58"/>
  <c r="E50" i="58"/>
  <c r="E49" i="58"/>
  <c r="E48" i="58"/>
  <c r="E47" i="58"/>
  <c r="E46" i="58"/>
  <c r="E45" i="58"/>
  <c r="E44" i="58"/>
  <c r="E43" i="58"/>
  <c r="E42" i="58"/>
  <c r="E36" i="58"/>
  <c r="E39" i="58"/>
  <c r="E38" i="58"/>
  <c r="E37" i="58"/>
  <c r="E40" i="58"/>
  <c r="E30" i="58"/>
  <c r="AD15" i="58"/>
  <c r="E17" i="58"/>
  <c r="E24" i="58"/>
  <c r="E16" i="58"/>
  <c r="E15" i="58"/>
  <c r="E14" i="58"/>
  <c r="E21" i="58"/>
  <c r="E20" i="58"/>
  <c r="E19" i="58"/>
  <c r="E18" i="58"/>
  <c r="E13" i="58"/>
  <c r="Y121" i="58"/>
  <c r="Y120" i="58"/>
  <c r="E41" i="58"/>
  <c r="AJ21" i="58"/>
  <c r="E34" i="58"/>
  <c r="E35" i="58"/>
</calcChain>
</file>

<file path=xl/sharedStrings.xml><?xml version="1.0" encoding="utf-8"?>
<sst xmlns="http://schemas.openxmlformats.org/spreadsheetml/2006/main" count="226" uniqueCount="199">
  <si>
    <t>Phase</t>
  </si>
  <si>
    <t>English</t>
  </si>
  <si>
    <t>Local language</t>
  </si>
  <si>
    <t xml:space="preserve"> </t>
  </si>
  <si>
    <t>Actual Month :</t>
  </si>
  <si>
    <t>Comments</t>
  </si>
  <si>
    <t>Dutch</t>
  </si>
  <si>
    <t>German</t>
  </si>
  <si>
    <t>Portugese</t>
  </si>
  <si>
    <t>Currency</t>
  </si>
  <si>
    <t>Gaap</t>
  </si>
  <si>
    <t>Budget Version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</si>
  <si>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</si>
  <si>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</si>
  <si>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</si>
  <si>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</si>
  <si>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</si>
  <si>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</si>
  <si>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</si>
  <si>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</si>
  <si>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</si>
  <si>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</si>
  <si>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</si>
  <si>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</si>
  <si>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</si>
  <si>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Context_selection</t>
  </si>
  <si>
    <t>Management_organization</t>
  </si>
  <si>
    <t>Legal_organization</t>
  </si>
  <si>
    <t>Variances</t>
  </si>
  <si>
    <t>z_Translate_Report</t>
  </si>
  <si>
    <t>Integration_rate</t>
  </si>
  <si>
    <t>Language</t>
  </si>
  <si>
    <t>Year</t>
  </si>
  <si>
    <t>YearToDate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</si>
  <si>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</si>
  <si>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</si>
  <si>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</si>
  <si>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</si>
  <si>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</si>
  <si>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</si>
  <si>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</si>
  <si>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</si>
  <si>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</si>
  <si>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</si>
  <si>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</si>
  <si>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</si>
  <si>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</si>
  <si>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volume_effect</t>
  </si>
  <si>
    <t>price_effect</t>
  </si>
  <si>
    <t>output</t>
  </si>
  <si>
    <t>Variance</t>
  </si>
  <si>
    <t>Prior_year</t>
  </si>
  <si>
    <t>Period</t>
  </si>
  <si>
    <t>Budget</t>
  </si>
  <si>
    <t>Forecast_1</t>
  </si>
  <si>
    <t>Forecast_2</t>
  </si>
  <si>
    <t>Actual_N_2</t>
  </si>
  <si>
    <t>Forecast2_N_1</t>
  </si>
  <si>
    <t>List 1</t>
  </si>
  <si>
    <t>Trend arrows</t>
  </si>
  <si>
    <t>ì</t>
  </si>
  <si>
    <t>î</t>
  </si>
  <si>
    <t>è</t>
  </si>
  <si>
    <t>ROA</t>
  </si>
  <si>
    <t>Gross_Margin</t>
  </si>
  <si>
    <t>Operational_Profit</t>
  </si>
  <si>
    <t>Langue</t>
  </si>
  <si>
    <t>Français</t>
  </si>
  <si>
    <t>Projets</t>
  </si>
  <si>
    <t>Annee_pleine</t>
  </si>
  <si>
    <t>A_Date</t>
  </si>
  <si>
    <t xml:space="preserve">Forecast Version </t>
  </si>
  <si>
    <t>RP_PL_Corp</t>
  </si>
  <si>
    <t>RP_Comments_PL_Corp</t>
  </si>
  <si>
    <t>Month</t>
  </si>
  <si>
    <t>Previous Month</t>
  </si>
  <si>
    <t>YTD</t>
  </si>
  <si>
    <t>BUDG_TOT</t>
  </si>
  <si>
    <t>ACT_TOT</t>
  </si>
  <si>
    <t>Reste_a_encourir</t>
  </si>
  <si>
    <t>Pourcent_reste_a_encourir</t>
  </si>
  <si>
    <t>Pourcent_consommation</t>
  </si>
  <si>
    <t>Indicator_Corp</t>
  </si>
  <si>
    <t>Chges_ope</t>
  </si>
  <si>
    <t>Cout_ext</t>
  </si>
  <si>
    <t>Couts_admin_info</t>
  </si>
  <si>
    <t>Fr_post</t>
  </si>
  <si>
    <t>Fournit_bur</t>
  </si>
  <si>
    <t>Loc_entret_info</t>
  </si>
  <si>
    <t>Entret_repa_immo</t>
  </si>
  <si>
    <t>Docu</t>
  </si>
  <si>
    <t>Cout_ext_dir</t>
  </si>
  <si>
    <t>Hono_cons</t>
  </si>
  <si>
    <t>Hono_cons_abo</t>
  </si>
  <si>
    <t>Publi_sponso</t>
  </si>
  <si>
    <t>Recep_sem</t>
  </si>
  <si>
    <t>Aut_ass_ext</t>
  </si>
  <si>
    <t>Dep_form</t>
  </si>
  <si>
    <t>Assu</t>
  </si>
  <si>
    <t>Serv_banc</t>
  </si>
  <si>
    <t>Frais_siege</t>
  </si>
  <si>
    <t>Téléphonie mobile</t>
  </si>
  <si>
    <t>Frais_perso_assi</t>
  </si>
  <si>
    <t>Frais_perso</t>
  </si>
  <si>
    <t>PMAD</t>
  </si>
  <si>
    <t>Perso_interim</t>
  </si>
  <si>
    <t>Frais_dep</t>
  </si>
  <si>
    <t>Notes_frais</t>
  </si>
  <si>
    <t>Depl</t>
  </si>
  <si>
    <t>Cout_enviro_taxes_dot</t>
  </si>
  <si>
    <t>Couts_enviro</t>
  </si>
  <si>
    <t>Cout_bureau</t>
  </si>
  <si>
    <t>Loc_bat</t>
  </si>
  <si>
    <t>Aut_cout_perso</t>
  </si>
  <si>
    <t>Cout_vehic_fonct</t>
  </si>
  <si>
    <t>Loc_appart_fonc</t>
  </si>
  <si>
    <t>tel_mob</t>
  </si>
  <si>
    <t>Aut_imp_tax</t>
  </si>
  <si>
    <t>CET_CVAE</t>
  </si>
  <si>
    <t>imp_taxes_divers</t>
  </si>
  <si>
    <t>Dot_amort_prov_except</t>
  </si>
  <si>
    <t>Amort_except</t>
  </si>
  <si>
    <t>Prov_except</t>
  </si>
  <si>
    <t>aut_pdts_chges_except</t>
  </si>
  <si>
    <t>aut_pdts_except</t>
  </si>
  <si>
    <t>aut_chges_except</t>
  </si>
  <si>
    <t>Res_cess</t>
  </si>
  <si>
    <t>Dot_amort_prov</t>
  </si>
  <si>
    <t>Dot_Amort</t>
  </si>
  <si>
    <t>Prov</t>
  </si>
  <si>
    <t>Couts_com</t>
  </si>
  <si>
    <t>CAFOP</t>
  </si>
  <si>
    <t>TPL1_dest_avt_mgmt_fees</t>
  </si>
  <si>
    <t>TPL1_dest_aprs_mgmt_fees</t>
  </si>
  <si>
    <t>Tot_capex</t>
  </si>
  <si>
    <t>Tiers</t>
  </si>
  <si>
    <t>Matricules</t>
  </si>
  <si>
    <t>VTD</t>
  </si>
  <si>
    <t>Tot_tiers</t>
  </si>
  <si>
    <t>Compte_résultat_Corporate_realise</t>
  </si>
  <si>
    <t>Eff_CDI</t>
  </si>
  <si>
    <t>Eff_Autres</t>
  </si>
  <si>
    <t>ETP_CDI</t>
  </si>
  <si>
    <t>ETP_Autres</t>
  </si>
  <si>
    <t>Indicateurs_Ope</t>
  </si>
  <si>
    <t>Integration_Rate</t>
  </si>
  <si>
    <t>NO_APP</t>
  </si>
  <si>
    <t>LCL</t>
  </si>
  <si>
    <t>Local_Gaap_Mgmt_tool</t>
  </si>
  <si>
    <t>Mois 1 à 6</t>
  </si>
  <si>
    <t>Mois 7 à 12</t>
  </si>
  <si>
    <t>Mois 4 à 9</t>
  </si>
  <si>
    <t>AutoRefresh_PL</t>
  </si>
  <si>
    <t>Phase sélectionnée pour les commentaires</t>
  </si>
  <si>
    <t>Indicator_Corp for comments</t>
  </si>
  <si>
    <t>Traduction Phase</t>
  </si>
  <si>
    <t>Tot_proj</t>
  </si>
  <si>
    <t>tango_core_model:</t>
  </si>
  <si>
    <t>VC</t>
  </si>
  <si>
    <t>V0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</si>
  <si>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</si>
  <si>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</si>
  <si>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</si>
  <si>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</si>
  <si>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</si>
  <si>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</si>
  <si>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</si>
  <si>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</si>
  <si>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</si>
  <si>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VF</t>
  </si>
  <si>
    <t>Fact_PMAD_all</t>
  </si>
  <si>
    <t>Presta_IG</t>
  </si>
  <si>
    <t>PL1356_MF</t>
  </si>
  <si>
    <t>Cout_Crystal</t>
  </si>
  <si>
    <t>Actual_N_1</t>
  </si>
  <si>
    <t>Pdts_ope</t>
  </si>
  <si>
    <t>PL1357_MF</t>
  </si>
  <si>
    <t>Periode</t>
  </si>
  <si>
    <t>2nd particule</t>
  </si>
  <si>
    <t>Prior Period</t>
  </si>
  <si>
    <t>PL1006</t>
  </si>
  <si>
    <t>PL1003</t>
  </si>
  <si>
    <t>PL1007</t>
  </si>
  <si>
    <t>Cout_m_Lyon</t>
  </si>
  <si>
    <t>Année pleine</t>
  </si>
  <si>
    <t>Reste à encourir</t>
  </si>
  <si>
    <t>% de reste à encourir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</si>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</sst>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00"/>
    <numFmt numFmtId="173" formatCode="#,##0.0;&quot;(&quot;#,##0.0&quot;)&quot;"/>
    <numFmt numFmtId="174" formatCode="#,##0;&quot;(&quot;#,##0&quot;)&quot;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b/>
      <sz val="15"/>
      <name val="Calibri"/>
      <family val="2"/>
    </font>
    <font>
      <b/>
      <sz val="18"/>
      <color indexed="46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i/>
      <sz val="15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8"/>
      <name val="Wingdings"/>
      <charset val="2"/>
    </font>
    <font>
      <b/>
      <sz val="10"/>
      <color indexed="10"/>
      <name val="Arial"/>
      <family val="2"/>
    </font>
    <font>
      <b/>
      <sz val="11"/>
      <color rgb="FFFF0000"/>
      <name val="Arial"/>
      <family val="2"/>
    </font>
    <font>
      <i/>
      <sz val="18"/>
      <name val="Calibri"/>
      <family val="2"/>
    </font>
    <font>
      <b/>
      <i/>
      <sz val="15"/>
      <name val="Calibri"/>
      <family val="2"/>
    </font>
    <font>
      <sz val="10"/>
      <color theme="0"/>
      <name val="Arial"/>
      <family val="2"/>
    </font>
    <font>
      <b/>
      <sz val="16"/>
      <name val="Calibri"/>
      <family val="2"/>
    </font>
    <font>
      <sz val="15"/>
      <color indexed="46"/>
      <name val="Calibri"/>
      <family val="2"/>
    </font>
    <font>
      <b/>
      <sz val="16"/>
      <color indexed="9"/>
      <name val="Calibri"/>
      <family val="2"/>
    </font>
    <font>
      <b/>
      <sz val="13"/>
      <name val="Calibri"/>
      <family val="2"/>
    </font>
    <font>
      <sz val="13"/>
      <name val="Calibri"/>
      <family val="2"/>
    </font>
    <font>
      <sz val="15"/>
      <color indexed="9"/>
      <name val="Calibri"/>
      <family val="2"/>
    </font>
    <font>
      <b/>
      <sz val="15"/>
      <color indexed="9"/>
      <name val="Calibri"/>
      <family val="2"/>
    </font>
    <font>
      <sz val="13"/>
      <color indexed="9"/>
      <name val="Calibri"/>
      <family val="2"/>
    </font>
    <font>
      <b/>
      <sz val="13"/>
      <color indexed="46"/>
      <name val="Calibri"/>
      <family val="2"/>
    </font>
    <font>
      <b/>
      <sz val="15"/>
      <color indexed="46"/>
      <name val="Calibri"/>
      <family val="2"/>
    </font>
    <font>
      <sz val="11"/>
      <color rgb="FFFF0000"/>
      <name val="Calibri"/>
      <family val="2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6"/>
      <name val="Calibri"/>
      <family val="2"/>
    </font>
    <font>
      <sz val="14"/>
      <name val="Calibri"/>
      <family val="2"/>
    </font>
    <font>
      <b/>
      <sz val="16"/>
      <color indexed="57"/>
      <name val="Wingdings"/>
      <charset val="2"/>
    </font>
    <font>
      <b/>
      <sz val="16"/>
      <color indexed="9"/>
      <name val="Wingdings"/>
      <charset val="2"/>
    </font>
    <font>
      <i/>
      <sz val="16"/>
      <name val="Calibri"/>
      <family val="2"/>
    </font>
    <font>
      <b/>
      <sz val="30"/>
      <color indexed="9"/>
      <name val="Calibri"/>
      <family val="2"/>
    </font>
    <font>
      <b/>
      <sz val="18"/>
      <color rgb="FFA50021"/>
      <name val="Calibri"/>
      <family val="2"/>
    </font>
    <font>
      <b/>
      <sz val="16"/>
      <color rgb="FFA50021"/>
      <name val="Wingdings"/>
      <charset val="2"/>
    </font>
    <font>
      <b/>
      <sz val="18"/>
      <color rgb="FF8F071A"/>
      <name val="Calibri"/>
      <family val="2"/>
    </font>
    <font>
      <b/>
      <sz val="16"/>
      <color rgb="FF8F071A"/>
      <name val="Calibri"/>
      <family val="2"/>
    </font>
    <font>
      <b/>
      <sz val="15"/>
      <color rgb="FF8F071A"/>
      <name val="Calibri"/>
      <family val="2"/>
    </font>
    <font>
      <b/>
      <sz val="16"/>
      <color rgb="FF8F071A"/>
      <name val="Wingdings"/>
      <charset val="2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rgb="FFFFFFCC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medium">
        <color rgb="FF8F071A"/>
      </bottom>
      <diagonal/>
    </border>
    <border>
      <left/>
      <right/>
      <top style="medium">
        <color rgb="FF8F071A"/>
      </top>
      <bottom style="medium">
        <color rgb="FF8F071A"/>
      </bottom>
      <diagonal/>
    </border>
    <border>
      <left/>
      <right style="thick">
        <color rgb="FF8F071A"/>
      </right>
      <top/>
      <bottom/>
      <diagonal/>
    </border>
    <border>
      <left style="medium">
        <color indexed="9"/>
      </left>
      <right style="medium">
        <color indexed="9"/>
      </right>
      <top style="thick">
        <color indexed="9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9"/>
      </left>
      <right/>
      <top/>
      <bottom/>
      <diagonal/>
    </border>
    <border>
      <left/>
      <right/>
      <top style="thick">
        <color indexed="9"/>
      </top>
      <bottom/>
      <diagonal/>
    </border>
  </borders>
  <cellStyleXfs count="289">
    <xf numFmtId="0" fontId="0" fillId="0" borderId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9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3" fillId="3" borderId="0" applyNumberFormat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166" fontId="34" fillId="22" borderId="0" applyNumberFormat="0" applyBorder="0">
      <alignment horizontal="right"/>
      <protection locked="0"/>
    </xf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167" fontId="35" fillId="23" borderId="0" applyNumberFormat="0" applyBorder="0">
      <alignment horizontal="right" vertical="center"/>
      <protection locked="0"/>
    </xf>
    <xf numFmtId="168" fontId="35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25" borderId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6" fillId="25" borderId="0"/>
    <xf numFmtId="0" fontId="36" fillId="25" borderId="0"/>
    <xf numFmtId="169" fontId="38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36" fillId="25" borderId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8" fillId="12" borderId="0" applyNumberFormat="0" applyBorder="0" applyAlignment="0" applyProtection="0"/>
    <xf numFmtId="0" fontId="39" fillId="27" borderId="10" applyNumberFormat="0" applyAlignment="0" applyProtection="0"/>
    <xf numFmtId="0" fontId="27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170" fontId="42" fillId="28" borderId="0" applyNumberFormat="0" applyBorder="0">
      <alignment horizontal="left" vertical="center"/>
      <protection locked="0"/>
    </xf>
    <xf numFmtId="170" fontId="43" fillId="22" borderId="0" applyNumberFormat="0" applyBorder="0">
      <alignment horizontal="left"/>
      <protection locked="0"/>
    </xf>
    <xf numFmtId="0" fontId="44" fillId="0" borderId="6" applyNumberFormat="0" applyFill="0" applyAlignment="0" applyProtection="0"/>
    <xf numFmtId="0" fontId="45" fillId="0" borderId="11" applyNumberFormat="0" applyFill="0" applyAlignment="0" applyProtection="0"/>
    <xf numFmtId="0" fontId="46" fillId="0" borderId="12" applyNumberFormat="0" applyFill="0" applyAlignment="0" applyProtection="0"/>
    <xf numFmtId="0" fontId="46" fillId="0" borderId="0" applyNumberFormat="0" applyFill="0" applyBorder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16" fillId="20" borderId="3" applyNumberFormat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45" borderId="47" applyNumberFormat="0" applyFont="0" applyAlignment="0" applyProtection="0"/>
  </cellStyleXfs>
  <cellXfs count="249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3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3" fillId="0" borderId="0" xfId="222" applyFont="1" applyProtection="1"/>
    <xf numFmtId="0" fontId="50" fillId="0" borderId="0" xfId="205" applyFont="1" applyFill="1" applyBorder="1" applyAlignment="1" applyProtection="1">
      <alignment vertical="center"/>
    </xf>
    <xf numFmtId="0" fontId="51" fillId="0" borderId="0" xfId="205" applyFont="1" applyFill="1" applyBorder="1" applyAlignment="1" applyProtection="1">
      <alignment horizontal="right" vertical="center" indent="1"/>
    </xf>
    <xf numFmtId="0" fontId="7" fillId="0" borderId="0" xfId="222" applyFont="1" applyAlignment="1" applyProtection="1"/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" fillId="0" borderId="0" xfId="205" applyFont="1" applyFill="1" applyBorder="1" applyAlignment="1" applyProtection="1">
      <alignment horizontal="right" vertical="center" indent="1"/>
    </xf>
    <xf numFmtId="0" fontId="59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0" fillId="30" borderId="14" xfId="0" applyFont="1" applyFill="1" applyBorder="1" applyAlignment="1" applyProtection="1">
      <alignment horizontal="left"/>
      <protection locked="0"/>
    </xf>
    <xf numFmtId="0" fontId="58" fillId="30" borderId="15" xfId="0" applyFont="1" applyFill="1" applyBorder="1" applyProtection="1">
      <protection locked="0"/>
    </xf>
    <xf numFmtId="0" fontId="57" fillId="31" borderId="16" xfId="0" applyFont="1" applyFill="1" applyBorder="1" applyProtection="1">
      <protection locked="0"/>
    </xf>
    <xf numFmtId="0" fontId="57" fillId="0" borderId="16" xfId="0" applyFont="1" applyBorder="1" applyProtection="1">
      <protection locked="0"/>
    </xf>
    <xf numFmtId="0" fontId="57" fillId="0" borderId="16" xfId="0" applyNumberFormat="1" applyFont="1" applyBorder="1" applyProtection="1">
      <protection locked="0"/>
    </xf>
    <xf numFmtId="0" fontId="0" fillId="0" borderId="0" xfId="0" applyProtection="1"/>
    <xf numFmtId="0" fontId="56" fillId="0" borderId="0" xfId="0" applyFont="1" applyFill="1" applyBorder="1" applyAlignment="1" applyProtection="1">
      <alignment horizontal="right"/>
    </xf>
    <xf numFmtId="0" fontId="0" fillId="0" borderId="0" xfId="0" applyBorder="1" applyProtection="1"/>
    <xf numFmtId="0" fontId="0" fillId="0" borderId="17" xfId="0" applyBorder="1" applyProtection="1"/>
    <xf numFmtId="0" fontId="0" fillId="0" borderId="18" xfId="0" applyBorder="1" applyProtection="1"/>
    <xf numFmtId="0" fontId="4" fillId="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7" fillId="29" borderId="19" xfId="0" applyFont="1" applyFill="1" applyBorder="1" applyAlignment="1" applyProtection="1">
      <alignment horizontal="left" vertical="center"/>
    </xf>
    <xf numFmtId="0" fontId="49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14" fillId="0" borderId="20" xfId="196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horizontal="left"/>
    </xf>
    <xf numFmtId="0" fontId="14" fillId="0" borderId="0" xfId="196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18" fillId="0" borderId="0" xfId="196" applyFont="1" applyFill="1" applyBorder="1" applyAlignment="1" applyProtection="1">
      <alignment horizontal="center"/>
    </xf>
    <xf numFmtId="3" fontId="51" fillId="0" borderId="0" xfId="222" applyNumberFormat="1" applyFont="1" applyFill="1" applyBorder="1" applyAlignment="1" applyProtection="1">
      <alignment horizontal="right" vertical="center" wrapText="1" indent="1"/>
    </xf>
    <xf numFmtId="0" fontId="51" fillId="0" borderId="0" xfId="222" applyFont="1" applyFill="1" applyBorder="1" applyAlignment="1" applyProtection="1">
      <alignment horizontal="left" vertical="center" wrapText="1"/>
    </xf>
    <xf numFmtId="0" fontId="52" fillId="0" borderId="0" xfId="196" applyFont="1" applyFill="1" applyBorder="1" applyAlignment="1" applyProtection="1">
      <alignment horizontal="center"/>
    </xf>
    <xf numFmtId="3" fontId="53" fillId="0" borderId="0" xfId="222" applyNumberFormat="1" applyFont="1" applyFill="1" applyBorder="1" applyAlignment="1" applyProtection="1">
      <alignment horizontal="right" vertical="center" wrapText="1" indent="1"/>
    </xf>
    <xf numFmtId="0" fontId="4" fillId="0" borderId="0" xfId="0" applyFont="1" applyBorder="1" applyProtection="1"/>
    <xf numFmtId="0" fontId="4" fillId="0" borderId="0" xfId="0" applyFont="1" applyProtection="1"/>
    <xf numFmtId="0" fontId="56" fillId="0" borderId="0" xfId="0" applyFont="1" applyAlignment="1" applyProtection="1">
      <alignment horizontal="right"/>
    </xf>
    <xf numFmtId="0" fontId="61" fillId="32" borderId="4" xfId="0" applyFont="1" applyFill="1" applyBorder="1" applyAlignment="1" applyProtection="1">
      <alignment horizontal="center"/>
    </xf>
    <xf numFmtId="0" fontId="62" fillId="30" borderId="4" xfId="0" applyFont="1" applyFill="1" applyBorder="1" applyProtection="1"/>
    <xf numFmtId="0" fontId="0" fillId="33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57" fillId="0" borderId="21" xfId="0" applyFont="1" applyBorder="1" applyProtection="1">
      <protection locked="0"/>
    </xf>
    <xf numFmtId="0" fontId="0" fillId="0" borderId="0" xfId="0" applyProtection="1"/>
    <xf numFmtId="0" fontId="64" fillId="0" borderId="0" xfId="205" applyFont="1" applyFill="1" applyBorder="1" applyAlignment="1" applyProtection="1">
      <alignment horizontal="right" vertical="center"/>
    </xf>
    <xf numFmtId="0" fontId="65" fillId="0" borderId="0" xfId="205" applyFont="1" applyFill="1" applyBorder="1" applyAlignment="1" applyProtection="1">
      <alignment vertical="center"/>
    </xf>
    <xf numFmtId="0" fontId="64" fillId="0" borderId="0" xfId="205" applyFont="1" applyFill="1" applyBorder="1" applyAlignment="1" applyProtection="1">
      <alignment vertical="center"/>
    </xf>
    <xf numFmtId="0" fontId="3" fillId="0" borderId="0" xfId="205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52" fillId="0" borderId="20" xfId="196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7" fillId="0" borderId="25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4" fillId="29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vertical="center"/>
    </xf>
    <xf numFmtId="0" fontId="2" fillId="0" borderId="26" xfId="0" applyFont="1" applyBorder="1" applyProtection="1"/>
    <xf numFmtId="0" fontId="2" fillId="0" borderId="28" xfId="0" applyFont="1" applyFill="1" applyBorder="1" applyProtection="1"/>
    <xf numFmtId="0" fontId="2" fillId="0" borderId="28" xfId="0" applyFont="1" applyBorder="1" applyProtection="1"/>
    <xf numFmtId="0" fontId="2" fillId="0" borderId="27" xfId="0" applyFont="1" applyBorder="1" applyProtection="1"/>
    <xf numFmtId="0" fontId="0" fillId="0" borderId="26" xfId="0" applyBorder="1" applyProtection="1"/>
    <xf numFmtId="0" fontId="3" fillId="37" borderId="26" xfId="205" applyFont="1" applyFill="1" applyBorder="1" applyAlignment="1" applyProtection="1">
      <alignment horizontal="center" vertical="center"/>
    </xf>
    <xf numFmtId="0" fontId="0" fillId="0" borderId="29" xfId="0" applyBorder="1" applyProtection="1"/>
    <xf numFmtId="0" fontId="7" fillId="29" borderId="30" xfId="0" applyFont="1" applyFill="1" applyBorder="1" applyAlignment="1" applyProtection="1">
      <alignment horizontal="left" vertical="center"/>
    </xf>
    <xf numFmtId="0" fontId="0" fillId="0" borderId="28" xfId="0" applyBorder="1" applyProtection="1"/>
    <xf numFmtId="0" fontId="4" fillId="0" borderId="27" xfId="205" applyFont="1" applyFill="1" applyBorder="1" applyAlignment="1" applyProtection="1">
      <alignment vertical="center"/>
    </xf>
    <xf numFmtId="0" fontId="2" fillId="0" borderId="26" xfId="0" applyFont="1" applyBorder="1"/>
    <xf numFmtId="0" fontId="0" fillId="0" borderId="28" xfId="0" applyBorder="1"/>
    <xf numFmtId="0" fontId="0" fillId="0" borderId="27" xfId="0" applyBorder="1"/>
    <xf numFmtId="0" fontId="11" fillId="0" borderId="28" xfId="205" applyFont="1" applyFill="1" applyBorder="1" applyAlignment="1" applyProtection="1">
      <alignment vertical="center"/>
    </xf>
    <xf numFmtId="0" fontId="11" fillId="0" borderId="27" xfId="205" applyFont="1" applyFill="1" applyBorder="1" applyAlignment="1" applyProtection="1">
      <alignment vertical="center"/>
    </xf>
    <xf numFmtId="0" fontId="67" fillId="0" borderId="29" xfId="0" applyFont="1" applyBorder="1" applyProtection="1"/>
    <xf numFmtId="0" fontId="2" fillId="0" borderId="0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4" fillId="0" borderId="34" xfId="205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69" fillId="0" borderId="29" xfId="0" applyFont="1" applyBorder="1" applyAlignment="1" applyProtection="1">
      <alignment horizontal="center"/>
    </xf>
    <xf numFmtId="0" fontId="71" fillId="0" borderId="0" xfId="0" applyFont="1" applyProtection="1"/>
    <xf numFmtId="0" fontId="72" fillId="0" borderId="0" xfId="196" applyFont="1" applyFill="1" applyBorder="1" applyAlignment="1" applyProtection="1">
      <alignment horizontal="center"/>
    </xf>
    <xf numFmtId="0" fontId="2" fillId="0" borderId="35" xfId="0" applyFont="1" applyBorder="1" applyProtection="1"/>
    <xf numFmtId="0" fontId="0" fillId="0" borderId="26" xfId="0" applyFont="1" applyFill="1" applyBorder="1" applyProtection="1"/>
    <xf numFmtId="0" fontId="4" fillId="0" borderId="28" xfId="205" applyFont="1" applyFill="1" applyBorder="1" applyAlignment="1" applyProtection="1">
      <alignment vertical="center"/>
    </xf>
    <xf numFmtId="0" fontId="61" fillId="0" borderId="33" xfId="0" applyFont="1" applyBorder="1" applyAlignment="1" applyProtection="1">
      <alignment horizontal="center"/>
    </xf>
    <xf numFmtId="0" fontId="67" fillId="0" borderId="26" xfId="0" applyFont="1" applyBorder="1" applyAlignment="1" applyProtection="1">
      <alignment horizontal="center"/>
    </xf>
    <xf numFmtId="0" fontId="68" fillId="0" borderId="27" xfId="0" applyFont="1" applyBorder="1" applyAlignment="1" applyProtection="1">
      <alignment horizontal="center" vertical="center"/>
    </xf>
    <xf numFmtId="0" fontId="0" fillId="0" borderId="28" xfId="0" applyFill="1" applyBorder="1" applyProtection="1"/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19" fillId="0" borderId="0" xfId="0" applyFont="1" applyProtection="1"/>
    <xf numFmtId="0" fontId="0" fillId="0" borderId="26" xfId="0" applyBorder="1"/>
    <xf numFmtId="0" fontId="50" fillId="39" borderId="0" xfId="205" applyFont="1" applyFill="1" applyBorder="1" applyAlignment="1" applyProtection="1">
      <alignment vertical="center"/>
    </xf>
    <xf numFmtId="0" fontId="18" fillId="39" borderId="0" xfId="196" applyFont="1" applyFill="1" applyBorder="1" applyAlignment="1" applyProtection="1">
      <alignment horizontal="center"/>
    </xf>
    <xf numFmtId="0" fontId="54" fillId="0" borderId="0" xfId="222" applyFont="1" applyFill="1" applyBorder="1" applyAlignment="1" applyProtection="1">
      <alignment horizontal="left" vertical="center"/>
    </xf>
    <xf numFmtId="0" fontId="20" fillId="0" borderId="0" xfId="222" applyFont="1" applyFill="1" applyBorder="1" applyAlignment="1" applyProtection="1">
      <alignment horizontal="left" vertical="center"/>
    </xf>
    <xf numFmtId="0" fontId="76" fillId="0" borderId="0" xfId="222" applyFont="1" applyFill="1" applyBorder="1" applyAlignment="1" applyProtection="1">
      <alignment horizontal="left" vertical="center"/>
    </xf>
    <xf numFmtId="0" fontId="53" fillId="0" borderId="0" xfId="222" applyFont="1" applyFill="1" applyBorder="1" applyAlignment="1" applyProtection="1">
      <alignment horizontal="left" vertical="center"/>
    </xf>
    <xf numFmtId="0" fontId="63" fillId="0" borderId="0" xfId="222" applyFont="1" applyFill="1" applyBorder="1" applyAlignment="1" applyProtection="1">
      <alignment vertical="center"/>
    </xf>
    <xf numFmtId="171" fontId="73" fillId="0" borderId="0" xfId="205" applyNumberFormat="1" applyFont="1" applyFill="1" applyBorder="1" applyAlignment="1" applyProtection="1">
      <alignment horizontal="right" vertical="center" indent="1"/>
    </xf>
    <xf numFmtId="0" fontId="0" fillId="0" borderId="37" xfId="0" applyBorder="1" applyProtection="1"/>
    <xf numFmtId="0" fontId="0" fillId="0" borderId="38" xfId="0" applyBorder="1" applyProtection="1"/>
    <xf numFmtId="0" fontId="0" fillId="0" borderId="39" xfId="0" applyBorder="1" applyProtection="1"/>
    <xf numFmtId="0" fontId="4" fillId="0" borderId="39" xfId="205" applyFont="1" applyFill="1" applyBorder="1" applyAlignment="1" applyProtection="1">
      <alignment vertical="center"/>
    </xf>
    <xf numFmtId="0" fontId="2" fillId="0" borderId="39" xfId="0" applyFont="1" applyBorder="1" applyProtection="1"/>
    <xf numFmtId="0" fontId="56" fillId="0" borderId="39" xfId="0" applyFont="1" applyBorder="1" applyProtection="1"/>
    <xf numFmtId="0" fontId="9" fillId="0" borderId="39" xfId="205" applyFont="1" applyFill="1" applyBorder="1" applyAlignment="1" applyProtection="1">
      <alignment horizontal="center" vertical="center"/>
    </xf>
    <xf numFmtId="0" fontId="4" fillId="0" borderId="39" xfId="205" applyFont="1" applyFill="1" applyBorder="1" applyAlignment="1" applyProtection="1">
      <alignment horizontal="center" vertical="center"/>
    </xf>
    <xf numFmtId="0" fontId="1" fillId="0" borderId="39" xfId="275" applyFill="1" applyBorder="1"/>
    <xf numFmtId="0" fontId="3" fillId="0" borderId="39" xfId="205" applyFont="1" applyFill="1" applyBorder="1" applyAlignment="1" applyProtection="1">
      <alignment horizontal="center" vertical="center"/>
    </xf>
    <xf numFmtId="0" fontId="2" fillId="0" borderId="39" xfId="0" applyFont="1" applyFill="1" applyBorder="1" applyProtection="1"/>
    <xf numFmtId="0" fontId="1" fillId="0" borderId="39" xfId="279" applyFill="1" applyBorder="1"/>
    <xf numFmtId="0" fontId="0" fillId="0" borderId="39" xfId="0" applyFill="1" applyBorder="1" applyProtection="1"/>
    <xf numFmtId="0" fontId="1" fillId="0" borderId="39" xfId="285" applyFill="1" applyBorder="1"/>
    <xf numFmtId="0" fontId="67" fillId="0" borderId="0" xfId="0" applyFont="1" applyFill="1" applyProtection="1"/>
    <xf numFmtId="173" fontId="79" fillId="0" borderId="0" xfId="222" applyNumberFormat="1" applyFont="1" applyFill="1" applyBorder="1" applyAlignment="1">
      <alignment horizontal="left" vertical="center"/>
    </xf>
    <xf numFmtId="173" fontId="63" fillId="0" borderId="0" xfId="205" applyNumberFormat="1" applyFont="1" applyFill="1" applyBorder="1" applyAlignment="1" applyProtection="1">
      <alignment horizontal="right" vertical="center" indent="1"/>
    </xf>
    <xf numFmtId="0" fontId="4" fillId="29" borderId="0" xfId="205" applyFont="1" applyFill="1" applyBorder="1" applyAlignment="1" applyProtection="1">
      <alignment horizontal="left" vertical="center"/>
    </xf>
    <xf numFmtId="0" fontId="5" fillId="29" borderId="0" xfId="205" applyFont="1" applyFill="1" applyBorder="1" applyAlignment="1" applyProtection="1">
      <alignment vertical="center"/>
    </xf>
    <xf numFmtId="0" fontId="6" fillId="29" borderId="0" xfId="205" applyFont="1" applyFill="1" applyBorder="1" applyAlignment="1" applyProtection="1">
      <alignment vertical="center"/>
    </xf>
    <xf numFmtId="0" fontId="5" fillId="36" borderId="0" xfId="205" applyFont="1" applyFill="1" applyBorder="1" applyAlignment="1" applyProtection="1">
      <alignment vertical="center"/>
    </xf>
    <xf numFmtId="0" fontId="6" fillId="36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85" fillId="0" borderId="0" xfId="205" applyFont="1" applyFill="1" applyBorder="1" applyAlignment="1" applyProtection="1">
      <alignment horizontal="center" vertical="center"/>
    </xf>
    <xf numFmtId="0" fontId="67" fillId="0" borderId="0" xfId="0" applyFont="1" applyAlignment="1" applyProtection="1">
      <alignment horizontal="left" vertical="center"/>
    </xf>
    <xf numFmtId="0" fontId="20" fillId="0" borderId="0" xfId="0" applyFont="1" applyFill="1" applyBorder="1" applyAlignment="1" applyProtection="1">
      <alignment horizontal="left" vertical="center"/>
    </xf>
    <xf numFmtId="0" fontId="68" fillId="0" borderId="0" xfId="0" applyFont="1" applyProtection="1"/>
    <xf numFmtId="0" fontId="63" fillId="0" borderId="0" xfId="222" applyFont="1" applyFill="1" applyBorder="1" applyAlignment="1" applyProtection="1">
      <alignment horizontal="left" vertical="center"/>
    </xf>
    <xf numFmtId="0" fontId="86" fillId="0" borderId="0" xfId="0" applyFont="1" applyProtection="1"/>
    <xf numFmtId="0" fontId="0" fillId="38" borderId="17" xfId="0" applyFill="1" applyBorder="1" applyProtection="1"/>
    <xf numFmtId="0" fontId="0" fillId="38" borderId="34" xfId="0" applyFill="1" applyBorder="1" applyProtection="1"/>
    <xf numFmtId="0" fontId="74" fillId="38" borderId="40" xfId="0" applyFont="1" applyFill="1" applyBorder="1" applyAlignment="1" applyProtection="1">
      <alignment horizontal="right"/>
    </xf>
    <xf numFmtId="0" fontId="71" fillId="0" borderId="0" xfId="0" applyFont="1" applyBorder="1" applyAlignment="1" applyProtection="1">
      <alignment horizontal="right"/>
    </xf>
    <xf numFmtId="0" fontId="19" fillId="0" borderId="0" xfId="0" applyFont="1" applyFill="1" applyBorder="1" applyProtection="1"/>
    <xf numFmtId="3" fontId="66" fillId="0" borderId="4" xfId="205" applyNumberFormat="1" applyFont="1" applyFill="1" applyBorder="1" applyAlignment="1" applyProtection="1">
      <alignment horizontal="center" vertical="center"/>
    </xf>
    <xf numFmtId="3" fontId="0" fillId="0" borderId="0" xfId="0" applyNumberFormat="1" applyProtection="1"/>
    <xf numFmtId="3" fontId="11" fillId="0" borderId="0" xfId="205" applyNumberFormat="1" applyFont="1" applyFill="1" applyBorder="1" applyAlignment="1" applyProtection="1">
      <alignment vertical="center"/>
    </xf>
    <xf numFmtId="0" fontId="70" fillId="0" borderId="0" xfId="0" applyFont="1" applyAlignment="1" applyProtection="1">
      <alignment horizontal="right"/>
    </xf>
    <xf numFmtId="0" fontId="4" fillId="0" borderId="17" xfId="205" applyFont="1" applyFill="1" applyBorder="1" applyAlignment="1" applyProtection="1">
      <alignment horizontal="left" vertical="center"/>
    </xf>
    <xf numFmtId="0" fontId="87" fillId="0" borderId="0" xfId="0" applyFont="1" applyAlignment="1" applyProtection="1">
      <alignment horizontal="right"/>
    </xf>
    <xf numFmtId="174" fontId="53" fillId="29" borderId="0" xfId="222" applyNumberFormat="1" applyFont="1" applyFill="1" applyBorder="1" applyAlignment="1">
      <alignment horizontal="right" vertical="center" wrapText="1" indent="1"/>
    </xf>
    <xf numFmtId="174" fontId="53" fillId="0" borderId="0" xfId="205" applyNumberFormat="1" applyFont="1" applyFill="1" applyBorder="1" applyAlignment="1" applyProtection="1">
      <alignment horizontal="right" vertical="center" indent="1"/>
    </xf>
    <xf numFmtId="174" fontId="51" fillId="0" borderId="0" xfId="205" applyNumberFormat="1" applyFont="1" applyFill="1" applyBorder="1" applyAlignment="1" applyProtection="1">
      <alignment horizontal="right" vertical="center" indent="1"/>
    </xf>
    <xf numFmtId="174" fontId="4" fillId="0" borderId="0" xfId="222" applyNumberFormat="1" applyFont="1" applyFill="1" applyBorder="1" applyAlignment="1">
      <alignment horizontal="left" vertical="center"/>
    </xf>
    <xf numFmtId="174" fontId="79" fillId="0" borderId="0" xfId="222" applyNumberFormat="1" applyFont="1" applyFill="1" applyBorder="1" applyAlignment="1">
      <alignment horizontal="left" vertical="center"/>
    </xf>
    <xf numFmtId="174" fontId="20" fillId="0" borderId="0" xfId="205" applyNumberFormat="1" applyFont="1" applyFill="1" applyBorder="1" applyAlignment="1" applyProtection="1">
      <alignment horizontal="right" vertical="center" indent="1"/>
    </xf>
    <xf numFmtId="174" fontId="80" fillId="0" borderId="0" xfId="222" applyNumberFormat="1" applyFont="1" applyFill="1" applyBorder="1" applyAlignment="1" applyProtection="1">
      <alignment horizontal="right" vertical="center" indent="1"/>
    </xf>
    <xf numFmtId="174" fontId="81" fillId="0" borderId="0" xfId="222" applyNumberFormat="1" applyFont="1" applyFill="1" applyBorder="1" applyAlignment="1">
      <alignment horizontal="right" vertical="center" wrapText="1" indent="1"/>
    </xf>
    <xf numFmtId="174" fontId="80" fillId="0" borderId="0" xfId="205" applyNumberFormat="1" applyFont="1" applyFill="1" applyBorder="1" applyAlignment="1" applyProtection="1">
      <alignment horizontal="right" vertical="center" indent="1"/>
    </xf>
    <xf numFmtId="174" fontId="82" fillId="0" borderId="0" xfId="222" applyNumberFormat="1" applyFont="1" applyFill="1" applyBorder="1" applyAlignment="1">
      <alignment horizontal="right" vertical="center" wrapText="1" indent="1"/>
    </xf>
    <xf numFmtId="174" fontId="54" fillId="0" borderId="0" xfId="222" applyNumberFormat="1" applyFont="1" applyFill="1" applyBorder="1" applyAlignment="1" applyProtection="1">
      <alignment horizontal="right" vertical="center" indent="1"/>
    </xf>
    <xf numFmtId="174" fontId="83" fillId="0" borderId="0" xfId="222" applyNumberFormat="1" applyFont="1" applyFill="1" applyBorder="1" applyAlignment="1" applyProtection="1">
      <alignment horizontal="right" vertical="center" indent="1"/>
    </xf>
    <xf numFmtId="174" fontId="84" fillId="0" borderId="0" xfId="222" applyNumberFormat="1" applyFont="1" applyFill="1" applyBorder="1" applyAlignment="1" applyProtection="1">
      <alignment horizontal="right" vertical="center" indent="1"/>
    </xf>
    <xf numFmtId="9" fontId="78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left" vertical="center"/>
    </xf>
    <xf numFmtId="9" fontId="78" fillId="0" borderId="0" xfId="222" applyNumberFormat="1" applyFont="1" applyFill="1" applyBorder="1" applyAlignment="1" applyProtection="1">
      <alignment horizontal="right" vertical="center" indent="1"/>
    </xf>
    <xf numFmtId="9" fontId="79" fillId="0" borderId="0" xfId="222" applyNumberFormat="1" applyFont="1" applyFill="1" applyBorder="1" applyAlignment="1" applyProtection="1">
      <alignment horizontal="right" vertical="center" indent="1"/>
    </xf>
    <xf numFmtId="9" fontId="82" fillId="0" borderId="0" xfId="222" applyNumberFormat="1" applyFont="1" applyFill="1" applyBorder="1" applyAlignment="1">
      <alignment horizontal="right" vertical="center" wrapText="1" indent="1"/>
    </xf>
    <xf numFmtId="9" fontId="83" fillId="0" borderId="0" xfId="222" applyNumberFormat="1" applyFont="1" applyFill="1" applyBorder="1" applyAlignment="1" applyProtection="1">
      <alignment horizontal="right" vertical="center" indent="1"/>
    </xf>
    <xf numFmtId="9" fontId="63" fillId="0" borderId="0" xfId="205" applyNumberFormat="1" applyFont="1" applyFill="1" applyBorder="1" applyAlignment="1" applyProtection="1">
      <alignment horizontal="right" vertical="center" indent="1"/>
    </xf>
    <xf numFmtId="174" fontId="63" fillId="0" borderId="0" xfId="205" applyNumberFormat="1" applyFont="1" applyFill="1" applyBorder="1" applyAlignment="1" applyProtection="1">
      <alignment horizontal="right" vertical="center" indent="1"/>
    </xf>
    <xf numFmtId="0" fontId="56" fillId="0" borderId="0" xfId="0" applyFont="1" applyAlignment="1" applyProtection="1">
      <alignment horizontal="left"/>
    </xf>
    <xf numFmtId="0" fontId="51" fillId="29" borderId="0" xfId="222" applyFont="1" applyFill="1" applyBorder="1" applyAlignment="1" applyProtection="1">
      <alignment horizontal="left" vertical="center" indent="2"/>
    </xf>
    <xf numFmtId="174" fontId="88" fillId="0" borderId="0" xfId="222" applyNumberFormat="1" applyFont="1" applyFill="1" applyBorder="1" applyAlignment="1">
      <alignment horizontal="right" vertical="center" wrapText="1" indent="1"/>
    </xf>
    <xf numFmtId="174" fontId="75" fillId="29" borderId="0" xfId="222" applyNumberFormat="1" applyFont="1" applyFill="1" applyBorder="1" applyAlignment="1">
      <alignment horizontal="right" vertical="center" wrapText="1" indent="1"/>
    </xf>
    <xf numFmtId="174" fontId="75" fillId="0" borderId="0" xfId="222" applyNumberFormat="1" applyFont="1" applyFill="1" applyBorder="1" applyAlignment="1" applyProtection="1">
      <alignment horizontal="right" vertical="center" indent="1"/>
    </xf>
    <xf numFmtId="174" fontId="88" fillId="0" borderId="0" xfId="222" applyNumberFormat="1" applyFont="1" applyFill="1" applyBorder="1" applyAlignment="1" applyProtection="1">
      <alignment horizontal="right" vertical="center" indent="1"/>
    </xf>
    <xf numFmtId="174" fontId="7" fillId="0" borderId="0" xfId="222" applyNumberFormat="1" applyFont="1" applyFill="1" applyBorder="1" applyAlignment="1">
      <alignment horizontal="right" vertical="center" wrapText="1" indent="1"/>
    </xf>
    <xf numFmtId="174" fontId="89" fillId="0" borderId="0" xfId="222" applyNumberFormat="1" applyFont="1" applyFill="1" applyBorder="1" applyAlignment="1">
      <alignment horizontal="right" vertical="center" wrapText="1" indent="1"/>
    </xf>
    <xf numFmtId="174" fontId="7" fillId="0" borderId="0" xfId="222" applyNumberFormat="1" applyFont="1" applyFill="1" applyBorder="1" applyAlignment="1" applyProtection="1">
      <alignment horizontal="right" vertical="center" indent="1"/>
    </xf>
    <xf numFmtId="174" fontId="89" fillId="0" borderId="0" xfId="222" applyNumberFormat="1" applyFont="1" applyFill="1" applyBorder="1" applyAlignment="1" applyProtection="1">
      <alignment horizontal="right" vertical="center" indent="1"/>
    </xf>
    <xf numFmtId="0" fontId="90" fillId="34" borderId="0" xfId="196" applyFont="1" applyFill="1" applyBorder="1" applyAlignment="1">
      <alignment horizontal="center" vertical="center"/>
    </xf>
    <xf numFmtId="0" fontId="88" fillId="0" borderId="0" xfId="222" applyFont="1" applyFill="1" applyBorder="1" applyAlignment="1">
      <alignment horizontal="left" vertical="center"/>
    </xf>
    <xf numFmtId="0" fontId="91" fillId="0" borderId="0" xfId="196" applyFont="1" applyFill="1" applyBorder="1" applyAlignment="1">
      <alignment horizontal="center" vertical="center"/>
    </xf>
    <xf numFmtId="0" fontId="90" fillId="0" borderId="0" xfId="196" applyFont="1" applyFill="1" applyBorder="1" applyAlignment="1">
      <alignment horizontal="center" vertical="center"/>
    </xf>
    <xf numFmtId="0" fontId="92" fillId="0" borderId="0" xfId="205" applyFont="1" applyFill="1" applyBorder="1" applyAlignment="1" applyProtection="1">
      <alignment horizontal="right" vertical="center" indent="1"/>
    </xf>
    <xf numFmtId="174" fontId="77" fillId="43" borderId="0" xfId="0" applyNumberFormat="1" applyFont="1" applyFill="1" applyBorder="1" applyAlignment="1">
      <alignment horizontal="right" vertical="center" wrapText="1" indent="1"/>
    </xf>
    <xf numFmtId="174" fontId="8" fillId="43" borderId="0" xfId="0" applyNumberFormat="1" applyFont="1" applyFill="1" applyBorder="1" applyAlignment="1">
      <alignment horizontal="right" vertical="center" wrapText="1" indent="1"/>
    </xf>
    <xf numFmtId="174" fontId="8" fillId="43" borderId="41" xfId="0" applyNumberFormat="1" applyFont="1" applyFill="1" applyBorder="1" applyAlignment="1">
      <alignment horizontal="right" vertical="center" wrapText="1" indent="1"/>
    </xf>
    <xf numFmtId="174" fontId="50" fillId="43" borderId="0" xfId="205" applyNumberFormat="1" applyFont="1" applyFill="1" applyBorder="1" applyAlignment="1" applyProtection="1">
      <alignment horizontal="right" vertical="center" indent="1"/>
    </xf>
    <xf numFmtId="9" fontId="81" fillId="43" borderId="0" xfId="0" applyNumberFormat="1" applyFont="1" applyFill="1" applyBorder="1" applyAlignment="1">
      <alignment horizontal="right" vertical="center" wrapText="1" indent="1"/>
    </xf>
    <xf numFmtId="0" fontId="94" fillId="0" borderId="0" xfId="196" applyFont="1" applyFill="1" applyBorder="1" applyAlignment="1" applyProtection="1">
      <alignment horizontal="center"/>
    </xf>
    <xf numFmtId="0" fontId="8" fillId="42" borderId="0" xfId="0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right" vertical="center" indent="1"/>
    </xf>
    <xf numFmtId="174" fontId="96" fillId="0" borderId="42" xfId="205" applyNumberFormat="1" applyFont="1" applyFill="1" applyBorder="1" applyAlignment="1" applyProtection="1">
      <alignment horizontal="right" vertical="center" indent="1"/>
    </xf>
    <xf numFmtId="174" fontId="97" fillId="40" borderId="42" xfId="222" applyNumberFormat="1" applyFont="1" applyFill="1" applyBorder="1" applyAlignment="1" applyProtection="1">
      <alignment horizontal="right" vertical="center" indent="1"/>
    </xf>
    <xf numFmtId="9" fontId="98" fillId="40" borderId="42" xfId="222" applyNumberFormat="1" applyFont="1" applyFill="1" applyBorder="1" applyAlignment="1" applyProtection="1">
      <alignment horizontal="right" vertical="center" indent="1"/>
    </xf>
    <xf numFmtId="0" fontId="95" fillId="41" borderId="42" xfId="196" applyFont="1" applyFill="1" applyBorder="1" applyAlignment="1">
      <alignment horizontal="center" vertical="center"/>
    </xf>
    <xf numFmtId="174" fontId="96" fillId="0" borderId="43" xfId="222" applyNumberFormat="1" applyFont="1" applyFill="1" applyBorder="1" applyAlignment="1" applyProtection="1">
      <alignment horizontal="right" vertical="center" indent="1"/>
    </xf>
    <xf numFmtId="174" fontId="96" fillId="29" borderId="43" xfId="222" applyNumberFormat="1" applyFont="1" applyFill="1" applyBorder="1" applyAlignment="1" applyProtection="1">
      <alignment horizontal="right" vertical="center" indent="1"/>
    </xf>
    <xf numFmtId="174" fontId="97" fillId="40" borderId="43" xfId="222" applyNumberFormat="1" applyFont="1" applyFill="1" applyBorder="1" applyAlignment="1" applyProtection="1">
      <alignment horizontal="right" vertical="center" indent="1"/>
    </xf>
    <xf numFmtId="9" fontId="98" fillId="40" borderId="43" xfId="222" applyNumberFormat="1" applyFont="1" applyFill="1" applyBorder="1" applyAlignment="1" applyProtection="1">
      <alignment horizontal="right" vertical="center" indent="1"/>
    </xf>
    <xf numFmtId="0" fontId="99" fillId="41" borderId="43" xfId="196" applyFont="1" applyFill="1" applyBorder="1" applyAlignment="1">
      <alignment horizontal="center" vertical="center"/>
    </xf>
    <xf numFmtId="0" fontId="95" fillId="41" borderId="0" xfId="196" applyFont="1" applyFill="1" applyBorder="1" applyAlignment="1">
      <alignment horizontal="center" vertical="center"/>
    </xf>
    <xf numFmtId="174" fontId="96" fillId="0" borderId="0" xfId="205" applyNumberFormat="1" applyFont="1" applyFill="1" applyBorder="1" applyAlignment="1" applyProtection="1">
      <alignment horizontal="right" vertical="center" indent="1"/>
    </xf>
    <xf numFmtId="0" fontId="7" fillId="39" borderId="0" xfId="0" applyFont="1" applyFill="1" applyBorder="1" applyAlignment="1" applyProtection="1">
      <alignment horizontal="left" vertical="center"/>
      <protection locked="0"/>
    </xf>
    <xf numFmtId="0" fontId="61" fillId="0" borderId="0" xfId="0" applyFont="1" applyAlignment="1" applyProtection="1">
      <alignment horizontal="right"/>
    </xf>
    <xf numFmtId="0" fontId="9" fillId="39" borderId="39" xfId="205" applyFont="1" applyFill="1" applyBorder="1" applyAlignment="1" applyProtection="1">
      <alignment horizontal="center" vertical="center"/>
    </xf>
    <xf numFmtId="0" fontId="51" fillId="29" borderId="0" xfId="222" applyFont="1" applyFill="1" applyBorder="1" applyAlignment="1">
      <alignment horizontal="left" vertical="center" wrapText="1"/>
    </xf>
    <xf numFmtId="1" fontId="0" fillId="0" borderId="0" xfId="0" applyNumberFormat="1" applyProtection="1"/>
    <xf numFmtId="0" fontId="97" fillId="0" borderId="0" xfId="222" applyFont="1" applyFill="1" applyBorder="1" applyAlignment="1" applyProtection="1">
      <alignment horizontal="center" vertical="center" textRotation="90" wrapText="1"/>
    </xf>
    <xf numFmtId="0" fontId="65" fillId="0" borderId="0" xfId="205" applyFont="1" applyFill="1" applyBorder="1" applyAlignment="1" applyProtection="1">
      <alignment horizontal="left" vertical="center"/>
    </xf>
    <xf numFmtId="0" fontId="67" fillId="0" borderId="0" xfId="0" applyFont="1" applyAlignment="1" applyProtection="1">
      <alignment horizontal="left" vertical="center" wrapText="1"/>
    </xf>
    <xf numFmtId="0" fontId="74" fillId="38" borderId="0" xfId="0" applyFont="1" applyFill="1" applyBorder="1" applyAlignment="1" applyProtection="1">
      <alignment horizontal="right"/>
    </xf>
    <xf numFmtId="0" fontId="0" fillId="38" borderId="0" xfId="0" applyFill="1" applyBorder="1" applyProtection="1"/>
    <xf numFmtId="0" fontId="69" fillId="0" borderId="0" xfId="0" applyFont="1" applyBorder="1" applyAlignment="1" applyProtection="1">
      <alignment horizontal="center"/>
    </xf>
    <xf numFmtId="0" fontId="51" fillId="29" borderId="0" xfId="222" applyFont="1" applyFill="1" applyBorder="1" applyAlignment="1" applyProtection="1">
      <alignment horizontal="left" vertical="center" indent="2"/>
    </xf>
    <xf numFmtId="0" fontId="68" fillId="0" borderId="0" xfId="0" applyFont="1" applyFill="1" applyBorder="1" applyAlignment="1" applyProtection="1">
      <alignment horizontal="center"/>
    </xf>
    <xf numFmtId="0" fontId="0" fillId="0" borderId="36" xfId="0" applyBorder="1" applyProtection="1"/>
    <xf numFmtId="0" fontId="58" fillId="30" borderId="14" xfId="0" applyFont="1" applyFill="1" applyBorder="1" applyAlignment="1" applyProtection="1">
      <alignment horizontal="left" vertical="center"/>
      <protection locked="0"/>
    </xf>
    <xf numFmtId="0" fontId="68" fillId="0" borderId="31" xfId="0" applyFont="1" applyFill="1" applyBorder="1" applyAlignment="1" applyProtection="1">
      <alignment horizontal="center"/>
    </xf>
    <xf numFmtId="0" fontId="68" fillId="0" borderId="32" xfId="0" applyFont="1" applyFill="1" applyBorder="1" applyAlignment="1" applyProtection="1">
      <alignment horizontal="center"/>
    </xf>
    <xf numFmtId="0" fontId="68" fillId="0" borderId="33" xfId="0" applyFont="1" applyFill="1" applyBorder="1" applyAlignment="1" applyProtection="1">
      <alignment horizontal="center"/>
    </xf>
    <xf numFmtId="0" fontId="51" fillId="29" borderId="0" xfId="222" applyFont="1" applyFill="1" applyBorder="1" applyAlignment="1">
      <alignment horizontal="left" vertical="center" wrapText="1"/>
    </xf>
    <xf numFmtId="0" fontId="75" fillId="29" borderId="0" xfId="222" applyFont="1" applyFill="1" applyBorder="1" applyAlignment="1" applyProtection="1">
      <alignment horizontal="left" vertical="center" indent="1"/>
    </xf>
    <xf numFmtId="0" fontId="51" fillId="29" borderId="0" xfId="222" applyFont="1" applyFill="1" applyBorder="1" applyAlignment="1" applyProtection="1">
      <alignment horizontal="left" vertical="center" indent="2"/>
    </xf>
    <xf numFmtId="0" fontId="96" fillId="29" borderId="43" xfId="222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left" vertical="center"/>
    </xf>
    <xf numFmtId="0" fontId="97" fillId="0" borderId="44" xfId="222" applyFont="1" applyFill="1" applyBorder="1" applyAlignment="1" applyProtection="1">
      <alignment horizontal="center" vertical="center" textRotation="90" wrapText="1"/>
    </xf>
    <xf numFmtId="0" fontId="51" fillId="35" borderId="22" xfId="205" applyFont="1" applyFill="1" applyBorder="1" applyAlignment="1" applyProtection="1">
      <alignment horizontal="center" vertical="center"/>
      <protection locked="0"/>
    </xf>
    <xf numFmtId="0" fontId="51" fillId="35" borderId="0" xfId="205" applyFont="1" applyFill="1" applyBorder="1" applyAlignment="1" applyProtection="1">
      <alignment horizontal="center" vertical="center"/>
      <protection locked="0"/>
    </xf>
    <xf numFmtId="0" fontId="68" fillId="0" borderId="31" xfId="0" applyFont="1" applyBorder="1" applyAlignment="1" applyProtection="1">
      <alignment horizontal="center"/>
    </xf>
    <xf numFmtId="0" fontId="68" fillId="0" borderId="32" xfId="0" applyFont="1" applyBorder="1" applyAlignment="1" applyProtection="1">
      <alignment horizontal="center"/>
    </xf>
    <xf numFmtId="0" fontId="68" fillId="0" borderId="33" xfId="0" applyFont="1" applyBorder="1" applyAlignment="1" applyProtection="1">
      <alignment horizontal="center"/>
    </xf>
    <xf numFmtId="0" fontId="8" fillId="43" borderId="0" xfId="0" applyFont="1" applyFill="1" applyBorder="1" applyAlignment="1">
      <alignment horizontal="left" vertical="center"/>
    </xf>
    <xf numFmtId="0" fontId="75" fillId="29" borderId="0" xfId="222" applyFont="1" applyFill="1" applyBorder="1" applyAlignment="1">
      <alignment horizontal="left" vertical="center"/>
    </xf>
    <xf numFmtId="2" fontId="51" fillId="29" borderId="0" xfId="222" applyNumberFormat="1" applyFont="1" applyFill="1" applyBorder="1" applyAlignment="1">
      <alignment horizontal="left" vertical="center" indent="1"/>
    </xf>
    <xf numFmtId="0" fontId="51" fillId="39" borderId="0" xfId="222" applyFont="1" applyFill="1" applyBorder="1" applyAlignment="1" applyProtection="1">
      <alignment horizontal="left" vertical="center"/>
    </xf>
    <xf numFmtId="0" fontId="93" fillId="44" borderId="0" xfId="0" applyFont="1" applyFill="1" applyBorder="1" applyAlignment="1" applyProtection="1">
      <alignment horizontal="center" vertical="center"/>
    </xf>
    <xf numFmtId="0" fontId="48" fillId="43" borderId="48" xfId="0" applyFont="1" applyFill="1" applyBorder="1" applyAlignment="1" applyProtection="1">
      <alignment horizontal="center" vertical="center" wrapText="1"/>
    </xf>
    <xf numFmtId="0" fontId="48" fillId="43" borderId="24" xfId="0" applyFont="1" applyFill="1" applyBorder="1" applyAlignment="1" applyProtection="1">
      <alignment horizontal="center" vertical="center" wrapText="1"/>
    </xf>
    <xf numFmtId="0" fontId="48" fillId="43" borderId="49" xfId="0" applyFont="1" applyFill="1" applyBorder="1" applyAlignment="1" applyProtection="1">
      <alignment horizontal="center" vertical="center" wrapText="1"/>
    </xf>
    <xf numFmtId="0" fontId="48" fillId="43" borderId="36" xfId="0" applyFont="1" applyFill="1" applyBorder="1" applyAlignment="1" applyProtection="1">
      <alignment horizontal="center" vertical="center" wrapText="1"/>
    </xf>
    <xf numFmtId="0" fontId="48" fillId="42" borderId="0" xfId="0" applyFont="1" applyFill="1" applyBorder="1" applyAlignment="1" applyProtection="1">
      <alignment horizontal="center" vertical="center" wrapText="1"/>
    </xf>
    <xf numFmtId="0" fontId="48" fillId="42" borderId="23" xfId="0" applyFont="1" applyFill="1" applyBorder="1" applyAlignment="1" applyProtection="1">
      <alignment horizontal="center" vertical="center" wrapText="1"/>
    </xf>
    <xf numFmtId="0" fontId="12" fillId="43" borderId="45" xfId="0" applyFont="1" applyFill="1" applyBorder="1" applyAlignment="1" applyProtection="1">
      <alignment horizontal="center" vertical="center" wrapText="1"/>
    </xf>
    <xf numFmtId="0" fontId="12" fillId="43" borderId="46" xfId="0" applyFont="1" applyFill="1" applyBorder="1" applyAlignment="1" applyProtection="1">
      <alignment horizontal="center" vertical="center" wrapText="1"/>
    </xf>
    <xf numFmtId="0" fontId="48" fillId="43" borderId="50" xfId="0" applyFont="1" applyFill="1" applyBorder="1" applyAlignment="1" applyProtection="1">
      <alignment horizontal="center" vertical="center" wrapText="1"/>
    </xf>
    <xf numFmtId="0" fontId="48" fillId="43" borderId="0" xfId="0" applyFont="1" applyFill="1" applyBorder="1" applyAlignment="1" applyProtection="1">
      <alignment horizontal="center" vertical="center" wrapText="1"/>
    </xf>
    <xf numFmtId="49" fontId="2" fillId="0" borderId="0" xfId="0" applyNumberFormat="1" applyFont="1" applyProtection="1"/>
  </cellXfs>
  <cellStyles count="289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" xfId="288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63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7F8399"/>
      <color rgb="FFE3E3E3"/>
      <color rgb="FF8F071A"/>
      <color rgb="FFADAFB6"/>
      <color rgb="FFA50021"/>
      <color rgb="FFA86E73"/>
      <color rgb="FF82326E"/>
      <color rgb="FF6F7072"/>
      <color rgb="FFCCFFFF"/>
      <color rgb="FF7E40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PL!$Y$104</c:f>
          <c:strCache>
            <c:ptCount val="1"/>
            <c:pt idx="0">
              <c:v>Coûts externes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PL!$Y$105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  <c:pt idx="5">
                  <c:v>Oct</c:v>
                </c:pt>
              </c:strCache>
            </c:strRef>
          </c:cat>
          <c:val>
            <c:numRef>
              <c:f>PL!$AA$105:$AF$105</c:f>
              <c:numCache>
                <c:formatCode>#,##0</c:formatCode>
                <c:ptCount val="6"/>
                <c:pt idx="0">
                  <c:v>-9017.0664400000005</c:v>
                </c:pt>
                <c:pt idx="1">
                  <c:v>-10669.452919999996</c:v>
                </c:pt>
                <c:pt idx="2">
                  <c:v>-11732.606319999999</c:v>
                </c:pt>
                <c:pt idx="3">
                  <c:v>-14080.171300000002</c:v>
                </c:pt>
                <c:pt idx="4">
                  <c:v>-16937.43044</c:v>
                </c:pt>
                <c:pt idx="5">
                  <c:v>-18015.803869999992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B91-4C8E-B69E-E212E17B6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01258752"/>
        <c:axId val="157025408"/>
      </c:barChart>
      <c:lineChart>
        <c:grouping val="standard"/>
        <c:varyColors val="0"/>
        <c:ser>
          <c:idx val="2"/>
          <c:order val="1"/>
          <c:tx>
            <c:strRef>
              <c:f>PL!$Y$106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PL!$AA$106:$AF$106</c:f>
              <c:numCache>
                <c:formatCode>#,##0</c:formatCode>
                <c:ptCount val="6"/>
                <c:pt idx="0">
                  <c:v>-11758.936460000003</c:v>
                </c:pt>
                <c:pt idx="1">
                  <c:v>-14354.875210000007</c:v>
                </c:pt>
                <c:pt idx="2">
                  <c:v>-15512.771980000003</c:v>
                </c:pt>
                <c:pt idx="3">
                  <c:v>-18051.757279999991</c:v>
                </c:pt>
                <c:pt idx="4">
                  <c:v>-20525.152409999999</c:v>
                </c:pt>
                <c:pt idx="5">
                  <c:v>-22623.528409999999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B91-4C8E-B69E-E212E17B6D36}"/>
            </c:ext>
          </c:extLst>
        </c:ser>
        <c:ser>
          <c:idx val="3"/>
          <c:order val="2"/>
          <c:tx>
            <c:strRef>
              <c:f>PL!$Y$107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PL!$AA$107:$AF$107</c:f>
              <c:numCache>
                <c:formatCode>#,##0</c:formatCode>
                <c:ptCount val="6"/>
                <c:pt idx="0">
                  <c:v>-13275.005000000001</c:v>
                </c:pt>
                <c:pt idx="1">
                  <c:v>-15930.79</c:v>
                </c:pt>
                <c:pt idx="2">
                  <c:v>-18618.532999999999</c:v>
                </c:pt>
                <c:pt idx="3">
                  <c:v>-21308.161</c:v>
                </c:pt>
                <c:pt idx="4">
                  <c:v>-23996.323</c:v>
                </c:pt>
                <c:pt idx="5">
                  <c:v>-26688.968000000001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B91-4C8E-B69E-E212E17B6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258752"/>
        <c:axId val="157025408"/>
      </c:lineChart>
      <c:catAx>
        <c:axId val="101258752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157025408"/>
        <c:crosses val="autoZero"/>
        <c:auto val="1"/>
        <c:lblAlgn val="ctr"/>
        <c:lblOffset val="100"/>
        <c:noMultiLvlLbl val="0"/>
      </c:catAx>
      <c:valAx>
        <c:axId val="15702540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012587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PL!$Y$108</c:f>
          <c:strCache>
            <c:ptCount val="1"/>
            <c:pt idx="0">
              <c:v>Frais de personnel et Assimilés (Cumulé)</c:v>
            </c:pt>
          </c:strCache>
        </c:strRef>
      </c:tx>
      <c:layout>
        <c:manualLayout>
          <c:xMode val="edge"/>
          <c:yMode val="edge"/>
          <c:x val="0.14892464850818618"/>
          <c:y val="1.887750410941392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PL!$Y$109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  <c:pt idx="5">
                  <c:v>Oct</c:v>
                </c:pt>
              </c:strCache>
            </c:strRef>
          </c:cat>
          <c:val>
            <c:numRef>
              <c:f>PL!$AA$109:$AF$109</c:f>
              <c:numCache>
                <c:formatCode>#,##0</c:formatCode>
                <c:ptCount val="6"/>
                <c:pt idx="0">
                  <c:v>-18445.753199999999</c:v>
                </c:pt>
                <c:pt idx="1">
                  <c:v>-23235.077129999991</c:v>
                </c:pt>
                <c:pt idx="2">
                  <c:v>-26693.521030000007</c:v>
                </c:pt>
                <c:pt idx="3">
                  <c:v>-29818.794229999992</c:v>
                </c:pt>
                <c:pt idx="4">
                  <c:v>-33507.103599999995</c:v>
                </c:pt>
                <c:pt idx="5">
                  <c:v>-37074.211239999997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34-4971-AE8B-BE86FF2C4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6286848"/>
        <c:axId val="206288768"/>
      </c:barChart>
      <c:lineChart>
        <c:grouping val="standard"/>
        <c:varyColors val="0"/>
        <c:ser>
          <c:idx val="2"/>
          <c:order val="1"/>
          <c:tx>
            <c:strRef>
              <c:f>PL!$Y$110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PL!$AA$110:$AF$110</c:f>
              <c:numCache>
                <c:formatCode>#,##0</c:formatCode>
                <c:ptCount val="6"/>
                <c:pt idx="0">
                  <c:v>-21002.963820000001</c:v>
                </c:pt>
                <c:pt idx="1">
                  <c:v>-25967.960660000004</c:v>
                </c:pt>
                <c:pt idx="2">
                  <c:v>-29807.837899999995</c:v>
                </c:pt>
                <c:pt idx="3">
                  <c:v>-32503.013159999995</c:v>
                </c:pt>
                <c:pt idx="4">
                  <c:v>-36538.760900000001</c:v>
                </c:pt>
                <c:pt idx="5">
                  <c:v>-40719.24068000001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634-4971-AE8B-BE86FF2C44FD}"/>
            </c:ext>
          </c:extLst>
        </c:ser>
        <c:ser>
          <c:idx val="3"/>
          <c:order val="2"/>
          <c:tx>
            <c:strRef>
              <c:f>PL!$Y$111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PL!$AA$111:$AF$111</c:f>
              <c:numCache>
                <c:formatCode>#,##0</c:formatCode>
                <c:ptCount val="6"/>
                <c:pt idx="0">
                  <c:v>-21200.527954752975</c:v>
                </c:pt>
                <c:pt idx="1">
                  <c:v>-25398.330209766864</c:v>
                </c:pt>
                <c:pt idx="2">
                  <c:v>-29569.629401103371</c:v>
                </c:pt>
                <c:pt idx="3">
                  <c:v>-33722.437016517375</c:v>
                </c:pt>
                <c:pt idx="4">
                  <c:v>-37849.244324561507</c:v>
                </c:pt>
                <c:pt idx="5">
                  <c:v>-41958.050322097683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634-4971-AE8B-BE86FF2C4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86848"/>
        <c:axId val="206288768"/>
      </c:lineChart>
      <c:catAx>
        <c:axId val="206286848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6288768"/>
        <c:crosses val="autoZero"/>
        <c:auto val="1"/>
        <c:lblAlgn val="ctr"/>
        <c:lblOffset val="100"/>
        <c:noMultiLvlLbl val="0"/>
      </c:catAx>
      <c:valAx>
        <c:axId val="20628876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62868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PL!$Y$112</c:f>
          <c:strCache>
            <c:ptCount val="1"/>
            <c:pt idx="0">
              <c:v>Frais de déplacement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PL!$Y$113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  <c:pt idx="5">
                  <c:v>Oct</c:v>
                </c:pt>
              </c:strCache>
            </c:strRef>
          </c:cat>
          <c:val>
            <c:numRef>
              <c:f>PL!$AA$113:$AF$113</c:f>
              <c:numCache>
                <c:formatCode>#,##0</c:formatCode>
                <c:ptCount val="6"/>
                <c:pt idx="0">
                  <c:v>-260.48355000000009</c:v>
                </c:pt>
                <c:pt idx="1">
                  <c:v>-313.75446000000011</c:v>
                </c:pt>
                <c:pt idx="2">
                  <c:v>-325.2338400000001</c:v>
                </c:pt>
                <c:pt idx="3">
                  <c:v>-418.34423000000004</c:v>
                </c:pt>
                <c:pt idx="4">
                  <c:v>-427.03271999999998</c:v>
                </c:pt>
                <c:pt idx="5">
                  <c:v>-491.66241999999994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FB5-45AE-BC36-B2B3A1B6E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8623872"/>
        <c:axId val="208712448"/>
      </c:barChart>
      <c:lineChart>
        <c:grouping val="standard"/>
        <c:varyColors val="0"/>
        <c:ser>
          <c:idx val="2"/>
          <c:order val="1"/>
          <c:tx>
            <c:strRef>
              <c:f>PL!$Y$114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PL!$AA$114:$AF$114</c:f>
              <c:numCache>
                <c:formatCode>#,##0</c:formatCode>
                <c:ptCount val="6"/>
                <c:pt idx="0">
                  <c:v>-499.48433999999997</c:v>
                </c:pt>
                <c:pt idx="1">
                  <c:v>-543.31457000000012</c:v>
                </c:pt>
                <c:pt idx="2">
                  <c:v>-573.33752000000015</c:v>
                </c:pt>
                <c:pt idx="3">
                  <c:v>-612.53606000000013</c:v>
                </c:pt>
                <c:pt idx="4">
                  <c:v>-691.84564000000023</c:v>
                </c:pt>
                <c:pt idx="5">
                  <c:v>-726.23416000000054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FB5-45AE-BC36-B2B3A1B6EF58}"/>
            </c:ext>
          </c:extLst>
        </c:ser>
        <c:ser>
          <c:idx val="3"/>
          <c:order val="2"/>
          <c:tx>
            <c:strRef>
              <c:f>PL!$Y$115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PL!$AA$115:$AF$115</c:f>
              <c:numCache>
                <c:formatCode>#,##0</c:formatCode>
                <c:ptCount val="6"/>
                <c:pt idx="0">
                  <c:v>-734.97500000000002</c:v>
                </c:pt>
                <c:pt idx="1">
                  <c:v>-881.97</c:v>
                </c:pt>
                <c:pt idx="2">
                  <c:v>-1028.9649999999999</c:v>
                </c:pt>
                <c:pt idx="3">
                  <c:v>-1175.96</c:v>
                </c:pt>
                <c:pt idx="4">
                  <c:v>-1322.9549999999999</c:v>
                </c:pt>
                <c:pt idx="5">
                  <c:v>-1469.95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FB5-45AE-BC36-B2B3A1B6E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623872"/>
        <c:axId val="208712448"/>
      </c:lineChart>
      <c:catAx>
        <c:axId val="208623872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8712448"/>
        <c:crosses val="autoZero"/>
        <c:auto val="1"/>
        <c:lblAlgn val="ctr"/>
        <c:lblOffset val="100"/>
        <c:noMultiLvlLbl val="0"/>
      </c:catAx>
      <c:valAx>
        <c:axId val="20871244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862387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PL!$Y$116</c:f>
          <c:strCache>
            <c:ptCount val="1"/>
            <c:pt idx="0">
              <c:v>RESULTAT OPERATIONNEL APRES MF (Cumulé)</c:v>
            </c:pt>
          </c:strCache>
        </c:strRef>
      </c:tx>
      <c:layout>
        <c:manualLayout>
          <c:xMode val="edge"/>
          <c:yMode val="edge"/>
          <c:x val="0.15030490727635842"/>
          <c:y val="1.062801528091015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73900050483370006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PL!$Y$117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PL!$AA$104:$AF$104</c:f>
              <c:strCache>
                <c:ptCount val="6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  <c:pt idx="5">
                  <c:v>Oct</c:v>
                </c:pt>
              </c:strCache>
            </c:strRef>
          </c:cat>
          <c:val>
            <c:numRef>
              <c:f>PL!$AA$117:$AF$117</c:f>
              <c:numCache>
                <c:formatCode>#,##0</c:formatCode>
                <c:ptCount val="6"/>
                <c:pt idx="0">
                  <c:v>502.72866999999161</c:v>
                </c:pt>
                <c:pt idx="1">
                  <c:v>368.9695000000026</c:v>
                </c:pt>
                <c:pt idx="2">
                  <c:v>-2626.8879199999956</c:v>
                </c:pt>
                <c:pt idx="3">
                  <c:v>1967.3961600000112</c:v>
                </c:pt>
                <c:pt idx="4">
                  <c:v>1404.7253700000022</c:v>
                </c:pt>
                <c:pt idx="5">
                  <c:v>3558.7159999999976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30-42B2-A265-D82A13BE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9823616"/>
        <c:axId val="209879424"/>
      </c:barChart>
      <c:lineChart>
        <c:grouping val="standard"/>
        <c:varyColors val="0"/>
        <c:ser>
          <c:idx val="2"/>
          <c:order val="1"/>
          <c:tx>
            <c:strRef>
              <c:f>PL!$Y$118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PL!$AA$118:$AF$118</c:f>
              <c:numCache>
                <c:formatCode>#,##0</c:formatCode>
                <c:ptCount val="6"/>
                <c:pt idx="0">
                  <c:v>-3225.2735700000035</c:v>
                </c:pt>
                <c:pt idx="1">
                  <c:v>-4410.7250199999944</c:v>
                </c:pt>
                <c:pt idx="2">
                  <c:v>-5792.1188800000145</c:v>
                </c:pt>
                <c:pt idx="3">
                  <c:v>-6173.7992099999919</c:v>
                </c:pt>
                <c:pt idx="4">
                  <c:v>-7713.1964100000032</c:v>
                </c:pt>
                <c:pt idx="5">
                  <c:v>-8599.6877100000074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530-42B2-A265-D82A13BE7DBD}"/>
            </c:ext>
          </c:extLst>
        </c:ser>
        <c:ser>
          <c:idx val="3"/>
          <c:order val="2"/>
          <c:tx>
            <c:strRef>
              <c:f>PL!$Y$119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PL!$AA$119:$AF$119</c:f>
              <c:numCache>
                <c:formatCode>#,##0</c:formatCode>
                <c:ptCount val="6"/>
                <c:pt idx="0">
                  <c:v>-5052.4939547529739</c:v>
                </c:pt>
                <c:pt idx="1">
                  <c:v>-6020.1452097668653</c:v>
                </c:pt>
                <c:pt idx="2">
                  <c:v>-7008.8024011033776</c:v>
                </c:pt>
                <c:pt idx="3">
                  <c:v>-7982.7420165173708</c:v>
                </c:pt>
                <c:pt idx="4">
                  <c:v>-8929.076324561509</c:v>
                </c:pt>
                <c:pt idx="5">
                  <c:v>-9866.0923220976692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530-42B2-A265-D82A13BE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23616"/>
        <c:axId val="209879424"/>
      </c:lineChart>
      <c:catAx>
        <c:axId val="20982361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9879424"/>
        <c:crosses val="autoZero"/>
        <c:auto val="1"/>
        <c:lblAlgn val="ctr"/>
        <c:lblOffset val="100"/>
        <c:noMultiLvlLbl val="0"/>
      </c:catAx>
      <c:valAx>
        <c:axId val="209879424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98236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85725</xdr:colOff>
      <xdr:row>8</xdr:row>
      <xdr:rowOff>68024</xdr:rowOff>
    </xdr:from>
    <xdr:to>
      <xdr:col>21</xdr:col>
      <xdr:colOff>884275</xdr:colOff>
      <xdr:row>12</xdr:row>
      <xdr:rowOff>46580</xdr:rowOff>
    </xdr:to>
    <xdr:pic>
      <xdr:nvPicPr>
        <xdr:cNvPr id="6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7832" y="394595"/>
          <a:ext cx="798550" cy="782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181842</xdr:colOff>
      <xdr:row>104</xdr:row>
      <xdr:rowOff>166996</xdr:rowOff>
    </xdr:from>
    <xdr:to>
      <xdr:col>5</xdr:col>
      <xdr:colOff>1125682</xdr:colOff>
      <xdr:row>128</xdr:row>
      <xdr:rowOff>51956</xdr:rowOff>
    </xdr:to>
    <xdr:graphicFrame macro="">
      <xdr:nvGraphicFramePr>
        <xdr:cNvPr id="1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300178</xdr:colOff>
      <xdr:row>104</xdr:row>
      <xdr:rowOff>147204</xdr:rowOff>
    </xdr:from>
    <xdr:to>
      <xdr:col>10</xdr:col>
      <xdr:colOff>129885</xdr:colOff>
      <xdr:row>128</xdr:row>
      <xdr:rowOff>24741</xdr:rowOff>
    </xdr:to>
    <xdr:graphicFrame macro="">
      <xdr:nvGraphicFramePr>
        <xdr:cNvPr id="2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779813</xdr:colOff>
      <xdr:row>104</xdr:row>
      <xdr:rowOff>126174</xdr:rowOff>
    </xdr:from>
    <xdr:to>
      <xdr:col>15</xdr:col>
      <xdr:colOff>646955</xdr:colOff>
      <xdr:row>127</xdr:row>
      <xdr:rowOff>181842</xdr:rowOff>
    </xdr:to>
    <xdr:graphicFrame macro="">
      <xdr:nvGraphicFramePr>
        <xdr:cNvPr id="2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1171451</xdr:colOff>
      <xdr:row>104</xdr:row>
      <xdr:rowOff>43296</xdr:rowOff>
    </xdr:from>
    <xdr:to>
      <xdr:col>20</xdr:col>
      <xdr:colOff>1060120</xdr:colOff>
      <xdr:row>127</xdr:row>
      <xdr:rowOff>108860</xdr:rowOff>
    </xdr:to>
    <xdr:graphicFrame macro="">
      <xdr:nvGraphicFramePr>
        <xdr:cNvPr id="27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21</xdr:row>
          <xdr:rowOff>0</xdr:rowOff>
        </xdr:from>
        <xdr:to>
          <xdr:col>6</xdr:col>
          <xdr:colOff>571500</xdr:colOff>
          <xdr:row>22</xdr:row>
          <xdr:rowOff>247650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217715</xdr:colOff>
      <xdr:row>8</xdr:row>
      <xdr:rowOff>119991</xdr:rowOff>
    </xdr:from>
    <xdr:to>
      <xdr:col>4</xdr:col>
      <xdr:colOff>1895104</xdr:colOff>
      <xdr:row>11</xdr:row>
      <xdr:rowOff>181797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715" y="446562"/>
          <a:ext cx="1922318" cy="6580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F29"/>
  <sheetViews>
    <sheetView workbookViewId="0">
      <selection activeCell="E13" sqref="E13"/>
    </sheetView>
  </sheetViews>
  <sheetFormatPr baseColWidth="10" defaultColWidth="9.140625" defaultRowHeight="12.75" x14ac:dyDescent="0.2"/>
  <cols>
    <col min="1" max="1" width="38.28515625" style="17" bestFit="1" customWidth="1"/>
    <col min="2" max="2" width="17.85546875" style="17" bestFit="1" customWidth="1"/>
    <col min="3" max="3" width="9.140625" style="17"/>
    <col min="4" max="4" width="27.7109375" style="17" hidden="1" customWidth="1"/>
    <col min="5" max="5" width="15.140625" style="17" bestFit="1" customWidth="1"/>
    <col min="6" max="16384" width="9.140625" style="17"/>
  </cols>
  <sheetData>
    <row r="1" spans="1:6" ht="18" x14ac:dyDescent="0.25">
      <c r="A1" s="15" t="s">
        <v>158</v>
      </c>
      <c r="B1" s="16"/>
    </row>
    <row r="2" spans="1:6" x14ac:dyDescent="0.2">
      <c r="A2" s="16" t="s">
        <v>159</v>
      </c>
      <c r="B2" s="16"/>
    </row>
    <row r="3" spans="1:6" ht="15.75" x14ac:dyDescent="0.25">
      <c r="A3" s="18" t="s">
        <v>160</v>
      </c>
      <c r="B3" s="16"/>
    </row>
    <row r="4" spans="1:6" x14ac:dyDescent="0.2">
      <c r="A4" s="19" t="s">
        <v>161</v>
      </c>
      <c r="B4" s="20" t="s">
        <v>157</v>
      </c>
    </row>
    <row r="5" spans="1:6" x14ac:dyDescent="0.2">
      <c r="A5" s="19" t="s">
        <v>162</v>
      </c>
      <c r="B5" s="21" t="str">
        <f>LEFT(Server,LEN(Server)-1)</f>
        <v>tango_core_model</v>
      </c>
    </row>
    <row r="6" spans="1:6" x14ac:dyDescent="0.2">
      <c r="A6" s="19" t="s">
        <v>163</v>
      </c>
      <c r="B6" s="21" t="str">
        <f ca="1">xHost</f>
        <v>FRSAPP021269</v>
      </c>
    </row>
    <row r="7" spans="1:6" x14ac:dyDescent="0.2">
      <c r="A7" s="19" t="s">
        <v>164</v>
      </c>
      <c r="B7" s="21">
        <v>0</v>
      </c>
    </row>
    <row r="8" spans="1:6" x14ac:dyDescent="0.2">
      <c r="A8" s="19" t="s">
        <v>165</v>
      </c>
      <c r="B8" s="21">
        <v>0</v>
      </c>
    </row>
    <row r="9" spans="1:6" x14ac:dyDescent="0.2">
      <c r="A9" s="17" t="s">
        <v>166</v>
      </c>
    </row>
    <row r="10" spans="1:6" ht="15.75" x14ac:dyDescent="0.25">
      <c r="A10" s="18" t="s">
        <v>167</v>
      </c>
    </row>
    <row r="11" spans="1:6" ht="13.5" customHeight="1" x14ac:dyDescent="0.2">
      <c r="A11" s="19" t="s">
        <v>168</v>
      </c>
      <c r="B11" s="21" t="s">
        <v>72</v>
      </c>
    </row>
    <row r="12" spans="1:6" ht="13.5" customHeight="1" x14ac:dyDescent="0.2">
      <c r="A12" s="19" t="s">
        <v>169</v>
      </c>
      <c r="B12" s="21" t="s">
        <v>73</v>
      </c>
      <c r="C12" s="95" t="s">
        <v>74</v>
      </c>
      <c r="D12" s="95" t="s">
        <v>75</v>
      </c>
      <c r="E12" s="95" t="s">
        <v>75</v>
      </c>
      <c r="F12" s="95" t="s">
        <v>76</v>
      </c>
    </row>
    <row r="13" spans="1:6" x14ac:dyDescent="0.2">
      <c r="A13" s="19" t="s">
        <v>4</v>
      </c>
      <c r="B13" s="21" t="str">
        <f ca="1">_xll.DBR(Server&amp;"z_Admin_Param","MONTH_CORPORATE","STR_VAR1")</f>
        <v>2021.10</v>
      </c>
      <c r="C13" s="94" t="str">
        <f ca="1">RIGHT($B$13,2)</f>
        <v>10</v>
      </c>
      <c r="D13" s="96">
        <f ca="1">IF($C$13="01","1",$C$13-1)</f>
        <v>9</v>
      </c>
      <c r="E13" s="17" t="str">
        <f ca="1">IF(OR($D$13= 10,$D$13= 11,$D$13= 12),$D$13,"0"&amp;D13)</f>
        <v>09</v>
      </c>
      <c r="F13" s="17" t="str">
        <f ca="1">LEFT($B$13,5)&amp;$C$13&amp;"_YTD"</f>
        <v>2021.10_YTD</v>
      </c>
    </row>
    <row r="14" spans="1:6" x14ac:dyDescent="0.2">
      <c r="A14" s="19" t="s">
        <v>11</v>
      </c>
      <c r="B14" s="21" t="str">
        <f ca="1">_xll.DBR(Server&amp;"z_Admin_Param","BUDGET_VERSION_BUDGET_FORECAST","STR_VAR1")</f>
        <v>VC</v>
      </c>
    </row>
    <row r="15" spans="1:6" x14ac:dyDescent="0.2">
      <c r="A15" s="19" t="s">
        <v>71</v>
      </c>
      <c r="B15" s="21" t="str">
        <f ca="1">_xll.DBR(Server&amp;"z_Admin_Param","FORECAST_VERSION_CORPORATE","STR_VAR1")</f>
        <v>Forecast2</v>
      </c>
    </row>
    <row r="16" spans="1:6" x14ac:dyDescent="0.2">
      <c r="A16" s="19" t="s">
        <v>2</v>
      </c>
      <c r="B16" s="22" t="str">
        <f ca="1">_xll.DBR(Server&amp;"z_Client_Properties","Language",_xll.TM1USER(xServer))</f>
        <v>French</v>
      </c>
      <c r="C16" s="17" t="str">
        <f ca="1">IF(LocalLanguage="French","Français",LocalLanguage)</f>
        <v>Français</v>
      </c>
    </row>
    <row r="17" spans="1:6" x14ac:dyDescent="0.2">
      <c r="A17" s="218" t="s">
        <v>19</v>
      </c>
      <c r="B17" s="51" t="s">
        <v>1</v>
      </c>
    </row>
    <row r="18" spans="1:6" x14ac:dyDescent="0.2">
      <c r="A18" s="218"/>
      <c r="B18" s="51" t="s">
        <v>67</v>
      </c>
    </row>
    <row r="19" spans="1:6" x14ac:dyDescent="0.2">
      <c r="A19" s="218"/>
      <c r="B19" s="51" t="s">
        <v>6</v>
      </c>
    </row>
    <row r="20" spans="1:6" x14ac:dyDescent="0.2">
      <c r="A20" s="218"/>
      <c r="B20" s="51" t="s">
        <v>7</v>
      </c>
    </row>
    <row r="21" spans="1:6" x14ac:dyDescent="0.2">
      <c r="A21" s="218"/>
      <c r="B21" s="51" t="s">
        <v>8</v>
      </c>
    </row>
    <row r="22" spans="1:6" x14ac:dyDescent="0.2">
      <c r="A22" s="218" t="s">
        <v>20</v>
      </c>
      <c r="B22" s="51" t="s">
        <v>16</v>
      </c>
    </row>
    <row r="23" spans="1:6" x14ac:dyDescent="0.2">
      <c r="A23" s="218"/>
      <c r="B23" s="51" t="s">
        <v>17</v>
      </c>
    </row>
    <row r="24" spans="1:6" x14ac:dyDescent="0.2">
      <c r="A24" s="218"/>
      <c r="B24" s="51" t="s">
        <v>18</v>
      </c>
    </row>
    <row r="26" spans="1:6" ht="15.75" x14ac:dyDescent="0.25">
      <c r="A26" s="18" t="s">
        <v>12</v>
      </c>
      <c r="F26" s="17" t="s">
        <v>3</v>
      </c>
    </row>
    <row r="27" spans="1:6" ht="13.5" customHeight="1" x14ac:dyDescent="0.25">
      <c r="A27" s="17" t="s">
        <v>13</v>
      </c>
      <c r="B27" s="47"/>
    </row>
    <row r="28" spans="1:6" x14ac:dyDescent="0.2">
      <c r="A28" s="17" t="s">
        <v>14</v>
      </c>
      <c r="B28" s="49"/>
    </row>
    <row r="29" spans="1:6" x14ac:dyDescent="0.2">
      <c r="A29" s="17" t="s">
        <v>15</v>
      </c>
      <c r="B29" s="50"/>
    </row>
  </sheetData>
  <sheetProtection sheet="1" objects="1" scenarios="1" formatColumns="0" formatRows="0"/>
  <mergeCells count="2">
    <mergeCell ref="A17:A21"/>
    <mergeCell ref="A22:A24"/>
  </mergeCells>
  <phoneticPr fontId="55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V207"/>
  <sheetViews>
    <sheetView showGridLines="0" tabSelected="1" topLeftCell="D9" zoomScale="55" zoomScaleNormal="55" zoomScaleSheetLayoutView="70" workbookViewId="0">
      <selection activeCell="I27" sqref="I27"/>
    </sheetView>
  </sheetViews>
  <sheetFormatPr baseColWidth="10" defaultColWidth="11.42578125" defaultRowHeight="12.75" outlineLevelRow="1" x14ac:dyDescent="0.2"/>
  <cols>
    <col min="1" max="1" width="24.85546875" style="23" hidden="1" customWidth="1"/>
    <col min="2" max="2" width="28.7109375" style="23" hidden="1" customWidth="1"/>
    <col min="3" max="3" width="36.5703125" style="23" hidden="1" customWidth="1"/>
    <col min="4" max="4" width="3.7109375" style="23" customWidth="1"/>
    <col min="5" max="5" width="37.7109375" style="2" customWidth="1"/>
    <col min="6" max="6" width="24.7109375" style="2" customWidth="1"/>
    <col min="7" max="7" width="16.7109375" style="2" customWidth="1"/>
    <col min="8" max="8" width="3.28515625" style="1" customWidth="1"/>
    <col min="9" max="9" width="19.85546875" style="1" customWidth="1"/>
    <col min="10" max="11" width="19.5703125" style="1" customWidth="1"/>
    <col min="12" max="12" width="0.85546875" style="3" customWidth="1"/>
    <col min="13" max="13" width="19.5703125" style="3" customWidth="1"/>
    <col min="14" max="14" width="13.5703125" style="3" customWidth="1"/>
    <col min="15" max="15" width="6.85546875" style="3" bestFit="1" customWidth="1"/>
    <col min="16" max="16" width="19.85546875" style="3" customWidth="1"/>
    <col min="17" max="17" width="3.42578125" style="23" customWidth="1"/>
    <col min="18" max="18" width="16.5703125" style="52" customWidth="1"/>
    <col min="19" max="19" width="0.7109375" style="52" customWidth="1"/>
    <col min="20" max="21" width="19" style="52" customWidth="1"/>
    <col min="22" max="22" width="14.5703125" style="23" customWidth="1"/>
    <col min="23" max="23" width="9" style="23" customWidth="1"/>
    <col min="24" max="24" width="9" style="23" hidden="1" customWidth="1"/>
    <col min="25" max="25" width="71" style="23" hidden="1" customWidth="1"/>
    <col min="26" max="26" width="29.42578125" style="23" hidden="1" customWidth="1"/>
    <col min="27" max="32" width="16.7109375" style="23" hidden="1" customWidth="1"/>
    <col min="33" max="33" width="14.42578125" style="23" hidden="1" customWidth="1"/>
    <col min="34" max="34" width="16.28515625" style="23" hidden="1" customWidth="1"/>
    <col min="35" max="35" width="16.7109375" style="23" hidden="1" customWidth="1"/>
    <col min="36" max="36" width="43.7109375" style="23" hidden="1" customWidth="1"/>
    <col min="37" max="37" width="10.140625" style="23" hidden="1" customWidth="1"/>
    <col min="38" max="38" width="6.5703125" style="23" hidden="1" customWidth="1"/>
    <col min="39" max="39" width="6.140625" style="23" hidden="1" customWidth="1"/>
    <col min="40" max="40" width="6.5703125" style="23" hidden="1" customWidth="1"/>
    <col min="41" max="41" width="6.5703125" style="1" hidden="1" customWidth="1"/>
    <col min="42" max="47" width="6.5703125" style="1" customWidth="1"/>
    <col min="48" max="49" width="6.42578125" style="1" customWidth="1"/>
    <col min="50" max="51" width="11.42578125" style="1" customWidth="1"/>
    <col min="52" max="16384" width="11.42578125" style="1"/>
  </cols>
  <sheetData>
    <row r="1" spans="1:40" ht="16.5" hidden="1" thickBot="1" x14ac:dyDescent="0.3">
      <c r="E1" s="170" t="s">
        <v>155</v>
      </c>
      <c r="F1" s="47" t="s">
        <v>152</v>
      </c>
      <c r="G1" s="24" t="s">
        <v>0</v>
      </c>
      <c r="H1" s="25"/>
      <c r="I1" s="48" t="s">
        <v>78</v>
      </c>
      <c r="J1" s="48" t="s">
        <v>77</v>
      </c>
      <c r="K1" s="48" t="s">
        <v>78</v>
      </c>
      <c r="L1" s="52"/>
      <c r="N1" s="52"/>
      <c r="O1" s="219" t="s">
        <v>153</v>
      </c>
      <c r="P1" s="220"/>
      <c r="Q1" s="221"/>
      <c r="R1" s="216"/>
      <c r="S1" s="216"/>
      <c r="T1" s="216"/>
      <c r="U1" s="216"/>
    </row>
    <row r="2" spans="1:40" ht="16.5" hidden="1" thickBot="1" x14ac:dyDescent="0.3">
      <c r="E2" s="52" t="str">
        <f ca="1">_xll.SUBNM(Server&amp;"z_translate_report","",F24,"")</f>
        <v>Budget</v>
      </c>
      <c r="F2" s="57"/>
      <c r="G2" s="46" t="s">
        <v>52</v>
      </c>
      <c r="H2" s="97" t="str">
        <f ca="1">_xll.SUBNM(Server&amp;"Period","",$F$18,"")</f>
        <v>2021.10_YTD</v>
      </c>
      <c r="I2" s="205"/>
      <c r="J2" s="205" t="str">
        <f ca="1">LEFT(H2,4)</f>
        <v>2021</v>
      </c>
      <c r="K2" s="205"/>
      <c r="L2" s="52"/>
      <c r="N2" s="52"/>
      <c r="O2" s="139" t="str">
        <f ca="1">IF($H$5=$AC$24,"BUDG",IF($H$5=$AC$25,"FC_1","FC_2"))</f>
        <v>BUDG</v>
      </c>
      <c r="P2" s="137"/>
      <c r="Q2" s="138"/>
      <c r="R2" s="213"/>
      <c r="S2" s="213"/>
      <c r="T2" s="213"/>
      <c r="U2" s="213"/>
    </row>
    <row r="3" spans="1:40" ht="15.75" hidden="1" x14ac:dyDescent="0.25">
      <c r="A3" s="52"/>
      <c r="B3" s="52"/>
      <c r="C3" s="52"/>
      <c r="D3" s="52"/>
      <c r="E3" s="52"/>
      <c r="F3" s="57"/>
      <c r="G3" s="46" t="s">
        <v>179</v>
      </c>
      <c r="H3" s="97" t="str">
        <f ca="1">_xll.DBRA(Server&amp;$G$2,$H$2,"Prior Year")</f>
        <v>2020.10_YTD</v>
      </c>
      <c r="I3" s="205"/>
      <c r="J3" s="205"/>
      <c r="K3" s="205"/>
      <c r="L3" s="52"/>
      <c r="N3" s="52"/>
      <c r="O3" s="212"/>
      <c r="P3" s="213"/>
      <c r="Q3" s="213"/>
      <c r="R3" s="213"/>
      <c r="S3" s="213"/>
      <c r="T3" s="213"/>
      <c r="U3" s="213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</row>
    <row r="4" spans="1:40" hidden="1" x14ac:dyDescent="0.2">
      <c r="C4" s="52"/>
      <c r="E4" s="52"/>
      <c r="F4" s="52"/>
      <c r="G4" s="145" t="s">
        <v>154</v>
      </c>
      <c r="H4" s="97" t="s">
        <v>133</v>
      </c>
      <c r="I4" s="59"/>
      <c r="J4" s="52"/>
      <c r="K4" s="52"/>
      <c r="L4" s="52"/>
      <c r="M4" s="52"/>
      <c r="N4" s="52"/>
      <c r="O4" s="52"/>
      <c r="P4" s="52"/>
    </row>
    <row r="5" spans="1:40" hidden="1" x14ac:dyDescent="0.2">
      <c r="C5" s="52"/>
      <c r="D5" s="25"/>
      <c r="E5" s="25"/>
      <c r="G5" s="147" t="s">
        <v>155</v>
      </c>
      <c r="H5" s="25" t="str">
        <f ca="1">_xll.SUBNM(Server&amp;"z_translate_report","",F24,"")</f>
        <v>Budget</v>
      </c>
      <c r="J5" s="25"/>
      <c r="K5" s="25"/>
      <c r="L5" s="25"/>
      <c r="M5" s="25"/>
      <c r="N5" s="25"/>
      <c r="O5" s="25"/>
      <c r="P5" s="25"/>
    </row>
    <row r="6" spans="1:40" ht="13.5" hidden="1" thickBot="1" x14ac:dyDescent="0.25">
      <c r="B6" s="52"/>
      <c r="C6" s="52"/>
      <c r="D6" s="25"/>
      <c r="E6" s="26"/>
      <c r="F6" s="14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1:40" hidden="1" x14ac:dyDescent="0.2">
      <c r="B7" s="52"/>
      <c r="C7" s="52"/>
      <c r="D7" s="107"/>
      <c r="E7" s="25"/>
      <c r="F7" s="25"/>
      <c r="G7" s="52"/>
      <c r="H7" s="25"/>
      <c r="I7" s="52"/>
      <c r="J7" s="25"/>
      <c r="K7" s="52"/>
      <c r="L7" s="52"/>
      <c r="M7" s="52"/>
      <c r="N7" s="52"/>
      <c r="O7" s="52"/>
      <c r="P7" s="52"/>
    </row>
    <row r="8" spans="1:40" hidden="1" x14ac:dyDescent="0.2">
      <c r="B8" s="52"/>
      <c r="C8" s="109"/>
      <c r="D8" s="25"/>
      <c r="E8" s="25"/>
      <c r="F8" s="25"/>
      <c r="G8" s="52"/>
      <c r="H8" s="25"/>
      <c r="I8" s="52"/>
      <c r="J8" s="25"/>
      <c r="K8" s="52"/>
      <c r="L8" s="52"/>
      <c r="M8" s="52"/>
      <c r="N8" s="52"/>
      <c r="O8" s="52"/>
      <c r="P8" s="52"/>
      <c r="AF8" s="52"/>
      <c r="AG8" s="52"/>
      <c r="AH8" s="52"/>
      <c r="AI8" s="52"/>
      <c r="AJ8" s="52"/>
    </row>
    <row r="9" spans="1:40" ht="13.5" thickBot="1" x14ac:dyDescent="0.25">
      <c r="B9" s="52"/>
      <c r="C9" s="109"/>
      <c r="D9" s="25"/>
      <c r="G9" s="28"/>
      <c r="AE9" s="52"/>
      <c r="AF9" s="52"/>
      <c r="AG9" s="52"/>
      <c r="AH9" s="52"/>
      <c r="AI9" s="52"/>
      <c r="AJ9" s="52"/>
    </row>
    <row r="10" spans="1:40" ht="16.5" thickBot="1" x14ac:dyDescent="0.3">
      <c r="B10" s="52"/>
      <c r="C10" s="109"/>
      <c r="D10" s="25"/>
      <c r="E10" s="237" t="str">
        <f ca="1">_xll.DBRA(Server&amp;$AC$12,AC27,$AC$11)</f>
        <v>Compte de résultat Corporate (suivi du réalisé)</v>
      </c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AC10" s="91" t="s">
        <v>66</v>
      </c>
      <c r="AE10" s="52"/>
      <c r="AF10" s="52"/>
      <c r="AG10" s="52"/>
      <c r="AH10" s="52"/>
      <c r="AI10" s="52"/>
      <c r="AJ10" s="52"/>
    </row>
    <row r="11" spans="1:40" ht="16.5" thickBot="1" x14ac:dyDescent="0.3">
      <c r="A11" s="52"/>
      <c r="B11" s="52"/>
      <c r="C11" s="109"/>
      <c r="D11" s="25"/>
      <c r="E11" s="237"/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237"/>
      <c r="R11" s="237"/>
      <c r="S11" s="237"/>
      <c r="T11" s="237"/>
      <c r="U11" s="237"/>
      <c r="AC11" s="92" t="str">
        <f>IF($F$16="Français","French","English")</f>
        <v>French</v>
      </c>
      <c r="AD11" s="90" t="s">
        <v>58</v>
      </c>
      <c r="AE11" s="52"/>
      <c r="AF11" s="52"/>
      <c r="AG11" s="52"/>
      <c r="AH11" s="52"/>
      <c r="AI11" s="52"/>
      <c r="AJ11" s="52"/>
    </row>
    <row r="12" spans="1:40" ht="16.5" thickBot="1" x14ac:dyDescent="0.3">
      <c r="A12" s="52"/>
      <c r="B12" s="52"/>
      <c r="C12" s="109"/>
      <c r="D12" s="25"/>
      <c r="E12" s="1"/>
      <c r="F12" s="1"/>
      <c r="G12" s="28"/>
      <c r="H12" s="28"/>
      <c r="I12" s="29"/>
      <c r="J12" s="29"/>
      <c r="K12" s="29"/>
      <c r="L12" s="29"/>
      <c r="M12" s="29"/>
      <c r="N12" s="29"/>
      <c r="O12" s="29"/>
      <c r="P12" s="29"/>
      <c r="AC12" s="69" t="s">
        <v>29</v>
      </c>
      <c r="AD12" s="79" t="s">
        <v>0</v>
      </c>
      <c r="AE12" s="52"/>
      <c r="AF12" s="52"/>
      <c r="AG12" s="52"/>
      <c r="AH12" s="52"/>
      <c r="AI12" s="52"/>
      <c r="AJ12" s="52"/>
    </row>
    <row r="13" spans="1:40" ht="24" thickBot="1" x14ac:dyDescent="0.25">
      <c r="A13" s="52"/>
      <c r="B13" s="52"/>
      <c r="C13" s="109"/>
      <c r="D13" s="25"/>
      <c r="E13" s="191" t="str">
        <f ca="1">_xll.DBRA(Server&amp;$AC$12,AC13,$AC$11)</f>
        <v>Sélection du contexte</v>
      </c>
      <c r="F13" s="133"/>
      <c r="H13" s="28"/>
      <c r="I13" s="29"/>
      <c r="J13" s="29"/>
      <c r="K13" s="29"/>
      <c r="L13" s="29"/>
      <c r="M13" s="29"/>
      <c r="N13" s="29"/>
      <c r="O13" s="29"/>
      <c r="P13" s="29"/>
      <c r="AC13" s="70" t="s">
        <v>25</v>
      </c>
      <c r="AD13" s="108" t="str">
        <f ca="1">_xll.DBRA(Server&amp;$AC$12,AC24,$AC$11)</f>
        <v>Budget</v>
      </c>
      <c r="AE13" s="52"/>
      <c r="AF13" s="52"/>
      <c r="AG13" s="52"/>
      <c r="AH13" s="52"/>
      <c r="AI13" s="52"/>
      <c r="AJ13" s="52"/>
    </row>
    <row r="14" spans="1:40" ht="18.75" outlineLevel="1" x14ac:dyDescent="0.2">
      <c r="A14" s="52"/>
      <c r="B14" s="52"/>
      <c r="C14" s="109"/>
      <c r="D14" s="25"/>
      <c r="E14" s="30" t="str">
        <f ca="1">_xll.DBRA(Server&amp;$AC$12,AC14,$AC$11)</f>
        <v>Gaap</v>
      </c>
      <c r="F14" s="60" t="str">
        <f ca="1">_xll.SUBNM(Server&amp;"GAAP","Corp_FR","Local_Gaap",$AC$11)</f>
        <v>Gaap local</v>
      </c>
      <c r="H14" s="28"/>
      <c r="I14" s="29"/>
      <c r="J14" s="29"/>
      <c r="K14" s="29"/>
      <c r="L14" s="29"/>
      <c r="M14" s="29"/>
      <c r="N14" s="29"/>
      <c r="O14" s="29"/>
      <c r="P14" s="29"/>
      <c r="Q14" s="52"/>
      <c r="V14" s="52"/>
      <c r="W14" s="52"/>
      <c r="X14" s="52"/>
      <c r="Y14" s="52"/>
      <c r="Z14" s="52"/>
      <c r="AA14" s="52"/>
      <c r="AB14" s="52"/>
      <c r="AC14" s="72" t="s">
        <v>10</v>
      </c>
      <c r="AD14" s="109" t="str">
        <f ca="1">_xll.DBRA(Server&amp;$AC$12,AC25,$AC$11)</f>
        <v>Estimé 1</v>
      </c>
      <c r="AE14" s="52"/>
      <c r="AF14" s="52"/>
      <c r="AG14" s="52"/>
      <c r="AH14" s="52"/>
      <c r="AI14" s="52"/>
      <c r="AJ14" s="52"/>
      <c r="AK14" s="52"/>
      <c r="AL14" s="52"/>
      <c r="AM14" s="52"/>
      <c r="AN14" s="52"/>
    </row>
    <row r="15" spans="1:40" ht="18.75" outlineLevel="1" x14ac:dyDescent="0.2">
      <c r="A15" s="52"/>
      <c r="B15" s="52"/>
      <c r="C15" s="109"/>
      <c r="D15" s="25"/>
      <c r="E15" s="30" t="str">
        <f ca="1">_xll.DBRA(Server&amp;$AC$12,AC15,$AC$11)</f>
        <v>Taux d'intégration</v>
      </c>
      <c r="F15" s="60" t="str">
        <f ca="1">_xll.SUBNM(Server&amp;"Integration_Rate","Corp_FR","NO_APP",$AC$11)</f>
        <v>Données de liasse (Tx d'intégration No-APP)</v>
      </c>
      <c r="H15" s="28"/>
      <c r="I15" s="29"/>
      <c r="J15" s="29"/>
      <c r="K15" s="29"/>
      <c r="L15" s="29"/>
      <c r="M15" s="29"/>
      <c r="N15" s="29"/>
      <c r="O15" s="29"/>
      <c r="P15" s="29"/>
      <c r="Q15" s="52"/>
      <c r="V15" s="52"/>
      <c r="W15" s="52"/>
      <c r="X15" s="52"/>
      <c r="Y15" s="52"/>
      <c r="Z15" s="52"/>
      <c r="AA15" s="52"/>
      <c r="AB15" s="52"/>
      <c r="AC15" s="72" t="s">
        <v>30</v>
      </c>
      <c r="AD15" s="109" t="str">
        <f ca="1">_xll.DBRA(Server&amp;$AC$12,AC26,$AC$11)</f>
        <v>Estimé 2</v>
      </c>
      <c r="AE15" s="52"/>
      <c r="AF15" s="52"/>
      <c r="AG15" s="52"/>
      <c r="AH15" s="52"/>
      <c r="AI15" s="52"/>
      <c r="AJ15" s="52"/>
      <c r="AK15" s="52"/>
      <c r="AL15" s="52"/>
      <c r="AM15" s="52"/>
      <c r="AN15" s="52"/>
    </row>
    <row r="16" spans="1:40" ht="18.75" outlineLevel="1" x14ac:dyDescent="0.2">
      <c r="A16" s="52"/>
      <c r="B16" s="52"/>
      <c r="C16" s="109"/>
      <c r="D16" s="25"/>
      <c r="E16" s="30" t="str">
        <f ca="1">_xll.DBRA(Server&amp;$AC$12,AC16,$AC$11)</f>
        <v>Langue</v>
      </c>
      <c r="F16" s="61" t="s">
        <v>67</v>
      </c>
      <c r="H16" s="28"/>
      <c r="I16" s="29"/>
      <c r="J16" s="29"/>
      <c r="K16" s="29"/>
      <c r="L16" s="29"/>
      <c r="M16" s="29"/>
      <c r="N16" s="29"/>
      <c r="O16" s="29"/>
      <c r="P16" s="29"/>
      <c r="Q16" s="52"/>
      <c r="V16" s="52"/>
      <c r="W16" s="52"/>
      <c r="X16" s="52"/>
      <c r="Y16" s="52"/>
      <c r="Z16" s="52"/>
      <c r="AA16" s="52"/>
      <c r="AB16" s="52"/>
      <c r="AC16" s="66" t="s">
        <v>31</v>
      </c>
      <c r="AD16" s="109"/>
      <c r="AE16" s="52"/>
      <c r="AF16" s="52"/>
      <c r="AG16" s="52"/>
      <c r="AH16" s="52"/>
      <c r="AI16" s="52"/>
      <c r="AJ16" s="52"/>
      <c r="AK16" s="52"/>
      <c r="AL16" s="52"/>
      <c r="AM16" s="52"/>
      <c r="AN16" s="52"/>
    </row>
    <row r="17" spans="1:48" ht="19.5" outlineLevel="1" thickBot="1" x14ac:dyDescent="0.25">
      <c r="A17" s="52"/>
      <c r="B17" s="52"/>
      <c r="C17" s="109"/>
      <c r="D17" s="25"/>
      <c r="E17" s="30" t="str">
        <f ca="1">_xll.DBRA(Server&amp;$AC$12,AC17,$AC$11)</f>
        <v>Organisation légale</v>
      </c>
      <c r="F17" s="60" t="str">
        <f ca="1">_xll.SUBNM(Server&amp;"Legal_Organization_Corp","","VTD")</f>
        <v>VTD</v>
      </c>
      <c r="H17" s="28"/>
      <c r="I17" s="29"/>
      <c r="J17" s="29"/>
      <c r="K17" s="29"/>
      <c r="L17" s="29"/>
      <c r="M17" s="29"/>
      <c r="N17" s="29"/>
      <c r="O17" s="29"/>
      <c r="P17" s="29"/>
      <c r="Q17" s="52"/>
      <c r="V17" s="52"/>
      <c r="W17" s="52"/>
      <c r="X17" s="52"/>
      <c r="Y17" s="52"/>
      <c r="Z17" s="52"/>
      <c r="AA17" s="52"/>
      <c r="AB17" s="52"/>
      <c r="AC17" s="72" t="s">
        <v>27</v>
      </c>
      <c r="AD17" s="1"/>
      <c r="AE17" s="52"/>
      <c r="AF17" s="52"/>
      <c r="AG17" s="52"/>
      <c r="AH17" s="52"/>
      <c r="AI17" s="52"/>
      <c r="AJ17" s="52"/>
      <c r="AK17" s="52"/>
      <c r="AL17" s="52"/>
      <c r="AM17" s="52"/>
      <c r="AN17" s="52"/>
    </row>
    <row r="18" spans="1:48" ht="18.75" x14ac:dyDescent="0.25">
      <c r="A18" s="25"/>
      <c r="B18" s="140" t="s">
        <v>136</v>
      </c>
      <c r="C18" s="109" t="s">
        <v>137</v>
      </c>
      <c r="D18" s="25"/>
      <c r="E18" s="71" t="str">
        <f ca="1">_xll.DBRA(Server&amp;$AC$12,AC18,$AC$11)</f>
        <v>Période</v>
      </c>
      <c r="F18" s="204" t="str">
        <f ca="1">_xll.SUBNM(Server&amp;"Period","",ActualMonthYTD,"French")</f>
        <v>Cumul Octobre 2021</v>
      </c>
      <c r="H18" s="28"/>
      <c r="L18" s="29"/>
      <c r="M18" s="29"/>
      <c r="N18" s="29"/>
      <c r="O18" s="29"/>
      <c r="P18" s="29"/>
      <c r="AC18" s="64" t="s">
        <v>52</v>
      </c>
      <c r="AD18" s="109"/>
      <c r="AE18" s="52"/>
      <c r="AF18" s="52"/>
      <c r="AG18" s="52"/>
      <c r="AH18" s="52"/>
      <c r="AI18" s="52"/>
      <c r="AJ18" s="52"/>
    </row>
    <row r="19" spans="1:48" ht="26.25" x14ac:dyDescent="0.25">
      <c r="A19" s="52"/>
      <c r="B19" s="140" t="s">
        <v>135</v>
      </c>
      <c r="C19" s="109" t="s">
        <v>138</v>
      </c>
      <c r="D19" s="25"/>
      <c r="E19" s="30" t="str">
        <f ca="1">_xll.DBRA(Server&amp;$AC$12,$AC$19,$AC$11)</f>
        <v>Organisation managériale</v>
      </c>
      <c r="F19" s="61" t="str">
        <f ca="1">_xll.SUBNM(Server&amp;"Management_Organization_Corp","","VTD","Français")</f>
        <v>Transdev Group</v>
      </c>
      <c r="H19" s="28"/>
      <c r="I19" s="242" t="str">
        <f ca="1">_xll.DBRA(Server&amp;$AC$12,AC34,$AC$11)</f>
        <v>A date</v>
      </c>
      <c r="J19" s="242"/>
      <c r="K19" s="242"/>
      <c r="L19" s="242"/>
      <c r="M19" s="242"/>
      <c r="N19" s="242"/>
      <c r="O19" s="242"/>
      <c r="P19" s="242"/>
      <c r="R19" s="242" t="s">
        <v>184</v>
      </c>
      <c r="S19" s="242"/>
      <c r="T19" s="242"/>
      <c r="U19" s="242"/>
      <c r="AC19" s="72" t="s">
        <v>26</v>
      </c>
      <c r="AD19" s="109"/>
      <c r="AE19" s="52"/>
      <c r="AF19" s="80"/>
      <c r="AG19" s="52"/>
      <c r="AH19" s="52"/>
      <c r="AI19" s="52"/>
      <c r="AJ19" s="52"/>
    </row>
    <row r="20" spans="1:48" ht="18.75" x14ac:dyDescent="0.2">
      <c r="A20" s="52"/>
      <c r="B20" s="52"/>
      <c r="C20" s="109"/>
      <c r="D20" s="25"/>
      <c r="E20" s="30" t="str">
        <f ca="1">_xll.DBRA(Server&amp;$AC$12,AC20,$AC$11)</f>
        <v>Projets</v>
      </c>
      <c r="F20" s="60" t="str">
        <f ca="1">_xll.SUBNM(Server&amp;"Projets","Corp_FR","Tot_proj",$F$16)</f>
        <v>Total Projets</v>
      </c>
      <c r="H20" s="28"/>
      <c r="L20" s="29"/>
      <c r="M20" s="29"/>
      <c r="N20" s="29"/>
      <c r="O20" s="29"/>
      <c r="P20" s="29"/>
      <c r="Q20" s="52"/>
      <c r="V20" s="52"/>
      <c r="W20" s="52"/>
      <c r="X20" s="52"/>
      <c r="Y20" s="52"/>
      <c r="Z20" s="52"/>
      <c r="AA20" s="52"/>
      <c r="AB20" s="52"/>
      <c r="AC20" s="93" t="s">
        <v>68</v>
      </c>
      <c r="AD20" s="109"/>
      <c r="AE20" s="52"/>
      <c r="AF20" s="80"/>
      <c r="AG20" s="52"/>
      <c r="AH20" s="52"/>
      <c r="AI20" s="52"/>
      <c r="AJ20" s="81"/>
      <c r="AK20" s="52"/>
      <c r="AL20" s="52"/>
      <c r="AM20" s="52"/>
      <c r="AN20" s="52"/>
    </row>
    <row r="21" spans="1:48" ht="18.75" x14ac:dyDescent="0.2">
      <c r="A21" s="52"/>
      <c r="B21" s="52"/>
      <c r="C21" s="109"/>
      <c r="D21" s="25"/>
      <c r="E21" s="30" t="str">
        <f ca="1">_xll.DBRA(Server&amp;$AC$12,AC21,$AC$11)</f>
        <v>Devise</v>
      </c>
      <c r="F21" s="60" t="str">
        <f ca="1">_xll.SUBNM(Server&amp;"Currency","Corp_FR","KEUR",$AC$11)</f>
        <v>K€</v>
      </c>
      <c r="H21" s="28"/>
      <c r="I21" s="242" t="str">
        <f ca="1">$F$18</f>
        <v>Cumul Octobre 2021</v>
      </c>
      <c r="J21" s="242"/>
      <c r="K21" s="242"/>
      <c r="L21" s="29"/>
      <c r="M21" s="242" t="str">
        <f ca="1">_xll.DBRA(Server&amp;$AC$12,AC31,$AC$11)</f>
        <v>Variances</v>
      </c>
      <c r="N21" s="242"/>
      <c r="O21" s="242"/>
      <c r="P21" s="242"/>
      <c r="Q21" s="52"/>
      <c r="R21" s="242" t="str">
        <f ca="1">J2</f>
        <v>2021</v>
      </c>
      <c r="T21" s="242" t="s">
        <v>185</v>
      </c>
      <c r="U21" s="242"/>
      <c r="V21" s="52"/>
      <c r="W21" s="52"/>
      <c r="X21" s="52"/>
      <c r="Y21" s="52"/>
      <c r="Z21" s="52"/>
      <c r="AA21" s="52"/>
      <c r="AB21" s="52"/>
      <c r="AC21" s="72" t="s">
        <v>9</v>
      </c>
      <c r="AD21" s="109"/>
      <c r="AE21" s="52"/>
      <c r="AF21" s="80"/>
      <c r="AG21" s="52"/>
      <c r="AH21" s="52"/>
      <c r="AI21" s="52"/>
      <c r="AJ21" s="52" t="str">
        <f>RIGHT(AG6)</f>
        <v/>
      </c>
      <c r="AK21" s="52"/>
      <c r="AL21" s="52"/>
      <c r="AM21" s="52"/>
      <c r="AN21" s="52"/>
    </row>
    <row r="22" spans="1:48" ht="27" thickBot="1" x14ac:dyDescent="0.25">
      <c r="B22" s="52"/>
      <c r="C22" s="109"/>
      <c r="D22" s="25"/>
      <c r="E22" s="1"/>
      <c r="F22" s="1"/>
      <c r="I22" s="243"/>
      <c r="J22" s="243"/>
      <c r="K22" s="243"/>
      <c r="L22" s="31"/>
      <c r="M22" s="243"/>
      <c r="N22" s="243"/>
      <c r="O22" s="243"/>
      <c r="P22" s="243"/>
      <c r="R22" s="243"/>
      <c r="T22" s="243"/>
      <c r="U22" s="243"/>
      <c r="AC22" s="1"/>
      <c r="AD22" s="109"/>
      <c r="AE22" s="52"/>
      <c r="AF22" s="80"/>
      <c r="AG22" s="52"/>
      <c r="AH22" s="52"/>
      <c r="AI22" s="52"/>
      <c r="AJ22" s="52"/>
    </row>
    <row r="23" spans="1:48" ht="25.5" customHeight="1" thickTop="1" x14ac:dyDescent="0.2">
      <c r="B23" s="52"/>
      <c r="C23" s="110"/>
      <c r="D23" s="25"/>
      <c r="E23" s="32"/>
      <c r="F23" s="32"/>
      <c r="H23" s="5"/>
      <c r="I23" s="239" t="str">
        <f ca="1">_xll.DBRA(Server&amp;$AC$12,$AC$61,$AC$11)</f>
        <v>Réalisé N-1</v>
      </c>
      <c r="J23" s="239" t="str">
        <f ca="1">_xll.DBRA(Server&amp;$G$1,$J$1,$AC$11)</f>
        <v>Budget</v>
      </c>
      <c r="K23" s="239" t="str">
        <f ca="1">_xll.DBRA(Server&amp;$G$1,$K$1,$AC$11)</f>
        <v>Réalisé</v>
      </c>
      <c r="L23" s="33"/>
      <c r="M23" s="238" t="str">
        <f ca="1">$K$23&amp;" / "&amp;$J$23</f>
        <v>Réalisé / Budget</v>
      </c>
      <c r="N23" s="239"/>
      <c r="O23" s="244"/>
      <c r="P23" s="238" t="str">
        <f ca="1">$K$23&amp;" / "&amp;$I$23</f>
        <v>Réalisé / Réalisé N-1</v>
      </c>
      <c r="R23" s="246" t="s">
        <v>53</v>
      </c>
      <c r="S23" s="217"/>
      <c r="T23" s="238" t="s">
        <v>185</v>
      </c>
      <c r="U23" s="239" t="s">
        <v>186</v>
      </c>
      <c r="AC23" s="64" t="s">
        <v>0</v>
      </c>
      <c r="AD23" s="109"/>
      <c r="AE23" s="52"/>
      <c r="AF23" s="80"/>
      <c r="AG23" s="52"/>
      <c r="AH23" s="52"/>
      <c r="AI23" s="52"/>
      <c r="AJ23" s="52"/>
      <c r="AO23" s="6"/>
      <c r="AP23" s="6"/>
      <c r="AQ23" s="6"/>
      <c r="AR23" s="6"/>
      <c r="AS23" s="6"/>
      <c r="AT23" s="6"/>
      <c r="AU23" s="6"/>
      <c r="AV23" s="6"/>
    </row>
    <row r="24" spans="1:48" s="7" customFormat="1" ht="25.5" customHeight="1" thickBot="1" x14ac:dyDescent="0.25">
      <c r="A24" s="23"/>
      <c r="B24" s="52"/>
      <c r="C24" s="111"/>
      <c r="D24" s="1"/>
      <c r="E24" s="30" t="str">
        <f ca="1">_xll.DBRA(Server&amp;$AC$12,$AC$23,$AC$11)</f>
        <v>Phase</v>
      </c>
      <c r="F24" s="61" t="s">
        <v>53</v>
      </c>
      <c r="H24" s="34"/>
      <c r="I24" s="241"/>
      <c r="J24" s="241"/>
      <c r="K24" s="241"/>
      <c r="L24" s="35"/>
      <c r="M24" s="240"/>
      <c r="N24" s="241"/>
      <c r="O24" s="245"/>
      <c r="P24" s="240"/>
      <c r="Q24" s="23"/>
      <c r="R24" s="247"/>
      <c r="S24" s="217"/>
      <c r="T24" s="240"/>
      <c r="U24" s="241"/>
      <c r="V24" s="23"/>
      <c r="W24" s="23"/>
      <c r="X24" s="23"/>
      <c r="Y24" s="23"/>
      <c r="Z24" s="23"/>
      <c r="AA24" s="23"/>
      <c r="AB24" s="23"/>
      <c r="AC24" s="65" t="s">
        <v>53</v>
      </c>
      <c r="AD24" s="82"/>
      <c r="AE24" s="52"/>
      <c r="AF24" s="83"/>
      <c r="AJ24" s="52"/>
      <c r="AK24" s="23"/>
      <c r="AL24" s="23"/>
      <c r="AM24" s="23"/>
      <c r="AN24" s="23"/>
    </row>
    <row r="25" spans="1:48" s="7" customFormat="1" ht="18.75" x14ac:dyDescent="0.25">
      <c r="A25" s="23"/>
      <c r="B25" s="52"/>
      <c r="C25" s="112" t="s">
        <v>82</v>
      </c>
      <c r="D25" s="1"/>
      <c r="G25" s="36"/>
      <c r="H25" s="37"/>
      <c r="I25" s="38"/>
      <c r="J25" s="38"/>
      <c r="K25" s="38"/>
      <c r="L25" s="35"/>
      <c r="M25" s="35"/>
      <c r="N25" s="35"/>
      <c r="O25" s="35"/>
      <c r="P25" s="35"/>
      <c r="Q25" s="23"/>
      <c r="R25" s="52"/>
      <c r="S25" s="52"/>
      <c r="T25" s="52"/>
      <c r="U25" s="52"/>
      <c r="V25" s="23"/>
      <c r="W25" s="23"/>
      <c r="X25" s="23"/>
      <c r="Y25" s="23"/>
      <c r="Z25" s="23"/>
      <c r="AA25" s="23"/>
      <c r="AB25" s="23"/>
      <c r="AC25" s="65" t="s">
        <v>54</v>
      </c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8" s="9" customFormat="1" ht="24" thickBot="1" x14ac:dyDescent="0.4">
      <c r="A26" s="23"/>
      <c r="B26" s="52"/>
      <c r="C26" s="206" t="s">
        <v>175</v>
      </c>
      <c r="D26" s="1"/>
      <c r="E26" s="233" t="str">
        <f ca="1">_xll.DBRA(Server&amp;$C$25,$C26,$F$16)</f>
        <v>PRODUITS OPERATIONNELS</v>
      </c>
      <c r="F26" s="233"/>
      <c r="G26" s="233"/>
      <c r="H26" s="39"/>
      <c r="I26" s="186">
        <f ca="1">_xll.DBRW(Server&amp;Cube1,$F$21,$F$14,$F$15,$F$20,$C$18,$F$17,$F$19,$C$19,$H$3,I$1,$C26)</f>
        <v>14574.929360000002</v>
      </c>
      <c r="J26" s="186">
        <f ca="1">_xll.DBRW(Server&amp;Cube1,$F$21,$F$14,$F$15,$F$20,$C$18,$F$17,$F$19,$C$19,$H$2,J$1,$C26)</f>
        <v>13888.99</v>
      </c>
      <c r="K26" s="187">
        <f ca="1">_xll.DBRW(Server&amp;Cube1,$F$21,$F$14,$F$15,$F$20,$C$18,$F$17,$F$19,$C$19,$H$2,K$1,$C26)</f>
        <v>14151.923580000002</v>
      </c>
      <c r="L26" s="188"/>
      <c r="M26" s="185">
        <f ca="1">K26-J26</f>
        <v>262.93358000000262</v>
      </c>
      <c r="N26" s="189">
        <f ca="1">IF(J26=0,0,IF(J26&lt;0,M26/-J26,M26/J26))</f>
        <v>1.8931079941738212E-2</v>
      </c>
      <c r="O26" s="202" t="str">
        <f ca="1">IF(N26&gt;0.01,$AE$27,IF(N26&lt;-0.01,$AF$27,$AG$27))</f>
        <v>ì</v>
      </c>
      <c r="P26" s="185">
        <f ca="1">K26-I26</f>
        <v>-423.0057799999995</v>
      </c>
      <c r="Q26" s="23"/>
      <c r="R26" s="185">
        <f ca="1">_xll.DBRW(Server&amp;Cube1,$F$21,$F$14,$F$15,$F$20,$C$18,$F$17,$F$19,$C$19,$J$2,J$1,$C26)</f>
        <v>16647.852999999999</v>
      </c>
      <c r="S26" s="52"/>
      <c r="T26" s="185">
        <f ca="1">R26-K26</f>
        <v>2495.9294199999968</v>
      </c>
      <c r="U26" s="189">
        <f ca="1">IF(R26=0,0,T26/R26)</f>
        <v>0.14992500354249866</v>
      </c>
      <c r="V26" s="23"/>
      <c r="W26" s="23"/>
      <c r="X26" s="23"/>
      <c r="Y26" s="23"/>
      <c r="Z26" s="23"/>
      <c r="AA26" s="23"/>
      <c r="AB26" s="23"/>
      <c r="AC26" s="65" t="s">
        <v>55</v>
      </c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8" s="9" customFormat="1" ht="24" thickBot="1" x14ac:dyDescent="0.4">
      <c r="A27" s="23"/>
      <c r="B27" s="52"/>
      <c r="C27" s="114" t="s">
        <v>181</v>
      </c>
      <c r="D27" s="1"/>
      <c r="E27" s="235" t="str">
        <f ca="1">_xll.DBRA(Server&amp;$C$25,$C27,$F$16)</f>
        <v>Ventes de services</v>
      </c>
      <c r="F27" s="235"/>
      <c r="G27" s="235"/>
      <c r="H27" s="39"/>
      <c r="I27" s="172">
        <f ca="1">_xll.DBRW(Server&amp;Cube1,$F$21,$F$14,$F$15,$F$20,$C$18,$F$17,$F$19,$C$19,$H$3,I$1,$C27)</f>
        <v>218.63977999999997</v>
      </c>
      <c r="J27" s="172">
        <f ca="1">_xll.DBRW(Server&amp;Cube1,$F$21,$F$14,$F$15,$F$20,$C$18,$F$17,$F$19,$C$19,$H$2,J$1,$C27)</f>
        <v>0</v>
      </c>
      <c r="K27" s="173">
        <f ca="1">_xll.DBRW(Server&amp;Cube1,$F$21,$F$14,$F$15,$F$20,$C$18,$F$17,$F$19,$C$19,$H$2,K$1,$C27)</f>
        <v>323.46993000000003</v>
      </c>
      <c r="L27" s="150"/>
      <c r="M27" s="177">
        <f t="shared" ref="M27" ca="1" si="0">K27-J27</f>
        <v>323.46993000000003</v>
      </c>
      <c r="N27" s="162">
        <f ca="1">IF(J27=0,0,IF(J27&lt;0,M27/-J27,M27/J27))</f>
        <v>0</v>
      </c>
      <c r="O27" s="180" t="str">
        <f ca="1">IF(N27&gt;0.01,$AE$27,IF(N27&lt;-0.01,$AF$27,$AG$27))</f>
        <v>è</v>
      </c>
      <c r="P27" s="177">
        <f t="shared" ref="P27" ca="1" si="1">K27-I27</f>
        <v>104.83015000000006</v>
      </c>
      <c r="Q27" s="23"/>
      <c r="R27" s="177">
        <f ca="1">_xll.DBRW(Server&amp;Cube1,$F$21,$F$14,$F$15,$F$20,$C$18,$F$17,$F$19,$C$19,$J$2,J$1,$C27)</f>
        <v>0</v>
      </c>
      <c r="S27" s="52"/>
      <c r="T27" s="177">
        <f t="shared" ref="T27:T28" ca="1" si="2">R27-K27</f>
        <v>-323.46993000000003</v>
      </c>
      <c r="U27" s="162">
        <f t="shared" ref="U27:U28" ca="1" si="3">IF(R27=0,0,T27/R27)</f>
        <v>0</v>
      </c>
      <c r="V27" s="23"/>
      <c r="W27" s="23"/>
      <c r="X27" s="23"/>
      <c r="Y27" s="23"/>
      <c r="Z27" s="23"/>
      <c r="AA27" s="23"/>
      <c r="AB27" s="23"/>
      <c r="AC27" s="64" t="s">
        <v>139</v>
      </c>
      <c r="AD27" s="23"/>
      <c r="AE27" s="84" t="s">
        <v>60</v>
      </c>
      <c r="AF27" s="84" t="s">
        <v>61</v>
      </c>
      <c r="AG27" s="84" t="s">
        <v>62</v>
      </c>
      <c r="AH27" s="23"/>
      <c r="AI27" s="23"/>
      <c r="AJ27" s="23"/>
      <c r="AK27" s="23"/>
      <c r="AL27" s="23"/>
      <c r="AM27" s="23"/>
      <c r="AN27" s="23"/>
    </row>
    <row r="28" spans="1:48" s="9" customFormat="1" ht="23.25" x14ac:dyDescent="0.35">
      <c r="A28" s="52"/>
      <c r="B28" s="52"/>
      <c r="C28" s="114" t="s">
        <v>182</v>
      </c>
      <c r="D28" s="1"/>
      <c r="E28" s="235" t="str">
        <f ca="1">_xll.DBRA(Server&amp;$C$25,$C28,$F$16)</f>
        <v>Subventions d'exploitation</v>
      </c>
      <c r="F28" s="235"/>
      <c r="G28" s="235"/>
      <c r="H28" s="39"/>
      <c r="I28" s="172">
        <f ca="1">_xll.DBRW(Server&amp;Cube1,$F$21,$F$14,$F$15,$F$20,$C$18,$F$17,$F$19,$C$19,$H$3,I$1,$C28)</f>
        <v>0</v>
      </c>
      <c r="J28" s="172">
        <f ca="1">_xll.DBRW(Server&amp;Cube1,$F$21,$F$14,$F$15,$F$20,$C$18,$F$17,$F$19,$C$19,$H$2,J$1,$C28)</f>
        <v>1916.67</v>
      </c>
      <c r="K28" s="173">
        <f ca="1">_xll.DBRW(Server&amp;Cube1,$F$21,$F$14,$F$15,$F$20,$C$18,$F$17,$F$19,$C$19,$H$2,K$1,$C28)</f>
        <v>-152.73531000000003</v>
      </c>
      <c r="L28" s="150"/>
      <c r="M28" s="177">
        <f t="shared" ref="M28" ca="1" si="4">K28-J28</f>
        <v>-2069.4053100000001</v>
      </c>
      <c r="N28" s="162">
        <f t="shared" ref="N28" ca="1" si="5">IF(J28=0,0,IF(J28&lt;0,M28/-J28,M28/J28))</f>
        <v>-1.0796878492385231</v>
      </c>
      <c r="O28" s="180" t="str">
        <f ca="1">IF(N28&gt;0.01,$AE$27,IF(N28&lt;-0.01,$AF$27,$AG$27))</f>
        <v>î</v>
      </c>
      <c r="P28" s="177">
        <f t="shared" ref="P28" ca="1" si="6">K28-I28</f>
        <v>-152.73531000000003</v>
      </c>
      <c r="Q28" s="52"/>
      <c r="R28" s="177">
        <f ca="1">_xll.DBRW(Server&amp;Cube1,$F$21,$F$14,$F$15,$F$20,$C$18,$F$17,$F$19,$C$19,$J$2,J$1,$C28)</f>
        <v>2300</v>
      </c>
      <c r="S28" s="52"/>
      <c r="T28" s="177">
        <f t="shared" ca="1" si="2"/>
        <v>2452.73531</v>
      </c>
      <c r="U28" s="162">
        <f t="shared" ca="1" si="3"/>
        <v>1.0664066565217392</v>
      </c>
      <c r="V28" s="52"/>
      <c r="W28" s="52"/>
      <c r="X28" s="52"/>
      <c r="Y28" s="52"/>
      <c r="Z28" s="52"/>
      <c r="AA28" s="52"/>
      <c r="AB28" s="52"/>
      <c r="AC28" s="66"/>
      <c r="AD28" s="52"/>
      <c r="AE28" s="214"/>
      <c r="AF28" s="214"/>
      <c r="AG28" s="214"/>
      <c r="AH28" s="52"/>
      <c r="AI28" s="52"/>
      <c r="AJ28" s="52"/>
      <c r="AK28" s="52"/>
      <c r="AL28" s="52"/>
      <c r="AM28" s="52"/>
      <c r="AN28" s="52"/>
    </row>
    <row r="29" spans="1:48" s="9" customFormat="1" ht="24" thickBot="1" x14ac:dyDescent="0.4">
      <c r="A29" s="23"/>
      <c r="B29" s="52"/>
      <c r="C29" s="115"/>
      <c r="D29" s="99"/>
      <c r="E29" s="236"/>
      <c r="F29" s="236"/>
      <c r="G29" s="236"/>
      <c r="H29" s="100"/>
      <c r="I29" s="151"/>
      <c r="J29" s="151"/>
      <c r="K29" s="151"/>
      <c r="L29" s="151"/>
      <c r="M29" s="122"/>
      <c r="N29" s="163"/>
      <c r="O29" s="181"/>
      <c r="P29" s="152"/>
      <c r="Q29" s="23"/>
      <c r="R29" s="152"/>
      <c r="S29" s="52"/>
      <c r="T29" s="122"/>
      <c r="U29" s="163"/>
      <c r="V29" s="23"/>
      <c r="W29" s="23"/>
      <c r="X29" s="23"/>
      <c r="Y29" s="23"/>
      <c r="Z29" s="23"/>
      <c r="AA29" s="23"/>
      <c r="AB29" s="23"/>
      <c r="AC29" s="67" t="s">
        <v>49</v>
      </c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8" s="9" customFormat="1" ht="24" thickBot="1" x14ac:dyDescent="0.4">
      <c r="A30" s="23"/>
      <c r="B30" s="52"/>
      <c r="C30" s="113" t="s">
        <v>83</v>
      </c>
      <c r="E30" s="233" t="str">
        <f ca="1">_xll.DBRA(Server&amp;$C$25,$C30,$F$16)</f>
        <v>CHARGES OPERATIONNELLES</v>
      </c>
      <c r="F30" s="233"/>
      <c r="G30" s="233"/>
      <c r="H30" s="39"/>
      <c r="I30" s="186">
        <f ca="1">_xll.DBRW(Server&amp;Cube1,$F$21,$F$14,$F$15,$F$20,$C$18,$F$17,$F$19,$C$19,$H$3,I$1,$C30)</f>
        <v>-73317.376550000001</v>
      </c>
      <c r="J30" s="186">
        <f ca="1">_xll.DBRW(Server&amp;Cube1,$F$21,$F$14,$F$15,$F$20,$C$18,$F$17,$F$19,$C$19,$H$2,J$1,$C30)</f>
        <v>-79939.824322097673</v>
      </c>
      <c r="K30" s="187">
        <f ca="1">_xll.DBRW(Server&amp;Cube1,$F$21,$F$14,$F$15,$F$20,$C$18,$F$17,$F$19,$C$19,$H$2,K$1,$C30)</f>
        <v>-64077.062220000036</v>
      </c>
      <c r="L30" s="188">
        <f t="shared" ref="L30" si="7">+L34+L51+L55+L58</f>
        <v>0</v>
      </c>
      <c r="M30" s="185">
        <f t="shared" ref="M30:M31" ca="1" si="8">K30-J30</f>
        <v>15862.762102097637</v>
      </c>
      <c r="N30" s="189">
        <f t="shared" ref="N30:N31" ca="1" si="9">IF(J30=0,0,IF(J30&lt;0,M30/-J30,M30/J30))</f>
        <v>0.19843378737214351</v>
      </c>
      <c r="O30" s="202" t="str">
        <f t="shared" ref="O30:O61" ca="1" si="10">IF(N30&gt;0.01,$AE$27,IF(N30&lt;-0.01,$AF$27,$AG$27))</f>
        <v>ì</v>
      </c>
      <c r="P30" s="185">
        <f t="shared" ref="P30:P80" ca="1" si="11">K30-I30</f>
        <v>9240.3143299999647</v>
      </c>
      <c r="Q30" s="23"/>
      <c r="R30" s="185">
        <f ca="1">_xll.DBRW(Server&amp;Cube1,$F$21,$F$14,$F$15,$F$20,$C$18,$F$17,$F$19,$C$19,$J$2,J$1,$C30)</f>
        <v>-95744.713605598386</v>
      </c>
      <c r="S30" s="52"/>
      <c r="T30" s="185">
        <f t="shared" ref="T30:T90" ca="1" si="12">R30-K30</f>
        <v>-31667.65138559835</v>
      </c>
      <c r="U30" s="189">
        <f t="shared" ref="U30:U33" ca="1" si="13">IF(R30=0,0,T30/R30)</f>
        <v>0.33075091243206434</v>
      </c>
      <c r="V30" s="23"/>
      <c r="W30" s="23"/>
      <c r="X30" s="23"/>
      <c r="Y30" s="23"/>
      <c r="Z30" s="23"/>
      <c r="AA30" s="23"/>
      <c r="AB30" s="23"/>
      <c r="AC30" s="75" t="s">
        <v>69</v>
      </c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8" s="9" customFormat="1" ht="24" thickBot="1" x14ac:dyDescent="0.4">
      <c r="A31" s="23"/>
      <c r="B31" s="52"/>
      <c r="C31" s="113" t="s">
        <v>170</v>
      </c>
      <c r="D31" s="1"/>
      <c r="E31" s="234" t="str">
        <f ca="1">_xll.DBRA(Server&amp;$C$25,$C31,$F$16)</f>
        <v>Facturation PMAD</v>
      </c>
      <c r="F31" s="234"/>
      <c r="G31" s="234"/>
      <c r="H31" s="39"/>
      <c r="I31" s="172">
        <f ca="1">_xll.DBRW(Server&amp;Cube1,$F$21,$F$14,$F$15,$F$20,$C$18,$F$17,$F$19,$C$19,$H$3,I$1,$C31)</f>
        <v>5758.5520600000009</v>
      </c>
      <c r="J31" s="172">
        <f ca="1">_xll.DBRW(Server&amp;Cube1,$F$21,$F$14,$F$15,$F$20,$C$18,$F$17,$F$19,$C$19,$H$2,J$1,$C31)</f>
        <v>5704.7849999999999</v>
      </c>
      <c r="K31" s="173">
        <f ca="1">_xll.DBRW(Server&amp;Cube1,$F$21,$F$14,$F$15,$F$20,$C$18,$F$17,$F$19,$C$19,$H$2,K$1,$C31)</f>
        <v>4574.5587500000001</v>
      </c>
      <c r="L31" s="150"/>
      <c r="M31" s="177">
        <f t="shared" ca="1" si="8"/>
        <v>-1130.2262499999997</v>
      </c>
      <c r="N31" s="162">
        <f t="shared" ca="1" si="9"/>
        <v>-0.19811899133797325</v>
      </c>
      <c r="O31" s="180" t="str">
        <f t="shared" ca="1" si="10"/>
        <v>î</v>
      </c>
      <c r="P31" s="177">
        <f t="shared" ca="1" si="11"/>
        <v>-1183.9933100000007</v>
      </c>
      <c r="Q31" s="23"/>
      <c r="R31" s="177">
        <f ca="1">_xll.DBRW(Server&amp;Cube1,$F$21,$F$14,$F$15,$F$20,$C$18,$F$17,$F$19,$C$19,$J$2,J$1,$C31)</f>
        <v>6846.902</v>
      </c>
      <c r="S31" s="52"/>
      <c r="T31" s="177">
        <f t="shared" ca="1" si="12"/>
        <v>2272.3432499999999</v>
      </c>
      <c r="U31" s="162">
        <f t="shared" ca="1" si="13"/>
        <v>0.33187903814016906</v>
      </c>
      <c r="V31" s="23"/>
      <c r="W31" s="23"/>
      <c r="X31" s="23"/>
      <c r="Y31" s="23"/>
      <c r="Z31" s="23"/>
      <c r="AA31" s="23"/>
      <c r="AB31" s="23"/>
      <c r="AC31" s="67" t="s">
        <v>28</v>
      </c>
      <c r="AD31" s="23"/>
      <c r="AE31" s="230" t="s">
        <v>59</v>
      </c>
      <c r="AF31" s="231"/>
      <c r="AG31" s="232"/>
      <c r="AH31" s="23"/>
      <c r="AI31" s="23"/>
      <c r="AJ31" s="23"/>
      <c r="AK31" s="23"/>
      <c r="AL31" s="23"/>
      <c r="AM31" s="23"/>
      <c r="AN31" s="23"/>
    </row>
    <row r="32" spans="1:48" s="9" customFormat="1" ht="24" thickBot="1" x14ac:dyDescent="0.4">
      <c r="A32" s="52"/>
      <c r="B32" s="52"/>
      <c r="C32" s="113" t="s">
        <v>171</v>
      </c>
      <c r="D32" s="1"/>
      <c r="E32" s="234" t="str">
        <f ca="1">_xll.DBRA(Server&amp;$C$25,$C32,$F$16)</f>
        <v>Prestations de service intra-groupe (hors PMAD)</v>
      </c>
      <c r="F32" s="234"/>
      <c r="G32" s="234"/>
      <c r="H32" s="39"/>
      <c r="I32" s="172">
        <f ca="1">_xll.DBRW(Server&amp;Cube1,$F$21,$F$14,$F$15,$F$20,$C$18,$F$17,$F$19,$C$19,$H$3,I$1,$C32)</f>
        <v>4907.5249400000012</v>
      </c>
      <c r="J32" s="172">
        <f ca="1">_xll.DBRW(Server&amp;Cube1,$F$21,$F$14,$F$15,$F$20,$C$18,$F$17,$F$19,$C$19,$H$2,J$1,$C32)</f>
        <v>2646.7040000000002</v>
      </c>
      <c r="K32" s="173">
        <f ca="1">_xll.DBRW(Server&amp;Cube1,$F$21,$F$14,$F$15,$F$20,$C$18,$F$17,$F$19,$C$19,$H$2,K$1,$C32)</f>
        <v>5652.2137100000009</v>
      </c>
      <c r="L32" s="149"/>
      <c r="M32" s="177">
        <f ca="1">K32-J32</f>
        <v>3005.5097100000007</v>
      </c>
      <c r="N32" s="162">
        <f ca="1">IF(J32=0,0,IF(J32&lt;0,M32/-J32,M32/J32))</f>
        <v>1.1355669957804124</v>
      </c>
      <c r="O32" s="180" t="str">
        <f t="shared" ca="1" si="10"/>
        <v>ì</v>
      </c>
      <c r="P32" s="177">
        <f t="shared" ca="1" si="11"/>
        <v>744.68876999999975</v>
      </c>
      <c r="Q32" s="52"/>
      <c r="R32" s="177">
        <f ca="1">_xll.DBRW(Server&amp;Cube1,$F$21,$F$14,$F$15,$F$20,$C$18,$F$17,$F$19,$C$19,$J$2,J$1,$C32)</f>
        <v>3155.9659999999999</v>
      </c>
      <c r="S32" s="52"/>
      <c r="T32" s="177">
        <f t="shared" ca="1" si="12"/>
        <v>-2496.247710000001</v>
      </c>
      <c r="U32" s="162">
        <f t="shared" ca="1" si="13"/>
        <v>-0.79096153443985173</v>
      </c>
      <c r="V32" s="52"/>
      <c r="W32" s="52"/>
      <c r="X32" s="52"/>
      <c r="Y32" s="52"/>
      <c r="Z32" s="52"/>
      <c r="AA32" s="52"/>
      <c r="AB32" s="52"/>
      <c r="AC32" s="74" t="s">
        <v>50</v>
      </c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</row>
    <row r="33" spans="1:40" s="9" customFormat="1" ht="24" thickBot="1" x14ac:dyDescent="0.4">
      <c r="A33" s="52"/>
      <c r="B33" s="52"/>
      <c r="C33" s="114" t="s">
        <v>180</v>
      </c>
      <c r="D33" s="1"/>
      <c r="E33" s="234" t="str">
        <f ca="1">_xll.DBRA(Server&amp;$C$25,$C33,$F$16)</f>
        <v>Refacturation des charges de loyer</v>
      </c>
      <c r="F33" s="234"/>
      <c r="G33" s="234"/>
      <c r="H33" s="39"/>
      <c r="I33" s="172">
        <f ca="1">_xll.DBRW(Server&amp;Cube1,$F$21,$F$14,$F$15,$F$20,$C$18,$F$17,$F$19,$C$19,$H$3,I$1,$C33)</f>
        <v>3690.2125800000003</v>
      </c>
      <c r="J33" s="172">
        <f ca="1">_xll.DBRW(Server&amp;Cube1,$F$21,$F$14,$F$15,$F$20,$C$18,$F$17,$F$19,$C$19,$H$2,J$1,$C33)</f>
        <v>3620.8310000000001</v>
      </c>
      <c r="K33" s="173">
        <f ca="1">_xll.DBRW(Server&amp;Cube1,$F$21,$F$14,$F$15,$F$20,$C$18,$F$17,$F$19,$C$19,$H$2,K$1,$C33)</f>
        <v>3754.4165000000003</v>
      </c>
      <c r="L33" s="150"/>
      <c r="M33" s="177">
        <f ca="1">K33-J33</f>
        <v>133.58550000000014</v>
      </c>
      <c r="N33" s="162">
        <f ca="1">IF(J33=0,0,IF(J33&lt;0,M33/-J33,M33/J33))</f>
        <v>3.6893602601170875E-2</v>
      </c>
      <c r="O33" s="180" t="str">
        <f t="shared" ca="1" si="10"/>
        <v>ì</v>
      </c>
      <c r="P33" s="177">
        <f ca="1">K33-I33</f>
        <v>64.203919999999925</v>
      </c>
      <c r="Q33" s="52"/>
      <c r="R33" s="177">
        <f ca="1">_xll.DBRW(Server&amp;Cube1,$F$21,$F$14,$F$15,$F$20,$C$18,$F$17,$F$19,$C$19,$J$2,J$1,$C33)</f>
        <v>4344.9849999999997</v>
      </c>
      <c r="S33" s="52"/>
      <c r="T33" s="177">
        <f t="shared" ca="1" si="12"/>
        <v>590.5684999999994</v>
      </c>
      <c r="U33" s="162">
        <f t="shared" ca="1" si="13"/>
        <v>0.13591957164409071</v>
      </c>
      <c r="V33" s="52"/>
      <c r="W33" s="52"/>
      <c r="X33" s="52"/>
      <c r="Y33" s="52"/>
      <c r="Z33" s="52"/>
      <c r="AA33" s="52"/>
      <c r="AB33" s="52"/>
      <c r="AC33" s="64" t="s">
        <v>139</v>
      </c>
      <c r="AD33" s="52"/>
      <c r="AE33" s="84" t="s">
        <v>60</v>
      </c>
      <c r="AF33" s="84" t="s">
        <v>61</v>
      </c>
      <c r="AG33" s="84" t="s">
        <v>62</v>
      </c>
      <c r="AH33" s="52"/>
      <c r="AI33" s="52"/>
      <c r="AJ33" s="52"/>
      <c r="AK33" s="52"/>
      <c r="AL33" s="52"/>
      <c r="AM33" s="52"/>
      <c r="AN33" s="52"/>
    </row>
    <row r="34" spans="1:40" s="9" customFormat="1" ht="24" thickBot="1" x14ac:dyDescent="0.4">
      <c r="A34" s="23"/>
      <c r="B34" s="52"/>
      <c r="C34" s="113" t="s">
        <v>84</v>
      </c>
      <c r="E34" s="226" t="str">
        <f ca="1">_xll.DBRA(Server&amp;$C$25,$C34,$F$16)</f>
        <v>Coûts externes</v>
      </c>
      <c r="F34" s="226"/>
      <c r="G34" s="226"/>
      <c r="H34" s="190"/>
      <c r="I34" s="192">
        <f ca="1">_xll.DBRW(Server&amp;Cube1,$F$21,$F$14,$F$15,$F$20,$C$18,$F$17,$F$19,$C$19,$H$3,I$1,$C34)</f>
        <v>-22623.528409999999</v>
      </c>
      <c r="J34" s="192">
        <f ca="1">_xll.DBRW(Server&amp;Cube1,$F$21,$F$14,$F$15,$F$20,$C$18,$F$17,$F$19,$C$19,$H$2,J$1,$C34)</f>
        <v>-26688.968000000001</v>
      </c>
      <c r="K34" s="192">
        <f ca="1">_xll.DBRW(Server&amp;Cube1,$F$21,$F$14,$F$15,$F$20,$C$18,$F$17,$F$19,$C$19,$H$2,K$1,$C34)</f>
        <v>-18015.803869999992</v>
      </c>
      <c r="L34" s="193"/>
      <c r="M34" s="194">
        <f ca="1">K34-J34</f>
        <v>8673.1641300000083</v>
      </c>
      <c r="N34" s="195">
        <f ca="1">IF(J34=0,0,IF(J34&lt;0,M34/-J34,M34/J34))</f>
        <v>0.32497188089101114</v>
      </c>
      <c r="O34" s="196" t="str">
        <f t="shared" ca="1" si="10"/>
        <v>ì</v>
      </c>
      <c r="P34" s="194">
        <f t="shared" ca="1" si="11"/>
        <v>4607.7245400000065</v>
      </c>
      <c r="Q34" s="23"/>
      <c r="R34" s="194">
        <f ca="1">_xll.DBRW(Server&amp;Cube1,$F$21,$F$14,$F$15,$F$20,$C$18,$F$17,$F$19,$C$19,$J$2,J$1,$C34)</f>
        <v>-32072.638999999999</v>
      </c>
      <c r="S34" s="52"/>
      <c r="T34" s="194">
        <f t="shared" ca="1" si="12"/>
        <v>-14056.835130000007</v>
      </c>
      <c r="U34" s="195">
        <f ca="1">IF(R34=0,0,T34/R34)</f>
        <v>0.43828121315492646</v>
      </c>
      <c r="V34" s="23"/>
      <c r="W34" s="23"/>
      <c r="X34" s="23"/>
      <c r="Y34" s="23"/>
      <c r="Z34" s="23"/>
      <c r="AA34" s="23"/>
      <c r="AB34" s="23"/>
      <c r="AC34" s="75" t="s">
        <v>70</v>
      </c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s="9" customFormat="1" ht="23.25" x14ac:dyDescent="0.35">
      <c r="A35" s="23"/>
      <c r="B35" s="52"/>
      <c r="C35" s="113" t="s">
        <v>85</v>
      </c>
      <c r="E35" s="223" t="str">
        <f ca="1">_xll.DBRA(Server&amp;$C$25,$C35,$F$16)</f>
        <v>Coûts admin. et informatique</v>
      </c>
      <c r="F35" s="223"/>
      <c r="G35" s="223"/>
      <c r="H35" s="39"/>
      <c r="I35" s="174">
        <f ca="1">_xll.DBRW(Server&amp;Cube1,$F$21,$F$14,$F$15,$F$20,$C$18,$F$17,$F$19,$C$19,$H$3,I$1,$C35)</f>
        <v>-864.22663999999997</v>
      </c>
      <c r="J35" s="174">
        <f ca="1">_xll.DBRW(Server&amp;Cube1,$F$21,$F$14,$F$15,$F$20,$C$18,$F$17,$F$19,$C$19,$H$2,J$1,$C35)</f>
        <v>-791.38</v>
      </c>
      <c r="K35" s="173">
        <f ca="1">_xll.DBRW(Server&amp;Cube1,$F$21,$F$14,$F$15,$F$20,$C$18,$F$17,$F$19,$C$19,$H$2,K$1,$C35)</f>
        <v>-1037.1078999999997</v>
      </c>
      <c r="L35" s="149"/>
      <c r="M35" s="178">
        <f t="shared" ref="M35:M80" ca="1" si="14">K35-J35</f>
        <v>-245.72789999999975</v>
      </c>
      <c r="N35" s="164">
        <f t="shared" ref="N35:N80" ca="1" si="15">IF(J35=0,0,IF(J35&lt;0,M35/-J35,M35/J35))</f>
        <v>-0.31050557254416306</v>
      </c>
      <c r="O35" s="180" t="str">
        <f t="shared" ca="1" si="10"/>
        <v>î</v>
      </c>
      <c r="P35" s="178">
        <f t="shared" ca="1" si="11"/>
        <v>-172.88125999999977</v>
      </c>
      <c r="Q35" s="23"/>
      <c r="R35" s="178">
        <f ca="1">_xll.DBRW(Server&amp;Cube1,$F$21,$F$14,$F$15,$F$20,$C$18,$F$17,$F$19,$C$19,$J$2,J$1,$C35)</f>
        <v>-949.6</v>
      </c>
      <c r="S35" s="52"/>
      <c r="T35" s="178">
        <f t="shared" ca="1" si="12"/>
        <v>87.507899999999722</v>
      </c>
      <c r="U35" s="164">
        <f t="shared" ref="U35:U81" ca="1" si="16">IF(R35=0,0,T35/R35)</f>
        <v>-9.2152379949452107E-2</v>
      </c>
      <c r="V35" s="23"/>
      <c r="W35" s="23"/>
      <c r="X35" s="23"/>
      <c r="Y35" s="23"/>
      <c r="Z35" s="23"/>
      <c r="AA35" s="23"/>
      <c r="AB35" s="23"/>
      <c r="AC35" s="98" t="s">
        <v>79</v>
      </c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s="9" customFormat="1" ht="23.25" outlineLevel="1" x14ac:dyDescent="0.35">
      <c r="A36" s="23"/>
      <c r="B36" s="52"/>
      <c r="C36" s="114" t="s">
        <v>90</v>
      </c>
      <c r="E36" s="224" t="str">
        <f ca="1">_xll.DBRA(Server&amp;$C$25,$C36,$F$16)</f>
        <v>Documentation</v>
      </c>
      <c r="F36" s="224"/>
      <c r="G36" s="224"/>
      <c r="H36" s="39"/>
      <c r="I36" s="175">
        <f ca="1">_xll.DBRW(Server&amp;Cube1,$F$21,$F$14,$F$15,$F$20,$C$18,$F$17,$F$19,$C$19,$H$3,I$1,$C36)</f>
        <v>-92.350710000000007</v>
      </c>
      <c r="J36" s="175">
        <f ca="1">_xll.DBRW(Server&amp;Cube1,$F$21,$F$14,$F$15,$F$20,$C$18,$F$17,$F$19,$C$19,$H$2,J$1,$C36)</f>
        <v>-66.02</v>
      </c>
      <c r="K36" s="173">
        <f ca="1">_xll.DBRW(Server&amp;Cube1,$F$21,$F$14,$F$15,$F$20,$C$18,$F$17,$F$19,$C$19,$H$2,K$1,$C36)</f>
        <v>-48.105350000000001</v>
      </c>
      <c r="L36" s="149"/>
      <c r="M36" s="179">
        <f t="shared" ca="1" si="14"/>
        <v>17.914649999999995</v>
      </c>
      <c r="N36" s="165">
        <f t="shared" ca="1" si="15"/>
        <v>0.27135186307179637</v>
      </c>
      <c r="O36" s="180" t="str">
        <f t="shared" ca="1" si="10"/>
        <v>ì</v>
      </c>
      <c r="P36" s="179">
        <f t="shared" ca="1" si="11"/>
        <v>44.245360000000005</v>
      </c>
      <c r="Q36" s="23"/>
      <c r="R36" s="179">
        <f ca="1">_xll.DBRW(Server&amp;Cube1,$F$21,$F$14,$F$15,$F$20,$C$18,$F$17,$F$19,$C$19,$J$2,J$1,$C36)</f>
        <v>-79.2</v>
      </c>
      <c r="S36" s="52"/>
      <c r="T36" s="179">
        <f t="shared" ca="1" si="12"/>
        <v>-31.094650000000001</v>
      </c>
      <c r="U36" s="165">
        <f t="shared" ca="1" si="16"/>
        <v>0.39260921717171715</v>
      </c>
      <c r="V36" s="23"/>
      <c r="W36" s="23"/>
      <c r="X36" s="23"/>
      <c r="Y36" s="23"/>
      <c r="Z36" s="23"/>
      <c r="AA36" s="23"/>
      <c r="AB36" s="23"/>
      <c r="AC36" s="75" t="s">
        <v>80</v>
      </c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s="9" customFormat="1" ht="24" outlineLevel="1" thickBot="1" x14ac:dyDescent="0.4">
      <c r="A37" s="23"/>
      <c r="B37" s="52"/>
      <c r="C37" s="114" t="s">
        <v>87</v>
      </c>
      <c r="E37" s="224" t="str">
        <f ca="1">_xll.DBRA(Server&amp;$C$25,$C37,$F$16)</f>
        <v>Fournitures de bureau et autres consommables</v>
      </c>
      <c r="F37" s="224"/>
      <c r="G37" s="224"/>
      <c r="H37" s="39"/>
      <c r="I37" s="175">
        <f ca="1">_xll.DBRW(Server&amp;Cube1,$F$21,$F$14,$F$15,$F$20,$C$18,$F$17,$F$19,$C$19,$H$3,I$1,$C37)</f>
        <v>-197.05413000000004</v>
      </c>
      <c r="J37" s="175">
        <f ca="1">_xll.DBRW(Server&amp;Cube1,$F$21,$F$14,$F$15,$F$20,$C$18,$F$17,$F$19,$C$19,$H$2,J$1,$C37)</f>
        <v>-199.59</v>
      </c>
      <c r="K37" s="173">
        <f ca="1">_xll.DBRW(Server&amp;Cube1,$F$21,$F$14,$F$15,$F$20,$C$18,$F$17,$F$19,$C$19,$H$2,K$1,$C37)</f>
        <v>-261.07652999999999</v>
      </c>
      <c r="L37" s="149"/>
      <c r="M37" s="179">
        <f t="shared" ca="1" si="14"/>
        <v>-61.486529999999988</v>
      </c>
      <c r="N37" s="165">
        <f t="shared" ca="1" si="15"/>
        <v>-0.30806418157222298</v>
      </c>
      <c r="O37" s="180" t="str">
        <f t="shared" ca="1" si="10"/>
        <v>î</v>
      </c>
      <c r="P37" s="179">
        <f t="shared" ca="1" si="11"/>
        <v>-64.022399999999948</v>
      </c>
      <c r="Q37" s="23"/>
      <c r="R37" s="179">
        <f ca="1">_xll.DBRW(Server&amp;Cube1,$F$21,$F$14,$F$15,$F$20,$C$18,$F$17,$F$19,$C$19,$J$2,J$1,$C37)</f>
        <v>-239.5</v>
      </c>
      <c r="S37" s="52"/>
      <c r="T37" s="179">
        <f t="shared" ca="1" si="12"/>
        <v>21.576529999999991</v>
      </c>
      <c r="U37" s="165">
        <f t="shared" ca="1" si="16"/>
        <v>-9.0089895615866347E-2</v>
      </c>
      <c r="V37" s="23"/>
      <c r="W37" s="23"/>
      <c r="X37" s="23"/>
      <c r="Y37" s="23"/>
      <c r="Z37" s="23"/>
      <c r="AA37" s="23"/>
      <c r="AB37" s="23"/>
      <c r="AC37" s="76" t="s">
        <v>81</v>
      </c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s="9" customFormat="1" ht="23.25" outlineLevel="1" x14ac:dyDescent="0.35">
      <c r="A38" s="23"/>
      <c r="B38" s="52"/>
      <c r="C38" s="114" t="s">
        <v>88</v>
      </c>
      <c r="E38" s="224" t="str">
        <f ca="1">_xll.DBRA(Server&amp;$C$25,$C38,$F$16)</f>
        <v>Location et entretien de matériel de bureau et informatique</v>
      </c>
      <c r="F38" s="224"/>
      <c r="G38" s="224"/>
      <c r="H38" s="39"/>
      <c r="I38" s="175">
        <f ca="1">_xll.DBRW(Server&amp;Cube1,$F$21,$F$14,$F$15,$F$20,$C$18,$F$17,$F$19,$C$19,$H$3,I$1,$C38)</f>
        <v>-323.88491999999997</v>
      </c>
      <c r="J38" s="175">
        <f ca="1">_xll.DBRW(Server&amp;Cube1,$F$21,$F$14,$F$15,$F$20,$C$18,$F$17,$F$19,$C$19,$H$2,J$1,$C38)</f>
        <v>-219.93</v>
      </c>
      <c r="K38" s="173">
        <f ca="1">_xll.DBRW(Server&amp;Cube1,$F$21,$F$14,$F$15,$F$20,$C$18,$F$17,$F$19,$C$19,$H$2,K$1,$C38)</f>
        <v>-440.46727000000004</v>
      </c>
      <c r="L38" s="149"/>
      <c r="M38" s="179">
        <f t="shared" ca="1" si="14"/>
        <v>-220.53727000000003</v>
      </c>
      <c r="N38" s="165">
        <f t="shared" ca="1" si="15"/>
        <v>-1.0027611967444188</v>
      </c>
      <c r="O38" s="180" t="str">
        <f t="shared" ca="1" si="10"/>
        <v>î</v>
      </c>
      <c r="P38" s="179">
        <f t="shared" ca="1" si="11"/>
        <v>-116.58235000000008</v>
      </c>
      <c r="Q38" s="23"/>
      <c r="R38" s="179">
        <f ca="1">_xll.DBRW(Server&amp;Cube1,$F$21,$F$14,$F$15,$F$20,$C$18,$F$17,$F$19,$C$19,$J$2,J$1,$C38)</f>
        <v>-263.89999999999998</v>
      </c>
      <c r="S38" s="52"/>
      <c r="T38" s="179">
        <f t="shared" ca="1" si="12"/>
        <v>176.56727000000006</v>
      </c>
      <c r="U38" s="165">
        <f t="shared" ca="1" si="16"/>
        <v>-0.66906885183781761</v>
      </c>
      <c r="V38" s="23"/>
      <c r="W38" s="23"/>
      <c r="X38" s="23"/>
      <c r="Y38" s="23"/>
      <c r="Z38" s="23"/>
      <c r="AA38" s="23"/>
      <c r="AB38" s="23"/>
      <c r="AC38" s="64" t="s">
        <v>47</v>
      </c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ht="21" outlineLevel="1" x14ac:dyDescent="0.3">
      <c r="B39" s="52"/>
      <c r="C39" s="114" t="s">
        <v>89</v>
      </c>
      <c r="D39" s="25"/>
      <c r="E39" s="224" t="str">
        <f ca="1">_xll.DBRA(Server&amp;$C$25,$C39,$F$16)</f>
        <v>Entretien et Réparation Immobilier</v>
      </c>
      <c r="F39" s="224"/>
      <c r="G39" s="224"/>
      <c r="H39" s="58"/>
      <c r="I39" s="175">
        <f ca="1">_xll.DBRW(Server&amp;Cube1,$F$21,$F$14,$F$15,$F$20,$C$18,$F$17,$F$19,$C$19,$H$3,I$1,$C39)</f>
        <v>-207.88592</v>
      </c>
      <c r="J39" s="175">
        <f ca="1">_xll.DBRW(Server&amp;Cube1,$F$21,$F$14,$F$15,$F$20,$C$18,$F$17,$F$19,$C$19,$H$2,J$1,$C39)</f>
        <v>-260.84000000000003</v>
      </c>
      <c r="K39" s="173">
        <f ca="1">_xll.DBRW(Server&amp;Cube1,$F$21,$F$14,$F$15,$F$20,$C$18,$F$17,$F$19,$C$19,$H$2,K$1,$C39)</f>
        <v>-248.67742999999999</v>
      </c>
      <c r="L39" s="149"/>
      <c r="M39" s="179">
        <f t="shared" ca="1" si="14"/>
        <v>12.162570000000045</v>
      </c>
      <c r="N39" s="165">
        <f t="shared" ca="1" si="15"/>
        <v>4.6628469559883617E-2</v>
      </c>
      <c r="O39" s="180" t="str">
        <f t="shared" ca="1" si="10"/>
        <v>ì</v>
      </c>
      <c r="P39" s="179">
        <f t="shared" ca="1" si="11"/>
        <v>-40.791509999999988</v>
      </c>
      <c r="R39" s="179">
        <f ca="1">_xll.DBRW(Server&amp;Cube1,$F$21,$F$14,$F$15,$F$20,$C$18,$F$17,$F$19,$C$19,$J$2,J$1,$C39)</f>
        <v>-313</v>
      </c>
      <c r="T39" s="179">
        <f t="shared" ca="1" si="12"/>
        <v>-64.322570000000013</v>
      </c>
      <c r="U39" s="165">
        <f t="shared" ca="1" si="16"/>
        <v>0.20550341853035148</v>
      </c>
      <c r="AC39" s="66" t="s">
        <v>48</v>
      </c>
    </row>
    <row r="40" spans="1:40" ht="21.75" outlineLevel="1" thickBot="1" x14ac:dyDescent="0.35">
      <c r="A40" s="52"/>
      <c r="B40" s="52"/>
      <c r="C40" s="114" t="s">
        <v>86</v>
      </c>
      <c r="D40" s="25"/>
      <c r="E40" s="224" t="str">
        <f ca="1">_xll.DBRA(Server&amp;$C$25,$C40,$F$16)</f>
        <v>Frais postaux</v>
      </c>
      <c r="F40" s="224"/>
      <c r="G40" s="224"/>
      <c r="H40" s="42"/>
      <c r="I40" s="175">
        <f ca="1">_xll.DBRW(Server&amp;Cube1,$F$21,$F$14,$F$15,$F$20,$C$18,$F$17,$F$19,$C$19,$H$3,I$1,$C40)</f>
        <v>-43.050960000000003</v>
      </c>
      <c r="J40" s="175">
        <f ca="1">_xll.DBRW(Server&amp;Cube1,$F$21,$F$14,$F$15,$F$20,$C$18,$F$17,$F$19,$C$19,$H$2,J$1,$C40)</f>
        <v>-45</v>
      </c>
      <c r="K40" s="173">
        <f ca="1">_xll.DBRW(Server&amp;Cube1,$F$21,$F$14,$F$15,$F$20,$C$18,$F$17,$F$19,$C$19,$H$2,K$1,$C40)</f>
        <v>-38.781320000000001</v>
      </c>
      <c r="L40" s="149"/>
      <c r="M40" s="179">
        <f t="shared" ca="1" si="14"/>
        <v>6.2186799999999991</v>
      </c>
      <c r="N40" s="165">
        <f t="shared" ca="1" si="15"/>
        <v>0.13819288888888887</v>
      </c>
      <c r="O40" s="180" t="str">
        <f t="shared" ca="1" si="10"/>
        <v>ì</v>
      </c>
      <c r="P40" s="179">
        <f t="shared" ca="1" si="11"/>
        <v>4.2696400000000025</v>
      </c>
      <c r="Q40" s="52"/>
      <c r="R40" s="179">
        <f ca="1">_xll.DBRW(Server&amp;Cube1,$F$21,$F$14,$F$15,$F$20,$C$18,$F$17,$F$19,$C$19,$J$2,J$1,$C40)</f>
        <v>-54</v>
      </c>
      <c r="T40" s="179">
        <f t="shared" ca="1" si="12"/>
        <v>-15.218679999999999</v>
      </c>
      <c r="U40" s="165">
        <f t="shared" ca="1" si="16"/>
        <v>0.28182740740740742</v>
      </c>
      <c r="V40" s="52"/>
      <c r="W40" s="52"/>
      <c r="X40" s="52"/>
      <c r="Y40" s="52"/>
      <c r="Z40" s="52"/>
      <c r="AA40" s="52"/>
      <c r="AB40" s="52"/>
      <c r="AC40" s="67" t="s">
        <v>144</v>
      </c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</row>
    <row r="41" spans="1:40" s="9" customFormat="1" ht="23.25" x14ac:dyDescent="0.35">
      <c r="A41" s="52"/>
      <c r="B41" s="52"/>
      <c r="C41" s="113" t="s">
        <v>91</v>
      </c>
      <c r="E41" s="223" t="str">
        <f ca="1">_xll.DBRA(Server&amp;$C$25,$C41,$F$16)</f>
        <v>Coûts externes de la Direction</v>
      </c>
      <c r="F41" s="223"/>
      <c r="G41" s="223"/>
      <c r="H41" s="39"/>
      <c r="I41" s="174">
        <f ca="1">_xll.DBRW(Server&amp;Cube1,$F$21,$F$14,$F$15,$F$20,$C$18,$F$17,$F$19,$C$19,$H$3,I$1,$C41)</f>
        <v>-21759.301769999995</v>
      </c>
      <c r="J41" s="174">
        <f ca="1">_xll.DBRW(Server&amp;Cube1,$F$21,$F$14,$F$15,$F$20,$C$18,$F$17,$F$19,$C$19,$H$2,J$1,$C41)</f>
        <v>-25897.588</v>
      </c>
      <c r="K41" s="173">
        <f ca="1">_xll.DBRW(Server&amp;Cube1,$F$21,$F$14,$F$15,$F$20,$C$18,$F$17,$F$19,$C$19,$H$2,K$1,$C41)</f>
        <v>-16978.695970000004</v>
      </c>
      <c r="L41" s="149"/>
      <c r="M41" s="178">
        <f t="shared" ca="1" si="14"/>
        <v>8918.8920299999954</v>
      </c>
      <c r="N41" s="164">
        <f t="shared" ca="1" si="15"/>
        <v>0.3443908378649006</v>
      </c>
      <c r="O41" s="180" t="str">
        <f t="shared" ca="1" si="10"/>
        <v>ì</v>
      </c>
      <c r="P41" s="178">
        <f ca="1">K41-I41</f>
        <v>4780.6057999999903</v>
      </c>
      <c r="Q41" s="52"/>
      <c r="R41" s="178">
        <f ca="1">_xll.DBRW(Server&amp;Cube1,$F$21,$F$14,$F$15,$F$20,$C$18,$F$17,$F$19,$C$19,$J$2,J$1,$C41)</f>
        <v>-31123.039000000001</v>
      </c>
      <c r="S41" s="52"/>
      <c r="T41" s="178">
        <f t="shared" ca="1" si="12"/>
        <v>-14144.343029999996</v>
      </c>
      <c r="U41" s="164">
        <f t="shared" ca="1" si="16"/>
        <v>0.4544653569980745</v>
      </c>
      <c r="V41" s="52"/>
      <c r="W41" s="52"/>
      <c r="X41" s="52"/>
      <c r="Y41" s="52"/>
      <c r="Z41" s="52"/>
      <c r="AA41" s="52"/>
      <c r="AB41" s="52"/>
      <c r="AC41" s="68" t="s">
        <v>34</v>
      </c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</row>
    <row r="42" spans="1:40" s="9" customFormat="1" ht="23.25" outlineLevel="1" x14ac:dyDescent="0.35">
      <c r="A42" s="52"/>
      <c r="B42" s="52"/>
      <c r="C42" s="114" t="s">
        <v>92</v>
      </c>
      <c r="E42" s="224" t="str">
        <f ca="1">_xll.DBRA(Server&amp;$C$25,$C42,$F$16)</f>
        <v>Honoraires &amp; Conseil</v>
      </c>
      <c r="F42" s="224"/>
      <c r="G42" s="224"/>
      <c r="H42" s="39"/>
      <c r="I42" s="175">
        <f ca="1">_xll.DBRW(Server&amp;Cube1,$F$21,$F$14,$F$15,$F$20,$C$18,$F$17,$F$19,$C$19,$H$3,I$1,$C42)</f>
        <v>-15782.283069999996</v>
      </c>
      <c r="J42" s="175">
        <f ca="1">_xll.DBRW(Server&amp;Cube1,$F$21,$F$14,$F$15,$F$20,$C$18,$F$17,$F$19,$C$19,$H$2,J$1,$C42)</f>
        <v>-20730.423999999999</v>
      </c>
      <c r="K42" s="173">
        <f ca="1">_xll.DBRW(Server&amp;Cube1,$F$21,$F$14,$F$15,$F$20,$C$18,$F$17,$F$19,$C$19,$H$2,K$1,$C42)</f>
        <v>-11266.640200000002</v>
      </c>
      <c r="L42" s="149"/>
      <c r="M42" s="179">
        <f t="shared" ca="1" si="14"/>
        <v>9463.7837999999974</v>
      </c>
      <c r="N42" s="165">
        <f t="shared" ca="1" si="15"/>
        <v>0.45651665397678298</v>
      </c>
      <c r="O42" s="180" t="str">
        <f t="shared" ca="1" si="10"/>
        <v>ì</v>
      </c>
      <c r="P42" s="179">
        <f t="shared" ca="1" si="11"/>
        <v>4515.6428699999942</v>
      </c>
      <c r="Q42" s="52"/>
      <c r="R42" s="179">
        <f ca="1">_xll.DBRW(Server&amp;Cube1,$F$21,$F$14,$F$15,$F$20,$C$18,$F$17,$F$19,$C$19,$J$2,J$1,$C42)</f>
        <v>-24926.638999999999</v>
      </c>
      <c r="S42" s="52"/>
      <c r="T42" s="179">
        <f t="shared" ca="1" si="12"/>
        <v>-13659.998799999998</v>
      </c>
      <c r="U42" s="165">
        <f t="shared" ca="1" si="16"/>
        <v>0.54800804873854025</v>
      </c>
      <c r="V42" s="52"/>
      <c r="W42" s="52"/>
      <c r="X42" s="52"/>
      <c r="Y42" s="52"/>
      <c r="Z42" s="52"/>
      <c r="AA42" s="52"/>
      <c r="AB42" s="248" t="s">
        <v>187</v>
      </c>
      <c r="AC42" s="77" t="s">
        <v>35</v>
      </c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</row>
    <row r="43" spans="1:40" s="9" customFormat="1" ht="23.25" outlineLevel="1" x14ac:dyDescent="0.35">
      <c r="A43" s="52"/>
      <c r="B43" s="52"/>
      <c r="C43" s="114" t="s">
        <v>93</v>
      </c>
      <c r="E43" s="224" t="str">
        <f ca="1">_xll.DBRA(Server&amp;$C$25,$C43,$F$16)</f>
        <v>Honoraires &amp; Conseil Abonnés</v>
      </c>
      <c r="F43" s="224"/>
      <c r="G43" s="224"/>
      <c r="H43" s="39"/>
      <c r="I43" s="175">
        <f ca="1">_xll.DBRW(Server&amp;Cube1,$F$21,$F$14,$F$15,$F$20,$C$18,$F$17,$F$19,$C$19,$H$3,I$1,$C43)</f>
        <v>-402.69056000000006</v>
      </c>
      <c r="J43" s="175">
        <f ca="1">_xll.DBRW(Server&amp;Cube1,$F$21,$F$14,$F$15,$F$20,$C$18,$F$17,$F$19,$C$19,$H$2,J$1,$C43)</f>
        <v>-179.09</v>
      </c>
      <c r="K43" s="173">
        <f ca="1">_xll.DBRW(Server&amp;Cube1,$F$21,$F$14,$F$15,$F$20,$C$18,$F$17,$F$19,$C$19,$H$2,K$1,$C43)</f>
        <v>-401.16559999999998</v>
      </c>
      <c r="L43" s="149"/>
      <c r="M43" s="179">
        <f t="shared" ca="1" si="14"/>
        <v>-222.07559999999998</v>
      </c>
      <c r="N43" s="165">
        <f t="shared" ca="1" si="15"/>
        <v>-1.2400223351387569</v>
      </c>
      <c r="O43" s="180" t="str">
        <f t="shared" ca="1" si="10"/>
        <v>î</v>
      </c>
      <c r="P43" s="179">
        <f t="shared" ca="1" si="11"/>
        <v>1.5249600000000783</v>
      </c>
      <c r="Q43" s="52"/>
      <c r="R43" s="179">
        <f ca="1">_xll.DBRW(Server&amp;Cube1,$F$21,$F$14,$F$15,$F$20,$C$18,$F$17,$F$19,$C$19,$J$2,J$1,$C43)</f>
        <v>-214.9</v>
      </c>
      <c r="S43" s="52"/>
      <c r="T43" s="179">
        <f t="shared" ca="1" si="12"/>
        <v>186.26559999999998</v>
      </c>
      <c r="U43" s="165">
        <f t="shared" ca="1" si="16"/>
        <v>-0.86675476966030696</v>
      </c>
      <c r="V43" s="52"/>
      <c r="W43" s="52"/>
      <c r="X43" s="52"/>
      <c r="Y43" s="52"/>
      <c r="Z43" s="52"/>
      <c r="AA43" s="52"/>
      <c r="AB43" s="248" t="s">
        <v>188</v>
      </c>
      <c r="AC43" s="77" t="s">
        <v>36</v>
      </c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</row>
    <row r="44" spans="1:40" s="9" customFormat="1" ht="23.25" outlineLevel="1" x14ac:dyDescent="0.35">
      <c r="A44" s="52"/>
      <c r="B44" s="52"/>
      <c r="C44" s="114" t="s">
        <v>94</v>
      </c>
      <c r="E44" s="224" t="str">
        <f ca="1">_xll.DBRA(Server&amp;$C$25,$C44,$F$16)</f>
        <v>Publication, Sponsoring, cadeaux, Publicité et promotion</v>
      </c>
      <c r="F44" s="224"/>
      <c r="G44" s="224"/>
      <c r="H44" s="39"/>
      <c r="I44" s="175">
        <f ca="1">_xll.DBRW(Server&amp;Cube1,$F$21,$F$14,$F$15,$F$20,$C$18,$F$17,$F$19,$C$19,$H$3,I$1,$C44)</f>
        <v>-66.887959999999993</v>
      </c>
      <c r="J44" s="175">
        <f ca="1">_xll.DBRW(Server&amp;Cube1,$F$21,$F$14,$F$15,$F$20,$C$18,$F$17,$F$19,$C$19,$H$2,J$1,$C44)</f>
        <v>0</v>
      </c>
      <c r="K44" s="173">
        <f ca="1">_xll.DBRW(Server&amp;Cube1,$F$21,$F$14,$F$15,$F$20,$C$18,$F$17,$F$19,$C$19,$H$2,K$1,$C44)</f>
        <v>-14.958200000000001</v>
      </c>
      <c r="L44" s="149"/>
      <c r="M44" s="179">
        <f t="shared" ca="1" si="14"/>
        <v>-14.958200000000001</v>
      </c>
      <c r="N44" s="165">
        <f t="shared" ca="1" si="15"/>
        <v>0</v>
      </c>
      <c r="O44" s="180" t="str">
        <f t="shared" ca="1" si="10"/>
        <v>è</v>
      </c>
      <c r="P44" s="179">
        <f t="shared" ca="1" si="11"/>
        <v>51.929759999999987</v>
      </c>
      <c r="Q44" s="52"/>
      <c r="R44" s="179">
        <f ca="1">_xll.DBRW(Server&amp;Cube1,$F$21,$F$14,$F$15,$F$20,$C$18,$F$17,$F$19,$C$19,$J$2,J$1,$C44)</f>
        <v>0</v>
      </c>
      <c r="S44" s="52"/>
      <c r="T44" s="179">
        <f t="shared" ca="1" si="12"/>
        <v>14.958200000000001</v>
      </c>
      <c r="U44" s="165">
        <f t="shared" ca="1" si="16"/>
        <v>0</v>
      </c>
      <c r="V44" s="52"/>
      <c r="W44" s="52"/>
      <c r="X44" s="52"/>
      <c r="Y44" s="52"/>
      <c r="Z44" s="52"/>
      <c r="AA44" s="52"/>
      <c r="AB44" s="248" t="s">
        <v>189</v>
      </c>
      <c r="AC44" s="77" t="s">
        <v>37</v>
      </c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</row>
    <row r="45" spans="1:40" ht="21" outlineLevel="1" x14ac:dyDescent="0.3">
      <c r="B45" s="52"/>
      <c r="C45" s="114" t="s">
        <v>95</v>
      </c>
      <c r="D45" s="25"/>
      <c r="E45" s="224" t="str">
        <f ca="1">_xll.DBRA(Server&amp;$C$25,$C45,$F$16)</f>
        <v>Réception, Séminaires</v>
      </c>
      <c r="F45" s="224"/>
      <c r="G45" s="224"/>
      <c r="H45" s="42"/>
      <c r="I45" s="175">
        <f ca="1">_xll.DBRW(Server&amp;Cube1,$F$21,$F$14,$F$15,$F$20,$C$18,$F$17,$F$19,$C$19,$H$3,I$1,$C45)</f>
        <v>-119.34691000000001</v>
      </c>
      <c r="J45" s="175">
        <f ca="1">_xll.DBRW(Server&amp;Cube1,$F$21,$F$14,$F$15,$F$20,$C$18,$F$17,$F$19,$C$19,$H$2,J$1,$C45)</f>
        <v>-264.60000000000002</v>
      </c>
      <c r="K45" s="173">
        <f ca="1">_xll.DBRW(Server&amp;Cube1,$F$21,$F$14,$F$15,$F$20,$C$18,$F$17,$F$19,$C$19,$H$2,K$1,$C45)</f>
        <v>-47.160239999999995</v>
      </c>
      <c r="L45" s="149"/>
      <c r="M45" s="179">
        <f t="shared" ca="1" si="14"/>
        <v>217.43976000000004</v>
      </c>
      <c r="N45" s="165">
        <f t="shared" ca="1" si="15"/>
        <v>0.82176780045351483</v>
      </c>
      <c r="O45" s="180" t="str">
        <f t="shared" ca="1" si="10"/>
        <v>ì</v>
      </c>
      <c r="P45" s="179">
        <f t="shared" ca="1" si="11"/>
        <v>72.186670000000021</v>
      </c>
      <c r="R45" s="179">
        <f ca="1">_xll.DBRW(Server&amp;Cube1,$F$21,$F$14,$F$15,$F$20,$C$18,$F$17,$F$19,$C$19,$J$2,J$1,$C45)</f>
        <v>-325.5</v>
      </c>
      <c r="T45" s="179">
        <f t="shared" ca="1" si="12"/>
        <v>-278.33976000000001</v>
      </c>
      <c r="U45" s="165">
        <f t="shared" ca="1" si="16"/>
        <v>0.85511447004608299</v>
      </c>
      <c r="AB45" s="248" t="s">
        <v>190</v>
      </c>
      <c r="AC45" s="77" t="s">
        <v>38</v>
      </c>
    </row>
    <row r="46" spans="1:40" s="9" customFormat="1" ht="23.25" outlineLevel="1" x14ac:dyDescent="0.35">
      <c r="A46" s="52"/>
      <c r="B46" s="52"/>
      <c r="C46" s="114" t="s">
        <v>96</v>
      </c>
      <c r="E46" s="224" t="str">
        <f ca="1">_xll.DBRA(Server&amp;$C$25,$C46,$F$16)</f>
        <v>Autres assistance externe</v>
      </c>
      <c r="F46" s="224"/>
      <c r="G46" s="224"/>
      <c r="H46" s="39"/>
      <c r="I46" s="175">
        <f ca="1">_xll.DBRW(Server&amp;Cube1,$F$21,$F$14,$F$15,$F$20,$C$18,$F$17,$F$19,$C$19,$H$3,I$1,$C46)</f>
        <v>-4258.2851300000002</v>
      </c>
      <c r="J46" s="175">
        <f ca="1">_xll.DBRW(Server&amp;Cube1,$F$21,$F$14,$F$15,$F$20,$C$18,$F$17,$F$19,$C$19,$H$2,J$1,$C46)</f>
        <v>-3667.84</v>
      </c>
      <c r="K46" s="173">
        <f ca="1">_xll.DBRW(Server&amp;Cube1,$F$21,$F$14,$F$15,$F$20,$C$18,$F$17,$F$19,$C$19,$H$2,K$1,$C46)</f>
        <v>-4359.3331699999999</v>
      </c>
      <c r="L46" s="149"/>
      <c r="M46" s="179">
        <f t="shared" ca="1" si="14"/>
        <v>-691.49316999999974</v>
      </c>
      <c r="N46" s="165">
        <f t="shared" ca="1" si="15"/>
        <v>-0.18852871717414055</v>
      </c>
      <c r="O46" s="180" t="str">
        <f t="shared" ca="1" si="10"/>
        <v>î</v>
      </c>
      <c r="P46" s="179">
        <f t="shared" ca="1" si="11"/>
        <v>-101.04803999999967</v>
      </c>
      <c r="Q46" s="52"/>
      <c r="R46" s="179">
        <f ca="1">_xll.DBRW(Server&amp;Cube1,$F$21,$F$14,$F$15,$F$20,$C$18,$F$17,$F$19,$C$19,$J$2,J$1,$C46)</f>
        <v>-4391</v>
      </c>
      <c r="S46" s="52"/>
      <c r="T46" s="179">
        <f t="shared" ca="1" si="12"/>
        <v>-31.666830000000118</v>
      </c>
      <c r="U46" s="165">
        <f t="shared" ca="1" si="16"/>
        <v>7.211758141653409E-3</v>
      </c>
      <c r="V46" s="52"/>
      <c r="W46" s="52"/>
      <c r="X46" s="52"/>
      <c r="Y46" s="52"/>
      <c r="Z46" s="52"/>
      <c r="AA46" s="52"/>
      <c r="AB46" s="248" t="s">
        <v>191</v>
      </c>
      <c r="AC46" s="77" t="s">
        <v>39</v>
      </c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</row>
    <row r="47" spans="1:40" s="9" customFormat="1" ht="23.25" outlineLevel="1" x14ac:dyDescent="0.35">
      <c r="A47" s="52"/>
      <c r="B47" s="52"/>
      <c r="C47" s="114" t="s">
        <v>97</v>
      </c>
      <c r="E47" s="224" t="str">
        <f ca="1">_xll.DBRA(Server&amp;$C$25,$C47,$F$16)</f>
        <v>Dépenses de formation</v>
      </c>
      <c r="F47" s="224"/>
      <c r="G47" s="224"/>
      <c r="H47" s="39"/>
      <c r="I47" s="175">
        <f ca="1">_xll.DBRW(Server&amp;Cube1,$F$21,$F$14,$F$15,$F$20,$C$18,$F$17,$F$19,$C$19,$H$3,I$1,$C47)</f>
        <v>-199.67921999999999</v>
      </c>
      <c r="J47" s="175">
        <f ca="1">_xll.DBRW(Server&amp;Cube1,$F$21,$F$14,$F$15,$F$20,$C$18,$F$17,$F$19,$C$19,$H$2,J$1,$C47)</f>
        <v>-483.34000000000003</v>
      </c>
      <c r="K47" s="173">
        <f ca="1">_xll.DBRW(Server&amp;Cube1,$F$21,$F$14,$F$15,$F$20,$C$18,$F$17,$F$19,$C$19,$H$2,K$1,$C47)</f>
        <v>-123.09751000000001</v>
      </c>
      <c r="L47" s="149"/>
      <c r="M47" s="179">
        <f t="shared" ca="1" si="14"/>
        <v>360.24249000000003</v>
      </c>
      <c r="N47" s="165">
        <f t="shared" ca="1" si="15"/>
        <v>0.74531900939297391</v>
      </c>
      <c r="O47" s="180" t="str">
        <f t="shared" ca="1" si="10"/>
        <v>ì</v>
      </c>
      <c r="P47" s="179">
        <f t="shared" ca="1" si="11"/>
        <v>76.581709999999973</v>
      </c>
      <c r="Q47" s="52"/>
      <c r="R47" s="179">
        <f ca="1">_xll.DBRW(Server&amp;Cube1,$F$21,$F$14,$F$15,$F$20,$C$18,$F$17,$F$19,$C$19,$J$2,J$1,$C47)</f>
        <v>-580</v>
      </c>
      <c r="S47" s="52"/>
      <c r="T47" s="179">
        <f t="shared" ca="1" si="12"/>
        <v>-456.90249</v>
      </c>
      <c r="U47" s="165">
        <f t="shared" ca="1" si="16"/>
        <v>0.78776291379310348</v>
      </c>
      <c r="V47" s="52"/>
      <c r="W47" s="52"/>
      <c r="X47" s="52"/>
      <c r="Y47" s="52"/>
      <c r="Z47" s="52"/>
      <c r="AA47" s="52"/>
      <c r="AB47" s="248" t="s">
        <v>192</v>
      </c>
      <c r="AC47" s="77" t="s">
        <v>40</v>
      </c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</row>
    <row r="48" spans="1:40" s="9" customFormat="1" ht="23.25" outlineLevel="1" x14ac:dyDescent="0.35">
      <c r="A48" s="52"/>
      <c r="B48" s="52"/>
      <c r="C48" s="114" t="s">
        <v>98</v>
      </c>
      <c r="E48" s="224" t="str">
        <f ca="1">_xll.DBRA(Server&amp;$C$25,$C48,$F$16)</f>
        <v>Assurances</v>
      </c>
      <c r="F48" s="224"/>
      <c r="G48" s="224"/>
      <c r="H48" s="39"/>
      <c r="I48" s="175">
        <f ca="1">_xll.DBRW(Server&amp;Cube1,$F$21,$F$14,$F$15,$F$20,$C$18,$F$17,$F$19,$C$19,$H$3,I$1,$C48)</f>
        <v>0</v>
      </c>
      <c r="J48" s="175">
        <f ca="1">_xll.DBRW(Server&amp;Cube1,$F$21,$F$14,$F$15,$F$20,$C$18,$F$17,$F$19,$C$19,$H$2,J$1,$C48)</f>
        <v>-154.17000000000002</v>
      </c>
      <c r="K48" s="173">
        <f ca="1">_xll.DBRW(Server&amp;Cube1,$F$21,$F$14,$F$15,$F$20,$C$18,$F$17,$F$19,$C$19,$H$2,K$1,$C48)</f>
        <v>0</v>
      </c>
      <c r="L48" s="149"/>
      <c r="M48" s="179">
        <f t="shared" ca="1" si="14"/>
        <v>154.17000000000002</v>
      </c>
      <c r="N48" s="165">
        <f t="shared" ca="1" si="15"/>
        <v>1</v>
      </c>
      <c r="O48" s="180" t="str">
        <f t="shared" ca="1" si="10"/>
        <v>ì</v>
      </c>
      <c r="P48" s="179">
        <f t="shared" ca="1" si="11"/>
        <v>0</v>
      </c>
      <c r="Q48" s="52"/>
      <c r="R48" s="179">
        <f ca="1">_xll.DBRW(Server&amp;Cube1,$F$21,$F$14,$F$15,$F$20,$C$18,$F$17,$F$19,$C$19,$J$2,J$1,$C48)</f>
        <v>-185</v>
      </c>
      <c r="S48" s="52"/>
      <c r="T48" s="179">
        <f t="shared" ca="1" si="12"/>
        <v>-185</v>
      </c>
      <c r="U48" s="165">
        <f t="shared" ca="1" si="16"/>
        <v>1</v>
      </c>
      <c r="V48" s="52"/>
      <c r="W48" s="52"/>
      <c r="X48" s="52"/>
      <c r="Y48" s="52"/>
      <c r="Z48" s="52"/>
      <c r="AA48" s="52"/>
      <c r="AB48" s="248" t="s">
        <v>193</v>
      </c>
      <c r="AC48" s="77" t="s">
        <v>41</v>
      </c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</row>
    <row r="49" spans="1:40" s="9" customFormat="1" ht="23.25" outlineLevel="1" x14ac:dyDescent="0.35">
      <c r="A49" s="52"/>
      <c r="B49" s="52"/>
      <c r="C49" s="114" t="s">
        <v>99</v>
      </c>
      <c r="E49" s="224" t="str">
        <f ca="1">_xll.DBRA(Server&amp;$C$25,$C49,$F$16)</f>
        <v>Services bancaires</v>
      </c>
      <c r="F49" s="224"/>
      <c r="G49" s="224"/>
      <c r="H49" s="39"/>
      <c r="I49" s="175">
        <f ca="1">_xll.DBRW(Server&amp;Cube1,$F$21,$F$14,$F$15,$F$20,$C$18,$F$17,$F$19,$C$19,$H$3,I$1,$C49)</f>
        <v>-930.12891999999988</v>
      </c>
      <c r="J49" s="175">
        <f ca="1">_xll.DBRW(Server&amp;Cube1,$F$21,$F$14,$F$15,$F$20,$C$18,$F$17,$F$19,$C$19,$H$2,J$1,$C49)</f>
        <v>-418.12400000000002</v>
      </c>
      <c r="K49" s="173">
        <f ca="1">_xll.DBRW(Server&amp;Cube1,$F$21,$F$14,$F$15,$F$20,$C$18,$F$17,$F$19,$C$19,$H$2,K$1,$C49)</f>
        <v>-766.34105000000011</v>
      </c>
      <c r="L49" s="149"/>
      <c r="M49" s="179">
        <f t="shared" ca="1" si="14"/>
        <v>-348.21705000000009</v>
      </c>
      <c r="N49" s="165">
        <f t="shared" ca="1" si="15"/>
        <v>-0.83280809042293691</v>
      </c>
      <c r="O49" s="180" t="str">
        <f t="shared" ca="1" si="10"/>
        <v>î</v>
      </c>
      <c r="P49" s="179">
        <f t="shared" ca="1" si="11"/>
        <v>163.78786999999977</v>
      </c>
      <c r="Q49" s="52"/>
      <c r="R49" s="179">
        <f ca="1">_xll.DBRW(Server&amp;Cube1,$F$21,$F$14,$F$15,$F$20,$C$18,$F$17,$F$19,$C$19,$J$2,J$1,$C49)</f>
        <v>-500</v>
      </c>
      <c r="S49" s="52"/>
      <c r="T49" s="179">
        <f t="shared" ca="1" si="12"/>
        <v>266.34105000000011</v>
      </c>
      <c r="U49" s="165">
        <f t="shared" ca="1" si="16"/>
        <v>-0.53268210000000027</v>
      </c>
      <c r="V49" s="52"/>
      <c r="W49" s="52"/>
      <c r="X49" s="52"/>
      <c r="Y49" s="52"/>
      <c r="Z49" s="52"/>
      <c r="AA49" s="52"/>
      <c r="AB49" s="248" t="s">
        <v>194</v>
      </c>
      <c r="AC49" s="77" t="s">
        <v>42</v>
      </c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</row>
    <row r="50" spans="1:40" s="9" customFormat="1" ht="23.25" outlineLevel="1" x14ac:dyDescent="0.35">
      <c r="A50" s="52"/>
      <c r="B50" s="52"/>
      <c r="C50" s="114" t="s">
        <v>100</v>
      </c>
      <c r="E50" s="224" t="str">
        <f ca="1">_xll.DBRA(Server&amp;$C$25,$C50,$F$16)</f>
        <v>Frais de Siège</v>
      </c>
      <c r="F50" s="224"/>
      <c r="G50" s="224"/>
      <c r="H50" s="39"/>
      <c r="I50" s="175">
        <f ca="1">_xll.DBRW(Server&amp;Cube1,$F$21,$F$14,$F$15,$F$20,$C$18,$F$17,$F$19,$C$19,$H$3,I$1,$C50)</f>
        <v>0</v>
      </c>
      <c r="J50" s="175">
        <f ca="1">_xll.DBRW(Server&amp;Cube1,$F$21,$F$14,$F$15,$F$20,$C$18,$F$17,$F$19,$C$19,$H$2,J$1,$C50)</f>
        <v>0</v>
      </c>
      <c r="K50" s="173">
        <f ca="1">_xll.DBRW(Server&amp;Cube1,$F$21,$F$14,$F$15,$F$20,$C$18,$F$17,$F$19,$C$19,$H$2,K$1,$C50)</f>
        <v>0</v>
      </c>
      <c r="L50" s="149"/>
      <c r="M50" s="179">
        <f t="shared" ca="1" si="14"/>
        <v>0</v>
      </c>
      <c r="N50" s="165">
        <f t="shared" ca="1" si="15"/>
        <v>0</v>
      </c>
      <c r="O50" s="180" t="str">
        <f t="shared" ca="1" si="10"/>
        <v>è</v>
      </c>
      <c r="P50" s="179">
        <f t="shared" ca="1" si="11"/>
        <v>0</v>
      </c>
      <c r="Q50" s="52"/>
      <c r="R50" s="179">
        <f ca="1">_xll.DBRW(Server&amp;Cube1,$F$21,$F$14,$F$15,$F$20,$C$18,$F$17,$F$19,$C$19,$J$2,J$1,$C50)</f>
        <v>0</v>
      </c>
      <c r="S50" s="52"/>
      <c r="T50" s="179">
        <f t="shared" ca="1" si="12"/>
        <v>0</v>
      </c>
      <c r="U50" s="165">
        <f t="shared" ca="1" si="16"/>
        <v>0</v>
      </c>
      <c r="V50" s="52"/>
      <c r="W50" s="52"/>
      <c r="X50" s="52"/>
      <c r="Y50" s="52"/>
      <c r="Z50" s="52"/>
      <c r="AA50" s="52"/>
      <c r="AB50" s="248" t="s">
        <v>195</v>
      </c>
      <c r="AC50" s="77" t="s">
        <v>43</v>
      </c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</row>
    <row r="51" spans="1:40" s="9" customFormat="1" ht="24" thickBot="1" x14ac:dyDescent="0.4">
      <c r="A51" s="52"/>
      <c r="B51" s="52"/>
      <c r="C51" s="113" t="s">
        <v>102</v>
      </c>
      <c r="E51" s="226" t="str">
        <f ca="1">_xll.DBRA(Server&amp;$C$25,$C51,$F$16)</f>
        <v>Frais de personnel et Assimilés</v>
      </c>
      <c r="F51" s="226"/>
      <c r="G51" s="226"/>
      <c r="H51" s="190"/>
      <c r="I51" s="192">
        <f ca="1">_xll.DBRW(Server&amp;Cube1,$F$21,$F$14,$F$15,$F$20,$C$18,$F$17,$F$19,$C$19,$H$3,I$1,$C51)</f>
        <v>-40719.24068000001</v>
      </c>
      <c r="J51" s="192">
        <f ca="1">_xll.DBRW(Server&amp;Cube1,$F$21,$F$14,$F$15,$F$20,$C$18,$F$17,$F$19,$C$19,$H$2,J$1,$C51)</f>
        <v>-41958.050322097683</v>
      </c>
      <c r="K51" s="192">
        <f ca="1">_xll.DBRW(Server&amp;Cube1,$F$21,$F$14,$F$15,$F$20,$C$18,$F$17,$F$19,$C$19,$H$2,K$1,$C51)</f>
        <v>-37074.211239999997</v>
      </c>
      <c r="L51" s="203"/>
      <c r="M51" s="194">
        <f t="shared" ca="1" si="14"/>
        <v>4883.8390820976856</v>
      </c>
      <c r="N51" s="195">
        <f t="shared" ca="1" si="15"/>
        <v>0.11639814158680191</v>
      </c>
      <c r="O51" s="196" t="str">
        <f t="shared" ca="1" si="10"/>
        <v>ì</v>
      </c>
      <c r="P51" s="194">
        <f t="shared" ca="1" si="11"/>
        <v>3645.029440000013</v>
      </c>
      <c r="Q51" s="52"/>
      <c r="R51" s="194">
        <f ca="1">_xll.DBRW(Server&amp;Cube1,$F$21,$F$14,$F$15,$F$20,$C$18,$F$17,$F$19,$C$19,$J$2,J$1,$C51)</f>
        <v>-50124.592755598387</v>
      </c>
      <c r="S51" s="52"/>
      <c r="T51" s="194">
        <f t="shared" ca="1" si="12"/>
        <v>-13050.38151559839</v>
      </c>
      <c r="U51" s="195">
        <f t="shared" ca="1" si="16"/>
        <v>0.26035885377125184</v>
      </c>
      <c r="V51" s="52"/>
      <c r="W51" s="52"/>
      <c r="X51" s="52"/>
      <c r="Y51" s="52"/>
      <c r="Z51" s="52"/>
      <c r="AA51" s="52"/>
      <c r="AB51" s="248" t="s">
        <v>196</v>
      </c>
      <c r="AC51" s="77" t="s">
        <v>44</v>
      </c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</row>
    <row r="52" spans="1:40" s="9" customFormat="1" ht="23.25" outlineLevel="1" x14ac:dyDescent="0.35">
      <c r="A52" s="52"/>
      <c r="B52" s="52"/>
      <c r="C52" s="114" t="s">
        <v>103</v>
      </c>
      <c r="E52" s="224" t="str">
        <f ca="1">_xll.DBRA(Server&amp;$C$25,$C52,$F$16)</f>
        <v>Frais de personnel</v>
      </c>
      <c r="F52" s="224"/>
      <c r="G52" s="224"/>
      <c r="H52" s="39"/>
      <c r="I52" s="175">
        <f ca="1">_xll.DBRW(Server&amp;Cube1,$F$21,$F$14,$F$15,$F$20,$C$18,$F$17,$F$19,$C$19,$H$3,I$1,$C52)</f>
        <v>-38910.708899999998</v>
      </c>
      <c r="J52" s="175">
        <f ca="1">_xll.DBRW(Server&amp;Cube1,$F$21,$F$14,$F$15,$F$20,$C$18,$F$17,$F$19,$C$19,$H$2,J$1,$C52)</f>
        <v>-39355.590322097683</v>
      </c>
      <c r="K52" s="173">
        <f ca="1">_xll.DBRW(Server&amp;Cube1,$F$21,$F$14,$F$15,$F$20,$C$18,$F$17,$F$19,$C$19,$H$2,K$1,$C52)</f>
        <v>-34964.619959999996</v>
      </c>
      <c r="L52" s="150"/>
      <c r="M52" s="179">
        <f t="shared" ca="1" si="14"/>
        <v>4390.970362097687</v>
      </c>
      <c r="N52" s="165">
        <f t="shared" ca="1" si="15"/>
        <v>0.1115717062343799</v>
      </c>
      <c r="O52" s="180" t="str">
        <f t="shared" ca="1" si="10"/>
        <v>ì</v>
      </c>
      <c r="P52" s="179">
        <f t="shared" ca="1" si="11"/>
        <v>3946.0889400000015</v>
      </c>
      <c r="Q52" s="52"/>
      <c r="R52" s="179">
        <f ca="1">_xll.DBRW(Server&amp;Cube1,$F$21,$F$14,$F$15,$F$20,$C$18,$F$17,$F$19,$C$19,$J$2,J$1,$C52)</f>
        <v>-47001.666755598388</v>
      </c>
      <c r="S52" s="52"/>
      <c r="T52" s="179">
        <f t="shared" ca="1" si="12"/>
        <v>-12037.046795598391</v>
      </c>
      <c r="U52" s="165">
        <f t="shared" ca="1" si="16"/>
        <v>0.25609829664529193</v>
      </c>
      <c r="V52" s="52"/>
      <c r="W52" s="52"/>
      <c r="X52" s="52"/>
      <c r="Y52" s="52"/>
      <c r="Z52" s="52"/>
      <c r="AA52" s="52"/>
      <c r="AB52" s="248" t="s">
        <v>197</v>
      </c>
      <c r="AC52" s="77" t="s">
        <v>45</v>
      </c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</row>
    <row r="53" spans="1:40" s="9" customFormat="1" ht="24" outlineLevel="1" thickBot="1" x14ac:dyDescent="0.4">
      <c r="A53" s="52"/>
      <c r="B53" s="52"/>
      <c r="C53" s="114" t="s">
        <v>105</v>
      </c>
      <c r="E53" s="224" t="str">
        <f ca="1">_xll.DBRA(Server&amp;$C$25,$C53,$F$16)</f>
        <v>Personnel Intérimaire</v>
      </c>
      <c r="F53" s="224"/>
      <c r="G53" s="224"/>
      <c r="H53" s="39"/>
      <c r="I53" s="175">
        <f ca="1">_xll.DBRW(Server&amp;Cube1,$F$21,$F$14,$F$15,$F$20,$C$18,$F$17,$F$19,$C$19,$H$3,I$1,$C53)</f>
        <v>-235.06152</v>
      </c>
      <c r="J53" s="175">
        <f ca="1">_xll.DBRW(Server&amp;Cube1,$F$21,$F$14,$F$15,$F$20,$C$18,$F$17,$F$19,$C$19,$H$2,J$1,$C53)</f>
        <v>-196.17000000000002</v>
      </c>
      <c r="K53" s="173">
        <f ca="1">_xll.DBRW(Server&amp;Cube1,$F$21,$F$14,$F$15,$F$20,$C$18,$F$17,$F$19,$C$19,$H$2,K$1,$C53)</f>
        <v>-119.99217000000002</v>
      </c>
      <c r="L53" s="150"/>
      <c r="M53" s="179">
        <f t="shared" ca="1" si="14"/>
        <v>76.17783</v>
      </c>
      <c r="N53" s="165">
        <f t="shared" ca="1" si="15"/>
        <v>0.38832558495182745</v>
      </c>
      <c r="O53" s="180" t="str">
        <f t="shared" ca="1" si="10"/>
        <v>ì</v>
      </c>
      <c r="P53" s="179">
        <f t="shared" ca="1" si="11"/>
        <v>115.06934999999999</v>
      </c>
      <c r="Q53" s="52"/>
      <c r="R53" s="179">
        <f ca="1">_xll.DBRW(Server&amp;Cube1,$F$21,$F$14,$F$15,$F$20,$C$18,$F$17,$F$19,$C$19,$J$2,J$1,$C53)</f>
        <v>-235.4</v>
      </c>
      <c r="S53" s="52"/>
      <c r="T53" s="179">
        <f t="shared" ca="1" si="12"/>
        <v>-115.40782999999999</v>
      </c>
      <c r="U53" s="165">
        <f t="shared" ca="1" si="16"/>
        <v>0.49026265930331347</v>
      </c>
      <c r="V53" s="52"/>
      <c r="W53" s="52"/>
      <c r="X53" s="52"/>
      <c r="Y53" s="52"/>
      <c r="Z53" s="52"/>
      <c r="AA53" s="52"/>
      <c r="AB53" s="248" t="s">
        <v>198</v>
      </c>
      <c r="AC53" s="78" t="s">
        <v>46</v>
      </c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</row>
    <row r="54" spans="1:40" s="9" customFormat="1" ht="23.25" outlineLevel="1" x14ac:dyDescent="0.35">
      <c r="A54" s="52"/>
      <c r="B54" s="52"/>
      <c r="C54" s="114" t="s">
        <v>104</v>
      </c>
      <c r="E54" s="224" t="str">
        <f ca="1">_xll.DBRA(Server&amp;$C$25,$C54,$F$16)</f>
        <v>Personnel Mis à Disposition</v>
      </c>
      <c r="F54" s="224"/>
      <c r="G54" s="224"/>
      <c r="H54" s="39"/>
      <c r="I54" s="175">
        <f ca="1">_xll.DBRW(Server&amp;Cube1,$F$21,$F$14,$F$15,$F$20,$C$18,$F$17,$F$19,$C$19,$H$3,I$1,$C54)</f>
        <v>-1573.4702600000003</v>
      </c>
      <c r="J54" s="175">
        <f ca="1">_xll.DBRW(Server&amp;Cube1,$F$21,$F$14,$F$15,$F$20,$C$18,$F$17,$F$19,$C$19,$H$2,J$1,$C54)</f>
        <v>-2406.29</v>
      </c>
      <c r="K54" s="173">
        <f ca="1">_xll.DBRW(Server&amp;Cube1,$F$21,$F$14,$F$15,$F$20,$C$18,$F$17,$F$19,$C$19,$H$2,K$1,$C54)</f>
        <v>-1989.5991100000001</v>
      </c>
      <c r="L54" s="150"/>
      <c r="M54" s="179">
        <f t="shared" ca="1" si="14"/>
        <v>416.69088999999985</v>
      </c>
      <c r="N54" s="165">
        <f t="shared" ca="1" si="15"/>
        <v>0.17316736137373295</v>
      </c>
      <c r="O54" s="180" t="str">
        <f t="shared" ca="1" si="10"/>
        <v>ì</v>
      </c>
      <c r="P54" s="179">
        <f t="shared" ca="1" si="11"/>
        <v>-416.12884999999983</v>
      </c>
      <c r="Q54" s="52"/>
      <c r="R54" s="179">
        <f ca="1">_xll.DBRW(Server&amp;Cube1,$F$21,$F$14,$F$15,$F$20,$C$18,$F$17,$F$19,$C$19,$J$2,J$1,$C54)</f>
        <v>-2887.5259999999998</v>
      </c>
      <c r="S54" s="52"/>
      <c r="T54" s="179">
        <f t="shared" ca="1" si="12"/>
        <v>-897.92688999999973</v>
      </c>
      <c r="U54" s="165">
        <f t="shared" ca="1" si="16"/>
        <v>0.31096755146100841</v>
      </c>
      <c r="V54" s="52"/>
      <c r="W54" s="52"/>
      <c r="X54" s="52"/>
      <c r="Y54" s="52"/>
      <c r="Z54" s="52"/>
      <c r="AA54" s="52"/>
      <c r="AB54" s="52"/>
      <c r="AC54" s="68" t="s">
        <v>51</v>
      </c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</row>
    <row r="55" spans="1:40" s="9" customFormat="1" ht="24" thickBot="1" x14ac:dyDescent="0.4">
      <c r="A55" s="52"/>
      <c r="B55" s="52"/>
      <c r="C55" s="113" t="s">
        <v>106</v>
      </c>
      <c r="E55" s="226" t="str">
        <f ca="1">_xll.DBRA(Server&amp;$C$25,$C55,$F$16)</f>
        <v>Frais de déplacement</v>
      </c>
      <c r="F55" s="226"/>
      <c r="G55" s="226"/>
      <c r="H55" s="190"/>
      <c r="I55" s="192">
        <f ca="1">_xll.DBRW(Server&amp;Cube1,$F$21,$F$14,$F$15,$F$20,$C$18,$F$17,$F$19,$C$19,$H$3,I$1,$C55)</f>
        <v>-726.23416000000054</v>
      </c>
      <c r="J55" s="192">
        <f ca="1">_xll.DBRW(Server&amp;Cube1,$F$21,$F$14,$F$15,$F$20,$C$18,$F$17,$F$19,$C$19,$H$2,J$1,$C55)</f>
        <v>-1469.95</v>
      </c>
      <c r="K55" s="192">
        <f ca="1">_xll.DBRW(Server&amp;Cube1,$F$21,$F$14,$F$15,$F$20,$C$18,$F$17,$F$19,$C$19,$H$2,K$1,$C55)</f>
        <v>-491.66241999999994</v>
      </c>
      <c r="L55" s="203"/>
      <c r="M55" s="194">
        <f t="shared" ca="1" si="14"/>
        <v>978.28758000000016</v>
      </c>
      <c r="N55" s="195">
        <f t="shared" ca="1" si="15"/>
        <v>0.66552439198612212</v>
      </c>
      <c r="O55" s="196" t="str">
        <f t="shared" ca="1" si="10"/>
        <v>ì</v>
      </c>
      <c r="P55" s="194">
        <f t="shared" ca="1" si="11"/>
        <v>234.5717400000006</v>
      </c>
      <c r="Q55" s="52"/>
      <c r="R55" s="194">
        <f ca="1">_xll.DBRW(Server&amp;Cube1,$F$21,$F$14,$F$15,$F$20,$C$18,$F$17,$F$19,$C$19,$J$2,J$1,$C55)</f>
        <v>-1763.7</v>
      </c>
      <c r="S55" s="52"/>
      <c r="T55" s="194">
        <f t="shared" ca="1" si="12"/>
        <v>-1272.0375800000002</v>
      </c>
      <c r="U55" s="195">
        <f t="shared" ca="1" si="16"/>
        <v>0.72123239780007942</v>
      </c>
      <c r="V55" s="52"/>
      <c r="W55" s="52"/>
      <c r="X55" s="52"/>
      <c r="Y55" s="52"/>
      <c r="Z55" s="52"/>
      <c r="AA55" s="52"/>
      <c r="AB55" s="52"/>
      <c r="AC55" s="75" t="s">
        <v>56</v>
      </c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</row>
    <row r="56" spans="1:40" s="9" customFormat="1" ht="24" outlineLevel="1" thickBot="1" x14ac:dyDescent="0.4">
      <c r="A56" s="52"/>
      <c r="B56" s="52"/>
      <c r="C56" s="114" t="s">
        <v>107</v>
      </c>
      <c r="E56" s="224" t="str">
        <f ca="1">_xll.DBRA(Server&amp;$C$25,$C56,$F$16)</f>
        <v>Notes de Frais</v>
      </c>
      <c r="F56" s="224"/>
      <c r="G56" s="224"/>
      <c r="H56" s="39"/>
      <c r="I56" s="175">
        <f ca="1">_xll.DBRW(Server&amp;Cube1,$F$21,$F$14,$F$15,$F$20,$C$18,$F$17,$F$19,$C$19,$H$3,I$1,$C56)</f>
        <v>-359.6137700000001</v>
      </c>
      <c r="J56" s="175">
        <f ca="1">_xll.DBRW(Server&amp;Cube1,$F$21,$F$14,$F$15,$F$20,$C$18,$F$17,$F$19,$C$19,$H$2,J$1,$C56)</f>
        <v>-263.86</v>
      </c>
      <c r="K56" s="148">
        <f ca="1">_xll.DBRW(Server&amp;Cube1,$F$21,$F$14,$F$15,$F$20,$C$18,$F$17,$F$19,$C$19,$H$2,K$1,$C56)</f>
        <v>-248.07372999999995</v>
      </c>
      <c r="L56" s="150"/>
      <c r="M56" s="179">
        <f t="shared" ca="1" si="14"/>
        <v>15.786270000000059</v>
      </c>
      <c r="N56" s="165">
        <f t="shared" ca="1" si="15"/>
        <v>5.9828204350792308E-2</v>
      </c>
      <c r="O56" s="180" t="str">
        <f t="shared" ca="1" si="10"/>
        <v>ì</v>
      </c>
      <c r="P56" s="179">
        <f t="shared" ca="1" si="11"/>
        <v>111.54004000000015</v>
      </c>
      <c r="Q56" s="52"/>
      <c r="R56" s="179">
        <f ca="1">_xll.DBRW(Server&amp;Cube1,$F$21,$F$14,$F$15,$F$20,$C$18,$F$17,$F$19,$C$19,$J$2,J$1,$C56)</f>
        <v>-316.60000000000002</v>
      </c>
      <c r="S56" s="52"/>
      <c r="T56" s="179">
        <f t="shared" ca="1" si="12"/>
        <v>-68.526270000000068</v>
      </c>
      <c r="U56" s="165">
        <f t="shared" ca="1" si="16"/>
        <v>0.21644431459254601</v>
      </c>
      <c r="V56" s="52"/>
      <c r="W56" s="52"/>
      <c r="X56" s="52"/>
      <c r="Y56" s="52"/>
      <c r="Z56" s="52"/>
      <c r="AA56" s="52"/>
      <c r="AB56" s="52"/>
      <c r="AC56" s="76" t="s">
        <v>57</v>
      </c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</row>
    <row r="57" spans="1:40" s="9" customFormat="1" ht="23.25" outlineLevel="1" x14ac:dyDescent="0.35">
      <c r="A57" s="52"/>
      <c r="B57" s="52"/>
      <c r="C57" s="114" t="s">
        <v>108</v>
      </c>
      <c r="E57" s="224" t="str">
        <f ca="1">_xll.DBRA(Server&amp;$C$25,$C57,$F$16)</f>
        <v>Déplacements</v>
      </c>
      <c r="F57" s="224"/>
      <c r="G57" s="224"/>
      <c r="H57" s="39"/>
      <c r="I57" s="175">
        <f ca="1">_xll.DBRW(Server&amp;Cube1,$F$21,$F$14,$F$15,$F$20,$C$18,$F$17,$F$19,$C$19,$H$3,I$1,$C57)</f>
        <v>-366.62039000000027</v>
      </c>
      <c r="J57" s="175">
        <f ca="1">_xll.DBRW(Server&amp;Cube1,$F$21,$F$14,$F$15,$F$20,$C$18,$F$17,$F$19,$C$19,$H$2,J$1,$C57)</f>
        <v>-1206.0899999999999</v>
      </c>
      <c r="K57" s="148">
        <f ca="1">_xll.DBRW(Server&amp;Cube1,$F$21,$F$14,$F$15,$F$20,$C$18,$F$17,$F$19,$C$19,$H$2,K$1,$C57)</f>
        <v>-243.58869000000004</v>
      </c>
      <c r="L57" s="150"/>
      <c r="M57" s="179">
        <f t="shared" ca="1" si="14"/>
        <v>962.50130999999988</v>
      </c>
      <c r="N57" s="165">
        <f t="shared" ca="1" si="15"/>
        <v>0.79803440041787921</v>
      </c>
      <c r="O57" s="180" t="str">
        <f t="shared" ca="1" si="10"/>
        <v>ì</v>
      </c>
      <c r="P57" s="179">
        <f t="shared" ca="1" si="11"/>
        <v>123.03170000000023</v>
      </c>
      <c r="Q57" s="52"/>
      <c r="R57" s="179">
        <f ca="1">_xll.DBRW(Server&amp;Cube1,$F$21,$F$14,$F$15,$F$20,$C$18,$F$17,$F$19,$C$19,$J$2,J$1,$C57)</f>
        <v>-1447.1000000000001</v>
      </c>
      <c r="S57" s="52"/>
      <c r="T57" s="179">
        <f t="shared" ca="1" si="12"/>
        <v>-1203.5113100000001</v>
      </c>
      <c r="U57" s="165">
        <f t="shared" ca="1" si="16"/>
        <v>0.83167114228456918</v>
      </c>
      <c r="V57" s="52"/>
      <c r="W57" s="52"/>
      <c r="X57" s="52"/>
      <c r="Y57" s="52"/>
      <c r="Z57" s="52"/>
      <c r="AA57" s="52"/>
      <c r="AB57" s="52"/>
      <c r="AC57" s="88" t="s">
        <v>63</v>
      </c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</row>
    <row r="58" spans="1:40" s="9" customFormat="1" ht="24" thickBot="1" x14ac:dyDescent="0.4">
      <c r="A58" s="52"/>
      <c r="B58" s="52"/>
      <c r="C58" s="113" t="s">
        <v>109</v>
      </c>
      <c r="E58" s="226" t="str">
        <f ca="1">_xll.DBRA(Server&amp;$C$25,$C58,$F$16)</f>
        <v>Coûts d'environnement, Taxes et dotations</v>
      </c>
      <c r="F58" s="226"/>
      <c r="G58" s="226"/>
      <c r="H58" s="190"/>
      <c r="I58" s="192">
        <f ca="1">_xll.DBRW(Server&amp;Cube1,$F$21,$F$14,$F$15,$F$20,$C$18,$F$17,$F$19,$C$19,$H$3,I$1,$C58)</f>
        <v>-9248.3732999999993</v>
      </c>
      <c r="J58" s="192">
        <f ca="1">_xll.DBRW(Server&amp;Cube1,$F$21,$F$14,$F$15,$F$20,$C$18,$F$17,$F$19,$C$19,$H$2,J$1,$C58)</f>
        <v>-9822.8559999999998</v>
      </c>
      <c r="K58" s="192">
        <f ca="1">_xll.DBRW(Server&amp;Cube1,$F$21,$F$14,$F$15,$F$20,$C$18,$F$17,$F$19,$C$19,$H$2,K$1,$C58)</f>
        <v>-8495.384689999999</v>
      </c>
      <c r="L58" s="203"/>
      <c r="M58" s="194">
        <f t="shared" ca="1" si="14"/>
        <v>1327.4713100000008</v>
      </c>
      <c r="N58" s="195">
        <f t="shared" ca="1" si="15"/>
        <v>0.13514107404200987</v>
      </c>
      <c r="O58" s="196" t="str">
        <f t="shared" ca="1" si="10"/>
        <v>ì</v>
      </c>
      <c r="P58" s="194">
        <f t="shared" ca="1" si="11"/>
        <v>752.98861000000034</v>
      </c>
      <c r="Q58" s="52"/>
      <c r="R58" s="194">
        <f ca="1">_xll.DBRW(Server&amp;Cube1,$F$21,$F$14,$F$15,$F$20,$C$18,$F$17,$F$19,$C$19,$J$2,J$1,$C58)</f>
        <v>-11783.781849999999</v>
      </c>
      <c r="S58" s="52"/>
      <c r="T58" s="194">
        <f t="shared" ca="1" si="12"/>
        <v>-3288.3971600000004</v>
      </c>
      <c r="U58" s="195">
        <f t="shared" ca="1" si="16"/>
        <v>0.27906127267622494</v>
      </c>
      <c r="V58" s="52"/>
      <c r="W58" s="52"/>
      <c r="X58" s="52"/>
      <c r="Y58" s="52"/>
      <c r="Z58" s="52"/>
      <c r="AA58" s="52"/>
      <c r="AB58" s="52"/>
      <c r="AC58" s="89" t="s">
        <v>64</v>
      </c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</row>
    <row r="59" spans="1:40" s="9" customFormat="1" ht="24" thickBot="1" x14ac:dyDescent="0.4">
      <c r="A59" s="52"/>
      <c r="B59" s="52"/>
      <c r="C59" s="116" t="s">
        <v>110</v>
      </c>
      <c r="E59" s="223" t="str">
        <f ca="1">_xll.DBRA(Server&amp;$C$25,$C59,$F$16)</f>
        <v>Coûts d'environnement</v>
      </c>
      <c r="F59" s="223"/>
      <c r="G59" s="223"/>
      <c r="H59" s="39"/>
      <c r="I59" s="174">
        <f ca="1">_xll.DBRW(Server&amp;Cube1,$F$21,$F$14,$F$15,$F$20,$C$18,$F$17,$F$19,$C$19,$H$3,I$1,$C59)</f>
        <v>-3968.5123000000003</v>
      </c>
      <c r="J59" s="174">
        <f ca="1">_xll.DBRW(Server&amp;Cube1,$F$21,$F$14,$F$15,$F$20,$C$18,$F$17,$F$19,$C$19,$H$2,J$1,$C59)</f>
        <v>-4040.9500000000003</v>
      </c>
      <c r="K59" s="173">
        <f ca="1">_xll.DBRW(Server&amp;Cube1,$F$21,$F$14,$F$15,$F$20,$C$18,$F$17,$F$19,$C$19,$H$2,K$1,$C59)</f>
        <v>-3626.84438</v>
      </c>
      <c r="L59" s="149"/>
      <c r="M59" s="178">
        <f t="shared" ca="1" si="14"/>
        <v>414.10562000000027</v>
      </c>
      <c r="N59" s="164">
        <f t="shared" ca="1" si="15"/>
        <v>0.10247729370568807</v>
      </c>
      <c r="O59" s="180" t="str">
        <f t="shared" ca="1" si="10"/>
        <v>ì</v>
      </c>
      <c r="P59" s="178">
        <f t="shared" ca="1" si="11"/>
        <v>341.66792000000032</v>
      </c>
      <c r="Q59" s="52"/>
      <c r="R59" s="178">
        <f ca="1">_xll.DBRW(Server&amp;Cube1,$F$21,$F$14,$F$15,$F$20,$C$18,$F$17,$F$19,$C$19,$J$2,J$1,$C59)</f>
        <v>-4849.11085</v>
      </c>
      <c r="S59" s="52"/>
      <c r="T59" s="178">
        <f t="shared" ca="1" si="12"/>
        <v>-1222.26647</v>
      </c>
      <c r="U59" s="164">
        <f t="shared" ca="1" si="16"/>
        <v>0.2520599152729206</v>
      </c>
      <c r="V59" s="52"/>
      <c r="W59" s="52"/>
      <c r="X59" s="52"/>
      <c r="Y59" s="52"/>
      <c r="Z59" s="52"/>
      <c r="AA59" s="52"/>
      <c r="AB59" s="52"/>
      <c r="AC59" s="73" t="s">
        <v>65</v>
      </c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</row>
    <row r="60" spans="1:40" s="9" customFormat="1" ht="23.25" outlineLevel="1" x14ac:dyDescent="0.35">
      <c r="A60" s="52"/>
      <c r="B60" s="52"/>
      <c r="C60" s="114" t="s">
        <v>111</v>
      </c>
      <c r="E60" s="224" t="str">
        <f ca="1">_xll.DBRA(Server&amp;$C$25,$C60,$F$16)</f>
        <v>Coûts bureautique</v>
      </c>
      <c r="F60" s="224"/>
      <c r="G60" s="224"/>
      <c r="H60" s="39"/>
      <c r="I60" s="175">
        <f ca="1">_xll.DBRW(Server&amp;Cube1,$F$21,$F$14,$F$15,$F$20,$C$18,$F$17,$F$19,$C$19,$H$3,I$1,$C60)</f>
        <v>-8.5157399999999992</v>
      </c>
      <c r="J60" s="175">
        <f ca="1">_xll.DBRW(Server&amp;Cube1,$F$21,$F$14,$F$15,$F$20,$C$18,$F$17,$F$19,$C$19,$H$2,J$1,$C60)</f>
        <v>0</v>
      </c>
      <c r="K60" s="173">
        <f ca="1">_xll.DBRW(Server&amp;Cube1,$F$21,$F$14,$F$15,$F$20,$C$18,$F$17,$F$19,$C$19,$H$2,K$1,$C60)</f>
        <v>-17.71396</v>
      </c>
      <c r="L60" s="149"/>
      <c r="M60" s="179">
        <f t="shared" ca="1" si="14"/>
        <v>-17.71396</v>
      </c>
      <c r="N60" s="165">
        <f t="shared" ca="1" si="15"/>
        <v>0</v>
      </c>
      <c r="O60" s="180" t="str">
        <f t="shared" ca="1" si="10"/>
        <v>è</v>
      </c>
      <c r="P60" s="179">
        <f t="shared" ca="1" si="11"/>
        <v>-9.198220000000001</v>
      </c>
      <c r="Q60" s="52"/>
      <c r="R60" s="179">
        <f ca="1">_xll.DBRW(Server&amp;Cube1,$F$21,$F$14,$F$15,$F$20,$C$18,$F$17,$F$19,$C$19,$J$2,J$1,$C60)</f>
        <v>0</v>
      </c>
      <c r="S60" s="52"/>
      <c r="T60" s="179">
        <f t="shared" ca="1" si="12"/>
        <v>17.71396</v>
      </c>
      <c r="U60" s="165">
        <f t="shared" ca="1" si="16"/>
        <v>0</v>
      </c>
      <c r="V60" s="52"/>
      <c r="W60" s="52"/>
      <c r="X60" s="52"/>
      <c r="Y60" s="52"/>
      <c r="Z60" s="52"/>
      <c r="AA60" s="52"/>
      <c r="AB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</row>
    <row r="61" spans="1:40" s="9" customFormat="1" ht="23.25" outlineLevel="1" x14ac:dyDescent="0.35">
      <c r="A61" s="52"/>
      <c r="B61" s="52"/>
      <c r="C61" s="114" t="s">
        <v>112</v>
      </c>
      <c r="E61" s="224" t="str">
        <f ca="1">_xll.DBRA(Server&amp;$C$25,$C61,$F$16)</f>
        <v>Location Bâtiment</v>
      </c>
      <c r="F61" s="224"/>
      <c r="G61" s="224"/>
      <c r="H61" s="39"/>
      <c r="I61" s="175">
        <f ca="1">_xll.DBRW(Server&amp;Cube1,$F$21,$F$14,$F$15,$F$20,$C$18,$F$17,$F$19,$C$19,$H$3,I$1,$C61)</f>
        <v>-3959.9965600000005</v>
      </c>
      <c r="J61" s="175">
        <f ca="1">_xll.DBRW(Server&amp;Cube1,$F$21,$F$14,$F$15,$F$20,$C$18,$F$17,$F$19,$C$19,$H$2,J$1,$C61)</f>
        <v>-4040.9500000000003</v>
      </c>
      <c r="K61" s="173">
        <f ca="1">_xll.DBRW(Server&amp;Cube1,$F$21,$F$14,$F$15,$F$20,$C$18,$F$17,$F$19,$C$19,$H$2,K$1,$C61)</f>
        <v>-3609.13042</v>
      </c>
      <c r="L61" s="149"/>
      <c r="M61" s="179">
        <f t="shared" ca="1" si="14"/>
        <v>431.81958000000031</v>
      </c>
      <c r="N61" s="165">
        <f t="shared" ca="1" si="15"/>
        <v>0.10686090647001331</v>
      </c>
      <c r="O61" s="180" t="str">
        <f t="shared" ca="1" si="10"/>
        <v>ì</v>
      </c>
      <c r="P61" s="179">
        <f t="shared" ca="1" si="11"/>
        <v>350.86614000000054</v>
      </c>
      <c r="Q61" s="52"/>
      <c r="R61" s="179">
        <f ca="1">_xll.DBRW(Server&amp;Cube1,$F$21,$F$14,$F$15,$F$20,$C$18,$F$17,$F$19,$C$19,$J$2,J$1,$C61)</f>
        <v>-4849.11085</v>
      </c>
      <c r="S61" s="52"/>
      <c r="T61" s="179">
        <f t="shared" ca="1" si="12"/>
        <v>-1239.9804300000001</v>
      </c>
      <c r="U61" s="165">
        <f t="shared" ca="1" si="16"/>
        <v>0.25571294786960791</v>
      </c>
      <c r="V61" s="52"/>
      <c r="W61" s="52"/>
      <c r="X61" s="52"/>
      <c r="Y61" s="52"/>
      <c r="Z61" s="52"/>
      <c r="AA61" s="52"/>
      <c r="AB61" s="52"/>
      <c r="AC61" s="9" t="s">
        <v>174</v>
      </c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</row>
    <row r="62" spans="1:40" s="9" customFormat="1" ht="23.25" x14ac:dyDescent="0.35">
      <c r="A62" s="52"/>
      <c r="B62" s="52"/>
      <c r="C62" s="116" t="s">
        <v>113</v>
      </c>
      <c r="E62" s="223" t="str">
        <f ca="1">_xll.DBRA(Server&amp;$C$25,$C62,$F$16)</f>
        <v>Autres coûts liés au personnel</v>
      </c>
      <c r="F62" s="223"/>
      <c r="G62" s="223"/>
      <c r="H62" s="39"/>
      <c r="I62" s="174">
        <f ca="1">_xll.DBRW(Server&amp;Cube1,$F$21,$F$14,$F$15,$F$20,$C$18,$F$17,$F$19,$C$19,$H$3,I$1,$C62)</f>
        <v>-735.64675000000034</v>
      </c>
      <c r="J62" s="174">
        <f ca="1">_xll.DBRW(Server&amp;Cube1,$F$21,$F$14,$F$15,$F$20,$C$18,$F$17,$F$19,$C$19,$H$2,J$1,$C62)</f>
        <v>-772.44399999999996</v>
      </c>
      <c r="K62" s="173">
        <f ca="1">_xll.DBRW(Server&amp;Cube1,$F$21,$F$14,$F$15,$F$20,$C$18,$F$17,$F$19,$C$19,$H$2,K$1,$C62)</f>
        <v>-685.71350000000075</v>
      </c>
      <c r="L62" s="149"/>
      <c r="M62" s="178">
        <f t="shared" ca="1" si="14"/>
        <v>86.730499999999211</v>
      </c>
      <c r="N62" s="164">
        <f t="shared" ca="1" si="15"/>
        <v>0.11228063134673739</v>
      </c>
      <c r="O62" s="180" t="str">
        <f t="shared" ref="O62:O81" ca="1" si="17">IF(N62&gt;0.01,$AE$27,IF(N62&lt;-0.01,$AF$27,$AG$27))</f>
        <v>ì</v>
      </c>
      <c r="P62" s="178">
        <f t="shared" ca="1" si="11"/>
        <v>49.933249999999589</v>
      </c>
      <c r="Q62" s="52"/>
      <c r="R62" s="178">
        <f ca="1">_xll.DBRW(Server&amp;Cube1,$F$21,$F$14,$F$15,$F$20,$C$18,$F$17,$F$19,$C$19,$J$2,J$1,$C62)</f>
        <v>-926.5</v>
      </c>
      <c r="S62" s="52"/>
      <c r="T62" s="178">
        <f t="shared" ca="1" si="12"/>
        <v>-240.78649999999925</v>
      </c>
      <c r="U62" s="164">
        <f t="shared" ca="1" si="16"/>
        <v>0.2598882892606576</v>
      </c>
      <c r="V62" s="52"/>
      <c r="W62" s="52"/>
      <c r="X62" s="52"/>
      <c r="Y62" s="52"/>
      <c r="Z62" s="52"/>
      <c r="AA62" s="52"/>
      <c r="AB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</row>
    <row r="63" spans="1:40" s="9" customFormat="1" ht="23.25" outlineLevel="1" x14ac:dyDescent="0.35">
      <c r="A63" s="52"/>
      <c r="B63" s="52"/>
      <c r="C63" s="114" t="s">
        <v>114</v>
      </c>
      <c r="E63" s="224" t="str">
        <f ca="1">_xll.DBRA(Server&amp;$C$25,$C63,$F$16)</f>
        <v>Cout véhicules de fonction</v>
      </c>
      <c r="F63" s="224"/>
      <c r="G63" s="224"/>
      <c r="H63" s="39"/>
      <c r="I63" s="175">
        <f ca="1">_xll.DBRW(Server&amp;Cube1,$F$21,$F$14,$F$15,$F$20,$C$18,$F$17,$F$19,$C$19,$H$3,I$1,$C63)</f>
        <v>-560.60590999999999</v>
      </c>
      <c r="J63" s="175">
        <f ca="1">_xll.DBRW(Server&amp;Cube1,$F$21,$F$14,$F$15,$F$20,$C$18,$F$17,$F$19,$C$19,$H$2,J$1,$C63)</f>
        <v>-457.32</v>
      </c>
      <c r="K63" s="173">
        <f ca="1">_xll.DBRW(Server&amp;Cube1,$F$21,$F$14,$F$15,$F$20,$C$18,$F$17,$F$19,$C$19,$H$2,K$1,$C63)</f>
        <v>-492.76969999999994</v>
      </c>
      <c r="L63" s="149"/>
      <c r="M63" s="179">
        <f t="shared" ca="1" si="14"/>
        <v>-35.44969999999995</v>
      </c>
      <c r="N63" s="165">
        <f t="shared" ca="1" si="15"/>
        <v>-7.7516181229773357E-2</v>
      </c>
      <c r="O63" s="180" t="str">
        <f t="shared" ca="1" si="17"/>
        <v>î</v>
      </c>
      <c r="P63" s="179">
        <f t="shared" ca="1" si="11"/>
        <v>67.836210000000051</v>
      </c>
      <c r="Q63" s="52"/>
      <c r="R63" s="179">
        <f ca="1">_xll.DBRW(Server&amp;Cube1,$F$21,$F$14,$F$15,$F$20,$C$18,$F$17,$F$19,$C$19,$J$2,J$1,$C63)</f>
        <v>-548.6</v>
      </c>
      <c r="S63" s="52"/>
      <c r="T63" s="179">
        <f t="shared" ca="1" si="12"/>
        <v>-55.830300000000079</v>
      </c>
      <c r="U63" s="165">
        <f t="shared" ca="1" si="16"/>
        <v>0.1017686839227125</v>
      </c>
      <c r="V63" s="52"/>
      <c r="W63" s="52"/>
      <c r="X63" s="52"/>
      <c r="Y63" s="52"/>
      <c r="Z63" s="52"/>
      <c r="AA63" s="52"/>
      <c r="AB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</row>
    <row r="64" spans="1:40" s="9" customFormat="1" ht="23.25" outlineLevel="1" x14ac:dyDescent="0.35">
      <c r="A64" s="52"/>
      <c r="B64" s="52"/>
      <c r="C64" s="114" t="s">
        <v>115</v>
      </c>
      <c r="E64" s="224" t="str">
        <f ca="1">_xll.DBRA(Server&amp;$C$25,$C64,$F$16)</f>
        <v>Location Appartement de fonction</v>
      </c>
      <c r="F64" s="224"/>
      <c r="G64" s="224"/>
      <c r="H64" s="39"/>
      <c r="I64" s="175">
        <f ca="1">_xll.DBRW(Server&amp;Cube1,$F$21,$F$14,$F$15,$F$20,$C$18,$F$17,$F$19,$C$19,$H$3,I$1,$C64)</f>
        <v>-85.91507</v>
      </c>
      <c r="J64" s="175">
        <f ca="1">_xll.DBRW(Server&amp;Cube1,$F$21,$F$14,$F$15,$F$20,$C$18,$F$17,$F$19,$C$19,$H$2,J$1,$C64)</f>
        <v>-106.5</v>
      </c>
      <c r="K64" s="173">
        <f ca="1">_xll.DBRW(Server&amp;Cube1,$F$21,$F$14,$F$15,$F$20,$C$18,$F$17,$F$19,$C$19,$H$2,K$1,$C64)</f>
        <v>-87.087310000000016</v>
      </c>
      <c r="L64" s="149"/>
      <c r="M64" s="179">
        <f t="shared" ca="1" si="14"/>
        <v>19.412689999999984</v>
      </c>
      <c r="N64" s="165">
        <f t="shared" ca="1" si="15"/>
        <v>0.18227877934272285</v>
      </c>
      <c r="O64" s="180" t="str">
        <f t="shared" ca="1" si="17"/>
        <v>ì</v>
      </c>
      <c r="P64" s="179">
        <f t="shared" ca="1" si="11"/>
        <v>-1.1722400000000164</v>
      </c>
      <c r="Q64" s="52"/>
      <c r="R64" s="179">
        <f ca="1">_xll.DBRW(Server&amp;Cube1,$F$21,$F$14,$F$15,$F$20,$C$18,$F$17,$F$19,$C$19,$J$2,J$1,$C64)</f>
        <v>-127.8</v>
      </c>
      <c r="S64" s="52"/>
      <c r="T64" s="179">
        <f t="shared" ca="1" si="12"/>
        <v>-40.712689999999981</v>
      </c>
      <c r="U64" s="165">
        <f t="shared" ca="1" si="16"/>
        <v>0.31856564945226901</v>
      </c>
      <c r="V64" s="52"/>
      <c r="W64" s="52"/>
      <c r="X64" s="52"/>
      <c r="Y64" s="52"/>
      <c r="Z64" s="52"/>
      <c r="AA64" s="52"/>
      <c r="AB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</row>
    <row r="65" spans="1:40" s="9" customFormat="1" ht="23.25" outlineLevel="1" x14ac:dyDescent="0.35">
      <c r="A65" s="52"/>
      <c r="B65" s="52"/>
      <c r="C65" s="114" t="s">
        <v>116</v>
      </c>
      <c r="E65" s="171" t="s">
        <v>101</v>
      </c>
      <c r="F65" s="171"/>
      <c r="G65" s="171"/>
      <c r="H65" s="39"/>
      <c r="I65" s="175">
        <f ca="1">_xll.DBRW(Server&amp;Cube1,$F$21,$F$14,$F$15,$F$20,$C$18,$F$17,$F$19,$C$19,$H$3,I$1,$C65)</f>
        <v>-89.125769999999974</v>
      </c>
      <c r="J65" s="175">
        <f ca="1">_xll.DBRW(Server&amp;Cube1,$F$21,$F$14,$F$15,$F$20,$C$18,$F$17,$F$19,$C$19,$H$2,J$1,$C65)</f>
        <v>-208.624</v>
      </c>
      <c r="K65" s="173">
        <f ca="1">_xll.DBRW(Server&amp;Cube1,$F$21,$F$14,$F$15,$F$20,$C$18,$F$17,$F$19,$C$19,$H$2,K$1,$C65)</f>
        <v>-105.85649000000005</v>
      </c>
      <c r="L65" s="149"/>
      <c r="M65" s="178">
        <f t="shared" ca="1" si="14"/>
        <v>102.76750999999994</v>
      </c>
      <c r="N65" s="165">
        <f t="shared" ca="1" si="15"/>
        <v>0.49259677697676174</v>
      </c>
      <c r="O65" s="180" t="str">
        <f t="shared" ca="1" si="17"/>
        <v>ì</v>
      </c>
      <c r="P65" s="179">
        <f t="shared" ca="1" si="11"/>
        <v>-16.730720000000076</v>
      </c>
      <c r="Q65" s="52"/>
      <c r="R65" s="179">
        <f ca="1">_xll.DBRW(Server&amp;Cube1,$F$21,$F$14,$F$15,$F$20,$C$18,$F$17,$F$19,$C$19,$J$2,J$1,$C65)</f>
        <v>-250.1</v>
      </c>
      <c r="S65" s="52"/>
      <c r="T65" s="178">
        <f t="shared" ca="1" si="12"/>
        <v>-144.24350999999996</v>
      </c>
      <c r="U65" s="165">
        <f t="shared" ca="1" si="16"/>
        <v>0.5767433426629347</v>
      </c>
      <c r="V65" s="52"/>
      <c r="W65" s="52"/>
      <c r="X65" s="52"/>
      <c r="Y65" s="52"/>
      <c r="Z65" s="52"/>
      <c r="AA65" s="52"/>
      <c r="AB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</row>
    <row r="66" spans="1:40" s="9" customFormat="1" ht="23.25" x14ac:dyDescent="0.35">
      <c r="A66" s="52"/>
      <c r="B66" s="52"/>
      <c r="C66" s="116" t="s">
        <v>117</v>
      </c>
      <c r="E66" s="223" t="str">
        <f ca="1">_xll.DBRA(Server&amp;$C$25,$C66,$F$16)</f>
        <v>Autres impôts et taxes</v>
      </c>
      <c r="F66" s="223"/>
      <c r="G66" s="223"/>
      <c r="H66" s="39"/>
      <c r="I66" s="174">
        <f ca="1">_xll.DBRW(Server&amp;Cube1,$F$21,$F$14,$F$15,$F$20,$C$18,$F$17,$F$19,$C$19,$H$3,I$1,$C66)</f>
        <v>-1443.4929899999997</v>
      </c>
      <c r="J66" s="174">
        <f ca="1">_xll.DBRW(Server&amp;Cube1,$F$21,$F$14,$F$15,$F$20,$C$18,$F$17,$F$19,$C$19,$H$2,J$1,$C66)</f>
        <v>-1542.1000000000001</v>
      </c>
      <c r="K66" s="173">
        <f ca="1">_xll.DBRW(Server&amp;Cube1,$F$21,$F$14,$F$15,$F$20,$C$18,$F$17,$F$19,$C$19,$H$2,K$1,$C66)</f>
        <v>-1409.2425099999998</v>
      </c>
      <c r="L66" s="149"/>
      <c r="M66" s="178">
        <f t="shared" ca="1" si="14"/>
        <v>132.85749000000033</v>
      </c>
      <c r="N66" s="164">
        <f t="shared" ca="1" si="15"/>
        <v>8.6153615200052075E-2</v>
      </c>
      <c r="O66" s="180" t="str">
        <f t="shared" ca="1" si="17"/>
        <v>ì</v>
      </c>
      <c r="P66" s="178">
        <f t="shared" ca="1" si="11"/>
        <v>34.250479999999925</v>
      </c>
      <c r="Q66" s="52"/>
      <c r="R66" s="178">
        <f ca="1">_xll.DBRW(Server&amp;Cube1,$F$21,$F$14,$F$15,$F$20,$C$18,$F$17,$F$19,$C$19,$J$2,J$1,$C66)</f>
        <v>-1847.5</v>
      </c>
      <c r="S66" s="52"/>
      <c r="T66" s="178">
        <f t="shared" ca="1" si="12"/>
        <v>-438.25749000000019</v>
      </c>
      <c r="U66" s="164">
        <f t="shared" ca="1" si="16"/>
        <v>0.23721650338295003</v>
      </c>
      <c r="V66" s="52"/>
      <c r="W66" s="52"/>
      <c r="X66" s="52"/>
      <c r="Y66" s="52"/>
      <c r="Z66" s="52"/>
      <c r="AA66" s="52"/>
      <c r="AB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</row>
    <row r="67" spans="1:40" s="9" customFormat="1" ht="23.25" outlineLevel="1" x14ac:dyDescent="0.35">
      <c r="A67" s="52"/>
      <c r="B67" s="52"/>
      <c r="C67" s="114" t="s">
        <v>118</v>
      </c>
      <c r="E67" s="224" t="str">
        <f ca="1">_xll.DBRA(Server&amp;$C$25,$C67,$F$16)</f>
        <v>CET - CVAE</v>
      </c>
      <c r="F67" s="224"/>
      <c r="G67" s="224"/>
      <c r="H67" s="39"/>
      <c r="I67" s="175">
        <f ca="1">_xll.DBRW(Server&amp;Cube1,$F$21,$F$14,$F$15,$F$20,$C$18,$F$17,$F$19,$C$19,$H$3,I$1,$C67)</f>
        <v>-750</v>
      </c>
      <c r="J67" s="175">
        <f ca="1">_xll.DBRW(Server&amp;Cube1,$F$21,$F$14,$F$15,$F$20,$C$18,$F$17,$F$19,$C$19,$H$2,J$1,$C67)</f>
        <v>-752.5</v>
      </c>
      <c r="K67" s="173">
        <f ca="1">_xll.DBRW(Server&amp;Cube1,$F$21,$F$14,$F$15,$F$20,$C$18,$F$17,$F$19,$C$19,$H$2,K$1,$C67)</f>
        <v>-729.31299999999999</v>
      </c>
      <c r="L67" s="149"/>
      <c r="M67" s="179">
        <f t="shared" ca="1" si="14"/>
        <v>23.187000000000012</v>
      </c>
      <c r="N67" s="165">
        <f t="shared" ca="1" si="15"/>
        <v>3.0813289036544865E-2</v>
      </c>
      <c r="O67" s="180" t="str">
        <f t="shared" ca="1" si="17"/>
        <v>ì</v>
      </c>
      <c r="P67" s="179">
        <f t="shared" ca="1" si="11"/>
        <v>20.687000000000012</v>
      </c>
      <c r="Q67" s="52"/>
      <c r="R67" s="179">
        <f ca="1">_xll.DBRW(Server&amp;Cube1,$F$21,$F$14,$F$15,$F$20,$C$18,$F$17,$F$19,$C$19,$J$2,J$1,$C67)</f>
        <v>-900</v>
      </c>
      <c r="S67" s="52"/>
      <c r="T67" s="179">
        <f t="shared" ca="1" si="12"/>
        <v>-170.68700000000001</v>
      </c>
      <c r="U67" s="165">
        <f t="shared" ca="1" si="16"/>
        <v>0.18965222222222222</v>
      </c>
      <c r="V67" s="52"/>
      <c r="W67" s="52"/>
      <c r="X67" s="52"/>
      <c r="Y67" s="52"/>
      <c r="Z67" s="52"/>
      <c r="AA67" s="52"/>
      <c r="AB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</row>
    <row r="68" spans="1:40" s="9" customFormat="1" ht="23.25" outlineLevel="1" x14ac:dyDescent="0.35">
      <c r="A68" s="52"/>
      <c r="B68" s="52"/>
      <c r="C68" s="114" t="s">
        <v>119</v>
      </c>
      <c r="E68" s="224" t="str">
        <f ca="1">_xll.DBRA(Server&amp;$C$25,$C68,$F$16)</f>
        <v>Impôts et taxes divers</v>
      </c>
      <c r="F68" s="224"/>
      <c r="G68" s="224"/>
      <c r="H68" s="39"/>
      <c r="I68" s="175">
        <f ca="1">_xll.DBRW(Server&amp;Cube1,$F$21,$F$14,$F$15,$F$20,$C$18,$F$17,$F$19,$C$19,$H$3,I$1,$C68)</f>
        <v>-693.49298999999996</v>
      </c>
      <c r="J68" s="175">
        <f ca="1">_xll.DBRW(Server&amp;Cube1,$F$21,$F$14,$F$15,$F$20,$C$18,$F$17,$F$19,$C$19,$H$2,J$1,$C68)</f>
        <v>-789.6</v>
      </c>
      <c r="K68" s="173">
        <f ca="1">_xll.DBRW(Server&amp;Cube1,$F$21,$F$14,$F$15,$F$20,$C$18,$F$17,$F$19,$C$19,$H$2,K$1,$C68)</f>
        <v>-679.92951000000005</v>
      </c>
      <c r="L68" s="149"/>
      <c r="M68" s="179">
        <f t="shared" ca="1" si="14"/>
        <v>109.67048999999997</v>
      </c>
      <c r="N68" s="165">
        <f t="shared" ca="1" si="15"/>
        <v>0.13889373100303948</v>
      </c>
      <c r="O68" s="180" t="str">
        <f t="shared" ca="1" si="17"/>
        <v>ì</v>
      </c>
      <c r="P68" s="179">
        <f t="shared" ca="1" si="11"/>
        <v>13.563479999999913</v>
      </c>
      <c r="Q68" s="52"/>
      <c r="R68" s="179">
        <f ca="1">_xll.DBRW(Server&amp;Cube1,$F$21,$F$14,$F$15,$F$20,$C$18,$F$17,$F$19,$C$19,$J$2,J$1,$C68)</f>
        <v>-947.5</v>
      </c>
      <c r="S68" s="52"/>
      <c r="T68" s="179">
        <f t="shared" ca="1" si="12"/>
        <v>-267.57048999999995</v>
      </c>
      <c r="U68" s="165">
        <f t="shared" ca="1" si="16"/>
        <v>0.28239629551451184</v>
      </c>
      <c r="V68" s="52"/>
      <c r="W68" s="52"/>
      <c r="X68" s="52"/>
      <c r="Y68" s="52"/>
      <c r="Z68" s="52"/>
      <c r="AA68" s="52"/>
      <c r="AB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</row>
    <row r="69" spans="1:40" s="9" customFormat="1" ht="23.25" x14ac:dyDescent="0.35">
      <c r="A69" s="52"/>
      <c r="B69" s="52"/>
      <c r="C69" s="116" t="s">
        <v>120</v>
      </c>
      <c r="E69" s="223" t="str">
        <f ca="1">_xll.DBRA(Server&amp;$C$25,$C69,$F$16)</f>
        <v>Dotations amortissements et provisions exceptionnelles</v>
      </c>
      <c r="F69" s="223"/>
      <c r="G69" s="223"/>
      <c r="H69" s="39"/>
      <c r="I69" s="174">
        <f ca="1">_xll.DBRW(Server&amp;Cube1,$F$21,$F$14,$F$15,$F$20,$C$18,$F$17,$F$19,$C$19,$H$3,I$1,$C69)</f>
        <v>-267.20792999999998</v>
      </c>
      <c r="J69" s="174">
        <f ca="1">_xll.DBRW(Server&amp;Cube1,$F$21,$F$14,$F$15,$F$20,$C$18,$F$17,$F$19,$C$19,$H$2,J$1,$C69)</f>
        <v>-116.877</v>
      </c>
      <c r="K69" s="173">
        <f ca="1">_xll.DBRW(Server&amp;Cube1,$F$21,$F$14,$F$15,$F$20,$C$18,$F$17,$F$19,$C$19,$H$2,K$1,$C69)</f>
        <v>267.30150000000003</v>
      </c>
      <c r="L69" s="149"/>
      <c r="M69" s="176">
        <f t="shared" ca="1" si="14"/>
        <v>384.17850000000004</v>
      </c>
      <c r="N69" s="161">
        <f t="shared" ca="1" si="15"/>
        <v>3.2870325213686189</v>
      </c>
      <c r="O69" s="180" t="str">
        <f t="shared" ca="1" si="17"/>
        <v>ì</v>
      </c>
      <c r="P69" s="176">
        <f t="shared" ca="1" si="11"/>
        <v>534.50943000000007</v>
      </c>
      <c r="Q69" s="52"/>
      <c r="R69" s="176">
        <f ca="1">_xll.DBRW(Server&amp;Cube1,$F$21,$F$14,$F$15,$F$20,$C$18,$F$17,$F$19,$C$19,$J$2,J$1,$C69)</f>
        <v>-140.1</v>
      </c>
      <c r="S69" s="52"/>
      <c r="T69" s="176">
        <f t="shared" ca="1" si="12"/>
        <v>-407.40150000000006</v>
      </c>
      <c r="U69" s="161">
        <f t="shared" ca="1" si="16"/>
        <v>2.9079336188436837</v>
      </c>
      <c r="V69" s="52"/>
      <c r="W69" s="52"/>
      <c r="X69" s="52"/>
      <c r="Y69" s="52"/>
      <c r="Z69" s="52"/>
      <c r="AA69" s="52"/>
      <c r="AB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</row>
    <row r="70" spans="1:40" s="9" customFormat="1" ht="23.25" outlineLevel="1" x14ac:dyDescent="0.35">
      <c r="A70" s="52"/>
      <c r="B70" s="52"/>
      <c r="C70" s="114" t="s">
        <v>121</v>
      </c>
      <c r="E70" s="224" t="str">
        <f ca="1">_xll.DBRA(Server&amp;$C$25,$C70,$F$16)</f>
        <v>Amortissements exceptionnels</v>
      </c>
      <c r="F70" s="224"/>
      <c r="G70" s="224"/>
      <c r="H70" s="39"/>
      <c r="I70" s="175">
        <f ca="1">_xll.DBRW(Server&amp;Cube1,$F$21,$F$14,$F$15,$F$20,$C$18,$F$17,$F$19,$C$19,$H$3,I$1,$C70)</f>
        <v>0</v>
      </c>
      <c r="J70" s="175">
        <f ca="1">_xll.DBRW(Server&amp;Cube1,$F$21,$F$14,$F$15,$F$20,$C$18,$F$17,$F$19,$C$19,$H$2,J$1,$C70)</f>
        <v>0</v>
      </c>
      <c r="K70" s="173">
        <f ca="1">_xll.DBRW(Server&amp;Cube1,$F$21,$F$14,$F$15,$F$20,$C$18,$F$17,$F$19,$C$19,$H$2,K$1,$C70)</f>
        <v>0</v>
      </c>
      <c r="L70" s="150"/>
      <c r="M70" s="177">
        <f t="shared" ca="1" si="14"/>
        <v>0</v>
      </c>
      <c r="N70" s="162">
        <f t="shared" ca="1" si="15"/>
        <v>0</v>
      </c>
      <c r="O70" s="180" t="str">
        <f t="shared" ca="1" si="17"/>
        <v>è</v>
      </c>
      <c r="P70" s="177">
        <f t="shared" ca="1" si="11"/>
        <v>0</v>
      </c>
      <c r="Q70" s="52"/>
      <c r="R70" s="177">
        <f ca="1">_xll.DBRW(Server&amp;Cube1,$F$21,$F$14,$F$15,$F$20,$C$18,$F$17,$F$19,$C$19,$J$2,J$1,$C70)</f>
        <v>0</v>
      </c>
      <c r="S70" s="52"/>
      <c r="T70" s="177">
        <f t="shared" ca="1" si="12"/>
        <v>0</v>
      </c>
      <c r="U70" s="162">
        <f t="shared" ca="1" si="16"/>
        <v>0</v>
      </c>
      <c r="V70" s="52"/>
      <c r="W70" s="52"/>
      <c r="X70" s="52"/>
      <c r="Y70" s="52"/>
      <c r="Z70" s="52"/>
      <c r="AA70" s="52"/>
      <c r="AB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</row>
    <row r="71" spans="1:40" s="9" customFormat="1" ht="23.25" outlineLevel="1" x14ac:dyDescent="0.35">
      <c r="A71" s="52"/>
      <c r="B71" s="52"/>
      <c r="C71" s="114" t="s">
        <v>122</v>
      </c>
      <c r="E71" s="224" t="str">
        <f ca="1">_xll.DBRA(Server&amp;$C$25,$C71,$F$16)</f>
        <v>Provisions exceptionnelles</v>
      </c>
      <c r="F71" s="224"/>
      <c r="G71" s="224"/>
      <c r="H71" s="39"/>
      <c r="I71" s="175">
        <f ca="1">_xll.DBRW(Server&amp;Cube1,$F$21,$F$14,$F$15,$F$20,$C$18,$F$17,$F$19,$C$19,$H$3,I$1,$C71)</f>
        <v>-267.20792999999998</v>
      </c>
      <c r="J71" s="175">
        <f ca="1">_xll.DBRW(Server&amp;Cube1,$F$21,$F$14,$F$15,$F$20,$C$18,$F$17,$F$19,$C$19,$H$2,J$1,$C71)</f>
        <v>-116.877</v>
      </c>
      <c r="K71" s="173">
        <f ca="1">_xll.DBRW(Server&amp;Cube1,$F$21,$F$14,$F$15,$F$20,$C$18,$F$17,$F$19,$C$19,$H$2,K$1,$C71)</f>
        <v>267.30150000000003</v>
      </c>
      <c r="L71" s="150"/>
      <c r="M71" s="177">
        <f t="shared" ca="1" si="14"/>
        <v>384.17850000000004</v>
      </c>
      <c r="N71" s="162">
        <f t="shared" ca="1" si="15"/>
        <v>3.2870325213686189</v>
      </c>
      <c r="O71" s="180" t="str">
        <f t="shared" ca="1" si="17"/>
        <v>ì</v>
      </c>
      <c r="P71" s="177">
        <f t="shared" ca="1" si="11"/>
        <v>534.50943000000007</v>
      </c>
      <c r="Q71" s="52"/>
      <c r="R71" s="177">
        <f ca="1">_xll.DBRW(Server&amp;Cube1,$F$21,$F$14,$F$15,$F$20,$C$18,$F$17,$F$19,$C$19,$J$2,J$1,$C71)</f>
        <v>-140.1</v>
      </c>
      <c r="S71" s="52"/>
      <c r="T71" s="177">
        <f t="shared" ca="1" si="12"/>
        <v>-407.40150000000006</v>
      </c>
      <c r="U71" s="162">
        <f t="shared" ca="1" si="16"/>
        <v>2.9079336188436837</v>
      </c>
      <c r="V71" s="52"/>
      <c r="W71" s="52"/>
      <c r="X71" s="52"/>
      <c r="Y71" s="52"/>
      <c r="Z71" s="52"/>
      <c r="AA71" s="52"/>
      <c r="AB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</row>
    <row r="72" spans="1:40" s="9" customFormat="1" ht="23.25" x14ac:dyDescent="0.35">
      <c r="A72" s="52"/>
      <c r="B72" s="52"/>
      <c r="C72" s="116" t="s">
        <v>123</v>
      </c>
      <c r="E72" s="223" t="str">
        <f ca="1">_xll.DBRA(Server&amp;$C$25,$C72,$F$16)</f>
        <v>Autres produits et charges exceptionnelles</v>
      </c>
      <c r="F72" s="223"/>
      <c r="G72" s="223"/>
      <c r="H72" s="39"/>
      <c r="I72" s="174">
        <f ca="1">_xll.DBRW(Server&amp;Cube1,$F$21,$F$14,$F$15,$F$20,$C$18,$F$17,$F$19,$C$19,$H$3,I$1,$C72)</f>
        <v>0.27433999999999653</v>
      </c>
      <c r="J72" s="174">
        <f ca="1">_xll.DBRW(Server&amp;Cube1,$F$21,$F$14,$F$15,$F$20,$C$18,$F$17,$F$19,$C$19,$H$2,J$1,$C72)</f>
        <v>0</v>
      </c>
      <c r="K72" s="173">
        <f ca="1">_xll.DBRW(Server&amp;Cube1,$F$21,$F$14,$F$15,$F$20,$C$18,$F$17,$F$19,$C$19,$H$2,K$1,$C72)</f>
        <v>-55.355720000000005</v>
      </c>
      <c r="L72" s="149"/>
      <c r="M72" s="178">
        <f t="shared" ca="1" si="14"/>
        <v>-55.355720000000005</v>
      </c>
      <c r="N72" s="164">
        <f t="shared" ca="1" si="15"/>
        <v>0</v>
      </c>
      <c r="O72" s="180" t="str">
        <f t="shared" ca="1" si="17"/>
        <v>è</v>
      </c>
      <c r="P72" s="178">
        <f t="shared" ca="1" si="11"/>
        <v>-55.63006</v>
      </c>
      <c r="Q72" s="52"/>
      <c r="R72" s="178">
        <f ca="1">_xll.DBRW(Server&amp;Cube1,$F$21,$F$14,$F$15,$F$20,$C$18,$F$17,$F$19,$C$19,$J$2,J$1,$C72)</f>
        <v>0</v>
      </c>
      <c r="S72" s="52"/>
      <c r="T72" s="178">
        <f t="shared" ca="1" si="12"/>
        <v>55.355720000000005</v>
      </c>
      <c r="U72" s="164">
        <f t="shared" ca="1" si="16"/>
        <v>0</v>
      </c>
      <c r="V72" s="52"/>
      <c r="W72" s="52"/>
      <c r="X72" s="52"/>
      <c r="Y72" s="52"/>
      <c r="Z72" s="52"/>
      <c r="AA72" s="52"/>
      <c r="AB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</row>
    <row r="73" spans="1:40" s="9" customFormat="1" ht="23.25" outlineLevel="1" x14ac:dyDescent="0.35">
      <c r="A73" s="52"/>
      <c r="B73" s="52"/>
      <c r="C73" s="114" t="s">
        <v>124</v>
      </c>
      <c r="E73" s="224" t="str">
        <f ca="1">_xll.DBRA(Server&amp;$C$25,$C73,$F$16)</f>
        <v>Autres produits exceptionnels</v>
      </c>
      <c r="F73" s="224"/>
      <c r="G73" s="224"/>
      <c r="H73" s="39"/>
      <c r="I73" s="175">
        <f ca="1">_xll.DBRW(Server&amp;Cube1,$F$21,$F$14,$F$15,$F$20,$C$18,$F$17,$F$19,$C$19,$H$3,I$1,$C73)</f>
        <v>0</v>
      </c>
      <c r="J73" s="175">
        <f ca="1">_xll.DBRW(Server&amp;Cube1,$F$21,$F$14,$F$15,$F$20,$C$18,$F$17,$F$19,$C$19,$H$2,J$1,$C73)</f>
        <v>0</v>
      </c>
      <c r="K73" s="173">
        <f ca="1">_xll.DBRW(Server&amp;Cube1,$F$21,$F$14,$F$15,$F$20,$C$18,$F$17,$F$19,$C$19,$H$2,K$1,$C73)</f>
        <v>0</v>
      </c>
      <c r="L73" s="149"/>
      <c r="M73" s="179">
        <f t="shared" ca="1" si="14"/>
        <v>0</v>
      </c>
      <c r="N73" s="165">
        <f t="shared" ca="1" si="15"/>
        <v>0</v>
      </c>
      <c r="O73" s="180" t="str">
        <f t="shared" ca="1" si="17"/>
        <v>è</v>
      </c>
      <c r="P73" s="179">
        <f t="shared" ca="1" si="11"/>
        <v>0</v>
      </c>
      <c r="Q73" s="52"/>
      <c r="R73" s="179">
        <f ca="1">_xll.DBRW(Server&amp;Cube1,$F$21,$F$14,$F$15,$F$20,$C$18,$F$17,$F$19,$C$19,$J$2,J$1,$C73)</f>
        <v>0</v>
      </c>
      <c r="S73" s="52"/>
      <c r="T73" s="179">
        <f t="shared" ca="1" si="12"/>
        <v>0</v>
      </c>
      <c r="U73" s="165">
        <f t="shared" ca="1" si="16"/>
        <v>0</v>
      </c>
      <c r="V73" s="52"/>
      <c r="W73" s="52"/>
      <c r="X73" s="52"/>
      <c r="Y73" s="52"/>
      <c r="Z73" s="52"/>
      <c r="AA73" s="52"/>
      <c r="AB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</row>
    <row r="74" spans="1:40" s="9" customFormat="1" ht="23.25" outlineLevel="1" x14ac:dyDescent="0.35">
      <c r="A74" s="52"/>
      <c r="B74" s="52"/>
      <c r="C74" s="114" t="s">
        <v>125</v>
      </c>
      <c r="E74" s="224" t="str">
        <f ca="1">_xll.DBRA(Server&amp;$C$25,$C74,$F$16)</f>
        <v>Autres charges exceptionnelles</v>
      </c>
      <c r="F74" s="224"/>
      <c r="G74" s="224"/>
      <c r="H74" s="39"/>
      <c r="I74" s="175">
        <f ca="1">_xll.DBRW(Server&amp;Cube1,$F$21,$F$14,$F$15,$F$20,$C$18,$F$17,$F$19,$C$19,$H$3,I$1,$C74)</f>
        <v>0.27433999999999653</v>
      </c>
      <c r="J74" s="175">
        <f ca="1">_xll.DBRW(Server&amp;Cube1,$F$21,$F$14,$F$15,$F$20,$C$18,$F$17,$F$19,$C$19,$H$2,J$1,$C74)</f>
        <v>0</v>
      </c>
      <c r="K74" s="173">
        <f ca="1">_xll.DBRW(Server&amp;Cube1,$F$21,$F$14,$F$15,$F$20,$C$18,$F$17,$F$19,$C$19,$H$2,K$1,$C74)</f>
        <v>-55.355720000000005</v>
      </c>
      <c r="L74" s="149"/>
      <c r="M74" s="179">
        <f t="shared" ca="1" si="14"/>
        <v>-55.355720000000005</v>
      </c>
      <c r="N74" s="165">
        <f t="shared" ca="1" si="15"/>
        <v>0</v>
      </c>
      <c r="O74" s="180" t="str">
        <f t="shared" ca="1" si="17"/>
        <v>è</v>
      </c>
      <c r="P74" s="179">
        <f t="shared" ca="1" si="11"/>
        <v>-55.63006</v>
      </c>
      <c r="Q74" s="52"/>
      <c r="R74" s="179">
        <f ca="1">_xll.DBRW(Server&amp;Cube1,$F$21,$F$14,$F$15,$F$20,$C$18,$F$17,$F$19,$C$19,$J$2,J$1,$C74)</f>
        <v>0</v>
      </c>
      <c r="S74" s="52"/>
      <c r="T74" s="179">
        <f t="shared" ca="1" si="12"/>
        <v>55.355720000000005</v>
      </c>
      <c r="U74" s="165">
        <f t="shared" ca="1" si="16"/>
        <v>0</v>
      </c>
      <c r="V74" s="52"/>
      <c r="W74" s="52"/>
      <c r="X74" s="52"/>
      <c r="Y74" s="52"/>
      <c r="Z74" s="52"/>
      <c r="AA74" s="52"/>
      <c r="AB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</row>
    <row r="75" spans="1:40" s="9" customFormat="1" ht="23.25" outlineLevel="1" x14ac:dyDescent="0.35">
      <c r="A75" s="52"/>
      <c r="B75" s="52"/>
      <c r="C75" s="114" t="s">
        <v>126</v>
      </c>
      <c r="E75" s="224" t="str">
        <f ca="1">_xll.DBRA(Server&amp;$C$25,$C75,$F$16)</f>
        <v>Résultats de cession</v>
      </c>
      <c r="F75" s="224"/>
      <c r="G75" s="224"/>
      <c r="H75" s="39"/>
      <c r="I75" s="175">
        <f ca="1">_xll.DBRW(Server&amp;Cube1,$F$21,$F$14,$F$15,$F$20,$C$18,$F$17,$F$19,$C$19,$H$3,I$1,$C75)</f>
        <v>0</v>
      </c>
      <c r="J75" s="175">
        <f ca="1">_xll.DBRW(Server&amp;Cube1,$F$21,$F$14,$F$15,$F$20,$C$18,$F$17,$F$19,$C$19,$H$2,J$1,$C75)</f>
        <v>0</v>
      </c>
      <c r="K75" s="173">
        <f ca="1">_xll.DBRW(Server&amp;Cube1,$F$21,$F$14,$F$15,$F$20,$C$18,$F$17,$F$19,$C$19,$H$2,K$1,$C75)</f>
        <v>0</v>
      </c>
      <c r="L75" s="150"/>
      <c r="M75" s="179">
        <f t="shared" ca="1" si="14"/>
        <v>0</v>
      </c>
      <c r="N75" s="165">
        <f t="shared" ca="1" si="15"/>
        <v>0</v>
      </c>
      <c r="O75" s="180" t="str">
        <f t="shared" ca="1" si="17"/>
        <v>è</v>
      </c>
      <c r="P75" s="179">
        <f t="shared" ca="1" si="11"/>
        <v>0</v>
      </c>
      <c r="Q75" s="52"/>
      <c r="R75" s="179">
        <f ca="1">_xll.DBRW(Server&amp;Cube1,$F$21,$F$14,$F$15,$F$20,$C$18,$F$17,$F$19,$C$19,$J$2,J$1,$C75)</f>
        <v>0</v>
      </c>
      <c r="S75" s="52"/>
      <c r="T75" s="179">
        <f t="shared" ca="1" si="12"/>
        <v>0</v>
      </c>
      <c r="U75" s="165">
        <f t="shared" ca="1" si="16"/>
        <v>0</v>
      </c>
      <c r="V75" s="52"/>
      <c r="W75" s="52"/>
      <c r="X75" s="52"/>
      <c r="Y75" s="52"/>
      <c r="Z75" s="52"/>
      <c r="AA75" s="52"/>
      <c r="AB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</row>
    <row r="76" spans="1:40" s="9" customFormat="1" ht="23.25" x14ac:dyDescent="0.35">
      <c r="A76" s="52"/>
      <c r="B76" s="52"/>
      <c r="C76" s="116" t="s">
        <v>127</v>
      </c>
      <c r="E76" s="223" t="str">
        <f ca="1">_xll.DBRA(Server&amp;$C$25,$C76,$F$16)</f>
        <v>Dotations amortissements et provisions</v>
      </c>
      <c r="F76" s="223"/>
      <c r="G76" s="223"/>
      <c r="H76" s="39"/>
      <c r="I76" s="174">
        <f ca="1">_xll.DBRW(Server&amp;Cube1,$F$21,$F$14,$F$15,$F$20,$C$18,$F$17,$F$19,$C$19,$H$3,I$1,$C76)</f>
        <v>-2833.7876700000006</v>
      </c>
      <c r="J76" s="174">
        <f ca="1">_xll.DBRW(Server&amp;Cube1,$F$21,$F$14,$F$15,$F$20,$C$18,$F$17,$F$19,$C$19,$H$2,J$1,$C76)</f>
        <v>-3350.4850000000001</v>
      </c>
      <c r="K76" s="173">
        <f ca="1">_xll.DBRW(Server&amp;Cube1,$F$21,$F$14,$F$15,$F$20,$C$18,$F$17,$F$19,$C$19,$H$2,K$1,$C76)</f>
        <v>-2985.5300799999995</v>
      </c>
      <c r="L76" s="149"/>
      <c r="M76" s="178">
        <f t="shared" ca="1" si="14"/>
        <v>364.95492000000058</v>
      </c>
      <c r="N76" s="164">
        <f t="shared" ca="1" si="15"/>
        <v>0.10892599728099084</v>
      </c>
      <c r="O76" s="180" t="str">
        <f t="shared" ca="1" si="17"/>
        <v>ì</v>
      </c>
      <c r="P76" s="178">
        <f t="shared" ca="1" si="11"/>
        <v>-151.74240999999893</v>
      </c>
      <c r="Q76" s="52"/>
      <c r="R76" s="178">
        <f ca="1">_xll.DBRW(Server&amp;Cube1,$F$21,$F$14,$F$15,$F$20,$C$18,$F$17,$F$19,$C$19,$J$2,J$1,$C76)</f>
        <v>-4020.5709999999999</v>
      </c>
      <c r="S76" s="52"/>
      <c r="T76" s="178">
        <f t="shared" ca="1" si="12"/>
        <v>-1035.0409200000004</v>
      </c>
      <c r="U76" s="164">
        <f t="shared" ca="1" si="16"/>
        <v>0.25743629947089613</v>
      </c>
      <c r="V76" s="52"/>
      <c r="W76" s="52"/>
      <c r="X76" s="52"/>
      <c r="Y76" s="52"/>
      <c r="Z76" s="52"/>
      <c r="AA76" s="52"/>
      <c r="AB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</row>
    <row r="77" spans="1:40" s="9" customFormat="1" ht="23.25" outlineLevel="1" x14ac:dyDescent="0.35">
      <c r="A77" s="52"/>
      <c r="B77" s="52"/>
      <c r="C77" s="114" t="s">
        <v>128</v>
      </c>
      <c r="E77" s="224" t="str">
        <f ca="1">_xll.DBRA(Server&amp;$C$25,$C77,$F$16)</f>
        <v>Dotations aux Amortissements</v>
      </c>
      <c r="F77" s="224"/>
      <c r="G77" s="224"/>
      <c r="H77" s="39"/>
      <c r="I77" s="175">
        <f ca="1">_xll.DBRW(Server&amp;Cube1,$F$21,$F$14,$F$15,$F$20,$C$18,$F$17,$F$19,$C$19,$H$3,I$1,$C77)</f>
        <v>-2881.2852500000008</v>
      </c>
      <c r="J77" s="175">
        <f ca="1">_xll.DBRW(Server&amp;Cube1,$F$21,$F$14,$F$15,$F$20,$C$18,$F$17,$F$19,$C$19,$H$2,J$1,$C77)</f>
        <v>-3350.4850000000001</v>
      </c>
      <c r="K77" s="173">
        <f ca="1">_xll.DBRW(Server&amp;Cube1,$F$21,$F$14,$F$15,$F$20,$C$18,$F$17,$F$19,$C$19,$H$2,K$1,$C77)</f>
        <v>-3077.1138799999999</v>
      </c>
      <c r="L77" s="150"/>
      <c r="M77" s="179">
        <f t="shared" ca="1" si="14"/>
        <v>273.37112000000025</v>
      </c>
      <c r="N77" s="165">
        <f t="shared" ca="1" si="15"/>
        <v>8.1591506901239744E-2</v>
      </c>
      <c r="O77" s="180" t="str">
        <f t="shared" ca="1" si="17"/>
        <v>ì</v>
      </c>
      <c r="P77" s="179">
        <f t="shared" ca="1" si="11"/>
        <v>-195.82862999999907</v>
      </c>
      <c r="Q77" s="52"/>
      <c r="R77" s="179">
        <f ca="1">_xll.DBRW(Server&amp;Cube1,$F$21,$F$14,$F$15,$F$20,$C$18,$F$17,$F$19,$C$19,$J$2,J$1,$C77)</f>
        <v>-4020.5709999999999</v>
      </c>
      <c r="S77" s="52"/>
      <c r="T77" s="179">
        <f t="shared" ca="1" si="12"/>
        <v>-943.45712000000003</v>
      </c>
      <c r="U77" s="165">
        <f t="shared" ca="1" si="16"/>
        <v>0.23465749516673132</v>
      </c>
      <c r="V77" s="52"/>
      <c r="W77" s="52"/>
      <c r="X77" s="52"/>
      <c r="Y77" s="52"/>
      <c r="Z77" s="52"/>
      <c r="AA77" s="52"/>
      <c r="AB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</row>
    <row r="78" spans="1:40" s="9" customFormat="1" ht="23.25" outlineLevel="1" x14ac:dyDescent="0.35">
      <c r="A78" s="52"/>
      <c r="B78" s="52"/>
      <c r="C78" s="114" t="s">
        <v>129</v>
      </c>
      <c r="E78" s="224" t="str">
        <f ca="1">_xll.DBRA(Server&amp;$C$25,$C78,$F$16)</f>
        <v>Provisions</v>
      </c>
      <c r="F78" s="224"/>
      <c r="G78" s="224"/>
      <c r="H78" s="39"/>
      <c r="I78" s="175">
        <f ca="1">_xll.DBRW(Server&amp;Cube1,$F$21,$F$14,$F$15,$F$20,$C$18,$F$17,$F$19,$C$19,$H$3,I$1,$C78)</f>
        <v>47.497579999999999</v>
      </c>
      <c r="J78" s="175">
        <f ca="1">_xll.DBRW(Server&amp;Cube1,$F$21,$F$14,$F$15,$F$20,$C$18,$F$17,$F$19,$C$19,$H$2,J$1,$C78)</f>
        <v>0</v>
      </c>
      <c r="K78" s="173">
        <f ca="1">_xll.DBRW(Server&amp;Cube1,$F$21,$F$14,$F$15,$F$20,$C$18,$F$17,$F$19,$C$19,$H$2,K$1,$C78)</f>
        <v>91.583800000000011</v>
      </c>
      <c r="L78" s="150"/>
      <c r="M78" s="179">
        <f t="shared" ca="1" si="14"/>
        <v>91.583800000000011</v>
      </c>
      <c r="N78" s="165">
        <f t="shared" ca="1" si="15"/>
        <v>0</v>
      </c>
      <c r="O78" s="180" t="str">
        <f t="shared" ca="1" si="17"/>
        <v>è</v>
      </c>
      <c r="P78" s="179">
        <f t="shared" ca="1" si="11"/>
        <v>44.086220000000012</v>
      </c>
      <c r="Q78" s="52"/>
      <c r="R78" s="179">
        <f ca="1">_xll.DBRW(Server&amp;Cube1,$F$21,$F$14,$F$15,$F$20,$C$18,$F$17,$F$19,$C$19,$J$2,J$1,$C78)</f>
        <v>0</v>
      </c>
      <c r="S78" s="52"/>
      <c r="T78" s="179">
        <f t="shared" ca="1" si="12"/>
        <v>-91.583800000000011</v>
      </c>
      <c r="U78" s="165">
        <f t="shared" ca="1" si="16"/>
        <v>0</v>
      </c>
      <c r="V78" s="52"/>
      <c r="W78" s="52"/>
      <c r="X78" s="52"/>
      <c r="Y78" s="52"/>
      <c r="Z78" s="52"/>
      <c r="AA78" s="52"/>
      <c r="AB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</row>
    <row r="79" spans="1:40" s="9" customFormat="1" ht="23.25" x14ac:dyDescent="0.35">
      <c r="A79" s="52"/>
      <c r="B79" s="52"/>
      <c r="C79" s="116" t="s">
        <v>130</v>
      </c>
      <c r="E79" s="223" t="str">
        <f ca="1">_xll.DBRA(Server&amp;$C$25,$C79,$F$16)</f>
        <v>Coûts communs</v>
      </c>
      <c r="F79" s="223"/>
      <c r="G79" s="223"/>
      <c r="H79" s="39"/>
      <c r="I79" s="174">
        <f ca="1">_xll.DBRW(Server&amp;Cube1,$F$21,$F$14,$F$15,$F$20,$C$18,$F$17,$F$19,$C$19,$H$3,I$1,$C79)</f>
        <v>0</v>
      </c>
      <c r="J79" s="174">
        <f ca="1">_xll.DBRW(Server&amp;Cube1,$F$21,$F$14,$F$15,$F$20,$C$18,$F$17,$F$19,$C$19,$H$2,J$1,$C79)</f>
        <v>0</v>
      </c>
      <c r="K79" s="173">
        <f ca="1">_xll.DBRW(Server&amp;Cube1,$F$21,$F$14,$F$15,$F$20,$C$18,$F$17,$F$19,$C$19,$H$2,K$1,$C79)</f>
        <v>0</v>
      </c>
      <c r="L79" s="149"/>
      <c r="M79" s="176">
        <f t="shared" ca="1" si="14"/>
        <v>0</v>
      </c>
      <c r="N79" s="161">
        <f t="shared" ca="1" si="15"/>
        <v>0</v>
      </c>
      <c r="O79" s="180" t="str">
        <f t="shared" ca="1" si="17"/>
        <v>è</v>
      </c>
      <c r="P79" s="176">
        <f t="shared" ca="1" si="11"/>
        <v>0</v>
      </c>
      <c r="Q79" s="52"/>
      <c r="R79" s="176">
        <f ca="1">_xll.DBRW(Server&amp;Cube1,$F$21,$F$14,$F$15,$F$20,$C$18,$F$17,$F$19,$C$19,$J$2,J$1,$C79)</f>
        <v>0</v>
      </c>
      <c r="S79" s="52"/>
      <c r="T79" s="176">
        <f t="shared" ca="1" si="12"/>
        <v>0</v>
      </c>
      <c r="U79" s="161">
        <f t="shared" ca="1" si="16"/>
        <v>0</v>
      </c>
      <c r="V79" s="52"/>
      <c r="W79" s="52"/>
      <c r="X79" s="52"/>
      <c r="Y79" s="52"/>
      <c r="Z79" s="52"/>
      <c r="AA79" s="52"/>
      <c r="AB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</row>
    <row r="80" spans="1:40" s="9" customFormat="1" ht="23.25" outlineLevel="1" x14ac:dyDescent="0.35">
      <c r="A80" s="52"/>
      <c r="B80" s="52"/>
      <c r="C80" s="114" t="s">
        <v>173</v>
      </c>
      <c r="E80" s="224" t="str">
        <f ca="1">_xll.DBRA(Server&amp;$C$25,$C80,$F$16)</f>
        <v>Coûts Crystal</v>
      </c>
      <c r="F80" s="224"/>
      <c r="G80" s="224"/>
      <c r="H80" s="39"/>
      <c r="I80" s="175">
        <f ca="1">_xll.DBRW(Server&amp;Cube1,$F$21,$F$14,$F$15,$F$20,$C$18,$F$17,$F$19,$C$19,$H$3,I$1,$C80)</f>
        <v>0</v>
      </c>
      <c r="J80" s="175">
        <f ca="1">_xll.DBRW(Server&amp;Cube1,$F$21,$F$14,$F$15,$F$20,$C$18,$F$17,$F$19,$C$19,$H$2,J$1,$C80)</f>
        <v>0</v>
      </c>
      <c r="K80" s="173">
        <f ca="1">_xll.DBRW(Server&amp;Cube1,$F$21,$F$14,$F$15,$F$20,$C$18,$F$17,$F$19,$C$19,$H$2,K$1,$C80)</f>
        <v>0</v>
      </c>
      <c r="L80" s="150"/>
      <c r="M80" s="177">
        <f t="shared" ca="1" si="14"/>
        <v>0</v>
      </c>
      <c r="N80" s="162">
        <f t="shared" ca="1" si="15"/>
        <v>0</v>
      </c>
      <c r="O80" s="180" t="str">
        <f t="shared" ca="1" si="17"/>
        <v>è</v>
      </c>
      <c r="P80" s="177">
        <f t="shared" ca="1" si="11"/>
        <v>0</v>
      </c>
      <c r="Q80" s="52"/>
      <c r="R80" s="177">
        <f ca="1">_xll.DBRW(Server&amp;Cube1,$F$21,$F$14,$F$15,$F$20,$C$18,$F$17,$F$19,$C$19,$J$2,J$1,$C80)</f>
        <v>0</v>
      </c>
      <c r="S80" s="52"/>
      <c r="T80" s="177">
        <f t="shared" ca="1" si="12"/>
        <v>0</v>
      </c>
      <c r="U80" s="162">
        <f t="shared" ca="1" si="16"/>
        <v>0</v>
      </c>
      <c r="V80" s="52"/>
      <c r="W80" s="52"/>
      <c r="X80" s="52"/>
      <c r="Y80" s="52"/>
      <c r="Z80" s="52"/>
      <c r="AA80" s="52"/>
      <c r="AB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</row>
    <row r="81" spans="1:40" s="9" customFormat="1" ht="23.25" outlineLevel="1" x14ac:dyDescent="0.35">
      <c r="A81" s="52"/>
      <c r="B81" s="52"/>
      <c r="C81" s="114" t="s">
        <v>183</v>
      </c>
      <c r="E81" s="215" t="str">
        <f ca="1">_xll.DBRA(Server&amp;$C$25,$C81,$F$16)</f>
        <v>Coûts m² Lyon</v>
      </c>
      <c r="F81" s="215"/>
      <c r="G81" s="215"/>
      <c r="H81" s="39"/>
      <c r="I81" s="175">
        <f ca="1">_xll.DBRW(Server&amp;Cube1,$F$21,$F$14,$F$15,$F$20,$C$18,$F$17,$F$19,$C$19,$H$3,I$1,$C81)</f>
        <v>0</v>
      </c>
      <c r="J81" s="175">
        <f ca="1">_xll.DBRW(Server&amp;Cube1,$F$21,$F$14,$F$15,$F$20,$C$18,$F$17,$F$19,$C$19,$H$2,J$1,$C81)</f>
        <v>0</v>
      </c>
      <c r="K81" s="173">
        <f ca="1">_xll.DBRW(Server&amp;Cube1,$F$21,$F$14,$F$15,$F$20,$C$18,$F$17,$F$19,$C$19,$H$2,K$1,$C81)</f>
        <v>0</v>
      </c>
      <c r="L81" s="150"/>
      <c r="M81" s="177">
        <f t="shared" ref="M81" ca="1" si="18">K81-J81</f>
        <v>0</v>
      </c>
      <c r="N81" s="162">
        <f t="shared" ref="N81" ca="1" si="19">IF(J81=0,0,IF(J81&lt;0,M81/-J81,M81/J81))</f>
        <v>0</v>
      </c>
      <c r="O81" s="180" t="str">
        <f t="shared" ca="1" si="17"/>
        <v>è</v>
      </c>
      <c r="P81" s="177">
        <f t="shared" ref="P81" ca="1" si="20">K81-I81</f>
        <v>0</v>
      </c>
      <c r="Q81" s="52"/>
      <c r="R81" s="177">
        <f ca="1">_xll.DBRW(Server&amp;Cube1,$F$21,$F$14,$F$15,$F$20,$C$18,$F$17,$F$19,$C$19,$J$2,J$1,$C81)</f>
        <v>0</v>
      </c>
      <c r="S81" s="52"/>
      <c r="T81" s="177">
        <f t="shared" ca="1" si="12"/>
        <v>0</v>
      </c>
      <c r="U81" s="162">
        <f t="shared" ca="1" si="16"/>
        <v>0</v>
      </c>
      <c r="V81" s="52"/>
      <c r="W81" s="52"/>
      <c r="X81" s="52"/>
      <c r="Y81" s="52"/>
      <c r="Z81" s="52"/>
      <c r="AA81" s="52"/>
      <c r="AB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</row>
    <row r="82" spans="1:40" s="9" customFormat="1" ht="24" thickBot="1" x14ac:dyDescent="0.4">
      <c r="A82" s="52"/>
      <c r="B82" s="52"/>
      <c r="C82" s="117"/>
      <c r="E82" s="135"/>
      <c r="F82" s="135"/>
      <c r="G82" s="135"/>
      <c r="H82" s="39"/>
      <c r="I82" s="154"/>
      <c r="J82" s="154"/>
      <c r="K82" s="155"/>
      <c r="L82" s="156"/>
      <c r="M82" s="157"/>
      <c r="N82" s="166"/>
      <c r="O82" s="182"/>
      <c r="P82" s="157"/>
      <c r="Q82" s="52"/>
      <c r="R82" s="157" t="str">
        <f ca="1">_xll.DBRW(Server&amp;Cube1,$F$21,$F$14,$F$15,$F$20,$C$18,$F$17,$F$19,$C$19,$J$2,J$1,$C82)</f>
        <v/>
      </c>
      <c r="S82" s="52"/>
      <c r="T82" s="157" t="e">
        <f t="shared" ca="1" si="12"/>
        <v>#VALUE!</v>
      </c>
      <c r="U82" s="166"/>
      <c r="V82" s="52"/>
      <c r="W82" s="52"/>
      <c r="X82" s="52"/>
      <c r="Y82" s="52"/>
      <c r="Z82" s="52"/>
      <c r="AA82" s="52"/>
      <c r="AB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</row>
    <row r="83" spans="1:40" s="9" customFormat="1" ht="24" thickBot="1" x14ac:dyDescent="0.4">
      <c r="A83" s="52"/>
      <c r="B83" s="52"/>
      <c r="C83" s="113" t="s">
        <v>132</v>
      </c>
      <c r="E83" s="225" t="str">
        <f ca="1">_xll.DBRA(Server&amp;$C$25,$C83,$F$16)</f>
        <v>RESULTAT OPERATIONNEL AVANT MF</v>
      </c>
      <c r="F83" s="225"/>
      <c r="G83" s="225"/>
      <c r="H83" s="39"/>
      <c r="I83" s="197">
        <f ca="1">_xll.DBRW(Server&amp;Cube1,$F$21,$F$14,$F$15,$F$20,$C$18,$F$17,$F$19,$C$19,$H$3,I$1,$C83)</f>
        <v>-58742.447189999999</v>
      </c>
      <c r="J83" s="197">
        <f ca="1">_xll.DBRW(Server&amp;Cube1,$F$21,$F$14,$F$15,$F$20,$C$18,$F$17,$F$19,$C$19,$H$2,J$1,$C83)</f>
        <v>-66050.834322097668</v>
      </c>
      <c r="K83" s="198">
        <f ca="1">_xll.DBRW(Server&amp;Cube1,$F$21,$F$14,$F$15,$F$20,$C$18,$F$17,$F$19,$C$19,$H$2,K$1,$C83)</f>
        <v>-49925.138640000026</v>
      </c>
      <c r="L83" s="203"/>
      <c r="M83" s="199">
        <f ca="1">K83-J83</f>
        <v>16125.695682097641</v>
      </c>
      <c r="N83" s="200">
        <f t="shared" ref="N83:N86" ca="1" si="21">IF(J83=0,0,IF(J83&lt;0,M83/-J83,M83/J83))</f>
        <v>0.24414068115264823</v>
      </c>
      <c r="O83" s="201" t="str">
        <f ca="1">IF(N83&gt;0.01,$AE$27,IF(N83&lt;-0.01,$AF$27,$AG$27))</f>
        <v>ì</v>
      </c>
      <c r="P83" s="199">
        <f ca="1">K83-I83</f>
        <v>8817.3085499999725</v>
      </c>
      <c r="Q83" s="52"/>
      <c r="R83" s="199">
        <f ca="1">_xll.DBRW(Server&amp;Cube1,$F$21,$F$14,$F$15,$F$20,$C$18,$F$17,$F$19,$C$19,$J$2,J$1,$C83)</f>
        <v>-79096.860605598398</v>
      </c>
      <c r="S83" s="52"/>
      <c r="T83" s="199">
        <f t="shared" ca="1" si="12"/>
        <v>-29171.721965598372</v>
      </c>
      <c r="U83" s="200">
        <f ca="1">IF(R83=0,0,T83/R83)</f>
        <v>0.36881011132739733</v>
      </c>
      <c r="V83" s="52"/>
      <c r="W83" s="52"/>
      <c r="X83" s="52"/>
      <c r="Y83" s="52"/>
      <c r="Z83" s="52"/>
      <c r="AA83" s="52"/>
      <c r="AB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</row>
    <row r="84" spans="1:40" s="9" customFormat="1" ht="23.25" x14ac:dyDescent="0.35">
      <c r="A84" s="52"/>
      <c r="B84" s="52"/>
      <c r="C84" s="116"/>
      <c r="E84" s="101"/>
      <c r="F84" s="102"/>
      <c r="G84" s="135"/>
      <c r="H84" s="39"/>
      <c r="I84" s="158"/>
      <c r="J84" s="158"/>
      <c r="K84" s="158"/>
      <c r="L84" s="153"/>
      <c r="M84" s="159"/>
      <c r="N84" s="167"/>
      <c r="O84" s="183"/>
      <c r="P84" s="159"/>
      <c r="Q84" s="52"/>
      <c r="R84" s="159" t="str">
        <f ca="1">_xll.DBRW(Server&amp;Cube1,$F$21,$F$14,$F$15,$F$20,$C$18,$F$17,$F$19,$C$19,$J$2,J$1,$C84)</f>
        <v/>
      </c>
      <c r="S84" s="52"/>
      <c r="T84" s="159"/>
      <c r="U84" s="167"/>
      <c r="V84" s="52"/>
      <c r="W84" s="52"/>
      <c r="X84" s="52"/>
      <c r="Y84" s="52"/>
      <c r="Z84" s="52"/>
      <c r="AA84" s="52"/>
      <c r="AB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</row>
    <row r="85" spans="1:40" s="9" customFormat="1" ht="23.25" x14ac:dyDescent="0.35">
      <c r="A85" s="52"/>
      <c r="B85" s="52"/>
      <c r="C85" s="114" t="s">
        <v>172</v>
      </c>
      <c r="E85" s="222" t="str">
        <f ca="1">_xll.DBRA(Server&amp;$C$25,$C85,$F$16)</f>
        <v>Management fees - Refacturation de MF</v>
      </c>
      <c r="F85" s="222"/>
      <c r="G85" s="222"/>
      <c r="H85" s="39"/>
      <c r="I85" s="172">
        <f ca="1">_xll.DBRW(Server&amp;Cube1,$F$21,$F$14,$F$15,$F$20,$C$18,$F$17,$F$19,$C$19,$H$3,I$1,$C85)</f>
        <v>50142.759480000001</v>
      </c>
      <c r="J85" s="172">
        <f ca="1">_xll.DBRW(Server&amp;Cube1,$F$21,$F$14,$F$15,$F$20,$C$18,$F$17,$F$19,$C$19,$H$2,J$1,$C85)</f>
        <v>56476.412000000004</v>
      </c>
      <c r="K85" s="173">
        <f ca="1">_xll.DBRW(Server&amp;Cube1,$F$21,$F$14,$F$15,$F$20,$C$18,$F$17,$F$19,$C$19,$H$2,K$1,$C85)</f>
        <v>53483.854640000005</v>
      </c>
      <c r="L85" s="150"/>
      <c r="M85" s="177">
        <f t="shared" ref="M85:M86" ca="1" si="22">K85-J85</f>
        <v>-2992.5573599999989</v>
      </c>
      <c r="N85" s="162">
        <f t="shared" ca="1" si="21"/>
        <v>-5.2987738668667524E-2</v>
      </c>
      <c r="O85" s="180" t="str">
        <f ca="1">IF(N85&gt;0.01,$AE$27,IF(N85&lt;-0.01,$AF$27,$AG$27))</f>
        <v>î</v>
      </c>
      <c r="P85" s="177">
        <f t="shared" ref="P85:P86" ca="1" si="23">K85-I85</f>
        <v>3341.0951600000044</v>
      </c>
      <c r="Q85" s="52"/>
      <c r="R85" s="177">
        <f ca="1">_xll.DBRW(Server&amp;Cube1,$F$21,$F$14,$F$15,$F$20,$C$18,$F$17,$F$19,$C$19,$J$2,J$1,$C85)</f>
        <v>67770</v>
      </c>
      <c r="S85" s="52"/>
      <c r="T85" s="177">
        <f t="shared" ca="1" si="12"/>
        <v>14286.145359999995</v>
      </c>
      <c r="U85" s="162">
        <f t="shared" ref="U85:U86" ca="1" si="24">IF(R85=0,0,T85/R85)</f>
        <v>0.21080338438837237</v>
      </c>
      <c r="V85" s="52"/>
      <c r="W85" s="52"/>
      <c r="X85" s="52"/>
      <c r="Y85" s="52"/>
      <c r="Z85" s="52"/>
      <c r="AA85" s="52"/>
      <c r="AB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</row>
    <row r="86" spans="1:40" s="9" customFormat="1" ht="23.25" x14ac:dyDescent="0.35">
      <c r="A86" s="52"/>
      <c r="B86" s="52"/>
      <c r="C86" s="114" t="s">
        <v>176</v>
      </c>
      <c r="E86" s="222" t="str">
        <f ca="1">_xll.DBRA(Server&amp;$C$25,$C86,$F$16)</f>
        <v>Management fees - Frais de siège facturés (charge)</v>
      </c>
      <c r="F86" s="222"/>
      <c r="G86" s="222"/>
      <c r="H86" s="39"/>
      <c r="I86" s="172">
        <f ca="1">_xll.DBRW(Server&amp;Cube1,$F$21,$F$14,$F$15,$F$20,$C$18,$F$17,$F$19,$C$19,$H$3,I$1,$C86)</f>
        <v>0</v>
      </c>
      <c r="J86" s="172">
        <f ca="1">_xll.DBRW(Server&amp;Cube1,$F$21,$F$14,$F$15,$F$20,$C$18,$F$17,$F$19,$C$19,$H$2,J$1,$C86)</f>
        <v>-291.67</v>
      </c>
      <c r="K86" s="173">
        <f ca="1">_xll.DBRW(Server&amp;Cube1,$F$21,$F$14,$F$15,$F$20,$C$18,$F$17,$F$19,$C$19,$H$2,K$1,$C86)</f>
        <v>0</v>
      </c>
      <c r="L86" s="150"/>
      <c r="M86" s="177">
        <f t="shared" ca="1" si="22"/>
        <v>291.67</v>
      </c>
      <c r="N86" s="162">
        <f t="shared" ca="1" si="21"/>
        <v>1</v>
      </c>
      <c r="O86" s="180" t="str">
        <f ca="1">IF(N86&gt;0.01,$AE$27,IF(N86&lt;-0.01,$AF$27,$AG$27))</f>
        <v>ì</v>
      </c>
      <c r="P86" s="177">
        <f t="shared" ca="1" si="23"/>
        <v>0</v>
      </c>
      <c r="Q86" s="52"/>
      <c r="R86" s="177">
        <f ca="1">_xll.DBRW(Server&amp;Cube1,$F$21,$F$14,$F$15,$F$20,$C$18,$F$17,$F$19,$C$19,$J$2,J$1,$C86)</f>
        <v>-350</v>
      </c>
      <c r="S86" s="52"/>
      <c r="T86" s="177">
        <f t="shared" ca="1" si="12"/>
        <v>-350</v>
      </c>
      <c r="U86" s="162">
        <f t="shared" ca="1" si="24"/>
        <v>1</v>
      </c>
      <c r="V86" s="52"/>
      <c r="W86" s="52"/>
      <c r="X86" s="52"/>
      <c r="Y86" s="52"/>
      <c r="Z86" s="52"/>
      <c r="AA86" s="52"/>
      <c r="AB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</row>
    <row r="87" spans="1:40" s="9" customFormat="1" ht="24" thickBot="1" x14ac:dyDescent="0.4">
      <c r="A87" s="52"/>
      <c r="B87" s="52"/>
      <c r="C87" s="116"/>
      <c r="E87" s="101"/>
      <c r="F87" s="102"/>
      <c r="G87" s="135"/>
      <c r="H87" s="39"/>
      <c r="I87" s="158"/>
      <c r="J87" s="158"/>
      <c r="K87" s="158"/>
      <c r="L87" s="153"/>
      <c r="M87" s="159"/>
      <c r="N87" s="167"/>
      <c r="O87" s="183"/>
      <c r="P87" s="159"/>
      <c r="Q87" s="52"/>
      <c r="R87" s="159" t="str">
        <f ca="1">_xll.DBRW(Server&amp;Cube1,$F$21,$F$14,$F$15,$F$20,$C$18,$F$17,$F$19,$C$19,$J$2,J$1,$C87)</f>
        <v/>
      </c>
      <c r="S87" s="52"/>
      <c r="T87" s="159"/>
      <c r="U87" s="167"/>
      <c r="V87" s="52"/>
      <c r="W87" s="52"/>
      <c r="X87" s="52"/>
      <c r="Y87" s="52"/>
      <c r="Z87" s="52"/>
      <c r="AA87" s="52"/>
      <c r="AB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</row>
    <row r="88" spans="1:40" s="9" customFormat="1" ht="24" thickBot="1" x14ac:dyDescent="0.4">
      <c r="A88" s="52"/>
      <c r="B88" s="52"/>
      <c r="C88" s="113" t="s">
        <v>133</v>
      </c>
      <c r="E88" s="225" t="str">
        <f ca="1">_xll.DBRA(Server&amp;$C$25,$C88,$F$16)</f>
        <v>RESULTAT OPERATIONNEL APRES MF</v>
      </c>
      <c r="F88" s="225"/>
      <c r="G88" s="225"/>
      <c r="H88" s="39"/>
      <c r="I88" s="197">
        <f ca="1">_xll.DBRW(Server&amp;Cube1,$F$21,$F$14,$F$15,$F$20,$C$18,$F$17,$F$19,$C$19,$H$3,I$1,$C88)</f>
        <v>-8599.6877100000074</v>
      </c>
      <c r="J88" s="197">
        <f ca="1">_xll.DBRW(Server&amp;Cube1,$F$21,$F$14,$F$15,$F$20,$C$18,$F$17,$F$19,$C$19,$H$2,J$1,$C88)</f>
        <v>-9866.0923220976692</v>
      </c>
      <c r="K88" s="198">
        <f ca="1">_xll.DBRW(Server&amp;Cube1,$F$21,$F$14,$F$15,$F$20,$C$18,$F$17,$F$19,$C$19,$H$2,K$1,$C88)</f>
        <v>3558.7159999999976</v>
      </c>
      <c r="L88" s="203"/>
      <c r="M88" s="199">
        <f ca="1">K88-J88</f>
        <v>13424.808322097666</v>
      </c>
      <c r="N88" s="200">
        <f ca="1">IF(J88=0,0,IF(J88&lt;0,M88/-J88,M88/J88))</f>
        <v>1.360701672335797</v>
      </c>
      <c r="O88" s="201" t="str">
        <f ca="1">IF(N88&gt;0.01,$AE$27,IF(N88&lt;-0.01,$AF$27,$AG$27))</f>
        <v>ì</v>
      </c>
      <c r="P88" s="199">
        <f ca="1">K88-I88</f>
        <v>12158.403710000006</v>
      </c>
      <c r="Q88" s="52"/>
      <c r="R88" s="199">
        <f ca="1">_xll.DBRW(Server&amp;Cube1,$F$21,$F$14,$F$15,$F$20,$C$18,$F$17,$F$19,$C$19,$J$2,J$1,$C88)</f>
        <v>-11676.860605598391</v>
      </c>
      <c r="S88" s="52"/>
      <c r="T88" s="199">
        <f t="shared" ca="1" si="12"/>
        <v>-15235.576605598388</v>
      </c>
      <c r="U88" s="200">
        <f ca="1">IF(R88=0,0,T88/R88)</f>
        <v>1.3047665053305333</v>
      </c>
      <c r="V88" s="52"/>
      <c r="W88" s="52"/>
      <c r="X88" s="52"/>
      <c r="Y88" s="52"/>
      <c r="Z88" s="52"/>
      <c r="AA88" s="52"/>
      <c r="AB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</row>
    <row r="89" spans="1:40" s="9" customFormat="1" ht="24" thickBot="1" x14ac:dyDescent="0.4">
      <c r="A89" s="52"/>
      <c r="B89" s="52"/>
      <c r="C89" s="116"/>
      <c r="E89" s="103"/>
      <c r="F89" s="104"/>
      <c r="G89" s="135"/>
      <c r="H89" s="39"/>
      <c r="I89" s="160"/>
      <c r="J89" s="160"/>
      <c r="K89" s="160"/>
      <c r="L89" s="149"/>
      <c r="M89" s="159"/>
      <c r="N89" s="167"/>
      <c r="O89" s="183"/>
      <c r="P89" s="159"/>
      <c r="Q89" s="52"/>
      <c r="R89" s="159" t="str">
        <f ca="1">_xll.DBRW(Server&amp;Cube1,$F$21,$F$14,$F$15,$F$20,$C$18,$F$17,$F$19,$C$19,$J$2,J$1,$C89)</f>
        <v/>
      </c>
      <c r="S89" s="52"/>
      <c r="T89" s="159"/>
      <c r="U89" s="167"/>
      <c r="V89" s="52"/>
      <c r="W89" s="52"/>
      <c r="X89" s="52"/>
      <c r="Y89" s="52"/>
      <c r="Z89" s="52"/>
      <c r="AA89" s="52"/>
      <c r="AB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</row>
    <row r="90" spans="1:40" s="9" customFormat="1" ht="24" thickBot="1" x14ac:dyDescent="0.4">
      <c r="A90" s="52"/>
      <c r="B90" s="52"/>
      <c r="C90" s="113" t="s">
        <v>134</v>
      </c>
      <c r="E90" s="225" t="str">
        <f ca="1">_xll.DBRA(Server&amp;$C$25,$C90,$F$16)</f>
        <v>Total CAPEX</v>
      </c>
      <c r="F90" s="225"/>
      <c r="G90" s="225"/>
      <c r="H90" s="39"/>
      <c r="I90" s="197">
        <f ca="1">_xll.DBRW(Server&amp;Cube1,$F$21,$F$14,$F$15,$F$20,$C$18,$F$17,$F$19,$C$19,$H$3,I$1,$C90)</f>
        <v>31809.628289999997</v>
      </c>
      <c r="J90" s="197">
        <f ca="1">_xll.DBRW(Server&amp;Cube1,$F$21,$F$14,$F$15,$F$20,$C$18,$F$17,$F$19,$C$19,$H$2,J$1,$C90)</f>
        <v>4327.6000000000004</v>
      </c>
      <c r="K90" s="198">
        <f ca="1">_xll.DBRW(Server&amp;Cube1,$F$21,$F$14,$F$15,$F$20,$C$18,$F$17,$F$19,$C$19,$H$2,K$1,$C90)</f>
        <v>35535.176300000014</v>
      </c>
      <c r="L90" s="203"/>
      <c r="M90" s="199">
        <f ca="1">K90-J90</f>
        <v>31207.576300000015</v>
      </c>
      <c r="N90" s="200">
        <f ca="1">IF(J90=0,0,IF(J90&lt;0,M90/-J90,M90/J90))</f>
        <v>7.2112894676032937</v>
      </c>
      <c r="O90" s="201" t="str">
        <f ca="1">IF(N90&gt;0.01,$AE$27,IF(N90&lt;-0.01,$AF$27,$AG$27))</f>
        <v>ì</v>
      </c>
      <c r="P90" s="199">
        <f ca="1">K90-I90</f>
        <v>3725.5480100000168</v>
      </c>
      <c r="Q90" s="52"/>
      <c r="R90" s="199">
        <f ca="1">_xll.DBRW(Server&amp;Cube1,$F$21,$F$14,$F$15,$F$20,$C$18,$F$17,$F$19,$C$19,$J$2,J$1,$C90)</f>
        <v>5227.6000000000004</v>
      </c>
      <c r="S90" s="52"/>
      <c r="T90" s="199">
        <f t="shared" ca="1" si="12"/>
        <v>-30307.576300000015</v>
      </c>
      <c r="U90" s="200">
        <f ca="1">IF(R90=0,0,T90/R90)</f>
        <v>-5.797608137577476</v>
      </c>
      <c r="V90" s="52"/>
      <c r="W90" s="52"/>
      <c r="X90" s="52"/>
      <c r="Y90" s="52"/>
      <c r="Z90" s="52"/>
      <c r="AA90" s="52"/>
      <c r="AB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</row>
    <row r="91" spans="1:40" s="9" customFormat="1" ht="24" thickBot="1" x14ac:dyDescent="0.4">
      <c r="A91" s="52"/>
      <c r="B91" s="52"/>
      <c r="C91" s="116"/>
      <c r="E91" s="101"/>
      <c r="F91" s="102"/>
      <c r="G91" s="135"/>
      <c r="H91" s="39"/>
      <c r="I91" s="158"/>
      <c r="J91" s="158"/>
      <c r="K91" s="158"/>
      <c r="L91" s="153"/>
      <c r="M91" s="159"/>
      <c r="N91" s="167"/>
      <c r="O91" s="183"/>
      <c r="P91" s="159"/>
      <c r="Q91" s="52"/>
      <c r="R91" s="159" t="str">
        <f ca="1">_xll.DBRW(Server&amp;Cube1,$F$21,$F$14,$F$15,$F$20,$C$18,$F$17,$F$19,$C$19,$J$2,J$1,$C91)</f>
        <v/>
      </c>
      <c r="S91" s="52"/>
      <c r="T91" s="159"/>
      <c r="U91" s="167"/>
      <c r="V91" s="52"/>
      <c r="W91" s="52"/>
      <c r="X91" s="52"/>
      <c r="Y91" s="52"/>
      <c r="Z91" s="52"/>
      <c r="AA91" s="52"/>
      <c r="AB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</row>
    <row r="92" spans="1:40" ht="24" thickBot="1" x14ac:dyDescent="0.4">
      <c r="A92" s="121" t="s">
        <v>135</v>
      </c>
      <c r="B92" s="141" t="s">
        <v>138</v>
      </c>
      <c r="C92" s="113" t="s">
        <v>131</v>
      </c>
      <c r="D92" s="25"/>
      <c r="E92" s="225" t="str">
        <f ca="1">_xll.DBRA(Server&amp;$C$25,$C92,$F$16)</f>
        <v>CAFOP</v>
      </c>
      <c r="F92" s="225"/>
      <c r="G92" s="225"/>
      <c r="H92" s="39"/>
      <c r="I92" s="197">
        <f ca="1">_xll.DBRW(Server&amp;Cube1,$F$21,$F$14,$F$15,$F$20,$C$18,$F$17,$F$19,$C$19,$H$3,I$1,$C92)</f>
        <v>-5451.194530000007</v>
      </c>
      <c r="J92" s="197">
        <f ca="1">_xll.DBRW(Server&amp;Cube1,$F$21,$F$14,$F$15,$F$20,$C$18,$F$17,$F$19,$C$19,$H$2,J$1,$C92)</f>
        <v>-6398.7303220976701</v>
      </c>
      <c r="K92" s="198">
        <f ca="1">_xll.DBRW(Server&amp;Cube1,$F$21,$F$14,$F$15,$F$20,$C$18,$F$17,$F$19,$C$19,$H$2,K$1,$C92)</f>
        <v>6416.8478799999957</v>
      </c>
      <c r="L92" s="203"/>
      <c r="M92" s="199">
        <f ca="1">K92-J92</f>
        <v>12815.578202097666</v>
      </c>
      <c r="N92" s="200">
        <f ca="1">IF(J92=0,0,IF(J92&lt;0,M92/-J92,M92/J92))</f>
        <v>2.0028314301416574</v>
      </c>
      <c r="O92" s="201" t="str">
        <f ca="1">IF(N92&gt;0.01,$AE$27,IF(N92&lt;-0.01,$AF$27,$AG$27))</f>
        <v>ì</v>
      </c>
      <c r="P92" s="199">
        <f ca="1">K92-I92</f>
        <v>11868.042410000002</v>
      </c>
      <c r="Q92" s="52"/>
      <c r="R92" s="199">
        <f ca="1">_xll.DBRW(Server&amp;Cube1,$F$21,$F$14,$F$15,$F$20,$C$18,$F$17,$F$19,$C$19,$J$2,J$1,$C92)</f>
        <v>-7516.1896055983907</v>
      </c>
      <c r="T92" s="199">
        <f ca="1">R92-K92</f>
        <v>-13933.037485598386</v>
      </c>
      <c r="U92" s="200">
        <f ca="1">IF(R92=0,0,T92/R92)</f>
        <v>1.8537368289938354</v>
      </c>
      <c r="V92" s="52"/>
      <c r="W92" s="52"/>
      <c r="X92" s="1"/>
      <c r="Y92" s="1"/>
      <c r="Z92" s="1"/>
      <c r="AA92" s="1"/>
      <c r="AB92" s="1"/>
      <c r="AC92" s="9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</row>
    <row r="93" spans="1:40" ht="23.25" x14ac:dyDescent="0.35">
      <c r="A93" s="121" t="s">
        <v>68</v>
      </c>
      <c r="B93" s="141" t="s">
        <v>156</v>
      </c>
      <c r="C93" s="118"/>
      <c r="D93" s="59"/>
      <c r="E93" s="105"/>
      <c r="F93" s="105"/>
      <c r="G93" s="105"/>
      <c r="H93" s="86"/>
      <c r="I93" s="169"/>
      <c r="J93" s="169"/>
      <c r="K93" s="169"/>
      <c r="L93" s="169"/>
      <c r="M93" s="123"/>
      <c r="N93" s="168"/>
      <c r="O93" s="184"/>
      <c r="P93" s="169"/>
      <c r="Q93" s="52"/>
      <c r="V93" s="52"/>
      <c r="W93" s="52"/>
      <c r="X93" s="134" t="s">
        <v>177</v>
      </c>
      <c r="Y93" s="52" t="str">
        <f ca="1">LEFT(H2,7)</f>
        <v>2021.10</v>
      </c>
      <c r="Z93" s="134" t="s">
        <v>178</v>
      </c>
      <c r="AA93" s="52"/>
      <c r="AB93" s="208" t="str">
        <f ca="1">IF(LEN($Y$93)=4,"NO",RIGHT(Y93,2))</f>
        <v>10</v>
      </c>
      <c r="AC93" s="9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</row>
    <row r="94" spans="1:40" ht="21" x14ac:dyDescent="0.25">
      <c r="A94" s="121" t="s">
        <v>136</v>
      </c>
      <c r="B94" s="141" t="s">
        <v>137</v>
      </c>
      <c r="C94" s="113" t="s">
        <v>140</v>
      </c>
      <c r="D94" s="59"/>
      <c r="E94" s="227"/>
      <c r="F94" s="222" t="str">
        <f ca="1">_xll.DBRA(Server&amp;$C$25,$C94,$F$16)</f>
        <v>Effectifs CDI</v>
      </c>
      <c r="G94" s="222"/>
      <c r="I94" s="175">
        <f ca="1">_xll.DBRW(Server&amp;Cube1,$B$96,$B$97,$B$95,$B$93,$B$94,$F$17,$F$19,$B$92,$H$3,I$1,$C94)</f>
        <v>319.60000000000002</v>
      </c>
      <c r="J94" s="175">
        <f ca="1">_xll.DBRW(Server&amp;Cube1,$B$96,$B$97,$B$95,$B$93,$B$94,$F$17,$F$19,$B$92,$H$2,J$1,$C94)</f>
        <v>0</v>
      </c>
      <c r="K94" s="173">
        <f ca="1">_xll.DBRW(Server&amp;Cube1,$B$96,$B$97,$B$95,$B$93,$B$94,$F$17,$F$19,$B$92,$H$2,K$1,$C94)</f>
        <v>268.3</v>
      </c>
      <c r="L94" s="150"/>
      <c r="M94" s="179">
        <f ca="1">K94-J94</f>
        <v>268.3</v>
      </c>
      <c r="N94" s="165">
        <f t="shared" ref="N94:N97" ca="1" si="25">IF(J94=0,0,IF(J94&lt;0,M94/-J94,M94/J94))</f>
        <v>0</v>
      </c>
      <c r="O94" s="180" t="str">
        <f ca="1">IF(N94&gt;0.01,$AE$27,IF(N94&lt;-0.01,$AF$27,$AG$27))</f>
        <v>è</v>
      </c>
      <c r="P94" s="179">
        <f t="shared" ref="P94:P97" ca="1" si="26">K94-I94</f>
        <v>-51.300000000000011</v>
      </c>
      <c r="Q94" s="52"/>
      <c r="R94" s="175">
        <f ca="1">_xll.DBRW(Server&amp;Cube1,$B$96,$B$97,$B$95,$B$93,$B$94,$F$17,$F$19,$B$92,$J$2,J$1,$C94)</f>
        <v>0</v>
      </c>
      <c r="V94" s="52"/>
      <c r="W94" s="52"/>
      <c r="X94" s="52"/>
      <c r="Y94" s="134" t="s">
        <v>149</v>
      </c>
      <c r="Z94" s="52"/>
      <c r="AA94" s="57" t="str">
        <f ca="1">IF(OR(AB93="S1",AB93="Q1",AB93="Q2"),"YES",IF(ISERROR(VALUE(AB93))=TRUE,"NO",IF(VALUE(AB93)&lt;7,"YES","NO")))</f>
        <v>NO</v>
      </c>
      <c r="AB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</row>
    <row r="95" spans="1:40" ht="21" x14ac:dyDescent="0.25">
      <c r="A95" s="121" t="s">
        <v>145</v>
      </c>
      <c r="B95" s="141" t="s">
        <v>146</v>
      </c>
      <c r="C95" s="113" t="s">
        <v>141</v>
      </c>
      <c r="D95" s="59"/>
      <c r="E95" s="227"/>
      <c r="F95" s="222" t="str">
        <f ca="1">_xll.DBRA(Server&amp;$C$25,$C95,$F$16)</f>
        <v>Effectifs Autres</v>
      </c>
      <c r="G95" s="222"/>
      <c r="I95" s="175">
        <f ca="1">_xll.DBRW(Server&amp;Cube1,$B$96,$B$97,$B$95,$B$93,$B$94,$F$17,$F$19,$B$92,$H$3,I$1,$C95)</f>
        <v>45.1</v>
      </c>
      <c r="J95" s="175">
        <f ca="1">_xll.DBRW(Server&amp;Cube1,$B$96,$B$97,$B$95,$B$93,$B$94,$F$17,$F$19,$B$92,$H$2,J$1,$C95)</f>
        <v>0</v>
      </c>
      <c r="K95" s="173">
        <f ca="1">_xll.DBRW(Server&amp;Cube1,$B$96,$B$97,$B$95,$B$93,$B$94,$F$17,$F$19,$B$92,$H$2,K$1,$C95)</f>
        <v>21.1</v>
      </c>
      <c r="L95" s="150"/>
      <c r="M95" s="179">
        <f t="shared" ref="M95:M97" ca="1" si="27">K95-J95</f>
        <v>21.1</v>
      </c>
      <c r="N95" s="165">
        <f t="shared" ca="1" si="25"/>
        <v>0</v>
      </c>
      <c r="O95" s="180" t="str">
        <f ca="1">IF(N95&gt;0.01,$AE$27,IF(N95&lt;-0.01,$AF$27,$AG$27))</f>
        <v>è</v>
      </c>
      <c r="P95" s="179">
        <f t="shared" ca="1" si="26"/>
        <v>-24</v>
      </c>
      <c r="Q95" s="52"/>
      <c r="R95" s="175">
        <f ca="1">_xll.DBRW(Server&amp;Cube1,$B$96,$B$97,$B$95,$B$93,$B$94,$F$17,$F$19,$B$92,$J$2,J$1,$C95)</f>
        <v>0</v>
      </c>
      <c r="V95" s="52"/>
      <c r="W95" s="52"/>
      <c r="X95" s="52"/>
      <c r="Y95" s="134" t="s">
        <v>150</v>
      </c>
      <c r="Z95" s="52"/>
      <c r="AA95" s="52" t="str">
        <f ca="1">IF(OR(AB93="S2",AB93="Q4",AB93="NO",AB93="12"),"YES","NO")</f>
        <v>NO</v>
      </c>
      <c r="AB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</row>
    <row r="96" spans="1:40" ht="21" x14ac:dyDescent="0.25">
      <c r="A96" s="121" t="s">
        <v>9</v>
      </c>
      <c r="B96" s="141" t="s">
        <v>147</v>
      </c>
      <c r="C96" s="113" t="s">
        <v>142</v>
      </c>
      <c r="D96" s="59"/>
      <c r="E96" s="227"/>
      <c r="F96" s="222" t="str">
        <f ca="1">_xll.DBRA(Server&amp;$C$25,$C96,$F$16)</f>
        <v>ETP CDI</v>
      </c>
      <c r="G96" s="222"/>
      <c r="I96" s="175">
        <f ca="1">_xll.DBRW(Server&amp;Cube1,$B$96,$B$97,$B$95,$B$93,$B$94,$F$17,$F$19,$B$92,$H$3,I$1,$C96)</f>
        <v>315.14945161290314</v>
      </c>
      <c r="J96" s="175">
        <f ca="1">_xll.DBRW(Server&amp;Cube1,$B$96,$B$97,$B$95,$B$93,$B$94,$F$17,$F$19,$B$92,$H$2,J$1,$C96)</f>
        <v>0</v>
      </c>
      <c r="K96" s="173">
        <f ca="1">_xll.DBRW(Server&amp;Cube1,$B$96,$B$97,$B$95,$B$93,$B$94,$F$17,$F$19,$B$92,$H$2,K$1,$C96)</f>
        <v>266.34153763440861</v>
      </c>
      <c r="L96" s="150"/>
      <c r="M96" s="179">
        <f t="shared" ca="1" si="27"/>
        <v>266.34153763440861</v>
      </c>
      <c r="N96" s="165">
        <f t="shared" ca="1" si="25"/>
        <v>0</v>
      </c>
      <c r="O96" s="180" t="str">
        <f ca="1">IF(N96&gt;0.01,$AE$27,IF(N96&lt;-0.01,$AF$27,$AG$27))</f>
        <v>è</v>
      </c>
      <c r="P96" s="179">
        <f ca="1">K96-I96</f>
        <v>-48.807913978494526</v>
      </c>
      <c r="Q96" s="52"/>
      <c r="R96" s="175">
        <f ca="1">_xll.DBRW(Server&amp;Cube1,$B$96,$B$97,$B$95,$B$93,$B$94,$F$17,$F$19,$B$92,$J$2,J$1,$C96)</f>
        <v>0</v>
      </c>
      <c r="V96" s="52"/>
      <c r="W96" s="52"/>
      <c r="X96" s="52"/>
      <c r="Y96" s="134" t="s">
        <v>151</v>
      </c>
      <c r="Z96" s="52"/>
      <c r="AA96" s="52" t="str">
        <f ca="1">IF(OR(AB93="Q3",AB93="09"),"YES","NO")</f>
        <v>NO</v>
      </c>
      <c r="AB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</row>
    <row r="97" spans="1:40" ht="21" x14ac:dyDescent="0.25">
      <c r="A97" s="121" t="s">
        <v>10</v>
      </c>
      <c r="B97" s="141" t="s">
        <v>148</v>
      </c>
      <c r="C97" s="113" t="s">
        <v>143</v>
      </c>
      <c r="D97" s="59"/>
      <c r="E97" s="227"/>
      <c r="F97" s="222" t="str">
        <f ca="1">_xll.DBRA(Server&amp;$C$25,$C97,$F$16)</f>
        <v>ETP Autres</v>
      </c>
      <c r="G97" s="222"/>
      <c r="I97" s="175">
        <f ca="1">_xll.DBRW(Server&amp;Cube1,$B$96,$B$97,$B$95,$B$93,$B$94,$F$17,$F$19,$B$92,$H$3,I$1,$C97)</f>
        <v>43.353236559139795</v>
      </c>
      <c r="J97" s="175">
        <f ca="1">_xll.DBRW(Server&amp;Cube1,$B$96,$B$97,$B$95,$B$93,$B$94,$F$17,$F$19,$B$92,$H$2,J$1,$C97)</f>
        <v>0</v>
      </c>
      <c r="K97" s="173">
        <f ca="1">_xll.DBRW(Server&amp;Cube1,$B$96,$B$97,$B$95,$B$93,$B$94,$F$17,$F$19,$B$92,$H$2,K$1,$C97)</f>
        <v>21.059413210445467</v>
      </c>
      <c r="L97" s="150"/>
      <c r="M97" s="179">
        <f t="shared" ca="1" si="27"/>
        <v>21.059413210445467</v>
      </c>
      <c r="N97" s="165">
        <f t="shared" ca="1" si="25"/>
        <v>0</v>
      </c>
      <c r="O97" s="180" t="str">
        <f ca="1">IF(N97&gt;0.01,$AE$27,IF(N97&lt;-0.01,$AF$27,$AG$27))</f>
        <v>è</v>
      </c>
      <c r="P97" s="179">
        <f t="shared" ca="1" si="26"/>
        <v>-22.293823348694328</v>
      </c>
      <c r="Q97" s="52"/>
      <c r="R97" s="175">
        <f ca="1">_xll.DBRW(Server&amp;Cube1,$B$96,$B$97,$B$95,$B$93,$B$94,$F$17,$F$19,$B$92,$J$2,J$1,$C97)</f>
        <v>0</v>
      </c>
      <c r="V97" s="52"/>
      <c r="W97" s="52"/>
      <c r="Y97" s="4"/>
      <c r="Z97" s="53"/>
      <c r="AA97" s="54"/>
      <c r="AB97" s="55" t="s">
        <v>33</v>
      </c>
      <c r="AC97" s="4"/>
      <c r="AD97" s="54" t="str">
        <f ca="1">IF(RIGHT(_xll.SUBNM(Server&amp;"Period","",$F$18,""),3)="YTD","Yes","No")</f>
        <v>Yes</v>
      </c>
      <c r="AE97" s="4"/>
      <c r="AF97" s="4"/>
      <c r="AG97" s="4"/>
      <c r="AH97" s="4"/>
      <c r="AI97" s="4"/>
      <c r="AJ97" s="4"/>
      <c r="AK97" s="4"/>
      <c r="AL97" s="1"/>
    </row>
    <row r="98" spans="1:40" ht="21" x14ac:dyDescent="0.25">
      <c r="A98" s="121"/>
      <c r="B98" s="141"/>
      <c r="C98" s="113"/>
      <c r="D98" s="59"/>
      <c r="E98" s="209"/>
      <c r="F98" s="207"/>
      <c r="G98" s="207"/>
      <c r="I98" s="175"/>
      <c r="J98" s="175"/>
      <c r="K98" s="173"/>
      <c r="L98" s="150"/>
      <c r="M98" s="179"/>
      <c r="N98" s="165"/>
      <c r="O98" s="180"/>
      <c r="P98" s="179"/>
      <c r="Q98" s="52"/>
      <c r="V98" s="52"/>
      <c r="W98" s="52"/>
      <c r="X98" s="52"/>
      <c r="Y98" s="53" t="s">
        <v>32</v>
      </c>
      <c r="Z98" s="210">
        <f ca="1">$J$2-1</f>
        <v>2020</v>
      </c>
      <c r="AA98" s="52" t="str">
        <f ca="1">IF($AA$94="YES",$Z$98&amp;".01",IF($AA$95="YES",$Z$98&amp;".07",IF($AA$96="YES",$Z$98&amp;".04",IF($AB$93="07",$Z$98&amp;".02",IF($AB$93="08",$Z$98&amp;".03",IF($AB$93="10",$Z$98&amp;".05",$Z$98&amp;".06"))))))</f>
        <v>2020.05</v>
      </c>
      <c r="AB98" s="52" t="str">
        <f ca="1">IF($AA$94="YES",$Z$98&amp;".02",IF($AA$95="YES",$Z$98&amp;".08",IF($AA$96="YES",$Z$98&amp;".05",IF($AB$93="07",$Z$98&amp;".03",IF($AB$93="08",$Z$98&amp;".04",IF($AB$93="10",$Z$98&amp;".06",$Z$98&amp;".07"))))))</f>
        <v>2020.06</v>
      </c>
      <c r="AC98" s="52" t="str">
        <f ca="1">IF($AA$94="YES",$Z$98&amp;".03",IF($AA$95="YES",$Z$98&amp;".09",IF($AA$96="YES",$Z$98&amp;".06",IF($AB$93="07",$Z$98&amp;".04",IF($AB$93="08",$Z$98&amp;".05",IF($AB$93="10",$Z$98&amp;".07",$Z$98&amp;".08"))))))</f>
        <v>2020.07</v>
      </c>
      <c r="AD98" s="52" t="str">
        <f ca="1">IF($AA$94="YES",$Z$98&amp;".04",IF($AA$95="YES",$Z$98&amp;".10",IF($AA$96="YES",$Z$98&amp;".07",IF($AB$93="07",$Z$98&amp;".05",IF($AB$93="08",$Z$98&amp;".06",IF($AB$93="10",$Z$98&amp;".08",$Z$98&amp;".09"))))))</f>
        <v>2020.08</v>
      </c>
      <c r="AE98" s="52" t="str">
        <f ca="1">IF($AA$94="YES",$Z$98&amp;".05",IF($AA$95="YES",$Z$98&amp;".11",IF($AA$96="YES",$Z$98&amp;".08",IF($AB$93="07",$Z$98&amp;".06",IF($AB$93="08",$Z$98&amp;".07",IF($AB$93="10",$Z$98&amp;".09",$Z$98&amp;".10"))))))</f>
        <v>2020.09</v>
      </c>
      <c r="AF98" s="52" t="str">
        <f ca="1">IF($AA$94="YES",$Z$98&amp;".06",IF($AA$95="YES",$Z$98&amp;".12",IF($AA$96="YES",$Z$98&amp;".09",IF($AB$93="07",$Z$98&amp;".07",IF($AB$93="08",$Z$98&amp;".08",IF($AB$93="10",$Z$98&amp;".10",$Z$98&amp;".11"))))))</f>
        <v>2020.10</v>
      </c>
      <c r="AG98" s="4"/>
      <c r="AH98" s="4"/>
      <c r="AI98" s="4"/>
      <c r="AJ98" s="4"/>
      <c r="AK98" s="4"/>
      <c r="AL98" s="1"/>
      <c r="AM98" s="52"/>
      <c r="AN98" s="52"/>
    </row>
    <row r="99" spans="1:40" ht="23.25" x14ac:dyDescent="0.35">
      <c r="A99" s="52"/>
      <c r="B99" s="52"/>
      <c r="C99" s="119"/>
      <c r="D99" s="59"/>
      <c r="E99" s="105"/>
      <c r="F99" s="105"/>
      <c r="G99" s="105"/>
      <c r="H99" s="39"/>
      <c r="I99" s="106"/>
      <c r="J99" s="106"/>
      <c r="K99" s="106"/>
      <c r="L99" s="10"/>
      <c r="M99" s="10"/>
      <c r="N99" s="10"/>
      <c r="O99" s="10"/>
      <c r="P99" s="10"/>
      <c r="Q99" s="52"/>
      <c r="V99" s="52"/>
      <c r="W99" s="52"/>
      <c r="Y99" s="53" t="s">
        <v>32</v>
      </c>
      <c r="Z99" s="54" t="str">
        <f ca="1">$J$2</f>
        <v>2021</v>
      </c>
      <c r="AA99" s="23" t="str">
        <f ca="1">IF($AA$94="YES",$Z$99&amp;".01",IF($AA$95="YES",$Z$99&amp;".07",IF($AA$96="YES",$Z$99&amp;".04",IF($AB$93="07",$Z$99&amp;".02",IF($AB$93="08",$Z$99&amp;".03",IF($AB$93="10",$Z$99&amp;".05",$Z$99&amp;".06"))))))</f>
        <v>2021.05</v>
      </c>
      <c r="AB99" s="52" t="str">
        <f ca="1">IF($AA$94="YES",$Z$99&amp;".02",IF($AA$95="YES",$Z$99&amp;".08",IF($AA$96="YES",$Z$99&amp;".05",IF($AB$93="07",$Z$99&amp;".03",IF($AB$93="08",$Z$99&amp;".04",IF($AB$93="10",$Z$99&amp;".06",$Z$99&amp;".07"))))))</f>
        <v>2021.06</v>
      </c>
      <c r="AC99" s="52" t="str">
        <f ca="1">IF($AA$94="YES",$Z$99&amp;".03",IF($AA$95="YES",$Z$99&amp;".09",IF($AA$96="YES",$Z$99&amp;".06",IF($AB$93="07",$Z$99&amp;".04",IF($AB$93="08",$Z$99&amp;".05",IF($AB$93="10",$Z$99&amp;".07",$Z$99&amp;".08"))))))</f>
        <v>2021.07</v>
      </c>
      <c r="AD99" s="52" t="str">
        <f ca="1">IF($AA$94="YES",$Z$99&amp;".04",IF($AA$95="YES",$Z$99&amp;".10",IF($AA$96="YES",$Z$99&amp;".07",IF($AB$93="07",$Z$99&amp;".05",IF($AB$93="08",$Z$99&amp;".06",IF($AB$93="10",$Z$99&amp;".08",$Z$99&amp;".09"))))))</f>
        <v>2021.08</v>
      </c>
      <c r="AE99" s="52" t="str">
        <f ca="1">IF($AA$94="YES",$Z$99&amp;".05",IF($AA$95="YES",$Z$99&amp;".11",IF($AA$96="YES",$Z$99&amp;".08",IF($AB$93="07",$Z$99&amp;".06",IF($AB$93="08",$Z$99&amp;".07",IF($AB$93="10",$Z$99&amp;".09",$Z$99&amp;".10"))))))</f>
        <v>2021.09</v>
      </c>
      <c r="AF99" s="52" t="str">
        <f ca="1">IF($AA$94="YES",$Z$99&amp;".06",IF($AA$95="YES",$Z$99&amp;".12",IF($AA$96="YES",$Z$99&amp;".09",IF($AB$93="07",$Z$99&amp;".07",IF($AB$93="08",$Z$99&amp;".08",IF($AB$93="10",$Z$99&amp;".10",$Z$99&amp;".11"))))))</f>
        <v>2021.10</v>
      </c>
    </row>
    <row r="100" spans="1:40" ht="23.25" x14ac:dyDescent="0.35">
      <c r="A100" s="52"/>
      <c r="B100" s="52"/>
      <c r="C100" s="119"/>
      <c r="D100" s="59"/>
      <c r="E100" s="105"/>
      <c r="F100" s="105"/>
      <c r="G100" s="105"/>
      <c r="H100" s="39"/>
      <c r="I100" s="106"/>
      <c r="J100" s="106"/>
      <c r="K100" s="106"/>
      <c r="L100" s="10"/>
      <c r="M100" s="10"/>
      <c r="N100" s="10"/>
      <c r="O100" s="10"/>
      <c r="P100" s="10"/>
      <c r="Q100" s="52"/>
      <c r="V100" s="52"/>
      <c r="W100" s="52"/>
      <c r="X100" s="52"/>
      <c r="Y100" s="53"/>
      <c r="Z100" s="54"/>
      <c r="AA100" s="52" t="str">
        <f ca="1">MID(AA99,6,2)</f>
        <v>05</v>
      </c>
      <c r="AB100" s="52" t="str">
        <f t="shared" ref="AB100:AF100" ca="1" si="28">MID(AB99,6,2)</f>
        <v>06</v>
      </c>
      <c r="AC100" s="52" t="str">
        <f t="shared" ca="1" si="28"/>
        <v>07</v>
      </c>
      <c r="AD100" s="52" t="str">
        <f t="shared" ca="1" si="28"/>
        <v>08</v>
      </c>
      <c r="AE100" s="52" t="str">
        <f t="shared" ca="1" si="28"/>
        <v>09</v>
      </c>
      <c r="AF100" s="52" t="str">
        <f t="shared" ca="1" si="28"/>
        <v>10</v>
      </c>
      <c r="AG100" s="52"/>
      <c r="AH100" s="52"/>
      <c r="AI100" s="52"/>
      <c r="AJ100" s="52"/>
      <c r="AK100" s="52"/>
      <c r="AL100" s="52"/>
      <c r="AM100" s="52"/>
      <c r="AN100" s="52"/>
    </row>
    <row r="101" spans="1:40" ht="23.25" x14ac:dyDescent="0.35">
      <c r="A101" s="52"/>
      <c r="B101" s="52"/>
      <c r="C101" s="119"/>
      <c r="D101" s="59"/>
      <c r="E101" s="105"/>
      <c r="F101" s="105"/>
      <c r="G101" s="105"/>
      <c r="H101" s="39"/>
      <c r="I101" s="106"/>
      <c r="J101" s="106"/>
      <c r="K101" s="106"/>
      <c r="L101" s="10"/>
      <c r="M101" s="10"/>
      <c r="N101" s="10"/>
      <c r="O101" s="10"/>
      <c r="P101" s="10"/>
      <c r="Q101" s="52"/>
      <c r="V101" s="52"/>
      <c r="W101" s="52"/>
      <c r="X101" s="52"/>
      <c r="Y101" s="53"/>
      <c r="Z101" s="54"/>
      <c r="AA101" s="52" t="str">
        <f t="shared" ref="AA101:AF101" ca="1" si="29">IF(AA100&gt;$AB$93,"yes","no")</f>
        <v>no</v>
      </c>
      <c r="AB101" s="52" t="str">
        <f t="shared" ca="1" si="29"/>
        <v>no</v>
      </c>
      <c r="AC101" s="52" t="str">
        <f t="shared" ca="1" si="29"/>
        <v>no</v>
      </c>
      <c r="AD101" s="52" t="str">
        <f t="shared" ca="1" si="29"/>
        <v>no</v>
      </c>
      <c r="AE101" s="52" t="str">
        <f t="shared" ca="1" si="29"/>
        <v>no</v>
      </c>
      <c r="AF101" s="52" t="str">
        <f t="shared" ca="1" si="29"/>
        <v>no</v>
      </c>
      <c r="AG101" s="52"/>
      <c r="AH101" s="52"/>
      <c r="AI101" s="52"/>
      <c r="AJ101" s="52"/>
      <c r="AK101" s="52"/>
      <c r="AL101" s="52"/>
      <c r="AM101" s="52"/>
      <c r="AN101" s="52"/>
    </row>
    <row r="102" spans="1:40" ht="23.25" x14ac:dyDescent="0.35">
      <c r="A102" s="52"/>
      <c r="B102" s="52"/>
      <c r="C102" s="120"/>
      <c r="D102" s="59"/>
      <c r="E102" s="135"/>
      <c r="F102" s="135"/>
      <c r="G102" s="135"/>
      <c r="H102" s="39"/>
      <c r="I102" s="106"/>
      <c r="J102" s="106"/>
      <c r="K102" s="106"/>
      <c r="L102" s="10"/>
      <c r="M102" s="10"/>
      <c r="N102" s="10"/>
      <c r="O102" s="10"/>
      <c r="P102" s="10"/>
      <c r="Q102" s="52"/>
      <c r="V102" s="52"/>
      <c r="W102" s="52"/>
      <c r="X102" s="85"/>
      <c r="AA102" s="56" t="str">
        <f ca="1">IF($AD$97="No",AA$99,AA$99&amp;"_YTD")</f>
        <v>2021.05_YTD</v>
      </c>
      <c r="AB102" s="56" t="str">
        <f t="shared" ref="AB102:AF102" ca="1" si="30">IF($AD$97="No",AB$99,AB$99&amp;"_YTD")</f>
        <v>2021.06_YTD</v>
      </c>
      <c r="AC102" s="56" t="str">
        <f t="shared" ca="1" si="30"/>
        <v>2021.07_YTD</v>
      </c>
      <c r="AD102" s="56" t="str">
        <f t="shared" ca="1" si="30"/>
        <v>2021.08_YTD</v>
      </c>
      <c r="AE102" s="56" t="str">
        <f t="shared" ca="1" si="30"/>
        <v>2021.09_YTD</v>
      </c>
      <c r="AF102" s="56" t="str">
        <f t="shared" ca="1" si="30"/>
        <v>2021.10_YTD</v>
      </c>
      <c r="AG102" s="4"/>
      <c r="AH102" s="4"/>
      <c r="AI102" s="4"/>
      <c r="AJ102" s="4"/>
      <c r="AK102" s="4"/>
      <c r="AL102" s="1"/>
      <c r="AM102" s="52"/>
      <c r="AN102" s="52"/>
    </row>
    <row r="103" spans="1:40" ht="23.25" x14ac:dyDescent="0.35">
      <c r="A103" s="52"/>
      <c r="B103" s="52"/>
      <c r="C103" s="120"/>
      <c r="D103" s="59"/>
      <c r="E103" s="135"/>
      <c r="F103" s="135"/>
      <c r="G103" s="135"/>
      <c r="H103" s="39"/>
      <c r="I103" s="106"/>
      <c r="J103" s="106"/>
      <c r="K103" s="106"/>
      <c r="L103" s="10"/>
      <c r="M103" s="10"/>
      <c r="N103" s="10"/>
      <c r="O103" s="10"/>
      <c r="P103" s="10"/>
      <c r="Q103" s="52"/>
      <c r="V103" s="52"/>
      <c r="W103" s="52"/>
      <c r="X103" s="85"/>
      <c r="Y103" s="52"/>
      <c r="Z103" s="52"/>
      <c r="AA103" s="56" t="str">
        <f ca="1">IF($AD$97="No",AA$98,AA$98&amp;"_YTD")</f>
        <v>2020.05_YTD</v>
      </c>
      <c r="AB103" s="56" t="str">
        <f t="shared" ref="AB103:AF103" ca="1" si="31">IF($AD$97="No",AB$98,AB$98&amp;"_YTD")</f>
        <v>2020.06_YTD</v>
      </c>
      <c r="AC103" s="56" t="str">
        <f t="shared" ca="1" si="31"/>
        <v>2020.07_YTD</v>
      </c>
      <c r="AD103" s="56" t="str">
        <f t="shared" ca="1" si="31"/>
        <v>2020.08_YTD</v>
      </c>
      <c r="AE103" s="56" t="str">
        <f t="shared" ca="1" si="31"/>
        <v>2020.09_YTD</v>
      </c>
      <c r="AF103" s="56" t="str">
        <f t="shared" ca="1" si="31"/>
        <v>2020.10_YTD</v>
      </c>
      <c r="AG103" s="4"/>
      <c r="AH103" s="4"/>
      <c r="AI103" s="4"/>
      <c r="AJ103" s="4"/>
      <c r="AK103" s="4"/>
      <c r="AL103" s="1"/>
      <c r="AM103" s="52"/>
      <c r="AN103" s="52"/>
    </row>
    <row r="104" spans="1:40" ht="15.75" x14ac:dyDescent="0.25">
      <c r="A104" s="52"/>
      <c r="B104" s="52"/>
      <c r="C104" s="120"/>
      <c r="D104" s="56"/>
      <c r="E104" s="124"/>
      <c r="F104" s="124"/>
      <c r="G104" s="62"/>
      <c r="H104" s="62"/>
      <c r="I104" s="62"/>
      <c r="J104" s="62"/>
      <c r="K104" s="125"/>
      <c r="L104" s="126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52"/>
      <c r="Y104" s="132" t="str">
        <f ca="1">IF($AD$97="No",_xll.DBRA(Server&amp;$C$25,$Z104,$F$16),_xll.DBRA(Server&amp;$C$25,$Z104,$F$16)&amp; " ("&amp;_xll.DBRA(Server&amp;$AC$12,$AC$41,$AC$11)&amp;")")</f>
        <v>Coûts externes (Cumulé)</v>
      </c>
      <c r="Z104" s="131" t="s">
        <v>84</v>
      </c>
      <c r="AA104" s="136" t="str">
        <f ca="1">VLOOKUP(AA100,$AB$42:$AC$53,2,FALSE)</f>
        <v>May</v>
      </c>
      <c r="AB104" s="136" t="str">
        <f t="shared" ref="AB104:AF104" ca="1" si="32">VLOOKUP(AB100,$AB$42:$AC$53,2,FALSE)</f>
        <v>Jun</v>
      </c>
      <c r="AC104" s="136" t="str">
        <f t="shared" ca="1" si="32"/>
        <v>Jul</v>
      </c>
      <c r="AD104" s="136" t="str">
        <f t="shared" ca="1" si="32"/>
        <v>Aug</v>
      </c>
      <c r="AE104" s="136" t="str">
        <f t="shared" ca="1" si="32"/>
        <v>Sep</v>
      </c>
      <c r="AF104" s="136" t="str">
        <f t="shared" ca="1" si="32"/>
        <v>Oct</v>
      </c>
      <c r="AG104" s="52"/>
      <c r="AH104" s="52"/>
      <c r="AI104" s="52"/>
      <c r="AJ104" s="52"/>
      <c r="AK104" s="52"/>
      <c r="AL104" s="52"/>
      <c r="AM104" s="52"/>
    </row>
    <row r="105" spans="1:40" ht="15.75" x14ac:dyDescent="0.25">
      <c r="A105" s="52"/>
      <c r="B105" s="52"/>
      <c r="C105" s="120"/>
      <c r="D105" s="56"/>
      <c r="E105" s="62"/>
      <c r="F105" s="62"/>
      <c r="G105" s="62"/>
      <c r="H105" s="62"/>
      <c r="I105" s="62"/>
      <c r="J105" s="62"/>
      <c r="K105" s="125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52"/>
      <c r="X105" s="52"/>
      <c r="Y105" s="53" t="str">
        <f ca="1">_xll.DBRA(Server&amp;$G$1,$Z$105,$AC$11)</f>
        <v>Réalisé</v>
      </c>
      <c r="Z105" s="2" t="str">
        <f>$K$1</f>
        <v>ACT_TOT</v>
      </c>
      <c r="AA105" s="142">
        <f ca="1">IF(AA$101="yes",0,_xll.DBRW(Server&amp;Cube1,$F$21,$F$14,$F$15,$F$20,$C$18,$F$17,$F$19,$C$19,AA$102,$Z105,$Z$104))</f>
        <v>-9017.0664400000005</v>
      </c>
      <c r="AB105" s="142">
        <f ca="1">IF(AB$101="yes",0,_xll.DBRW(Server&amp;Cube1,$F$21,$F$14,$F$15,$F$20,$C$18,$F$17,$F$19,$C$19,AB$102,$Z105,$Z$104))</f>
        <v>-10669.452919999996</v>
      </c>
      <c r="AC105" s="142">
        <f ca="1">IF(AC$101="yes",0,_xll.DBRW(Server&amp;Cube1,$F$21,$F$14,$F$15,$F$20,$C$18,$F$17,$F$19,$C$19,AC$102,$Z105,$Z$104))</f>
        <v>-11732.606319999999</v>
      </c>
      <c r="AD105" s="142">
        <f ca="1">IF(AD$101="yes",0,_xll.DBRW(Server&amp;Cube1,$F$21,$F$14,$F$15,$F$20,$C$18,$F$17,$F$19,$C$19,AD$102,$Z105,$Z$104))</f>
        <v>-14080.171300000002</v>
      </c>
      <c r="AE105" s="142">
        <f ca="1">IF(AE$101="yes",0,_xll.DBRW(Server&amp;Cube1,$F$21,$F$14,$F$15,$F$20,$C$18,$F$17,$F$19,$C$19,AE$102,$Z105,$Z$104))</f>
        <v>-16937.43044</v>
      </c>
      <c r="AF105" s="142">
        <f ca="1">IF(AF$101="yes",0,_xll.DBRW(Server&amp;Cube1,$F$21,$F$14,$F$15,$F$20,$C$18,$F$17,$F$19,$C$19,AF$102,$Z105,$Z$104))</f>
        <v>-18015.803869999992</v>
      </c>
      <c r="AG105" s="4"/>
      <c r="AH105" s="4"/>
      <c r="AI105" s="4"/>
      <c r="AJ105" s="4"/>
      <c r="AK105" s="4"/>
      <c r="AL105" s="1"/>
      <c r="AM105" s="52"/>
      <c r="AN105" s="52"/>
    </row>
    <row r="106" spans="1:40" ht="15.75" x14ac:dyDescent="0.25">
      <c r="A106" s="52"/>
      <c r="B106" s="52"/>
      <c r="C106" s="120"/>
      <c r="D106" s="56"/>
      <c r="E106" s="63"/>
      <c r="F106" s="63"/>
      <c r="G106" s="63"/>
      <c r="H106" s="63"/>
      <c r="I106" s="63"/>
      <c r="J106" s="63"/>
      <c r="K106" s="127"/>
      <c r="L106" s="128"/>
      <c r="M106" s="128"/>
      <c r="N106" s="128"/>
      <c r="O106" s="128"/>
      <c r="P106" s="128"/>
      <c r="Q106" s="128"/>
      <c r="R106" s="128"/>
      <c r="S106" s="128"/>
      <c r="T106" s="128"/>
      <c r="U106" s="128"/>
      <c r="V106" s="128"/>
      <c r="W106" s="52"/>
      <c r="X106" s="52"/>
      <c r="Y106" s="53" t="str">
        <f ca="1">_xll.DBRA(Server&amp;$G$1,$Z$106,$AC$11)</f>
        <v>Réalisé</v>
      </c>
      <c r="Z106" s="2" t="str">
        <f>$I$1</f>
        <v>ACT_TOT</v>
      </c>
      <c r="AA106" s="142">
        <f ca="1">_xll.DBRW(Server&amp;Cube1,$F$21,$F$14,$F$15,$F$20,$C$18,$F$17,$F$19,$C$19,AA$103,$Z106,$Z$104)</f>
        <v>-11758.936460000003</v>
      </c>
      <c r="AB106" s="142">
        <f ca="1">_xll.DBRW(Server&amp;Cube1,$F$21,$F$14,$F$15,$F$20,$C$18,$F$17,$F$19,$C$19,AB$103,$Z106,$Z$104)</f>
        <v>-14354.875210000007</v>
      </c>
      <c r="AC106" s="142">
        <f ca="1">_xll.DBRW(Server&amp;Cube1,$F$21,$F$14,$F$15,$F$20,$C$18,$F$17,$F$19,$C$19,AC$103,$Z106,$Z$104)</f>
        <v>-15512.771980000003</v>
      </c>
      <c r="AD106" s="142">
        <f ca="1">_xll.DBRW(Server&amp;Cube1,$F$21,$F$14,$F$15,$F$20,$C$18,$F$17,$F$19,$C$19,AD$103,$Z106,$Z$104)</f>
        <v>-18051.757279999991</v>
      </c>
      <c r="AE106" s="142">
        <f ca="1">_xll.DBRW(Server&amp;Cube1,$F$21,$F$14,$F$15,$F$20,$C$18,$F$17,$F$19,$C$19,AE$103,$Z106,$Z$104)</f>
        <v>-20525.152409999999</v>
      </c>
      <c r="AF106" s="142">
        <f ca="1">_xll.DBRW(Server&amp;Cube1,$F$21,$F$14,$F$15,$F$20,$C$18,$F$17,$F$19,$C$19,AF$103,$Z106,$Z$104)</f>
        <v>-22623.528409999999</v>
      </c>
      <c r="AG106" s="52"/>
      <c r="AH106" s="52"/>
      <c r="AI106" s="52"/>
      <c r="AJ106" s="52"/>
      <c r="AK106" s="52"/>
      <c r="AL106" s="52"/>
      <c r="AM106" s="52"/>
      <c r="AN106" s="52"/>
    </row>
    <row r="107" spans="1:40" ht="15.75" x14ac:dyDescent="0.25">
      <c r="A107" s="52"/>
      <c r="B107" s="52"/>
      <c r="C107" s="120"/>
      <c r="D107" s="56"/>
      <c r="E107" s="129"/>
      <c r="F107" s="129"/>
      <c r="G107" s="63"/>
      <c r="H107" s="63"/>
      <c r="I107" s="63"/>
      <c r="J107" s="63"/>
      <c r="K107" s="127"/>
      <c r="L107" s="128"/>
      <c r="M107" s="128"/>
      <c r="N107" s="128"/>
      <c r="O107" s="128"/>
      <c r="P107" s="128"/>
      <c r="Q107" s="128"/>
      <c r="R107" s="128"/>
      <c r="S107" s="128"/>
      <c r="T107" s="128"/>
      <c r="U107" s="128"/>
      <c r="V107" s="128"/>
      <c r="W107" s="52"/>
      <c r="Y107" s="53" t="str">
        <f ca="1">_xll.DBRA(Server&amp;$G$1,$Z$107,$AC$11)</f>
        <v>Budget</v>
      </c>
      <c r="Z107" s="2" t="str">
        <f>$J$1</f>
        <v>BUDG_TOT</v>
      </c>
      <c r="AA107" s="142">
        <f ca="1">_xll.DBRW(Server&amp;Cube1,$F$21,$F$14,$F$15,$F$20,$C$18,$F$17,$F$19,$C$19,AA$102,$Z107,$Z$104)</f>
        <v>-13275.005000000001</v>
      </c>
      <c r="AB107" s="142">
        <f ca="1">_xll.DBRW(Server&amp;Cube1,$F$21,$F$14,$F$15,$F$20,$C$18,$F$17,$F$19,$C$19,AB$102,$Z107,$Z$104)</f>
        <v>-15930.79</v>
      </c>
      <c r="AC107" s="142">
        <f ca="1">_xll.DBRW(Server&amp;Cube1,$F$21,$F$14,$F$15,$F$20,$C$18,$F$17,$F$19,$C$19,AC$102,$Z107,$Z$104)</f>
        <v>-18618.532999999999</v>
      </c>
      <c r="AD107" s="142">
        <f ca="1">_xll.DBRW(Server&amp;Cube1,$F$21,$F$14,$F$15,$F$20,$C$18,$F$17,$F$19,$C$19,AD$102,$Z107,$Z$104)</f>
        <v>-21308.161</v>
      </c>
      <c r="AE107" s="142">
        <f ca="1">_xll.DBRW(Server&amp;Cube1,$F$21,$F$14,$F$15,$F$20,$C$18,$F$17,$F$19,$C$19,AE$102,$Z107,$Z$104)</f>
        <v>-23996.323</v>
      </c>
      <c r="AF107" s="142">
        <f ca="1">_xll.DBRW(Server&amp;Cube1,$F$21,$F$14,$F$15,$F$20,$C$18,$F$17,$F$19,$C$19,AF$102,$Z107,$Z$104)</f>
        <v>-26688.968000000001</v>
      </c>
      <c r="AG107" s="4"/>
      <c r="AH107" s="4"/>
      <c r="AI107" s="4"/>
      <c r="AJ107" s="4"/>
      <c r="AK107" s="4"/>
      <c r="AL107" s="1"/>
      <c r="AM107" s="52"/>
    </row>
    <row r="108" spans="1:40" ht="15.75" x14ac:dyDescent="0.25">
      <c r="A108" s="1"/>
      <c r="B108" s="1"/>
      <c r="C108" s="120"/>
      <c r="D108" s="56"/>
      <c r="E108" s="124"/>
      <c r="F108" s="124"/>
      <c r="G108" s="62"/>
      <c r="H108" s="62"/>
      <c r="I108" s="62"/>
      <c r="J108" s="62"/>
      <c r="K108" s="125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52"/>
      <c r="Y108" s="132" t="str">
        <f ca="1">IF($AD$97="No",_xll.DBRA(Server&amp;$C$25,$Z108,$F$16),_xll.DBRA(Server&amp;$C$25,$Z108,$F$16)&amp; " ("&amp;_xll.DBRA(Server&amp;$AC$12,$AC$41,$AC$11)&amp;")")</f>
        <v>Frais de personnel et Assimilés (Cumulé)</v>
      </c>
      <c r="Z108" s="131" t="s">
        <v>102</v>
      </c>
      <c r="AA108" s="143"/>
      <c r="AB108" s="143"/>
      <c r="AC108" s="143"/>
      <c r="AD108" s="143"/>
      <c r="AE108" s="143"/>
      <c r="AF108" s="143"/>
      <c r="AG108" s="52"/>
      <c r="AH108" s="52"/>
      <c r="AI108" s="52"/>
      <c r="AJ108" s="52"/>
      <c r="AK108" s="52"/>
      <c r="AL108" s="52"/>
      <c r="AM108" s="52"/>
    </row>
    <row r="109" spans="1:40" ht="15.75" x14ac:dyDescent="0.25">
      <c r="A109" s="1"/>
      <c r="B109" s="1"/>
      <c r="C109" s="120"/>
      <c r="D109" s="56"/>
      <c r="E109" s="124"/>
      <c r="F109" s="124"/>
      <c r="G109" s="62"/>
      <c r="H109" s="62"/>
      <c r="I109" s="62"/>
      <c r="J109" s="62"/>
      <c r="K109" s="125"/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52"/>
      <c r="X109" s="85"/>
      <c r="Y109" s="53" t="str">
        <f ca="1">_xll.DBRA(Server&amp;$G$1,$Z109,$AC$11)</f>
        <v>Réalisé</v>
      </c>
      <c r="Z109" s="2" t="str">
        <f>$K$1</f>
        <v>ACT_TOT</v>
      </c>
      <c r="AA109" s="142">
        <f ca="1">IF(AA$101="yes",0,_xll.DBRW(Server&amp;Cube1,$F$21,$F$14,$F$15,$F$20,$C$18,$F$17,$F$19,$C$19,AA$102,$Z109,$Z$108))</f>
        <v>-18445.753199999999</v>
      </c>
      <c r="AB109" s="142">
        <f ca="1">IF(AB$101="yes",0,_xll.DBRW(Server&amp;Cube1,$F$21,$F$14,$F$15,$F$20,$C$18,$F$17,$F$19,$C$19,AB$102,$Z109,$Z$108))</f>
        <v>-23235.077129999991</v>
      </c>
      <c r="AC109" s="142">
        <f ca="1">IF(AC$101="yes",0,_xll.DBRW(Server&amp;Cube1,$F$21,$F$14,$F$15,$F$20,$C$18,$F$17,$F$19,$C$19,AC$102,$Z109,$Z$108))</f>
        <v>-26693.521030000007</v>
      </c>
      <c r="AD109" s="142">
        <f ca="1">IF(AD$101="yes",0,_xll.DBRW(Server&amp;Cube1,$F$21,$F$14,$F$15,$F$20,$C$18,$F$17,$F$19,$C$19,AD$102,$Z109,$Z$108))</f>
        <v>-29818.794229999992</v>
      </c>
      <c r="AE109" s="142">
        <f ca="1">IF(AE$101="yes",0,_xll.DBRW(Server&amp;Cube1,$F$21,$F$14,$F$15,$F$20,$C$18,$F$17,$F$19,$C$19,AE$102,$Z109,$Z$108))</f>
        <v>-33507.103599999995</v>
      </c>
      <c r="AF109" s="142">
        <f ca="1">IF(AF$101="yes",0,_xll.DBRW(Server&amp;Cube1,$F$21,$F$14,$F$15,$F$20,$C$18,$F$17,$F$19,$C$19,AF$102,$Z109,$Z$108))</f>
        <v>-37074.211239999997</v>
      </c>
      <c r="AG109" s="4"/>
      <c r="AH109" s="4"/>
      <c r="AI109" s="4"/>
      <c r="AJ109" s="4"/>
      <c r="AK109" s="4"/>
      <c r="AL109" s="1"/>
      <c r="AM109" s="52"/>
      <c r="AN109" s="52"/>
    </row>
    <row r="110" spans="1:40" ht="15.75" x14ac:dyDescent="0.25">
      <c r="A110" s="1"/>
      <c r="B110" s="1"/>
      <c r="C110" s="120"/>
      <c r="D110" s="56"/>
      <c r="E110" s="124"/>
      <c r="F110" s="124"/>
      <c r="G110" s="62"/>
      <c r="H110" s="62"/>
      <c r="I110" s="62"/>
      <c r="J110" s="62"/>
      <c r="K110" s="125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52"/>
      <c r="X110" s="85"/>
      <c r="Y110" s="53" t="str">
        <f ca="1">_xll.DBRA(Server&amp;$G$1,$Z110,$AC$11)</f>
        <v>Réalisé</v>
      </c>
      <c r="Z110" s="2" t="str">
        <f>$I$1</f>
        <v>ACT_TOT</v>
      </c>
      <c r="AA110" s="142">
        <f ca="1">_xll.DBRW(Server&amp;Cube1,$F$21,$F$14,$F$15,$F$20,$C$18,$F$17,$F$19,$C$19,AA$103,$Z110,$Z$108)</f>
        <v>-21002.963820000001</v>
      </c>
      <c r="AB110" s="142">
        <f ca="1">_xll.DBRW(Server&amp;Cube1,$F$21,$F$14,$F$15,$F$20,$C$18,$F$17,$F$19,$C$19,AB$103,$Z110,$Z$108)</f>
        <v>-25967.960660000004</v>
      </c>
      <c r="AC110" s="142">
        <f ca="1">_xll.DBRW(Server&amp;Cube1,$F$21,$F$14,$F$15,$F$20,$C$18,$F$17,$F$19,$C$19,AC$103,$Z110,$Z$108)</f>
        <v>-29807.837899999995</v>
      </c>
      <c r="AD110" s="142">
        <f ca="1">_xll.DBRW(Server&amp;Cube1,$F$21,$F$14,$F$15,$F$20,$C$18,$F$17,$F$19,$C$19,AD$103,$Z110,$Z$108)</f>
        <v>-32503.013159999995</v>
      </c>
      <c r="AE110" s="142">
        <f ca="1">_xll.DBRW(Server&amp;Cube1,$F$21,$F$14,$F$15,$F$20,$C$18,$F$17,$F$19,$C$19,AE$103,$Z110,$Z$108)</f>
        <v>-36538.760900000001</v>
      </c>
      <c r="AF110" s="142">
        <f ca="1">_xll.DBRW(Server&amp;Cube1,$F$21,$F$14,$F$15,$F$20,$C$18,$F$17,$F$19,$C$19,AF$103,$Z110,$Z$108)</f>
        <v>-40719.24068000001</v>
      </c>
      <c r="AG110" s="52"/>
      <c r="AH110" s="52"/>
      <c r="AI110" s="52"/>
      <c r="AJ110" s="52"/>
      <c r="AK110" s="52"/>
      <c r="AL110" s="52"/>
      <c r="AM110" s="52"/>
    </row>
    <row r="111" spans="1:40" ht="15.75" x14ac:dyDescent="0.25">
      <c r="A111" s="1"/>
      <c r="B111" s="1"/>
      <c r="C111" s="120"/>
      <c r="D111" s="56"/>
      <c r="E111" s="124"/>
      <c r="F111" s="124"/>
      <c r="G111" s="62"/>
      <c r="H111" s="62"/>
      <c r="I111" s="62"/>
      <c r="J111" s="62"/>
      <c r="K111" s="125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52"/>
      <c r="Y111" s="53" t="str">
        <f ca="1">_xll.DBRA(Server&amp;$G$1,$Z111,$AC$11)</f>
        <v>Budget</v>
      </c>
      <c r="Z111" s="2" t="str">
        <f>$J$1</f>
        <v>BUDG_TOT</v>
      </c>
      <c r="AA111" s="142">
        <f ca="1">_xll.DBRW(Server&amp;Cube1,$F$21,$F$14,$F$15,$F$20,$C$18,$F$17,$F$19,$C$19,AA$102,$Z111,$Z$108)</f>
        <v>-21200.527954752975</v>
      </c>
      <c r="AB111" s="142">
        <f ca="1">_xll.DBRW(Server&amp;Cube1,$F$21,$F$14,$F$15,$F$20,$C$18,$F$17,$F$19,$C$19,AB$102,$Z111,$Z$108)</f>
        <v>-25398.330209766864</v>
      </c>
      <c r="AC111" s="142">
        <f ca="1">_xll.DBRW(Server&amp;Cube1,$F$21,$F$14,$F$15,$F$20,$C$18,$F$17,$F$19,$C$19,AC$102,$Z111,$Z$108)</f>
        <v>-29569.629401103371</v>
      </c>
      <c r="AD111" s="142">
        <f ca="1">_xll.DBRW(Server&amp;Cube1,$F$21,$F$14,$F$15,$F$20,$C$18,$F$17,$F$19,$C$19,AD$102,$Z111,$Z$108)</f>
        <v>-33722.437016517375</v>
      </c>
      <c r="AE111" s="142">
        <f ca="1">_xll.DBRW(Server&amp;Cube1,$F$21,$F$14,$F$15,$F$20,$C$18,$F$17,$F$19,$C$19,AE$102,$Z111,$Z$108)</f>
        <v>-37849.244324561507</v>
      </c>
      <c r="AF111" s="142">
        <f ca="1">_xll.DBRW(Server&amp;Cube1,$F$21,$F$14,$F$15,$F$20,$C$18,$F$17,$F$19,$C$19,AF$102,$Z111,$Z$108)</f>
        <v>-41958.050322097683</v>
      </c>
      <c r="AG111" s="4"/>
      <c r="AH111" s="4"/>
      <c r="AI111" s="4"/>
      <c r="AJ111" s="4"/>
      <c r="AK111" s="4"/>
      <c r="AL111" s="1"/>
      <c r="AM111" s="52"/>
    </row>
    <row r="112" spans="1:40" ht="15.75" x14ac:dyDescent="0.25">
      <c r="A112" s="1"/>
      <c r="B112" s="1"/>
      <c r="C112" s="120"/>
      <c r="D112" s="56"/>
      <c r="E112" s="124"/>
      <c r="F112" s="124"/>
      <c r="G112" s="62"/>
      <c r="H112" s="62"/>
      <c r="I112" s="62"/>
      <c r="J112" s="62"/>
      <c r="K112" s="125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52"/>
      <c r="Y112" s="132" t="str">
        <f ca="1">IF($AD$97="No",_xll.DBRA(Server&amp;$C$25,$Z112,$F$16),_xll.DBRA(Server&amp;$C$25,$Z112,$F$16)&amp; " ("&amp;_xll.DBRA(Server&amp;$AC$12,$AC$41,$AC$11)&amp;")")</f>
        <v>Frais de déplacement (Cumulé)</v>
      </c>
      <c r="Z112" s="131" t="s">
        <v>106</v>
      </c>
      <c r="AA112" s="144"/>
      <c r="AB112" s="144"/>
      <c r="AC112" s="144"/>
      <c r="AD112" s="144"/>
      <c r="AE112" s="144"/>
      <c r="AF112" s="144"/>
      <c r="AG112" s="52"/>
      <c r="AH112" s="52"/>
      <c r="AI112" s="52"/>
      <c r="AJ112" s="52"/>
      <c r="AK112" s="52"/>
      <c r="AL112" s="52"/>
      <c r="AM112" s="52"/>
    </row>
    <row r="113" spans="1:40" ht="15.75" x14ac:dyDescent="0.25">
      <c r="A113" s="52"/>
      <c r="B113" s="52"/>
      <c r="C113" s="120"/>
      <c r="D113" s="56"/>
      <c r="E113" s="124"/>
      <c r="F113" s="124"/>
      <c r="G113" s="62"/>
      <c r="H113" s="62"/>
      <c r="I113" s="62"/>
      <c r="J113" s="62"/>
      <c r="K113" s="125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52"/>
      <c r="Y113" s="53" t="str">
        <f ca="1">_xll.DBRA(Server&amp;$G$1,$Z109,$AC$11)</f>
        <v>Réalisé</v>
      </c>
      <c r="Z113" s="2" t="str">
        <f>$K$1</f>
        <v>ACT_TOT</v>
      </c>
      <c r="AA113" s="142">
        <f ca="1">IF(AA$101="yes",0,_xll.DBRW(Server&amp;Cube1,$F$21,$F$14,$F$15,$F$20,$C$18,$F$17,$F$19,$C$19,AA$102,$Z113,$Z$112))</f>
        <v>-260.48355000000009</v>
      </c>
      <c r="AB113" s="142">
        <f ca="1">IF(AB$101="yes",0,_xll.DBRW(Server&amp;Cube1,$F$21,$F$14,$F$15,$F$20,$C$18,$F$17,$F$19,$C$19,AB$102,$Z113,$Z$112))</f>
        <v>-313.75446000000011</v>
      </c>
      <c r="AC113" s="142">
        <f ca="1">IF(AC$101="yes",0,_xll.DBRW(Server&amp;Cube1,$F$21,$F$14,$F$15,$F$20,$C$18,$F$17,$F$19,$C$19,AC$102,$Z113,$Z$112))</f>
        <v>-325.2338400000001</v>
      </c>
      <c r="AD113" s="142">
        <f ca="1">IF(AD$101="yes",0,_xll.DBRW(Server&amp;Cube1,$F$21,$F$14,$F$15,$F$20,$C$18,$F$17,$F$19,$C$19,AD$102,$Z113,$Z$112))</f>
        <v>-418.34423000000004</v>
      </c>
      <c r="AE113" s="142">
        <f ca="1">IF(AE$101="yes",0,_xll.DBRW(Server&amp;Cube1,$F$21,$F$14,$F$15,$F$20,$C$18,$F$17,$F$19,$C$19,AE$102,$Z113,$Z$112))</f>
        <v>-427.03271999999998</v>
      </c>
      <c r="AF113" s="142">
        <f ca="1">IF(AF$101="yes",0,_xll.DBRW(Server&amp;Cube1,$F$21,$F$14,$F$15,$F$20,$C$18,$F$17,$F$19,$C$19,AF$102,$Z113,$Z$112))</f>
        <v>-491.66241999999994</v>
      </c>
      <c r="AG113" s="4"/>
      <c r="AH113" s="4"/>
      <c r="AI113" s="4"/>
      <c r="AJ113" s="4"/>
      <c r="AK113" s="4"/>
      <c r="AL113" s="1"/>
      <c r="AM113" s="52"/>
    </row>
    <row r="114" spans="1:40" ht="15.75" x14ac:dyDescent="0.25">
      <c r="A114" s="52"/>
      <c r="B114" s="52"/>
      <c r="C114" s="120"/>
      <c r="D114" s="56"/>
      <c r="E114" s="124"/>
      <c r="F114" s="124"/>
      <c r="G114" s="62"/>
      <c r="H114" s="62"/>
      <c r="I114" s="62"/>
      <c r="J114" s="62"/>
      <c r="K114" s="125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52"/>
      <c r="Y114" s="53" t="str">
        <f ca="1">_xll.DBRA(Server&amp;$G$1,$Z110,$AC$11)</f>
        <v>Réalisé</v>
      </c>
      <c r="Z114" s="2" t="str">
        <f>$I$1</f>
        <v>ACT_TOT</v>
      </c>
      <c r="AA114" s="142">
        <f ca="1">_xll.DBRW(Server&amp;Cube1,$F$21,$F$14,$F$15,$F$20,$C$18,$F$17,$F$19,$C$19,AA$103,$Z114,$Z$112)</f>
        <v>-499.48433999999997</v>
      </c>
      <c r="AB114" s="142">
        <f ca="1">_xll.DBRW(Server&amp;Cube1,$F$21,$F$14,$F$15,$F$20,$C$18,$F$17,$F$19,$C$19,AB$103,$Z114,$Z$112)</f>
        <v>-543.31457000000012</v>
      </c>
      <c r="AC114" s="142">
        <f ca="1">_xll.DBRW(Server&amp;Cube1,$F$21,$F$14,$F$15,$F$20,$C$18,$F$17,$F$19,$C$19,AC$103,$Z114,$Z$112)</f>
        <v>-573.33752000000015</v>
      </c>
      <c r="AD114" s="142">
        <f ca="1">_xll.DBRW(Server&amp;Cube1,$F$21,$F$14,$F$15,$F$20,$C$18,$F$17,$F$19,$C$19,AD$103,$Z114,$Z$112)</f>
        <v>-612.53606000000013</v>
      </c>
      <c r="AE114" s="142">
        <f ca="1">_xll.DBRW(Server&amp;Cube1,$F$21,$F$14,$F$15,$F$20,$C$18,$F$17,$F$19,$C$19,AE$103,$Z114,$Z$112)</f>
        <v>-691.84564000000023</v>
      </c>
      <c r="AF114" s="142">
        <f ca="1">_xll.DBRW(Server&amp;Cube1,$F$21,$F$14,$F$15,$F$20,$C$18,$F$17,$F$19,$C$19,AF$103,$Z114,$Z$112)</f>
        <v>-726.23416000000054</v>
      </c>
      <c r="AG114" s="52"/>
      <c r="AH114" s="52"/>
      <c r="AI114" s="52"/>
      <c r="AJ114" s="52"/>
      <c r="AK114" s="52"/>
      <c r="AL114" s="52"/>
      <c r="AM114" s="52"/>
    </row>
    <row r="115" spans="1:40" ht="15.75" x14ac:dyDescent="0.25">
      <c r="A115" s="52"/>
      <c r="B115" s="52"/>
      <c r="C115" s="120"/>
      <c r="D115" s="56"/>
      <c r="E115" s="124"/>
      <c r="F115" s="124"/>
      <c r="G115" s="62"/>
      <c r="H115" s="62"/>
      <c r="I115" s="62"/>
      <c r="J115" s="62"/>
      <c r="K115" s="125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52"/>
      <c r="Y115" s="53" t="str">
        <f ca="1">_xll.DBRA(Server&amp;$G$1,$Z111,$AC$11)</f>
        <v>Budget</v>
      </c>
      <c r="Z115" s="2" t="str">
        <f>$J$1</f>
        <v>BUDG_TOT</v>
      </c>
      <c r="AA115" s="142">
        <f ca="1">_xll.DBRW(Server&amp;Cube1,$F$21,$F$14,$F$15,$F$20,$C$18,$F$17,$F$19,$C$19,AA$102,$Z115,$Z$112)</f>
        <v>-734.97500000000002</v>
      </c>
      <c r="AB115" s="142">
        <f ca="1">_xll.DBRW(Server&amp;Cube1,$F$21,$F$14,$F$15,$F$20,$C$18,$F$17,$F$19,$C$19,AB$102,$Z115,$Z$112)</f>
        <v>-881.97</v>
      </c>
      <c r="AC115" s="142">
        <f ca="1">_xll.DBRW(Server&amp;Cube1,$F$21,$F$14,$F$15,$F$20,$C$18,$F$17,$F$19,$C$19,AC$102,$Z115,$Z$112)</f>
        <v>-1028.9649999999999</v>
      </c>
      <c r="AD115" s="142">
        <f ca="1">_xll.DBRW(Server&amp;Cube1,$F$21,$F$14,$F$15,$F$20,$C$18,$F$17,$F$19,$C$19,AD$102,$Z115,$Z$112)</f>
        <v>-1175.96</v>
      </c>
      <c r="AE115" s="142">
        <f ca="1">_xll.DBRW(Server&amp;Cube1,$F$21,$F$14,$F$15,$F$20,$C$18,$F$17,$F$19,$C$19,AE$102,$Z115,$Z$112)</f>
        <v>-1322.9549999999999</v>
      </c>
      <c r="AF115" s="142">
        <f ca="1">_xll.DBRW(Server&amp;Cube1,$F$21,$F$14,$F$15,$F$20,$C$18,$F$17,$F$19,$C$19,AF$102,$Z115,$Z$112)</f>
        <v>-1469.95</v>
      </c>
      <c r="AG115" s="4"/>
      <c r="AH115" s="4"/>
      <c r="AI115" s="4"/>
      <c r="AJ115" s="4"/>
      <c r="AK115" s="4"/>
      <c r="AL115" s="1"/>
      <c r="AM115" s="52"/>
    </row>
    <row r="116" spans="1:40" ht="15.75" x14ac:dyDescent="0.25">
      <c r="A116" s="52"/>
      <c r="B116" s="52"/>
      <c r="C116" s="120"/>
      <c r="D116" s="56"/>
      <c r="E116" s="124"/>
      <c r="F116" s="124"/>
      <c r="G116" s="62"/>
      <c r="H116" s="62"/>
      <c r="I116" s="62"/>
      <c r="J116" s="62"/>
      <c r="K116" s="125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52"/>
      <c r="Y116" s="211" t="str">
        <f ca="1">IF($AD$97="No",_xll.DBRA(Server&amp;$C$25,$Z116,$F$16),_xll.DBRA(Server&amp;$C$25,$Z116,$F$16)&amp; " ("&amp;_xll.DBRA(Server&amp;$AC$12,$AC$41,$AC$11)&amp;")")</f>
        <v>RESULTAT OPERATIONNEL APRES MF (Cumulé)</v>
      </c>
      <c r="Z116" s="131" t="s">
        <v>133</v>
      </c>
      <c r="AA116" s="143"/>
      <c r="AB116" s="143"/>
      <c r="AC116" s="143"/>
      <c r="AD116" s="143"/>
      <c r="AE116" s="143"/>
      <c r="AF116" s="143"/>
      <c r="AG116" s="52"/>
      <c r="AH116" s="52"/>
      <c r="AI116" s="52"/>
      <c r="AJ116" s="52"/>
      <c r="AK116" s="52"/>
      <c r="AL116" s="52"/>
      <c r="AM116" s="52"/>
    </row>
    <row r="117" spans="1:40" ht="15.75" x14ac:dyDescent="0.25">
      <c r="A117" s="52"/>
      <c r="B117" s="52"/>
      <c r="C117" s="120"/>
      <c r="D117" s="56"/>
      <c r="E117" s="124"/>
      <c r="F117" s="124"/>
      <c r="G117" s="62"/>
      <c r="H117" s="62"/>
      <c r="I117" s="62"/>
      <c r="J117" s="62"/>
      <c r="K117" s="125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52"/>
      <c r="Y117" s="53" t="str">
        <f ca="1">_xll.DBRA(Server&amp;$G$1,$Z113,$AC$11)</f>
        <v>Réalisé</v>
      </c>
      <c r="Z117" s="2" t="str">
        <f>$K$1</f>
        <v>ACT_TOT</v>
      </c>
      <c r="AA117" s="142">
        <f ca="1">IF(AA$101="yes",0,_xll.DBRW(Server&amp;Cube1,$F$21,$F$14,$F$15,$F$20,$C$18,$F$17,$F$19,$C$19,AA$102,$Z117,$Z$116))</f>
        <v>502.72866999999161</v>
      </c>
      <c r="AB117" s="142">
        <f ca="1">IF(AB$101="yes",0,_xll.DBRW(Server&amp;Cube1,$F$21,$F$14,$F$15,$F$20,$C$18,$F$17,$F$19,$C$19,AB$102,$Z117,$Z$116))</f>
        <v>368.9695000000026</v>
      </c>
      <c r="AC117" s="142">
        <f ca="1">IF(AC$101="yes",0,_xll.DBRW(Server&amp;Cube1,$F$21,$F$14,$F$15,$F$20,$C$18,$F$17,$F$19,$C$19,AC$102,$Z117,$Z$116))</f>
        <v>-2626.8879199999956</v>
      </c>
      <c r="AD117" s="142">
        <f ca="1">IF(AD$101="yes",0,_xll.DBRW(Server&amp;Cube1,$F$21,$F$14,$F$15,$F$20,$C$18,$F$17,$F$19,$C$19,AD$102,$Z117,$Z$116))</f>
        <v>1967.3961600000112</v>
      </c>
      <c r="AE117" s="142">
        <f ca="1">IF(AE$101="yes",0,_xll.DBRW(Server&amp;Cube1,$F$21,$F$14,$F$15,$F$20,$C$18,$F$17,$F$19,$C$19,AE$102,$Z117,$Z$116))</f>
        <v>1404.7253700000022</v>
      </c>
      <c r="AF117" s="142">
        <f ca="1">IF(AF$101="yes",0,_xll.DBRW(Server&amp;Cube1,$F$21,$F$14,$F$15,$F$20,$C$18,$F$17,$F$19,$C$19,AF$102,$Z117,$Z$116))</f>
        <v>3558.7159999999976</v>
      </c>
      <c r="AG117" s="4"/>
      <c r="AH117" s="4"/>
      <c r="AI117" s="4"/>
      <c r="AJ117" s="4"/>
      <c r="AK117" s="4"/>
      <c r="AL117" s="1"/>
      <c r="AM117" s="52"/>
    </row>
    <row r="118" spans="1:40" ht="15.75" x14ac:dyDescent="0.25">
      <c r="A118" s="52"/>
      <c r="B118" s="52"/>
      <c r="C118" s="120"/>
      <c r="D118" s="56"/>
      <c r="E118" s="124"/>
      <c r="F118" s="124"/>
      <c r="G118" s="62"/>
      <c r="H118" s="62"/>
      <c r="I118" s="62"/>
      <c r="J118" s="62"/>
      <c r="K118" s="125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52"/>
      <c r="Y118" s="53" t="str">
        <f ca="1">_xll.DBRA(Server&amp;$G$1,$Z114,$AC$11)</f>
        <v>Réalisé</v>
      </c>
      <c r="Z118" s="2" t="str">
        <f>$I$1</f>
        <v>ACT_TOT</v>
      </c>
      <c r="AA118" s="142">
        <f ca="1">_xll.DBRW(Server&amp;Cube1,$F$21,$F$14,$F$15,$F$20,$C$18,$F$17,$F$19,$C$19,AA$103,$Z118,$Z$116)</f>
        <v>-3225.2735700000035</v>
      </c>
      <c r="AB118" s="142">
        <f ca="1">_xll.DBRW(Server&amp;Cube1,$F$21,$F$14,$F$15,$F$20,$C$18,$F$17,$F$19,$C$19,AB$103,$Z118,$Z$116)</f>
        <v>-4410.7250199999944</v>
      </c>
      <c r="AC118" s="142">
        <f ca="1">_xll.DBRW(Server&amp;Cube1,$F$21,$F$14,$F$15,$F$20,$C$18,$F$17,$F$19,$C$19,AC$103,$Z118,$Z$116)</f>
        <v>-5792.1188800000145</v>
      </c>
      <c r="AD118" s="142">
        <f ca="1">_xll.DBRW(Server&amp;Cube1,$F$21,$F$14,$F$15,$F$20,$C$18,$F$17,$F$19,$C$19,AD$103,$Z118,$Z$116)</f>
        <v>-6173.7992099999919</v>
      </c>
      <c r="AE118" s="142">
        <f ca="1">_xll.DBRW(Server&amp;Cube1,$F$21,$F$14,$F$15,$F$20,$C$18,$F$17,$F$19,$C$19,AE$103,$Z118,$Z$116)</f>
        <v>-7713.1964100000032</v>
      </c>
      <c r="AF118" s="142">
        <f ca="1">_xll.DBRW(Server&amp;Cube1,$F$21,$F$14,$F$15,$F$20,$C$18,$F$17,$F$19,$C$19,AF$103,$Z118,$Z$116)</f>
        <v>-8599.6877100000074</v>
      </c>
      <c r="AG118" s="52"/>
      <c r="AH118" s="52"/>
      <c r="AI118" s="52"/>
      <c r="AJ118" s="52"/>
      <c r="AK118" s="52"/>
      <c r="AL118" s="52"/>
      <c r="AM118" s="52"/>
    </row>
    <row r="119" spans="1:40" ht="15.75" x14ac:dyDescent="0.25">
      <c r="A119" s="52"/>
      <c r="B119" s="52"/>
      <c r="C119" s="120"/>
      <c r="D119" s="56"/>
      <c r="E119" s="124"/>
      <c r="F119" s="124"/>
      <c r="G119" s="62"/>
      <c r="H119" s="62"/>
      <c r="I119" s="62"/>
      <c r="J119" s="62"/>
      <c r="K119" s="125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52"/>
      <c r="Y119" s="53" t="str">
        <f ca="1">_xll.DBRA(Server&amp;$G$1,$Z115,$AC$11)</f>
        <v>Budget</v>
      </c>
      <c r="Z119" s="2" t="str">
        <f>$J$1</f>
        <v>BUDG_TOT</v>
      </c>
      <c r="AA119" s="142">
        <f ca="1">_xll.DBRW(Server&amp;Cube1,$F$21,$F$14,$F$15,$F$20,$C$18,$F$17,$F$19,$C$19,AA$102,$Z119,$Z$116)</f>
        <v>-5052.4939547529739</v>
      </c>
      <c r="AB119" s="142">
        <f ca="1">_xll.DBRW(Server&amp;Cube1,$F$21,$F$14,$F$15,$F$20,$C$18,$F$17,$F$19,$C$19,AB$102,$Z119,$Z$116)</f>
        <v>-6020.1452097668653</v>
      </c>
      <c r="AC119" s="142">
        <f ca="1">_xll.DBRW(Server&amp;Cube1,$F$21,$F$14,$F$15,$F$20,$C$18,$F$17,$F$19,$C$19,AC$102,$Z119,$Z$116)</f>
        <v>-7008.8024011033776</v>
      </c>
      <c r="AD119" s="142">
        <f ca="1">_xll.DBRW(Server&amp;Cube1,$F$21,$F$14,$F$15,$F$20,$C$18,$F$17,$F$19,$C$19,AD$102,$Z119,$Z$116)</f>
        <v>-7982.7420165173708</v>
      </c>
      <c r="AE119" s="142">
        <f ca="1">_xll.DBRW(Server&amp;Cube1,$F$21,$F$14,$F$15,$F$20,$C$18,$F$17,$F$19,$C$19,AE$102,$Z119,$Z$116)</f>
        <v>-8929.076324561509</v>
      </c>
      <c r="AF119" s="142">
        <f ca="1">_xll.DBRW(Server&amp;Cube1,$F$21,$F$14,$F$15,$F$20,$C$18,$F$17,$F$19,$C$19,AF$102,$Z119,$Z$116)</f>
        <v>-9866.0923220976692</v>
      </c>
      <c r="AG119" s="4"/>
      <c r="AH119" s="4"/>
      <c r="AI119" s="4"/>
      <c r="AJ119" s="4"/>
      <c r="AK119" s="4"/>
      <c r="AL119" s="1"/>
      <c r="AM119" s="52"/>
    </row>
    <row r="120" spans="1:40" ht="15" x14ac:dyDescent="0.25">
      <c r="A120" s="52"/>
      <c r="B120" s="52"/>
      <c r="C120" s="120"/>
      <c r="D120" s="56"/>
      <c r="E120" s="124"/>
      <c r="F120" s="124"/>
      <c r="G120" s="62"/>
      <c r="H120" s="62"/>
      <c r="I120" s="62"/>
      <c r="J120" s="62"/>
      <c r="K120" s="125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52"/>
      <c r="Y120" s="1" t="str">
        <f ca="1">IF($F$18=$AD$13,_xll.DBRA(Server&amp;$AC$12,AC$55,$F$16),IF($F$18=$AD$14,_xll.DBRA(Server&amp;$AC$12,AC$54,$F$16),_xll.DBRA(Server&amp;$G$1,$I$1,$F$16)))</f>
        <v/>
      </c>
      <c r="AG120" s="52"/>
      <c r="AH120" s="52"/>
      <c r="AI120" s="52"/>
      <c r="AJ120" s="52"/>
      <c r="AK120" s="52"/>
      <c r="AL120" s="52"/>
      <c r="AM120" s="52"/>
    </row>
    <row r="121" spans="1:40" ht="15" x14ac:dyDescent="0.25">
      <c r="A121" s="52"/>
      <c r="B121" s="52"/>
      <c r="C121" s="120"/>
      <c r="D121" s="56"/>
      <c r="E121" s="124"/>
      <c r="F121" s="124"/>
      <c r="G121" s="62"/>
      <c r="H121" s="62"/>
      <c r="I121" s="62"/>
      <c r="J121" s="62"/>
      <c r="K121" s="125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52"/>
      <c r="Y121" s="1" t="str">
        <f ca="1">_xll.DBRA(Server&amp;$G$1,K$1,$F$16)</f>
        <v/>
      </c>
      <c r="AG121" s="4"/>
      <c r="AH121" s="4"/>
      <c r="AI121" s="4"/>
      <c r="AJ121" s="4"/>
      <c r="AK121" s="4"/>
      <c r="AL121" s="1"/>
      <c r="AM121" s="52"/>
    </row>
    <row r="122" spans="1:40" ht="15" x14ac:dyDescent="0.25">
      <c r="A122" s="52"/>
      <c r="B122" s="52"/>
      <c r="C122" s="120"/>
      <c r="D122" s="56"/>
      <c r="E122" s="124"/>
      <c r="F122" s="124"/>
      <c r="G122" s="62"/>
      <c r="H122" s="62"/>
      <c r="I122" s="62"/>
      <c r="J122" s="62"/>
      <c r="K122" s="125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52"/>
      <c r="AG122" s="52"/>
      <c r="AH122" s="52"/>
      <c r="AI122" s="52"/>
      <c r="AJ122" s="52"/>
      <c r="AK122" s="52"/>
      <c r="AL122" s="52"/>
      <c r="AM122" s="52"/>
    </row>
    <row r="123" spans="1:40" ht="15" x14ac:dyDescent="0.25">
      <c r="A123" s="52"/>
      <c r="B123" s="52"/>
      <c r="C123" s="120"/>
      <c r="D123" s="56"/>
      <c r="E123" s="124"/>
      <c r="F123" s="124"/>
      <c r="G123" s="62"/>
      <c r="H123" s="62"/>
      <c r="I123" s="62"/>
      <c r="J123" s="62"/>
      <c r="K123" s="125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52"/>
      <c r="AG123" s="4"/>
      <c r="AH123" s="4"/>
      <c r="AI123" s="4"/>
      <c r="AJ123" s="4"/>
      <c r="AK123" s="4"/>
      <c r="AL123" s="1"/>
      <c r="AM123" s="52"/>
    </row>
    <row r="124" spans="1:40" ht="15" x14ac:dyDescent="0.25">
      <c r="A124" s="52"/>
      <c r="B124" s="52"/>
      <c r="C124" s="120"/>
      <c r="D124" s="56"/>
      <c r="E124" s="124"/>
      <c r="F124" s="124"/>
      <c r="G124" s="62"/>
      <c r="H124" s="62"/>
      <c r="I124" s="62"/>
      <c r="J124" s="62"/>
      <c r="K124" s="125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52"/>
      <c r="AG124" s="52"/>
      <c r="AH124" s="52"/>
      <c r="AI124" s="52"/>
      <c r="AJ124" s="52"/>
      <c r="AK124" s="52"/>
      <c r="AL124" s="52"/>
      <c r="AM124" s="52"/>
    </row>
    <row r="125" spans="1:40" ht="15" x14ac:dyDescent="0.25">
      <c r="A125" s="52"/>
      <c r="B125" s="52"/>
      <c r="C125" s="120"/>
      <c r="D125" s="56"/>
      <c r="E125" s="130"/>
      <c r="F125" s="124"/>
      <c r="G125" s="124"/>
      <c r="H125" s="62"/>
      <c r="I125" s="62"/>
      <c r="J125" s="62"/>
      <c r="K125" s="62"/>
      <c r="L125" s="125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</row>
    <row r="126" spans="1:40" ht="15" x14ac:dyDescent="0.25">
      <c r="A126" s="52"/>
      <c r="B126" s="52"/>
      <c r="C126" s="120"/>
      <c r="D126" s="56"/>
      <c r="E126" s="130"/>
      <c r="F126" s="124"/>
      <c r="G126" s="124"/>
      <c r="H126" s="62"/>
      <c r="I126" s="62"/>
      <c r="J126" s="62"/>
      <c r="K126" s="62"/>
      <c r="L126" s="125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</row>
    <row r="127" spans="1:40" ht="15" x14ac:dyDescent="0.25">
      <c r="A127" s="52"/>
      <c r="B127" s="52"/>
      <c r="C127" s="120"/>
      <c r="D127" s="56"/>
      <c r="E127" s="130"/>
      <c r="F127" s="124"/>
      <c r="G127" s="124"/>
      <c r="H127" s="62"/>
      <c r="I127" s="62"/>
      <c r="J127" s="62"/>
      <c r="K127" s="62"/>
      <c r="L127" s="125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</row>
    <row r="128" spans="1:40" ht="15" x14ac:dyDescent="0.25">
      <c r="A128" s="52"/>
      <c r="B128" s="52"/>
      <c r="C128" s="120"/>
      <c r="D128" s="56"/>
      <c r="E128" s="130"/>
      <c r="F128" s="124"/>
      <c r="G128" s="124"/>
      <c r="H128" s="62"/>
      <c r="I128" s="62"/>
      <c r="J128" s="62"/>
      <c r="K128" s="62"/>
      <c r="L128" s="125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</row>
    <row r="129" spans="1:40" ht="23.25" x14ac:dyDescent="0.35">
      <c r="A129" s="52"/>
      <c r="B129" s="52"/>
      <c r="C129" s="120"/>
      <c r="D129" s="59"/>
      <c r="E129" s="135"/>
      <c r="F129" s="135"/>
      <c r="G129" s="135"/>
      <c r="H129" s="39"/>
      <c r="I129" s="106"/>
      <c r="J129" s="106"/>
      <c r="K129" s="106"/>
      <c r="L129" s="10"/>
      <c r="M129" s="10"/>
      <c r="N129" s="10"/>
      <c r="O129" s="10"/>
      <c r="P129" s="10"/>
      <c r="Q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</row>
    <row r="130" spans="1:40" ht="19.5" x14ac:dyDescent="0.3">
      <c r="A130" s="52"/>
      <c r="B130" s="52"/>
      <c r="C130" s="87"/>
      <c r="D130" s="25"/>
      <c r="E130" s="41"/>
      <c r="F130" s="41"/>
      <c r="G130" s="41"/>
      <c r="H130" s="42"/>
      <c r="I130" s="40"/>
      <c r="J130" s="40"/>
      <c r="K130" s="43"/>
      <c r="L130" s="10"/>
      <c r="M130" s="10"/>
      <c r="N130" s="10"/>
      <c r="O130" s="10"/>
      <c r="P130" s="10"/>
      <c r="Q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</row>
    <row r="131" spans="1:40" s="45" customFormat="1" ht="18.75" x14ac:dyDescent="0.3">
      <c r="A131" s="23"/>
      <c r="B131" s="52"/>
      <c r="C131" s="27" t="s">
        <v>5</v>
      </c>
      <c r="D131" s="44"/>
      <c r="E131" s="11" t="str">
        <f ca="1">_xll.DBRA(Server&amp;$AC$12,C131,$AC$11)</f>
        <v>Commentaires</v>
      </c>
      <c r="F131" s="11"/>
      <c r="G131" s="8"/>
      <c r="H131" s="4"/>
      <c r="I131" s="12"/>
      <c r="J131" s="13"/>
      <c r="K131" s="14"/>
      <c r="L131" s="14"/>
      <c r="M131" s="14"/>
      <c r="N131" s="14"/>
      <c r="O131" s="14"/>
      <c r="P131" s="14"/>
      <c r="Q131" s="23"/>
      <c r="R131" s="52"/>
      <c r="S131" s="52"/>
      <c r="T131" s="52"/>
      <c r="U131" s="52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</row>
    <row r="132" spans="1:40" s="45" customFormat="1" ht="19.5" x14ac:dyDescent="0.2">
      <c r="A132" s="23"/>
      <c r="B132" s="52"/>
      <c r="C132" s="27" t="s">
        <v>21</v>
      </c>
      <c r="D132" s="44"/>
      <c r="E132" s="228" t="str">
        <f ca="1">_xll.DBRW(Server&amp;Cube2,PL!$F$14,PL!$F$15,PL!$F$20,PL!$F$17,PL!$F$19,PL!$C$19,PL!$F$18,PL!$O$2,PL!$H$4,"Compte_de_Resultat_Realise",PL!$C132)</f>
        <v/>
      </c>
      <c r="F132" s="229"/>
      <c r="G132" s="229"/>
      <c r="H132" s="229"/>
      <c r="I132" s="229"/>
      <c r="J132" s="229"/>
      <c r="K132" s="229"/>
      <c r="L132" s="229"/>
      <c r="M132" s="229"/>
      <c r="N132" s="229"/>
      <c r="O132" s="229"/>
      <c r="P132" s="229"/>
      <c r="Q132" s="229"/>
      <c r="R132" s="229"/>
      <c r="S132" s="229"/>
      <c r="T132" s="229"/>
      <c r="U132" s="229"/>
      <c r="V132" s="229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</row>
    <row r="133" spans="1:40" s="45" customFormat="1" ht="19.5" x14ac:dyDescent="0.2">
      <c r="A133" s="23"/>
      <c r="B133" s="52"/>
      <c r="C133" s="27" t="s">
        <v>22</v>
      </c>
      <c r="D133" s="44"/>
      <c r="E133" s="228" t="str">
        <f ca="1">_xll.DBRW(Server&amp;Cube2,PL!$F$14,PL!$F$15,PL!$F$20,PL!$F$17,PL!$F$19,PL!$C$19,PL!$F$18,PL!$O$2,PL!$H$4,"Compte_de_Resultat_Realise",PL!$C133)</f>
        <v/>
      </c>
      <c r="F133" s="229"/>
      <c r="G133" s="229"/>
      <c r="H133" s="229"/>
      <c r="I133" s="229"/>
      <c r="J133" s="229"/>
      <c r="K133" s="229"/>
      <c r="L133" s="229"/>
      <c r="M133" s="229"/>
      <c r="N133" s="229"/>
      <c r="O133" s="229"/>
      <c r="P133" s="229"/>
      <c r="Q133" s="229"/>
      <c r="R133" s="229"/>
      <c r="S133" s="229"/>
      <c r="T133" s="229"/>
      <c r="U133" s="229"/>
      <c r="V133" s="229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</row>
    <row r="134" spans="1:40" s="45" customFormat="1" ht="19.5" x14ac:dyDescent="0.2">
      <c r="A134" s="23"/>
      <c r="B134" s="52"/>
      <c r="C134" s="27" t="s">
        <v>23</v>
      </c>
      <c r="D134" s="44"/>
      <c r="E134" s="228" t="str">
        <f ca="1">_xll.DBRW(Server&amp;Cube2,PL!$F$14,PL!$F$15,PL!$F$20,PL!$F$17,PL!$F$19,PL!$C$19,PL!$F$18,PL!$O$2,PL!$H$4,"Compte_de_Resultat_Realise",PL!$C134)</f>
        <v/>
      </c>
      <c r="F134" s="229"/>
      <c r="G134" s="229"/>
      <c r="H134" s="229"/>
      <c r="I134" s="229"/>
      <c r="J134" s="229"/>
      <c r="K134" s="229"/>
      <c r="L134" s="229"/>
      <c r="M134" s="229"/>
      <c r="N134" s="229"/>
      <c r="O134" s="229"/>
      <c r="P134" s="229"/>
      <c r="Q134" s="229"/>
      <c r="R134" s="229"/>
      <c r="S134" s="229"/>
      <c r="T134" s="229"/>
      <c r="U134" s="229"/>
      <c r="V134" s="229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</row>
    <row r="135" spans="1:40" s="45" customFormat="1" ht="19.5" x14ac:dyDescent="0.2">
      <c r="A135" s="23"/>
      <c r="B135" s="52"/>
      <c r="C135" s="27" t="s">
        <v>24</v>
      </c>
      <c r="D135" s="44"/>
      <c r="E135" s="228" t="str">
        <f ca="1">_xll.DBRW(Server&amp;Cube2,PL!$F$14,PL!$F$15,PL!$F$20,PL!$F$17,PL!$F$19,PL!$C$19,PL!$F$18,PL!$O$2,PL!$H$4,"Compte_de_Resultat_Realise",PL!$C135)</f>
        <v/>
      </c>
      <c r="F135" s="229"/>
      <c r="G135" s="229"/>
      <c r="H135" s="229"/>
      <c r="I135" s="229"/>
      <c r="J135" s="229"/>
      <c r="K135" s="229"/>
      <c r="L135" s="229"/>
      <c r="M135" s="229"/>
      <c r="N135" s="229"/>
      <c r="O135" s="229"/>
      <c r="P135" s="229"/>
      <c r="Q135" s="229"/>
      <c r="R135" s="229"/>
      <c r="S135" s="229"/>
      <c r="T135" s="229"/>
      <c r="U135" s="229"/>
      <c r="V135" s="229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</row>
    <row r="136" spans="1:40" s="45" customFormat="1" x14ac:dyDescent="0.2">
      <c r="A136" s="23"/>
      <c r="B136" s="52"/>
      <c r="C136" s="27"/>
      <c r="D136" s="44"/>
      <c r="Q136" s="23"/>
      <c r="R136" s="52"/>
      <c r="S136" s="52"/>
      <c r="T136" s="52"/>
      <c r="U136" s="52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</row>
    <row r="137" spans="1:40" s="45" customFormat="1" x14ac:dyDescent="0.2">
      <c r="A137" s="23"/>
      <c r="B137" s="52"/>
      <c r="C137" s="27"/>
      <c r="D137" s="44"/>
      <c r="Q137" s="23"/>
      <c r="R137" s="52"/>
      <c r="S137" s="52"/>
      <c r="T137" s="52"/>
      <c r="U137" s="52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</row>
    <row r="138" spans="1:40" s="45" customFormat="1" x14ac:dyDescent="0.2">
      <c r="A138" s="23"/>
      <c r="B138" s="52"/>
      <c r="C138" s="27"/>
      <c r="D138" s="44"/>
      <c r="Q138" s="23"/>
      <c r="R138" s="52"/>
      <c r="S138" s="52"/>
      <c r="T138" s="52"/>
      <c r="U138" s="52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</row>
    <row r="139" spans="1:40" s="23" customFormat="1" x14ac:dyDescent="0.2">
      <c r="B139" s="52"/>
      <c r="C139" s="27"/>
      <c r="D139" s="25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R139" s="52"/>
      <c r="S139" s="52"/>
      <c r="T139" s="52"/>
      <c r="U139" s="52"/>
    </row>
    <row r="140" spans="1:40" s="23" customFormat="1" x14ac:dyDescent="0.2">
      <c r="B140" s="52"/>
      <c r="C140" s="27"/>
      <c r="D140" s="25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R140" s="52"/>
      <c r="S140" s="52"/>
      <c r="T140" s="52"/>
      <c r="U140" s="52"/>
    </row>
    <row r="141" spans="1:40" s="23" customFormat="1" x14ac:dyDescent="0.2">
      <c r="B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R141" s="52"/>
      <c r="S141" s="52"/>
      <c r="T141" s="52"/>
      <c r="U141" s="52"/>
    </row>
    <row r="142" spans="1:40" s="23" customFormat="1" x14ac:dyDescent="0.2">
      <c r="B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R142" s="52"/>
      <c r="S142" s="52"/>
      <c r="T142" s="52"/>
      <c r="U142" s="52"/>
    </row>
    <row r="143" spans="1:40" s="23" customFormat="1" x14ac:dyDescent="0.2">
      <c r="B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R143" s="52"/>
      <c r="S143" s="52"/>
      <c r="T143" s="52"/>
      <c r="U143" s="52"/>
    </row>
    <row r="144" spans="1:40" s="23" customFormat="1" x14ac:dyDescent="0.2">
      <c r="B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R144" s="52"/>
      <c r="S144" s="52"/>
      <c r="T144" s="52"/>
      <c r="U144" s="52"/>
    </row>
    <row r="145" spans="2:21" s="23" customFormat="1" x14ac:dyDescent="0.2">
      <c r="B145" s="52"/>
      <c r="C145" s="57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R145" s="52"/>
      <c r="S145" s="52"/>
      <c r="T145" s="52"/>
      <c r="U145" s="52"/>
    </row>
    <row r="146" spans="2:21" s="23" customFormat="1" x14ac:dyDescent="0.2">
      <c r="B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R146" s="52"/>
      <c r="S146" s="52"/>
      <c r="T146" s="52"/>
      <c r="U146" s="52"/>
    </row>
    <row r="147" spans="2:21" s="23" customFormat="1" x14ac:dyDescent="0.2">
      <c r="B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R147" s="52"/>
      <c r="S147" s="52"/>
      <c r="T147" s="52"/>
      <c r="U147" s="52"/>
    </row>
    <row r="148" spans="2:21" s="23" customFormat="1" x14ac:dyDescent="0.2">
      <c r="B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R148" s="52"/>
      <c r="S148" s="52"/>
      <c r="T148" s="52"/>
      <c r="U148" s="52"/>
    </row>
    <row r="149" spans="2:21" s="23" customFormat="1" x14ac:dyDescent="0.2">
      <c r="B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R149" s="52"/>
      <c r="S149" s="52"/>
      <c r="T149" s="52"/>
      <c r="U149" s="52"/>
    </row>
    <row r="150" spans="2:21" s="23" customFormat="1" x14ac:dyDescent="0.2">
      <c r="B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R150" s="52"/>
      <c r="S150" s="52"/>
      <c r="T150" s="52"/>
      <c r="U150" s="52"/>
    </row>
    <row r="151" spans="2:21" s="23" customFormat="1" x14ac:dyDescent="0.2">
      <c r="B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R151" s="52"/>
      <c r="S151" s="52"/>
      <c r="T151" s="52"/>
      <c r="U151" s="52"/>
    </row>
    <row r="152" spans="2:21" s="23" customFormat="1" x14ac:dyDescent="0.2">
      <c r="B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R152" s="52"/>
      <c r="S152" s="52"/>
      <c r="T152" s="52"/>
      <c r="U152" s="52"/>
    </row>
    <row r="153" spans="2:21" s="23" customFormat="1" x14ac:dyDescent="0.2">
      <c r="B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R153" s="52"/>
      <c r="S153" s="52"/>
      <c r="T153" s="52"/>
      <c r="U153" s="52"/>
    </row>
    <row r="154" spans="2:21" s="23" customFormat="1" x14ac:dyDescent="0.2">
      <c r="B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R154" s="52"/>
      <c r="S154" s="52"/>
      <c r="T154" s="52"/>
      <c r="U154" s="52"/>
    </row>
    <row r="155" spans="2:21" s="23" customFormat="1" x14ac:dyDescent="0.2">
      <c r="B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R155" s="52"/>
      <c r="S155" s="52"/>
      <c r="T155" s="52"/>
      <c r="U155" s="52"/>
    </row>
    <row r="156" spans="2:21" s="23" customFormat="1" x14ac:dyDescent="0.2">
      <c r="B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R156" s="52"/>
      <c r="S156" s="52"/>
      <c r="T156" s="52"/>
      <c r="U156" s="52"/>
    </row>
    <row r="157" spans="2:21" s="23" customFormat="1" x14ac:dyDescent="0.2">
      <c r="B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R157" s="52"/>
      <c r="S157" s="52"/>
      <c r="T157" s="52"/>
      <c r="U157" s="52"/>
    </row>
    <row r="158" spans="2:21" s="23" customFormat="1" x14ac:dyDescent="0.2">
      <c r="B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R158" s="52"/>
      <c r="S158" s="52"/>
      <c r="T158" s="52"/>
      <c r="U158" s="52"/>
    </row>
    <row r="159" spans="2:21" s="23" customFormat="1" x14ac:dyDescent="0.2">
      <c r="B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R159" s="52"/>
      <c r="S159" s="52"/>
      <c r="T159" s="52"/>
      <c r="U159" s="52"/>
    </row>
    <row r="160" spans="2:21" s="23" customFormat="1" x14ac:dyDescent="0.2">
      <c r="B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R160" s="52"/>
      <c r="S160" s="52"/>
      <c r="T160" s="52"/>
      <c r="U160" s="52"/>
    </row>
    <row r="161" spans="2:21" s="23" customFormat="1" x14ac:dyDescent="0.2">
      <c r="B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R161" s="52"/>
      <c r="S161" s="52"/>
      <c r="T161" s="52"/>
      <c r="U161" s="52"/>
    </row>
    <row r="162" spans="2:21" s="23" customFormat="1" x14ac:dyDescent="0.2">
      <c r="B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R162" s="52"/>
      <c r="S162" s="52"/>
      <c r="T162" s="52"/>
      <c r="U162" s="52"/>
    </row>
    <row r="163" spans="2:21" s="23" customFormat="1" x14ac:dyDescent="0.2">
      <c r="B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R163" s="52"/>
      <c r="S163" s="52"/>
      <c r="T163" s="52"/>
      <c r="U163" s="52"/>
    </row>
    <row r="164" spans="2:21" s="23" customFormat="1" x14ac:dyDescent="0.2">
      <c r="B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R164" s="52"/>
      <c r="S164" s="52"/>
      <c r="T164" s="52"/>
      <c r="U164" s="52"/>
    </row>
    <row r="165" spans="2:21" s="23" customFormat="1" x14ac:dyDescent="0.2">
      <c r="B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R165" s="52"/>
      <c r="S165" s="52"/>
      <c r="T165" s="52"/>
      <c r="U165" s="52"/>
    </row>
    <row r="166" spans="2:21" s="23" customFormat="1" x14ac:dyDescent="0.2">
      <c r="B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R166" s="52"/>
      <c r="S166" s="52"/>
      <c r="T166" s="52"/>
      <c r="U166" s="52"/>
    </row>
    <row r="167" spans="2:21" s="23" customFormat="1" x14ac:dyDescent="0.2">
      <c r="B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R167" s="52"/>
      <c r="S167" s="52"/>
      <c r="T167" s="52"/>
      <c r="U167" s="52"/>
    </row>
    <row r="168" spans="2:21" s="23" customFormat="1" x14ac:dyDescent="0.2">
      <c r="B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R168" s="52"/>
      <c r="S168" s="52"/>
      <c r="T168" s="52"/>
      <c r="U168" s="52"/>
    </row>
    <row r="169" spans="2:21" s="23" customFormat="1" x14ac:dyDescent="0.2">
      <c r="B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R169" s="52"/>
      <c r="S169" s="52"/>
      <c r="T169" s="52"/>
      <c r="U169" s="52"/>
    </row>
    <row r="170" spans="2:21" s="23" customFormat="1" x14ac:dyDescent="0.2">
      <c r="B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R170" s="52"/>
      <c r="S170" s="52"/>
      <c r="T170" s="52"/>
      <c r="U170" s="52"/>
    </row>
    <row r="171" spans="2:21" s="23" customFormat="1" x14ac:dyDescent="0.2">
      <c r="B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R171" s="52"/>
      <c r="S171" s="52"/>
      <c r="T171" s="52"/>
      <c r="U171" s="52"/>
    </row>
    <row r="172" spans="2:21" s="23" customFormat="1" x14ac:dyDescent="0.2"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R172" s="52"/>
      <c r="S172" s="52"/>
      <c r="T172" s="52"/>
      <c r="U172" s="52"/>
    </row>
    <row r="173" spans="2:21" s="23" customFormat="1" x14ac:dyDescent="0.2"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R173" s="52"/>
      <c r="S173" s="52"/>
      <c r="T173" s="52"/>
      <c r="U173" s="52"/>
    </row>
    <row r="174" spans="2:21" s="23" customFormat="1" x14ac:dyDescent="0.2">
      <c r="J174" s="52"/>
      <c r="K174" s="52"/>
      <c r="L174" s="52"/>
      <c r="M174" s="52"/>
      <c r="N174" s="52"/>
      <c r="O174" s="52"/>
      <c r="P174" s="52"/>
      <c r="R174" s="52"/>
      <c r="S174" s="52"/>
      <c r="T174" s="52"/>
      <c r="U174" s="52"/>
    </row>
    <row r="175" spans="2:21" s="23" customFormat="1" x14ac:dyDescent="0.2">
      <c r="J175" s="52"/>
      <c r="K175" s="52"/>
      <c r="L175" s="52"/>
      <c r="M175" s="52"/>
      <c r="N175" s="52"/>
      <c r="O175" s="52"/>
      <c r="P175" s="52"/>
      <c r="R175" s="52"/>
      <c r="S175" s="52"/>
      <c r="T175" s="52"/>
      <c r="U175" s="52"/>
    </row>
    <row r="176" spans="2:21" s="23" customFormat="1" x14ac:dyDescent="0.2">
      <c r="J176" s="52"/>
      <c r="K176" s="52"/>
      <c r="L176" s="52"/>
      <c r="M176" s="52"/>
      <c r="N176" s="52"/>
      <c r="O176" s="52"/>
      <c r="P176" s="52"/>
      <c r="R176" s="52"/>
      <c r="S176" s="52"/>
      <c r="T176" s="52"/>
      <c r="U176" s="52"/>
    </row>
    <row r="177" spans="10:21" s="23" customFormat="1" x14ac:dyDescent="0.2">
      <c r="J177" s="52"/>
      <c r="K177" s="52"/>
      <c r="L177" s="52"/>
      <c r="M177" s="52"/>
      <c r="N177" s="52"/>
      <c r="O177" s="52"/>
      <c r="P177" s="52"/>
      <c r="R177" s="52"/>
      <c r="S177" s="52"/>
      <c r="T177" s="52"/>
      <c r="U177" s="52"/>
    </row>
    <row r="178" spans="10:21" s="23" customFormat="1" x14ac:dyDescent="0.2">
      <c r="J178" s="52"/>
      <c r="K178" s="52"/>
      <c r="L178" s="52"/>
      <c r="M178" s="52"/>
      <c r="N178" s="52"/>
      <c r="O178" s="52"/>
      <c r="P178" s="52"/>
      <c r="R178" s="52"/>
      <c r="S178" s="52"/>
      <c r="T178" s="52"/>
      <c r="U178" s="52"/>
    </row>
    <row r="179" spans="10:21" s="23" customFormat="1" x14ac:dyDescent="0.2">
      <c r="J179" s="52"/>
      <c r="K179" s="52"/>
      <c r="L179" s="52"/>
      <c r="M179" s="52"/>
      <c r="N179" s="52"/>
      <c r="O179" s="52"/>
      <c r="P179" s="52"/>
      <c r="R179" s="52"/>
      <c r="S179" s="52"/>
      <c r="T179" s="52"/>
      <c r="U179" s="52"/>
    </row>
    <row r="180" spans="10:21" s="23" customFormat="1" x14ac:dyDescent="0.2">
      <c r="J180" s="52"/>
      <c r="K180" s="52"/>
      <c r="L180" s="52"/>
      <c r="M180" s="52"/>
      <c r="N180" s="52"/>
      <c r="O180" s="52"/>
      <c r="P180" s="52"/>
      <c r="R180" s="52"/>
      <c r="S180" s="52"/>
      <c r="T180" s="52"/>
      <c r="U180" s="52"/>
    </row>
    <row r="181" spans="10:21" s="23" customFormat="1" x14ac:dyDescent="0.2">
      <c r="J181" s="52"/>
      <c r="K181" s="52"/>
      <c r="L181" s="52"/>
      <c r="M181" s="52"/>
      <c r="N181" s="52"/>
      <c r="O181" s="52"/>
      <c r="P181" s="52"/>
      <c r="R181" s="52"/>
      <c r="S181" s="52"/>
      <c r="T181" s="52"/>
      <c r="U181" s="52"/>
    </row>
    <row r="182" spans="10:21" s="23" customFormat="1" x14ac:dyDescent="0.2">
      <c r="J182" s="52"/>
      <c r="K182" s="52"/>
      <c r="L182" s="52"/>
      <c r="M182" s="52"/>
      <c r="N182" s="52"/>
      <c r="O182" s="52"/>
      <c r="P182" s="52"/>
      <c r="R182" s="52"/>
      <c r="S182" s="52"/>
      <c r="T182" s="52"/>
      <c r="U182" s="52"/>
    </row>
    <row r="183" spans="10:21" s="23" customFormat="1" x14ac:dyDescent="0.2">
      <c r="J183" s="52"/>
      <c r="K183" s="52"/>
      <c r="L183" s="52"/>
      <c r="M183" s="52"/>
      <c r="N183" s="52"/>
      <c r="O183" s="52"/>
      <c r="P183" s="52"/>
      <c r="R183" s="52"/>
      <c r="S183" s="52"/>
      <c r="T183" s="52"/>
      <c r="U183" s="52"/>
    </row>
    <row r="184" spans="10:21" s="23" customFormat="1" x14ac:dyDescent="0.2">
      <c r="J184" s="52"/>
      <c r="K184" s="52"/>
      <c r="L184" s="52"/>
      <c r="M184" s="52"/>
      <c r="N184" s="52"/>
      <c r="O184" s="52"/>
      <c r="P184" s="52"/>
      <c r="R184" s="52"/>
      <c r="S184" s="52"/>
      <c r="T184" s="52"/>
      <c r="U184" s="52"/>
    </row>
    <row r="185" spans="10:21" s="23" customFormat="1" x14ac:dyDescent="0.2">
      <c r="J185" s="52"/>
      <c r="K185" s="52"/>
      <c r="L185" s="52"/>
      <c r="M185" s="52"/>
      <c r="N185" s="52"/>
      <c r="O185" s="52"/>
      <c r="P185" s="52"/>
      <c r="R185" s="52"/>
      <c r="S185" s="52"/>
      <c r="T185" s="52"/>
      <c r="U185" s="52"/>
    </row>
    <row r="186" spans="10:21" s="23" customFormat="1" x14ac:dyDescent="0.2">
      <c r="J186" s="52"/>
      <c r="K186" s="52"/>
      <c r="L186" s="52"/>
      <c r="M186" s="52"/>
      <c r="N186" s="52"/>
      <c r="O186" s="52"/>
      <c r="P186" s="52"/>
      <c r="R186" s="52"/>
      <c r="S186" s="52"/>
      <c r="T186" s="52"/>
      <c r="U186" s="52"/>
    </row>
    <row r="187" spans="10:21" s="23" customFormat="1" x14ac:dyDescent="0.2">
      <c r="J187" s="52"/>
      <c r="K187" s="52"/>
      <c r="L187" s="52"/>
      <c r="M187" s="52"/>
      <c r="N187" s="52"/>
      <c r="O187" s="52"/>
      <c r="P187" s="52"/>
      <c r="R187" s="52"/>
      <c r="S187" s="52"/>
      <c r="T187" s="52"/>
      <c r="U187" s="52"/>
    </row>
    <row r="188" spans="10:21" s="23" customFormat="1" x14ac:dyDescent="0.2">
      <c r="J188" s="52"/>
      <c r="K188" s="52"/>
      <c r="L188" s="52"/>
      <c r="M188" s="52"/>
      <c r="N188" s="52"/>
      <c r="O188" s="52"/>
      <c r="P188" s="52"/>
      <c r="R188" s="52"/>
      <c r="S188" s="52"/>
      <c r="T188" s="52"/>
      <c r="U188" s="52"/>
    </row>
    <row r="189" spans="10:21" s="23" customFormat="1" x14ac:dyDescent="0.2">
      <c r="J189" s="52"/>
      <c r="K189" s="52"/>
      <c r="L189" s="52"/>
      <c r="M189" s="52"/>
      <c r="N189" s="52"/>
      <c r="O189" s="52"/>
      <c r="P189" s="52"/>
      <c r="R189" s="52"/>
      <c r="S189" s="52"/>
      <c r="T189" s="52"/>
      <c r="U189" s="52"/>
    </row>
    <row r="190" spans="10:21" s="23" customFormat="1" x14ac:dyDescent="0.2">
      <c r="J190" s="52"/>
      <c r="K190" s="52"/>
      <c r="L190" s="52"/>
      <c r="M190" s="52"/>
      <c r="N190" s="52"/>
      <c r="O190" s="52"/>
      <c r="P190" s="52"/>
      <c r="R190" s="52"/>
      <c r="S190" s="52"/>
      <c r="T190" s="52"/>
      <c r="U190" s="52"/>
    </row>
    <row r="191" spans="10:21" s="23" customFormat="1" x14ac:dyDescent="0.2">
      <c r="J191" s="52"/>
      <c r="K191" s="52"/>
      <c r="L191" s="52"/>
      <c r="M191" s="52"/>
      <c r="N191" s="52"/>
      <c r="O191" s="52"/>
      <c r="P191" s="52"/>
      <c r="R191" s="52"/>
      <c r="S191" s="52"/>
      <c r="T191" s="52"/>
      <c r="U191" s="52"/>
    </row>
    <row r="192" spans="10:21" s="23" customFormat="1" x14ac:dyDescent="0.2">
      <c r="J192" s="52"/>
      <c r="K192" s="52"/>
      <c r="L192" s="52"/>
      <c r="M192" s="52"/>
      <c r="N192" s="52"/>
      <c r="O192" s="52"/>
      <c r="P192" s="52"/>
      <c r="R192" s="52"/>
      <c r="S192" s="52"/>
      <c r="T192" s="52"/>
      <c r="U192" s="52"/>
    </row>
    <row r="193" spans="10:21" s="23" customFormat="1" x14ac:dyDescent="0.2">
      <c r="J193" s="52"/>
      <c r="K193" s="52"/>
      <c r="L193" s="52"/>
      <c r="M193" s="52"/>
      <c r="N193" s="52"/>
      <c r="O193" s="52"/>
      <c r="P193" s="52"/>
      <c r="R193" s="52"/>
      <c r="S193" s="52"/>
      <c r="T193" s="52"/>
      <c r="U193" s="52"/>
    </row>
    <row r="194" spans="10:21" s="23" customFormat="1" x14ac:dyDescent="0.2">
      <c r="J194" s="52"/>
      <c r="K194" s="52"/>
      <c r="L194" s="52"/>
      <c r="M194" s="52"/>
      <c r="N194" s="52"/>
      <c r="O194" s="52"/>
      <c r="P194" s="52"/>
      <c r="R194" s="52"/>
      <c r="S194" s="52"/>
      <c r="T194" s="52"/>
      <c r="U194" s="52"/>
    </row>
    <row r="195" spans="10:21" s="23" customFormat="1" x14ac:dyDescent="0.2">
      <c r="J195" s="52"/>
      <c r="K195" s="52"/>
      <c r="L195" s="52"/>
      <c r="M195" s="52"/>
      <c r="N195" s="52"/>
      <c r="O195" s="52"/>
      <c r="P195" s="52"/>
      <c r="R195" s="52"/>
      <c r="S195" s="52"/>
      <c r="T195" s="52"/>
      <c r="U195" s="52"/>
    </row>
    <row r="196" spans="10:21" s="23" customFormat="1" x14ac:dyDescent="0.2">
      <c r="J196" s="52"/>
      <c r="K196" s="52"/>
      <c r="L196" s="52"/>
      <c r="M196" s="52"/>
      <c r="N196" s="52"/>
      <c r="O196" s="52"/>
      <c r="P196" s="52"/>
      <c r="R196" s="52"/>
      <c r="S196" s="52"/>
      <c r="T196" s="52"/>
      <c r="U196" s="52"/>
    </row>
    <row r="197" spans="10:21" s="23" customFormat="1" x14ac:dyDescent="0.2">
      <c r="J197" s="52"/>
      <c r="K197" s="52"/>
      <c r="L197" s="52"/>
      <c r="M197" s="52"/>
      <c r="N197" s="52"/>
      <c r="O197" s="52"/>
      <c r="P197" s="52"/>
      <c r="R197" s="52"/>
      <c r="S197" s="52"/>
      <c r="T197" s="52"/>
      <c r="U197" s="52"/>
    </row>
    <row r="198" spans="10:21" s="23" customFormat="1" x14ac:dyDescent="0.2">
      <c r="J198" s="52"/>
      <c r="K198" s="52"/>
      <c r="L198" s="52"/>
      <c r="M198" s="52"/>
      <c r="N198" s="52"/>
      <c r="O198" s="52"/>
      <c r="P198" s="52"/>
      <c r="R198" s="52"/>
      <c r="S198" s="52"/>
      <c r="T198" s="52"/>
      <c r="U198" s="52"/>
    </row>
    <row r="199" spans="10:21" s="23" customFormat="1" x14ac:dyDescent="0.2">
      <c r="J199" s="52"/>
      <c r="K199" s="52"/>
      <c r="L199" s="52"/>
      <c r="M199" s="52"/>
      <c r="N199" s="52"/>
      <c r="O199" s="52"/>
      <c r="P199" s="52"/>
      <c r="R199" s="52"/>
      <c r="S199" s="52"/>
      <c r="T199" s="52"/>
      <c r="U199" s="52"/>
    </row>
    <row r="200" spans="10:21" s="23" customFormat="1" x14ac:dyDescent="0.2">
      <c r="J200" s="52"/>
      <c r="K200" s="52"/>
      <c r="L200" s="52"/>
      <c r="M200" s="52"/>
      <c r="N200" s="52"/>
      <c r="O200" s="52"/>
      <c r="P200" s="52"/>
      <c r="R200" s="52"/>
      <c r="S200" s="52"/>
      <c r="T200" s="52"/>
      <c r="U200" s="52"/>
    </row>
    <row r="201" spans="10:21" s="23" customFormat="1" x14ac:dyDescent="0.2">
      <c r="J201" s="52"/>
      <c r="K201" s="52"/>
      <c r="L201" s="52"/>
      <c r="M201" s="52"/>
      <c r="N201" s="52"/>
      <c r="O201" s="52"/>
      <c r="P201" s="52"/>
      <c r="R201" s="52"/>
      <c r="S201" s="52"/>
      <c r="T201" s="52"/>
      <c r="U201" s="52"/>
    </row>
    <row r="202" spans="10:21" s="23" customFormat="1" x14ac:dyDescent="0.2">
      <c r="J202" s="52"/>
      <c r="K202" s="52"/>
      <c r="L202" s="52"/>
      <c r="M202" s="52"/>
      <c r="N202" s="52"/>
      <c r="O202" s="52"/>
      <c r="P202" s="52"/>
      <c r="R202" s="52"/>
      <c r="S202" s="52"/>
      <c r="T202" s="52"/>
      <c r="U202" s="52"/>
    </row>
    <row r="203" spans="10:21" s="23" customFormat="1" x14ac:dyDescent="0.2">
      <c r="J203" s="52"/>
      <c r="K203" s="52"/>
      <c r="L203" s="52"/>
      <c r="M203" s="52"/>
      <c r="N203" s="52"/>
      <c r="O203" s="52"/>
      <c r="P203" s="52"/>
      <c r="R203" s="52"/>
      <c r="S203" s="52"/>
      <c r="T203" s="52"/>
      <c r="U203" s="52"/>
    </row>
    <row r="204" spans="10:21" s="23" customFormat="1" x14ac:dyDescent="0.2">
      <c r="J204" s="52"/>
      <c r="K204" s="52"/>
      <c r="L204" s="52"/>
      <c r="M204" s="52"/>
      <c r="N204" s="52"/>
      <c r="O204" s="52"/>
      <c r="P204" s="52"/>
      <c r="R204" s="52"/>
      <c r="S204" s="52"/>
      <c r="T204" s="52"/>
      <c r="U204" s="52"/>
    </row>
    <row r="205" spans="10:21" s="23" customFormat="1" x14ac:dyDescent="0.2">
      <c r="J205" s="52"/>
      <c r="K205" s="52"/>
      <c r="L205" s="52"/>
      <c r="M205" s="52"/>
      <c r="N205" s="52"/>
      <c r="O205" s="52"/>
      <c r="P205" s="52"/>
      <c r="R205" s="52"/>
      <c r="S205" s="52"/>
      <c r="T205" s="52"/>
      <c r="U205" s="52"/>
    </row>
    <row r="206" spans="10:21" s="23" customFormat="1" x14ac:dyDescent="0.2">
      <c r="J206" s="52"/>
      <c r="K206" s="52"/>
      <c r="L206" s="52"/>
      <c r="M206" s="52"/>
      <c r="N206" s="52"/>
      <c r="O206" s="52"/>
      <c r="P206" s="52"/>
      <c r="R206" s="52"/>
      <c r="S206" s="52"/>
      <c r="T206" s="52"/>
      <c r="U206" s="52"/>
    </row>
    <row r="207" spans="10:21" s="23" customFormat="1" x14ac:dyDescent="0.2">
      <c r="J207" s="52"/>
      <c r="K207" s="52"/>
      <c r="L207" s="52"/>
      <c r="M207" s="52"/>
      <c r="N207" s="52"/>
      <c r="O207" s="52"/>
      <c r="P207" s="52"/>
      <c r="R207" s="52"/>
      <c r="S207" s="52"/>
      <c r="T207" s="52"/>
      <c r="U207" s="52"/>
    </row>
  </sheetData>
  <sheetProtection formatColumns="0" formatRows="0"/>
  <protectedRanges>
    <protectedRange sqref="G132:P134" name="Commentaires"/>
  </protectedRanges>
  <mergeCells count="87">
    <mergeCell ref="E10:U11"/>
    <mergeCell ref="M23:N24"/>
    <mergeCell ref="I19:P19"/>
    <mergeCell ref="I21:K22"/>
    <mergeCell ref="I23:I24"/>
    <mergeCell ref="J23:J24"/>
    <mergeCell ref="K23:K24"/>
    <mergeCell ref="P23:P24"/>
    <mergeCell ref="M21:P22"/>
    <mergeCell ref="O23:O24"/>
    <mergeCell ref="R19:U19"/>
    <mergeCell ref="R21:R22"/>
    <mergeCell ref="T21:U22"/>
    <mergeCell ref="T23:T24"/>
    <mergeCell ref="U23:U24"/>
    <mergeCell ref="R23:R24"/>
    <mergeCell ref="E26:G26"/>
    <mergeCell ref="E31:G31"/>
    <mergeCell ref="E33:G33"/>
    <mergeCell ref="E32:G32"/>
    <mergeCell ref="E35:G35"/>
    <mergeCell ref="E27:G27"/>
    <mergeCell ref="E29:G29"/>
    <mergeCell ref="E30:G30"/>
    <mergeCell ref="E34:G34"/>
    <mergeCell ref="E28:G28"/>
    <mergeCell ref="E132:V132"/>
    <mergeCell ref="E133:V133"/>
    <mergeCell ref="E134:V134"/>
    <mergeCell ref="E135:V135"/>
    <mergeCell ref="AE31:AG31"/>
    <mergeCell ref="E38:G38"/>
    <mergeCell ref="E45:G45"/>
    <mergeCell ref="E39:G39"/>
    <mergeCell ref="E40:G40"/>
    <mergeCell ref="E36:G36"/>
    <mergeCell ref="E37:G37"/>
    <mergeCell ref="E41:G41"/>
    <mergeCell ref="E42:G42"/>
    <mergeCell ref="E43:G43"/>
    <mergeCell ref="E44:G44"/>
    <mergeCell ref="E92:G92"/>
    <mergeCell ref="E94:E97"/>
    <mergeCell ref="F94:G94"/>
    <mergeCell ref="F95:G95"/>
    <mergeCell ref="F96:G96"/>
    <mergeCell ref="F97:G97"/>
    <mergeCell ref="E59:G59"/>
    <mergeCell ref="E62:G62"/>
    <mergeCell ref="E54:G54"/>
    <mergeCell ref="E56:G56"/>
    <mergeCell ref="E57:G57"/>
    <mergeCell ref="E60:G60"/>
    <mergeCell ref="E61:G61"/>
    <mergeCell ref="E51:G51"/>
    <mergeCell ref="E52:G52"/>
    <mergeCell ref="E53:G53"/>
    <mergeCell ref="E55:G55"/>
    <mergeCell ref="E58:G58"/>
    <mergeCell ref="E46:G46"/>
    <mergeCell ref="E47:G47"/>
    <mergeCell ref="E48:G48"/>
    <mergeCell ref="E49:G49"/>
    <mergeCell ref="E50:G50"/>
    <mergeCell ref="E90:G90"/>
    <mergeCell ref="E78:G78"/>
    <mergeCell ref="E79:G79"/>
    <mergeCell ref="E83:G83"/>
    <mergeCell ref="E85:G85"/>
    <mergeCell ref="E88:G88"/>
    <mergeCell ref="E80:G80"/>
    <mergeCell ref="O1:Q1"/>
    <mergeCell ref="E86:G86"/>
    <mergeCell ref="E76:G76"/>
    <mergeCell ref="E67:G67"/>
    <mergeCell ref="E68:G68"/>
    <mergeCell ref="E70:G70"/>
    <mergeCell ref="E71:G71"/>
    <mergeCell ref="E73:G73"/>
    <mergeCell ref="E74:G74"/>
    <mergeCell ref="E75:G75"/>
    <mergeCell ref="E63:G63"/>
    <mergeCell ref="E64:G64"/>
    <mergeCell ref="E66:G66"/>
    <mergeCell ref="E69:G69"/>
    <mergeCell ref="E72:G72"/>
    <mergeCell ref="E77:G77"/>
  </mergeCells>
  <phoneticPr fontId="0" type="noConversion"/>
  <conditionalFormatting sqref="O27 O31 O94:O98">
    <cfRule type="cellIs" dxfId="62" priority="159" operator="equal">
      <formula>$AE$27</formula>
    </cfRule>
  </conditionalFormatting>
  <conditionalFormatting sqref="O27 O31 O94:O98">
    <cfRule type="cellIs" dxfId="61" priority="158" operator="equal">
      <formula>$AF$27</formula>
    </cfRule>
  </conditionalFormatting>
  <conditionalFormatting sqref="O27 O31 O94:O98">
    <cfRule type="cellIs" dxfId="60" priority="157" operator="equal">
      <formula>$AG$27</formula>
    </cfRule>
  </conditionalFormatting>
  <conditionalFormatting sqref="O35:O50">
    <cfRule type="cellIs" dxfId="59" priority="153" operator="equal">
      <formula>$AE$27</formula>
    </cfRule>
  </conditionalFormatting>
  <conditionalFormatting sqref="O35:O50">
    <cfRule type="cellIs" dxfId="58" priority="152" operator="equal">
      <formula>$AF$27</formula>
    </cfRule>
  </conditionalFormatting>
  <conditionalFormatting sqref="O35:O50">
    <cfRule type="cellIs" dxfId="57" priority="151" operator="equal">
      <formula>$AG$27</formula>
    </cfRule>
  </conditionalFormatting>
  <conditionalFormatting sqref="O52:O54">
    <cfRule type="cellIs" dxfId="56" priority="150" operator="equal">
      <formula>$AE$27</formula>
    </cfRule>
  </conditionalFormatting>
  <conditionalFormatting sqref="O52:O54">
    <cfRule type="cellIs" dxfId="55" priority="149" operator="equal">
      <formula>$AF$27</formula>
    </cfRule>
  </conditionalFormatting>
  <conditionalFormatting sqref="O52:O54">
    <cfRule type="cellIs" dxfId="54" priority="148" operator="equal">
      <formula>$AG$27</formula>
    </cfRule>
  </conditionalFormatting>
  <conditionalFormatting sqref="O56:O57">
    <cfRule type="cellIs" dxfId="53" priority="147" operator="equal">
      <formula>$AE$27</formula>
    </cfRule>
  </conditionalFormatting>
  <conditionalFormatting sqref="O56:O57">
    <cfRule type="cellIs" dxfId="52" priority="146" operator="equal">
      <formula>$AF$27</formula>
    </cfRule>
  </conditionalFormatting>
  <conditionalFormatting sqref="O56:O57">
    <cfRule type="cellIs" dxfId="51" priority="145" operator="equal">
      <formula>$AG$27</formula>
    </cfRule>
  </conditionalFormatting>
  <conditionalFormatting sqref="O59:O79">
    <cfRule type="cellIs" dxfId="50" priority="144" operator="equal">
      <formula>$AE$27</formula>
    </cfRule>
  </conditionalFormatting>
  <conditionalFormatting sqref="O59:O79">
    <cfRule type="cellIs" dxfId="49" priority="143" operator="equal">
      <formula>$AF$27</formula>
    </cfRule>
  </conditionalFormatting>
  <conditionalFormatting sqref="O59:O79">
    <cfRule type="cellIs" dxfId="48" priority="142" operator="equal">
      <formula>$AG$27</formula>
    </cfRule>
  </conditionalFormatting>
  <conditionalFormatting sqref="O85">
    <cfRule type="cellIs" dxfId="47" priority="141" operator="equal">
      <formula>$AE$27</formula>
    </cfRule>
  </conditionalFormatting>
  <conditionalFormatting sqref="O85">
    <cfRule type="cellIs" dxfId="46" priority="140" operator="equal">
      <formula>$AF$27</formula>
    </cfRule>
  </conditionalFormatting>
  <conditionalFormatting sqref="O85">
    <cfRule type="cellIs" dxfId="45" priority="139" operator="equal">
      <formula>$AG$27</formula>
    </cfRule>
  </conditionalFormatting>
  <conditionalFormatting sqref="O34">
    <cfRule type="cellIs" dxfId="44" priority="138" operator="equal">
      <formula>$AE$27</formula>
    </cfRule>
  </conditionalFormatting>
  <conditionalFormatting sqref="O34">
    <cfRule type="cellIs" dxfId="43" priority="137" operator="equal">
      <formula>$AF$27</formula>
    </cfRule>
  </conditionalFormatting>
  <conditionalFormatting sqref="O34">
    <cfRule type="cellIs" dxfId="42" priority="136" operator="equal">
      <formula>$AG$27</formula>
    </cfRule>
  </conditionalFormatting>
  <conditionalFormatting sqref="O83">
    <cfRule type="cellIs" dxfId="41" priority="117" operator="equal">
      <formula>$AE$27</formula>
    </cfRule>
  </conditionalFormatting>
  <conditionalFormatting sqref="O83">
    <cfRule type="cellIs" dxfId="40" priority="116" operator="equal">
      <formula>$AF$27</formula>
    </cfRule>
  </conditionalFormatting>
  <conditionalFormatting sqref="O83">
    <cfRule type="cellIs" dxfId="39" priority="115" operator="equal">
      <formula>$AG$27</formula>
    </cfRule>
  </conditionalFormatting>
  <conditionalFormatting sqref="O88">
    <cfRule type="cellIs" dxfId="38" priority="39" operator="equal">
      <formula>$AE$27</formula>
    </cfRule>
  </conditionalFormatting>
  <conditionalFormatting sqref="O88">
    <cfRule type="cellIs" dxfId="37" priority="38" operator="equal">
      <formula>$AF$27</formula>
    </cfRule>
  </conditionalFormatting>
  <conditionalFormatting sqref="O88">
    <cfRule type="cellIs" dxfId="36" priority="37" operator="equal">
      <formula>$AG$27</formula>
    </cfRule>
  </conditionalFormatting>
  <conditionalFormatting sqref="O90">
    <cfRule type="cellIs" dxfId="35" priority="36" operator="equal">
      <formula>$AE$27</formula>
    </cfRule>
  </conditionalFormatting>
  <conditionalFormatting sqref="O90">
    <cfRule type="cellIs" dxfId="34" priority="35" operator="equal">
      <formula>$AF$27</formula>
    </cfRule>
  </conditionalFormatting>
  <conditionalFormatting sqref="O90">
    <cfRule type="cellIs" dxfId="33" priority="34" operator="equal">
      <formula>$AG$27</formula>
    </cfRule>
  </conditionalFormatting>
  <conditionalFormatting sqref="O92">
    <cfRule type="cellIs" dxfId="32" priority="33" operator="equal">
      <formula>$AE$27</formula>
    </cfRule>
  </conditionalFormatting>
  <conditionalFormatting sqref="O92">
    <cfRule type="cellIs" dxfId="31" priority="32" operator="equal">
      <formula>$AF$27</formula>
    </cfRule>
  </conditionalFormatting>
  <conditionalFormatting sqref="O92">
    <cfRule type="cellIs" dxfId="30" priority="31" operator="equal">
      <formula>$AG$27</formula>
    </cfRule>
  </conditionalFormatting>
  <conditionalFormatting sqref="O30">
    <cfRule type="cellIs" dxfId="29" priority="30" operator="equal">
      <formula>$AE$27</formula>
    </cfRule>
  </conditionalFormatting>
  <conditionalFormatting sqref="O30">
    <cfRule type="cellIs" dxfId="28" priority="29" operator="equal">
      <formula>$AF$27</formula>
    </cfRule>
  </conditionalFormatting>
  <conditionalFormatting sqref="O30">
    <cfRule type="cellIs" dxfId="27" priority="28" operator="equal">
      <formula>$AG$27</formula>
    </cfRule>
  </conditionalFormatting>
  <conditionalFormatting sqref="O26">
    <cfRule type="cellIs" dxfId="26" priority="27" operator="equal">
      <formula>$AE$27</formula>
    </cfRule>
  </conditionalFormatting>
  <conditionalFormatting sqref="O26">
    <cfRule type="cellIs" dxfId="25" priority="26" operator="equal">
      <formula>$AF$27</formula>
    </cfRule>
  </conditionalFormatting>
  <conditionalFormatting sqref="O26">
    <cfRule type="cellIs" dxfId="24" priority="25" operator="equal">
      <formula>$AG$27</formula>
    </cfRule>
  </conditionalFormatting>
  <conditionalFormatting sqref="O51">
    <cfRule type="cellIs" dxfId="23" priority="24" operator="equal">
      <formula>$AE$27</formula>
    </cfRule>
  </conditionalFormatting>
  <conditionalFormatting sqref="O51">
    <cfRule type="cellIs" dxfId="22" priority="23" operator="equal">
      <formula>$AF$27</formula>
    </cfRule>
  </conditionalFormatting>
  <conditionalFormatting sqref="O51">
    <cfRule type="cellIs" dxfId="21" priority="22" operator="equal">
      <formula>$AG$27</formula>
    </cfRule>
  </conditionalFormatting>
  <conditionalFormatting sqref="O55">
    <cfRule type="cellIs" dxfId="20" priority="21" operator="equal">
      <formula>$AE$27</formula>
    </cfRule>
  </conditionalFormatting>
  <conditionalFormatting sqref="O55">
    <cfRule type="cellIs" dxfId="19" priority="20" operator="equal">
      <formula>$AF$27</formula>
    </cfRule>
  </conditionalFormatting>
  <conditionalFormatting sqref="O55">
    <cfRule type="cellIs" dxfId="18" priority="19" operator="equal">
      <formula>$AG$27</formula>
    </cfRule>
  </conditionalFormatting>
  <conditionalFormatting sqref="O58">
    <cfRule type="cellIs" dxfId="17" priority="18" operator="equal">
      <formula>$AE$27</formula>
    </cfRule>
  </conditionalFormatting>
  <conditionalFormatting sqref="O58">
    <cfRule type="cellIs" dxfId="16" priority="17" operator="equal">
      <formula>$AF$27</formula>
    </cfRule>
  </conditionalFormatting>
  <conditionalFormatting sqref="O58">
    <cfRule type="cellIs" dxfId="15" priority="16" operator="equal">
      <formula>$AG$27</formula>
    </cfRule>
  </conditionalFormatting>
  <conditionalFormatting sqref="O33">
    <cfRule type="cellIs" dxfId="14" priority="15" operator="equal">
      <formula>$AE$27</formula>
    </cfRule>
  </conditionalFormatting>
  <conditionalFormatting sqref="O33">
    <cfRule type="cellIs" dxfId="13" priority="14" operator="equal">
      <formula>$AF$27</formula>
    </cfRule>
  </conditionalFormatting>
  <conditionalFormatting sqref="O33">
    <cfRule type="cellIs" dxfId="12" priority="13" operator="equal">
      <formula>$AG$27</formula>
    </cfRule>
  </conditionalFormatting>
  <conditionalFormatting sqref="O32">
    <cfRule type="cellIs" dxfId="11" priority="12" operator="equal">
      <formula>$AE$27</formula>
    </cfRule>
  </conditionalFormatting>
  <conditionalFormatting sqref="O32">
    <cfRule type="cellIs" dxfId="10" priority="11" operator="equal">
      <formula>$AF$27</formula>
    </cfRule>
  </conditionalFormatting>
  <conditionalFormatting sqref="O32">
    <cfRule type="cellIs" dxfId="9" priority="10" operator="equal">
      <formula>$AG$27</formula>
    </cfRule>
  </conditionalFormatting>
  <conditionalFormatting sqref="O80:O81">
    <cfRule type="cellIs" dxfId="8" priority="9" operator="equal">
      <formula>$AE$27</formula>
    </cfRule>
  </conditionalFormatting>
  <conditionalFormatting sqref="O80:O81">
    <cfRule type="cellIs" dxfId="7" priority="8" operator="equal">
      <formula>$AF$27</formula>
    </cfRule>
  </conditionalFormatting>
  <conditionalFormatting sqref="O80:O81">
    <cfRule type="cellIs" dxfId="6" priority="7" operator="equal">
      <formula>$AG$27</formula>
    </cfRule>
  </conditionalFormatting>
  <conditionalFormatting sqref="O86">
    <cfRule type="cellIs" dxfId="5" priority="6" operator="equal">
      <formula>$AE$27</formula>
    </cfRule>
  </conditionalFormatting>
  <conditionalFormatting sqref="O86">
    <cfRule type="cellIs" dxfId="4" priority="5" operator="equal">
      <formula>$AF$27</formula>
    </cfRule>
  </conditionalFormatting>
  <conditionalFormatting sqref="O86">
    <cfRule type="cellIs" dxfId="3" priority="4" operator="equal">
      <formula>$AG$27</formula>
    </cfRule>
  </conditionalFormatting>
  <conditionalFormatting sqref="O28">
    <cfRule type="cellIs" dxfId="2" priority="3" operator="equal">
      <formula>$AE$27</formula>
    </cfRule>
  </conditionalFormatting>
  <conditionalFormatting sqref="O28">
    <cfRule type="cellIs" dxfId="1" priority="2" operator="equal">
      <formula>$AF$27</formula>
    </cfRule>
  </conditionalFormatting>
  <conditionalFormatting sqref="O28">
    <cfRule type="cellIs" dxfId="0" priority="1" operator="equal">
      <formula>$AG$27</formula>
    </cfRule>
  </conditionalFormatting>
  <dataValidations disablePrompts="1" count="2">
    <dataValidation type="list" allowBlank="1" showInputMessage="1" showErrorMessage="1" sqref="F16">
      <formula1>Language</formula1>
    </dataValidation>
    <dataValidation type="list" allowBlank="1" showInputMessage="1" showErrorMessage="1" sqref="F24">
      <formula1>$AD$13:$AD$15</formula1>
    </dataValidation>
  </dataValidations>
  <printOptions horizontalCentered="1"/>
  <pageMargins left="0" right="0" top="7.874015748031496E-2" bottom="7.874015748031496E-2" header="0.15748031496062992" footer="0.15748031496062992"/>
  <pageSetup paperSize="9" scale="32" fitToHeight="0" orientation="portrait" r:id="rId1"/>
  <headerFooter alignWithMargins="0">
    <oddFooter>&amp;LConfidentiel&amp;C&amp;D&amp;RPage &amp;P</oddFooter>
  </headerFooter>
  <colBreaks count="1" manualBreakCount="1">
    <brk id="21" max="1048575" man="1"/>
  </colBreak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 moveWithCells="1">
              <from>
                <xdr:col>5</xdr:col>
                <xdr:colOff>152400</xdr:colOff>
                <xdr:row>21</xdr:row>
                <xdr:rowOff>0</xdr:rowOff>
              </from>
              <to>
                <xdr:col>6</xdr:col>
                <xdr:colOff>571500</xdr:colOff>
                <xdr:row>22</xdr:row>
                <xdr:rowOff>247650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21</vt:i4>
      </vt:variant>
    </vt:vector>
  </HeadingPairs>
  <TitlesOfParts>
    <vt:vector size="23" baseType="lpstr">
      <vt:lpstr>Context</vt:lpstr>
      <vt:lpstr>PL</vt:lpstr>
      <vt:lpstr>ActualForecastAdmin</vt:lpstr>
      <vt:lpstr>ActualMonth</vt:lpstr>
      <vt:lpstr>ActualMonthYTD</vt:lpstr>
      <vt:lpstr>Context!AutoRefresh_PL</vt:lpstr>
      <vt:lpstr>AutoRefresh_PL</vt:lpstr>
      <vt:lpstr>Cube1</vt:lpstr>
      <vt:lpstr>Cube2</vt:lpstr>
      <vt:lpstr>DBS_COM_pl_1</vt:lpstr>
      <vt:lpstr>DBS_COM_pl_2</vt:lpstr>
      <vt:lpstr>DBS_COM_pl_3</vt:lpstr>
      <vt:lpstr>DBS_COM_pl_4</vt:lpstr>
      <vt:lpstr>Flag_Send_Comment</vt:lpstr>
      <vt:lpstr>Flag_Send_Data</vt:lpstr>
      <vt:lpstr>PL!Impression_des_titres</vt:lpstr>
      <vt:lpstr>Language</vt:lpstr>
      <vt:lpstr>LocalLanguage</vt:lpstr>
      <vt:lpstr>LocalLanguage2</vt:lpstr>
      <vt:lpstr>Note</vt:lpstr>
      <vt:lpstr>Server</vt:lpstr>
      <vt:lpstr>xServer</vt:lpstr>
      <vt:lpstr>PL!Zone_d_impression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SAINT JOHN de CREVECOEUR, Rozenn</cp:lastModifiedBy>
  <cp:lastPrinted>2014-05-26T16:04:41Z</cp:lastPrinted>
  <dcterms:created xsi:type="dcterms:W3CDTF">2011-06-21T16:52:24Z</dcterms:created>
  <dcterms:modified xsi:type="dcterms:W3CDTF">2021-11-23T12:26:52Z</dcterms:modified>
</cp:coreProperties>
</file>