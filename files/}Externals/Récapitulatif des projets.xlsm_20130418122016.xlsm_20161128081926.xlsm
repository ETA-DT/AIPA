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7605" windowHeight="3930" tabRatio="852" firstSheet="1" activeTab="1"/>
  </bookViews>
  <sheets>
    <sheet name="Context" sheetId="66" state="hidden" r:id="rId1"/>
    <sheet name="Recapitulatif_Projets" sheetId="67" r:id="rId2"/>
  </sheets>
  <functionGroups builtInGroupCount="17"/>
  <definedNames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ualBudgetAdmin">Context!$C$14</definedName>
    <definedName name="ActualForecast1Admin">Context!$C$15</definedName>
    <definedName name="ActualForecast2Admin">Context!$C$16</definedName>
    <definedName name="ActualMonth">Context!$B$13</definedName>
    <definedName name="ActualMonthYTD">Context!$F$13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">Recapitulatif_Projets!$G$34:$P$61</definedName>
    <definedName name="AutoRefresh_Couts_bruts_Couts_net">#REF!</definedName>
    <definedName name="AutoRefresh_Input_PL">#REF!</definedName>
    <definedName name="AutoRefresh_Recapitulatif_Projets">Recapitulatif_Projets!$E$10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be1">Context!$B$11</definedName>
    <definedName name="Cube2">Context!$B$12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_xlnm.Print_Titles" localSheetId="1">Recapitulatif_Projets!$C:$P,Recapitulatif_Projets!$15:$34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LocalLanguage2">Context!$C$17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ote">Context!$B$23:$B$25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M1RPTDATARNGARPT1" localSheetId="1">Recapitulatif_Projets!$58:$60</definedName>
    <definedName name="TM1RPTFMTIDCOL" localSheetId="1">Recapitulatif_Projets!$A$1:$A$8</definedName>
    <definedName name="TM1RPTFMTRNG" localSheetId="1">Recapitulatif_Projets!$D$1:$P$8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  <definedName name="_xlnm.Print_Area" localSheetId="1">Recapitulatif_Projets!$C$15:$Q$99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A60" i="67" l="1"/>
  <c r="A59" i="67"/>
  <c r="D39" i="67"/>
  <c r="E31" i="67"/>
  <c r="E41" i="67"/>
  <c r="E24" i="67"/>
  <c r="E42" i="67"/>
  <c r="E25" i="67"/>
  <c r="E43" i="67"/>
  <c r="E44" i="67"/>
  <c r="E27" i="67"/>
  <c r="E45" i="67"/>
  <c r="E29" i="67"/>
  <c r="E46" i="67"/>
  <c r="E47" i="67"/>
  <c r="E28" i="67"/>
  <c r="G12" i="67"/>
  <c r="I11" i="67"/>
  <c r="U60" i="67"/>
  <c r="J11" i="67"/>
  <c r="T60" i="67"/>
  <c r="H60" i="67"/>
  <c r="I60" i="67"/>
  <c r="N60" i="67"/>
  <c r="O60" i="67"/>
  <c r="P60" i="67"/>
  <c r="H11" i="67"/>
  <c r="G60" i="67"/>
  <c r="K60" i="67"/>
  <c r="L60" i="67"/>
  <c r="M60" i="67"/>
  <c r="U59" i="67"/>
  <c r="T59" i="67"/>
  <c r="H59" i="67"/>
  <c r="I59" i="67"/>
  <c r="N59" i="67"/>
  <c r="O59" i="67"/>
  <c r="P59" i="67"/>
  <c r="G59" i="67"/>
  <c r="K59" i="67"/>
  <c r="L59" i="67"/>
  <c r="M59" i="67"/>
  <c r="E30" i="67"/>
  <c r="D38" i="67"/>
  <c r="D58" i="67"/>
  <c r="V22" i="67"/>
  <c r="G32" i="67"/>
  <c r="B5" i="66"/>
  <c r="B13" i="66"/>
  <c r="U71" i="67"/>
  <c r="X71" i="67"/>
  <c r="U72" i="67"/>
  <c r="U73" i="67"/>
  <c r="Z81" i="67"/>
  <c r="U76" i="67"/>
  <c r="Z76" i="67"/>
  <c r="C13" i="66"/>
  <c r="D13" i="66"/>
  <c r="E13" i="66"/>
  <c r="F13" i="66"/>
  <c r="G36" i="67"/>
  <c r="AA76" i="67"/>
  <c r="AA77" i="67"/>
  <c r="AA78" i="67"/>
  <c r="Y75" i="67"/>
  <c r="AA79" i="67"/>
  <c r="U82" i="67"/>
  <c r="AA82" i="67"/>
  <c r="Z77" i="67"/>
  <c r="Z78" i="67"/>
  <c r="Z79" i="67"/>
  <c r="Z82" i="67"/>
  <c r="Y76" i="67"/>
  <c r="Y77" i="67"/>
  <c r="Y78" i="67"/>
  <c r="Y79" i="67"/>
  <c r="Y82" i="67"/>
  <c r="X76" i="67"/>
  <c r="X77" i="67"/>
  <c r="X78" i="67"/>
  <c r="X79" i="67"/>
  <c r="X82" i="67"/>
  <c r="W76" i="67"/>
  <c r="W77" i="67"/>
  <c r="W78" i="67"/>
  <c r="W79" i="67"/>
  <c r="W82" i="67"/>
  <c r="V76" i="67"/>
  <c r="V77" i="67"/>
  <c r="V78" i="67"/>
  <c r="V79" i="67"/>
  <c r="V82" i="67"/>
  <c r="A58" i="67"/>
  <c r="AA80" i="67"/>
  <c r="U84" i="67"/>
  <c r="AA84" i="67"/>
  <c r="Z80" i="67"/>
  <c r="Z84" i="67"/>
  <c r="Y80" i="67"/>
  <c r="Y84" i="67"/>
  <c r="X80" i="67"/>
  <c r="X84" i="67"/>
  <c r="W80" i="67"/>
  <c r="W84" i="67"/>
  <c r="V80" i="67"/>
  <c r="V84" i="67"/>
  <c r="U83" i="67"/>
  <c r="AA83" i="67"/>
  <c r="Z83" i="67"/>
  <c r="Y83" i="67"/>
  <c r="X83" i="67"/>
  <c r="W83" i="67"/>
  <c r="V83" i="67"/>
  <c r="A5" i="67"/>
  <c r="A4" i="67"/>
  <c r="A3" i="67"/>
  <c r="A2" i="67"/>
  <c r="D67" i="67"/>
  <c r="D68" i="67"/>
  <c r="D66" i="67"/>
  <c r="D65" i="67"/>
  <c r="I36" i="67"/>
  <c r="H36" i="67"/>
  <c r="D64" i="67"/>
  <c r="I58" i="67"/>
  <c r="H58" i="67"/>
  <c r="G58" i="67"/>
  <c r="T58" i="67"/>
  <c r="B17" i="66"/>
  <c r="C17" i="66"/>
  <c r="AA81" i="67"/>
  <c r="Y81" i="67"/>
  <c r="X81" i="67"/>
  <c r="W81" i="67"/>
  <c r="T83" i="67"/>
  <c r="T81" i="67"/>
  <c r="T84" i="67"/>
  <c r="T82" i="67"/>
  <c r="V81" i="67"/>
  <c r="U74" i="67"/>
  <c r="K58" i="67"/>
  <c r="N58" i="67"/>
  <c r="O58" i="67"/>
  <c r="P58" i="67"/>
  <c r="L58" i="67"/>
  <c r="M58" i="67"/>
  <c r="N36" i="67"/>
  <c r="O36" i="67"/>
  <c r="P36" i="67"/>
  <c r="K36" i="67"/>
  <c r="L36" i="67"/>
  <c r="M36" i="67"/>
  <c r="P34" i="67"/>
  <c r="I34" i="67"/>
  <c r="H34" i="67"/>
  <c r="N34" i="67"/>
  <c r="M34" i="67"/>
  <c r="G34" i="67"/>
  <c r="K34" i="67"/>
  <c r="K32" i="67"/>
  <c r="M20" i="67"/>
  <c r="D36" i="67"/>
  <c r="U58" i="67"/>
  <c r="E20" i="67"/>
  <c r="D26" i="67"/>
  <c r="D25" i="67"/>
  <c r="D24" i="67"/>
  <c r="D31" i="67"/>
  <c r="D30" i="67"/>
  <c r="D27" i="67"/>
  <c r="D29" i="67"/>
  <c r="D28" i="67"/>
  <c r="D23" i="67"/>
  <c r="B14" i="66"/>
  <c r="B16" i="66"/>
  <c r="B15" i="66"/>
</calcChain>
</file>

<file path=xl/sharedStrings.xml><?xml version="1.0" encoding="utf-8"?>
<sst xmlns="http://schemas.openxmlformats.org/spreadsheetml/2006/main" count="123" uniqueCount="111">
  <si>
    <t>Phase</t>
  </si>
  <si>
    <t>English</t>
  </si>
  <si>
    <t>Local language</t>
  </si>
  <si>
    <t>Host Server :</t>
  </si>
  <si>
    <t>Server Name :</t>
  </si>
  <si>
    <t>Administration Generic Context :</t>
  </si>
  <si>
    <t>Excel Report Context :</t>
  </si>
  <si>
    <t>xServer</t>
  </si>
  <si>
    <t xml:space="preserve"> </t>
  </si>
  <si>
    <t>Actual Month :</t>
  </si>
  <si>
    <t>Dutch</t>
  </si>
  <si>
    <t>German</t>
  </si>
  <si>
    <t>Portugese</t>
  </si>
  <si>
    <t>Cube n°1 :</t>
  </si>
  <si>
    <t>Cube n°2 :</t>
  </si>
  <si>
    <t>Currency</t>
  </si>
  <si>
    <t>Gaap</t>
  </si>
  <si>
    <t>Flag Send Data :</t>
  </si>
  <si>
    <t>Budget Version :</t>
  </si>
  <si>
    <t>Forecast Version 1</t>
  </si>
  <si>
    <t>Sheets Context Legend :</t>
  </si>
  <si>
    <t>Technical Named Cell for VBA process :</t>
  </si>
  <si>
    <t>Fixed Dimension Context</t>
  </si>
  <si>
    <t>z_Admin_Param Dimension Context</t>
  </si>
  <si>
    <t>A</t>
  </si>
  <si>
    <t>B</t>
  </si>
  <si>
    <t>C</t>
  </si>
  <si>
    <t>Language List :</t>
  </si>
  <si>
    <t>Note List :</t>
  </si>
  <si>
    <t>Flag Send Comment :</t>
  </si>
  <si>
    <t>Context_selection</t>
  </si>
  <si>
    <t>Management_organization</t>
  </si>
  <si>
    <t>Legal_organization</t>
  </si>
  <si>
    <t>z_Translate_Report</t>
  </si>
  <si>
    <t>Language</t>
  </si>
  <si>
    <t>TFR-AP019298</t>
  </si>
  <si>
    <t>Forecast Version 2</t>
  </si>
  <si>
    <t>List 1</t>
  </si>
  <si>
    <t>Period</t>
  </si>
  <si>
    <t>Name of the dimension concerning report translation</t>
  </si>
  <si>
    <t>RP_PL_Corp</t>
  </si>
  <si>
    <t>Français</t>
  </si>
  <si>
    <t>Integration_Rate</t>
  </si>
  <si>
    <t>Projets</t>
  </si>
  <si>
    <t>Matricules</t>
  </si>
  <si>
    <t>Legal_Organization_Corp</t>
  </si>
  <si>
    <t>Indicator_Corp</t>
  </si>
  <si>
    <t>Tiers</t>
  </si>
  <si>
    <t>Langue</t>
  </si>
  <si>
    <t>Budget</t>
  </si>
  <si>
    <t>ACT_TOT</t>
  </si>
  <si>
    <t>RP_Comments_PL_Corp</t>
  </si>
  <si>
    <t>Integration_rate</t>
  </si>
  <si>
    <t>Month</t>
  </si>
  <si>
    <t>Previous Month</t>
  </si>
  <si>
    <t>YTD</t>
  </si>
  <si>
    <t>Actual_N_1</t>
  </si>
  <si>
    <t>Chges_ope</t>
  </si>
  <si>
    <t>Variances</t>
  </si>
  <si>
    <t>Variance</t>
  </si>
  <si>
    <t>Trend arrows</t>
  </si>
  <si>
    <t>ì</t>
  </si>
  <si>
    <t>î</t>
  </si>
  <si>
    <t>è</t>
  </si>
  <si>
    <t>Phase for comments</t>
  </si>
  <si>
    <t>YearToDate</t>
  </si>
  <si>
    <t>Ytd</t>
  </si>
  <si>
    <t>Management_Organization_Corp</t>
  </si>
  <si>
    <t>Indicator_Corp for comments</t>
  </si>
  <si>
    <t>Actual</t>
  </si>
  <si>
    <t>output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</si>
  <si>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</si>
  <si>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</si>
  <si>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</si>
  <si>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</si>
  <si>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</si>
  <si>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</si>
  <si>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</si>
  <si>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</si>
  <si>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</si>
  <si>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</si>
  <si>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</si>
  <si>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</si>
  <si>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Recapitulatif_Projets</t>
  </si>
  <si>
    <t>ACT</t>
  </si>
  <si>
    <t>Periode</t>
  </si>
  <si>
    <t>2nd particule</t>
  </si>
  <si>
    <t>Mois 1 à 6</t>
  </si>
  <si>
    <t>Mois 7 à 12</t>
  </si>
  <si>
    <t>Mois 4 à 9</t>
  </si>
  <si>
    <t>Year</t>
  </si>
  <si>
    <t>ACTUAL</t>
  </si>
  <si>
    <t>ACTUAL N-1</t>
  </si>
  <si>
    <t>BUDG_TOT</t>
  </si>
  <si>
    <t>Projets_Direction</t>
  </si>
  <si>
    <t>AutoRefresh_Recapitulatif_Projets</t>
  </si>
  <si>
    <t>Eléments fixes</t>
  </si>
  <si>
    <t>Tot_tiers</t>
  </si>
  <si>
    <t>VTD</t>
  </si>
  <si>
    <t>Comments</t>
  </si>
  <si>
    <t>Comment_1</t>
  </si>
  <si>
    <t>Comment_2</t>
  </si>
  <si>
    <t>Comment_3</t>
  </si>
  <si>
    <t>Comment_4</t>
  </si>
  <si>
    <t>[Begin Format Range]</t>
  </si>
  <si>
    <t>D</t>
  </si>
  <si>
    <t>N</t>
  </si>
  <si>
    <t>[End Format Range]</t>
  </si>
  <si>
    <t>tango_core_model:</t>
  </si>
  <si>
    <t>Immobilier Bureaux</t>
  </si>
  <si>
    <t>Non affecté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</si>
</sst>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.00_);_(* \(#,##0.00\);_(* &quot;-&quot;??_);_(@_)"/>
    <numFmt numFmtId="165" formatCode="_-* #,##0.00\ _F_-;\-* #,##0.00\ _F_-;_-* &quot;-&quot;??\ _F_-;_-@_-"/>
    <numFmt numFmtId="166" formatCode="#,###,##0.00"/>
    <numFmt numFmtId="167" formatCode="#,###,##0.0"/>
    <numFmt numFmtId="168" formatCode="#,###,##0"/>
    <numFmt numFmtId="169" formatCode="0.00_)"/>
    <numFmt numFmtId="170" formatCode="#,###,##0.000"/>
    <numFmt numFmtId="171" formatCode="&quot;+ &quot;@"/>
    <numFmt numFmtId="172" formatCode="00"/>
    <numFmt numFmtId="173" formatCode="#,##0.0;&quot;(&quot;#,##0.0&quot;)&quot;"/>
    <numFmt numFmtId="174" formatCode="#,##0;&quot;(&quot;#,##0&quot;)&quot;"/>
  </numFmts>
  <fonts count="77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4"/>
      <name val="Calibri"/>
      <family val="2"/>
    </font>
    <font>
      <b/>
      <sz val="18"/>
      <color indexed="9"/>
      <name val="Calibri"/>
      <family val="2"/>
    </font>
    <font>
      <b/>
      <sz val="14"/>
      <color indexed="9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0"/>
      <color indexed="8"/>
      <name val="Times New Roman"/>
      <family val="1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8"/>
      <name val="Calibri"/>
      <family val="2"/>
    </font>
    <font>
      <sz val="15"/>
      <name val="Calibri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0"/>
      <color indexed="46"/>
      <name val="Arial"/>
      <family val="2"/>
    </font>
    <font>
      <b/>
      <sz val="10"/>
      <color indexed="9"/>
      <name val="Arial"/>
      <family val="2"/>
    </font>
    <font>
      <b/>
      <sz val="14"/>
      <color indexed="46"/>
      <name val="Arial"/>
      <family val="2"/>
    </font>
    <font>
      <b/>
      <sz val="12"/>
      <color indexed="45"/>
      <name val="Arial"/>
      <family val="2"/>
    </font>
    <font>
      <b/>
      <sz val="12"/>
      <name val="Arial"/>
      <family val="2"/>
    </font>
    <font>
      <sz val="10"/>
      <color indexed="9"/>
      <name val="Arial"/>
      <family val="2"/>
    </font>
    <font>
      <b/>
      <sz val="12"/>
      <color rgb="FFFF0000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2"/>
      <color rgb="FF0070C0"/>
      <name val="Arial"/>
      <family val="2"/>
    </font>
    <font>
      <b/>
      <sz val="11"/>
      <color rgb="FF00B050"/>
      <name val="Arial"/>
      <family val="2"/>
    </font>
    <font>
      <b/>
      <sz val="32"/>
      <color theme="0"/>
      <name val="Calibri"/>
      <family val="2"/>
    </font>
    <font>
      <b/>
      <sz val="11"/>
      <name val="Arial"/>
      <family val="2"/>
    </font>
    <font>
      <sz val="10"/>
      <color indexed="9"/>
      <name val="Calibri"/>
      <family val="2"/>
    </font>
    <font>
      <sz val="9"/>
      <color indexed="9"/>
      <name val="Calibri"/>
      <family val="2"/>
    </font>
    <font>
      <sz val="14"/>
      <name val="Calibri"/>
      <family val="2"/>
    </font>
    <font>
      <b/>
      <i/>
      <sz val="22"/>
      <color theme="0"/>
      <name val="Calibri"/>
      <family val="2"/>
    </font>
    <font>
      <b/>
      <sz val="18"/>
      <name val="Wingdings"/>
      <charset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0"/>
      <color indexed="8"/>
      <name val="Calibri"/>
      <family val="2"/>
    </font>
    <font>
      <sz val="10"/>
      <color indexed="8"/>
      <name val="Calibri"/>
      <family val="2"/>
    </font>
    <font>
      <b/>
      <sz val="10"/>
      <color rgb="FFFF0000"/>
      <name val="Arial"/>
      <family val="2"/>
    </font>
    <font>
      <b/>
      <sz val="11"/>
      <color rgb="FF0070C0"/>
      <name val="Arial"/>
      <family val="2"/>
    </font>
    <font>
      <b/>
      <sz val="20"/>
      <name val="Calibri"/>
      <family val="2"/>
    </font>
    <font>
      <sz val="18"/>
      <name val="Calibri"/>
      <family val="2"/>
    </font>
    <font>
      <b/>
      <sz val="18"/>
      <name val="Calibri"/>
      <family val="2"/>
    </font>
    <font>
      <sz val="16"/>
      <name val="Calibri"/>
      <family val="2"/>
    </font>
    <font>
      <b/>
      <sz val="16"/>
      <name val="Calibri"/>
      <family val="2"/>
    </font>
    <font>
      <b/>
      <sz val="16"/>
      <color indexed="57"/>
      <name val="Wingdings"/>
      <charset val="2"/>
    </font>
    <font>
      <b/>
      <sz val="15"/>
      <color indexed="57"/>
      <name val="Wingdings"/>
      <charset val="2"/>
    </font>
    <font>
      <b/>
      <sz val="15"/>
      <name val="Calibri"/>
      <family val="2"/>
    </font>
    <font>
      <b/>
      <sz val="20"/>
      <color theme="1"/>
      <name val="Calibri"/>
      <family val="2"/>
    </font>
    <font>
      <b/>
      <sz val="18"/>
      <color theme="1"/>
      <name val="Calibri"/>
      <family val="2"/>
    </font>
    <font>
      <b/>
      <sz val="16"/>
      <color theme="1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9"/>
      </patternFill>
    </fill>
    <fill>
      <patternFill patternType="solid">
        <fgColor indexed="27"/>
        <bgColor indexed="9"/>
      </patternFill>
    </fill>
    <fill>
      <patternFill patternType="solid">
        <fgColor indexed="1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DAFB7"/>
        <bgColor indexed="64"/>
      </patternFill>
    </fill>
    <fill>
      <patternFill patternType="solid">
        <fgColor rgb="FFADAFB6"/>
        <bgColor indexed="64"/>
      </patternFill>
    </fill>
    <fill>
      <patternFill patternType="solid">
        <fgColor rgb="FF7F899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0000"/>
        <bgColor auto="1"/>
      </patternFill>
    </fill>
  </fills>
  <borders count="4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/>
      <right/>
      <top/>
      <bottom style="medium">
        <color indexed="4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medium">
        <color indexed="23"/>
      </left>
      <right/>
      <top/>
      <bottom/>
      <diagonal/>
    </border>
    <border>
      <left style="dott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9"/>
      </bottom>
      <diagonal/>
    </border>
    <border>
      <left/>
      <right style="medium">
        <color indexed="9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indexed="9"/>
      </right>
      <top style="thick">
        <color indexed="9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indexed="23"/>
      </left>
      <right/>
      <top style="medium">
        <color indexed="23"/>
      </top>
      <bottom/>
      <diagonal/>
    </border>
    <border>
      <left/>
      <right/>
      <top style="medium">
        <color indexed="23"/>
      </top>
      <bottom/>
      <diagonal/>
    </border>
    <border>
      <left/>
      <right style="medium">
        <color indexed="23"/>
      </right>
      <top style="medium">
        <color indexed="23"/>
      </top>
      <bottom/>
      <diagonal/>
    </border>
    <border>
      <left/>
      <right style="medium">
        <color indexed="23"/>
      </right>
      <top/>
      <bottom/>
      <diagonal/>
    </border>
    <border>
      <left style="medium">
        <color indexed="23"/>
      </left>
      <right/>
      <top/>
      <bottom style="medium">
        <color indexed="64"/>
      </bottom>
      <diagonal/>
    </border>
    <border>
      <left/>
      <right style="medium">
        <color indexed="23"/>
      </right>
      <top/>
      <bottom style="medium">
        <color indexed="64"/>
      </bottom>
      <diagonal/>
    </border>
    <border>
      <left style="thick">
        <color indexed="9"/>
      </left>
      <right style="thick">
        <color indexed="9"/>
      </right>
      <top style="thick">
        <color indexed="9"/>
      </top>
      <bottom/>
      <diagonal/>
    </border>
    <border>
      <left style="thick">
        <color indexed="9"/>
      </left>
      <right/>
      <top style="thick">
        <color indexed="9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0" tint="-0.34998626667073579"/>
      </bottom>
      <diagonal/>
    </border>
  </borders>
  <cellStyleXfs count="288">
    <xf numFmtId="0" fontId="0" fillId="0" borderId="0"/>
    <xf numFmtId="0" fontId="11" fillId="2" borderId="0" applyNumberFormat="0" applyBorder="0" applyAlignment="0" applyProtection="0"/>
    <xf numFmtId="0" fontId="11" fillId="2" borderId="0" applyNumberFormat="0" applyBorder="0" applyAlignment="0" applyProtection="0"/>
    <xf numFmtId="0" fontId="11" fillId="2" borderId="0" applyNumberFormat="0" applyBorder="0" applyAlignment="0" applyProtection="0"/>
    <xf numFmtId="0" fontId="11" fillId="2" borderId="0" applyNumberFormat="0" applyBorder="0" applyAlignment="0" applyProtection="0"/>
    <xf numFmtId="0" fontId="11" fillId="2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3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6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9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10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11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9" fillId="19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3" fillId="3" borderId="0" applyNumberFormat="0" applyBorder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14" fillId="7" borderId="1" applyNumberFormat="0" applyAlignment="0" applyProtection="0"/>
    <xf numFmtId="0" fontId="8" fillId="20" borderId="3" applyNumberFormat="0" applyAlignment="0" applyProtection="0"/>
    <xf numFmtId="0" fontId="8" fillId="20" borderId="3" applyNumberFormat="0" applyAlignment="0" applyProtection="0"/>
    <xf numFmtId="0" fontId="8" fillId="20" borderId="3" applyNumberFormat="0" applyAlignment="0" applyProtection="0"/>
    <xf numFmtId="0" fontId="8" fillId="20" borderId="3" applyNumberFormat="0" applyAlignment="0" applyProtection="0"/>
    <xf numFmtId="0" fontId="10" fillId="0" borderId="4">
      <alignment horizontal="left" wrapText="1"/>
    </xf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8" fillId="4" borderId="0" applyNumberFormat="0" applyBorder="0" applyAlignment="0" applyProtection="0"/>
    <xf numFmtId="0" fontId="19" fillId="0" borderId="7" applyNumberFormat="0" applyFill="0" applyAlignment="0" applyProtection="0"/>
    <xf numFmtId="0" fontId="19" fillId="0" borderId="7" applyNumberFormat="0" applyFill="0" applyAlignment="0" applyProtection="0"/>
    <xf numFmtId="0" fontId="19" fillId="0" borderId="7" applyNumberFormat="0" applyFill="0" applyAlignment="0" applyProtection="0"/>
    <xf numFmtId="0" fontId="19" fillId="0" borderId="7" applyNumberFormat="0" applyFill="0" applyAlignment="0" applyProtection="0"/>
    <xf numFmtId="0" fontId="20" fillId="0" borderId="8" applyNumberFormat="0" applyFill="0" applyAlignment="0" applyProtection="0"/>
    <xf numFmtId="0" fontId="20" fillId="0" borderId="8" applyNumberFormat="0" applyFill="0" applyAlignment="0" applyProtection="0"/>
    <xf numFmtId="0" fontId="20" fillId="0" borderId="8" applyNumberFormat="0" applyFill="0" applyAlignment="0" applyProtection="0"/>
    <xf numFmtId="0" fontId="20" fillId="0" borderId="8" applyNumberFormat="0" applyFill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1" fillId="0" borderId="9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6" fillId="7" borderId="1" applyNumberFormat="0" applyAlignment="0" applyProtection="0"/>
    <xf numFmtId="0" fontId="13" fillId="3" borderId="0" applyNumberFormat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166" fontId="24" fillId="22" borderId="0" applyNumberFormat="0" applyBorder="0">
      <alignment horizontal="right"/>
      <protection locked="0"/>
    </xf>
    <xf numFmtId="0" fontId="15" fillId="0" borderId="2" applyNumberFormat="0" applyFill="0" applyAlignment="0" applyProtection="0"/>
    <xf numFmtId="0" fontId="15" fillId="0" borderId="2" applyNumberFormat="0" applyFill="0" applyAlignment="0" applyProtection="0"/>
    <xf numFmtId="0" fontId="15" fillId="0" borderId="2" applyNumberFormat="0" applyFill="0" applyAlignment="0" applyProtection="0"/>
    <xf numFmtId="0" fontId="15" fillId="0" borderId="2" applyNumberFormat="0" applyFill="0" applyAlignment="0" applyProtection="0"/>
    <xf numFmtId="0" fontId="15" fillId="0" borderId="2" applyNumberFormat="0" applyFill="0" applyAlignment="0" applyProtection="0"/>
    <xf numFmtId="167" fontId="25" fillId="23" borderId="0" applyNumberFormat="0" applyBorder="0">
      <alignment horizontal="right" vertical="center"/>
      <protection locked="0"/>
    </xf>
    <xf numFmtId="168" fontId="25" fillId="24" borderId="0" applyNumberFormat="0" applyBorder="0">
      <alignment horizontal="right" vertical="center"/>
      <protection locked="0"/>
    </xf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6" fillId="25" borderId="0"/>
    <xf numFmtId="0" fontId="27" fillId="26" borderId="0" applyNumberFormat="0" applyBorder="0" applyAlignment="0" applyProtection="0"/>
    <xf numFmtId="0" fontId="27" fillId="26" borderId="0" applyNumberFormat="0" applyBorder="0" applyAlignment="0" applyProtection="0"/>
    <xf numFmtId="0" fontId="27" fillId="26" borderId="0" applyNumberFormat="0" applyBorder="0" applyAlignment="0" applyProtection="0"/>
    <xf numFmtId="0" fontId="27" fillId="26" borderId="0" applyNumberFormat="0" applyBorder="0" applyAlignment="0" applyProtection="0"/>
    <xf numFmtId="0" fontId="27" fillId="26" borderId="0" applyNumberFormat="0" applyBorder="0" applyAlignment="0" applyProtection="0"/>
    <xf numFmtId="0" fontId="26" fillId="25" borderId="0"/>
    <xf numFmtId="0" fontId="26" fillId="25" borderId="0"/>
    <xf numFmtId="169" fontId="28" fillId="0" borderId="0"/>
    <xf numFmtId="0" fontId="2" fillId="0" borderId="0"/>
    <xf numFmtId="0" fontId="1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1" fillId="21" borderId="5" applyNumberFormat="0" applyFont="0" applyAlignment="0" applyProtection="0"/>
    <xf numFmtId="0" fontId="11" fillId="21" borderId="5" applyNumberFormat="0" applyFont="0" applyAlignment="0" applyProtection="0"/>
    <xf numFmtId="0" fontId="11" fillId="21" borderId="5" applyNumberFormat="0" applyFont="0" applyAlignment="0" applyProtection="0"/>
    <xf numFmtId="0" fontId="11" fillId="21" borderId="5" applyNumberFormat="0" applyFont="0" applyAlignment="0" applyProtection="0"/>
    <xf numFmtId="0" fontId="11" fillId="21" borderId="5" applyNumberFormat="0" applyFont="0" applyAlignment="0" applyProtection="0"/>
    <xf numFmtId="0" fontId="26" fillId="25" borderId="0"/>
    <xf numFmtId="0" fontId="29" fillId="7" borderId="10" applyNumberFormat="0" applyAlignment="0" applyProtection="0"/>
    <xf numFmtId="0" fontId="29" fillId="7" borderId="10" applyNumberFormat="0" applyAlignment="0" applyProtection="0"/>
    <xf numFmtId="0" fontId="29" fillId="7" borderId="10" applyNumberFormat="0" applyAlignment="0" applyProtection="0"/>
    <xf numFmtId="0" fontId="29" fillId="7" borderId="10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8" fillId="12" borderId="0" applyNumberFormat="0" applyBorder="0" applyAlignment="0" applyProtection="0"/>
    <xf numFmtId="0" fontId="29" fillId="27" borderId="10" applyNumberFormat="0" applyAlignment="0" applyProtection="0"/>
    <xf numFmtId="0" fontId="17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2" fillId="28" borderId="0" applyNumberFormat="0" applyBorder="0">
      <alignment horizontal="left" vertical="center"/>
      <protection locked="0"/>
    </xf>
    <xf numFmtId="170" fontId="33" fillId="22" borderId="0" applyNumberFormat="0" applyBorder="0">
      <alignment horizontal="left"/>
      <protection locked="0"/>
    </xf>
    <xf numFmtId="0" fontId="34" fillId="0" borderId="6" applyNumberFormat="0" applyFill="0" applyAlignment="0" applyProtection="0"/>
    <xf numFmtId="0" fontId="35" fillId="0" borderId="11" applyNumberFormat="0" applyFill="0" applyAlignment="0" applyProtection="0"/>
    <xf numFmtId="0" fontId="36" fillId="0" borderId="12" applyNumberFormat="0" applyFill="0" applyAlignment="0" applyProtection="0"/>
    <xf numFmtId="0" fontId="36" fillId="0" borderId="0" applyNumberFormat="0" applyFill="0" applyBorder="0" applyAlignment="0" applyProtection="0"/>
    <xf numFmtId="0" fontId="37" fillId="0" borderId="13" applyNumberFormat="0" applyFill="0" applyAlignment="0" applyProtection="0"/>
    <xf numFmtId="0" fontId="37" fillId="0" borderId="13" applyNumberFormat="0" applyFill="0" applyAlignment="0" applyProtection="0"/>
    <xf numFmtId="0" fontId="37" fillId="0" borderId="13" applyNumberFormat="0" applyFill="0" applyAlignment="0" applyProtection="0"/>
    <xf numFmtId="0" fontId="37" fillId="0" borderId="13" applyNumberFormat="0" applyFill="0" applyAlignment="0" applyProtection="0"/>
    <xf numFmtId="0" fontId="37" fillId="0" borderId="13" applyNumberFormat="0" applyFill="0" applyAlignment="0" applyProtection="0"/>
    <xf numFmtId="0" fontId="8" fillId="20" borderId="3" applyNumberFormat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64">
    <xf numFmtId="0" fontId="0" fillId="0" borderId="0" xfId="0"/>
    <xf numFmtId="0" fontId="5" fillId="34" borderId="17" xfId="196" applyFont="1" applyFill="1" applyBorder="1" applyAlignment="1">
      <alignment horizontal="left" vertical="center"/>
    </xf>
    <xf numFmtId="0" fontId="6" fillId="45" borderId="0" xfId="196" applyFont="1" applyFill="1" applyBorder="1" applyAlignment="1">
      <alignment horizontal="left" vertical="center"/>
    </xf>
    <xf numFmtId="0" fontId="4" fillId="44" borderId="0" xfId="0" applyFont="1" applyFill="1" applyAlignment="1" applyProtection="1">
      <alignment horizontal="left" indent="1"/>
    </xf>
    <xf numFmtId="0" fontId="4" fillId="0" borderId="0" xfId="205" applyFont="1" applyFill="1" applyBorder="1" applyAlignment="1" applyProtection="1">
      <alignment horizontal="left" vertical="center"/>
    </xf>
    <xf numFmtId="0" fontId="5" fillId="0" borderId="0" xfId="222" applyFont="1" applyAlignment="1" applyProtection="1"/>
    <xf numFmtId="0" fontId="43" fillId="0" borderId="0" xfId="0" applyFont="1" applyFill="1" applyProtection="1">
      <protection locked="0"/>
    </xf>
    <xf numFmtId="0" fontId="2" fillId="0" borderId="0" xfId="0" applyFont="1" applyProtection="1">
      <protection locked="0"/>
    </xf>
    <xf numFmtId="0" fontId="0" fillId="0" borderId="0" xfId="0" applyProtection="1">
      <protection locked="0"/>
    </xf>
    <xf numFmtId="0" fontId="44" fillId="30" borderId="14" xfId="0" applyFont="1" applyFill="1" applyBorder="1" applyAlignment="1" applyProtection="1">
      <alignment horizontal="left"/>
      <protection locked="0"/>
    </xf>
    <xf numFmtId="0" fontId="42" fillId="30" borderId="15" xfId="0" applyFont="1" applyFill="1" applyBorder="1" applyProtection="1">
      <protection locked="0"/>
    </xf>
    <xf numFmtId="0" fontId="41" fillId="31" borderId="16" xfId="0" applyFont="1" applyFill="1" applyBorder="1" applyProtection="1">
      <protection locked="0"/>
    </xf>
    <xf numFmtId="0" fontId="41" fillId="0" borderId="16" xfId="0" applyFont="1" applyBorder="1" applyProtection="1">
      <protection locked="0"/>
    </xf>
    <xf numFmtId="0" fontId="41" fillId="0" borderId="16" xfId="0" applyNumberFormat="1" applyFont="1" applyBorder="1" applyProtection="1">
      <protection locked="0"/>
    </xf>
    <xf numFmtId="0" fontId="0" fillId="0" borderId="0" xfId="0" applyBorder="1" applyProtection="1"/>
    <xf numFmtId="0" fontId="45" fillId="32" borderId="4" xfId="0" applyFont="1" applyFill="1" applyBorder="1" applyAlignment="1" applyProtection="1">
      <alignment horizontal="center"/>
    </xf>
    <xf numFmtId="0" fontId="0" fillId="33" borderId="4" xfId="0" applyFill="1" applyBorder="1" applyProtection="1">
      <protection locked="0"/>
    </xf>
    <xf numFmtId="0" fontId="0" fillId="30" borderId="4" xfId="0" applyFill="1" applyBorder="1" applyProtection="1">
      <protection locked="0"/>
    </xf>
    <xf numFmtId="0" fontId="41" fillId="0" borderId="18" xfId="0" applyFont="1" applyBorder="1" applyProtection="1">
      <protection locked="0"/>
    </xf>
    <xf numFmtId="0" fontId="0" fillId="0" borderId="0" xfId="0" applyProtection="1"/>
    <xf numFmtId="0" fontId="2" fillId="0" borderId="0" xfId="0" applyFont="1" applyProtection="1"/>
    <xf numFmtId="0" fontId="6" fillId="0" borderId="0" xfId="0" applyFont="1" applyFill="1" applyBorder="1" applyAlignment="1" applyProtection="1">
      <alignment horizontal="left" vertical="center"/>
    </xf>
    <xf numFmtId="0" fontId="5" fillId="0" borderId="20" xfId="0" applyFont="1" applyFill="1" applyBorder="1" applyAlignment="1" applyProtection="1">
      <alignment horizontal="left" vertical="center"/>
      <protection locked="0"/>
    </xf>
    <xf numFmtId="0" fontId="5" fillId="0" borderId="0" xfId="0" applyFont="1" applyFill="1" applyBorder="1" applyAlignment="1" applyProtection="1">
      <alignment horizontal="left" vertical="center"/>
      <protection locked="0"/>
    </xf>
    <xf numFmtId="0" fontId="2" fillId="0" borderId="21" xfId="0" applyFont="1" applyBorder="1" applyProtection="1"/>
    <xf numFmtId="0" fontId="3" fillId="35" borderId="21" xfId="205" applyFont="1" applyFill="1" applyBorder="1" applyAlignment="1" applyProtection="1">
      <alignment horizontal="center" vertical="center"/>
    </xf>
    <xf numFmtId="0" fontId="0" fillId="0" borderId="24" xfId="0" applyBorder="1" applyProtection="1"/>
    <xf numFmtId="0" fontId="0" fillId="0" borderId="23" xfId="0" applyBorder="1" applyProtection="1"/>
    <xf numFmtId="0" fontId="40" fillId="34" borderId="0" xfId="0" applyFont="1" applyFill="1" applyBorder="1" applyAlignment="1" applyProtection="1">
      <alignment horizontal="right"/>
    </xf>
    <xf numFmtId="0" fontId="0" fillId="35" borderId="4" xfId="0" applyFill="1" applyBorder="1" applyProtection="1">
      <protection locked="0"/>
    </xf>
    <xf numFmtId="0" fontId="47" fillId="0" borderId="0" xfId="0" applyFont="1" applyAlignment="1" applyProtection="1">
      <alignment horizontal="right"/>
    </xf>
    <xf numFmtId="0" fontId="2" fillId="0" borderId="24" xfId="0" applyFont="1" applyBorder="1" applyProtection="1"/>
    <xf numFmtId="0" fontId="0" fillId="0" borderId="22" xfId="0" applyBorder="1" applyProtection="1"/>
    <xf numFmtId="0" fontId="49" fillId="36" borderId="0" xfId="0" applyFont="1" applyFill="1" applyBorder="1" applyProtection="1"/>
    <xf numFmtId="0" fontId="49" fillId="30" borderId="25" xfId="0" applyFont="1" applyFill="1" applyBorder="1" applyProtection="1"/>
    <xf numFmtId="0" fontId="50" fillId="0" borderId="0" xfId="0" applyFont="1"/>
    <xf numFmtId="0" fontId="10" fillId="0" borderId="0" xfId="0" applyFont="1" applyFill="1" applyBorder="1" applyProtection="1"/>
    <xf numFmtId="0" fontId="51" fillId="0" borderId="0" xfId="0" applyFont="1"/>
    <xf numFmtId="0" fontId="4" fillId="0" borderId="0" xfId="0" applyFont="1" applyFill="1" applyBorder="1" applyAlignment="1" applyProtection="1">
      <alignment horizontal="left" indent="1"/>
    </xf>
    <xf numFmtId="0" fontId="46" fillId="36" borderId="0" xfId="0" applyFont="1" applyFill="1" applyBorder="1" applyProtection="1"/>
    <xf numFmtId="0" fontId="3" fillId="0" borderId="0" xfId="222" applyFont="1" applyProtection="1"/>
    <xf numFmtId="0" fontId="54" fillId="0" borderId="0" xfId="205" applyFont="1" applyFill="1" applyBorder="1" applyAlignment="1" applyProtection="1">
      <alignment vertical="center"/>
    </xf>
    <xf numFmtId="0" fontId="3" fillId="0" borderId="0" xfId="222" applyFont="1" applyAlignment="1" applyProtection="1">
      <alignment horizontal="right" indent="1"/>
    </xf>
    <xf numFmtId="0" fontId="4" fillId="0" borderId="0" xfId="222" applyFont="1" applyAlignment="1" applyProtection="1">
      <alignment horizontal="right" indent="1"/>
    </xf>
    <xf numFmtId="0" fontId="54" fillId="0" borderId="0" xfId="205" applyFont="1" applyFill="1" applyBorder="1" applyAlignment="1" applyProtection="1">
      <alignment horizontal="right" vertical="center" indent="1"/>
    </xf>
    <xf numFmtId="0" fontId="55" fillId="0" borderId="0" xfId="205" applyFont="1" applyFill="1" applyBorder="1" applyAlignment="1" applyProtection="1">
      <alignment horizontal="right" vertical="center" indent="1"/>
    </xf>
    <xf numFmtId="0" fontId="2" fillId="0" borderId="0" xfId="0" applyFont="1"/>
    <xf numFmtId="0" fontId="0" fillId="0" borderId="23" xfId="0" applyFill="1" applyBorder="1" applyProtection="1"/>
    <xf numFmtId="0" fontId="10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2" fontId="0" fillId="0" borderId="0" xfId="0" applyNumberFormat="1" applyAlignment="1" applyProtection="1">
      <alignment horizontal="center"/>
      <protection locked="0"/>
    </xf>
    <xf numFmtId="0" fontId="58" fillId="0" borderId="24" xfId="0" applyFont="1" applyBorder="1" applyAlignment="1" applyProtection="1">
      <alignment horizontal="center"/>
    </xf>
    <xf numFmtId="0" fontId="40" fillId="34" borderId="0" xfId="0" applyFont="1" applyFill="1" applyBorder="1" applyAlignment="1" applyProtection="1">
      <alignment horizontal="left"/>
    </xf>
    <xf numFmtId="0" fontId="4" fillId="29" borderId="0" xfId="205" applyFont="1" applyFill="1" applyBorder="1" applyAlignment="1" applyProtection="1">
      <alignment horizontal="left" vertical="center"/>
    </xf>
    <xf numFmtId="0" fontId="4" fillId="29" borderId="0" xfId="205" applyFont="1" applyFill="1" applyBorder="1" applyAlignment="1" applyProtection="1">
      <alignment vertical="center"/>
    </xf>
    <xf numFmtId="0" fontId="4" fillId="37" borderId="0" xfId="205" applyFont="1" applyFill="1" applyBorder="1" applyAlignment="1" applyProtection="1">
      <alignment vertical="center"/>
    </xf>
    <xf numFmtId="0" fontId="4" fillId="37" borderId="0" xfId="205" applyFont="1" applyFill="1" applyBorder="1" applyAlignment="1" applyProtection="1">
      <alignment horizontal="left" vertical="center"/>
    </xf>
    <xf numFmtId="0" fontId="3" fillId="29" borderId="0" xfId="205" applyFont="1" applyFill="1" applyBorder="1" applyAlignment="1" applyProtection="1">
      <alignment horizontal="center" vertical="center"/>
    </xf>
    <xf numFmtId="0" fontId="47" fillId="0" borderId="0" xfId="0" applyFont="1" applyAlignment="1" applyProtection="1">
      <alignment horizontal="left" vertical="center"/>
    </xf>
    <xf numFmtId="0" fontId="59" fillId="0" borderId="0" xfId="205" applyFont="1" applyFill="1" applyBorder="1" applyAlignment="1" applyProtection="1">
      <alignment horizontal="center" vertical="center"/>
    </xf>
    <xf numFmtId="0" fontId="60" fillId="0" borderId="0" xfId="205" applyFont="1" applyFill="1" applyBorder="1" applyAlignment="1" applyProtection="1">
      <alignment horizontal="right" vertical="center"/>
    </xf>
    <xf numFmtId="0" fontId="60" fillId="0" borderId="0" xfId="205" applyFont="1" applyFill="1" applyBorder="1" applyAlignment="1" applyProtection="1">
      <alignment vertical="center"/>
    </xf>
    <xf numFmtId="0" fontId="61" fillId="0" borderId="0" xfId="205" applyFont="1" applyFill="1" applyBorder="1" applyAlignment="1" applyProtection="1">
      <alignment vertical="center"/>
    </xf>
    <xf numFmtId="3" fontId="62" fillId="0" borderId="4" xfId="205" applyNumberFormat="1" applyFont="1" applyFill="1" applyBorder="1" applyAlignment="1" applyProtection="1">
      <alignment horizontal="center" vertical="center"/>
    </xf>
    <xf numFmtId="3" fontId="63" fillId="0" borderId="0" xfId="205" applyNumberFormat="1" applyFont="1" applyFill="1" applyBorder="1" applyAlignment="1" applyProtection="1">
      <alignment vertical="center"/>
    </xf>
    <xf numFmtId="0" fontId="6" fillId="0" borderId="0" xfId="0" applyFont="1" applyFill="1" applyBorder="1" applyAlignment="1">
      <alignment horizontal="left" vertical="center"/>
    </xf>
    <xf numFmtId="0" fontId="64" fillId="34" borderId="0" xfId="0" applyFont="1" applyFill="1" applyBorder="1" applyAlignment="1" applyProtection="1">
      <alignment horizontal="left"/>
    </xf>
    <xf numFmtId="0" fontId="48" fillId="8" borderId="0" xfId="0" applyNumberFormat="1" applyFont="1" applyFill="1"/>
    <xf numFmtId="0" fontId="2" fillId="0" borderId="21" xfId="0" applyFont="1" applyFill="1" applyBorder="1"/>
    <xf numFmtId="0" fontId="2" fillId="0" borderId="23" xfId="0" applyFont="1" applyFill="1" applyBorder="1"/>
    <xf numFmtId="0" fontId="0" fillId="0" borderId="23" xfId="0" applyBorder="1"/>
    <xf numFmtId="0" fontId="0" fillId="0" borderId="21" xfId="0" applyBorder="1" applyProtection="1"/>
    <xf numFmtId="0" fontId="63" fillId="0" borderId="23" xfId="205" applyFont="1" applyFill="1" applyBorder="1" applyAlignment="1" applyProtection="1">
      <alignment vertical="center"/>
    </xf>
    <xf numFmtId="0" fontId="63" fillId="0" borderId="22" xfId="205" applyFont="1" applyFill="1" applyBorder="1" applyAlignment="1" applyProtection="1">
      <alignment vertical="center"/>
    </xf>
    <xf numFmtId="0" fontId="2" fillId="0" borderId="22" xfId="0" applyFont="1" applyBorder="1"/>
    <xf numFmtId="0" fontId="2" fillId="0" borderId="22" xfId="0" applyFont="1" applyFill="1" applyBorder="1"/>
    <xf numFmtId="0" fontId="0" fillId="0" borderId="0" xfId="0" applyBorder="1"/>
    <xf numFmtId="0" fontId="0" fillId="34" borderId="0" xfId="0" applyFill="1"/>
    <xf numFmtId="0" fontId="0" fillId="34" borderId="30" xfId="0" applyFill="1" applyBorder="1"/>
    <xf numFmtId="0" fontId="45" fillId="34" borderId="0" xfId="0" applyFont="1" applyFill="1" applyBorder="1" applyAlignment="1" applyProtection="1">
      <alignment horizontal="left"/>
    </xf>
    <xf numFmtId="171" fontId="38" fillId="0" borderId="0" xfId="222" applyNumberFormat="1" applyFont="1" applyFill="1" applyBorder="1" applyAlignment="1" applyProtection="1">
      <alignment horizontal="left" vertical="center" wrapText="1"/>
    </xf>
    <xf numFmtId="173" fontId="0" fillId="0" borderId="0" xfId="0" applyNumberFormat="1" applyAlignment="1">
      <alignment horizontal="right" indent="1"/>
    </xf>
    <xf numFmtId="0" fontId="2" fillId="34" borderId="0" xfId="0" applyFont="1" applyFill="1"/>
    <xf numFmtId="0" fontId="53" fillId="0" borderId="0" xfId="0" applyFont="1" applyProtection="1"/>
    <xf numFmtId="1" fontId="0" fillId="0" borderId="0" xfId="0" applyNumberFormat="1" applyProtection="1"/>
    <xf numFmtId="0" fontId="3" fillId="0" borderId="0" xfId="205" applyFont="1" applyFill="1" applyBorder="1" applyAlignment="1" applyProtection="1">
      <alignment horizontal="center" vertical="center"/>
    </xf>
    <xf numFmtId="0" fontId="65" fillId="0" borderId="0" xfId="0" applyFont="1" applyProtection="1"/>
    <xf numFmtId="0" fontId="2" fillId="38" borderId="0" xfId="0" applyFont="1" applyFill="1" applyProtection="1"/>
    <xf numFmtId="0" fontId="47" fillId="0" borderId="0" xfId="0" applyFont="1" applyBorder="1" applyAlignment="1" applyProtection="1">
      <alignment horizontal="left" vertical="center"/>
    </xf>
    <xf numFmtId="3" fontId="0" fillId="0" borderId="0" xfId="0" applyNumberFormat="1" applyBorder="1" applyProtection="1"/>
    <xf numFmtId="3" fontId="62" fillId="0" borderId="0" xfId="205" applyNumberFormat="1" applyFont="1" applyFill="1" applyBorder="1" applyAlignment="1" applyProtection="1">
      <alignment horizontal="center" vertical="center"/>
    </xf>
    <xf numFmtId="0" fontId="45" fillId="0" borderId="21" xfId="0" applyFont="1" applyBorder="1" applyAlignment="1" applyProtection="1">
      <alignment horizontal="center"/>
    </xf>
    <xf numFmtId="0" fontId="47" fillId="0" borderId="0" xfId="0" applyFont="1" applyBorder="1" applyAlignment="1" applyProtection="1">
      <alignment horizontal="center"/>
    </xf>
    <xf numFmtId="0" fontId="2" fillId="0" borderId="0" xfId="0" applyFont="1" applyBorder="1"/>
    <xf numFmtId="0" fontId="38" fillId="0" borderId="0" xfId="222" applyFont="1" applyFill="1" applyBorder="1" applyAlignment="1" applyProtection="1">
      <alignment horizontal="left" vertical="center" wrapText="1"/>
    </xf>
    <xf numFmtId="174" fontId="0" fillId="0" borderId="0" xfId="0" applyNumberFormat="1"/>
    <xf numFmtId="9" fontId="0" fillId="0" borderId="0" xfId="0" applyNumberFormat="1"/>
    <xf numFmtId="0" fontId="45" fillId="34" borderId="0" xfId="0" applyFont="1" applyFill="1" applyProtection="1"/>
    <xf numFmtId="0" fontId="0" fillId="34" borderId="42" xfId="0" applyFill="1" applyBorder="1" applyProtection="1"/>
    <xf numFmtId="0" fontId="47" fillId="34" borderId="0" xfId="0" applyFont="1" applyFill="1" applyProtection="1"/>
    <xf numFmtId="0" fontId="10" fillId="34" borderId="42" xfId="0" applyFont="1" applyFill="1" applyBorder="1" applyProtection="1"/>
    <xf numFmtId="0" fontId="2" fillId="34" borderId="42" xfId="0" applyFont="1" applyFill="1" applyBorder="1"/>
    <xf numFmtId="0" fontId="0" fillId="34" borderId="42" xfId="0" applyFill="1" applyBorder="1"/>
    <xf numFmtId="0" fontId="69" fillId="0" borderId="0" xfId="222" applyFont="1" applyFill="1" applyBorder="1" applyAlignment="1" applyProtection="1">
      <alignment horizontal="left" vertical="center" wrapText="1"/>
    </xf>
    <xf numFmtId="174" fontId="68" fillId="39" borderId="0" xfId="0" applyNumberFormat="1" applyFont="1" applyFill="1" applyAlignment="1">
      <alignment horizontal="right" indent="1"/>
    </xf>
    <xf numFmtId="0" fontId="4" fillId="0" borderId="0" xfId="0" applyFont="1"/>
    <xf numFmtId="174" fontId="67" fillId="40" borderId="0" xfId="0" applyNumberFormat="1" applyFont="1" applyFill="1" applyAlignment="1">
      <alignment horizontal="right" indent="1"/>
    </xf>
    <xf numFmtId="174" fontId="70" fillId="41" borderId="0" xfId="0" applyNumberFormat="1" applyFont="1" applyFill="1" applyAlignment="1">
      <alignment horizontal="right" indent="1"/>
    </xf>
    <xf numFmtId="174" fontId="69" fillId="42" borderId="0" xfId="0" applyNumberFormat="1" applyFont="1" applyFill="1" applyAlignment="1">
      <alignment horizontal="right" indent="1"/>
    </xf>
    <xf numFmtId="174" fontId="38" fillId="0" borderId="0" xfId="0" applyNumberFormat="1" applyFont="1" applyAlignment="1">
      <alignment horizontal="right" indent="1"/>
    </xf>
    <xf numFmtId="0" fontId="69" fillId="0" borderId="0" xfId="0" applyFont="1"/>
    <xf numFmtId="9" fontId="38" fillId="0" borderId="0" xfId="0" applyNumberFormat="1" applyFont="1" applyAlignment="1">
      <alignment horizontal="right" indent="1"/>
    </xf>
    <xf numFmtId="174" fontId="68" fillId="39" borderId="43" xfId="0" applyNumberFormat="1" applyFont="1" applyFill="1" applyBorder="1" applyAlignment="1">
      <alignment horizontal="right" indent="1"/>
    </xf>
    <xf numFmtId="174" fontId="67" fillId="0" borderId="0" xfId="205" applyNumberFormat="1" applyFont="1" applyFill="1" applyBorder="1" applyAlignment="1" applyProtection="1">
      <alignment horizontal="right" vertical="center" indent="1"/>
    </xf>
    <xf numFmtId="0" fontId="72" fillId="41" borderId="0" xfId="196" applyFont="1" applyFill="1" applyBorder="1" applyAlignment="1">
      <alignment horizontal="center" vertical="center"/>
    </xf>
    <xf numFmtId="0" fontId="72" fillId="42" borderId="0" xfId="196" applyFont="1" applyFill="1" applyBorder="1" applyAlignment="1">
      <alignment horizontal="center" vertical="center"/>
    </xf>
    <xf numFmtId="0" fontId="72" fillId="34" borderId="0" xfId="196" applyFont="1" applyFill="1" applyBorder="1" applyAlignment="1">
      <alignment horizontal="center" vertical="center"/>
    </xf>
    <xf numFmtId="0" fontId="66" fillId="39" borderId="0" xfId="222" applyFont="1" applyFill="1" applyBorder="1" applyAlignment="1" applyProtection="1">
      <alignment horizontal="left" vertical="center"/>
    </xf>
    <xf numFmtId="0" fontId="68" fillId="40" borderId="0" xfId="222" applyFont="1" applyFill="1" applyBorder="1" applyAlignment="1" applyProtection="1">
      <alignment horizontal="left" vertical="center"/>
    </xf>
    <xf numFmtId="0" fontId="67" fillId="41" borderId="0" xfId="222" applyFont="1" applyFill="1" applyBorder="1" applyAlignment="1" applyProtection="1">
      <alignment horizontal="left" vertical="center"/>
    </xf>
    <xf numFmtId="0" fontId="70" fillId="42" borderId="0" xfId="222" applyFont="1" applyFill="1" applyBorder="1" applyAlignment="1" applyProtection="1">
      <alignment horizontal="left" vertical="center"/>
    </xf>
    <xf numFmtId="0" fontId="69" fillId="43" borderId="0" xfId="222" applyFont="1" applyFill="1" applyBorder="1" applyAlignment="1" applyProtection="1">
      <alignment horizontal="left" vertical="center"/>
    </xf>
    <xf numFmtId="174" fontId="38" fillId="29" borderId="0" xfId="222" applyNumberFormat="1" applyFont="1" applyFill="1" applyBorder="1" applyAlignment="1" applyProtection="1">
      <alignment horizontal="right" vertical="center" wrapText="1" indent="1"/>
    </xf>
    <xf numFmtId="174" fontId="70" fillId="39" borderId="0" xfId="0" applyNumberFormat="1" applyFont="1" applyFill="1" applyAlignment="1">
      <alignment horizontal="right" indent="1"/>
    </xf>
    <xf numFmtId="9" fontId="70" fillId="39" borderId="0" xfId="0" applyNumberFormat="1" applyFont="1" applyFill="1" applyAlignment="1">
      <alignment horizontal="right" indent="1"/>
    </xf>
    <xf numFmtId="0" fontId="71" fillId="39" borderId="43" xfId="196" applyFont="1" applyFill="1" applyBorder="1" applyAlignment="1">
      <alignment horizontal="center" vertical="center"/>
    </xf>
    <xf numFmtId="174" fontId="69" fillId="40" borderId="0" xfId="0" applyNumberFormat="1" applyFont="1" applyFill="1" applyAlignment="1">
      <alignment horizontal="right" indent="1"/>
    </xf>
    <xf numFmtId="9" fontId="69" fillId="40" borderId="0" xfId="0" applyNumberFormat="1" applyFont="1" applyFill="1" applyAlignment="1">
      <alignment horizontal="right" indent="1"/>
    </xf>
    <xf numFmtId="0" fontId="71" fillId="40" borderId="0" xfId="196" applyFont="1" applyFill="1" applyBorder="1" applyAlignment="1">
      <alignment horizontal="center" vertical="center"/>
    </xf>
    <xf numFmtId="174" fontId="73" fillId="41" borderId="0" xfId="0" applyNumberFormat="1" applyFont="1" applyFill="1" applyAlignment="1">
      <alignment horizontal="right" indent="1"/>
    </xf>
    <xf numFmtId="9" fontId="73" fillId="41" borderId="0" xfId="0" applyNumberFormat="1" applyFont="1" applyFill="1" applyAlignment="1">
      <alignment horizontal="right" indent="1"/>
    </xf>
    <xf numFmtId="174" fontId="38" fillId="42" borderId="0" xfId="0" applyNumberFormat="1" applyFont="1" applyFill="1" applyAlignment="1">
      <alignment horizontal="right" indent="1"/>
    </xf>
    <xf numFmtId="9" fontId="38" fillId="42" borderId="0" xfId="0" applyNumberFormat="1" applyFont="1" applyFill="1" applyAlignment="1">
      <alignment horizontal="right" indent="1"/>
    </xf>
    <xf numFmtId="0" fontId="7" fillId="47" borderId="29" xfId="0" applyFont="1" applyFill="1" applyBorder="1" applyAlignment="1" applyProtection="1">
      <alignment horizontal="center" vertical="center" wrapText="1"/>
    </xf>
    <xf numFmtId="0" fontId="7" fillId="47" borderId="37" xfId="0" applyFont="1" applyFill="1" applyBorder="1" applyAlignment="1" applyProtection="1">
      <alignment horizontal="center" vertical="center" wrapText="1"/>
    </xf>
    <xf numFmtId="0" fontId="7" fillId="47" borderId="38" xfId="0" applyFont="1" applyFill="1" applyBorder="1" applyAlignment="1" applyProtection="1">
      <alignment horizontal="center" vertical="center" wrapText="1"/>
    </xf>
    <xf numFmtId="0" fontId="71" fillId="48" borderId="0" xfId="196" applyFont="1" applyFill="1" applyBorder="1" applyAlignment="1">
      <alignment horizontal="center" vertical="center"/>
    </xf>
    <xf numFmtId="174" fontId="75" fillId="48" borderId="0" xfId="0" applyNumberFormat="1" applyFont="1" applyFill="1" applyBorder="1" applyAlignment="1">
      <alignment horizontal="right" vertical="center" indent="1"/>
    </xf>
    <xf numFmtId="174" fontId="76" fillId="48" borderId="0" xfId="0" applyNumberFormat="1" applyFont="1" applyFill="1" applyBorder="1" applyAlignment="1">
      <alignment horizontal="right" vertical="center" indent="1"/>
    </xf>
    <xf numFmtId="9" fontId="76" fillId="48" borderId="0" xfId="0" applyNumberFormat="1" applyFont="1" applyFill="1" applyBorder="1" applyAlignment="1">
      <alignment horizontal="right" vertical="center" indent="1"/>
    </xf>
    <xf numFmtId="0" fontId="42" fillId="30" borderId="14" xfId="0" applyFont="1" applyFill="1" applyBorder="1" applyAlignment="1" applyProtection="1">
      <alignment horizontal="left" vertical="center"/>
      <protection locked="0"/>
    </xf>
    <xf numFmtId="0" fontId="56" fillId="31" borderId="31" xfId="205" applyFont="1" applyFill="1" applyBorder="1" applyAlignment="1" applyProtection="1">
      <alignment horizontal="left" vertical="center"/>
      <protection locked="0"/>
    </xf>
    <xf numFmtId="0" fontId="56" fillId="31" borderId="32" xfId="205" applyFont="1" applyFill="1" applyBorder="1" applyAlignment="1" applyProtection="1">
      <alignment horizontal="left" vertical="center"/>
      <protection locked="0"/>
    </xf>
    <xf numFmtId="0" fontId="56" fillId="31" borderId="33" xfId="205" applyFont="1" applyFill="1" applyBorder="1" applyAlignment="1" applyProtection="1">
      <alignment horizontal="left" vertical="center"/>
      <protection locked="0"/>
    </xf>
    <xf numFmtId="0" fontId="56" fillId="31" borderId="19" xfId="205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0" fillId="0" borderId="34" xfId="0" applyBorder="1" applyAlignment="1">
      <alignment horizontal="left" vertical="center"/>
    </xf>
    <xf numFmtId="0" fontId="56" fillId="31" borderId="35" xfId="205" applyFont="1" applyFill="1" applyBorder="1" applyAlignment="1" applyProtection="1">
      <alignment horizontal="left" vertical="center"/>
      <protection locked="0"/>
    </xf>
    <xf numFmtId="0" fontId="0" fillId="0" borderId="30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57" fillId="44" borderId="0" xfId="0" applyFont="1" applyFill="1" applyAlignment="1" applyProtection="1">
      <alignment horizontal="center" vertical="center"/>
    </xf>
    <xf numFmtId="0" fontId="75" fillId="48" borderId="0" xfId="0" applyFont="1" applyFill="1" applyBorder="1" applyAlignment="1">
      <alignment horizontal="left" vertical="center"/>
    </xf>
    <xf numFmtId="0" fontId="53" fillId="0" borderId="39" xfId="0" applyFont="1" applyBorder="1" applyAlignment="1" applyProtection="1">
      <alignment horizontal="center"/>
    </xf>
    <xf numFmtId="0" fontId="53" fillId="0" borderId="40" xfId="0" applyFont="1" applyBorder="1" applyAlignment="1" applyProtection="1">
      <alignment horizontal="center"/>
    </xf>
    <xf numFmtId="0" fontId="53" fillId="0" borderId="41" xfId="0" applyFont="1" applyBorder="1" applyAlignment="1" applyProtection="1">
      <alignment horizontal="center"/>
    </xf>
    <xf numFmtId="0" fontId="7" fillId="47" borderId="28" xfId="0" applyFont="1" applyFill="1" applyBorder="1" applyAlignment="1" applyProtection="1">
      <alignment horizontal="center" vertical="center" wrapText="1"/>
    </xf>
    <xf numFmtId="0" fontId="7" fillId="47" borderId="27" xfId="0" applyFont="1" applyFill="1" applyBorder="1" applyAlignment="1" applyProtection="1">
      <alignment horizontal="center" vertical="center" wrapText="1"/>
    </xf>
    <xf numFmtId="0" fontId="7" fillId="47" borderId="38" xfId="0" applyFont="1" applyFill="1" applyBorder="1" applyAlignment="1" applyProtection="1">
      <alignment horizontal="center" vertical="center" wrapText="1"/>
    </xf>
    <xf numFmtId="0" fontId="7" fillId="47" borderId="29" xfId="0" applyFont="1" applyFill="1" applyBorder="1" applyAlignment="1" applyProtection="1">
      <alignment horizontal="center" vertical="center" wrapText="1"/>
    </xf>
    <xf numFmtId="0" fontId="74" fillId="46" borderId="0" xfId="0" applyFont="1" applyFill="1" applyBorder="1" applyAlignment="1">
      <alignment horizontal="center" vertical="center" wrapText="1"/>
    </xf>
    <xf numFmtId="0" fontId="74" fillId="46" borderId="26" xfId="0" applyFont="1" applyFill="1" applyBorder="1" applyAlignment="1">
      <alignment horizontal="center" vertical="center" wrapText="1"/>
    </xf>
    <xf numFmtId="0" fontId="52" fillId="49" borderId="0" xfId="0" applyFont="1" applyFill="1" applyAlignment="1" applyProtection="1">
      <alignment horizontal="center" vertical="center"/>
    </xf>
    <xf numFmtId="171" fontId="66" fillId="39" borderId="0" xfId="222" applyNumberFormat="1" applyFont="1" applyFill="1" applyBorder="1" applyAlignment="1" applyProtection="1">
      <alignment horizontal="left" vertical="center"/>
    </xf>
    <xf numFmtId="49" fontId="69" fillId="43" borderId="0" xfId="222" applyNumberFormat="1" applyFont="1" applyFill="1" applyBorder="1" applyAlignment="1" applyProtection="1">
      <alignment horizontal="left" vertical="center"/>
    </xf>
  </cellXfs>
  <cellStyles count="288">
    <cellStyle name="20 % - Accent1" xfId="1"/>
    <cellStyle name="20 % - Accent2" xfId="6"/>
    <cellStyle name="20 % - Accent3" xfId="11"/>
    <cellStyle name="20 % - Accent4" xfId="16"/>
    <cellStyle name="20 % - Accent5" xfId="21"/>
    <cellStyle name="20 % - Accent6" xfId="26"/>
    <cellStyle name="20% - Accent1 2" xfId="2"/>
    <cellStyle name="20% - Accent1 3" xfId="3"/>
    <cellStyle name="20% - Accent1 4" xfId="4"/>
    <cellStyle name="20% - Accent1 5" xfId="5"/>
    <cellStyle name="20% - Accent2 2" xfId="7"/>
    <cellStyle name="20% - Accent2 3" xfId="8"/>
    <cellStyle name="20% - Accent2 4" xfId="9"/>
    <cellStyle name="20% - Accent2 5" xfId="10"/>
    <cellStyle name="20% - Accent3 2" xfId="12"/>
    <cellStyle name="20% - Accent3 3" xfId="13"/>
    <cellStyle name="20% - Accent3 4" xfId="14"/>
    <cellStyle name="20% - Accent3 5" xfId="15"/>
    <cellStyle name="20% - Accent4 2" xfId="17"/>
    <cellStyle name="20% - Accent4 3" xfId="18"/>
    <cellStyle name="20% - Accent4 4" xfId="19"/>
    <cellStyle name="20% - Accent4 5" xfId="20"/>
    <cellStyle name="20% - Accent5 2" xfId="22"/>
    <cellStyle name="20% - Accent5 3" xfId="23"/>
    <cellStyle name="20% - Accent5 4" xfId="24"/>
    <cellStyle name="20% - Accent5 5" xfId="25"/>
    <cellStyle name="20% - Accent6 2" xfId="27"/>
    <cellStyle name="20% - Accent6 3" xfId="28"/>
    <cellStyle name="20% - Accent6 4" xfId="29"/>
    <cellStyle name="20% - Accent6 5" xfId="30"/>
    <cellStyle name="40 % - Accent1" xfId="31"/>
    <cellStyle name="40 % - Accent2" xfId="36"/>
    <cellStyle name="40 % - Accent3" xfId="41"/>
    <cellStyle name="40 % - Accent4" xfId="46"/>
    <cellStyle name="40 % - Accent5" xfId="51"/>
    <cellStyle name="40 % - Accent6" xfId="56"/>
    <cellStyle name="40% - Accent1 2" xfId="32"/>
    <cellStyle name="40% - Accent1 3" xfId="33"/>
    <cellStyle name="40% - Accent1 4" xfId="34"/>
    <cellStyle name="40% - Accent1 5" xfId="35"/>
    <cellStyle name="40% - Accent2 2" xfId="37"/>
    <cellStyle name="40% - Accent2 3" xfId="38"/>
    <cellStyle name="40% - Accent2 4" xfId="39"/>
    <cellStyle name="40% - Accent2 5" xfId="40"/>
    <cellStyle name="40% - Accent3 2" xfId="42"/>
    <cellStyle name="40% - Accent3 3" xfId="43"/>
    <cellStyle name="40% - Accent3 4" xfId="44"/>
    <cellStyle name="40% - Accent3 5" xfId="45"/>
    <cellStyle name="40% - Accent4 2" xfId="47"/>
    <cellStyle name="40% - Accent4 3" xfId="48"/>
    <cellStyle name="40% - Accent4 4" xfId="49"/>
    <cellStyle name="40% - Accent4 5" xfId="50"/>
    <cellStyle name="40% - Accent5 2" xfId="52"/>
    <cellStyle name="40% - Accent5 3" xfId="53"/>
    <cellStyle name="40% - Accent5 4" xfId="54"/>
    <cellStyle name="40% - Accent5 5" xfId="55"/>
    <cellStyle name="40% - Accent6 2" xfId="57"/>
    <cellStyle name="40% - Accent6 3" xfId="58"/>
    <cellStyle name="40% - Accent6 4" xfId="59"/>
    <cellStyle name="40% - Accent6 5" xfId="60"/>
    <cellStyle name="60 % - Accent1" xfId="61"/>
    <cellStyle name="60 % - Accent2" xfId="66"/>
    <cellStyle name="60 % - Accent3" xfId="71"/>
    <cellStyle name="60 % - Accent4" xfId="76"/>
    <cellStyle name="60 % - Accent5" xfId="81"/>
    <cellStyle name="60 % - Accent6" xfId="86"/>
    <cellStyle name="60% - Accent1 2" xfId="62"/>
    <cellStyle name="60% - Accent1 3" xfId="63"/>
    <cellStyle name="60% - Accent1 4" xfId="64"/>
    <cellStyle name="60% - Accent1 5" xfId="65"/>
    <cellStyle name="60% - Accent2 2" xfId="67"/>
    <cellStyle name="60% - Accent2 3" xfId="68"/>
    <cellStyle name="60% - Accent2 4" xfId="69"/>
    <cellStyle name="60% - Accent2 5" xfId="70"/>
    <cellStyle name="60% - Accent3 2" xfId="72"/>
    <cellStyle name="60% - Accent3 3" xfId="73"/>
    <cellStyle name="60% - Accent3 4" xfId="74"/>
    <cellStyle name="60% - Accent3 5" xfId="75"/>
    <cellStyle name="60% - Accent4 2" xfId="77"/>
    <cellStyle name="60% - Accent4 3" xfId="78"/>
    <cellStyle name="60% - Accent4 4" xfId="79"/>
    <cellStyle name="60% - Accent4 5" xfId="80"/>
    <cellStyle name="60% - Accent5 2" xfId="82"/>
    <cellStyle name="60% - Accent5 3" xfId="83"/>
    <cellStyle name="60% - Accent5 4" xfId="84"/>
    <cellStyle name="60% - Accent5 5" xfId="85"/>
    <cellStyle name="60% - Accent6 2" xfId="87"/>
    <cellStyle name="60% - Accent6 3" xfId="88"/>
    <cellStyle name="60% - Accent6 4" xfId="89"/>
    <cellStyle name="60% - Accent6 5" xfId="90"/>
    <cellStyle name="Accent1" xfId="91" builtinId="29" customBuiltin="1"/>
    <cellStyle name="Accent1 2" xfId="92"/>
    <cellStyle name="Accent1 3" xfId="93"/>
    <cellStyle name="Accent1 4" xfId="94"/>
    <cellStyle name="Accent1 5" xfId="95"/>
    <cellStyle name="Accent2" xfId="96" builtinId="33" customBuiltin="1"/>
    <cellStyle name="Accent2 2" xfId="97"/>
    <cellStyle name="Accent2 3" xfId="98"/>
    <cellStyle name="Accent2 4" xfId="99"/>
    <cellStyle name="Accent2 5" xfId="100"/>
    <cellStyle name="Accent3" xfId="101" builtinId="37" customBuiltin="1"/>
    <cellStyle name="Accent3 2" xfId="102"/>
    <cellStyle name="Accent3 3" xfId="103"/>
    <cellStyle name="Accent3 4" xfId="104"/>
    <cellStyle name="Accent3 5" xfId="105"/>
    <cellStyle name="Accent4" xfId="106" builtinId="41" customBuiltin="1"/>
    <cellStyle name="Accent4 2" xfId="107"/>
    <cellStyle name="Accent4 3" xfId="108"/>
    <cellStyle name="Accent4 4" xfId="109"/>
    <cellStyle name="Accent4 5" xfId="110"/>
    <cellStyle name="Accent5" xfId="111" builtinId="45" customBuiltin="1"/>
    <cellStyle name="Accent5 2" xfId="112"/>
    <cellStyle name="Accent5 3" xfId="113"/>
    <cellStyle name="Accent5 4" xfId="114"/>
    <cellStyle name="Accent5 5" xfId="115"/>
    <cellStyle name="Accent6" xfId="116" builtinId="49" customBuiltin="1"/>
    <cellStyle name="Accent6 2" xfId="117"/>
    <cellStyle name="Accent6 3" xfId="118"/>
    <cellStyle name="Accent6 4" xfId="119"/>
    <cellStyle name="Accent6 5" xfId="120"/>
    <cellStyle name="Avertissement" xfId="269"/>
    <cellStyle name="Bad 2" xfId="121"/>
    <cellStyle name="Bad 3" xfId="122"/>
    <cellStyle name="Bad 4" xfId="123"/>
    <cellStyle name="Bad 5" xfId="124"/>
    <cellStyle name="Calcul" xfId="125"/>
    <cellStyle name="Calculation 2" xfId="126"/>
    <cellStyle name="Calculation 3" xfId="127"/>
    <cellStyle name="Calculation 4" xfId="128"/>
    <cellStyle name="Calculation 5" xfId="129"/>
    <cellStyle name="Cellule liée" xfId="177"/>
    <cellStyle name="Check Cell 2" xfId="130"/>
    <cellStyle name="Check Cell 3" xfId="131"/>
    <cellStyle name="Check Cell 4" xfId="132"/>
    <cellStyle name="Check Cell 5" xfId="133"/>
    <cellStyle name="ColumnHeading" xfId="134"/>
    <cellStyle name="Comma 2" xfId="135"/>
    <cellStyle name="Comma 3" xfId="136"/>
    <cellStyle name="Comma 4" xfId="137"/>
    <cellStyle name="Comma 5" xfId="138"/>
    <cellStyle name="Comma 6" xfId="139"/>
    <cellStyle name="Comma 7" xfId="140"/>
    <cellStyle name="Comma 8" xfId="141"/>
    <cellStyle name="Commentaire" xfId="223"/>
    <cellStyle name="Entrée" xfId="169"/>
    <cellStyle name="Euro" xfId="142"/>
    <cellStyle name="Explanatory Text 2" xfId="143"/>
    <cellStyle name="Explanatory Text 3" xfId="144"/>
    <cellStyle name="Explanatory Text 4" xfId="145"/>
    <cellStyle name="Explanatory Text 5" xfId="146"/>
    <cellStyle name="Good 2" xfId="147"/>
    <cellStyle name="Good 3" xfId="148"/>
    <cellStyle name="Good 4" xfId="149"/>
    <cellStyle name="Good 5" xfId="150"/>
    <cellStyle name="Heading 1 2" xfId="151"/>
    <cellStyle name="Heading 1 3" xfId="152"/>
    <cellStyle name="Heading 1 4" xfId="153"/>
    <cellStyle name="Heading 1 5" xfId="154"/>
    <cellStyle name="Heading 2 2" xfId="155"/>
    <cellStyle name="Heading 2 3" xfId="156"/>
    <cellStyle name="Heading 2 4" xfId="157"/>
    <cellStyle name="Heading 2 5" xfId="158"/>
    <cellStyle name="Heading 3 2" xfId="159"/>
    <cellStyle name="Heading 3 3" xfId="160"/>
    <cellStyle name="Heading 3 4" xfId="161"/>
    <cellStyle name="Heading 3 5" xfId="162"/>
    <cellStyle name="Heading 4 2" xfId="163"/>
    <cellStyle name="Heading 4 3" xfId="164"/>
    <cellStyle name="Heading 4 4" xfId="165"/>
    <cellStyle name="Heading 4 5" xfId="166"/>
    <cellStyle name="Hyperlink 2" xfId="167"/>
    <cellStyle name="Hyperlink 3" xfId="168"/>
    <cellStyle name="Input 2" xfId="170"/>
    <cellStyle name="Input 3" xfId="171"/>
    <cellStyle name="Input 4" xfId="172"/>
    <cellStyle name="Input 5" xfId="173"/>
    <cellStyle name="Insatisfaisant" xfId="174" builtinId="27" customBuiltin="1"/>
    <cellStyle name="Lien hypertexte 3" xfId="175"/>
    <cellStyle name="Ligne détail" xfId="176"/>
    <cellStyle name="Linked Cell 2" xfId="178"/>
    <cellStyle name="Linked Cell 3" xfId="179"/>
    <cellStyle name="Linked Cell 4" xfId="180"/>
    <cellStyle name="Linked Cell 5" xfId="181"/>
    <cellStyle name="MEV4" xfId="182"/>
    <cellStyle name="MEV5" xfId="183"/>
    <cellStyle name="Milliers 2" xfId="184"/>
    <cellStyle name="Milliers 3" xfId="185"/>
    <cellStyle name="Milliers 4" xfId="186"/>
    <cellStyle name="N?rmal_la?oux_larou?" xfId="187"/>
    <cellStyle name="Neutral 2" xfId="188"/>
    <cellStyle name="Neutral 3" xfId="189"/>
    <cellStyle name="Neutral 4" xfId="190"/>
    <cellStyle name="Neutral 5" xfId="191"/>
    <cellStyle name="Neutre" xfId="192" builtinId="28" customBuiltin="1"/>
    <cellStyle name="Norma?_On Hol?" xfId="193"/>
    <cellStyle name="Normaᷬ_On Holᷤ" xfId="194"/>
    <cellStyle name="Normal" xfId="0" builtinId="0"/>
    <cellStyle name="Normal - Style1" xfId="195"/>
    <cellStyle name="Normal 10" xfId="196"/>
    <cellStyle name="Normal 11" xfId="197"/>
    <cellStyle name="Normal 12" xfId="274"/>
    <cellStyle name="Normal 13" xfId="275"/>
    <cellStyle name="Normal 14" xfId="276"/>
    <cellStyle name="Normal 15" xfId="277"/>
    <cellStyle name="Normal 16" xfId="278"/>
    <cellStyle name="Normal 17" xfId="279"/>
    <cellStyle name="Normal 18" xfId="280"/>
    <cellStyle name="Normal 19" xfId="281"/>
    <cellStyle name="Normal 2" xfId="198"/>
    <cellStyle name="Normal 2 2" xfId="199"/>
    <cellStyle name="Normal 2 3" xfId="200"/>
    <cellStyle name="Normal 2 4" xfId="201"/>
    <cellStyle name="Normal 2 5" xfId="202"/>
    <cellStyle name="Normal 2_CRD hybride yc EMB" xfId="203"/>
    <cellStyle name="Normal 20" xfId="282"/>
    <cellStyle name="Normal 21" xfId="283"/>
    <cellStyle name="Normal 22" xfId="284"/>
    <cellStyle name="Normal 23" xfId="285"/>
    <cellStyle name="Normal 24" xfId="286"/>
    <cellStyle name="Normal 25" xfId="287"/>
    <cellStyle name="Normal 3" xfId="204"/>
    <cellStyle name="Normal 3 2" xfId="205"/>
    <cellStyle name="Normal 3 3" xfId="206"/>
    <cellStyle name="Normal 3 4" xfId="207"/>
    <cellStyle name="Normal 3 5" xfId="208"/>
    <cellStyle name="Normal 3 6" xfId="209"/>
    <cellStyle name="Normal 3_0. Investissement" xfId="210"/>
    <cellStyle name="Normal 4" xfId="211"/>
    <cellStyle name="Normal 5" xfId="212"/>
    <cellStyle name="Normal 6" xfId="213"/>
    <cellStyle name="Normal 6 2" xfId="214"/>
    <cellStyle name="Normal 6 3" xfId="215"/>
    <cellStyle name="Normal 6 4" xfId="216"/>
    <cellStyle name="Normal 6 5" xfId="217"/>
    <cellStyle name="Normal 6_0. Investissement" xfId="218"/>
    <cellStyle name="Normal 7" xfId="219"/>
    <cellStyle name="Normal 8" xfId="220"/>
    <cellStyle name="Normal 9" xfId="221"/>
    <cellStyle name="Normal_Copie de CRD_CRC_domaine TER_ergo" xfId="222"/>
    <cellStyle name="Note 2" xfId="224"/>
    <cellStyle name="Note 3" xfId="225"/>
    <cellStyle name="Note 4" xfId="226"/>
    <cellStyle name="Note 5" xfId="227"/>
    <cellStyle name="N䃯rmal_la䇲oux_larou᷸" xfId="228"/>
    <cellStyle name="Output 2" xfId="229"/>
    <cellStyle name="Output 3" xfId="230"/>
    <cellStyle name="Output 4" xfId="231"/>
    <cellStyle name="Output 5" xfId="232"/>
    <cellStyle name="Percent 10" xfId="233"/>
    <cellStyle name="Percent 2" xfId="234"/>
    <cellStyle name="Percent 2 2" xfId="235"/>
    <cellStyle name="Percent 3" xfId="236"/>
    <cellStyle name="Percent 4" xfId="237"/>
    <cellStyle name="Percent 5" xfId="238"/>
    <cellStyle name="Percent 5 2" xfId="239"/>
    <cellStyle name="Percent 5 3" xfId="240"/>
    <cellStyle name="Percent 5 4" xfId="241"/>
    <cellStyle name="Percent 5 5" xfId="242"/>
    <cellStyle name="Percent 6" xfId="243"/>
    <cellStyle name="Percent 7" xfId="244"/>
    <cellStyle name="Percent 8" xfId="245"/>
    <cellStyle name="Percent 9" xfId="246"/>
    <cellStyle name="Pourcentage 2" xfId="247"/>
    <cellStyle name="Pourcentage 3" xfId="248"/>
    <cellStyle name="Satisfaisant" xfId="249" builtinId="26" customBuiltin="1"/>
    <cellStyle name="Sortie" xfId="250" builtinId="21" customBuiltin="1"/>
    <cellStyle name="Texte explicatif" xfId="251" builtinId="53" customBuiltin="1"/>
    <cellStyle name="Title 2" xfId="252"/>
    <cellStyle name="Title 3" xfId="253"/>
    <cellStyle name="Title 4" xfId="254"/>
    <cellStyle name="Title 5" xfId="255"/>
    <cellStyle name="Titre" xfId="256" builtinId="15" customBuiltin="1"/>
    <cellStyle name="Titre colonnes" xfId="257"/>
    <cellStyle name="Titre lignes" xfId="258"/>
    <cellStyle name="Titre 1" xfId="259" builtinId="16" customBuiltin="1"/>
    <cellStyle name="Titre 2" xfId="260" builtinId="17" customBuiltin="1"/>
    <cellStyle name="Titre 3" xfId="261" builtinId="18" customBuiltin="1"/>
    <cellStyle name="Titre 4" xfId="262" builtinId="19" customBuiltin="1"/>
    <cellStyle name="Total" xfId="263" builtinId="25" customBuiltin="1"/>
    <cellStyle name="Total 2" xfId="264"/>
    <cellStyle name="Total 3" xfId="265"/>
    <cellStyle name="Total 4" xfId="266"/>
    <cellStyle name="Total 5" xfId="267"/>
    <cellStyle name="Vérification" xfId="268" builtinId="23" customBuiltin="1"/>
    <cellStyle name="Warning Text 2" xfId="270"/>
    <cellStyle name="Warning Text 3" xfId="271"/>
    <cellStyle name="Warning Text 4" xfId="272"/>
    <cellStyle name="Warning Text 5" xfId="273"/>
  </cellStyles>
  <dxfs count="25"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theme="9"/>
      </font>
    </dxf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EAEAEA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DFEEF1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F7072"/>
      <rgbColor rgb="00CCFFCC"/>
      <rgbColor rgb="00FFFF99"/>
      <rgbColor rgb="00BDD6E7"/>
      <rgbColor rgb="00FF99CC"/>
      <rgbColor rgb="007E408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DDDDDD"/>
      <rgbColor rgb="00339966"/>
      <rgbColor rgb="00003300"/>
      <rgbColor rgb="00DDDDDD"/>
      <rgbColor rgb="00993300"/>
      <rgbColor rgb="00993366"/>
      <rgbColor rgb="00333399"/>
      <rgbColor rgb="00333333"/>
    </indexedColors>
    <mruColors>
      <color rgb="FFEAEAEA"/>
      <color rgb="FFFF0000"/>
      <color rgb="FFADAFB7"/>
      <color rgb="FFDDDDDD"/>
      <color rgb="FF7F8999"/>
      <color rgb="FFADAFB6"/>
      <color rgb="FF6F7072"/>
      <color rgb="FF3F1260"/>
      <color rgb="FF7E408F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Recapitulatif_Projets!$T$81</c:f>
          <c:strCache>
            <c:ptCount val="1"/>
            <c:pt idx="0">
              <c:v>Projets par direction</c:v>
            </c:pt>
          </c:strCache>
        </c:strRef>
      </c:tx>
      <c:layout/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4991033453034451E-2"/>
          <c:y val="0.13644524236983843"/>
          <c:w val="0.88426841188369887"/>
          <c:h val="0.637342908438061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Recapitulatif_Projets!$T$82</c:f>
              <c:strCache>
                <c:ptCount val="1"/>
                <c:pt idx="0">
                  <c:v>Réalisé</c:v>
                </c:pt>
              </c:strCache>
            </c:strRef>
          </c:tx>
          <c:spPr>
            <a:solidFill>
              <a:srgbClr val="9999FF"/>
            </a:solidFill>
            <a:ln w="25400">
              <a:noFill/>
            </a:ln>
          </c:spPr>
          <c:invertIfNegative val="0"/>
          <c:cat>
            <c:strRef>
              <c:f>Recapitulatif_Projets!$V$81:$AA$81</c:f>
              <c:strCache>
                <c:ptCount val="6"/>
                <c:pt idx="0">
                  <c:v>Jul</c:v>
                </c:pt>
                <c:pt idx="1">
                  <c:v>Août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</c:strCache>
            </c:strRef>
          </c:cat>
          <c:val>
            <c:numRef>
              <c:f>Recapitulatif_Projets!$V$82:$AA$82</c:f>
              <c:numCache>
                <c:formatCode>#,##0</c:formatCode>
                <c:ptCount val="6"/>
                <c:pt idx="0">
                  <c:v>-2404.5630200000005</c:v>
                </c:pt>
                <c:pt idx="1">
                  <c:v>-13428.065050000003</c:v>
                </c:pt>
                <c:pt idx="2">
                  <c:v>-9666.8352599999962</c:v>
                </c:pt>
                <c:pt idx="3">
                  <c:v>-8985.6207799999956</c:v>
                </c:pt>
                <c:pt idx="4">
                  <c:v>-3659.0512500000004</c:v>
                </c:pt>
                <c:pt idx="5">
                  <c:v>1841.3634399999971</c:v>
                </c:pt>
              </c:numCache>
            </c:numRef>
          </c:val>
        </c:ser>
        <c:ser>
          <c:idx val="1"/>
          <c:order val="1"/>
          <c:tx>
            <c:strRef>
              <c:f>Recapitulatif_Projets!$T$84</c:f>
              <c:strCache>
                <c:ptCount val="1"/>
                <c:pt idx="0">
                  <c:v>Réalisé N-1</c:v>
                </c:pt>
              </c:strCache>
            </c:strRef>
          </c:tx>
          <c:spPr>
            <a:solidFill>
              <a:srgbClr val="D0C2A4"/>
            </a:solidFill>
            <a:ln w="25400">
              <a:noFill/>
            </a:ln>
          </c:spPr>
          <c:invertIfNegative val="0"/>
          <c:cat>
            <c:strRef>
              <c:f>Recapitulatif_Projets!$V$81:$AA$81</c:f>
              <c:strCache>
                <c:ptCount val="6"/>
                <c:pt idx="0">
                  <c:v>Jul</c:v>
                </c:pt>
                <c:pt idx="1">
                  <c:v>Août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</c:strCache>
            </c:strRef>
          </c:cat>
          <c:val>
            <c:numRef>
              <c:f>Recapitulatif_Projets!$V$84:$AA$84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48191616"/>
        <c:axId val="250637696"/>
      </c:barChart>
      <c:lineChart>
        <c:grouping val="standard"/>
        <c:varyColors val="0"/>
        <c:ser>
          <c:idx val="2"/>
          <c:order val="2"/>
          <c:tx>
            <c:strRef>
              <c:f>Recapitulatif_Projets!$T$83</c:f>
              <c:strCache>
                <c:ptCount val="1"/>
                <c:pt idx="0">
                  <c:v>Budget</c:v>
                </c:pt>
              </c:strCache>
            </c:strRef>
          </c:tx>
          <c:spPr>
            <a:ln w="38100">
              <a:solidFill>
                <a:srgbClr val="ADAFB7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ADAFB7"/>
              </a:solidFill>
              <a:ln>
                <a:solidFill>
                  <a:srgbClr val="ADAFB7"/>
                </a:solidFill>
              </a:ln>
            </c:spPr>
          </c:marker>
          <c:cat>
            <c:strRef>
              <c:f>Recapitulatif_Projets!$V$81:$AA$81</c:f>
              <c:strCache>
                <c:ptCount val="6"/>
                <c:pt idx="0">
                  <c:v>Jul</c:v>
                </c:pt>
                <c:pt idx="1">
                  <c:v>Août</c:v>
                </c:pt>
                <c:pt idx="2">
                  <c:v>Sep</c:v>
                </c:pt>
                <c:pt idx="3">
                  <c:v>Oct</c:v>
                </c:pt>
                <c:pt idx="4">
                  <c:v>Nov</c:v>
                </c:pt>
                <c:pt idx="5">
                  <c:v>Dec</c:v>
                </c:pt>
              </c:strCache>
            </c:strRef>
          </c:cat>
          <c:val>
            <c:numRef>
              <c:f>Recapitulatif_Projets!$V$83:$AA$83</c:f>
              <c:numCache>
                <c:formatCode>#,##0</c:formatCode>
                <c:ptCount val="6"/>
                <c:pt idx="0">
                  <c:v>-10658.820407802603</c:v>
                </c:pt>
                <c:pt idx="1">
                  <c:v>-10658.820407802603</c:v>
                </c:pt>
                <c:pt idx="2">
                  <c:v>-10658.820407802603</c:v>
                </c:pt>
                <c:pt idx="3">
                  <c:v>-10658.820407802603</c:v>
                </c:pt>
                <c:pt idx="4">
                  <c:v>-10658.820407802603</c:v>
                </c:pt>
                <c:pt idx="5">
                  <c:v>-10658.820407802603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8191616"/>
        <c:axId val="250637696"/>
      </c:lineChart>
      <c:catAx>
        <c:axId val="248191616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50637696"/>
        <c:crosses val="autoZero"/>
        <c:auto val="1"/>
        <c:lblAlgn val="ctr"/>
        <c:lblOffset val="100"/>
        <c:noMultiLvlLbl val="0"/>
      </c:catAx>
      <c:valAx>
        <c:axId val="250637696"/>
        <c:scaling>
          <c:orientation val="maxMin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5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248191616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0325318246110325"/>
          <c:y val="0.91935644768643543"/>
          <c:w val="0.78500707213578502"/>
          <c:h val="3.942659229844362E-2"/>
        </c:manualLayout>
      </c:layout>
      <c:overlay val="0"/>
      <c:txPr>
        <a:bodyPr/>
        <a:lstStyle/>
        <a:p>
          <a:pPr>
            <a:defRPr sz="15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 alignWithMargins="0"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76200</xdr:colOff>
      <xdr:row>18</xdr:row>
      <xdr:rowOff>152400</xdr:rowOff>
    </xdr:from>
    <xdr:to>
      <xdr:col>15</xdr:col>
      <xdr:colOff>871038</xdr:colOff>
      <xdr:row>21</xdr:row>
      <xdr:rowOff>7995</xdr:rowOff>
    </xdr:to>
    <xdr:pic>
      <xdr:nvPicPr>
        <xdr:cNvPr id="3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50150" y="3562350"/>
          <a:ext cx="794838" cy="7890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2628900</xdr:colOff>
      <xdr:row>71</xdr:row>
      <xdr:rowOff>114300</xdr:rowOff>
    </xdr:from>
    <xdr:to>
      <xdr:col>11</xdr:col>
      <xdr:colOff>784513</xdr:colOff>
      <xdr:row>95</xdr:row>
      <xdr:rowOff>133350</xdr:rowOff>
    </xdr:to>
    <xdr:graphicFrame macro="">
      <xdr:nvGraphicFramePr>
        <xdr:cNvPr id="4" name="Graphique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15</xdr:row>
          <xdr:rowOff>47625</xdr:rowOff>
        </xdr:from>
        <xdr:to>
          <xdr:col>3</xdr:col>
          <xdr:colOff>2276475</xdr:colOff>
          <xdr:row>18</xdr:row>
          <xdr:rowOff>104775</xdr:rowOff>
        </xdr:to>
        <xdr:sp macro="" textlink="">
          <xdr:nvSpPr>
            <xdr:cNvPr id="161795" name="Refresh_Report" hidden="1">
              <a:extLst>
                <a:ext uri="{63B3BB69-23CF-44E3-9099-C40C66FF867C}">
                  <a14:compatExt spid="_x0000_s1617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 editAs="oneCell">
    <xdr:from>
      <xdr:col>3</xdr:col>
      <xdr:colOff>152400</xdr:colOff>
      <xdr:row>19</xdr:row>
      <xdr:rowOff>76200</xdr:rowOff>
    </xdr:from>
    <xdr:to>
      <xdr:col>3</xdr:col>
      <xdr:colOff>2228850</xdr:colOff>
      <xdr:row>21</xdr:row>
      <xdr:rowOff>20999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971550"/>
          <a:ext cx="2076450" cy="7067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indexed="10"/>
  </sheetPr>
  <dimension ref="A1:G31"/>
  <sheetViews>
    <sheetView workbookViewId="0"/>
  </sheetViews>
  <sheetFormatPr baseColWidth="10" defaultColWidth="9.140625" defaultRowHeight="12.75" x14ac:dyDescent="0.2"/>
  <cols>
    <col min="1" max="1" width="38.28515625" style="8" bestFit="1" customWidth="1"/>
    <col min="2" max="2" width="17.85546875" style="8" bestFit="1" customWidth="1"/>
    <col min="3" max="3" width="9.140625" style="8"/>
    <col min="4" max="4" width="27.7109375" style="8" customWidth="1"/>
    <col min="5" max="16384" width="9.140625" style="8"/>
  </cols>
  <sheetData>
    <row r="1" spans="1:7" ht="18" x14ac:dyDescent="0.25">
      <c r="A1" s="6" t="s">
        <v>83</v>
      </c>
      <c r="B1" s="7"/>
    </row>
    <row r="2" spans="1:7" x14ac:dyDescent="0.2">
      <c r="A2" s="7"/>
      <c r="B2" s="7"/>
    </row>
    <row r="3" spans="1:7" ht="15.75" x14ac:dyDescent="0.25">
      <c r="A3" s="9" t="s">
        <v>5</v>
      </c>
      <c r="B3" s="7"/>
    </row>
    <row r="4" spans="1:7" x14ac:dyDescent="0.2">
      <c r="A4" s="10" t="s">
        <v>4</v>
      </c>
      <c r="B4" s="11" t="s">
        <v>108</v>
      </c>
    </row>
    <row r="5" spans="1:7" x14ac:dyDescent="0.2">
      <c r="A5" s="10" t="s">
        <v>7</v>
      </c>
      <c r="B5" s="12" t="str">
        <f>LEFT(Server,LEN(Server)-1)</f>
        <v>tango_core_model</v>
      </c>
    </row>
    <row r="6" spans="1:7" x14ac:dyDescent="0.2">
      <c r="A6" s="10" t="s">
        <v>3</v>
      </c>
      <c r="B6" s="12" t="s">
        <v>35</v>
      </c>
    </row>
    <row r="7" spans="1:7" x14ac:dyDescent="0.2">
      <c r="A7" s="10" t="s">
        <v>17</v>
      </c>
      <c r="B7" s="12">
        <v>0</v>
      </c>
    </row>
    <row r="8" spans="1:7" x14ac:dyDescent="0.2">
      <c r="A8" s="10" t="s">
        <v>29</v>
      </c>
      <c r="B8" s="12">
        <v>0</v>
      </c>
    </row>
    <row r="10" spans="1:7" ht="15.75" x14ac:dyDescent="0.25">
      <c r="A10" s="9" t="s">
        <v>6</v>
      </c>
    </row>
    <row r="11" spans="1:7" ht="13.5" customHeight="1" x14ac:dyDescent="0.2">
      <c r="A11" s="10" t="s">
        <v>13</v>
      </c>
      <c r="B11" s="12" t="s">
        <v>40</v>
      </c>
    </row>
    <row r="12" spans="1:7" ht="13.5" customHeight="1" x14ac:dyDescent="0.2">
      <c r="A12" s="10" t="s">
        <v>14</v>
      </c>
      <c r="B12" s="12" t="s">
        <v>51</v>
      </c>
      <c r="C12" s="48" t="s">
        <v>53</v>
      </c>
      <c r="D12" s="48" t="s">
        <v>54</v>
      </c>
      <c r="E12" s="48" t="s">
        <v>54</v>
      </c>
      <c r="F12" s="48" t="s">
        <v>55</v>
      </c>
      <c r="G12" s="48"/>
    </row>
    <row r="13" spans="1:7" x14ac:dyDescent="0.2">
      <c r="A13" s="10" t="s">
        <v>9</v>
      </c>
      <c r="B13" s="12" t="str">
        <f ca="1">_xll.DBR(Server&amp;"z_Admin_Param","MONTH_CORPORATE","STR_VAR1")</f>
        <v>2013.03</v>
      </c>
      <c r="C13" s="49" t="str">
        <f ca="1">RIGHT($B$13,2)</f>
        <v>03</v>
      </c>
      <c r="D13" s="50">
        <f ca="1">IF($C$13="01","1",$C$13-1)</f>
        <v>2</v>
      </c>
      <c r="E13" s="8" t="str">
        <f ca="1">IF(OR($D$13= 10,$D$13= 11,$D$13= 12),$D$13,"0"&amp;D13)</f>
        <v>02</v>
      </c>
      <c r="F13" s="8" t="str">
        <f ca="1">LEFT($B$13,5)&amp;$E$13&amp;"_YTD"</f>
        <v>2013.02_YTD</v>
      </c>
    </row>
    <row r="14" spans="1:7" x14ac:dyDescent="0.2">
      <c r="A14" s="10" t="s">
        <v>18</v>
      </c>
      <c r="B14" s="12" t="str">
        <f ca="1">_xll.DBR(Server&amp;"z_Admin_Param","BUDGET_VERSION_BUDGET_FORECAST","STR_VAR1")</f>
        <v>VC</v>
      </c>
    </row>
    <row r="15" spans="1:7" x14ac:dyDescent="0.2">
      <c r="A15" s="10" t="s">
        <v>19</v>
      </c>
      <c r="B15" s="12" t="str">
        <f ca="1">_xll.DBR(Server&amp;"z_Admin_Param","FORECAST_1_VERSION_BUDGET_FORECAST","STR_VAR1")</f>
        <v>VC</v>
      </c>
    </row>
    <row r="16" spans="1:7" x14ac:dyDescent="0.2">
      <c r="A16" s="10" t="s">
        <v>36</v>
      </c>
      <c r="B16" s="12" t="str">
        <f ca="1">_xll.DBR(Server&amp;"z_Admin_Param","FORECAST_2_VERSION_BUDGET_FORECAST","STR_VAR1")</f>
        <v>VC</v>
      </c>
    </row>
    <row r="17" spans="1:6" x14ac:dyDescent="0.2">
      <c r="A17" s="10" t="s">
        <v>2</v>
      </c>
      <c r="B17" s="13" t="str">
        <f ca="1">_xll.DBR(Server&amp;"z_Client_Properties","Language",_xll.TM1USER(xServer))</f>
        <v>English</v>
      </c>
      <c r="C17" s="8" t="str">
        <f ca="1">IF(LocalLanguage="French","Français",LocalLanguage)</f>
        <v>English</v>
      </c>
    </row>
    <row r="18" spans="1:6" x14ac:dyDescent="0.2">
      <c r="A18" s="140" t="s">
        <v>27</v>
      </c>
      <c r="B18" s="18" t="s">
        <v>1</v>
      </c>
    </row>
    <row r="19" spans="1:6" x14ac:dyDescent="0.2">
      <c r="A19" s="140"/>
      <c r="B19" s="18" t="s">
        <v>41</v>
      </c>
    </row>
    <row r="20" spans="1:6" x14ac:dyDescent="0.2">
      <c r="A20" s="140"/>
      <c r="B20" s="18" t="s">
        <v>10</v>
      </c>
    </row>
    <row r="21" spans="1:6" x14ac:dyDescent="0.2">
      <c r="A21" s="140"/>
      <c r="B21" s="18" t="s">
        <v>11</v>
      </c>
    </row>
    <row r="22" spans="1:6" x14ac:dyDescent="0.2">
      <c r="A22" s="140"/>
      <c r="B22" s="18" t="s">
        <v>12</v>
      </c>
    </row>
    <row r="23" spans="1:6" x14ac:dyDescent="0.2">
      <c r="A23" s="140" t="s">
        <v>28</v>
      </c>
      <c r="B23" s="18" t="s">
        <v>24</v>
      </c>
    </row>
    <row r="24" spans="1:6" x14ac:dyDescent="0.2">
      <c r="A24" s="140"/>
      <c r="B24" s="18" t="s">
        <v>25</v>
      </c>
    </row>
    <row r="25" spans="1:6" x14ac:dyDescent="0.2">
      <c r="A25" s="140"/>
      <c r="B25" s="18" t="s">
        <v>26</v>
      </c>
    </row>
    <row r="27" spans="1:6" ht="15.75" x14ac:dyDescent="0.25">
      <c r="A27" s="9" t="s">
        <v>20</v>
      </c>
      <c r="F27" s="8" t="s">
        <v>8</v>
      </c>
    </row>
    <row r="28" spans="1:6" ht="13.5" customHeight="1" x14ac:dyDescent="0.25">
      <c r="A28" s="8" t="s">
        <v>21</v>
      </c>
      <c r="B28" s="15"/>
    </row>
    <row r="29" spans="1:6" x14ac:dyDescent="0.2">
      <c r="A29" s="8" t="s">
        <v>22</v>
      </c>
      <c r="B29" s="16"/>
    </row>
    <row r="30" spans="1:6" x14ac:dyDescent="0.2">
      <c r="A30" s="8" t="s">
        <v>23</v>
      </c>
      <c r="B30" s="17"/>
    </row>
    <row r="31" spans="1:6" x14ac:dyDescent="0.2">
      <c r="A31" s="8" t="s">
        <v>39</v>
      </c>
      <c r="B31" s="29"/>
    </row>
  </sheetData>
  <sheetProtection sheet="1" objects="1" scenarios="1" formatColumns="0" formatRows="0"/>
  <mergeCells count="2">
    <mergeCell ref="A18:A22"/>
    <mergeCell ref="A23:A25"/>
  </mergeCells>
  <phoneticPr fontId="39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AR98"/>
  <sheetViews>
    <sheetView showGridLines="0" tabSelected="1" topLeftCell="C17" zoomScale="50" zoomScaleNormal="50" workbookViewId="0">
      <selection activeCell="F29" sqref="F29"/>
    </sheetView>
  </sheetViews>
  <sheetFormatPr baseColWidth="10" defaultColWidth="9.140625" defaultRowHeight="12.75" outlineLevelRow="1" x14ac:dyDescent="0.2"/>
  <cols>
    <col min="1" max="2" width="9.140625" hidden="1" customWidth="1"/>
    <col min="3" max="3" width="4" customWidth="1"/>
    <col min="4" max="4" width="45.7109375" customWidth="1"/>
    <col min="5" max="5" width="41.140625" customWidth="1"/>
    <col min="6" max="6" width="6.42578125" customWidth="1"/>
    <col min="7" max="9" width="19.7109375" customWidth="1"/>
    <col min="10" max="10" width="2.7109375" customWidth="1"/>
    <col min="11" max="11" width="18.7109375" customWidth="1"/>
    <col min="12" max="12" width="17.7109375" customWidth="1"/>
    <col min="13" max="13" width="14.7109375" customWidth="1"/>
    <col min="14" max="14" width="18.7109375" customWidth="1"/>
    <col min="15" max="15" width="17.7109375" customWidth="1"/>
    <col min="16" max="16" width="14.7109375" customWidth="1"/>
    <col min="17" max="17" width="4.28515625" customWidth="1"/>
    <col min="18" max="19" width="9.140625" hidden="1" customWidth="1"/>
    <col min="20" max="21" width="39.28515625" hidden="1" customWidth="1"/>
    <col min="22" max="27" width="18.7109375" hidden="1" customWidth="1"/>
    <col min="28" max="44" width="9.140625" hidden="1" customWidth="1"/>
    <col min="45" max="54" width="9.140625" customWidth="1"/>
  </cols>
  <sheetData>
    <row r="1" spans="1:16" hidden="1" x14ac:dyDescent="0.2">
      <c r="A1" t="s">
        <v>104</v>
      </c>
    </row>
    <row r="2" spans="1:16" ht="30" hidden="1" customHeight="1" x14ac:dyDescent="0.35">
      <c r="A2">
        <f>0</f>
        <v>0</v>
      </c>
      <c r="D2" s="117"/>
      <c r="E2" s="117"/>
      <c r="F2" s="94"/>
      <c r="G2" s="104"/>
      <c r="H2" s="104"/>
      <c r="I2" s="112"/>
      <c r="J2" s="105"/>
      <c r="K2" s="123"/>
      <c r="L2" s="124"/>
      <c r="M2" s="125"/>
      <c r="N2" s="123"/>
      <c r="O2" s="124"/>
      <c r="P2" s="125"/>
    </row>
    <row r="3" spans="1:16" ht="30" hidden="1" customHeight="1" x14ac:dyDescent="0.35">
      <c r="A3">
        <f>1</f>
        <v>1</v>
      </c>
      <c r="D3" s="118"/>
      <c r="E3" s="118"/>
      <c r="F3" s="94"/>
      <c r="G3" s="106"/>
      <c r="H3" s="106"/>
      <c r="I3" s="106"/>
      <c r="J3" s="105"/>
      <c r="K3" s="126"/>
      <c r="L3" s="127"/>
      <c r="M3" s="128"/>
      <c r="N3" s="126"/>
      <c r="O3" s="127"/>
      <c r="P3" s="128"/>
    </row>
    <row r="4" spans="1:16" ht="30" hidden="1" customHeight="1" x14ac:dyDescent="0.35">
      <c r="A4">
        <f>2</f>
        <v>2</v>
      </c>
      <c r="D4" s="119"/>
      <c r="E4" s="119"/>
      <c r="F4" s="94"/>
      <c r="G4" s="107"/>
      <c r="H4" s="107"/>
      <c r="I4" s="107"/>
      <c r="J4" s="105"/>
      <c r="K4" s="129"/>
      <c r="L4" s="130"/>
      <c r="M4" s="114"/>
      <c r="N4" s="129"/>
      <c r="O4" s="130"/>
      <c r="P4" s="114"/>
    </row>
    <row r="5" spans="1:16" ht="30" hidden="1" customHeight="1" x14ac:dyDescent="0.35">
      <c r="A5">
        <f>3</f>
        <v>3</v>
      </c>
      <c r="D5" s="120"/>
      <c r="E5" s="120"/>
      <c r="F5" s="94"/>
      <c r="G5" s="108"/>
      <c r="H5" s="108"/>
      <c r="I5" s="108"/>
      <c r="J5" s="105"/>
      <c r="K5" s="131"/>
      <c r="L5" s="132"/>
      <c r="M5" s="115"/>
      <c r="N5" s="131"/>
      <c r="O5" s="132"/>
      <c r="P5" s="115"/>
    </row>
    <row r="6" spans="1:16" ht="30" hidden="1" customHeight="1" x14ac:dyDescent="0.35">
      <c r="A6" t="s">
        <v>105</v>
      </c>
      <c r="D6" s="121"/>
      <c r="E6" s="121"/>
      <c r="F6" s="103"/>
      <c r="G6" s="109"/>
      <c r="H6" s="109"/>
      <c r="I6" s="122"/>
      <c r="J6" s="110"/>
      <c r="K6" s="109"/>
      <c r="L6" s="111"/>
      <c r="M6" s="116"/>
      <c r="N6" s="109"/>
      <c r="O6" s="111"/>
      <c r="P6" s="116"/>
    </row>
    <row r="7" spans="1:16" ht="30" hidden="1" customHeight="1" x14ac:dyDescent="0.35">
      <c r="A7" t="s">
        <v>106</v>
      </c>
      <c r="D7" s="121"/>
      <c r="E7" s="121"/>
      <c r="F7" s="103"/>
      <c r="G7" s="109"/>
      <c r="H7" s="109"/>
      <c r="I7" s="122"/>
      <c r="J7" s="110"/>
      <c r="K7" s="109"/>
      <c r="L7" s="111"/>
      <c r="M7" s="116"/>
      <c r="N7" s="109"/>
      <c r="O7" s="111"/>
      <c r="P7" s="116"/>
    </row>
    <row r="8" spans="1:16" hidden="1" x14ac:dyDescent="0.2">
      <c r="A8" t="s">
        <v>107</v>
      </c>
      <c r="D8" s="81"/>
      <c r="E8" s="81"/>
    </row>
    <row r="9" spans="1:16" hidden="1" x14ac:dyDescent="0.2"/>
    <row r="10" spans="1:16" ht="15.75" hidden="1" x14ac:dyDescent="0.25">
      <c r="E10" s="15" t="s">
        <v>95</v>
      </c>
      <c r="G10" s="28" t="s">
        <v>0</v>
      </c>
      <c r="H10" s="33" t="s">
        <v>50</v>
      </c>
      <c r="I10" s="34" t="s">
        <v>93</v>
      </c>
      <c r="J10" s="34" t="s">
        <v>50</v>
      </c>
      <c r="K10" s="52" t="s">
        <v>64</v>
      </c>
      <c r="L10" s="52"/>
      <c r="M10" s="77"/>
      <c r="N10" s="39" t="s">
        <v>84</v>
      </c>
      <c r="O10" s="77"/>
      <c r="P10" s="77"/>
    </row>
    <row r="11" spans="1:16" ht="15.75" hidden="1" x14ac:dyDescent="0.25">
      <c r="C11" s="77"/>
      <c r="D11" s="77"/>
      <c r="E11" s="77"/>
      <c r="F11" s="77"/>
      <c r="G11" s="52" t="s">
        <v>38</v>
      </c>
      <c r="H11" s="77" t="str">
        <f ca="1">_xll.DBRA(Server&amp;$G$11,$G$12,"Prior Year")</f>
        <v>2011</v>
      </c>
      <c r="I11" s="77" t="str">
        <f ca="1">$G$12</f>
        <v>2012</v>
      </c>
      <c r="J11" s="77" t="str">
        <f ca="1">$G$12</f>
        <v>2012</v>
      </c>
      <c r="K11" s="66" t="s">
        <v>68</v>
      </c>
      <c r="L11" s="77"/>
      <c r="M11" s="77"/>
      <c r="N11" s="77" t="s">
        <v>57</v>
      </c>
      <c r="O11" s="77"/>
      <c r="P11" s="77"/>
    </row>
    <row r="12" spans="1:16" ht="15.75" hidden="1" x14ac:dyDescent="0.25">
      <c r="C12" s="77"/>
      <c r="D12" s="77"/>
      <c r="E12" s="77"/>
      <c r="F12" s="77"/>
      <c r="G12" s="79" t="str">
        <f ca="1">_xll.SUBNM(Server&amp;"Period","",$E$28,"")</f>
        <v>2012</v>
      </c>
      <c r="H12" s="77"/>
      <c r="I12" s="77"/>
      <c r="J12" s="77"/>
      <c r="K12" s="77"/>
      <c r="L12" s="77"/>
      <c r="M12" s="77"/>
      <c r="N12" s="77"/>
      <c r="O12" s="77"/>
      <c r="P12" s="77"/>
    </row>
    <row r="13" spans="1:16" ht="15.75" hidden="1" x14ac:dyDescent="0.25">
      <c r="C13" s="77"/>
      <c r="D13" s="77"/>
      <c r="E13" s="77"/>
      <c r="F13" s="77"/>
      <c r="G13" s="28" t="s">
        <v>46</v>
      </c>
      <c r="H13" s="82" t="s">
        <v>57</v>
      </c>
      <c r="I13" s="77"/>
      <c r="J13" s="77"/>
      <c r="K13" s="77"/>
      <c r="L13" s="77"/>
      <c r="M13" s="77"/>
      <c r="N13" s="77"/>
      <c r="O13" s="77"/>
      <c r="P13" s="77"/>
    </row>
    <row r="14" spans="1:16" ht="13.5" hidden="1" thickBot="1" x14ac:dyDescent="0.25"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</row>
    <row r="15" spans="1:16" ht="13.5" customHeight="1" x14ac:dyDescent="0.2"/>
    <row r="16" spans="1:16" ht="15.75" customHeight="1" x14ac:dyDescent="0.2"/>
    <row r="20" spans="1:25" ht="41.25" customHeight="1" x14ac:dyDescent="0.2">
      <c r="C20" s="36"/>
      <c r="D20" s="3"/>
      <c r="E20" s="161" t="str">
        <f ca="1">_xll.DBRA(Server&amp;$T$25,T42,$V$22)</f>
        <v>Récapitulatif des projets</v>
      </c>
      <c r="F20" s="161"/>
      <c r="G20" s="161"/>
      <c r="H20" s="161"/>
      <c r="I20" s="161"/>
      <c r="J20" s="161"/>
      <c r="K20" s="161"/>
      <c r="L20" s="161"/>
      <c r="M20" s="150" t="str">
        <f ca="1">_xll.DBRA(Server&amp;$T$25,$T$41,$V$22)</f>
        <v>Restitution</v>
      </c>
      <c r="N20" s="150"/>
      <c r="O20" s="150"/>
      <c r="P20" s="3"/>
      <c r="Q20" s="14"/>
      <c r="R20" s="38"/>
      <c r="S20" s="38"/>
      <c r="T20" s="38"/>
      <c r="U20" s="38"/>
      <c r="V20" s="19"/>
      <c r="W20" s="19"/>
    </row>
    <row r="21" spans="1:25" ht="18" customHeight="1" x14ac:dyDescent="0.2">
      <c r="C21" s="36"/>
      <c r="D21" s="3"/>
      <c r="E21" s="161"/>
      <c r="F21" s="161"/>
      <c r="G21" s="161"/>
      <c r="H21" s="161"/>
      <c r="I21" s="161"/>
      <c r="J21" s="161"/>
      <c r="K21" s="161"/>
      <c r="L21" s="161"/>
      <c r="M21" s="150"/>
      <c r="N21" s="150"/>
      <c r="O21" s="150"/>
      <c r="P21" s="3"/>
      <c r="Q21" s="14"/>
      <c r="R21" s="38"/>
      <c r="S21" s="38"/>
      <c r="T21" s="38"/>
      <c r="U21" s="38"/>
      <c r="V21" s="19"/>
      <c r="W21" s="19"/>
    </row>
    <row r="22" spans="1:25" ht="30" customHeight="1" x14ac:dyDescent="0.25">
      <c r="U22" s="30" t="s">
        <v>48</v>
      </c>
      <c r="V22" s="19" t="str">
        <f>IF($E$26="Français","French","English")</f>
        <v>French</v>
      </c>
    </row>
    <row r="23" spans="1:25" ht="30" customHeight="1" x14ac:dyDescent="0.25">
      <c r="A23" s="97" t="s">
        <v>96</v>
      </c>
      <c r="B23" s="98"/>
      <c r="D23" s="2" t="str">
        <f ca="1">_xll.DBRA(Server&amp;$T$25,$T$31,$V$22)</f>
        <v>Sélection du contexte</v>
      </c>
      <c r="E23" s="21"/>
    </row>
    <row r="24" spans="1:25" ht="30" hidden="1" customHeight="1" outlineLevel="1" thickBot="1" x14ac:dyDescent="0.3">
      <c r="A24" s="99" t="s">
        <v>47</v>
      </c>
      <c r="B24" s="100" t="s">
        <v>97</v>
      </c>
      <c r="D24" s="1" t="str">
        <f ca="1">_xll.DBRA(Server&amp;$T$25,$T$32,$V$22)</f>
        <v>Gaap</v>
      </c>
      <c r="E24" s="23" t="str">
        <f ca="1">_xll.SUBNM(Server&amp;"GAAP","Corp_FR","Local_Gaap",$V$22)</f>
        <v>Gaap local</v>
      </c>
      <c r="U24" s="91" t="s">
        <v>37</v>
      </c>
    </row>
    <row r="25" spans="1:25" ht="30" hidden="1" customHeight="1" outlineLevel="1" thickBot="1" x14ac:dyDescent="0.3">
      <c r="A25" s="99" t="s">
        <v>44</v>
      </c>
      <c r="B25" s="100" t="s">
        <v>98</v>
      </c>
      <c r="D25" s="1" t="str">
        <f ca="1">_xll.DBRA(Server&amp;$T$25,$T$33,$V$22)</f>
        <v>Taux d'intégration</v>
      </c>
      <c r="E25" s="23" t="str">
        <f ca="1">_xll.SUBNM(Server&amp;"Integration_Rate","Corp_FR","NO_APP",$V$22)</f>
        <v>Données de liasse (Tx d'intégration No-APP)</v>
      </c>
      <c r="T25" s="25" t="s">
        <v>33</v>
      </c>
      <c r="U25" s="92"/>
      <c r="W25" s="152" t="s">
        <v>60</v>
      </c>
      <c r="X25" s="153"/>
      <c r="Y25" s="154"/>
    </row>
    <row r="26" spans="1:25" ht="30" hidden="1" customHeight="1" outlineLevel="1" thickBot="1" x14ac:dyDescent="0.35">
      <c r="D26" s="1" t="str">
        <f ca="1">_xll.DBRA(Server&amp;$T$25,$T$34,$V$22)</f>
        <v>Langue</v>
      </c>
      <c r="E26" s="23" t="s">
        <v>41</v>
      </c>
      <c r="T26" s="24" t="s">
        <v>38</v>
      </c>
      <c r="U26" s="93"/>
      <c r="W26" s="51" t="s">
        <v>61</v>
      </c>
      <c r="X26" s="51" t="s">
        <v>62</v>
      </c>
      <c r="Y26" s="51" t="s">
        <v>63</v>
      </c>
    </row>
    <row r="27" spans="1:25" ht="30" hidden="1" customHeight="1" outlineLevel="1" x14ac:dyDescent="0.2">
      <c r="D27" s="1" t="str">
        <f ca="1">_xll.DBRA(Server&amp;$T$25,$T$28,$V$22)</f>
        <v>Organisation légale</v>
      </c>
      <c r="E27" s="22" t="str">
        <f ca="1">_xll.SUBNM(Server&amp;"Legal_Organization_Corp","Corp_FR",_xll.DBR(Server&amp;"z_Client_Properties","Default_Legal_Organization_Corp",_xll.TM1USER(xServer)),$E$26)</f>
        <v>VTD</v>
      </c>
      <c r="T27" s="27" t="s">
        <v>31</v>
      </c>
      <c r="U27" s="76"/>
    </row>
    <row r="28" spans="1:25" ht="30" customHeight="1" collapsed="1" x14ac:dyDescent="0.2">
      <c r="D28" s="1" t="str">
        <f ca="1">_xll.DBRA(Server&amp;$T$25,$T26,$V$22)</f>
        <v>Période</v>
      </c>
      <c r="E28" s="22" t="str">
        <f ca="1">_xll.SUBNM(Server&amp;"Period","","2012")</f>
        <v>2012</v>
      </c>
      <c r="T28" s="27" t="s">
        <v>32</v>
      </c>
    </row>
    <row r="29" spans="1:25" ht="30" customHeight="1" x14ac:dyDescent="0.2">
      <c r="D29" s="1" t="str">
        <f ca="1">_xll.DBRA(Server&amp;$T$25,$T$27,$V$22)</f>
        <v>Organisation managériale</v>
      </c>
      <c r="E29" s="22" t="str">
        <f ca="1">_xll.SUBNM(Server&amp;"Management_Organization_Corp","Corp_FR","VTD","Français")</f>
        <v>VTD</v>
      </c>
      <c r="T29" s="47" t="s">
        <v>43</v>
      </c>
    </row>
    <row r="30" spans="1:25" ht="30" customHeight="1" thickBot="1" x14ac:dyDescent="0.25">
      <c r="D30" s="1" t="str">
        <f ca="1">_xll.DBRA(Server&amp;$T$25,$T$29,$V$22)</f>
        <v>Projets</v>
      </c>
      <c r="E30" s="23" t="str">
        <f ca="1">_xll.SUBNM(Server&amp;"Projets","Corp_FR","Tot_proj",$E$26)</f>
        <v>Total Projets</v>
      </c>
      <c r="T30" s="27" t="s">
        <v>15</v>
      </c>
    </row>
    <row r="31" spans="1:25" ht="30" customHeight="1" thickBot="1" x14ac:dyDescent="0.25">
      <c r="D31" s="1" t="str">
        <f ca="1">_xll.DBRA(Server&amp;$T$25,$T$30,$V$22)</f>
        <v>Devise</v>
      </c>
      <c r="E31" s="23" t="str">
        <f ca="1">_xll.SUBNM(Server&amp;"Currency","Corp_FR","KEUR",$V$22)</f>
        <v>K€</v>
      </c>
      <c r="T31" s="26" t="s">
        <v>30</v>
      </c>
    </row>
    <row r="32" spans="1:25" ht="18.75" customHeight="1" x14ac:dyDescent="0.2">
      <c r="G32" s="159" t="str">
        <f ca="1">_xll.DBRA(Server&amp;$T$25,$T$40,$V$22)</f>
        <v>Charges opérationnelles</v>
      </c>
      <c r="H32" s="159"/>
      <c r="I32" s="159"/>
      <c r="K32" s="159" t="str">
        <f ca="1">_xll.DBRA(Server&amp;$T$25,$T$35,$V$22)</f>
        <v>Variances</v>
      </c>
      <c r="L32" s="159"/>
      <c r="M32" s="159"/>
      <c r="N32" s="159"/>
      <c r="O32" s="159"/>
      <c r="P32" s="159"/>
      <c r="T32" s="27" t="s">
        <v>16</v>
      </c>
    </row>
    <row r="33" spans="4:23" ht="18.75" customHeight="1" thickBot="1" x14ac:dyDescent="0.25">
      <c r="G33" s="160"/>
      <c r="H33" s="160"/>
      <c r="I33" s="160"/>
      <c r="K33" s="160"/>
      <c r="L33" s="160"/>
      <c r="M33" s="160"/>
      <c r="N33" s="160"/>
      <c r="O33" s="160"/>
      <c r="P33" s="160"/>
      <c r="T33" s="32" t="s">
        <v>52</v>
      </c>
      <c r="W33" s="46"/>
    </row>
    <row r="34" spans="4:23" ht="38.25" customHeight="1" thickTop="1" thickBot="1" x14ac:dyDescent="0.25">
      <c r="G34" s="133" t="str">
        <f ca="1">_xll.DBRA(Server&amp;$T$25,$T$38,$V$22)</f>
        <v>Réalisé N-1</v>
      </c>
      <c r="H34" s="134" t="str">
        <f ca="1">_xll.DBRA(Server&amp;$T$25,$T$39,$V$22)</f>
        <v>Budget</v>
      </c>
      <c r="I34" s="135" t="str">
        <f ca="1">_xll.DBRA(Server&amp;$T$25,$T$37,$V$22)</f>
        <v>Réalisé</v>
      </c>
      <c r="K34" s="155" t="str">
        <f ca="1">$I$34&amp;" / "&amp;$G$34</f>
        <v>Réalisé / Réalisé N-1</v>
      </c>
      <c r="L34" s="156"/>
      <c r="M34" s="134" t="str">
        <f ca="1">_xll.DBRA(Server&amp;$T$25,$T$36,$V$22)</f>
        <v>Variance</v>
      </c>
      <c r="N34" s="157" t="str">
        <f ca="1">$I$34&amp;" / "&amp;$H$34</f>
        <v>Réalisé / Budget</v>
      </c>
      <c r="O34" s="158"/>
      <c r="P34" s="135" t="str">
        <f ca="1">_xll.DBRA(Server&amp;$T$25,$T$36,$V$22)</f>
        <v>Variance</v>
      </c>
      <c r="T34" s="31" t="s">
        <v>34</v>
      </c>
    </row>
    <row r="35" spans="4:23" x14ac:dyDescent="0.2">
      <c r="T35" s="68" t="s">
        <v>58</v>
      </c>
    </row>
    <row r="36" spans="4:23" ht="23.25" x14ac:dyDescent="0.2">
      <c r="D36" s="151" t="str">
        <f ca="1">E30</f>
        <v>Total Projets</v>
      </c>
      <c r="E36" s="151"/>
      <c r="F36" s="65"/>
      <c r="G36" s="137">
        <f ca="1">_xll.DBRW(Server&amp;Cube1,$E$31,$E$24,$E$25,$E$30,$E$44,$E$27,$E$29,$E$47,$H$11,$H$10,$H$13)</f>
        <v>0</v>
      </c>
      <c r="H36" s="137">
        <f ca="1">_xll.DBRW(Server&amp;Cube1,$E$31,$E$24,$E$25,$E$30,$E$44,$E$27,$E$29,$E$47,$I$11,$I$10,$H$13)</f>
        <v>-147789.46671181306</v>
      </c>
      <c r="I36" s="137">
        <f ca="1">_xll.DBRW(Server&amp;Cube1,$E$31,$E$24,$E$25,$E$30,$E$44,$E$27,$E$29,$E$47,$J$11,$J$10,$H$13)</f>
        <v>-106508.035</v>
      </c>
      <c r="J36" s="113"/>
      <c r="K36" s="138">
        <f ca="1">$I$36-$G$36</f>
        <v>-106508.035</v>
      </c>
      <c r="L36" s="139">
        <f ca="1">IF($G$36=0,0,IF($G$36&lt;0,$K$36/-$G$36,$K$36/$G$36))</f>
        <v>0</v>
      </c>
      <c r="M36" s="136" t="str">
        <f ca="1">IF($L$36&gt;0.01,$W$26,IF($L$36&lt;-0.01,$X$26,$Y$26))</f>
        <v>è</v>
      </c>
      <c r="N36" s="138">
        <f ca="1">$I$36-$H$36</f>
        <v>41281.431711813057</v>
      </c>
      <c r="O36" s="139">
        <f ca="1">IF($H$36=0,0,IF($H$36&lt;0,$N$36/-$H$36,$N$36/$H$36))</f>
        <v>0.27932594000295802</v>
      </c>
      <c r="P36" s="136" t="str">
        <f ca="1">IF($O$36&gt;0.01,$W$26,IF($O$36&lt;-0.01,$X$26,$Y$26))</f>
        <v>ì</v>
      </c>
      <c r="T36" s="69" t="s">
        <v>59</v>
      </c>
    </row>
    <row r="37" spans="4:23" hidden="1" x14ac:dyDescent="0.2">
      <c r="G37" s="95"/>
      <c r="H37" s="95"/>
      <c r="I37" s="95"/>
      <c r="J37" s="95"/>
      <c r="K37" s="95"/>
      <c r="L37" s="96"/>
      <c r="N37" s="95"/>
      <c r="O37" s="96"/>
      <c r="T37" s="68" t="s">
        <v>69</v>
      </c>
    </row>
    <row r="38" spans="4:23" hidden="1" x14ac:dyDescent="0.2">
      <c r="D38" t="str">
        <f ca="1">"[Projets].["&amp;$E$30&amp;"].Children"</f>
        <v>[Projets].[Total Projets].Children</v>
      </c>
      <c r="G38" s="95"/>
      <c r="H38" s="95"/>
      <c r="I38" s="95"/>
      <c r="J38" s="95"/>
      <c r="K38" s="95"/>
      <c r="L38" s="96"/>
      <c r="N38" s="95"/>
      <c r="O38" s="96"/>
      <c r="T38" s="69" t="s">
        <v>56</v>
      </c>
    </row>
    <row r="39" spans="4:23" ht="15.75" hidden="1" thickBot="1" x14ac:dyDescent="0.3">
      <c r="D39" s="37" t="str">
        <f ca="1">_xll.TM1RPTVIEW(Server&amp;"RP_PL_Corp:ARPT1", 1, _xll.TM1RPTTITLE(Server&amp;"Currency",$E$41), _xll.TM1RPTTITLE(Server&amp;"Gaap",$E$42), _xll.TM1RPTTITLE(Server&amp;"Integration_Rate",$E$43), _xll.TM1RPTTITLE(Server&amp;"Matricules",$E$44), _xll.TM1RPTTITLE(Server&amp;"Legal_Organization_Corp",$E$45), _xll.TM1RPTTITLE(Server&amp;"Management_Organization_Corp",$E$46), _xll.TM1RPTTITLE(Server&amp;"Tiers",$E$47),TM1RPTFMTRNG,TM1RPTFMTIDCOL)</f>
        <v>tango_core_model:RP_PL_Corp:ARPT1</v>
      </c>
      <c r="G39" s="95"/>
      <c r="H39" s="95"/>
      <c r="I39" s="95"/>
      <c r="J39" s="95"/>
      <c r="K39" s="95"/>
      <c r="L39" s="96"/>
      <c r="N39" s="95"/>
      <c r="O39" s="96"/>
      <c r="T39" s="75" t="s">
        <v>49</v>
      </c>
    </row>
    <row r="40" spans="4:23" hidden="1" x14ac:dyDescent="0.2">
      <c r="G40" s="95"/>
      <c r="H40" s="95"/>
      <c r="I40" s="95"/>
      <c r="J40" s="95"/>
      <c r="K40" s="95"/>
      <c r="L40" s="96"/>
      <c r="N40" s="95"/>
      <c r="O40" s="96"/>
      <c r="T40" s="69" t="s">
        <v>57</v>
      </c>
    </row>
    <row r="41" spans="4:23" ht="15.75" hidden="1" x14ac:dyDescent="0.25">
      <c r="D41" s="35" t="s">
        <v>15</v>
      </c>
      <c r="E41" t="str">
        <f ca="1">_xll.SUBNM(Server&amp;"Currency","",$E$31)</f>
        <v>KEUR</v>
      </c>
      <c r="G41" s="95"/>
      <c r="H41" s="95"/>
      <c r="I41" s="95"/>
      <c r="J41" s="95"/>
      <c r="K41" s="95"/>
      <c r="L41" s="96"/>
      <c r="N41" s="95"/>
      <c r="O41" s="96"/>
      <c r="T41" s="70" t="s">
        <v>70</v>
      </c>
    </row>
    <row r="42" spans="4:23" ht="16.5" hidden="1" thickBot="1" x14ac:dyDescent="0.3">
      <c r="D42" s="35" t="s">
        <v>16</v>
      </c>
      <c r="E42" t="str">
        <f ca="1">_xll.SUBNM(Server&amp;"Gaap","",$E$24)</f>
        <v>Local_Gaap</v>
      </c>
      <c r="G42" s="95"/>
      <c r="H42" s="95"/>
      <c r="I42" s="95"/>
      <c r="J42" s="95"/>
      <c r="K42" s="95"/>
      <c r="L42" s="96"/>
      <c r="N42" s="95"/>
      <c r="O42" s="96"/>
      <c r="T42" s="74" t="s">
        <v>83</v>
      </c>
    </row>
    <row r="43" spans="4:23" ht="15.75" hidden="1" x14ac:dyDescent="0.25">
      <c r="D43" s="35" t="s">
        <v>42</v>
      </c>
      <c r="E43" t="str">
        <f ca="1">_xll.SUBNM(Server&amp;"Integration_Rate","",$E$25)</f>
        <v>NO_APP</v>
      </c>
      <c r="G43" s="95"/>
      <c r="H43" s="95"/>
      <c r="I43" s="95"/>
      <c r="J43" s="95"/>
      <c r="K43" s="95"/>
      <c r="L43" s="96"/>
      <c r="N43" s="95"/>
      <c r="O43" s="96"/>
      <c r="T43" s="71" t="s">
        <v>66</v>
      </c>
    </row>
    <row r="44" spans="4:23" ht="15.75" hidden="1" x14ac:dyDescent="0.25">
      <c r="D44" s="35" t="s">
        <v>44</v>
      </c>
      <c r="E44" t="str">
        <f ca="1">_xll.SUBNM(Server&amp;"Matricules","",$B$25)</f>
        <v>VTD</v>
      </c>
      <c r="G44" s="95"/>
      <c r="H44" s="95"/>
      <c r="I44" s="95"/>
      <c r="J44" s="95"/>
      <c r="K44" s="95"/>
      <c r="L44" s="96"/>
      <c r="N44" s="95"/>
      <c r="O44" s="96"/>
      <c r="T44" s="72" t="s">
        <v>71</v>
      </c>
    </row>
    <row r="45" spans="4:23" ht="15.75" hidden="1" x14ac:dyDescent="0.25">
      <c r="D45" s="35" t="s">
        <v>45</v>
      </c>
      <c r="E45" t="str">
        <f ca="1">_xll.SUBNM(Server&amp;"Legal_Organization_Corp","",$E$27)</f>
        <v>VTD</v>
      </c>
      <c r="G45" s="95"/>
      <c r="H45" s="95"/>
      <c r="I45" s="95"/>
      <c r="J45" s="95"/>
      <c r="K45" s="95"/>
      <c r="L45" s="96"/>
      <c r="N45" s="95"/>
      <c r="O45" s="96"/>
      <c r="T45" s="72" t="s">
        <v>72</v>
      </c>
    </row>
    <row r="46" spans="4:23" ht="15.75" hidden="1" x14ac:dyDescent="0.25">
      <c r="D46" s="35" t="s">
        <v>67</v>
      </c>
      <c r="E46" t="str">
        <f ca="1">_xll.SUBNM(Server&amp;"Management_Organization_Corp","",$E$29)</f>
        <v>VTD</v>
      </c>
      <c r="G46" s="95"/>
      <c r="H46" s="95"/>
      <c r="I46" s="95"/>
      <c r="J46" s="95"/>
      <c r="K46" s="95"/>
      <c r="L46" s="96"/>
      <c r="N46" s="95"/>
      <c r="O46" s="96"/>
      <c r="T46" s="72" t="s">
        <v>73</v>
      </c>
    </row>
    <row r="47" spans="4:23" ht="15.75" hidden="1" x14ac:dyDescent="0.25">
      <c r="D47" s="35" t="s">
        <v>47</v>
      </c>
      <c r="E47" t="str">
        <f ca="1">_xll.SUBNM(Server&amp;"Tiers","",$B$24)</f>
        <v>Tot_tiers</v>
      </c>
      <c r="G47" s="95"/>
      <c r="H47" s="95"/>
      <c r="I47" s="95"/>
      <c r="J47" s="95"/>
      <c r="K47" s="95"/>
      <c r="L47" s="96"/>
      <c r="N47" s="95"/>
      <c r="O47" s="96"/>
      <c r="T47" s="72" t="s">
        <v>74</v>
      </c>
    </row>
    <row r="48" spans="4:23" ht="15.75" hidden="1" x14ac:dyDescent="0.25">
      <c r="D48" s="35"/>
      <c r="G48" s="95"/>
      <c r="H48" s="95"/>
      <c r="I48" s="95"/>
      <c r="J48" s="95"/>
      <c r="K48" s="95"/>
      <c r="L48" s="96"/>
      <c r="N48" s="95"/>
      <c r="O48" s="96"/>
      <c r="T48" s="72" t="s">
        <v>75</v>
      </c>
    </row>
    <row r="49" spans="1:27" hidden="1" x14ac:dyDescent="0.2">
      <c r="G49" s="95"/>
      <c r="H49" s="95"/>
      <c r="I49" s="95"/>
      <c r="J49" s="95"/>
      <c r="K49" s="95"/>
      <c r="L49" s="96"/>
      <c r="N49" s="95"/>
      <c r="O49" s="96"/>
      <c r="T49" s="72" t="s">
        <v>76</v>
      </c>
    </row>
    <row r="50" spans="1:27" hidden="1" x14ac:dyDescent="0.2">
      <c r="G50" s="95"/>
      <c r="H50" s="95"/>
      <c r="I50" s="95"/>
      <c r="J50" s="95"/>
      <c r="K50" s="95"/>
      <c r="L50" s="96"/>
      <c r="N50" s="95"/>
      <c r="O50" s="96"/>
      <c r="T50" s="72" t="s">
        <v>77</v>
      </c>
    </row>
    <row r="51" spans="1:27" hidden="1" x14ac:dyDescent="0.2">
      <c r="G51" s="95"/>
      <c r="H51" s="95"/>
      <c r="I51" s="95"/>
      <c r="J51" s="95"/>
      <c r="K51" s="95"/>
      <c r="L51" s="96"/>
      <c r="N51" s="95"/>
      <c r="O51" s="96"/>
      <c r="T51" s="72" t="s">
        <v>78</v>
      </c>
    </row>
    <row r="52" spans="1:27" hidden="1" x14ac:dyDescent="0.2">
      <c r="G52" s="95"/>
      <c r="H52" s="95"/>
      <c r="I52" s="95"/>
      <c r="J52" s="95"/>
      <c r="K52" s="95"/>
      <c r="L52" s="96"/>
      <c r="N52" s="95"/>
      <c r="O52" s="96"/>
      <c r="T52" s="72" t="s">
        <v>79</v>
      </c>
    </row>
    <row r="53" spans="1:27" ht="19.5" hidden="1" x14ac:dyDescent="0.2">
      <c r="D53" s="80"/>
      <c r="G53" s="95"/>
      <c r="H53" s="95"/>
      <c r="I53" s="95"/>
      <c r="J53" s="95"/>
      <c r="K53" s="95"/>
      <c r="L53" s="96"/>
      <c r="N53" s="95"/>
      <c r="O53" s="96"/>
      <c r="T53" s="72" t="s">
        <v>80</v>
      </c>
    </row>
    <row r="54" spans="1:27" hidden="1" x14ac:dyDescent="0.2">
      <c r="G54" s="95"/>
      <c r="H54" s="95"/>
      <c r="I54" s="95"/>
      <c r="J54" s="95"/>
      <c r="K54" s="95"/>
      <c r="L54" s="96"/>
      <c r="N54" s="95"/>
      <c r="O54" s="96"/>
      <c r="T54" s="72" t="s">
        <v>81</v>
      </c>
    </row>
    <row r="55" spans="1:27" ht="13.5" hidden="1" thickBot="1" x14ac:dyDescent="0.25">
      <c r="G55" s="95"/>
      <c r="H55" s="95"/>
      <c r="I55" s="95"/>
      <c r="J55" s="95"/>
      <c r="K55" s="95"/>
      <c r="L55" s="96"/>
      <c r="N55" s="95"/>
      <c r="O55" s="96"/>
      <c r="T55" s="73" t="s">
        <v>82</v>
      </c>
    </row>
    <row r="56" spans="1:27" hidden="1" x14ac:dyDescent="0.2">
      <c r="G56" s="95"/>
      <c r="H56" s="95"/>
      <c r="I56" s="95"/>
      <c r="J56" s="95"/>
      <c r="K56" s="95"/>
      <c r="L56" s="96"/>
      <c r="N56" s="95"/>
      <c r="O56" s="96"/>
    </row>
    <row r="57" spans="1:27" hidden="1" x14ac:dyDescent="0.2">
      <c r="G57" s="95"/>
      <c r="H57" s="95"/>
      <c r="I57" s="95"/>
      <c r="J57" s="95"/>
      <c r="K57" s="95"/>
      <c r="L57" s="96"/>
      <c r="N57" s="95"/>
      <c r="O57" s="96"/>
    </row>
    <row r="58" spans="1:27" ht="26.25" x14ac:dyDescent="0.35">
      <c r="A58">
        <f ca="1">IF(_xll.TM1RPTELISCONSOLIDATED($D$58,$D58),IF(_xll.TM1RPTELLEV($D$58,$D58)&lt;=3,_xll.TM1RPTELLEV($D$58,$D58),"D"),"N")</f>
        <v>0</v>
      </c>
      <c r="D58" s="162" t="str">
        <f ca="1">_xll.TM1RPTROW($D$39,Server&amp;"Projets","","",$E$26,0,$D$38,,1)</f>
        <v>Projets de fonctionnement</v>
      </c>
      <c r="E58" s="117"/>
      <c r="F58" s="94"/>
      <c r="G58" s="104">
        <f ca="1">_xll.DBRW($D$39,$E$41,$E$42,$E$43,$D58,$E$44,$E$45,$E$46,$E$47,$H$11,$H$10,$H$13)</f>
        <v>0</v>
      </c>
      <c r="H58" s="104">
        <f ca="1">_xll.DBRW($D$39,$E$41,$E$42,$E$43,$D58,$E$44,$E$45,$E$46,$E$47,$I$11,$I$10,$H$13)</f>
        <v>-139373.10669181307</v>
      </c>
      <c r="I58" s="112">
        <f ca="1">_xll.DBRW($D$39,$E$41,$E$42,$E$43,$D58,$E$44,$E$45,$E$46,$E$47,$J$11,$J$10,$H$13)</f>
        <v>-94175.636199999994</v>
      </c>
      <c r="J58" s="105"/>
      <c r="K58" s="123">
        <f ca="1">$I58-$G58</f>
        <v>-94175.636199999994</v>
      </c>
      <c r="L58" s="124">
        <f ca="1">IF($G58=0,0,IF($G58&lt;0,$K58/-$G58,$K58/$G58))</f>
        <v>0</v>
      </c>
      <c r="M58" s="125" t="str">
        <f ca="1">IF($L58&gt;0.01,$W$26,IF($L58&lt;-0.01,$X$26,$Y$26))</f>
        <v>è</v>
      </c>
      <c r="N58" s="123">
        <f ca="1">$I58-$H58</f>
        <v>45197.470491813074</v>
      </c>
      <c r="O58" s="124">
        <f ca="1">IF($H58=0,0,IF($H58&lt;0,$N58/-$H58,$N58/$H58))</f>
        <v>0.32429118905812571</v>
      </c>
      <c r="P58" s="125" t="str">
        <f ca="1">IF($O58&gt;0.01,$W$26,IF($O58&lt;-0.01,$X$26,$Y$26))</f>
        <v>ì</v>
      </c>
      <c r="T58" s="67">
        <f ca="1">_xll.DBRW($D$39,$E$41,$E$42,$E$43,$D58,$E$44,$E$45,$E$46,$E$47,$J$11,$J$10,$H$13)</f>
        <v>-94175.636199999994</v>
      </c>
      <c r="U58" s="67">
        <f ca="1">_xll.DBRW($D$39,$E$41,$E$42,$E$43,$D58,$E$44,$E$45,$E$46,$E$47,$I$11,$I$10,$H$13)</f>
        <v>-139373.10669181307</v>
      </c>
    </row>
    <row r="59" spans="1:27" ht="26.25" x14ac:dyDescent="0.35">
      <c r="A59">
        <f ca="1">IF(_xll.TM1RPTELISCONSOLIDATED($D$58,$D59),IF(_xll.TM1RPTELLEV($D$58,$D59)&lt;=3,_xll.TM1RPTELLEV($D$58,$D59),"D"),"N")</f>
        <v>0</v>
      </c>
      <c r="D59" s="162" t="s">
        <v>109</v>
      </c>
      <c r="E59" s="117"/>
      <c r="F59" s="94"/>
      <c r="G59" s="104">
        <f ca="1">_xll.DBRW($D$39,$E$41,$E$42,$E$43,$D59,$E$44,$E$45,$E$46,$E$47,$H$11,$H$10,$H$13)</f>
        <v>0</v>
      </c>
      <c r="H59" s="104">
        <f ca="1">_xll.DBRW($D$39,$E$41,$E$42,$E$43,$D59,$E$44,$E$45,$E$46,$E$47,$I$11,$I$10,$H$13)</f>
        <v>-8416.3600200000001</v>
      </c>
      <c r="I59" s="112">
        <f ca="1">_xll.DBRW($D$39,$E$41,$E$42,$E$43,$D59,$E$44,$E$45,$E$46,$E$47,$J$11,$J$10,$H$13)</f>
        <v>-12332.398800000001</v>
      </c>
      <c r="J59" s="105"/>
      <c r="K59" s="123">
        <f t="shared" ref="K59:K60" ca="1" si="0">$I59-$G59</f>
        <v>-12332.398800000001</v>
      </c>
      <c r="L59" s="124">
        <f t="shared" ref="L59:L60" ca="1" si="1">IF($G59=0,0,IF($G59&lt;0,$K59/-$G59,$K59/$G59))</f>
        <v>0</v>
      </c>
      <c r="M59" s="125" t="str">
        <f t="shared" ref="M59:M60" ca="1" si="2">IF($L59&gt;0.01,$W$26,IF($L59&lt;-0.01,$X$26,$Y$26))</f>
        <v>è</v>
      </c>
      <c r="N59" s="123">
        <f t="shared" ref="N59:N60" ca="1" si="3">$I59-$H59</f>
        <v>-3916.0387800000008</v>
      </c>
      <c r="O59" s="124">
        <f t="shared" ref="O59:O60" ca="1" si="4">IF($H59=0,0,IF($H59&lt;0,$N59/-$H59,$N59/$H59))</f>
        <v>-0.46528888625180281</v>
      </c>
      <c r="P59" s="125" t="str">
        <f t="shared" ref="P59:P60" ca="1" si="5">IF($O59&gt;0.01,$W$26,IF($O59&lt;-0.01,$X$26,$Y$26))</f>
        <v>î</v>
      </c>
      <c r="T59" s="67">
        <f ca="1">_xll.DBRW($D$39,$E$41,$E$42,$E$43,$D59,$E$44,$E$45,$E$46,$E$47,$J$11,$J$10,$H$13)</f>
        <v>-12332.398800000001</v>
      </c>
      <c r="U59" s="67">
        <f ca="1">_xll.DBRW($D$39,$E$41,$E$42,$E$43,$D59,$E$44,$E$45,$E$46,$E$47,$I$11,$I$10,$H$13)</f>
        <v>-8416.3600200000001</v>
      </c>
    </row>
    <row r="60" spans="1:27" ht="21" x14ac:dyDescent="0.35">
      <c r="A60" t="str">
        <f ca="1">IF(_xll.TM1RPTELISCONSOLIDATED($D$58,$D60),IF(_xll.TM1RPTELLEV($D$58,$D60)&lt;=3,_xll.TM1RPTELLEV($D$58,$D60),"D"),"N")</f>
        <v>N</v>
      </c>
      <c r="D60" s="163" t="s">
        <v>110</v>
      </c>
      <c r="E60" s="121"/>
      <c r="F60" s="103"/>
      <c r="G60" s="109">
        <f ca="1">_xll.DBRW($D$39,$E$41,$E$42,$E$43,$D60,$E$44,$E$45,$E$46,$E$47,$H$11,$H$10,$H$13)</f>
        <v>0</v>
      </c>
      <c r="H60" s="109">
        <f ca="1">_xll.DBRW($D$39,$E$41,$E$42,$E$43,$D60,$E$44,$E$45,$E$46,$E$47,$I$11,$I$10,$H$13)</f>
        <v>0</v>
      </c>
      <c r="I60" s="122">
        <f ca="1">_xll.DBRW($D$39,$E$41,$E$42,$E$43,$D60,$E$44,$E$45,$E$46,$E$47,$J$11,$J$10,$H$13)</f>
        <v>-3.637978807091713E-15</v>
      </c>
      <c r="J60" s="110"/>
      <c r="K60" s="109">
        <f t="shared" ca="1" si="0"/>
        <v>-3.637978807091713E-15</v>
      </c>
      <c r="L60" s="111">
        <f t="shared" ca="1" si="1"/>
        <v>0</v>
      </c>
      <c r="M60" s="116" t="str">
        <f t="shared" ca="1" si="2"/>
        <v>è</v>
      </c>
      <c r="N60" s="109">
        <f t="shared" ca="1" si="3"/>
        <v>-3.637978807091713E-15</v>
      </c>
      <c r="O60" s="111">
        <f t="shared" ca="1" si="4"/>
        <v>0</v>
      </c>
      <c r="P60" s="116" t="str">
        <f t="shared" ca="1" si="5"/>
        <v>è</v>
      </c>
      <c r="T60" s="67">
        <f ca="1">_xll.DBRW($D$39,$E$41,$E$42,$E$43,$D60,$E$44,$E$45,$E$46,$E$47,$J$11,$J$10,$H$13)</f>
        <v>-3.637978807091713E-15</v>
      </c>
      <c r="U60" s="67">
        <f ca="1">_xll.DBRW($D$39,$E$41,$E$42,$E$43,$D60,$E$44,$E$45,$E$46,$E$47,$I$11,$I$10,$H$13)</f>
        <v>0</v>
      </c>
    </row>
    <row r="61" spans="1:27" hidden="1" x14ac:dyDescent="0.2"/>
    <row r="62" spans="1:27" ht="27" hidden="1" customHeight="1" x14ac:dyDescent="0.2"/>
    <row r="63" spans="1:27" ht="27" customHeight="1" x14ac:dyDescent="0.2">
      <c r="A63" s="101" t="s">
        <v>83</v>
      </c>
    </row>
    <row r="64" spans="1:27" ht="27" customHeight="1" thickBot="1" x14ac:dyDescent="0.35">
      <c r="A64" s="102" t="s">
        <v>99</v>
      </c>
      <c r="D64" s="5" t="str">
        <f ca="1">_xll.DBRA(Server&amp;$T$25,$A$64,$V$22)</f>
        <v>Commentaires</v>
      </c>
      <c r="E64" s="40"/>
      <c r="F64" s="40"/>
      <c r="G64" s="40"/>
      <c r="H64" s="40"/>
      <c r="I64" s="41"/>
      <c r="J64" s="42"/>
      <c r="K64" s="42"/>
      <c r="L64" s="43"/>
      <c r="M64" s="44"/>
      <c r="N64" s="44"/>
      <c r="O64" s="44"/>
      <c r="P64" s="45"/>
      <c r="Q64" s="45"/>
      <c r="R64" s="41"/>
      <c r="S64" s="41"/>
      <c r="T64" s="41"/>
      <c r="U64" s="41"/>
      <c r="V64" s="41"/>
      <c r="W64" s="41"/>
      <c r="X64" s="41"/>
      <c r="Y64" s="41"/>
      <c r="Z64" s="41"/>
      <c r="AA64" s="41"/>
    </row>
    <row r="65" spans="1:27" ht="27" customHeight="1" x14ac:dyDescent="0.2">
      <c r="A65" s="102" t="s">
        <v>100</v>
      </c>
      <c r="D65" s="141" t="str">
        <f ca="1">_xll.DBRW(Server&amp;Cube2,$E$24,$E$25,$E$30,$E$27,$E$29,$E$47,$E$28,$N$10,$N$11,$A$63,$A$65)</f>
        <v/>
      </c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3"/>
    </row>
    <row r="66" spans="1:27" ht="27" customHeight="1" x14ac:dyDescent="0.2">
      <c r="A66" s="102" t="s">
        <v>101</v>
      </c>
      <c r="D66" s="144" t="str">
        <f ca="1">_xll.DBRW(Server&amp;Cube2,$E$24,$E$25,$E$30,$E$27,$E$29,$E$47,$E$28,$N$10,$N$11,$A$63,$A$66)</f>
        <v/>
      </c>
      <c r="E66" s="145"/>
      <c r="F66" s="145"/>
      <c r="G66" s="145"/>
      <c r="H66" s="145"/>
      <c r="I66" s="145"/>
      <c r="J66" s="145"/>
      <c r="K66" s="145"/>
      <c r="L66" s="145"/>
      <c r="M66" s="145"/>
      <c r="N66" s="145"/>
      <c r="O66" s="145"/>
      <c r="P66" s="146"/>
    </row>
    <row r="67" spans="1:27" ht="27" customHeight="1" x14ac:dyDescent="0.2">
      <c r="A67" s="102" t="s">
        <v>102</v>
      </c>
      <c r="D67" s="144" t="str">
        <f ca="1">_xll.DBRW(Server&amp;Cube2,$E$24,$E$25,$E$30,$E$27,$E$29,$E$47,$E$28,$N$10,$N$11,$A$63,$A$67)</f>
        <v/>
      </c>
      <c r="E67" s="145"/>
      <c r="F67" s="145"/>
      <c r="G67" s="145"/>
      <c r="H67" s="145"/>
      <c r="I67" s="145"/>
      <c r="J67" s="145"/>
      <c r="K67" s="145"/>
      <c r="L67" s="145"/>
      <c r="M67" s="145"/>
      <c r="N67" s="145"/>
      <c r="O67" s="145"/>
      <c r="P67" s="146"/>
    </row>
    <row r="68" spans="1:27" ht="27" customHeight="1" thickBot="1" x14ac:dyDescent="0.25">
      <c r="A68" s="102" t="s">
        <v>103</v>
      </c>
      <c r="D68" s="147" t="str">
        <f ca="1">_xll.DBRW(Server&amp;Cube2,$E$24,$E$25,$E$30,$E$27,$E$29,$E$47,$E$28,$N$10,$N$11,$A$63,$A$68)</f>
        <v/>
      </c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9"/>
    </row>
    <row r="71" spans="1:27" ht="15" x14ac:dyDescent="0.25">
      <c r="D71" s="53"/>
      <c r="E71" s="53"/>
      <c r="F71" s="54"/>
      <c r="G71" s="53"/>
      <c r="H71" s="53"/>
      <c r="I71" s="54"/>
      <c r="J71" s="54"/>
      <c r="K71" s="54"/>
      <c r="L71" s="54"/>
      <c r="M71" s="54"/>
      <c r="N71" s="54"/>
      <c r="O71" s="54"/>
      <c r="P71" s="54"/>
      <c r="T71" s="83" t="s">
        <v>85</v>
      </c>
      <c r="U71" s="19" t="str">
        <f ca="1">LEFT(G12,7)</f>
        <v>2012</v>
      </c>
      <c r="V71" s="83" t="s">
        <v>86</v>
      </c>
      <c r="W71" s="19"/>
      <c r="X71" s="84" t="str">
        <f ca="1">IF(LEN($U$71)=4,"NO",RIGHT($U$71,2))</f>
        <v>NO</v>
      </c>
      <c r="Y71" s="19"/>
      <c r="Z71" s="19"/>
      <c r="AA71" s="19"/>
    </row>
    <row r="72" spans="1:27" ht="15" x14ac:dyDescent="0.25"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T72" s="83" t="s">
        <v>87</v>
      </c>
      <c r="U72" s="20" t="str">
        <f ca="1">IF(OR($X$71="S1",$X$71="Q1",$X$71="Q2"),"YES",IF(ISERROR(VALUE($X$71))=TRUE,"NO",IF(VALUE($X$71)&lt;7,"YES","NO")))</f>
        <v>NO</v>
      </c>
      <c r="W72" s="19"/>
      <c r="X72" s="19"/>
      <c r="Y72" s="19"/>
      <c r="Z72" s="19"/>
      <c r="AA72" s="19"/>
    </row>
    <row r="73" spans="1:27" ht="15" x14ac:dyDescent="0.25"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T73" s="83" t="s">
        <v>88</v>
      </c>
      <c r="U73" s="19" t="str">
        <f ca="1">IF(OR($X$71="S2",$X$71="Q4",$X$71="NO",$X$71="12"),"YES","NO")</f>
        <v>YES</v>
      </c>
      <c r="W73" s="19"/>
      <c r="X73" s="19"/>
      <c r="Y73" s="19"/>
      <c r="Z73" s="19"/>
      <c r="AA73" s="19"/>
    </row>
    <row r="74" spans="1:27" ht="15" x14ac:dyDescent="0.25">
      <c r="D74" s="56"/>
      <c r="E74" s="56"/>
      <c r="F74" s="55"/>
      <c r="G74" s="56"/>
      <c r="H74" s="56"/>
      <c r="I74" s="55"/>
      <c r="J74" s="55"/>
      <c r="K74" s="55"/>
      <c r="L74" s="55"/>
      <c r="M74" s="55"/>
      <c r="N74" s="55"/>
      <c r="O74" s="55"/>
      <c r="P74" s="55"/>
      <c r="T74" s="83" t="s">
        <v>89</v>
      </c>
      <c r="U74" s="19" t="str">
        <f ca="1">IF(OR($X$71="Q3",$X$71="09"),"YES","NO")</f>
        <v>NO</v>
      </c>
      <c r="W74" s="19"/>
      <c r="X74" s="19"/>
      <c r="Y74" s="19"/>
      <c r="Z74" s="19"/>
      <c r="AA74" s="19"/>
    </row>
    <row r="75" spans="1:27" ht="15.75" x14ac:dyDescent="0.2">
      <c r="D75" s="53"/>
      <c r="E75" s="53"/>
      <c r="F75" s="54"/>
      <c r="G75" s="53"/>
      <c r="H75" s="53"/>
      <c r="I75" s="54"/>
      <c r="J75" s="54"/>
      <c r="K75" s="54"/>
      <c r="L75" s="54"/>
      <c r="M75" s="54"/>
      <c r="N75" s="54"/>
      <c r="O75" s="54"/>
      <c r="P75" s="54"/>
      <c r="T75" s="41"/>
      <c r="U75" s="60"/>
      <c r="V75" s="62"/>
      <c r="W75" s="61" t="s">
        <v>65</v>
      </c>
      <c r="X75" s="41"/>
      <c r="Y75" s="62" t="str">
        <f ca="1">IF(RIGHT(_xll.SUBNM(Server&amp;"Period","",$E$28,""),3)="YTD","Yes","No")</f>
        <v>No</v>
      </c>
      <c r="Z75" s="41"/>
      <c r="AA75" s="41"/>
    </row>
    <row r="76" spans="1:27" ht="15.75" x14ac:dyDescent="0.2">
      <c r="D76" s="53"/>
      <c r="E76" s="53"/>
      <c r="F76" s="54"/>
      <c r="G76" s="53"/>
      <c r="H76" s="53"/>
      <c r="I76" s="54"/>
      <c r="J76" s="54"/>
      <c r="K76" s="54"/>
      <c r="L76" s="54"/>
      <c r="M76" s="54"/>
      <c r="N76" s="54"/>
      <c r="O76" s="54"/>
      <c r="P76" s="54"/>
      <c r="T76" s="60" t="s">
        <v>90</v>
      </c>
      <c r="U76" s="62" t="str">
        <f ca="1">LEFT($J$11,4)</f>
        <v>2012</v>
      </c>
      <c r="V76" s="19" t="str">
        <f ca="1">IF($U$72="YES",$U$76&amp;".01",IF($U$73="YES",$U$76&amp;".07",IF($U74="YES",$U$76&amp;".04",IF($X$71="07",$U$76&amp;".02",IF($X$71="08",$U$76&amp;".03",IF($X$71="10",$U$76&amp;".05",$U$76&amp;".06"))))))</f>
        <v>2012.07</v>
      </c>
      <c r="W76" s="19" t="str">
        <f ca="1">IF($U$72="YES",$U$76&amp;".02",IF($U$73="YES",$U$76&amp;".08",IF($U$74="YES",$U$76&amp;".05",IF($X$71="07",$U$76&amp;".03",IF($X$71="08",$U$76&amp;".04",IF($X$71="10",$U$76&amp;".06",$U$76&amp;".07"))))))</f>
        <v>2012.08</v>
      </c>
      <c r="X76" s="19" t="str">
        <f ca="1">IF($U$72="YES",$U$76&amp;".03",IF($U$73="YES",$U$76&amp;".09",IF($U$74="YES",$U$76&amp;".06",IF($X$71="07",$U$76&amp;".04",IF($X$71="08",$U$76&amp;".05",IF($X$71="10",$U$76&amp;".07",$U$76&amp;".08"))))))</f>
        <v>2012.09</v>
      </c>
      <c r="Y76" s="19" t="str">
        <f ca="1">IF($U$72="YES",$U$76&amp;".04",IF($U$73="YES",$U$76&amp;".10",IF($U$74="YES",$U$76&amp;".07",IF($X$71="07",$U$76&amp;".05",IF($X$71="08",$U$76&amp;".06",IF($X$71="10",$U$76&amp;".08",$U$76&amp;".09"))))))</f>
        <v>2012.10</v>
      </c>
      <c r="Z76" s="19" t="str">
        <f ca="1">IF($U$72="YES",$U$76&amp;".05",IF($U$73="YES",$U$76&amp;".11",IF($U$74="YES",$U$76&amp;".08",IF($X$71="07",$U$76&amp;".06",IF($X$71="08",$U$76&amp;".07",IF($X$71="10",$U$76&amp;".09",$U$76&amp;".10"))))))</f>
        <v>2012.11</v>
      </c>
      <c r="AA76" s="19" t="str">
        <f ca="1">IF($U$72="YES",$U$76&amp;".06",IF($U$73="YES",$U$76&amp;".12",IF($U$74="YES",$U$76&amp;".09",IF($X$71="07",$U$76&amp;".07",IF($X$71="08",$U$76&amp;".08",IF($X$71="10",$U$76&amp;".10",$U$76&amp;".11"))))))</f>
        <v>2012.12</v>
      </c>
    </row>
    <row r="77" spans="1:27" ht="15.75" x14ac:dyDescent="0.2">
      <c r="D77" s="53"/>
      <c r="E77" s="53"/>
      <c r="F77" s="54"/>
      <c r="G77" s="53"/>
      <c r="H77" s="53"/>
      <c r="I77" s="54"/>
      <c r="J77" s="54"/>
      <c r="K77" s="54"/>
      <c r="L77" s="54"/>
      <c r="M77" s="54"/>
      <c r="N77" s="54"/>
      <c r="O77" s="54"/>
      <c r="P77" s="54"/>
      <c r="T77" s="60"/>
      <c r="U77" s="62"/>
      <c r="V77" s="19" t="str">
        <f ca="1">MID(V$76,6,2)</f>
        <v>07</v>
      </c>
      <c r="W77" s="19" t="str">
        <f t="shared" ref="W77:AA77" ca="1" si="6">MID(W$76,6,2)</f>
        <v>08</v>
      </c>
      <c r="X77" s="19" t="str">
        <f t="shared" ca="1" si="6"/>
        <v>09</v>
      </c>
      <c r="Y77" s="19" t="str">
        <f t="shared" ca="1" si="6"/>
        <v>10</v>
      </c>
      <c r="Z77" s="19" t="str">
        <f t="shared" ca="1" si="6"/>
        <v>11</v>
      </c>
      <c r="AA77" s="19" t="str">
        <f t="shared" ca="1" si="6"/>
        <v>12</v>
      </c>
    </row>
    <row r="78" spans="1:27" ht="15.75" x14ac:dyDescent="0.2">
      <c r="D78" s="53"/>
      <c r="E78" s="53"/>
      <c r="F78" s="54"/>
      <c r="G78" s="53"/>
      <c r="H78" s="53"/>
      <c r="I78" s="54"/>
      <c r="J78" s="54"/>
      <c r="K78" s="54"/>
      <c r="L78" s="54"/>
      <c r="M78" s="54"/>
      <c r="N78" s="54"/>
      <c r="O78" s="54"/>
      <c r="P78" s="54"/>
      <c r="T78" s="60"/>
      <c r="U78" s="62"/>
      <c r="V78" s="19" t="str">
        <f ca="1">IF(V$77&gt;$X$71,"yes","no")</f>
        <v>no</v>
      </c>
      <c r="W78" s="19" t="str">
        <f t="shared" ref="W78:AA78" ca="1" si="7">IF(W$77&gt;$X$71,"yes","no")</f>
        <v>no</v>
      </c>
      <c r="X78" s="19" t="str">
        <f t="shared" ca="1" si="7"/>
        <v>no</v>
      </c>
      <c r="Y78" s="19" t="str">
        <f t="shared" ca="1" si="7"/>
        <v>no</v>
      </c>
      <c r="Z78" s="19" t="str">
        <f t="shared" ca="1" si="7"/>
        <v>no</v>
      </c>
      <c r="AA78" s="19" t="str">
        <f t="shared" ca="1" si="7"/>
        <v>no</v>
      </c>
    </row>
    <row r="79" spans="1:27" x14ac:dyDescent="0.2">
      <c r="D79" s="53"/>
      <c r="E79" s="53"/>
      <c r="F79" s="54"/>
      <c r="G79" s="53"/>
      <c r="H79" s="53"/>
      <c r="I79" s="54"/>
      <c r="J79" s="54"/>
      <c r="K79" s="54"/>
      <c r="L79" s="54"/>
      <c r="M79" s="54"/>
      <c r="N79" s="54"/>
      <c r="O79" s="54"/>
      <c r="P79" s="54"/>
      <c r="T79" s="19"/>
      <c r="U79" s="87" t="s">
        <v>91</v>
      </c>
      <c r="V79" s="85" t="str">
        <f ca="1">IF($Y$75="No",V$76,V$76&amp;"_YTD")</f>
        <v>2012.07</v>
      </c>
      <c r="W79" s="85" t="str">
        <f t="shared" ref="W79:AA79" ca="1" si="8">IF($Y$75="No",W$76,W$76&amp;"_YTD")</f>
        <v>2012.08</v>
      </c>
      <c r="X79" s="85" t="str">
        <f t="shared" ca="1" si="8"/>
        <v>2012.09</v>
      </c>
      <c r="Y79" s="85" t="str">
        <f t="shared" ca="1" si="8"/>
        <v>2012.10</v>
      </c>
      <c r="Z79" s="85" t="str">
        <f t="shared" ca="1" si="8"/>
        <v>2012.11</v>
      </c>
      <c r="AA79" s="85" t="str">
        <f t="shared" ca="1" si="8"/>
        <v>2012.12</v>
      </c>
    </row>
    <row r="80" spans="1:27" x14ac:dyDescent="0.2">
      <c r="D80" s="53"/>
      <c r="E80" s="53"/>
      <c r="F80" s="54"/>
      <c r="G80" s="53"/>
      <c r="H80" s="53"/>
      <c r="I80" s="54"/>
      <c r="J80" s="54"/>
      <c r="K80" s="54"/>
      <c r="L80" s="54"/>
      <c r="M80" s="54"/>
      <c r="N80" s="54"/>
      <c r="O80" s="54"/>
      <c r="P80" s="54"/>
      <c r="T80" s="19"/>
      <c r="U80" s="87" t="s">
        <v>92</v>
      </c>
      <c r="V80" s="85" t="str">
        <f ca="1">_xll.DBRA(Server&amp;$G$11,V$79,"Prior Year")</f>
        <v>2011.07</v>
      </c>
      <c r="W80" s="85" t="str">
        <f ca="1">_xll.DBRA(Server&amp;$G$11,W$79,"Prior Year")</f>
        <v>2011.08</v>
      </c>
      <c r="X80" s="85" t="str">
        <f ca="1">_xll.DBRA(Server&amp;$G$11,X$79,"Prior Year")</f>
        <v>2011.09</v>
      </c>
      <c r="Y80" s="85" t="str">
        <f ca="1">_xll.DBRA(Server&amp;$G$11,Y$79,"Prior Year")</f>
        <v>2011.10</v>
      </c>
      <c r="Z80" s="85" t="str">
        <f ca="1">_xll.DBRA(Server&amp;$G$11,Z$79,"Prior Year")</f>
        <v>2011.11</v>
      </c>
      <c r="AA80" s="85" t="str">
        <f ca="1">_xll.DBRA(Server&amp;$G$11,AA$79,"Prior Year")</f>
        <v>2011.12</v>
      </c>
    </row>
    <row r="81" spans="4:27" ht="15.75" x14ac:dyDescent="0.25">
      <c r="D81" s="53"/>
      <c r="E81" s="53"/>
      <c r="F81" s="54"/>
      <c r="G81" s="53"/>
      <c r="H81" s="53"/>
      <c r="I81" s="54"/>
      <c r="J81" s="54"/>
      <c r="K81" s="54"/>
      <c r="L81" s="54"/>
      <c r="M81" s="54"/>
      <c r="N81" s="54"/>
      <c r="O81" s="54"/>
      <c r="P81" s="54"/>
      <c r="T81" s="58" t="str">
        <f ca="1">IF($Y$75="No",_xll.DBRA(Server&amp;$T$25,$U$81,$V$22),_xll.DBRA(Server&amp;$T$25,$U$81,$V$22)&amp; " ("&amp;_xll.DBRA(Server&amp;$T$25,$T$43,$V$22)&amp;")")</f>
        <v>Projets par direction</v>
      </c>
      <c r="U81" s="59" t="s">
        <v>94</v>
      </c>
      <c r="V81" s="86" t="str">
        <f ca="1">IF($U$72="YES",_xll.DBRA(Server&amp;$T$25,$T$44,$V$22),IF($U$73="YES",_xll.DBRA(Server&amp;$T$25,$T$50,$V$22),IF($U$74="YES",_xll.DBRA(Server&amp;$T$25,$T$47,$V$22),IF($X$71="07",_xll.DBRA(Server&amp;$T$25,$T$45,$V$22),IF($X$71="08",_xll.DBRA(Server&amp;$T$25,$T$46,$V$22),IF($X$71="10",_xll.DBRA(Server&amp;$T$25,$T$48,$V$22),_xll.DBRA(Server&amp;$T$25,$T$49,$V$22)))))))</f>
        <v>Jul</v>
      </c>
      <c r="W81" s="86" t="str">
        <f ca="1">IF($U$72="YES",_xll.DBRA(Server&amp;$T$25,$T$45,$V$22),IF($U$73="YES",_xll.DBRA(Server&amp;$T$25,$T$51,$V$22),IF($U$74="YES",_xll.DBRA(Server&amp;$T$25,$T$48,$V$22),IF($X$71="07",_xll.DBRA(Server&amp;$T$25,$T$46,$V$22),IF($X$71="08",_xll.DBRA(Server&amp;$T$25,$T$47,$V$22),IF($X$71="10",_xll.DBRA(Server&amp;$T$25,$T$49,$V$22),_xll.DBRA(Server&amp;$T$25,$T$50,$V$22)))))))</f>
        <v>Août</v>
      </c>
      <c r="X81" s="86" t="str">
        <f ca="1">IF($U$72="YES",_xll.DBRA(Server&amp;$T$25,$T$46,$V$22),IF($U$73="YES",_xll.DBRA(Server&amp;$T$25,$T$52,$V$22),IF($U$74="YES",_xll.DBRA(Server&amp;$T$25,$T$49,$V$22),IF($X$71="07",_xll.DBRA(Server&amp;$T$25,$T$47,$V$22),IF($X$71="08",_xll.DBRA(Server&amp;$T$25,$T$48,$V$22),IF($X$71="10",_xll.DBRA(Server&amp;$T$25,$T$50,$V$22),_xll.DBRA(Server&amp;$T$25,$T$51,$V$22)))))))</f>
        <v>Sep</v>
      </c>
      <c r="Y81" s="86" t="str">
        <f ca="1">IF($U$72="YES",_xll.DBRA(Server&amp;$T$25,$T$47,$V$22),IF($U$73="YES",_xll.DBRA(Server&amp;$T$25,$T$53,$V$22),IF($U$74="YES",_xll.DBRA(Server&amp;$T$25,$T$50,$V$22),IF($X$71="07",_xll.DBRA(Server&amp;$T$25,$T$48,$V$22),IF($X$71="08",_xll.DBRA(Server&amp;$T$25,$T$49,$V$22),IF($X$71="10",_xll.DBRA(Server&amp;$T$25,$T$51,$V$22),_xll.DBRA(Server&amp;$T$25,$T$52,$V$22)))))))</f>
        <v>Oct</v>
      </c>
      <c r="Z81" s="86" t="str">
        <f ca="1">IF($U$72="YES",_xll.DBRA(Server&amp;$T$25,$T$48,$V$22),IF($U$73="YES",_xll.DBRA(Server&amp;$T$25,$T$54,$V$22),IF($U$74="YES",_xll.DBRA(Server&amp;$T$25,$T$51,$V$22),IF($X$71="07",_xll.DBRA(Server&amp;$T$25,$T$49,$V$22),IF($X$71="08",_xll.DBRA(Server&amp;$T$25,$T$50,$V$22),IF($X$71="10",_xll.DBRA(Server&amp;$T$25,$T$52,$V$22),_xll.DBRA(Server&amp;$T$25,$T$53,$V$22)))))))</f>
        <v>Nov</v>
      </c>
      <c r="AA81" s="86" t="str">
        <f ca="1">IF($U$72="YES",_xll.DBRA(Server&amp;$T$25,$T$49,$V$22),IF($U$73="YES",$T$55,IF($U$74="YES",_xll.DBRA(Server&amp;$T$25,$T$52,$V$22),IF($X$71="07",_xll.DBRA(Server&amp;$T$25,$T$50,$V$22),IF($X$71="08",_xll.DBRA(Server&amp;$T$25,$T$51,$V$22),IF($X$71="10",_xll.DBRA(Server&amp;$T$25,$T$53,$V$22),_xll.DBRA(Server&amp;$T$25,$T$54,$V$22)))))))</f>
        <v>Dec</v>
      </c>
    </row>
    <row r="82" spans="4:27" ht="15.75" x14ac:dyDescent="0.2">
      <c r="D82" s="53"/>
      <c r="E82" s="53"/>
      <c r="F82" s="54"/>
      <c r="G82" s="53"/>
      <c r="H82" s="53"/>
      <c r="I82" s="54"/>
      <c r="J82" s="54"/>
      <c r="K82" s="54"/>
      <c r="L82" s="54"/>
      <c r="M82" s="54"/>
      <c r="N82" s="54"/>
      <c r="O82" s="54"/>
      <c r="P82" s="54"/>
      <c r="T82" s="60" t="str">
        <f ca="1">_xll.DBRA(Server&amp;$G$10,$U$82,$V$22)</f>
        <v>Réalisé</v>
      </c>
      <c r="U82" s="4" t="str">
        <f>J10</f>
        <v>ACT_TOT</v>
      </c>
      <c r="V82" s="63">
        <f ca="1">IF(V$78="yes",#N/A,_xll.DBRW(Server&amp;Cube1,$E$31,$E$24,$E$25,$E$30,$B$25,$E$27,$E$29,$B$24,V$79,$U$82,$H$13))</f>
        <v>-2404.5630200000005</v>
      </c>
      <c r="W82" s="63">
        <f ca="1">IF(W$78="yes",#N/A,_xll.DBRW(Server&amp;Cube1,$E$31,$E$24,$E$25,$E$30,$B$25,$E$27,$E$29,$B$24,W$79,$U$82,$H$13))</f>
        <v>-13428.065050000003</v>
      </c>
      <c r="X82" s="63">
        <f ca="1">IF(X$78="yes",#N/A,_xll.DBRW(Server&amp;Cube1,$E$31,$E$24,$E$25,$E$30,$B$25,$E$27,$E$29,$B$24,X$79,$U$82,$H$13))</f>
        <v>-9666.8352599999962</v>
      </c>
      <c r="Y82" s="63">
        <f ca="1">IF(Y$78="yes",#N/A,_xll.DBRW(Server&amp;Cube1,$E$31,$E$24,$E$25,$E$30,$B$25,$E$27,$E$29,$B$24,Y$79,$U$82,$H$13))</f>
        <v>-8985.6207799999956</v>
      </c>
      <c r="Z82" s="63">
        <f ca="1">IF(Z$78="yes",#N/A,_xll.DBRW(Server&amp;Cube1,$E$31,$E$24,$E$25,$E$30,$B$25,$E$27,$E$29,$B$24,Z$79,$U$82,$H$13))</f>
        <v>-3659.0512500000004</v>
      </c>
      <c r="AA82" s="63">
        <f ca="1">IF(AA$78="yes",#N/A,_xll.DBRW(Server&amp;Cube1,$E$31,$E$24,$E$25,$E$30,$B$25,$E$27,$E$29,$B$24,AA$79,$U$82,$H$13))</f>
        <v>1841.3634399999971</v>
      </c>
    </row>
    <row r="83" spans="4:27" ht="15.75" x14ac:dyDescent="0.2">
      <c r="D83" s="53"/>
      <c r="E83" s="53"/>
      <c r="F83" s="54"/>
      <c r="G83" s="53"/>
      <c r="H83" s="53"/>
      <c r="I83" s="54"/>
      <c r="J83" s="54"/>
      <c r="K83" s="54"/>
      <c r="L83" s="54"/>
      <c r="M83" s="54"/>
      <c r="N83" s="54"/>
      <c r="O83" s="54"/>
      <c r="P83" s="54"/>
      <c r="T83" s="60" t="str">
        <f ca="1">_xll.DBRA(Server&amp;$G$10,$U$83,$V$22)</f>
        <v>Budget</v>
      </c>
      <c r="U83" s="4" t="str">
        <f>I10</f>
        <v>BUDG_TOT</v>
      </c>
      <c r="V83" s="63">
        <f ca="1">_xll.DBRW(Server&amp;Cube1,$E$31,$E$24,$E$25,$E$30,$B$25,$E$27,$E$29,$B$24,V$79,$U$83,$H$13)</f>
        <v>-10658.820407802603</v>
      </c>
      <c r="W83" s="63">
        <f ca="1">_xll.DBRW(Server&amp;Cube1,$E$31,$E$24,$E$25,$E$30,$B$25,$E$27,$E$29,$B$24,W$79,$U$83,$H$13)</f>
        <v>-10658.820407802603</v>
      </c>
      <c r="X83" s="63">
        <f ca="1">_xll.DBRW(Server&amp;Cube1,$E$31,$E$24,$E$25,$E$30,$B$25,$E$27,$E$29,$B$24,X$79,$U$83,$H$13)</f>
        <v>-10658.820407802603</v>
      </c>
      <c r="Y83" s="63">
        <f ca="1">_xll.DBRW(Server&amp;Cube1,$E$31,$E$24,$E$25,$E$30,$B$25,$E$27,$E$29,$B$24,Y$79,$U$83,$H$13)</f>
        <v>-10658.820407802603</v>
      </c>
      <c r="Z83" s="63">
        <f ca="1">_xll.DBRW(Server&amp;Cube1,$E$31,$E$24,$E$25,$E$30,$B$25,$E$27,$E$29,$B$24,Z$79,$U$83,$H$13)</f>
        <v>-10658.820407802603</v>
      </c>
      <c r="AA83" s="63">
        <f ca="1">_xll.DBRW(Server&amp;Cube1,$E$31,$E$24,$E$25,$E$30,$B$25,$E$27,$E$29,$B$24,AA$79,$U$83,$H$13)</f>
        <v>-10658.820407802603</v>
      </c>
    </row>
    <row r="84" spans="4:27" ht="15.75" x14ac:dyDescent="0.2">
      <c r="D84" s="53"/>
      <c r="E84" s="53"/>
      <c r="F84" s="54"/>
      <c r="G84" s="53"/>
      <c r="H84" s="53"/>
      <c r="I84" s="54"/>
      <c r="J84" s="54"/>
      <c r="K84" s="54"/>
      <c r="L84" s="54"/>
      <c r="M84" s="54"/>
      <c r="N84" s="54"/>
      <c r="O84" s="54"/>
      <c r="P84" s="54"/>
      <c r="T84" s="60" t="str">
        <f ca="1">_xll.DBRA(Server&amp;$T$25,$T$38,$V$22)</f>
        <v>Réalisé N-1</v>
      </c>
      <c r="U84" s="4" t="str">
        <f>H10</f>
        <v>ACT_TOT</v>
      </c>
      <c r="V84" s="63">
        <f ca="1">_xll.DBRW(Server&amp;Cube1,$E$31,$E$24,$E$25,$E$30,$B$25,$E$27,$E$29,$B$24,V$80,$U$84,$H$13)</f>
        <v>0</v>
      </c>
      <c r="W84" s="63">
        <f ca="1">_xll.DBRW(Server&amp;Cube1,$E$31,$E$24,$E$25,$E$30,$B$25,$E$27,$E$29,$B$24,W$80,$U$84,$H$13)</f>
        <v>0</v>
      </c>
      <c r="X84" s="63">
        <f ca="1">_xll.DBRW(Server&amp;Cube1,$E$31,$E$24,$E$25,$E$30,$B$25,$E$27,$E$29,$B$24,X$80,$U$84,$H$13)</f>
        <v>0</v>
      </c>
      <c r="Y84" s="63">
        <f ca="1">_xll.DBRW(Server&amp;Cube1,$E$31,$E$24,$E$25,$E$30,$B$25,$E$27,$E$29,$B$24,Y$80,$U$84,$H$13)</f>
        <v>0</v>
      </c>
      <c r="Z84" s="63">
        <f ca="1">_xll.DBRW(Server&amp;Cube1,$E$31,$E$24,$E$25,$E$30,$B$25,$E$27,$E$29,$B$24,Z$80,$U$84,$H$13)</f>
        <v>0</v>
      </c>
      <c r="AA84" s="63">
        <f ca="1">_xll.DBRW(Server&amp;Cube1,$E$31,$E$24,$E$25,$E$30,$B$25,$E$27,$E$29,$B$24,AA$80,$U$84,$H$13)</f>
        <v>0</v>
      </c>
    </row>
    <row r="85" spans="4:27" ht="15.75" x14ac:dyDescent="0.2">
      <c r="D85" s="53"/>
      <c r="E85" s="53"/>
      <c r="F85" s="54"/>
      <c r="G85" s="53"/>
      <c r="H85" s="53"/>
      <c r="I85" s="54"/>
      <c r="J85" s="54"/>
      <c r="K85" s="54"/>
      <c r="L85" s="54"/>
      <c r="M85" s="54"/>
      <c r="N85" s="54"/>
      <c r="O85" s="54"/>
      <c r="P85" s="54"/>
      <c r="T85" s="88"/>
      <c r="U85" s="59"/>
      <c r="V85" s="89"/>
      <c r="W85" s="89"/>
      <c r="X85" s="89"/>
      <c r="Y85" s="89"/>
      <c r="Z85" s="89"/>
      <c r="AA85" s="89"/>
    </row>
    <row r="86" spans="4:27" ht="15.75" x14ac:dyDescent="0.2">
      <c r="D86" s="53"/>
      <c r="E86" s="53"/>
      <c r="F86" s="54"/>
      <c r="G86" s="53"/>
      <c r="H86" s="53"/>
      <c r="I86" s="54"/>
      <c r="J86" s="54"/>
      <c r="K86" s="54"/>
      <c r="L86" s="54"/>
      <c r="M86" s="54"/>
      <c r="N86" s="54"/>
      <c r="O86" s="54"/>
      <c r="P86" s="54"/>
      <c r="T86" s="60"/>
      <c r="U86" s="4"/>
      <c r="V86" s="90"/>
      <c r="W86" s="90"/>
      <c r="X86" s="90"/>
      <c r="Y86" s="90"/>
      <c r="Z86" s="90"/>
      <c r="AA86" s="90"/>
    </row>
    <row r="87" spans="4:27" ht="15.75" x14ac:dyDescent="0.2">
      <c r="D87" s="53"/>
      <c r="E87" s="53"/>
      <c r="F87" s="54"/>
      <c r="G87" s="53"/>
      <c r="H87" s="53"/>
      <c r="I87" s="54"/>
      <c r="J87" s="54"/>
      <c r="K87" s="54"/>
      <c r="L87" s="54"/>
      <c r="M87" s="54"/>
      <c r="N87" s="54"/>
      <c r="O87" s="54"/>
      <c r="P87" s="54"/>
      <c r="T87" s="60"/>
      <c r="U87" s="4"/>
      <c r="V87" s="90"/>
      <c r="W87" s="90"/>
      <c r="X87" s="90"/>
      <c r="Y87" s="90"/>
      <c r="Z87" s="90"/>
      <c r="AA87" s="90"/>
    </row>
    <row r="88" spans="4:27" ht="15.75" x14ac:dyDescent="0.2">
      <c r="D88" s="53"/>
      <c r="E88" s="53"/>
      <c r="F88" s="54"/>
      <c r="G88" s="53"/>
      <c r="H88" s="53"/>
      <c r="I88" s="54"/>
      <c r="J88" s="54"/>
      <c r="K88" s="54"/>
      <c r="L88" s="54"/>
      <c r="M88" s="54"/>
      <c r="N88" s="54"/>
      <c r="O88" s="54"/>
      <c r="P88" s="54"/>
      <c r="T88" s="60"/>
      <c r="U88" s="4"/>
      <c r="V88" s="90"/>
      <c r="W88" s="90"/>
      <c r="X88" s="90"/>
      <c r="Y88" s="90"/>
      <c r="Z88" s="90"/>
      <c r="AA88" s="90"/>
    </row>
    <row r="89" spans="4:27" ht="15.75" x14ac:dyDescent="0.2">
      <c r="D89" s="53"/>
      <c r="E89" s="53"/>
      <c r="F89" s="54"/>
      <c r="G89" s="53"/>
      <c r="H89" s="53"/>
      <c r="I89" s="54"/>
      <c r="J89" s="54"/>
      <c r="K89" s="54"/>
      <c r="L89" s="54"/>
      <c r="M89" s="54"/>
      <c r="N89" s="54"/>
      <c r="O89" s="54"/>
      <c r="P89" s="54"/>
      <c r="T89" s="88"/>
      <c r="V89" s="64"/>
      <c r="W89" s="64"/>
      <c r="X89" s="64"/>
      <c r="Y89" s="64"/>
      <c r="Z89" s="64"/>
      <c r="AA89" s="64"/>
    </row>
    <row r="90" spans="4:27" ht="15.75" x14ac:dyDescent="0.2">
      <c r="D90" s="53"/>
      <c r="E90" s="53"/>
      <c r="F90" s="54"/>
      <c r="G90" s="53"/>
      <c r="H90" s="53"/>
      <c r="I90" s="54"/>
      <c r="J90" s="54"/>
      <c r="K90" s="54"/>
      <c r="L90" s="54"/>
      <c r="M90" s="54"/>
      <c r="N90" s="54"/>
      <c r="O90" s="54"/>
      <c r="P90" s="54"/>
      <c r="T90" s="60"/>
      <c r="U90" s="4"/>
      <c r="V90" s="90"/>
      <c r="W90" s="90"/>
      <c r="X90" s="90"/>
      <c r="Y90" s="90"/>
      <c r="Z90" s="90"/>
      <c r="AA90" s="90"/>
    </row>
    <row r="91" spans="4:27" ht="15.75" x14ac:dyDescent="0.2">
      <c r="D91" s="53"/>
      <c r="E91" s="53"/>
      <c r="F91" s="54"/>
      <c r="G91" s="53"/>
      <c r="H91" s="53"/>
      <c r="I91" s="54"/>
      <c r="J91" s="54"/>
      <c r="K91" s="54"/>
      <c r="L91" s="54"/>
      <c r="M91" s="54"/>
      <c r="N91" s="54"/>
      <c r="O91" s="54"/>
      <c r="P91" s="54"/>
      <c r="T91" s="60"/>
      <c r="U91" s="4"/>
      <c r="V91" s="90"/>
      <c r="W91" s="90"/>
      <c r="X91" s="90"/>
      <c r="Y91" s="90"/>
      <c r="Z91" s="90"/>
      <c r="AA91" s="90"/>
    </row>
    <row r="92" spans="4:27" ht="15.75" x14ac:dyDescent="0.2">
      <c r="D92" s="53"/>
      <c r="E92" s="53"/>
      <c r="F92" s="54"/>
      <c r="G92" s="53"/>
      <c r="H92" s="53"/>
      <c r="I92" s="54"/>
      <c r="J92" s="54"/>
      <c r="K92" s="54"/>
      <c r="L92" s="54"/>
      <c r="M92" s="54"/>
      <c r="N92" s="54"/>
      <c r="O92" s="54"/>
      <c r="P92" s="54"/>
      <c r="T92" s="60"/>
      <c r="U92" s="4"/>
      <c r="V92" s="90"/>
      <c r="W92" s="90"/>
      <c r="X92" s="90"/>
      <c r="Y92" s="90"/>
      <c r="Z92" s="90"/>
      <c r="AA92" s="90"/>
    </row>
    <row r="93" spans="4:27" ht="15.75" x14ac:dyDescent="0.2">
      <c r="D93" s="53"/>
      <c r="E93" s="53"/>
      <c r="F93" s="54"/>
      <c r="G93" s="53"/>
      <c r="H93" s="53"/>
      <c r="I93" s="54"/>
      <c r="J93" s="54"/>
      <c r="K93" s="54"/>
      <c r="L93" s="54"/>
      <c r="M93" s="54"/>
      <c r="N93" s="54"/>
      <c r="O93" s="54"/>
      <c r="P93" s="54"/>
      <c r="T93" s="88"/>
      <c r="U93" s="59"/>
      <c r="V93" s="89"/>
      <c r="W93" s="89"/>
      <c r="X93" s="89"/>
      <c r="Y93" s="89"/>
      <c r="Z93" s="89"/>
      <c r="AA93" s="89"/>
    </row>
    <row r="94" spans="4:27" ht="15.75" x14ac:dyDescent="0.2">
      <c r="D94" s="53"/>
      <c r="E94" s="53"/>
      <c r="F94" s="54"/>
      <c r="G94" s="53"/>
      <c r="H94" s="53"/>
      <c r="I94" s="54"/>
      <c r="J94" s="54"/>
      <c r="K94" s="54"/>
      <c r="L94" s="54"/>
      <c r="M94" s="54"/>
      <c r="N94" s="54"/>
      <c r="O94" s="54"/>
      <c r="P94" s="54"/>
      <c r="T94" s="60"/>
      <c r="U94" s="4"/>
      <c r="V94" s="90"/>
      <c r="W94" s="90"/>
      <c r="X94" s="90"/>
      <c r="Y94" s="90"/>
      <c r="Z94" s="90"/>
      <c r="AA94" s="90"/>
    </row>
    <row r="95" spans="4:27" ht="15.75" x14ac:dyDescent="0.2">
      <c r="D95" s="57"/>
      <c r="E95" s="53"/>
      <c r="F95" s="53"/>
      <c r="G95" s="57"/>
      <c r="H95" s="53"/>
      <c r="I95" s="53"/>
      <c r="J95" s="54"/>
      <c r="K95" s="54"/>
      <c r="L95" s="54"/>
      <c r="M95" s="54"/>
      <c r="N95" s="54"/>
      <c r="O95" s="54"/>
      <c r="P95" s="54"/>
      <c r="T95" s="60"/>
      <c r="U95" s="4"/>
      <c r="V95" s="90"/>
      <c r="W95" s="90"/>
      <c r="X95" s="90"/>
      <c r="Y95" s="90"/>
      <c r="Z95" s="90"/>
      <c r="AA95" s="90"/>
    </row>
    <row r="96" spans="4:27" ht="15.75" x14ac:dyDescent="0.2">
      <c r="D96" s="57"/>
      <c r="E96" s="53"/>
      <c r="F96" s="53"/>
      <c r="G96" s="57"/>
      <c r="H96" s="53"/>
      <c r="I96" s="53"/>
      <c r="J96" s="54"/>
      <c r="K96" s="54"/>
      <c r="L96" s="54"/>
      <c r="M96" s="54"/>
      <c r="N96" s="54"/>
      <c r="O96" s="54"/>
      <c r="P96" s="54"/>
      <c r="T96" s="60"/>
      <c r="U96" s="4"/>
      <c r="V96" s="90"/>
      <c r="W96" s="90"/>
      <c r="X96" s="90"/>
      <c r="Y96" s="90"/>
      <c r="Z96" s="90"/>
      <c r="AA96" s="90"/>
    </row>
    <row r="97" spans="4:16" x14ac:dyDescent="0.2">
      <c r="D97" s="57"/>
      <c r="E97" s="53"/>
      <c r="F97" s="53"/>
      <c r="G97" s="57"/>
      <c r="H97" s="53"/>
      <c r="I97" s="53"/>
      <c r="J97" s="54"/>
      <c r="K97" s="54"/>
      <c r="L97" s="54"/>
      <c r="M97" s="54"/>
      <c r="N97" s="54"/>
      <c r="O97" s="54"/>
      <c r="P97" s="54"/>
    </row>
    <row r="98" spans="4:16" x14ac:dyDescent="0.2">
      <c r="D98" s="57"/>
      <c r="E98" s="53"/>
      <c r="F98" s="53"/>
      <c r="G98" s="57"/>
      <c r="H98" s="53"/>
      <c r="I98" s="53"/>
      <c r="J98" s="54"/>
      <c r="K98" s="54"/>
      <c r="L98" s="54"/>
      <c r="M98" s="54"/>
      <c r="N98" s="54"/>
      <c r="O98" s="54"/>
      <c r="P98" s="54"/>
    </row>
  </sheetData>
  <sheetProtection sheet="1" objects="1" scenarios="1" formatColumns="0" formatRows="0"/>
  <protectedRanges>
    <protectedRange sqref="E65:J67" name="Commentaires"/>
  </protectedRanges>
  <mergeCells count="12">
    <mergeCell ref="W25:Y25"/>
    <mergeCell ref="K34:L34"/>
    <mergeCell ref="N34:O34"/>
    <mergeCell ref="K32:P33"/>
    <mergeCell ref="G32:I33"/>
    <mergeCell ref="D65:P65"/>
    <mergeCell ref="D66:P66"/>
    <mergeCell ref="D67:P67"/>
    <mergeCell ref="D68:P68"/>
    <mergeCell ref="E20:L21"/>
    <mergeCell ref="M20:O21"/>
    <mergeCell ref="D36:E36"/>
  </mergeCells>
  <conditionalFormatting sqref="W26">
    <cfRule type="cellIs" dxfId="24" priority="1313" operator="equal">
      <formula>$AU$34</formula>
    </cfRule>
  </conditionalFormatting>
  <conditionalFormatting sqref="M36">
    <cfRule type="cellIs" dxfId="23" priority="1312" operator="equal">
      <formula>$X$26</formula>
    </cfRule>
  </conditionalFormatting>
  <conditionalFormatting sqref="M36">
    <cfRule type="cellIs" dxfId="22" priority="1311" operator="equal">
      <formula>$Y$26</formula>
    </cfRule>
  </conditionalFormatting>
  <conditionalFormatting sqref="P36">
    <cfRule type="cellIs" dxfId="21" priority="1310" operator="equal">
      <formula>$X$26</formula>
    </cfRule>
  </conditionalFormatting>
  <conditionalFormatting sqref="P36">
    <cfRule type="cellIs" dxfId="20" priority="1309" operator="equal">
      <formula>$Y$26</formula>
    </cfRule>
  </conditionalFormatting>
  <conditionalFormatting sqref="M2:M7">
    <cfRule type="cellIs" dxfId="19" priority="1306" operator="equal">
      <formula>$X$26</formula>
    </cfRule>
  </conditionalFormatting>
  <conditionalFormatting sqref="M2:M7">
    <cfRule type="cellIs" dxfId="18" priority="1305" operator="equal">
      <formula>$Y$26</formula>
    </cfRule>
  </conditionalFormatting>
  <conditionalFormatting sqref="P2:P7">
    <cfRule type="cellIs" dxfId="17" priority="746" operator="equal">
      <formula>$X$26</formula>
    </cfRule>
  </conditionalFormatting>
  <conditionalFormatting sqref="P2:P7">
    <cfRule type="cellIs" dxfId="16" priority="745" operator="equal">
      <formula>$Y$26</formula>
    </cfRule>
  </conditionalFormatting>
  <conditionalFormatting sqref="M58:M59">
    <cfRule type="cellIs" dxfId="7" priority="8" operator="equal">
      <formula>$X$26</formula>
    </cfRule>
  </conditionalFormatting>
  <conditionalFormatting sqref="M58:M59">
    <cfRule type="cellIs" dxfId="6" priority="7" operator="equal">
      <formula>$Y$26</formula>
    </cfRule>
  </conditionalFormatting>
  <conditionalFormatting sqref="P58:P59">
    <cfRule type="cellIs" dxfId="5" priority="6" operator="equal">
      <formula>$X$26</formula>
    </cfRule>
  </conditionalFormatting>
  <conditionalFormatting sqref="P58:P59">
    <cfRule type="cellIs" dxfId="4" priority="5" operator="equal">
      <formula>$Y$26</formula>
    </cfRule>
  </conditionalFormatting>
  <conditionalFormatting sqref="M60">
    <cfRule type="cellIs" dxfId="3" priority="4" operator="equal">
      <formula>$X$26</formula>
    </cfRule>
  </conditionalFormatting>
  <conditionalFormatting sqref="M60">
    <cfRule type="cellIs" dxfId="2" priority="3" operator="equal">
      <formula>$Y$26</formula>
    </cfRule>
  </conditionalFormatting>
  <conditionalFormatting sqref="P60">
    <cfRule type="cellIs" dxfId="1" priority="2" operator="equal">
      <formula>$X$26</formula>
    </cfRule>
  </conditionalFormatting>
  <conditionalFormatting sqref="P60">
    <cfRule type="cellIs" dxfId="0" priority="1" operator="equal">
      <formula>$Y$26</formula>
    </cfRule>
  </conditionalFormatting>
  <dataValidations count="1">
    <dataValidation type="list" allowBlank="1" showInputMessage="1" showErrorMessage="1" sqref="E26">
      <formula1>Language</formula1>
    </dataValidation>
  </dataValidations>
  <printOptions horizontalCentered="1"/>
  <pageMargins left="0" right="0" top="7.874015748031496E-2" bottom="0.19685039370078741" header="0.35433070866141736" footer="0.15748031496062992"/>
  <pageSetup paperSize="9" scale="36" orientation="portrait" horizontalDpi="200" verticalDpi="200" r:id="rId1"/>
  <headerFooter>
    <oddFooter>&amp;LConfidentiel&amp;C&amp;D&amp;RPage &amp;P</oddFooter>
  </headerFooter>
  <drawing r:id="rId2"/>
  <legacyDrawing r:id="rId3"/>
  <controls>
    <mc:AlternateContent xmlns:mc="http://schemas.openxmlformats.org/markup-compatibility/2006">
      <mc:Choice Requires="x14">
        <control shapeId="161795" r:id="rId4" name="Refresh_Report">
          <controlPr defaultSize="0" print="0" autoLine="0" autoPict="0" r:id="rId5">
            <anchor moveWithCells="1">
              <from>
                <xdr:col>3</xdr:col>
                <xdr:colOff>19050</xdr:colOff>
                <xdr:row>15</xdr:row>
                <xdr:rowOff>47625</xdr:rowOff>
              </from>
              <to>
                <xdr:col>3</xdr:col>
                <xdr:colOff>2276475</xdr:colOff>
                <xdr:row>18</xdr:row>
                <xdr:rowOff>104775</xdr:rowOff>
              </to>
            </anchor>
          </controlPr>
        </control>
      </mc:Choice>
      <mc:Fallback>
        <control shapeId="161795" r:id="rId4" name="Refresh_Re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23</vt:i4>
      </vt:variant>
    </vt:vector>
  </HeadingPairs>
  <TitlesOfParts>
    <vt:vector size="25" baseType="lpstr">
      <vt:lpstr>Context</vt:lpstr>
      <vt:lpstr>Recapitulatif_Projets</vt:lpstr>
      <vt:lpstr>ActualBudgetAdmin</vt:lpstr>
      <vt:lpstr>ActualForecast1Admin</vt:lpstr>
      <vt:lpstr>ActualForecast2Admin</vt:lpstr>
      <vt:lpstr>ActualMonth</vt:lpstr>
      <vt:lpstr>ActualMonthYTD</vt:lpstr>
      <vt:lpstr>AutoFit</vt:lpstr>
      <vt:lpstr>AutoRefresh_Recapitulatif_Projets</vt:lpstr>
      <vt:lpstr>Cube1</vt:lpstr>
      <vt:lpstr>Cube2</vt:lpstr>
      <vt:lpstr>Flag_Send_Comment</vt:lpstr>
      <vt:lpstr>Flag_Send_Data</vt:lpstr>
      <vt:lpstr>Recapitulatif_Projets!Impression_des_titres</vt:lpstr>
      <vt:lpstr>Language</vt:lpstr>
      <vt:lpstr>LocalLanguage</vt:lpstr>
      <vt:lpstr>LocalLanguage2</vt:lpstr>
      <vt:lpstr>Note</vt:lpstr>
      <vt:lpstr>Server</vt:lpstr>
      <vt:lpstr>Recapitulatif_Projets!TM1RPTDATARNGARPT1</vt:lpstr>
      <vt:lpstr>Recapitulatif_Projets!TM1RPTFMTIDCOL</vt:lpstr>
      <vt:lpstr>Recapitulatif_Projets!TM1RPTFMTRNG</vt:lpstr>
      <vt:lpstr>xHost</vt:lpstr>
      <vt:lpstr>xServer</vt:lpstr>
      <vt:lpstr>Recapitulatif_Projets!Zone_d_impression</vt:lpstr>
    </vt:vector>
  </TitlesOfParts>
  <Company>VEOLIA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michael.dahan</dc:creator>
  <cp:lastModifiedBy>humbert.de-miribel</cp:lastModifiedBy>
  <cp:lastPrinted>2012-06-25T09:54:19Z</cp:lastPrinted>
  <dcterms:created xsi:type="dcterms:W3CDTF">2011-06-21T16:52:24Z</dcterms:created>
  <dcterms:modified xsi:type="dcterms:W3CDTF">2013-04-18T12:10:45Z</dcterms:modified>
</cp:coreProperties>
</file>