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8100" yWindow="150" windowWidth="12465" windowHeight="10050" firstSheet="1" activeTab="1"/>
  </bookViews>
  <sheets>
    <sheet name="Context" sheetId="1" state="hidden" r:id="rId1"/>
    <sheet name="ROA" sheetId="2" r:id="rId2"/>
    <sheet name="{PL}PickLst" sheetId="6" state="hidden" r:id="rId3"/>
  </sheets>
  <definedNames>
    <definedName name="AC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ualBudget">Context!$B$15</definedName>
    <definedName name="ActualForecast">Context!$B$16</definedName>
    <definedName name="ActualMonth">Context!$B$14</definedName>
    <definedName name="ActualYear">Context!$B$13</definedName>
    <definedName name="ak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Fit">ROA!$I$19:$V$57</definedName>
    <definedName name="AutoRefresh_PL" localSheetId="1">ROA!$F$1</definedName>
    <definedName name="AutoRefresh_PL_aggregated">ROA!$G$3</definedName>
    <definedName name="Budget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be1">Context!$B$11</definedName>
    <definedName name="Cube2">Context!$B$12</definedName>
    <definedName name="Cumul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Data">Context!$B$7</definedName>
    <definedName name="GG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Host_Serveur">_xll.DBRW("tango_core_model:z_Admin_Param","SERVER_NAME","STR_VAR1")</definedName>
    <definedName name="janvier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Context!$B$18:$B$19</definedName>
    <definedName name="LocalLanguage">Context!$B$17</definedName>
    <definedName name="MAR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int_Area" localSheetId="1">ROA!$F$18:$V$61</definedName>
    <definedName name="Print_Titles" localSheetId="1">ROA!$7:$9</definedName>
    <definedName name="PriorYear">ROA!$I$2</definedName>
    <definedName name="Projet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ter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Server">Context!$B$5</definedName>
  </definedNames>
  <calcPr calcId="145621" calcMode="manual" calcOnSave="0" concurrentCalc="0"/>
</workbook>
</file>

<file path=xl/calcChain.xml><?xml version="1.0" encoding="utf-8"?>
<calcChain xmlns="http://schemas.openxmlformats.org/spreadsheetml/2006/main">
  <c r="B6" i="1" l="1"/>
  <c r="B5" i="1"/>
  <c r="B17" i="1"/>
  <c r="G17" i="2"/>
  <c r="G13" i="2"/>
  <c r="G14" i="2"/>
  <c r="G15" i="2"/>
  <c r="G16" i="2"/>
  <c r="G11" i="2"/>
  <c r="G12" i="2"/>
  <c r="B14" i="1"/>
  <c r="I18" i="2"/>
  <c r="J18" i="2"/>
  <c r="B15" i="1"/>
  <c r="J19" i="2"/>
  <c r="J1" i="2"/>
  <c r="J21" i="2"/>
  <c r="I19" i="2"/>
  <c r="I1" i="2"/>
  <c r="I21" i="2"/>
  <c r="N21" i="2"/>
  <c r="O21" i="2"/>
  <c r="P21" i="2"/>
  <c r="I2" i="2"/>
  <c r="L18" i="2"/>
  <c r="L58" i="2"/>
  <c r="I58" i="2"/>
  <c r="T58" i="2"/>
  <c r="U58" i="2"/>
  <c r="V58" i="2"/>
  <c r="L57" i="2"/>
  <c r="I57" i="2"/>
  <c r="T57" i="2"/>
  <c r="U57" i="2"/>
  <c r="V57" i="2"/>
  <c r="L56" i="2"/>
  <c r="I56" i="2"/>
  <c r="T56" i="2"/>
  <c r="U56" i="2"/>
  <c r="V56" i="2"/>
  <c r="L55" i="2"/>
  <c r="I55" i="2"/>
  <c r="T55" i="2"/>
  <c r="U55" i="2"/>
  <c r="V55" i="2"/>
  <c r="L53" i="2"/>
  <c r="I53" i="2"/>
  <c r="T53" i="2"/>
  <c r="U53" i="2"/>
  <c r="V53" i="2"/>
  <c r="L52" i="2"/>
  <c r="I52" i="2"/>
  <c r="T52" i="2"/>
  <c r="U52" i="2"/>
  <c r="V52" i="2"/>
  <c r="L51" i="2"/>
  <c r="I51" i="2"/>
  <c r="T51" i="2"/>
  <c r="U51" i="2"/>
  <c r="V51" i="2"/>
  <c r="L50" i="2"/>
  <c r="I50" i="2"/>
  <c r="T50" i="2"/>
  <c r="U50" i="2"/>
  <c r="V50" i="2"/>
  <c r="L49" i="2"/>
  <c r="I49" i="2"/>
  <c r="T49" i="2"/>
  <c r="U49" i="2"/>
  <c r="V49" i="2"/>
  <c r="L48" i="2"/>
  <c r="I48" i="2"/>
  <c r="T48" i="2"/>
  <c r="U48" i="2"/>
  <c r="V48" i="2"/>
  <c r="L47" i="2"/>
  <c r="I47" i="2"/>
  <c r="T47" i="2"/>
  <c r="U47" i="2"/>
  <c r="V47" i="2"/>
  <c r="L46" i="2"/>
  <c r="I46" i="2"/>
  <c r="T46" i="2"/>
  <c r="U46" i="2"/>
  <c r="V46" i="2"/>
  <c r="L45" i="2"/>
  <c r="I45" i="2"/>
  <c r="T45" i="2"/>
  <c r="U45" i="2"/>
  <c r="V45" i="2"/>
  <c r="L44" i="2"/>
  <c r="I44" i="2"/>
  <c r="T44" i="2"/>
  <c r="U44" i="2"/>
  <c r="V44" i="2"/>
  <c r="L43" i="2"/>
  <c r="I43" i="2"/>
  <c r="T43" i="2"/>
  <c r="U43" i="2"/>
  <c r="V43" i="2"/>
  <c r="L42" i="2"/>
  <c r="I42" i="2"/>
  <c r="T42" i="2"/>
  <c r="U42" i="2"/>
  <c r="V42" i="2"/>
  <c r="L40" i="2"/>
  <c r="I40" i="2"/>
  <c r="T40" i="2"/>
  <c r="U40" i="2"/>
  <c r="V40" i="2"/>
  <c r="L39" i="2"/>
  <c r="I39" i="2"/>
  <c r="T39" i="2"/>
  <c r="U39" i="2"/>
  <c r="V39" i="2"/>
  <c r="L38" i="2"/>
  <c r="I38" i="2"/>
  <c r="T38" i="2"/>
  <c r="U38" i="2"/>
  <c r="V38" i="2"/>
  <c r="L37" i="2"/>
  <c r="I37" i="2"/>
  <c r="T37" i="2"/>
  <c r="U37" i="2"/>
  <c r="V37" i="2"/>
  <c r="L36" i="2"/>
  <c r="I36" i="2"/>
  <c r="T36" i="2"/>
  <c r="U36" i="2"/>
  <c r="V36" i="2"/>
  <c r="L35" i="2"/>
  <c r="I35" i="2"/>
  <c r="T35" i="2"/>
  <c r="U35" i="2"/>
  <c r="V35" i="2"/>
  <c r="L34" i="2"/>
  <c r="I34" i="2"/>
  <c r="T34" i="2"/>
  <c r="U34" i="2"/>
  <c r="V34" i="2"/>
  <c r="L33" i="2"/>
  <c r="I33" i="2"/>
  <c r="T33" i="2"/>
  <c r="U33" i="2"/>
  <c r="V33" i="2"/>
  <c r="L32" i="2"/>
  <c r="I32" i="2"/>
  <c r="T32" i="2"/>
  <c r="U32" i="2"/>
  <c r="V32" i="2"/>
  <c r="L31" i="2"/>
  <c r="I31" i="2"/>
  <c r="T31" i="2"/>
  <c r="U31" i="2"/>
  <c r="V31" i="2"/>
  <c r="L29" i="2"/>
  <c r="I29" i="2"/>
  <c r="T29" i="2"/>
  <c r="U29" i="2"/>
  <c r="V29" i="2"/>
  <c r="L28" i="2"/>
  <c r="I28" i="2"/>
  <c r="T28" i="2"/>
  <c r="U28" i="2"/>
  <c r="V28" i="2"/>
  <c r="L27" i="2"/>
  <c r="I27" i="2"/>
  <c r="T27" i="2"/>
  <c r="U27" i="2"/>
  <c r="V27" i="2"/>
  <c r="L26" i="2"/>
  <c r="I26" i="2"/>
  <c r="T26" i="2"/>
  <c r="U26" i="2"/>
  <c r="V26" i="2"/>
  <c r="L25" i="2"/>
  <c r="I25" i="2"/>
  <c r="T25" i="2"/>
  <c r="U25" i="2"/>
  <c r="V25" i="2"/>
  <c r="L24" i="2"/>
  <c r="I24" i="2"/>
  <c r="T24" i="2"/>
  <c r="U24" i="2"/>
  <c r="V24" i="2"/>
  <c r="L23" i="2"/>
  <c r="I23" i="2"/>
  <c r="T23" i="2"/>
  <c r="U23" i="2"/>
  <c r="V23" i="2"/>
  <c r="L21" i="2"/>
  <c r="T21" i="2"/>
  <c r="U21" i="2"/>
  <c r="V21" i="2"/>
  <c r="K18" i="2"/>
  <c r="B16" i="1"/>
  <c r="K19" i="2"/>
  <c r="K1" i="2"/>
  <c r="K60" i="2"/>
  <c r="I60" i="2"/>
  <c r="Q60" i="2"/>
  <c r="R60" i="2"/>
  <c r="K58" i="2"/>
  <c r="Q58" i="2"/>
  <c r="R58" i="2"/>
  <c r="S58" i="2"/>
  <c r="K57" i="2"/>
  <c r="Q57" i="2"/>
  <c r="R57" i="2"/>
  <c r="S57" i="2"/>
  <c r="K56" i="2"/>
  <c r="Q56" i="2"/>
  <c r="R56" i="2"/>
  <c r="S56" i="2"/>
  <c r="K55" i="2"/>
  <c r="Q55" i="2"/>
  <c r="R55" i="2"/>
  <c r="S55" i="2"/>
  <c r="K53" i="2"/>
  <c r="Q53" i="2"/>
  <c r="R53" i="2"/>
  <c r="S53" i="2"/>
  <c r="K52" i="2"/>
  <c r="Q52" i="2"/>
  <c r="R52" i="2"/>
  <c r="S52" i="2"/>
  <c r="K51" i="2"/>
  <c r="Q51" i="2"/>
  <c r="R51" i="2"/>
  <c r="S51" i="2"/>
  <c r="K50" i="2"/>
  <c r="Q50" i="2"/>
  <c r="R50" i="2"/>
  <c r="S50" i="2"/>
  <c r="K49" i="2"/>
  <c r="Q49" i="2"/>
  <c r="R49" i="2"/>
  <c r="S49" i="2"/>
  <c r="K48" i="2"/>
  <c r="Q48" i="2"/>
  <c r="R48" i="2"/>
  <c r="S48" i="2"/>
  <c r="K47" i="2"/>
  <c r="Q47" i="2"/>
  <c r="R47" i="2"/>
  <c r="S47" i="2"/>
  <c r="K46" i="2"/>
  <c r="Q46" i="2"/>
  <c r="R46" i="2"/>
  <c r="S46" i="2"/>
  <c r="K45" i="2"/>
  <c r="Q45" i="2"/>
  <c r="R45" i="2"/>
  <c r="S45" i="2"/>
  <c r="K44" i="2"/>
  <c r="Q44" i="2"/>
  <c r="R44" i="2"/>
  <c r="S44" i="2"/>
  <c r="K43" i="2"/>
  <c r="Q43" i="2"/>
  <c r="R43" i="2"/>
  <c r="S43" i="2"/>
  <c r="K42" i="2"/>
  <c r="Q42" i="2"/>
  <c r="R42" i="2"/>
  <c r="S42" i="2"/>
  <c r="K40" i="2"/>
  <c r="Q40" i="2"/>
  <c r="R40" i="2"/>
  <c r="S40" i="2"/>
  <c r="K39" i="2"/>
  <c r="Q39" i="2"/>
  <c r="R39" i="2"/>
  <c r="S39" i="2"/>
  <c r="K38" i="2"/>
  <c r="Q38" i="2"/>
  <c r="R38" i="2"/>
  <c r="S38" i="2"/>
  <c r="K37" i="2"/>
  <c r="Q37" i="2"/>
  <c r="R37" i="2"/>
  <c r="S37" i="2"/>
  <c r="K36" i="2"/>
  <c r="Q36" i="2"/>
  <c r="R36" i="2"/>
  <c r="S36" i="2"/>
  <c r="K35" i="2"/>
  <c r="Q35" i="2"/>
  <c r="R35" i="2"/>
  <c r="S35" i="2"/>
  <c r="K34" i="2"/>
  <c r="Q34" i="2"/>
  <c r="R34" i="2"/>
  <c r="S34" i="2"/>
  <c r="K33" i="2"/>
  <c r="Q33" i="2"/>
  <c r="R33" i="2"/>
  <c r="S33" i="2"/>
  <c r="K32" i="2"/>
  <c r="Q32" i="2"/>
  <c r="R32" i="2"/>
  <c r="S32" i="2"/>
  <c r="K31" i="2"/>
  <c r="Q31" i="2"/>
  <c r="R31" i="2"/>
  <c r="S31" i="2"/>
  <c r="K29" i="2"/>
  <c r="Q29" i="2"/>
  <c r="R29" i="2"/>
  <c r="S29" i="2"/>
  <c r="K28" i="2"/>
  <c r="Q28" i="2"/>
  <c r="R28" i="2"/>
  <c r="S28" i="2"/>
  <c r="K27" i="2"/>
  <c r="Q27" i="2"/>
  <c r="R27" i="2"/>
  <c r="S27" i="2"/>
  <c r="K26" i="2"/>
  <c r="Q26" i="2"/>
  <c r="R26" i="2"/>
  <c r="S26" i="2"/>
  <c r="K25" i="2"/>
  <c r="Q25" i="2"/>
  <c r="R25" i="2"/>
  <c r="S25" i="2"/>
  <c r="K24" i="2"/>
  <c r="Q24" i="2"/>
  <c r="R24" i="2"/>
  <c r="S24" i="2"/>
  <c r="K23" i="2"/>
  <c r="Q23" i="2"/>
  <c r="R23" i="2"/>
  <c r="S23" i="2"/>
  <c r="K21" i="2"/>
  <c r="Q21" i="2"/>
  <c r="R21" i="2"/>
  <c r="S21" i="2"/>
  <c r="J60" i="2"/>
  <c r="N60" i="2"/>
  <c r="O60" i="2"/>
  <c r="J58" i="2"/>
  <c r="N58" i="2"/>
  <c r="O58" i="2"/>
  <c r="P58" i="2"/>
  <c r="J57" i="2"/>
  <c r="N57" i="2"/>
  <c r="O57" i="2"/>
  <c r="P57" i="2"/>
  <c r="J56" i="2"/>
  <c r="N56" i="2"/>
  <c r="O56" i="2"/>
  <c r="P56" i="2"/>
  <c r="J55" i="2"/>
  <c r="N55" i="2"/>
  <c r="O55" i="2"/>
  <c r="P55" i="2"/>
  <c r="J53" i="2"/>
  <c r="N53" i="2"/>
  <c r="O53" i="2"/>
  <c r="P53" i="2"/>
  <c r="J52" i="2"/>
  <c r="N52" i="2"/>
  <c r="O52" i="2"/>
  <c r="P52" i="2"/>
  <c r="J51" i="2"/>
  <c r="N51" i="2"/>
  <c r="O51" i="2"/>
  <c r="P51" i="2"/>
  <c r="J50" i="2"/>
  <c r="N50" i="2"/>
  <c r="O50" i="2"/>
  <c r="P50" i="2"/>
  <c r="J49" i="2"/>
  <c r="N49" i="2"/>
  <c r="O49" i="2"/>
  <c r="P49" i="2"/>
  <c r="J48" i="2"/>
  <c r="N48" i="2"/>
  <c r="O48" i="2"/>
  <c r="P48" i="2"/>
  <c r="J47" i="2"/>
  <c r="N47" i="2"/>
  <c r="O47" i="2"/>
  <c r="P47" i="2"/>
  <c r="J46" i="2"/>
  <c r="N46" i="2"/>
  <c r="O46" i="2"/>
  <c r="P46" i="2"/>
  <c r="J45" i="2"/>
  <c r="N45" i="2"/>
  <c r="O45" i="2"/>
  <c r="P45" i="2"/>
  <c r="J44" i="2"/>
  <c r="N44" i="2"/>
  <c r="O44" i="2"/>
  <c r="P44" i="2"/>
  <c r="J43" i="2"/>
  <c r="N43" i="2"/>
  <c r="O43" i="2"/>
  <c r="P43" i="2"/>
  <c r="J42" i="2"/>
  <c r="N42" i="2"/>
  <c r="O42" i="2"/>
  <c r="P42" i="2"/>
  <c r="J40" i="2"/>
  <c r="N40" i="2"/>
  <c r="O40" i="2"/>
  <c r="P40" i="2"/>
  <c r="J39" i="2"/>
  <c r="N39" i="2"/>
  <c r="O39" i="2"/>
  <c r="P39" i="2"/>
  <c r="J38" i="2"/>
  <c r="N38" i="2"/>
  <c r="O38" i="2"/>
  <c r="P38" i="2"/>
  <c r="J37" i="2"/>
  <c r="N37" i="2"/>
  <c r="O37" i="2"/>
  <c r="P37" i="2"/>
  <c r="J36" i="2"/>
  <c r="N36" i="2"/>
  <c r="O36" i="2"/>
  <c r="P36" i="2"/>
  <c r="J35" i="2"/>
  <c r="N35" i="2"/>
  <c r="O35" i="2"/>
  <c r="P35" i="2"/>
  <c r="J34" i="2"/>
  <c r="N34" i="2"/>
  <c r="O34" i="2"/>
  <c r="P34" i="2"/>
  <c r="J33" i="2"/>
  <c r="N33" i="2"/>
  <c r="O33" i="2"/>
  <c r="P33" i="2"/>
  <c r="J32" i="2"/>
  <c r="N32" i="2"/>
  <c r="O32" i="2"/>
  <c r="P32" i="2"/>
  <c r="J31" i="2"/>
  <c r="N31" i="2"/>
  <c r="O31" i="2"/>
  <c r="P31" i="2"/>
  <c r="J29" i="2"/>
  <c r="N29" i="2"/>
  <c r="O29" i="2"/>
  <c r="P29" i="2"/>
  <c r="J28" i="2"/>
  <c r="N28" i="2"/>
  <c r="O28" i="2"/>
  <c r="P28" i="2"/>
  <c r="J27" i="2"/>
  <c r="N27" i="2"/>
  <c r="O27" i="2"/>
  <c r="P27" i="2"/>
  <c r="J26" i="2"/>
  <c r="N26" i="2"/>
  <c r="O26" i="2"/>
  <c r="P26" i="2"/>
  <c r="J25" i="2"/>
  <c r="N25" i="2"/>
  <c r="O25" i="2"/>
  <c r="P25" i="2"/>
  <c r="J24" i="2"/>
  <c r="N24" i="2"/>
  <c r="O24" i="2"/>
  <c r="P24" i="2"/>
  <c r="J23" i="2"/>
  <c r="N23" i="2"/>
  <c r="O23" i="2"/>
  <c r="P23" i="2"/>
  <c r="L60" i="2"/>
  <c r="T60" i="2"/>
  <c r="U60" i="2"/>
  <c r="F60" i="2"/>
  <c r="C60" i="2"/>
  <c r="F58" i="2"/>
  <c r="C58" i="2"/>
  <c r="F57" i="2"/>
  <c r="C57" i="2"/>
  <c r="F56" i="2"/>
  <c r="C56" i="2"/>
  <c r="F55" i="2"/>
  <c r="C55" i="2"/>
  <c r="F53" i="2"/>
  <c r="C53" i="2"/>
  <c r="F52" i="2"/>
  <c r="C52" i="2"/>
  <c r="F51" i="2"/>
  <c r="C51" i="2"/>
  <c r="F50" i="2"/>
  <c r="C50" i="2"/>
  <c r="F49" i="2"/>
  <c r="C49" i="2"/>
  <c r="F48" i="2"/>
  <c r="C48" i="2"/>
  <c r="F47" i="2"/>
  <c r="C47" i="2"/>
  <c r="F46" i="2"/>
  <c r="C46" i="2"/>
  <c r="F45" i="2"/>
  <c r="C45" i="2"/>
  <c r="F44" i="2"/>
  <c r="C44" i="2"/>
  <c r="F43" i="2"/>
  <c r="C43" i="2"/>
  <c r="F42" i="2"/>
  <c r="C42" i="2"/>
  <c r="F40" i="2"/>
  <c r="C40" i="2"/>
  <c r="F39" i="2"/>
  <c r="C39" i="2"/>
  <c r="F38" i="2"/>
  <c r="C38" i="2"/>
  <c r="F37" i="2"/>
  <c r="C37" i="2"/>
  <c r="F36" i="2"/>
  <c r="C36" i="2"/>
  <c r="F35" i="2"/>
  <c r="C35" i="2"/>
  <c r="F34" i="2"/>
  <c r="C34" i="2"/>
  <c r="F33" i="2"/>
  <c r="C33" i="2"/>
  <c r="F32" i="2"/>
  <c r="C32" i="2"/>
  <c r="F31" i="2"/>
  <c r="C31" i="2"/>
  <c r="F29" i="2"/>
  <c r="C29" i="2"/>
  <c r="F28" i="2"/>
  <c r="C28" i="2"/>
  <c r="F27" i="2"/>
  <c r="C27" i="2"/>
  <c r="F26" i="2"/>
  <c r="C26" i="2"/>
  <c r="F25" i="2"/>
  <c r="C25" i="2"/>
  <c r="F24" i="2"/>
  <c r="C24" i="2"/>
  <c r="F23" i="2"/>
  <c r="C23" i="2"/>
  <c r="C21" i="2"/>
  <c r="L19" i="2"/>
  <c r="F7" i="2"/>
  <c r="F21" i="2"/>
  <c r="T19" i="2"/>
  <c r="Q19" i="2"/>
  <c r="N19" i="2"/>
  <c r="J2" i="2"/>
  <c r="G19" i="2"/>
  <c r="F19" i="2"/>
  <c r="F10" i="2"/>
  <c r="H2" i="2"/>
  <c r="V19" i="2"/>
  <c r="S19" i="2"/>
  <c r="B13" i="1"/>
</calcChain>
</file>

<file path=xl/sharedStrings.xml><?xml version="1.0" encoding="utf-8"?>
<sst xmlns="http://schemas.openxmlformats.org/spreadsheetml/2006/main" count="94" uniqueCount="91">
  <si>
    <t>Server Name :</t>
  </si>
  <si>
    <t>tango_core_model:</t>
  </si>
  <si>
    <t>xServer</t>
  </si>
  <si>
    <t>Host Server :</t>
  </si>
  <si>
    <t>Flag Send Data :</t>
  </si>
  <si>
    <t>Flag Send Comment :</t>
  </si>
  <si>
    <t>Excel Report Context :</t>
  </si>
  <si>
    <t>Cube n°1 :</t>
  </si>
  <si>
    <t>Report_PL</t>
  </si>
  <si>
    <t>Cube n°2 :</t>
  </si>
  <si>
    <t>RP_Comments_PL</t>
  </si>
  <si>
    <t>Actual Year :</t>
  </si>
  <si>
    <t>Actual Month :</t>
  </si>
  <si>
    <t>Budget Version :</t>
  </si>
  <si>
    <t xml:space="preserve">Forecast Version </t>
  </si>
  <si>
    <t>Local language</t>
  </si>
  <si>
    <t>Language List :</t>
  </si>
  <si>
    <t>English</t>
  </si>
  <si>
    <t>French</t>
  </si>
  <si>
    <t>Dutch</t>
  </si>
  <si>
    <t>German</t>
  </si>
  <si>
    <t>Portuguese</t>
  </si>
  <si>
    <t>Note List :</t>
  </si>
  <si>
    <t>A</t>
  </si>
  <si>
    <t>B</t>
  </si>
  <si>
    <t>C</t>
  </si>
  <si>
    <t>Sheets Context Legend :</t>
  </si>
  <si>
    <t>Technical Named Cell for VBA process :</t>
  </si>
  <si>
    <t>Fixed Dimension Context</t>
  </si>
  <si>
    <t>z_Admin_Param Dimension Context</t>
  </si>
  <si>
    <t>Name of the dimension concerning report translation</t>
  </si>
  <si>
    <t>Phase</t>
  </si>
  <si>
    <t>ACT_TOT</t>
  </si>
  <si>
    <t>ACT_PRIOR_NB</t>
  </si>
  <si>
    <t>ACT_PRIOR_PO</t>
  </si>
  <si>
    <t>ACT_BUDG_NB</t>
  </si>
  <si>
    <t>ACT_BUDG_PO</t>
  </si>
  <si>
    <t>ACT_FC_NB</t>
  </si>
  <si>
    <t>ACT_FC_PO</t>
  </si>
  <si>
    <t>Period</t>
  </si>
  <si>
    <t>AutoRefresh_PL_aggregated</t>
  </si>
  <si>
    <t>z_Translate_Report</t>
  </si>
  <si>
    <t>Context_selection</t>
  </si>
  <si>
    <t>Management_organization</t>
  </si>
  <si>
    <t>Language</t>
  </si>
  <si>
    <t>Indicator</t>
  </si>
  <si>
    <t>Activity</t>
  </si>
  <si>
    <t>Currency</t>
  </si>
  <si>
    <t>Gaap</t>
  </si>
  <si>
    <t>FC_ALL</t>
  </si>
  <si>
    <t>FC_1_TOT</t>
  </si>
  <si>
    <t>FC_2_TOT</t>
  </si>
  <si>
    <t>Legal organization</t>
  </si>
  <si>
    <t>Integration rate</t>
  </si>
  <si>
    <t>PL1003_RC_10</t>
  </si>
  <si>
    <t>PL1003_RC_15</t>
  </si>
  <si>
    <t>PL1003_RC_20</t>
  </si>
  <si>
    <t>PL1003_RC_25</t>
  </si>
  <si>
    <t>PL1003_RC_30</t>
  </si>
  <si>
    <t>PL1003_RC_35</t>
  </si>
  <si>
    <t>PL1003_RC_40</t>
  </si>
  <si>
    <t>PL1003_RC_45</t>
  </si>
  <si>
    <t>PL1007_RC_15</t>
  </si>
  <si>
    <t>PL1007_RC_20</t>
  </si>
  <si>
    <t>PL0000_RC</t>
  </si>
  <si>
    <t>PL0000_RP</t>
  </si>
  <si>
    <t>PL1003_RP_10</t>
  </si>
  <si>
    <t>PL1003_RP_25</t>
  </si>
  <si>
    <t>PL0000_AR</t>
  </si>
  <si>
    <t>PL0000_TPL10</t>
  </si>
  <si>
    <t>TPL10_dest</t>
  </si>
  <si>
    <t>ROA_report</t>
  </si>
  <si>
    <t>PL1002_RC</t>
  </si>
  <si>
    <t>PL1007_RP_10</t>
  </si>
  <si>
    <t>PL1004I11_AR</t>
  </si>
  <si>
    <t>PL1004I12C_AR</t>
  </si>
  <si>
    <t>PL1004I12I_AR</t>
  </si>
  <si>
    <t>PL1004I4_AR</t>
  </si>
  <si>
    <t>PL1005I12C_AR</t>
  </si>
  <si>
    <t>PL1005I4_AR</t>
  </si>
  <si>
    <t>PL1002_FL_HG</t>
  </si>
  <si>
    <t>PL1002_MF_HG</t>
  </si>
  <si>
    <t>PL1003_MF_HG</t>
  </si>
  <si>
    <t>PL1006_FL</t>
  </si>
  <si>
    <t>PL1006_IN</t>
  </si>
  <si>
    <t>PL1006_RC</t>
  </si>
  <si>
    <t>PL1003_RC_PR</t>
  </si>
  <si>
    <t>PL1003_RC_55</t>
  </si>
  <si>
    <t>PL1003_RC_SA</t>
  </si>
  <si>
    <t>PL1007_RC_OG</t>
  </si>
  <si>
    <t>Variances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</si>
</sst>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#,##0.0"/>
    <numFmt numFmtId="165" formatCode="0.0%"/>
    <numFmt numFmtId="166" formatCode="_-* #,##0.00\ _F_-;\-* #,##0.00\ _F_-;_-* &quot;-&quot;??\ _F_-;_-@_-"/>
    <numFmt numFmtId="167" formatCode="_(* #,##0.00_);_(* \(#,##0.00\);_(* &quot;-&quot;??_);_(@_)"/>
    <numFmt numFmtId="168" formatCode="#,###,##0.00"/>
    <numFmt numFmtId="169" formatCode="#,###,##0.0"/>
    <numFmt numFmtId="170" formatCode="#,###,##0"/>
    <numFmt numFmtId="171" formatCode="0.00_)"/>
    <numFmt numFmtId="172" formatCode="#,###,##0.000"/>
    <numFmt numFmtId="173" formatCode="#,##0_);\(#,##0\)"/>
    <numFmt numFmtId="174" formatCode="&quot;- &quot;@"/>
  </numFmts>
  <fonts count="86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indexed="46"/>
      <name val="Arial"/>
      <family val="2"/>
    </font>
    <font>
      <b/>
      <sz val="12"/>
      <color indexed="45"/>
      <name val="Arial"/>
      <family val="2"/>
    </font>
    <font>
      <b/>
      <sz val="10"/>
      <color indexed="9"/>
      <name val="Arial"/>
      <family val="2"/>
    </font>
    <font>
      <b/>
      <sz val="10"/>
      <color indexed="46"/>
      <name val="Arial"/>
      <family val="2"/>
    </font>
    <font>
      <b/>
      <sz val="12"/>
      <name val="Arial"/>
      <family val="2"/>
    </font>
    <font>
      <sz val="10"/>
      <name val="Calibri"/>
      <family val="2"/>
    </font>
    <font>
      <sz val="9"/>
      <color indexed="9"/>
      <name val="Calibri"/>
      <family val="2"/>
    </font>
    <font>
      <sz val="10"/>
      <color indexed="9"/>
      <name val="Calibri"/>
      <family val="2"/>
    </font>
    <font>
      <b/>
      <sz val="32"/>
      <color indexed="9"/>
      <name val="Calibri"/>
      <family val="2"/>
    </font>
    <font>
      <sz val="32"/>
      <name val="Arial"/>
      <family val="2"/>
    </font>
    <font>
      <b/>
      <sz val="14"/>
      <color indexed="9"/>
      <name val="Calibri"/>
      <family val="2"/>
    </font>
    <font>
      <b/>
      <sz val="12"/>
      <name val="Calibri"/>
      <family val="2"/>
    </font>
    <font>
      <sz val="14"/>
      <color indexed="9"/>
      <name val="Calibri"/>
      <family val="2"/>
    </font>
    <font>
      <sz val="14"/>
      <name val="Calibri"/>
      <family val="2"/>
    </font>
    <font>
      <sz val="18"/>
      <name val="Calibri"/>
      <family val="2"/>
    </font>
    <font>
      <b/>
      <sz val="18"/>
      <color indexed="57"/>
      <name val="Wingdings"/>
      <charset val="2"/>
    </font>
    <font>
      <sz val="18"/>
      <color indexed="9"/>
      <name val="Calibri"/>
      <family val="2"/>
    </font>
    <font>
      <sz val="12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1"/>
      <color indexed="62"/>
      <name val="Calibri"/>
      <family val="2"/>
    </font>
    <font>
      <sz val="10"/>
      <color indexed="8"/>
      <name val="Times New Roman"/>
      <family val="1"/>
    </font>
    <font>
      <sz val="11"/>
      <color indexed="52"/>
      <name val="Calibri"/>
      <family val="2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1"/>
      <name val="Calibri"/>
      <family val="2"/>
      <scheme val="minor"/>
    </font>
    <font>
      <sz val="12"/>
      <name val="SWISS"/>
    </font>
    <font>
      <b/>
      <sz val="12"/>
      <color rgb="FFFF0000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indexed="10"/>
      <name val="Calibri"/>
      <family val="2"/>
      <scheme val="minor"/>
    </font>
    <font>
      <sz val="9"/>
      <color indexed="9"/>
      <name val="Calibri"/>
      <family val="2"/>
      <scheme val="minor"/>
    </font>
    <font>
      <sz val="10"/>
      <color indexed="9"/>
      <name val="Calibri"/>
      <family val="2"/>
      <scheme val="minor"/>
    </font>
    <font>
      <b/>
      <sz val="10"/>
      <color indexed="10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4"/>
      <name val="Calibri"/>
      <family val="2"/>
      <scheme val="minor"/>
    </font>
    <font>
      <b/>
      <sz val="18"/>
      <color indexed="9"/>
      <name val="Calibri"/>
      <family val="2"/>
      <scheme val="minor"/>
    </font>
    <font>
      <b/>
      <sz val="10"/>
      <color indexed="53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4"/>
      <color indexed="9"/>
      <name val="Calibri"/>
      <family val="2"/>
      <scheme val="minor"/>
    </font>
    <font>
      <sz val="14"/>
      <name val="Calibri"/>
      <family val="2"/>
      <scheme val="minor"/>
    </font>
    <font>
      <sz val="18"/>
      <name val="Calibri"/>
      <family val="2"/>
      <scheme val="minor"/>
    </font>
    <font>
      <sz val="15"/>
      <color indexed="61"/>
      <name val="Calibri"/>
      <family val="2"/>
      <scheme val="minor"/>
    </font>
    <font>
      <sz val="15"/>
      <name val="Calibri"/>
      <family val="2"/>
      <scheme val="minor"/>
    </font>
    <font>
      <b/>
      <sz val="14"/>
      <color indexed="9"/>
      <name val="Calibri"/>
      <family val="2"/>
      <scheme val="minor"/>
    </font>
    <font>
      <sz val="14"/>
      <name val="Arial"/>
      <family val="2"/>
    </font>
    <font>
      <sz val="18"/>
      <color indexed="17"/>
      <name val="Calibri"/>
      <family val="2"/>
      <scheme val="minor"/>
    </font>
    <font>
      <sz val="14"/>
      <color indexed="57"/>
      <name val="Wingdings"/>
      <charset val="2"/>
    </font>
    <font>
      <sz val="12"/>
      <color indexed="9"/>
      <name val="Calibri"/>
      <family val="2"/>
      <scheme val="minor"/>
    </font>
    <font>
      <sz val="12"/>
      <name val="Calibri"/>
      <family val="2"/>
      <scheme val="minor"/>
    </font>
    <font>
      <b/>
      <sz val="12"/>
      <color indexed="9"/>
      <name val="Calibri"/>
      <family val="2"/>
      <scheme val="minor"/>
    </font>
    <font>
      <sz val="12"/>
      <color indexed="9"/>
      <name val="Calibri"/>
      <family val="2"/>
    </font>
    <font>
      <b/>
      <u/>
      <sz val="12"/>
      <color indexed="8"/>
      <name val="Calibri"/>
      <family val="2"/>
      <scheme val="minor"/>
    </font>
    <font>
      <b/>
      <sz val="12"/>
      <color indexed="53"/>
      <name val="Calibri"/>
      <family val="2"/>
      <scheme val="minor"/>
    </font>
    <font>
      <b/>
      <sz val="12"/>
      <color indexed="8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12"/>
      <color indexed="9"/>
      <name val="Calibri"/>
      <family val="2"/>
    </font>
    <font>
      <sz val="12"/>
      <color indexed="62"/>
      <name val="Calibri"/>
      <family val="2"/>
    </font>
    <font>
      <sz val="15"/>
      <color indexed="57"/>
      <name val="Wingdings"/>
      <charset val="2"/>
    </font>
    <font>
      <b/>
      <sz val="12"/>
      <color indexed="10"/>
      <name val="Arial"/>
      <family val="2"/>
    </font>
    <font>
      <sz val="11"/>
      <color rgb="FFFF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5"/>
      <color rgb="FFFF0000"/>
      <name val="Calibri"/>
      <family val="2"/>
      <scheme val="minor"/>
    </font>
    <font>
      <sz val="15"/>
      <color rgb="FFFF0000"/>
      <name val="Wingdings"/>
      <charset val="2"/>
    </font>
  </fonts>
  <fills count="43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gradientFill>
        <stop position="0">
          <color theme="0"/>
        </stop>
        <stop position="1">
          <color rgb="FFFF0000"/>
        </stop>
      </gradientFill>
    </fill>
    <fill>
      <patternFill patternType="solid">
        <fgColor rgb="FFFF0000"/>
        <bgColor indexed="64"/>
      </patternFill>
    </fill>
    <fill>
      <patternFill patternType="solid">
        <fgColor rgb="FFAAAEB6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7"/>
        <bgColor indexed="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23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theme="0" tint="-0.14996795556505021"/>
      </left>
      <right/>
      <top style="medium">
        <color theme="0" tint="-0.14996795556505021"/>
      </top>
      <bottom style="medium">
        <color theme="0" tint="-0.14996795556505021"/>
      </bottom>
      <diagonal/>
    </border>
    <border>
      <left/>
      <right/>
      <top style="medium">
        <color theme="0" tint="-0.14996795556505021"/>
      </top>
      <bottom style="medium">
        <color theme="0" tint="-0.14996795556505021"/>
      </bottom>
      <diagonal/>
    </border>
    <border>
      <left/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/>
      <right/>
      <top/>
      <bottom style="medium">
        <color theme="0" tint="-0.14996795556505021"/>
      </bottom>
      <diagonal/>
    </border>
    <border>
      <left/>
      <right style="medium">
        <color indexed="64"/>
      </right>
      <top/>
      <bottom/>
      <diagonal/>
    </border>
  </borders>
  <cellStyleXfs count="236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4" borderId="0" applyNumberFormat="0" applyBorder="0" applyAlignment="0" applyProtection="0"/>
    <xf numFmtId="0" fontId="20" fillId="14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5" borderId="0" applyNumberFormat="0" applyBorder="0" applyAlignment="0" applyProtection="0"/>
    <xf numFmtId="0" fontId="20" fillId="15" borderId="0" applyNumberFormat="0" applyBorder="0" applyAlignment="0" applyProtection="0"/>
    <xf numFmtId="0" fontId="20" fillId="15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20" fillId="18" borderId="0" applyNumberFormat="0" applyBorder="0" applyAlignment="0" applyProtection="0"/>
    <xf numFmtId="0" fontId="20" fillId="18" borderId="0" applyNumberFormat="0" applyBorder="0" applyAlignment="0" applyProtection="0"/>
    <xf numFmtId="0" fontId="20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22" borderId="0" applyNumberFormat="0" applyBorder="0" applyAlignment="0" applyProtection="0"/>
    <xf numFmtId="0" fontId="20" fillId="22" borderId="0" applyNumberFormat="0" applyBorder="0" applyAlignment="0" applyProtection="0"/>
    <xf numFmtId="0" fontId="20" fillId="22" borderId="0" applyNumberFormat="0" applyBorder="0" applyAlignment="0" applyProtection="0"/>
    <xf numFmtId="0" fontId="20" fillId="22" borderId="0" applyNumberFormat="0" applyBorder="0" applyAlignment="0" applyProtection="0"/>
    <xf numFmtId="0" fontId="21" fillId="23" borderId="0" applyNumberFormat="0" applyBorder="0" applyAlignment="0" applyProtection="0"/>
    <xf numFmtId="0" fontId="21" fillId="23" borderId="0" applyNumberFormat="0" applyBorder="0" applyAlignment="0" applyProtection="0"/>
    <xf numFmtId="0" fontId="21" fillId="23" borderId="0" applyNumberFormat="0" applyBorder="0" applyAlignment="0" applyProtection="0"/>
    <xf numFmtId="0" fontId="21" fillId="23" borderId="0" applyNumberFormat="0" applyBorder="0" applyAlignment="0" applyProtection="0"/>
    <xf numFmtId="0" fontId="21" fillId="20" borderId="0" applyNumberFormat="0" applyBorder="0" applyAlignment="0" applyProtection="0"/>
    <xf numFmtId="0" fontId="21" fillId="20" borderId="0" applyNumberFormat="0" applyBorder="0" applyAlignment="0" applyProtection="0"/>
    <xf numFmtId="0" fontId="21" fillId="20" borderId="0" applyNumberFormat="0" applyBorder="0" applyAlignment="0" applyProtection="0"/>
    <xf numFmtId="0" fontId="21" fillId="20" borderId="0" applyNumberFormat="0" applyBorder="0" applyAlignment="0" applyProtection="0"/>
    <xf numFmtId="0" fontId="21" fillId="21" borderId="0" applyNumberFormat="0" applyBorder="0" applyAlignment="0" applyProtection="0"/>
    <xf numFmtId="0" fontId="21" fillId="21" borderId="0" applyNumberFormat="0" applyBorder="0" applyAlignment="0" applyProtection="0"/>
    <xf numFmtId="0" fontId="21" fillId="21" borderId="0" applyNumberFormat="0" applyBorder="0" applyAlignment="0" applyProtection="0"/>
    <xf numFmtId="0" fontId="21" fillId="21" borderId="0" applyNumberFormat="0" applyBorder="0" applyAlignment="0" applyProtection="0"/>
    <xf numFmtId="0" fontId="21" fillId="24" borderId="0" applyNumberFormat="0" applyBorder="0" applyAlignment="0" applyProtection="0"/>
    <xf numFmtId="0" fontId="21" fillId="24" borderId="0" applyNumberFormat="0" applyBorder="0" applyAlignment="0" applyProtection="0"/>
    <xf numFmtId="0" fontId="21" fillId="24" borderId="0" applyNumberFormat="0" applyBorder="0" applyAlignment="0" applyProtection="0"/>
    <xf numFmtId="0" fontId="21" fillId="24" borderId="0" applyNumberFormat="0" applyBorder="0" applyAlignment="0" applyProtection="0"/>
    <xf numFmtId="0" fontId="21" fillId="25" borderId="0" applyNumberFormat="0" applyBorder="0" applyAlignment="0" applyProtection="0"/>
    <xf numFmtId="0" fontId="21" fillId="25" borderId="0" applyNumberFormat="0" applyBorder="0" applyAlignment="0" applyProtection="0"/>
    <xf numFmtId="0" fontId="21" fillId="25" borderId="0" applyNumberFormat="0" applyBorder="0" applyAlignment="0" applyProtection="0"/>
    <xf numFmtId="0" fontId="21" fillId="25" borderId="0" applyNumberFormat="0" applyBorder="0" applyAlignment="0" applyProtection="0"/>
    <xf numFmtId="0" fontId="21" fillId="26" borderId="0" applyNumberFormat="0" applyBorder="0" applyAlignment="0" applyProtection="0"/>
    <xf numFmtId="0" fontId="21" fillId="26" borderId="0" applyNumberFormat="0" applyBorder="0" applyAlignment="0" applyProtection="0"/>
    <xf numFmtId="0" fontId="21" fillId="26" borderId="0" applyNumberFormat="0" applyBorder="0" applyAlignment="0" applyProtection="0"/>
    <xf numFmtId="0" fontId="21" fillId="26" borderId="0" applyNumberFormat="0" applyBorder="0" applyAlignment="0" applyProtection="0"/>
    <xf numFmtId="0" fontId="21" fillId="27" borderId="0" applyNumberFormat="0" applyBorder="0" applyAlignment="0" applyProtection="0"/>
    <xf numFmtId="0" fontId="21" fillId="27" borderId="0" applyNumberFormat="0" applyBorder="0" applyAlignment="0" applyProtection="0"/>
    <xf numFmtId="0" fontId="21" fillId="27" borderId="0" applyNumberFormat="0" applyBorder="0" applyAlignment="0" applyProtection="0"/>
    <xf numFmtId="0" fontId="21" fillId="27" borderId="0" applyNumberFormat="0" applyBorder="0" applyAlignment="0" applyProtection="0"/>
    <xf numFmtId="0" fontId="21" fillId="28" borderId="0" applyNumberFormat="0" applyBorder="0" applyAlignment="0" applyProtection="0"/>
    <xf numFmtId="0" fontId="21" fillId="28" borderId="0" applyNumberFormat="0" applyBorder="0" applyAlignment="0" applyProtection="0"/>
    <xf numFmtId="0" fontId="21" fillId="28" borderId="0" applyNumberFormat="0" applyBorder="0" applyAlignment="0" applyProtection="0"/>
    <xf numFmtId="0" fontId="21" fillId="28" borderId="0" applyNumberFormat="0" applyBorder="0" applyAlignment="0" applyProtection="0"/>
    <xf numFmtId="0" fontId="21" fillId="29" borderId="0" applyNumberFormat="0" applyBorder="0" applyAlignment="0" applyProtection="0"/>
    <xf numFmtId="0" fontId="21" fillId="29" borderId="0" applyNumberFormat="0" applyBorder="0" applyAlignment="0" applyProtection="0"/>
    <xf numFmtId="0" fontId="21" fillId="29" borderId="0" applyNumberFormat="0" applyBorder="0" applyAlignment="0" applyProtection="0"/>
    <xf numFmtId="0" fontId="21" fillId="29" borderId="0" applyNumberFormat="0" applyBorder="0" applyAlignment="0" applyProtection="0"/>
    <xf numFmtId="0" fontId="21" fillId="24" borderId="0" applyNumberFormat="0" applyBorder="0" applyAlignment="0" applyProtection="0"/>
    <xf numFmtId="0" fontId="21" fillId="24" borderId="0" applyNumberFormat="0" applyBorder="0" applyAlignment="0" applyProtection="0"/>
    <xf numFmtId="0" fontId="21" fillId="24" borderId="0" applyNumberFormat="0" applyBorder="0" applyAlignment="0" applyProtection="0"/>
    <xf numFmtId="0" fontId="21" fillId="24" borderId="0" applyNumberFormat="0" applyBorder="0" applyAlignment="0" applyProtection="0"/>
    <xf numFmtId="0" fontId="21" fillId="25" borderId="0" applyNumberFormat="0" applyBorder="0" applyAlignment="0" applyProtection="0"/>
    <xf numFmtId="0" fontId="21" fillId="25" borderId="0" applyNumberFormat="0" applyBorder="0" applyAlignment="0" applyProtection="0"/>
    <xf numFmtId="0" fontId="21" fillId="25" borderId="0" applyNumberFormat="0" applyBorder="0" applyAlignment="0" applyProtection="0"/>
    <xf numFmtId="0" fontId="21" fillId="25" borderId="0" applyNumberFormat="0" applyBorder="0" applyAlignment="0" applyProtection="0"/>
    <xf numFmtId="0" fontId="21" fillId="30" borderId="0" applyNumberFormat="0" applyBorder="0" applyAlignment="0" applyProtection="0"/>
    <xf numFmtId="0" fontId="21" fillId="30" borderId="0" applyNumberFormat="0" applyBorder="0" applyAlignment="0" applyProtection="0"/>
    <xf numFmtId="0" fontId="21" fillId="30" borderId="0" applyNumberFormat="0" applyBorder="0" applyAlignment="0" applyProtection="0"/>
    <xf numFmtId="0" fontId="21" fillId="30" borderId="0" applyNumberFormat="0" applyBorder="0" applyAlignment="0" applyProtection="0"/>
    <xf numFmtId="0" fontId="22" fillId="14" borderId="0" applyNumberFormat="0" applyBorder="0" applyAlignment="0" applyProtection="0"/>
    <xf numFmtId="0" fontId="22" fillId="14" borderId="0" applyNumberFormat="0" applyBorder="0" applyAlignment="0" applyProtection="0"/>
    <xf numFmtId="0" fontId="22" fillId="14" borderId="0" applyNumberFormat="0" applyBorder="0" applyAlignment="0" applyProtection="0"/>
    <xf numFmtId="0" fontId="22" fillId="14" borderId="0" applyNumberFormat="0" applyBorder="0" applyAlignment="0" applyProtection="0"/>
    <xf numFmtId="0" fontId="23" fillId="18" borderId="9" applyNumberFormat="0" applyAlignment="0" applyProtection="0"/>
    <xf numFmtId="0" fontId="23" fillId="18" borderId="9" applyNumberFormat="0" applyAlignment="0" applyProtection="0"/>
    <xf numFmtId="0" fontId="23" fillId="18" borderId="9" applyNumberFormat="0" applyAlignment="0" applyProtection="0"/>
    <xf numFmtId="0" fontId="23" fillId="18" borderId="9" applyNumberFormat="0" applyAlignment="0" applyProtection="0"/>
    <xf numFmtId="0" fontId="24" fillId="31" borderId="10" applyNumberFormat="0" applyAlignment="0" applyProtection="0"/>
    <xf numFmtId="0" fontId="24" fillId="31" borderId="10" applyNumberFormat="0" applyAlignment="0" applyProtection="0"/>
    <xf numFmtId="0" fontId="24" fillId="31" borderId="10" applyNumberFormat="0" applyAlignment="0" applyProtection="0"/>
    <xf numFmtId="0" fontId="24" fillId="31" borderId="10" applyNumberFormat="0" applyAlignment="0" applyProtection="0"/>
    <xf numFmtId="0" fontId="25" fillId="0" borderId="5">
      <alignment horizontal="left" wrapText="1"/>
    </xf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8" fillId="0" borderId="11" applyNumberFormat="0" applyFill="0" applyAlignment="0" applyProtection="0"/>
    <xf numFmtId="0" fontId="28" fillId="0" borderId="11" applyNumberFormat="0" applyFill="0" applyAlignment="0" applyProtection="0"/>
    <xf numFmtId="0" fontId="28" fillId="0" borderId="11" applyNumberFormat="0" applyFill="0" applyAlignment="0" applyProtection="0"/>
    <xf numFmtId="0" fontId="28" fillId="0" borderId="11" applyNumberFormat="0" applyFill="0" applyAlignment="0" applyProtection="0"/>
    <xf numFmtId="0" fontId="29" fillId="0" borderId="12" applyNumberFormat="0" applyFill="0" applyAlignment="0" applyProtection="0"/>
    <xf numFmtId="0" fontId="29" fillId="0" borderId="12" applyNumberFormat="0" applyFill="0" applyAlignment="0" applyProtection="0"/>
    <xf numFmtId="0" fontId="29" fillId="0" borderId="12" applyNumberFormat="0" applyFill="0" applyAlignment="0" applyProtection="0"/>
    <xf numFmtId="0" fontId="29" fillId="0" borderId="12" applyNumberFormat="0" applyFill="0" applyAlignment="0" applyProtection="0"/>
    <xf numFmtId="0" fontId="30" fillId="0" borderId="13" applyNumberFormat="0" applyFill="0" applyAlignment="0" applyProtection="0"/>
    <xf numFmtId="0" fontId="30" fillId="0" borderId="13" applyNumberFormat="0" applyFill="0" applyAlignment="0" applyProtection="0"/>
    <xf numFmtId="0" fontId="30" fillId="0" borderId="13" applyNumberFormat="0" applyFill="0" applyAlignment="0" applyProtection="0"/>
    <xf numFmtId="0" fontId="30" fillId="0" borderId="13" applyNumberFormat="0" applyFill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3" fillId="18" borderId="9" applyNumberFormat="0" applyAlignment="0" applyProtection="0"/>
    <xf numFmtId="0" fontId="33" fillId="18" borderId="9" applyNumberFormat="0" applyAlignment="0" applyProtection="0"/>
    <xf numFmtId="0" fontId="33" fillId="18" borderId="9" applyNumberFormat="0" applyAlignment="0" applyProtection="0"/>
    <xf numFmtId="0" fontId="33" fillId="18" borderId="9" applyNumberFormat="0" applyAlignment="0" applyProtection="0"/>
    <xf numFmtId="0" fontId="32" fillId="0" borderId="0" applyNumberFormat="0" applyFill="0" applyBorder="0" applyAlignment="0" applyProtection="0">
      <alignment vertical="top"/>
      <protection locked="0"/>
    </xf>
    <xf numFmtId="168" fontId="34" fillId="32" borderId="0" applyNumberFormat="0" applyBorder="0">
      <alignment horizontal="right"/>
      <protection locked="0"/>
    </xf>
    <xf numFmtId="0" fontId="35" fillId="0" borderId="14" applyNumberFormat="0" applyFill="0" applyAlignment="0" applyProtection="0"/>
    <xf numFmtId="0" fontId="35" fillId="0" borderId="14" applyNumberFormat="0" applyFill="0" applyAlignment="0" applyProtection="0"/>
    <xf numFmtId="0" fontId="35" fillId="0" borderId="14" applyNumberFormat="0" applyFill="0" applyAlignment="0" applyProtection="0"/>
    <xf numFmtId="0" fontId="35" fillId="0" borderId="14" applyNumberFormat="0" applyFill="0" applyAlignment="0" applyProtection="0"/>
    <xf numFmtId="169" fontId="36" fillId="33" borderId="0" applyNumberFormat="0" applyBorder="0">
      <alignment horizontal="right" vertical="center"/>
      <protection locked="0"/>
    </xf>
    <xf numFmtId="170" fontId="36" fillId="34" borderId="0" applyNumberFormat="0" applyBorder="0">
      <alignment horizontal="right" vertical="center"/>
      <protection locked="0"/>
    </xf>
    <xf numFmtId="167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37" fillId="7" borderId="0"/>
    <xf numFmtId="0" fontId="38" fillId="35" borderId="0" applyNumberFormat="0" applyBorder="0" applyAlignment="0" applyProtection="0"/>
    <xf numFmtId="0" fontId="38" fillId="35" borderId="0" applyNumberFormat="0" applyBorder="0" applyAlignment="0" applyProtection="0"/>
    <xf numFmtId="0" fontId="38" fillId="35" borderId="0" applyNumberFormat="0" applyBorder="0" applyAlignment="0" applyProtection="0"/>
    <xf numFmtId="0" fontId="38" fillId="35" borderId="0" applyNumberFormat="0" applyBorder="0" applyAlignment="0" applyProtection="0"/>
    <xf numFmtId="0" fontId="37" fillId="7" borderId="0"/>
    <xf numFmtId="0" fontId="37" fillId="7" borderId="0"/>
    <xf numFmtId="171" fontId="39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36" borderId="15" applyNumberFormat="0" applyFont="0" applyAlignment="0" applyProtection="0"/>
    <xf numFmtId="0" fontId="20" fillId="36" borderId="15" applyNumberFormat="0" applyFont="0" applyAlignment="0" applyProtection="0"/>
    <xf numFmtId="0" fontId="20" fillId="36" borderId="15" applyNumberFormat="0" applyFont="0" applyAlignment="0" applyProtection="0"/>
    <xf numFmtId="0" fontId="20" fillId="36" borderId="15" applyNumberFormat="0" applyFont="0" applyAlignment="0" applyProtection="0"/>
    <xf numFmtId="0" fontId="37" fillId="7" borderId="0"/>
    <xf numFmtId="0" fontId="40" fillId="18" borderId="16" applyNumberFormat="0" applyAlignment="0" applyProtection="0"/>
    <xf numFmtId="0" fontId="40" fillId="18" borderId="16" applyNumberFormat="0" applyAlignment="0" applyProtection="0"/>
    <xf numFmtId="0" fontId="40" fillId="18" borderId="16" applyNumberFormat="0" applyAlignment="0" applyProtection="0"/>
    <xf numFmtId="0" fontId="40" fillId="18" borderId="1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172" fontId="42" fillId="37" borderId="0" applyNumberFormat="0" applyBorder="0">
      <alignment horizontal="left" vertical="center"/>
      <protection locked="0"/>
    </xf>
    <xf numFmtId="172" fontId="43" fillId="32" borderId="0" applyNumberFormat="0" applyBorder="0">
      <alignment horizontal="left"/>
      <protection locked="0"/>
    </xf>
    <xf numFmtId="0" fontId="44" fillId="0" borderId="17" applyNumberFormat="0" applyFill="0" applyAlignment="0" applyProtection="0"/>
    <xf numFmtId="0" fontId="44" fillId="0" borderId="17" applyNumberFormat="0" applyFill="0" applyAlignment="0" applyProtection="0"/>
    <xf numFmtId="0" fontId="44" fillId="0" borderId="17" applyNumberFormat="0" applyFill="0" applyAlignment="0" applyProtection="0"/>
    <xf numFmtId="0" fontId="44" fillId="0" borderId="17" applyNumberFormat="0" applyFill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173" fontId="47" fillId="0" borderId="0"/>
    <xf numFmtId="0" fontId="1" fillId="0" borderId="0"/>
    <xf numFmtId="0" fontId="1" fillId="0" borderId="0"/>
  </cellStyleXfs>
  <cellXfs count="155">
    <xf numFmtId="0" fontId="0" fillId="0" borderId="0" xfId="0"/>
    <xf numFmtId="0" fontId="2" fillId="0" borderId="0" xfId="1" applyFont="1" applyFill="1" applyProtection="1">
      <protection locked="0"/>
    </xf>
    <xf numFmtId="0" fontId="1" fillId="0" borderId="0" xfId="1" applyFont="1" applyProtection="1">
      <protection locked="0"/>
    </xf>
    <xf numFmtId="0" fontId="1" fillId="0" borderId="0" xfId="1" applyProtection="1">
      <protection locked="0"/>
    </xf>
    <xf numFmtId="0" fontId="3" fillId="2" borderId="1" xfId="1" applyFont="1" applyFill="1" applyBorder="1" applyAlignment="1" applyProtection="1">
      <alignment horizontal="left"/>
      <protection locked="0"/>
    </xf>
    <xf numFmtId="0" fontId="4" fillId="2" borderId="2" xfId="1" applyFont="1" applyFill="1" applyBorder="1" applyProtection="1">
      <protection locked="0"/>
    </xf>
    <xf numFmtId="0" fontId="5" fillId="3" borderId="3" xfId="1" applyFont="1" applyFill="1" applyBorder="1" applyProtection="1">
      <protection locked="0"/>
    </xf>
    <xf numFmtId="0" fontId="5" fillId="0" borderId="3" xfId="1" applyFont="1" applyBorder="1" applyProtection="1">
      <protection locked="0"/>
    </xf>
    <xf numFmtId="0" fontId="5" fillId="0" borderId="3" xfId="1" applyNumberFormat="1" applyFont="1" applyBorder="1" applyProtection="1">
      <protection locked="0"/>
    </xf>
    <xf numFmtId="0" fontId="5" fillId="0" borderId="4" xfId="1" applyFont="1" applyBorder="1" applyProtection="1">
      <protection locked="0"/>
    </xf>
    <xf numFmtId="0" fontId="6" fillId="4" borderId="5" xfId="1" applyFont="1" applyFill="1" applyBorder="1" applyAlignment="1" applyProtection="1">
      <alignment horizontal="center"/>
    </xf>
    <xf numFmtId="0" fontId="1" fillId="5" borderId="5" xfId="1" applyFill="1" applyBorder="1" applyProtection="1">
      <protection locked="0"/>
    </xf>
    <xf numFmtId="0" fontId="1" fillId="2" borderId="5" xfId="1" applyFill="1" applyBorder="1" applyProtection="1">
      <protection locked="0"/>
    </xf>
    <xf numFmtId="0" fontId="1" fillId="6" borderId="5" xfId="1" applyFill="1" applyBorder="1" applyProtection="1">
      <protection locked="0"/>
    </xf>
    <xf numFmtId="0" fontId="7" fillId="0" borderId="0" xfId="2" applyFont="1" applyFill="1" applyBorder="1" applyAlignment="1" applyProtection="1">
      <alignment vertical="center"/>
    </xf>
    <xf numFmtId="0" fontId="8" fillId="0" borderId="0" xfId="2" applyFont="1" applyFill="1" applyBorder="1" applyAlignment="1" applyProtection="1">
      <alignment vertical="center"/>
    </xf>
    <xf numFmtId="0" fontId="1" fillId="0" borderId="0" xfId="1" applyFill="1" applyBorder="1" applyProtection="1"/>
    <xf numFmtId="0" fontId="9" fillId="0" borderId="0" xfId="2" applyFont="1" applyFill="1" applyBorder="1" applyAlignment="1" applyProtection="1">
      <alignment vertical="center"/>
    </xf>
    <xf numFmtId="0" fontId="8" fillId="7" borderId="0" xfId="2" applyFont="1" applyFill="1" applyBorder="1" applyAlignment="1" applyProtection="1">
      <alignment vertical="center"/>
    </xf>
    <xf numFmtId="0" fontId="7" fillId="0" borderId="0" xfId="1" applyFont="1" applyFill="1" applyBorder="1" applyAlignment="1">
      <alignment vertical="center"/>
    </xf>
    <xf numFmtId="0" fontId="1" fillId="0" borderId="0" xfId="1" applyFill="1" applyAlignment="1"/>
    <xf numFmtId="0" fontId="12" fillId="0" borderId="0" xfId="1" applyFont="1" applyFill="1" applyBorder="1" applyAlignment="1">
      <alignment horizontal="center" vertical="center" wrapText="1"/>
    </xf>
    <xf numFmtId="0" fontId="7" fillId="0" borderId="0" xfId="2" applyFont="1" applyFill="1" applyAlignment="1" applyProtection="1">
      <alignment vertical="center"/>
    </xf>
    <xf numFmtId="0" fontId="16" fillId="0" borderId="0" xfId="2" applyFont="1" applyFill="1" applyBorder="1" applyAlignment="1" applyProtection="1">
      <alignment vertical="center"/>
    </xf>
    <xf numFmtId="0" fontId="17" fillId="0" borderId="0" xfId="4" applyFont="1" applyFill="1" applyBorder="1" applyAlignment="1">
      <alignment horizontal="center" vertical="center"/>
    </xf>
    <xf numFmtId="0" fontId="18" fillId="0" borderId="0" xfId="2" applyFont="1" applyFill="1" applyBorder="1" applyAlignment="1" applyProtection="1">
      <alignment vertical="center"/>
    </xf>
    <xf numFmtId="0" fontId="19" fillId="0" borderId="0" xfId="2" applyFont="1" applyFill="1" applyBorder="1" applyAlignment="1" applyProtection="1">
      <alignment vertical="center"/>
    </xf>
    <xf numFmtId="0" fontId="50" fillId="0" borderId="0" xfId="2" applyFont="1" applyFill="1" applyBorder="1" applyAlignment="1" applyProtection="1">
      <alignment vertical="center"/>
    </xf>
    <xf numFmtId="0" fontId="51" fillId="0" borderId="0" xfId="2" applyFont="1" applyFill="1" applyBorder="1" applyAlignment="1" applyProtection="1">
      <alignment horizontal="center" vertical="center"/>
    </xf>
    <xf numFmtId="0" fontId="49" fillId="0" borderId="0" xfId="1" applyFont="1" applyFill="1" applyBorder="1" applyAlignment="1" applyProtection="1">
      <alignment horizontal="center"/>
    </xf>
    <xf numFmtId="0" fontId="52" fillId="0" borderId="0" xfId="1" applyFont="1" applyFill="1" applyBorder="1" applyAlignment="1" applyProtection="1">
      <alignment horizontal="right"/>
    </xf>
    <xf numFmtId="0" fontId="50" fillId="5" borderId="5" xfId="1" applyFont="1" applyFill="1" applyBorder="1" applyProtection="1"/>
    <xf numFmtId="0" fontId="50" fillId="2" borderId="5" xfId="1" applyFont="1" applyFill="1" applyBorder="1" applyProtection="1">
      <protection locked="0"/>
    </xf>
    <xf numFmtId="0" fontId="53" fillId="0" borderId="0" xfId="2" applyFont="1" applyFill="1" applyBorder="1" applyAlignment="1" applyProtection="1">
      <alignment vertical="center"/>
    </xf>
    <xf numFmtId="0" fontId="50" fillId="0" borderId="0" xfId="2" applyFont="1" applyFill="1" applyBorder="1" applyAlignment="1" applyProtection="1">
      <alignment horizontal="left" vertical="center"/>
    </xf>
    <xf numFmtId="0" fontId="52" fillId="0" borderId="0" xfId="0" applyFont="1" applyAlignment="1" applyProtection="1">
      <alignment horizontal="right"/>
    </xf>
    <xf numFmtId="0" fontId="46" fillId="0" borderId="0" xfId="0" applyFont="1" applyProtection="1"/>
    <xf numFmtId="0" fontId="46" fillId="0" borderId="6" xfId="0" applyFont="1" applyFill="1" applyBorder="1" applyProtection="1"/>
    <xf numFmtId="0" fontId="51" fillId="0" borderId="0" xfId="2" applyFont="1" applyFill="1" applyBorder="1" applyAlignment="1" applyProtection="1">
      <alignment vertical="center"/>
    </xf>
    <xf numFmtId="0" fontId="50" fillId="0" borderId="0" xfId="3" applyFont="1" applyFill="1" applyBorder="1" applyAlignment="1" applyProtection="1">
      <alignment vertical="center"/>
    </xf>
    <xf numFmtId="0" fontId="54" fillId="0" borderId="0" xfId="2" applyFont="1" applyFill="1" applyBorder="1" applyAlignment="1" applyProtection="1">
      <alignment vertical="center"/>
    </xf>
    <xf numFmtId="0" fontId="49" fillId="4" borderId="5" xfId="0" applyFont="1" applyFill="1" applyBorder="1" applyAlignment="1" applyProtection="1">
      <alignment horizontal="center"/>
    </xf>
    <xf numFmtId="0" fontId="55" fillId="0" borderId="0" xfId="3" applyFont="1" applyFill="1" applyBorder="1" applyAlignment="1" applyProtection="1">
      <alignment horizontal="right" vertical="center"/>
    </xf>
    <xf numFmtId="164" fontId="55" fillId="0" borderId="0" xfId="3" applyNumberFormat="1" applyFont="1" applyFill="1" applyBorder="1" applyAlignment="1" applyProtection="1">
      <alignment horizontal="right" vertical="center"/>
    </xf>
    <xf numFmtId="2" fontId="56" fillId="0" borderId="0" xfId="3" applyNumberFormat="1" applyFont="1" applyFill="1" applyBorder="1" applyAlignment="1" applyProtection="1">
      <alignment vertical="center"/>
    </xf>
    <xf numFmtId="0" fontId="57" fillId="0" borderId="0" xfId="2" applyFont="1" applyFill="1" applyBorder="1" applyAlignment="1" applyProtection="1">
      <alignment horizontal="left" vertical="center"/>
    </xf>
    <xf numFmtId="0" fontId="50" fillId="0" borderId="0" xfId="1" applyFont="1" applyFill="1" applyBorder="1" applyAlignment="1">
      <alignment vertical="center"/>
    </xf>
    <xf numFmtId="0" fontId="50" fillId="0" borderId="0" xfId="1" applyFont="1" applyFill="1" applyAlignment="1">
      <alignment horizontal="left" indent="1"/>
    </xf>
    <xf numFmtId="0" fontId="50" fillId="0" borderId="0" xfId="1" applyFont="1" applyFill="1" applyAlignment="1"/>
    <xf numFmtId="0" fontId="58" fillId="9" borderId="0" xfId="1" applyFont="1" applyFill="1" applyBorder="1" applyAlignment="1">
      <alignment horizontal="left" vertical="center"/>
    </xf>
    <xf numFmtId="0" fontId="50" fillId="0" borderId="0" xfId="2" applyFont="1" applyFill="1" applyAlignment="1" applyProtection="1">
      <alignment vertical="center"/>
    </xf>
    <xf numFmtId="0" fontId="60" fillId="0" borderId="0" xfId="4" applyFont="1" applyFill="1" applyBorder="1" applyAlignment="1">
      <alignment horizontal="center" vertical="center" wrapText="1"/>
    </xf>
    <xf numFmtId="0" fontId="52" fillId="0" borderId="0" xfId="1" applyFont="1" applyFill="1" applyBorder="1" applyAlignment="1" applyProtection="1">
      <alignment horizontal="left"/>
    </xf>
    <xf numFmtId="0" fontId="50" fillId="0" borderId="0" xfId="1" applyFont="1" applyFill="1" applyBorder="1" applyAlignment="1">
      <alignment vertical="center" wrapText="1"/>
    </xf>
    <xf numFmtId="0" fontId="61" fillId="0" borderId="0" xfId="1" applyFont="1" applyFill="1" applyBorder="1" applyAlignment="1">
      <alignment horizontal="center" vertical="center" wrapText="1"/>
    </xf>
    <xf numFmtId="0" fontId="62" fillId="0" borderId="0" xfId="1" applyFont="1" applyFill="1" applyBorder="1" applyAlignment="1">
      <alignment horizontal="center" vertical="center" wrapText="1"/>
    </xf>
    <xf numFmtId="0" fontId="63" fillId="0" borderId="0" xfId="2" applyFont="1" applyFill="1" applyBorder="1" applyAlignment="1" applyProtection="1">
      <alignment vertical="center"/>
    </xf>
    <xf numFmtId="164" fontId="65" fillId="0" borderId="0" xfId="2" applyNumberFormat="1" applyFont="1" applyFill="1" applyBorder="1" applyAlignment="1" applyProtection="1">
      <alignment horizontal="right" vertical="center" indent="1"/>
    </xf>
    <xf numFmtId="0" fontId="53" fillId="7" borderId="0" xfId="2" applyFont="1" applyFill="1" applyBorder="1" applyAlignment="1" applyProtection="1">
      <alignment vertical="center"/>
    </xf>
    <xf numFmtId="0" fontId="66" fillId="0" borderId="0" xfId="1" applyFont="1" applyFill="1" applyBorder="1" applyAlignment="1">
      <alignment horizontal="center" vertical="center" wrapText="1"/>
    </xf>
    <xf numFmtId="0" fontId="14" fillId="0" borderId="0" xfId="2" applyFont="1" applyFill="1" applyBorder="1" applyAlignment="1" applyProtection="1">
      <alignment vertical="center"/>
    </xf>
    <xf numFmtId="0" fontId="67" fillId="0" borderId="0" xfId="1" applyFont="1" applyFill="1" applyBorder="1" applyProtection="1"/>
    <xf numFmtId="0" fontId="14" fillId="7" borderId="0" xfId="2" applyFont="1" applyFill="1" applyBorder="1" applyAlignment="1" applyProtection="1">
      <alignment vertical="center"/>
    </xf>
    <xf numFmtId="0" fontId="15" fillId="0" borderId="0" xfId="1" applyFont="1" applyFill="1" applyBorder="1" applyAlignment="1">
      <alignment vertical="center"/>
    </xf>
    <xf numFmtId="0" fontId="67" fillId="0" borderId="0" xfId="1" applyFont="1" applyFill="1" applyAlignment="1"/>
    <xf numFmtId="0" fontId="48" fillId="38" borderId="0" xfId="233" applyNumberFormat="1" applyFont="1" applyFill="1" applyBorder="1" applyAlignment="1" applyProtection="1">
      <alignment horizontal="left" vertical="center"/>
    </xf>
    <xf numFmtId="0" fontId="68" fillId="0" borderId="0" xfId="4" applyFont="1" applyFill="1" applyBorder="1" applyAlignment="1">
      <alignment horizontal="center"/>
    </xf>
    <xf numFmtId="0" fontId="70" fillId="0" borderId="0" xfId="2" applyFont="1" applyFill="1" applyBorder="1" applyAlignment="1" applyProtection="1">
      <alignment vertical="center"/>
    </xf>
    <xf numFmtId="0" fontId="49" fillId="0" borderId="0" xfId="1" applyFont="1" applyFill="1" applyBorder="1" applyAlignment="1">
      <alignment vertical="center" wrapText="1"/>
    </xf>
    <xf numFmtId="0" fontId="11" fillId="0" borderId="0" xfId="1" applyFont="1" applyFill="1" applyBorder="1" applyAlignment="1"/>
    <xf numFmtId="0" fontId="50" fillId="0" borderId="0" xfId="2" applyFont="1" applyFill="1" applyAlignment="1" applyProtection="1">
      <alignment vertical="center" wrapText="1"/>
    </xf>
    <xf numFmtId="0" fontId="51" fillId="0" borderId="0" xfId="2" applyFont="1" applyFill="1" applyBorder="1" applyAlignment="1" applyProtection="1">
      <alignment horizontal="center" vertical="center" wrapText="1"/>
    </xf>
    <xf numFmtId="0" fontId="52" fillId="0" borderId="0" xfId="1" applyFont="1" applyFill="1" applyBorder="1" applyAlignment="1" applyProtection="1">
      <alignment horizontal="left" wrapText="1"/>
    </xf>
    <xf numFmtId="0" fontId="59" fillId="0" borderId="0" xfId="2" applyFont="1" applyFill="1" applyBorder="1" applyAlignment="1" applyProtection="1">
      <alignment horizontal="center" vertical="center" wrapText="1"/>
    </xf>
    <xf numFmtId="0" fontId="48" fillId="38" borderId="0" xfId="233" applyNumberFormat="1" applyFont="1" applyFill="1" applyBorder="1" applyAlignment="1" applyProtection="1">
      <alignment horizontal="center" vertical="center" wrapText="1"/>
    </xf>
    <xf numFmtId="0" fontId="48" fillId="39" borderId="0" xfId="233" applyNumberFormat="1" applyFont="1" applyFill="1" applyBorder="1" applyAlignment="1" applyProtection="1">
      <alignment horizontal="center" vertical="center" wrapText="1"/>
    </xf>
    <xf numFmtId="0" fontId="9" fillId="0" borderId="0" xfId="2" applyFont="1" applyFill="1" applyBorder="1" applyAlignment="1" applyProtection="1">
      <alignment vertical="center" wrapText="1"/>
    </xf>
    <xf numFmtId="0" fontId="7" fillId="0" borderId="0" xfId="2" applyFont="1" applyFill="1" applyAlignment="1" applyProtection="1">
      <alignment vertical="center" wrapText="1"/>
    </xf>
    <xf numFmtId="0" fontId="72" fillId="0" borderId="0" xfId="2" applyFont="1" applyFill="1" applyBorder="1" applyAlignment="1" applyProtection="1">
      <alignment vertical="center" wrapText="1"/>
    </xf>
    <xf numFmtId="0" fontId="48" fillId="0" borderId="0" xfId="233" applyNumberFormat="1" applyFont="1" applyFill="1" applyBorder="1" applyAlignment="1" applyProtection="1">
      <alignment horizontal="right" vertical="center" wrapText="1"/>
    </xf>
    <xf numFmtId="0" fontId="71" fillId="0" borderId="0" xfId="2" applyFont="1" applyFill="1" applyBorder="1" applyAlignment="1" applyProtection="1">
      <alignment vertical="center"/>
    </xf>
    <xf numFmtId="0" fontId="49" fillId="0" borderId="0" xfId="2" applyFont="1" applyFill="1" applyBorder="1" applyAlignment="1" applyProtection="1">
      <alignment horizontal="center" vertical="center"/>
    </xf>
    <xf numFmtId="0" fontId="71" fillId="39" borderId="0" xfId="1" applyFont="1" applyFill="1" applyBorder="1" applyAlignment="1">
      <alignment horizontal="left" vertical="center"/>
    </xf>
    <xf numFmtId="0" fontId="71" fillId="0" borderId="0" xfId="1" applyFont="1" applyFill="1" applyAlignment="1">
      <alignment horizontal="left" indent="1"/>
    </xf>
    <xf numFmtId="0" fontId="71" fillId="0" borderId="0" xfId="1" applyFont="1" applyFill="1" applyAlignment="1"/>
    <xf numFmtId="0" fontId="73" fillId="7" borderId="0" xfId="2" applyFont="1" applyFill="1" applyBorder="1" applyAlignment="1" applyProtection="1">
      <alignment vertical="center"/>
    </xf>
    <xf numFmtId="0" fontId="70" fillId="7" borderId="0" xfId="2" applyFont="1" applyFill="1" applyBorder="1" applyAlignment="1" applyProtection="1">
      <alignment vertical="center"/>
    </xf>
    <xf numFmtId="0" fontId="73" fillId="0" borderId="0" xfId="2" applyFont="1" applyFill="1" applyBorder="1" applyAlignment="1" applyProtection="1">
      <alignment vertical="center"/>
    </xf>
    <xf numFmtId="0" fontId="74" fillId="0" borderId="0" xfId="2" applyNumberFormat="1" applyFont="1" applyFill="1" applyBorder="1" applyAlignment="1" applyProtection="1">
      <alignment vertical="center"/>
    </xf>
    <xf numFmtId="0" fontId="75" fillId="0" borderId="0" xfId="2" applyFont="1" applyFill="1" applyBorder="1" applyAlignment="1" applyProtection="1">
      <alignment horizontal="center" vertical="center"/>
    </xf>
    <xf numFmtId="0" fontId="76" fillId="0" borderId="0" xfId="2" applyNumberFormat="1" applyFont="1" applyFill="1" applyBorder="1" applyAlignment="1" applyProtection="1">
      <alignment vertical="center"/>
    </xf>
    <xf numFmtId="164" fontId="77" fillId="0" borderId="0" xfId="2" applyNumberFormat="1" applyFont="1" applyFill="1" applyBorder="1" applyAlignment="1" applyProtection="1">
      <alignment horizontal="left" vertical="center"/>
    </xf>
    <xf numFmtId="0" fontId="78" fillId="0" borderId="0" xfId="1" applyFont="1" applyFill="1" applyBorder="1" applyAlignment="1">
      <alignment horizontal="center" vertical="center" wrapText="1"/>
    </xf>
    <xf numFmtId="0" fontId="13" fillId="6" borderId="5" xfId="2" applyFont="1" applyFill="1" applyBorder="1" applyAlignment="1" applyProtection="1">
      <alignment horizontal="center" vertical="center"/>
    </xf>
    <xf numFmtId="0" fontId="79" fillId="0" borderId="0" xfId="2" applyFont="1" applyBorder="1" applyAlignment="1" applyProtection="1">
      <alignment vertical="center"/>
    </xf>
    <xf numFmtId="0" fontId="71" fillId="0" borderId="0" xfId="2" applyFont="1" applyFill="1" applyAlignment="1" applyProtection="1">
      <alignment vertical="center"/>
    </xf>
    <xf numFmtId="0" fontId="75" fillId="0" borderId="0" xfId="2" applyFont="1" applyBorder="1" applyAlignment="1" applyProtection="1">
      <alignment horizontal="center" vertical="center"/>
    </xf>
    <xf numFmtId="0" fontId="72" fillId="0" borderId="7" xfId="4" applyFont="1" applyFill="1" applyBorder="1" applyAlignment="1">
      <alignment horizontal="center" vertical="center" wrapText="1"/>
    </xf>
    <xf numFmtId="0" fontId="19" fillId="0" borderId="0" xfId="2" applyFont="1" applyFill="1" applyAlignment="1" applyProtection="1">
      <alignment vertical="center"/>
    </xf>
    <xf numFmtId="0" fontId="19" fillId="0" borderId="8" xfId="2" applyFont="1" applyFill="1" applyBorder="1" applyAlignment="1" applyProtection="1">
      <alignment vertical="center"/>
    </xf>
    <xf numFmtId="0" fontId="71" fillId="0" borderId="0" xfId="2" applyFont="1" applyFill="1" applyAlignment="1" applyProtection="1">
      <alignment vertical="center" wrapText="1"/>
    </xf>
    <xf numFmtId="0" fontId="49" fillId="0" borderId="0" xfId="2" applyFont="1" applyFill="1" applyBorder="1" applyAlignment="1" applyProtection="1">
      <alignment horizontal="center" vertical="center" wrapText="1"/>
    </xf>
    <xf numFmtId="0" fontId="75" fillId="0" borderId="0" xfId="2" applyFont="1" applyFill="1" applyBorder="1" applyAlignment="1" applyProtection="1">
      <alignment horizontal="center" vertical="center" wrapText="1"/>
    </xf>
    <xf numFmtId="0" fontId="71" fillId="39" borderId="0" xfId="4" applyFont="1" applyFill="1" applyBorder="1" applyAlignment="1">
      <alignment horizontal="left" vertical="center" wrapText="1"/>
    </xf>
    <xf numFmtId="0" fontId="72" fillId="0" borderId="0" xfId="4" applyFont="1" applyFill="1" applyBorder="1" applyAlignment="1">
      <alignment horizontal="center" vertical="center" wrapText="1"/>
    </xf>
    <xf numFmtId="0" fontId="73" fillId="0" borderId="0" xfId="2" applyFont="1" applyFill="1" applyBorder="1" applyAlignment="1" applyProtection="1">
      <alignment vertical="center" wrapText="1"/>
    </xf>
    <xf numFmtId="0" fontId="19" fillId="0" borderId="0" xfId="2" applyFont="1" applyFill="1" applyAlignment="1" applyProtection="1">
      <alignment vertical="center" wrapText="1"/>
    </xf>
    <xf numFmtId="0" fontId="19" fillId="0" borderId="0" xfId="2" quotePrefix="1" applyFont="1" applyFill="1" applyAlignment="1" applyProtection="1">
      <alignment vertical="center"/>
    </xf>
    <xf numFmtId="0" fontId="9" fillId="12" borderId="0" xfId="2" applyFont="1" applyFill="1" applyBorder="1" applyAlignment="1" applyProtection="1">
      <alignment vertical="center"/>
    </xf>
    <xf numFmtId="0" fontId="64" fillId="12" borderId="0" xfId="4" applyFont="1" applyFill="1" applyBorder="1" applyAlignment="1">
      <alignment horizontal="center"/>
    </xf>
    <xf numFmtId="164" fontId="65" fillId="12" borderId="0" xfId="3" applyNumberFormat="1" applyFont="1" applyFill="1" applyBorder="1" applyAlignment="1">
      <alignment horizontal="right" vertical="center" wrapText="1" indent="1"/>
    </xf>
    <xf numFmtId="164" fontId="65" fillId="12" borderId="0" xfId="2" applyNumberFormat="1" applyFont="1" applyFill="1" applyBorder="1" applyAlignment="1" applyProtection="1">
      <alignment horizontal="right" vertical="center" indent="1"/>
    </xf>
    <xf numFmtId="165" fontId="65" fillId="12" borderId="0" xfId="3" applyNumberFormat="1" applyFont="1" applyFill="1" applyBorder="1" applyAlignment="1">
      <alignment horizontal="right" vertical="center" wrapText="1" indent="1"/>
    </xf>
    <xf numFmtId="0" fontId="80" fillId="12" borderId="0" xfId="4" applyFont="1" applyFill="1" applyBorder="1" applyAlignment="1">
      <alignment horizontal="center" vertical="center"/>
    </xf>
    <xf numFmtId="0" fontId="63" fillId="12" borderId="0" xfId="3" applyFont="1" applyFill="1" applyBorder="1" applyAlignment="1">
      <alignment horizontal="left" vertical="center" wrapText="1" indent="1"/>
    </xf>
    <xf numFmtId="0" fontId="81" fillId="0" borderId="22" xfId="235" applyFont="1" applyBorder="1" applyProtection="1"/>
    <xf numFmtId="0" fontId="10" fillId="8" borderId="0" xfId="1" applyFont="1" applyFill="1" applyAlignment="1">
      <alignment vertical="center"/>
    </xf>
    <xf numFmtId="49" fontId="0" fillId="0" borderId="0" xfId="0" applyNumberFormat="1" applyAlignment="1">
      <alignment horizontal="left" indent="2"/>
    </xf>
    <xf numFmtId="174" fontId="0" fillId="40" borderId="0" xfId="0" applyNumberFormat="1" applyFill="1" applyAlignment="1">
      <alignment horizontal="left" indent="2"/>
    </xf>
    <xf numFmtId="49" fontId="0" fillId="0" borderId="0" xfId="0" applyNumberFormat="1" applyAlignment="1">
      <alignment horizontal="left" indent="3"/>
    </xf>
    <xf numFmtId="0" fontId="69" fillId="12" borderId="0" xfId="4" applyFont="1" applyFill="1" applyBorder="1" applyAlignment="1">
      <alignment horizontal="center" vertical="center"/>
    </xf>
    <xf numFmtId="174" fontId="0" fillId="41" borderId="0" xfId="0" applyNumberFormat="1" applyFill="1" applyAlignment="1">
      <alignment horizontal="left" indent="1"/>
    </xf>
    <xf numFmtId="174" fontId="82" fillId="42" borderId="0" xfId="0" applyNumberFormat="1" applyFont="1" applyFill="1" applyAlignment="1"/>
    <xf numFmtId="0" fontId="63" fillId="12" borderId="0" xfId="2" applyFont="1" applyFill="1" applyBorder="1" applyAlignment="1" applyProtection="1">
      <alignment vertical="center"/>
    </xf>
    <xf numFmtId="174" fontId="82" fillId="12" borderId="0" xfId="0" applyNumberFormat="1" applyFont="1" applyFill="1" applyAlignment="1"/>
    <xf numFmtId="0" fontId="59" fillId="12" borderId="0" xfId="2" applyFont="1" applyFill="1" applyBorder="1" applyAlignment="1" applyProtection="1">
      <alignment horizontal="center" vertical="center" wrapText="1"/>
    </xf>
    <xf numFmtId="0" fontId="68" fillId="12" borderId="0" xfId="4" applyFont="1" applyFill="1" applyBorder="1" applyAlignment="1">
      <alignment horizontal="center"/>
    </xf>
    <xf numFmtId="0" fontId="17" fillId="12" borderId="0" xfId="4" applyFont="1" applyFill="1" applyBorder="1" applyAlignment="1">
      <alignment horizontal="center" vertical="center"/>
    </xf>
    <xf numFmtId="0" fontId="18" fillId="12" borderId="0" xfId="2" applyFont="1" applyFill="1" applyBorder="1" applyAlignment="1" applyProtection="1">
      <alignment vertical="center"/>
    </xf>
    <xf numFmtId="0" fontId="16" fillId="12" borderId="0" xfId="2" applyFont="1" applyFill="1" applyBorder="1" applyAlignment="1" applyProtection="1">
      <alignment vertical="center"/>
    </xf>
    <xf numFmtId="164" fontId="84" fillId="38" borderId="0" xfId="233" applyNumberFormat="1" applyFont="1" applyFill="1" applyBorder="1" applyAlignment="1" applyProtection="1">
      <alignment horizontal="right" vertical="center" wrapText="1"/>
    </xf>
    <xf numFmtId="165" fontId="84" fillId="38" borderId="0" xfId="1" applyNumberFormat="1" applyFont="1" applyFill="1" applyBorder="1" applyAlignment="1">
      <alignment horizontal="right" vertical="center" wrapText="1" indent="1"/>
    </xf>
    <xf numFmtId="0" fontId="85" fillId="38" borderId="0" xfId="4" applyFont="1" applyFill="1" applyBorder="1" applyAlignment="1">
      <alignment horizontal="center" vertical="center"/>
    </xf>
    <xf numFmtId="0" fontId="63" fillId="12" borderId="0" xfId="3" applyFont="1" applyFill="1" applyBorder="1" applyAlignment="1">
      <alignment horizontal="left" vertical="center" wrapText="1" indent="3"/>
    </xf>
    <xf numFmtId="0" fontId="63" fillId="12" borderId="0" xfId="1" applyFont="1" applyFill="1" applyBorder="1" applyAlignment="1">
      <alignment horizontal="left" vertical="center"/>
    </xf>
    <xf numFmtId="164" fontId="65" fillId="12" borderId="0" xfId="1" applyNumberFormat="1" applyFont="1" applyFill="1" applyBorder="1" applyAlignment="1">
      <alignment horizontal="right" vertical="center" wrapText="1" indent="1"/>
    </xf>
    <xf numFmtId="165" fontId="65" fillId="12" borderId="0" xfId="1" applyNumberFormat="1" applyFont="1" applyFill="1" applyBorder="1" applyAlignment="1">
      <alignment horizontal="right" vertical="center" wrapText="1" indent="1"/>
    </xf>
    <xf numFmtId="164" fontId="65" fillId="10" borderId="0" xfId="1" applyNumberFormat="1" applyFont="1" applyFill="1" applyBorder="1" applyAlignment="1">
      <alignment horizontal="right" vertical="center" wrapText="1" indent="1"/>
    </xf>
    <xf numFmtId="165" fontId="65" fillId="10" borderId="0" xfId="1" applyNumberFormat="1" applyFont="1" applyFill="1" applyBorder="1" applyAlignment="1">
      <alignment horizontal="right" vertical="center" wrapText="1" indent="1"/>
    </xf>
    <xf numFmtId="0" fontId="80" fillId="11" borderId="0" xfId="4" applyFont="1" applyFill="1" applyBorder="1" applyAlignment="1">
      <alignment horizontal="center" vertical="center"/>
    </xf>
    <xf numFmtId="0" fontId="69" fillId="11" borderId="0" xfId="4" applyFont="1" applyFill="1" applyBorder="1" applyAlignment="1">
      <alignment horizontal="center" vertical="center"/>
    </xf>
    <xf numFmtId="164" fontId="65" fillId="40" borderId="0" xfId="1" applyNumberFormat="1" applyFont="1" applyFill="1" applyBorder="1" applyAlignment="1">
      <alignment horizontal="right" vertical="center" wrapText="1" indent="1"/>
    </xf>
    <xf numFmtId="165" fontId="65" fillId="40" borderId="0" xfId="1" applyNumberFormat="1" applyFont="1" applyFill="1" applyBorder="1" applyAlignment="1">
      <alignment horizontal="right" vertical="center" wrapText="1" indent="1"/>
    </xf>
    <xf numFmtId="0" fontId="48" fillId="38" borderId="0" xfId="233" applyNumberFormat="1" applyFont="1" applyFill="1" applyBorder="1" applyAlignment="1" applyProtection="1">
      <alignment horizontal="left" vertical="center" wrapText="1"/>
      <protection locked="0"/>
    </xf>
    <xf numFmtId="0" fontId="4" fillId="2" borderId="1" xfId="1" applyFont="1" applyFill="1" applyBorder="1" applyAlignment="1" applyProtection="1">
      <alignment horizontal="left" vertical="center"/>
      <protection locked="0"/>
    </xf>
    <xf numFmtId="0" fontId="10" fillId="8" borderId="0" xfId="1" applyFont="1" applyFill="1" applyAlignment="1">
      <alignment horizontal="center" vertical="center"/>
    </xf>
    <xf numFmtId="0" fontId="83" fillId="38" borderId="0" xfId="233" applyNumberFormat="1" applyFont="1" applyFill="1" applyBorder="1" applyAlignment="1" applyProtection="1">
      <alignment horizontal="left" vertical="center" wrapText="1"/>
    </xf>
    <xf numFmtId="0" fontId="63" fillId="12" borderId="0" xfId="3" applyFont="1" applyFill="1" applyBorder="1" applyAlignment="1">
      <alignment horizontal="left" vertical="center" wrapText="1" indent="3"/>
    </xf>
    <xf numFmtId="0" fontId="63" fillId="12" borderId="0" xfId="3" applyFont="1" applyFill="1" applyBorder="1" applyAlignment="1">
      <alignment horizontal="left" vertical="center" wrapText="1" indent="1"/>
    </xf>
    <xf numFmtId="0" fontId="48" fillId="39" borderId="18" xfId="233" applyNumberFormat="1" applyFont="1" applyFill="1" applyBorder="1" applyAlignment="1" applyProtection="1">
      <alignment horizontal="center" vertical="center" wrapText="1"/>
    </xf>
    <xf numFmtId="0" fontId="48" fillId="39" borderId="19" xfId="233" applyNumberFormat="1" applyFont="1" applyFill="1" applyBorder="1" applyAlignment="1" applyProtection="1">
      <alignment horizontal="center" vertical="center" wrapText="1"/>
    </xf>
    <xf numFmtId="0" fontId="48" fillId="39" borderId="20" xfId="233" applyNumberFormat="1" applyFont="1" applyFill="1" applyBorder="1" applyAlignment="1" applyProtection="1">
      <alignment horizontal="center" vertical="center" wrapText="1"/>
    </xf>
    <xf numFmtId="0" fontId="48" fillId="39" borderId="21" xfId="233" applyNumberFormat="1" applyFont="1" applyFill="1" applyBorder="1" applyAlignment="1" applyProtection="1">
      <alignment horizontal="center" vertical="center" wrapText="1"/>
    </xf>
    <xf numFmtId="0" fontId="63" fillId="10" borderId="0" xfId="1" applyFont="1" applyFill="1" applyBorder="1" applyAlignment="1">
      <alignment horizontal="left" vertical="center"/>
    </xf>
    <xf numFmtId="0" fontId="63" fillId="40" borderId="0" xfId="1" applyFont="1" applyFill="1" applyBorder="1" applyAlignment="1">
      <alignment horizontal="left" vertical="center" indent="2"/>
    </xf>
  </cellXfs>
  <cellStyles count="236">
    <cellStyle name="20% - Accent1 2" xfId="5"/>
    <cellStyle name="20% - Accent1 3" xfId="6"/>
    <cellStyle name="20% - Accent1 4" xfId="7"/>
    <cellStyle name="20% - Accent1 5" xfId="8"/>
    <cellStyle name="20% - Accent2 2" xfId="9"/>
    <cellStyle name="20% - Accent2 3" xfId="10"/>
    <cellStyle name="20% - Accent2 4" xfId="11"/>
    <cellStyle name="20% - Accent2 5" xfId="12"/>
    <cellStyle name="20% - Accent3 2" xfId="13"/>
    <cellStyle name="20% - Accent3 3" xfId="14"/>
    <cellStyle name="20% - Accent3 4" xfId="15"/>
    <cellStyle name="20% - Accent3 5" xfId="16"/>
    <cellStyle name="20% - Accent4 2" xfId="17"/>
    <cellStyle name="20% - Accent4 3" xfId="18"/>
    <cellStyle name="20% - Accent4 4" xfId="19"/>
    <cellStyle name="20% - Accent4 5" xfId="20"/>
    <cellStyle name="20% - Accent5 2" xfId="21"/>
    <cellStyle name="20% - Accent5 3" xfId="22"/>
    <cellStyle name="20% - Accent5 4" xfId="23"/>
    <cellStyle name="20% - Accent5 5" xfId="24"/>
    <cellStyle name="20% - Accent6 2" xfId="25"/>
    <cellStyle name="20% - Accent6 3" xfId="26"/>
    <cellStyle name="20% - Accent6 4" xfId="27"/>
    <cellStyle name="20% - Accent6 5" xfId="28"/>
    <cellStyle name="40% - Accent1 2" xfId="29"/>
    <cellStyle name="40% - Accent1 3" xfId="30"/>
    <cellStyle name="40% - Accent1 4" xfId="31"/>
    <cellStyle name="40% - Accent1 5" xfId="32"/>
    <cellStyle name="40% - Accent2 2" xfId="33"/>
    <cellStyle name="40% - Accent2 3" xfId="34"/>
    <cellStyle name="40% - Accent2 4" xfId="35"/>
    <cellStyle name="40% - Accent2 5" xfId="36"/>
    <cellStyle name="40% - Accent3 2" xfId="37"/>
    <cellStyle name="40% - Accent3 3" xfId="38"/>
    <cellStyle name="40% - Accent3 4" xfId="39"/>
    <cellStyle name="40% - Accent3 5" xfId="40"/>
    <cellStyle name="40% - Accent4 2" xfId="41"/>
    <cellStyle name="40% - Accent4 3" xfId="42"/>
    <cellStyle name="40% - Accent4 4" xfId="43"/>
    <cellStyle name="40% - Accent4 5" xfId="44"/>
    <cellStyle name="40% - Accent5 2" xfId="45"/>
    <cellStyle name="40% - Accent5 3" xfId="46"/>
    <cellStyle name="40% - Accent5 4" xfId="47"/>
    <cellStyle name="40% - Accent5 5" xfId="48"/>
    <cellStyle name="40% - Accent6 2" xfId="49"/>
    <cellStyle name="40% - Accent6 3" xfId="50"/>
    <cellStyle name="40% - Accent6 4" xfId="51"/>
    <cellStyle name="40% - Accent6 5" xfId="52"/>
    <cellStyle name="60% - Accent1 2" xfId="53"/>
    <cellStyle name="60% - Accent1 3" xfId="54"/>
    <cellStyle name="60% - Accent1 4" xfId="55"/>
    <cellStyle name="60% - Accent1 5" xfId="56"/>
    <cellStyle name="60% - Accent2 2" xfId="57"/>
    <cellStyle name="60% - Accent2 3" xfId="58"/>
    <cellStyle name="60% - Accent2 4" xfId="59"/>
    <cellStyle name="60% - Accent2 5" xfId="60"/>
    <cellStyle name="60% - Accent3 2" xfId="61"/>
    <cellStyle name="60% - Accent3 3" xfId="62"/>
    <cellStyle name="60% - Accent3 4" xfId="63"/>
    <cellStyle name="60% - Accent3 5" xfId="64"/>
    <cellStyle name="60% - Accent4 2" xfId="65"/>
    <cellStyle name="60% - Accent4 3" xfId="66"/>
    <cellStyle name="60% - Accent4 4" xfId="67"/>
    <cellStyle name="60% - Accent4 5" xfId="68"/>
    <cellStyle name="60% - Accent5 2" xfId="69"/>
    <cellStyle name="60% - Accent5 3" xfId="70"/>
    <cellStyle name="60% - Accent5 4" xfId="71"/>
    <cellStyle name="60% - Accent5 5" xfId="72"/>
    <cellStyle name="60% - Accent6 2" xfId="73"/>
    <cellStyle name="60% - Accent6 3" xfId="74"/>
    <cellStyle name="60% - Accent6 4" xfId="75"/>
    <cellStyle name="60% - Accent6 5" xfId="76"/>
    <cellStyle name="Accent1 2" xfId="77"/>
    <cellStyle name="Accent1 3" xfId="78"/>
    <cellStyle name="Accent1 4" xfId="79"/>
    <cellStyle name="Accent1 5" xfId="80"/>
    <cellStyle name="Accent2 2" xfId="81"/>
    <cellStyle name="Accent2 3" xfId="82"/>
    <cellStyle name="Accent2 4" xfId="83"/>
    <cellStyle name="Accent2 5" xfId="84"/>
    <cellStyle name="Accent3 2" xfId="85"/>
    <cellStyle name="Accent3 3" xfId="86"/>
    <cellStyle name="Accent3 4" xfId="87"/>
    <cellStyle name="Accent3 5" xfId="88"/>
    <cellStyle name="Accent4 2" xfId="89"/>
    <cellStyle name="Accent4 3" xfId="90"/>
    <cellStyle name="Accent4 4" xfId="91"/>
    <cellStyle name="Accent4 5" xfId="92"/>
    <cellStyle name="Accent5 2" xfId="93"/>
    <cellStyle name="Accent5 3" xfId="94"/>
    <cellStyle name="Accent5 4" xfId="95"/>
    <cellStyle name="Accent5 5" xfId="96"/>
    <cellStyle name="Accent6 2" xfId="97"/>
    <cellStyle name="Accent6 3" xfId="98"/>
    <cellStyle name="Accent6 4" xfId="99"/>
    <cellStyle name="Accent6 5" xfId="100"/>
    <cellStyle name="Bad 2" xfId="101"/>
    <cellStyle name="Bad 3" xfId="102"/>
    <cellStyle name="Bad 4" xfId="103"/>
    <cellStyle name="Bad 5" xfId="104"/>
    <cellStyle name="Calculation 2" xfId="105"/>
    <cellStyle name="Calculation 3" xfId="106"/>
    <cellStyle name="Calculation 4" xfId="107"/>
    <cellStyle name="Calculation 5" xfId="108"/>
    <cellStyle name="Check Cell 2" xfId="109"/>
    <cellStyle name="Check Cell 3" xfId="110"/>
    <cellStyle name="Check Cell 4" xfId="111"/>
    <cellStyle name="Check Cell 5" xfId="112"/>
    <cellStyle name="ColumnHeading" xfId="113"/>
    <cellStyle name="Comma 2" xfId="114"/>
    <cellStyle name="Comma 3" xfId="115"/>
    <cellStyle name="Comma 4" xfId="116"/>
    <cellStyle name="Comma 5" xfId="117"/>
    <cellStyle name="Comma 6" xfId="118"/>
    <cellStyle name="Comma 7" xfId="119"/>
    <cellStyle name="Comma 8" xfId="120"/>
    <cellStyle name="Euro" xfId="121"/>
    <cellStyle name="Explanatory Text 2" xfId="122"/>
    <cellStyle name="Explanatory Text 3" xfId="123"/>
    <cellStyle name="Explanatory Text 4" xfId="124"/>
    <cellStyle name="Explanatory Text 5" xfId="125"/>
    <cellStyle name="Good 2" xfId="126"/>
    <cellStyle name="Good 3" xfId="127"/>
    <cellStyle name="Good 4" xfId="128"/>
    <cellStyle name="Good 5" xfId="129"/>
    <cellStyle name="Heading 1 2" xfId="130"/>
    <cellStyle name="Heading 1 3" xfId="131"/>
    <cellStyle name="Heading 1 4" xfId="132"/>
    <cellStyle name="Heading 1 5" xfId="133"/>
    <cellStyle name="Heading 2 2" xfId="134"/>
    <cellStyle name="Heading 2 3" xfId="135"/>
    <cellStyle name="Heading 2 4" xfId="136"/>
    <cellStyle name="Heading 2 5" xfId="137"/>
    <cellStyle name="Heading 3 2" xfId="138"/>
    <cellStyle name="Heading 3 3" xfId="139"/>
    <cellStyle name="Heading 3 4" xfId="140"/>
    <cellStyle name="Heading 3 5" xfId="141"/>
    <cellStyle name="Heading 4 2" xfId="142"/>
    <cellStyle name="Heading 4 3" xfId="143"/>
    <cellStyle name="Heading 4 4" xfId="144"/>
    <cellStyle name="Heading 4 5" xfId="145"/>
    <cellStyle name="Hyperlink 2" xfId="146"/>
    <cellStyle name="Hyperlink 3" xfId="147"/>
    <cellStyle name="Input 2" xfId="148"/>
    <cellStyle name="Input 3" xfId="149"/>
    <cellStyle name="Input 4" xfId="150"/>
    <cellStyle name="Input 5" xfId="151"/>
    <cellStyle name="Lien hypertexte 3" xfId="152"/>
    <cellStyle name="Ligne détail" xfId="153"/>
    <cellStyle name="Linked Cell 2" xfId="154"/>
    <cellStyle name="Linked Cell 3" xfId="155"/>
    <cellStyle name="Linked Cell 4" xfId="156"/>
    <cellStyle name="Linked Cell 5" xfId="157"/>
    <cellStyle name="MEV4" xfId="158"/>
    <cellStyle name="MEV5" xfId="159"/>
    <cellStyle name="Milliers 2" xfId="160"/>
    <cellStyle name="Milliers 3" xfId="161"/>
    <cellStyle name="Milliers 4" xfId="162"/>
    <cellStyle name="N?rmal_la?oux_larou?" xfId="163"/>
    <cellStyle name="Neutral 2" xfId="164"/>
    <cellStyle name="Neutral 3" xfId="165"/>
    <cellStyle name="Neutral 4" xfId="166"/>
    <cellStyle name="Neutral 5" xfId="167"/>
    <cellStyle name="Norma?_On Hol?" xfId="168"/>
    <cellStyle name="Normaᷬ_On Holᷤ" xfId="169"/>
    <cellStyle name="Normal" xfId="0" builtinId="0"/>
    <cellStyle name="Normal - Style1" xfId="170"/>
    <cellStyle name="Normal 10" xfId="4"/>
    <cellStyle name="Normal 11" xfId="171"/>
    <cellStyle name="Normal 12" xfId="234"/>
    <cellStyle name="Normal 2" xfId="1"/>
    <cellStyle name="Normal 2 2" xfId="172"/>
    <cellStyle name="Normal 2 3" xfId="173"/>
    <cellStyle name="Normal 2 4" xfId="174"/>
    <cellStyle name="Normal 2 5" xfId="175"/>
    <cellStyle name="Normal 2_CRD hybride yc EMB" xfId="176"/>
    <cellStyle name="Normal 3" xfId="177"/>
    <cellStyle name="Normal 3 2" xfId="2"/>
    <cellStyle name="Normal 3 3" xfId="178"/>
    <cellStyle name="Normal 3 4" xfId="179"/>
    <cellStyle name="Normal 3 5" xfId="180"/>
    <cellStyle name="Normal 3 6" xfId="181"/>
    <cellStyle name="Normal 3_0. Investissement" xfId="182"/>
    <cellStyle name="Normal 4" xfId="183"/>
    <cellStyle name="Normal 5" xfId="184"/>
    <cellStyle name="Normal 6" xfId="185"/>
    <cellStyle name="Normal 6 2" xfId="186"/>
    <cellStyle name="Normal 6 3" xfId="187"/>
    <cellStyle name="Normal 6 4" xfId="188"/>
    <cellStyle name="Normal 6 5" xfId="189"/>
    <cellStyle name="Normal 6_0. Investissement" xfId="190"/>
    <cellStyle name="Normal 7" xfId="191"/>
    <cellStyle name="Normal 8" xfId="192"/>
    <cellStyle name="Normal 9" xfId="193"/>
    <cellStyle name="Normal_Copie de CRD_CRC_domaine TER_ergo" xfId="3"/>
    <cellStyle name="Normal_EBIT_EBITDA  groupe Actual 2003.12" xfId="233"/>
    <cellStyle name="Normal_Staff &amp; Interim costs" xfId="235"/>
    <cellStyle name="Note 2" xfId="194"/>
    <cellStyle name="Note 3" xfId="195"/>
    <cellStyle name="Note 4" xfId="196"/>
    <cellStyle name="Note 5" xfId="197"/>
    <cellStyle name="N䃯rmal_la䇲oux_larou᷸" xfId="198"/>
    <cellStyle name="Output 2" xfId="199"/>
    <cellStyle name="Output 3" xfId="200"/>
    <cellStyle name="Output 4" xfId="201"/>
    <cellStyle name="Output 5" xfId="202"/>
    <cellStyle name="Percent 10" xfId="203"/>
    <cellStyle name="Percent 2" xfId="204"/>
    <cellStyle name="Percent 2 2" xfId="205"/>
    <cellStyle name="Percent 3" xfId="206"/>
    <cellStyle name="Percent 4" xfId="207"/>
    <cellStyle name="Percent 5" xfId="208"/>
    <cellStyle name="Percent 5 2" xfId="209"/>
    <cellStyle name="Percent 5 3" xfId="210"/>
    <cellStyle name="Percent 5 4" xfId="211"/>
    <cellStyle name="Percent 5 5" xfId="212"/>
    <cellStyle name="Percent 6" xfId="213"/>
    <cellStyle name="Percent 7" xfId="214"/>
    <cellStyle name="Percent 8" xfId="215"/>
    <cellStyle name="Percent 9" xfId="216"/>
    <cellStyle name="Pourcentage 2" xfId="217"/>
    <cellStyle name="Pourcentage 3" xfId="218"/>
    <cellStyle name="Title 2" xfId="219"/>
    <cellStyle name="Title 3" xfId="220"/>
    <cellStyle name="Title 4" xfId="221"/>
    <cellStyle name="Title 5" xfId="222"/>
    <cellStyle name="Titre colonnes" xfId="223"/>
    <cellStyle name="Titre lignes" xfId="224"/>
    <cellStyle name="Total 2" xfId="225"/>
    <cellStyle name="Total 3" xfId="226"/>
    <cellStyle name="Total 4" xfId="227"/>
    <cellStyle name="Total 5" xfId="228"/>
    <cellStyle name="Warning Text 2" xfId="229"/>
    <cellStyle name="Warning Text 3" xfId="230"/>
    <cellStyle name="Warning Text 4" xfId="231"/>
    <cellStyle name="Warning Text 5" xfId="232"/>
  </cellStyles>
  <dxfs count="99">
    <dxf>
      <font>
        <condense val="0"/>
        <extend val="0"/>
        <color indexed="52"/>
      </font>
      <fill>
        <patternFill>
          <bgColor theme="4" tint="0.79998168889431442"/>
        </patternFill>
      </fill>
    </dxf>
    <dxf>
      <font>
        <condense val="0"/>
        <extend val="0"/>
        <color indexed="10"/>
      </font>
      <fill>
        <patternFill patternType="solid">
          <bgColor theme="4" tint="0.79998168889431442"/>
        </patternFill>
      </fill>
    </dxf>
    <dxf>
      <font>
        <condense val="0"/>
        <extend val="0"/>
        <color indexed="57"/>
      </font>
      <fill>
        <patternFill patternType="solid">
          <bgColor theme="4" tint="0.79998168889431442"/>
        </patternFill>
      </fill>
    </dxf>
    <dxf>
      <font>
        <condense val="0"/>
        <extend val="0"/>
        <color indexed="52"/>
      </font>
      <fill>
        <patternFill>
          <bgColor theme="4" tint="0.79998168889431442"/>
        </patternFill>
      </fill>
    </dxf>
    <dxf>
      <font>
        <condense val="0"/>
        <extend val="0"/>
        <color indexed="10"/>
      </font>
      <fill>
        <patternFill patternType="solid">
          <bgColor theme="4" tint="0.79998168889431442"/>
        </patternFill>
      </fill>
    </dxf>
    <dxf>
      <font>
        <condense val="0"/>
        <extend val="0"/>
        <color indexed="57"/>
      </font>
      <fill>
        <patternFill patternType="solid">
          <bgColor theme="4" tint="0.79998168889431442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theme="4" tint="0.79998168889431442"/>
        </patternFill>
      </fill>
    </dxf>
    <dxf>
      <font>
        <condense val="0"/>
        <extend val="0"/>
        <color indexed="10"/>
      </font>
      <fill>
        <patternFill patternType="solid">
          <bgColor theme="4" tint="0.79998168889431442"/>
        </patternFill>
      </fill>
    </dxf>
    <dxf>
      <font>
        <condense val="0"/>
        <extend val="0"/>
        <color indexed="57"/>
      </font>
      <fill>
        <patternFill patternType="solid">
          <bgColor theme="4" tint="0.79998168889431442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</dxfs>
  <tableStyles count="0" defaultTableStyle="TableStyleMedium2" defaultPivotStyle="PivotStyleLight16"/>
  <colors>
    <mruColors>
      <color rgb="FFADAFB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1400175</xdr:colOff>
          <xdr:row>12</xdr:row>
          <xdr:rowOff>66675</xdr:rowOff>
        </xdr:from>
        <xdr:to>
          <xdr:col>11</xdr:col>
          <xdr:colOff>38100</xdr:colOff>
          <xdr:row>15</xdr:row>
          <xdr:rowOff>28575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 editAs="oneCell">
    <xdr:from>
      <xdr:col>5</xdr:col>
      <xdr:colOff>76200</xdr:colOff>
      <xdr:row>6</xdr:row>
      <xdr:rowOff>57150</xdr:rowOff>
    </xdr:from>
    <xdr:to>
      <xdr:col>5</xdr:col>
      <xdr:colOff>2556163</xdr:colOff>
      <xdr:row>8</xdr:row>
      <xdr:rowOff>20356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57150"/>
          <a:ext cx="2479963" cy="839506"/>
        </a:xfrm>
        <a:prstGeom prst="rect">
          <a:avLst/>
        </a:prstGeom>
      </xdr:spPr>
    </xdr:pic>
    <xdr:clientData/>
  </xdr:twoCellAnchor>
  <xdr:twoCellAnchor>
    <xdr:from>
      <xdr:col>6</xdr:col>
      <xdr:colOff>4727864</xdr:colOff>
      <xdr:row>10</xdr:row>
      <xdr:rowOff>0</xdr:rowOff>
    </xdr:from>
    <xdr:to>
      <xdr:col>8</xdr:col>
      <xdr:colOff>121227</xdr:colOff>
      <xdr:row>16</xdr:row>
      <xdr:rowOff>218208</xdr:rowOff>
    </xdr:to>
    <xdr:sp macro="" textlink="">
      <xdr:nvSpPr>
        <xdr:cNvPr id="3" name="Accolade fermante 2"/>
        <xdr:cNvSpPr/>
      </xdr:nvSpPr>
      <xdr:spPr>
        <a:xfrm>
          <a:off x="9334500" y="2736273"/>
          <a:ext cx="640772" cy="1569026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31172</xdr:colOff>
      <xdr:row>15</xdr:row>
      <xdr:rowOff>48485</xdr:rowOff>
    </xdr:from>
    <xdr:to>
      <xdr:col>10</xdr:col>
      <xdr:colOff>1887683</xdr:colOff>
      <xdr:row>17</xdr:row>
      <xdr:rowOff>17314</xdr:rowOff>
    </xdr:to>
    <xdr:sp macro="" textlink="">
      <xdr:nvSpPr>
        <xdr:cNvPr id="6" name="Accolade fermante 5"/>
        <xdr:cNvSpPr/>
      </xdr:nvSpPr>
      <xdr:spPr>
        <a:xfrm rot="16200000">
          <a:off x="9036627" y="1052939"/>
          <a:ext cx="557647" cy="4887193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173182</xdr:colOff>
      <xdr:row>12</xdr:row>
      <xdr:rowOff>103909</xdr:rowOff>
    </xdr:from>
    <xdr:to>
      <xdr:col>9</xdr:col>
      <xdr:colOff>1108364</xdr:colOff>
      <xdr:row>14</xdr:row>
      <xdr:rowOff>259771</xdr:rowOff>
    </xdr:to>
    <xdr:sp macro="" textlink="">
      <xdr:nvSpPr>
        <xdr:cNvPr id="5" name="Arrondir un rectangle avec un coin diagonal 4"/>
        <xdr:cNvSpPr/>
      </xdr:nvSpPr>
      <xdr:spPr>
        <a:xfrm>
          <a:off x="7013864" y="2545773"/>
          <a:ext cx="2320636" cy="623453"/>
        </a:xfrm>
        <a:prstGeom prst="round2Diag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>
              <a:solidFill>
                <a:srgbClr val="FF0000"/>
              </a:solidFill>
              <a:latin typeface="+mn-lt"/>
            </a:rPr>
            <a:t>Changeable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0"/>
  </sheetPr>
  <dimension ref="A1:B31"/>
  <sheetViews>
    <sheetView workbookViewId="0">
      <selection activeCell="I27" sqref="I27"/>
    </sheetView>
  </sheetViews>
  <sheetFormatPr baseColWidth="10" defaultColWidth="9.140625" defaultRowHeight="12.75"/>
  <cols>
    <col min="1" max="1" width="44.140625" style="3" customWidth="1"/>
    <col min="2" max="2" width="17.85546875" style="3" bestFit="1" customWidth="1"/>
    <col min="3" max="3" width="9.140625" style="3"/>
    <col min="4" max="4" width="27.7109375" style="3" customWidth="1"/>
    <col min="5" max="16384" width="9.140625" style="3"/>
  </cols>
  <sheetData>
    <row r="1" spans="1:2" ht="18">
      <c r="A1" s="1" t="s">
        <v>49</v>
      </c>
      <c r="B1" s="2"/>
    </row>
    <row r="2" spans="1:2">
      <c r="A2" s="2" t="s">
        <v>50</v>
      </c>
      <c r="B2" s="2"/>
    </row>
    <row r="3" spans="1:2" ht="15.75">
      <c r="A3" s="4" t="s">
        <v>51</v>
      </c>
      <c r="B3" s="2"/>
    </row>
    <row r="4" spans="1:2">
      <c r="A4" s="5" t="s">
        <v>0</v>
      </c>
      <c r="B4" s="6" t="s">
        <v>1</v>
      </c>
    </row>
    <row r="5" spans="1:2">
      <c r="A5" s="5" t="s">
        <v>2</v>
      </c>
      <c r="B5" s="7" t="str">
        <f>LEFT(Server,LEN(Server)-1)</f>
        <v>tango_core_model</v>
      </c>
    </row>
    <row r="6" spans="1:2">
      <c r="A6" s="5" t="s">
        <v>3</v>
      </c>
      <c r="B6" s="7" t="str">
        <f ca="1">Host_Serveur</f>
        <v>FRSAPP021269</v>
      </c>
    </row>
    <row r="7" spans="1:2">
      <c r="A7" s="5" t="s">
        <v>4</v>
      </c>
      <c r="B7" s="7">
        <v>0</v>
      </c>
    </row>
    <row r="8" spans="1:2">
      <c r="A8" s="5" t="s">
        <v>5</v>
      </c>
      <c r="B8" s="7">
        <v>0</v>
      </c>
    </row>
    <row r="10" spans="1:2" ht="15.75">
      <c r="A10" s="4" t="s">
        <v>6</v>
      </c>
    </row>
    <row r="11" spans="1:2" ht="13.5" customHeight="1">
      <c r="A11" s="5" t="s">
        <v>7</v>
      </c>
      <c r="B11" s="7" t="s">
        <v>8</v>
      </c>
    </row>
    <row r="12" spans="1:2" ht="13.5" customHeight="1">
      <c r="A12" s="5" t="s">
        <v>9</v>
      </c>
      <c r="B12" s="7" t="s">
        <v>10</v>
      </c>
    </row>
    <row r="13" spans="1:2">
      <c r="A13" s="5" t="s">
        <v>11</v>
      </c>
      <c r="B13" s="7" t="str">
        <f ca="1">_xll.DBR(Server&amp;"z_Admin_Param","YEAR_ACTUAL","STR_VAR1")</f>
        <v>2020</v>
      </c>
    </row>
    <row r="14" spans="1:2">
      <c r="A14" s="5" t="s">
        <v>12</v>
      </c>
      <c r="B14" s="7" t="str">
        <f ca="1">_xll.DBR(Server&amp;"z_Admin_Param","MONTH_ACTUAL","STR_VAR1")</f>
        <v>2020.02</v>
      </c>
    </row>
    <row r="15" spans="1:2">
      <c r="A15" s="5" t="s">
        <v>13</v>
      </c>
      <c r="B15" s="7" t="str">
        <f ca="1">_xll.DBR(Server&amp;"z_Admin_Param","BUDGET_VERSION","STR_VAR1")</f>
        <v>BUDG_TOT</v>
      </c>
    </row>
    <row r="16" spans="1:2">
      <c r="A16" s="5" t="s">
        <v>14</v>
      </c>
      <c r="B16" s="7" t="str">
        <f ca="1">_xll.DBR(Server&amp;"z_Admin_Param","FORECAST_VERSION","STR_VAR1")</f>
        <v>FC_2_TOT</v>
      </c>
    </row>
    <row r="17" spans="1:2">
      <c r="A17" s="5" t="s">
        <v>15</v>
      </c>
      <c r="B17" s="8" t="str">
        <f ca="1">_xll.DBR(Server&amp;"z_Client_Properties","Language",_xll.TM1USER(xServer))</f>
        <v>French</v>
      </c>
    </row>
    <row r="18" spans="1:2">
      <c r="A18" s="144" t="s">
        <v>16</v>
      </c>
      <c r="B18" s="9" t="s">
        <v>17</v>
      </c>
    </row>
    <row r="19" spans="1:2">
      <c r="A19" s="144"/>
      <c r="B19" s="9" t="s">
        <v>18</v>
      </c>
    </row>
    <row r="20" spans="1:2">
      <c r="A20" s="144"/>
      <c r="B20" s="9" t="s">
        <v>19</v>
      </c>
    </row>
    <row r="21" spans="1:2">
      <c r="A21" s="144"/>
      <c r="B21" s="9" t="s">
        <v>20</v>
      </c>
    </row>
    <row r="22" spans="1:2">
      <c r="A22" s="144"/>
      <c r="B22" s="9" t="s">
        <v>21</v>
      </c>
    </row>
    <row r="23" spans="1:2">
      <c r="A23" s="144" t="s">
        <v>22</v>
      </c>
      <c r="B23" s="9" t="s">
        <v>23</v>
      </c>
    </row>
    <row r="24" spans="1:2">
      <c r="A24" s="144"/>
      <c r="B24" s="9" t="s">
        <v>24</v>
      </c>
    </row>
    <row r="25" spans="1:2">
      <c r="A25" s="144"/>
      <c r="B25" s="9" t="s">
        <v>25</v>
      </c>
    </row>
    <row r="27" spans="1:2" ht="15.75">
      <c r="A27" s="4" t="s">
        <v>26</v>
      </c>
    </row>
    <row r="28" spans="1:2" ht="13.5" customHeight="1">
      <c r="A28" s="3" t="s">
        <v>27</v>
      </c>
      <c r="B28" s="10"/>
    </row>
    <row r="29" spans="1:2">
      <c r="A29" s="3" t="s">
        <v>28</v>
      </c>
      <c r="B29" s="11"/>
    </row>
    <row r="30" spans="1:2">
      <c r="A30" s="3" t="s">
        <v>29</v>
      </c>
      <c r="B30" s="12"/>
    </row>
    <row r="31" spans="1:2">
      <c r="A31" s="3" t="s">
        <v>30</v>
      </c>
      <c r="B31" s="13"/>
    </row>
  </sheetData>
  <sheetProtection sheet="1" objects="1" scenarios="1" formatColumns="0" formatRows="0"/>
  <mergeCells count="2">
    <mergeCell ref="A18:A22"/>
    <mergeCell ref="A23:A25"/>
  </mergeCell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0000"/>
    <pageSetUpPr fitToPage="1"/>
  </sheetPr>
  <dimension ref="A1:AZ60"/>
  <sheetViews>
    <sheetView showGridLines="0" tabSelected="1" topLeftCell="F7" zoomScale="55" zoomScaleNormal="55" zoomScaleSheetLayoutView="40" workbookViewId="0">
      <selection activeCell="F7" sqref="F1:V8"/>
    </sheetView>
  </sheetViews>
  <sheetFormatPr baseColWidth="10" defaultColWidth="11.42578125" defaultRowHeight="18" customHeight="1"/>
  <cols>
    <col min="1" max="1" width="9.140625" style="27" hidden="1" customWidth="1"/>
    <col min="2" max="2" width="19.5703125" style="28" hidden="1" customWidth="1"/>
    <col min="3" max="3" width="74.5703125" style="28" hidden="1" customWidth="1"/>
    <col min="4" max="5" width="6" style="28" hidden="1" customWidth="1"/>
    <col min="6" max="6" width="57.140625" style="34" customWidth="1"/>
    <col min="7" max="7" width="72.28515625" style="34" customWidth="1"/>
    <col min="8" max="8" width="6.42578125" style="27" customWidth="1"/>
    <col min="9" max="9" width="15.140625" style="27" customWidth="1"/>
    <col min="10" max="10" width="24.5703125" style="27" customWidth="1"/>
    <col min="11" max="11" width="29.7109375" style="27" customWidth="1"/>
    <col min="12" max="12" width="25.85546875" style="27" customWidth="1"/>
    <col min="13" max="13" width="2.7109375" style="33" customWidth="1"/>
    <col min="14" max="14" width="16" style="33" customWidth="1"/>
    <col min="15" max="15" width="12.85546875" style="40" customWidth="1"/>
    <col min="16" max="16" width="5.85546875" style="18" customWidth="1"/>
    <col min="17" max="17" width="15.140625" style="58" customWidth="1"/>
    <col min="18" max="18" width="3.7109375" style="58" customWidth="1"/>
    <col min="19" max="19" width="5.85546875" style="62" customWidth="1"/>
    <col min="20" max="20" width="16" style="40" customWidth="1"/>
    <col min="21" max="21" width="12.85546875" style="40" customWidth="1"/>
    <col min="22" max="22" width="5.5703125" style="60" customWidth="1"/>
    <col min="23" max="23" width="5" style="17" customWidth="1"/>
    <col min="24" max="24" width="7.140625" style="17" customWidth="1"/>
    <col min="25" max="25" width="29.7109375" style="17" customWidth="1"/>
    <col min="26" max="26" width="25.7109375" style="17" hidden="1" customWidth="1"/>
    <col min="27" max="27" width="16.5703125" style="17" customWidth="1"/>
    <col min="28" max="28" width="25.42578125" style="17" customWidth="1"/>
    <col min="29" max="39" width="9" style="17" customWidth="1"/>
    <col min="40" max="41" width="10.140625" style="14" customWidth="1"/>
    <col min="42" max="51" width="6.5703125" style="14" customWidth="1"/>
    <col min="52" max="53" width="6.42578125" style="14" customWidth="1"/>
    <col min="54" max="16384" width="11.42578125" style="14"/>
  </cols>
  <sheetData>
    <row r="1" spans="1:52" ht="18" hidden="1" customHeight="1">
      <c r="F1" s="29"/>
      <c r="G1" s="30" t="s">
        <v>31</v>
      </c>
      <c r="I1" s="31" t="str">
        <f ca="1">I19</f>
        <v>Actual</v>
      </c>
      <c r="J1" s="32" t="str">
        <f ca="1">J19</f>
        <v>Budget V current</v>
      </c>
      <c r="K1" s="32" t="str">
        <f ca="1">K19</f>
        <v>Forecast 2 V current</v>
      </c>
      <c r="L1" s="31" t="s">
        <v>32</v>
      </c>
      <c r="N1" s="31" t="s">
        <v>33</v>
      </c>
      <c r="O1" s="31" t="s">
        <v>34</v>
      </c>
      <c r="P1" s="16"/>
      <c r="Q1" s="31" t="s">
        <v>35</v>
      </c>
      <c r="R1" s="31" t="s">
        <v>36</v>
      </c>
      <c r="S1" s="61"/>
      <c r="T1" s="31" t="s">
        <v>37</v>
      </c>
      <c r="U1" s="31" t="s">
        <v>38</v>
      </c>
      <c r="V1" s="61"/>
    </row>
    <row r="2" spans="1:52" ht="18" hidden="1" customHeight="1">
      <c r="G2" s="35" t="s">
        <v>39</v>
      </c>
      <c r="H2" s="36" t="str">
        <f ca="1">_xll.SUBNM(Server&amp;"Period","",#REF!,"")</f>
        <v/>
      </c>
      <c r="I2" s="37" t="str">
        <f ca="1">_xll.DBRA(Server&amp;$G$2,I18,"Prior Year")</f>
        <v>2019.02_YTD</v>
      </c>
      <c r="J2" s="38" t="str">
        <f ca="1">SUBSTITUTE(ActualBudget,"_TOT","_VC")</f>
        <v>BUDG_VC</v>
      </c>
      <c r="K2" s="39"/>
      <c r="L2" s="39"/>
      <c r="P2" s="15"/>
      <c r="Q2" s="33"/>
      <c r="R2" s="33"/>
      <c r="S2" s="60"/>
    </row>
    <row r="3" spans="1:52" ht="18" hidden="1" customHeight="1">
      <c r="G3" s="41" t="s">
        <v>40</v>
      </c>
      <c r="H3" s="42"/>
      <c r="J3" s="38"/>
      <c r="K3" s="39"/>
      <c r="L3" s="39"/>
      <c r="P3" s="15"/>
      <c r="Q3" s="33"/>
      <c r="R3" s="33"/>
      <c r="S3" s="60"/>
    </row>
    <row r="4" spans="1:52" ht="18" hidden="1" customHeight="1">
      <c r="H4" s="43"/>
      <c r="J4" s="38"/>
      <c r="K4" s="39"/>
      <c r="L4" s="44"/>
    </row>
    <row r="5" spans="1:52" ht="18" hidden="1" customHeight="1">
      <c r="G5" s="45"/>
      <c r="H5" s="42"/>
      <c r="I5" s="46"/>
      <c r="J5" s="38"/>
      <c r="K5" s="46"/>
      <c r="L5" s="46"/>
      <c r="M5" s="46"/>
      <c r="N5" s="46"/>
      <c r="O5" s="46"/>
      <c r="P5" s="19"/>
      <c r="Q5" s="46"/>
      <c r="R5" s="46"/>
      <c r="S5" s="63"/>
      <c r="T5" s="46"/>
      <c r="U5" s="46"/>
    </row>
    <row r="6" spans="1:52" ht="18" hidden="1" customHeight="1">
      <c r="G6" s="47"/>
    </row>
    <row r="7" spans="1:52" ht="51" customHeight="1">
      <c r="C7" s="28" t="s">
        <v>71</v>
      </c>
      <c r="E7" s="116"/>
      <c r="F7" s="145" t="str">
        <f ca="1">_xll.DBRA(Server&amp;$Z$15,$C$7,$G$17)&amp;" - "&amp;G11&amp;" - "&amp;G12&amp;" - "&amp;G13</f>
        <v>Produit des Activités Ordinaires - TRANSDEV All - TRANSDEV All - Total Activités</v>
      </c>
      <c r="G7" s="145"/>
      <c r="H7" s="145"/>
      <c r="I7" s="145"/>
      <c r="J7" s="145"/>
      <c r="K7" s="145"/>
      <c r="L7" s="145"/>
      <c r="M7" s="145"/>
      <c r="N7" s="145"/>
      <c r="O7" s="145"/>
      <c r="P7" s="145"/>
      <c r="Q7" s="145"/>
      <c r="R7" s="145"/>
      <c r="S7" s="145"/>
      <c r="T7" s="145"/>
      <c r="U7" s="145"/>
      <c r="V7" s="145"/>
      <c r="W7" s="69"/>
    </row>
    <row r="8" spans="1:52" ht="18" customHeight="1">
      <c r="D8" s="116"/>
      <c r="E8" s="116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69"/>
    </row>
    <row r="9" spans="1:52" ht="18" customHeight="1">
      <c r="F9" s="27"/>
      <c r="G9" s="47"/>
      <c r="H9" s="47"/>
      <c r="I9" s="48"/>
      <c r="J9" s="48"/>
      <c r="K9" s="48"/>
      <c r="L9" s="48"/>
      <c r="M9" s="48"/>
      <c r="N9" s="48"/>
      <c r="O9" s="48"/>
      <c r="P9" s="20"/>
      <c r="Q9" s="48"/>
      <c r="R9" s="48"/>
      <c r="S9" s="64"/>
      <c r="T9" s="48"/>
      <c r="U9" s="48"/>
      <c r="V9" s="64"/>
      <c r="W9" s="20"/>
    </row>
    <row r="10" spans="1:52" ht="23.25" customHeight="1">
      <c r="F10" s="49" t="str">
        <f ca="1">_xll.DBRA(Server&amp;$Z$15,$Z16,$G$17)</f>
        <v>Sélection du contexte</v>
      </c>
      <c r="H10" s="47"/>
      <c r="I10" s="48"/>
      <c r="J10" s="48"/>
      <c r="K10" s="48"/>
      <c r="L10" s="48"/>
      <c r="M10" s="48"/>
      <c r="N10" s="48"/>
      <c r="O10" s="48"/>
      <c r="P10" s="20"/>
      <c r="Q10" s="48"/>
      <c r="R10" s="48"/>
      <c r="S10" s="64"/>
      <c r="T10" s="48"/>
      <c r="U10" s="48"/>
      <c r="V10" s="64"/>
      <c r="W10" s="20"/>
    </row>
    <row r="11" spans="1:52" s="26" customFormat="1" ht="17.25" customHeight="1">
      <c r="A11" s="80"/>
      <c r="B11" s="81"/>
      <c r="C11" s="81"/>
      <c r="D11" s="81"/>
      <c r="E11" s="81"/>
      <c r="F11" s="82" t="s">
        <v>52</v>
      </c>
      <c r="G11" s="65" t="str">
        <f ca="1">_xll.SUBNM(Server&amp;"Legal_Organization","default",_xll.DBR(Server&amp;"z_Client_Properties","Default_Legal_Organization",_xll.TM1USER(xServer)),G17)</f>
        <v>TRANSDEV All</v>
      </c>
      <c r="H11" s="83"/>
      <c r="I11" s="84"/>
      <c r="J11" s="80"/>
      <c r="K11" s="80"/>
      <c r="L11" s="80"/>
      <c r="M11" s="67"/>
      <c r="N11" s="67"/>
      <c r="O11" s="67"/>
      <c r="P11" s="85"/>
      <c r="Q11" s="86"/>
      <c r="R11" s="86"/>
      <c r="S11" s="85"/>
      <c r="T11" s="67"/>
      <c r="U11" s="6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87"/>
      <c r="AH11" s="87"/>
      <c r="AI11" s="87"/>
      <c r="AJ11" s="87"/>
      <c r="AK11" s="87"/>
      <c r="AL11" s="87"/>
      <c r="AM11" s="87"/>
    </row>
    <row r="12" spans="1:52" s="26" customFormat="1" ht="17.25" customHeight="1">
      <c r="A12" s="80"/>
      <c r="B12" s="81"/>
      <c r="C12" s="81"/>
      <c r="D12" s="81"/>
      <c r="E12" s="81"/>
      <c r="F12" s="82" t="s">
        <v>43</v>
      </c>
      <c r="G12" s="65" t="str">
        <f ca="1">_xll.SUBNM(Server&amp;"Management_Organization","default",_xll.DBR(Server&amp;"z_Client_Properties","Default_Management_Organization",_xll.TM1USER(xServer)),G17)</f>
        <v>TRANSDEV All</v>
      </c>
      <c r="H12" s="83"/>
      <c r="I12" s="84"/>
      <c r="J12" s="84"/>
      <c r="K12" s="84"/>
      <c r="L12" s="80"/>
      <c r="M12" s="67"/>
      <c r="N12" s="67"/>
      <c r="O12" s="67"/>
      <c r="P12" s="85"/>
      <c r="Q12" s="86"/>
      <c r="R12" s="86"/>
      <c r="S12" s="85"/>
      <c r="T12" s="67"/>
      <c r="U12" s="6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7"/>
      <c r="AI12" s="87"/>
      <c r="AJ12" s="87"/>
      <c r="AK12" s="87"/>
      <c r="AL12" s="87"/>
      <c r="AM12" s="87"/>
    </row>
    <row r="13" spans="1:52" s="26" customFormat="1" ht="17.25" customHeight="1">
      <c r="A13" s="80"/>
      <c r="B13" s="81"/>
      <c r="C13" s="73"/>
      <c r="D13" s="81"/>
      <c r="E13" s="81"/>
      <c r="F13" s="82" t="s">
        <v>46</v>
      </c>
      <c r="G13" s="65" t="str">
        <f ca="1">_xll.SUBNM(Server&amp;"Activity","default","Tot_act",G17)</f>
        <v>Total Activités</v>
      </c>
      <c r="H13" s="80"/>
      <c r="I13" s="84"/>
      <c r="J13" s="84"/>
      <c r="K13" s="84"/>
      <c r="L13" s="80"/>
      <c r="M13" s="67"/>
      <c r="N13" s="67"/>
      <c r="O13" s="67"/>
      <c r="P13" s="85"/>
      <c r="Q13" s="86"/>
      <c r="R13" s="86"/>
      <c r="S13" s="85"/>
      <c r="T13" s="67"/>
      <c r="U13" s="6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7"/>
      <c r="AI13" s="87"/>
      <c r="AJ13" s="87"/>
      <c r="AK13" s="87"/>
      <c r="AL13" s="87"/>
      <c r="AM13" s="87"/>
    </row>
    <row r="14" spans="1:52" s="26" customFormat="1" ht="17.25" customHeight="1">
      <c r="A14" s="80"/>
      <c r="B14" s="81"/>
      <c r="C14" s="73"/>
      <c r="D14" s="81"/>
      <c r="E14" s="88"/>
      <c r="F14" s="82" t="s">
        <v>47</v>
      </c>
      <c r="G14" s="65" t="str">
        <f ca="1">_xll.SUBNM(Server&amp;"Currency","default","KEUR",G17)</f>
        <v>K€</v>
      </c>
      <c r="H14" s="80"/>
      <c r="I14" s="84"/>
      <c r="J14" s="84"/>
      <c r="K14" s="84"/>
      <c r="L14" s="80"/>
      <c r="M14" s="67"/>
      <c r="N14" s="67"/>
      <c r="O14" s="67"/>
      <c r="P14" s="85"/>
      <c r="Q14" s="86"/>
      <c r="R14" s="86"/>
      <c r="S14" s="85"/>
      <c r="T14" s="67"/>
      <c r="U14" s="6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7"/>
      <c r="AM14" s="87"/>
    </row>
    <row r="15" spans="1:52" s="26" customFormat="1" ht="17.25" customHeight="1">
      <c r="A15" s="80"/>
      <c r="B15" s="81"/>
      <c r="C15" s="73"/>
      <c r="D15" s="89"/>
      <c r="E15" s="90"/>
      <c r="F15" s="82" t="s">
        <v>48</v>
      </c>
      <c r="G15" s="65" t="str">
        <f ca="1">_xll.SUBNM(Server&amp;"Gaap","default","Total_conso_wo_opt_dis")</f>
        <v>Total_conso_wo_opt_dis</v>
      </c>
      <c r="H15" s="91"/>
      <c r="I15" s="80"/>
      <c r="J15" s="80"/>
      <c r="K15" s="80"/>
      <c r="L15" s="80"/>
      <c r="M15" s="67"/>
      <c r="N15" s="67"/>
      <c r="O15" s="67"/>
      <c r="P15" s="85"/>
      <c r="Q15" s="86"/>
      <c r="R15" s="86"/>
      <c r="S15" s="85"/>
      <c r="T15" s="67"/>
      <c r="U15" s="67"/>
      <c r="V15" s="87"/>
      <c r="W15" s="92"/>
      <c r="X15" s="87"/>
      <c r="Y15" s="87"/>
      <c r="Z15" s="93" t="s">
        <v>41</v>
      </c>
      <c r="AA15" s="87"/>
      <c r="AB15" s="87"/>
      <c r="AC15" s="87"/>
      <c r="AD15" s="87"/>
      <c r="AE15" s="87"/>
      <c r="AF15" s="87"/>
      <c r="AG15" s="87"/>
      <c r="AH15" s="87"/>
      <c r="AI15" s="87"/>
      <c r="AJ15" s="87"/>
      <c r="AK15" s="87"/>
      <c r="AL15" s="87"/>
      <c r="AM15" s="87"/>
      <c r="AN15" s="94"/>
      <c r="AO15" s="94"/>
      <c r="AP15" s="94"/>
      <c r="AQ15" s="94"/>
      <c r="AR15" s="94"/>
      <c r="AS15" s="94"/>
      <c r="AT15" s="94"/>
      <c r="AU15" s="94"/>
      <c r="AV15" s="94"/>
      <c r="AW15" s="94"/>
      <c r="AX15" s="94"/>
      <c r="AY15" s="94"/>
      <c r="AZ15" s="94"/>
    </row>
    <row r="16" spans="1:52" s="98" customFormat="1" ht="17.25" customHeight="1">
      <c r="A16" s="95"/>
      <c r="B16" s="81"/>
      <c r="C16" s="73"/>
      <c r="D16" s="96"/>
      <c r="E16" s="89"/>
      <c r="F16" s="82" t="s">
        <v>53</v>
      </c>
      <c r="G16" s="65" t="str">
        <f ca="1">_xll.SUBNM(Server&amp;"Integration_Rate","default","APP")</f>
        <v>APP</v>
      </c>
      <c r="H16" s="97"/>
      <c r="O16" s="107"/>
      <c r="W16" s="92"/>
      <c r="X16" s="87"/>
      <c r="Z16" s="99" t="s">
        <v>42</v>
      </c>
      <c r="AL16" s="87"/>
      <c r="AM16" s="87"/>
    </row>
    <row r="17" spans="1:39" s="106" customFormat="1" ht="17.25" customHeight="1">
      <c r="A17" s="100"/>
      <c r="B17" s="101"/>
      <c r="C17" s="73"/>
      <c r="D17" s="100"/>
      <c r="E17" s="102"/>
      <c r="F17" s="103" t="s">
        <v>44</v>
      </c>
      <c r="G17" s="143" t="str">
        <f ca="1">LocalLanguage</f>
        <v>French</v>
      </c>
      <c r="H17" s="104"/>
      <c r="I17" s="95"/>
      <c r="J17" s="95"/>
      <c r="K17" s="95"/>
      <c r="L17" s="95"/>
      <c r="M17" s="95"/>
      <c r="N17" s="95"/>
      <c r="O17" s="95"/>
      <c r="P17" s="98"/>
      <c r="Q17" s="95"/>
      <c r="R17" s="95"/>
      <c r="S17" s="98"/>
      <c r="T17" s="95"/>
      <c r="U17" s="95"/>
      <c r="V17" s="98"/>
      <c r="W17" s="92"/>
      <c r="X17" s="105"/>
      <c r="Y17" s="105"/>
      <c r="Z17" s="17"/>
      <c r="AA17" s="105"/>
      <c r="AB17" s="105"/>
      <c r="AC17" s="105"/>
      <c r="AD17" s="105"/>
      <c r="AE17" s="105"/>
      <c r="AF17" s="105"/>
      <c r="AG17" s="105"/>
      <c r="AH17" s="105"/>
      <c r="AI17" s="105"/>
      <c r="AJ17" s="105"/>
      <c r="AK17" s="105"/>
      <c r="AL17" s="105"/>
      <c r="AM17" s="105"/>
    </row>
    <row r="18" spans="1:39" s="77" customFormat="1" ht="40.5" customHeight="1" thickBot="1">
      <c r="A18" s="70"/>
      <c r="B18" s="71"/>
      <c r="C18" s="73"/>
      <c r="D18" s="70"/>
      <c r="E18" s="73"/>
      <c r="F18" s="70"/>
      <c r="H18" s="51"/>
      <c r="I18" s="74" t="str">
        <f ca="1">_xll.SUBNM(Server&amp;$G$2,"default",ActualMonth&amp;"_YTD","English")</f>
        <v>February 2020 YTD</v>
      </c>
      <c r="J18" s="74" t="str">
        <f ca="1">_xll.SUBNM(Server&amp;$G$2,"default",I18,"English")</f>
        <v>February 2020 YTD</v>
      </c>
      <c r="K18" s="74" t="str">
        <f ca="1">_xll.SUBNM(Server&amp;$G$2,"default",I18,"English")</f>
        <v>February 2020 YTD</v>
      </c>
      <c r="L18" s="75" t="str">
        <f ca="1">_xll.SUBNM(Server&amp;$G$2,"default",PriorYear,"English")</f>
        <v>February 2019 YTD</v>
      </c>
      <c r="M18" s="78"/>
      <c r="N18" s="152" t="s">
        <v>90</v>
      </c>
      <c r="O18" s="152"/>
      <c r="P18" s="152"/>
      <c r="Q18" s="152"/>
      <c r="R18" s="152"/>
      <c r="S18" s="152"/>
      <c r="T18" s="152"/>
      <c r="U18" s="152"/>
      <c r="V18" s="152"/>
      <c r="W18" s="21"/>
      <c r="X18" s="76"/>
      <c r="Y18" s="76"/>
      <c r="Z18" s="17"/>
      <c r="AA18" s="76"/>
      <c r="AB18" s="76"/>
      <c r="AC18" s="76"/>
      <c r="AD18" s="76"/>
      <c r="AE18" s="76"/>
      <c r="AF18" s="76"/>
      <c r="AG18" s="76"/>
      <c r="AH18" s="76"/>
      <c r="AI18" s="76"/>
      <c r="AJ18" s="76"/>
      <c r="AK18" s="76"/>
      <c r="AL18" s="76"/>
      <c r="AM18" s="76"/>
    </row>
    <row r="19" spans="1:39" s="77" customFormat="1" ht="40.5" customHeight="1" thickBot="1">
      <c r="A19" s="70"/>
      <c r="B19" s="71"/>
      <c r="C19" s="72"/>
      <c r="D19" s="73"/>
      <c r="E19" s="73"/>
      <c r="F19" s="79" t="str">
        <f ca="1">G15</f>
        <v>Total_conso_wo_opt_dis</v>
      </c>
      <c r="G19" s="79" t="str">
        <f ca="1">G14</f>
        <v>K€</v>
      </c>
      <c r="H19" s="51"/>
      <c r="I19" s="74" t="str">
        <f ca="1">_xll.SUBNM(Server&amp;$G$1,"default","ACT_TOT","English")</f>
        <v>Actual</v>
      </c>
      <c r="J19" s="74" t="str">
        <f ca="1">_xll.SUBNM(Server&amp;$G$1,"default",SUBSTITUTE(ActualBudget,"_TOT","_VC_TOT"),"English")</f>
        <v>Budget V current</v>
      </c>
      <c r="K19" s="74" t="str">
        <f ca="1">_xll.SUBNM(Server&amp;$G$1,"default",SUBSTITUTE(ActualForecast,"_TOT","_VC_TOT"),"English")</f>
        <v>Forecast 2 V current</v>
      </c>
      <c r="L19" s="75" t="str">
        <f ca="1">_xll.DBRA(Server&amp;$Z$15,"Prior_year",$G$17)</f>
        <v>Année précédente</v>
      </c>
      <c r="M19" s="68"/>
      <c r="N19" s="149" t="str">
        <f ca="1">$I19&amp;" vs "&amp;J19</f>
        <v>Actual vs Budget V current</v>
      </c>
      <c r="O19" s="150"/>
      <c r="P19" s="151"/>
      <c r="Q19" s="149" t="str">
        <f ca="1">$I19&amp;" vs "&amp;K19</f>
        <v>Actual vs Forecast 2 V current</v>
      </c>
      <c r="R19" s="150"/>
      <c r="S19" s="151" t="str">
        <f ca="1">_xll.DBRA(Server&amp;$Z$15,$Z32,$G$17)</f>
        <v/>
      </c>
      <c r="T19" s="149" t="str">
        <f ca="1">$I19&amp;" vs "&amp;L19</f>
        <v>Actual vs Année précédente</v>
      </c>
      <c r="U19" s="150"/>
      <c r="V19" s="151" t="str">
        <f ca="1">_xll.DBRA(Server&amp;$Z$15,$Z32,$G$17)</f>
        <v/>
      </c>
      <c r="W19" s="21"/>
      <c r="X19" s="76"/>
      <c r="Y19" s="76"/>
      <c r="Z19" s="17"/>
      <c r="AA19" s="76"/>
      <c r="AB19" s="76"/>
      <c r="AC19" s="76"/>
      <c r="AD19" s="76"/>
      <c r="AE19" s="76"/>
      <c r="AF19" s="76"/>
      <c r="AG19" s="76"/>
      <c r="AH19" s="76"/>
      <c r="AI19" s="76"/>
      <c r="AJ19" s="76"/>
      <c r="AK19" s="76"/>
      <c r="AL19" s="76"/>
      <c r="AM19" s="76"/>
    </row>
    <row r="20" spans="1:39" s="22" customFormat="1" ht="15.75" customHeight="1">
      <c r="A20" s="50"/>
      <c r="B20" s="115" t="s">
        <v>45</v>
      </c>
      <c r="C20" s="52" t="s">
        <v>45</v>
      </c>
      <c r="D20" s="73"/>
      <c r="E20" s="73"/>
      <c r="F20" s="50"/>
      <c r="H20" s="51"/>
      <c r="I20" s="54"/>
      <c r="J20" s="54"/>
      <c r="K20" s="54"/>
      <c r="L20" s="54"/>
      <c r="M20" s="53"/>
      <c r="N20" s="54"/>
      <c r="O20" s="55"/>
      <c r="P20" s="21"/>
      <c r="Q20" s="59"/>
      <c r="R20" s="59"/>
      <c r="S20" s="21"/>
      <c r="T20" s="54"/>
      <c r="U20" s="55"/>
      <c r="V20" s="21"/>
      <c r="W20" s="21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</row>
    <row r="21" spans="1:39" s="23" customFormat="1" ht="22.5" customHeight="1">
      <c r="A21" s="56"/>
      <c r="B21" s="122" t="s">
        <v>70</v>
      </c>
      <c r="C21" s="56" t="str">
        <f ca="1">_xll.DBRA(Server&amp;$C$20,$B21,$G$17)</f>
        <v>PRODUIT DES ACTIVITES ORDINAIRES (par destination)</v>
      </c>
      <c r="D21" s="73"/>
      <c r="E21" s="73"/>
      <c r="F21" s="146" t="str">
        <f ca="1">_xll.DBRA(Server&amp;$C$20,$B21,$G$17)</f>
        <v>PRODUIT DES ACTIVITES ORDINAIRES (par destination)</v>
      </c>
      <c r="G21" s="146"/>
      <c r="H21" s="66"/>
      <c r="I21" s="130">
        <f ca="1">_xll.DBRW(Server&amp;Cube1,$G$13,$G$14,$G$15,$G$16,$G$11,$G$12,I$18,I$1,$B21)</f>
        <v>1251033.1639970001</v>
      </c>
      <c r="J21" s="130">
        <f ca="1">_xll.DBRW(Server&amp;Cube1,$G$13,$G$14,$G$15,$G$16,$G$11,$G$12,J$18,J$1,$B21)</f>
        <v>1226192.0118720001</v>
      </c>
      <c r="K21" s="130">
        <f ca="1">_xll.DBRW(Server&amp;Cube1,$G$13,$G$14,$G$15,$G$16,$G$11,$G$12,K$18,K$1,$B21)</f>
        <v>0</v>
      </c>
      <c r="L21" s="130">
        <f ca="1">_xll.DBRW(Server&amp;Cube1,$G$13,$G$14,$G$15,$G$16,$G$11,$G$12,L$18,L$1,$B21)</f>
        <v>1151757.5894689995</v>
      </c>
      <c r="M21" s="57"/>
      <c r="N21" s="130">
        <f ca="1">IF(OR($I21="",J21=""),"-",IFERROR(($I21-J21),""))</f>
        <v>24841.152125000022</v>
      </c>
      <c r="O21" s="131">
        <f ca="1">IF(OR($J21=0,N21=0),"-",IF(ABS(N21/$J21)&gt;2,"-",N21/$J21))</f>
        <v>2.025877830265391E-2</v>
      </c>
      <c r="P21" s="132" t="str">
        <f ca="1">IF(OR(AND(O21&gt;0.01,N21&lt;0),AND(O21&lt;-0.01,N21&lt;0)),"î",IF(OR(AND(O21&lt;-0.01,N21&gt;0),AND(O21&gt;0.01,N21&gt;0)),"ì","è"))</f>
        <v>ì</v>
      </c>
      <c r="Q21" s="130">
        <f ca="1">IF(OR($I21="",K21=""),"-",IFERROR(($I21-K21),""))</f>
        <v>1251033.1639970001</v>
      </c>
      <c r="R21" s="131" t="str">
        <f ca="1">IF(OR($K21=0,Q21=0),"-",IF(ABS(Q21/$K21)&gt;2,"-",Q21/$K21))</f>
        <v>-</v>
      </c>
      <c r="S21" s="132" t="str">
        <f ca="1">IF(OR(AND(R21&gt;0.01,Q21&lt;0),AND(R21&lt;-0.01,Q21&lt;0)),"î",IF(OR(AND(R21&lt;-0.01,Q21&gt;0),AND(R21&gt;0.01,Q21&gt;0)),"ì","è"))</f>
        <v>ì</v>
      </c>
      <c r="T21" s="130">
        <f ca="1">IF(OR($I21="",L21=""),"-",IFERROR(($I21-L21),""))</f>
        <v>99275.57452800055</v>
      </c>
      <c r="U21" s="131">
        <f ca="1">IF(OR($L21=0,T21=0),"-",IF(ABS(T21/$L21)&gt;2,"-",T21/$L21))</f>
        <v>8.619485162131213E-2</v>
      </c>
      <c r="V21" s="132" t="str">
        <f ca="1">IF(OR(AND(U21&gt;0.01,T21&lt;0),AND(U21&lt;-0.01,T21&lt;0)),"î",IF(OR(AND(U21&lt;-0.01,T21&gt;0),AND(U21&gt;0.01,T21&gt;0)),"ì","è"))</f>
        <v>ì</v>
      </c>
      <c r="W21" s="24"/>
      <c r="X21" s="25"/>
      <c r="Y21" s="25"/>
      <c r="Z21" s="17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</row>
    <row r="22" spans="1:39" s="129" customFormat="1" ht="22.5" customHeight="1">
      <c r="A22" s="123"/>
      <c r="B22" s="124"/>
      <c r="C22" s="123"/>
      <c r="D22" s="125"/>
      <c r="E22" s="125"/>
      <c r="F22" s="134"/>
      <c r="G22" s="134"/>
      <c r="H22" s="126"/>
      <c r="I22" s="135"/>
      <c r="J22" s="135"/>
      <c r="K22" s="135"/>
      <c r="L22" s="135"/>
      <c r="M22" s="111"/>
      <c r="N22" s="135"/>
      <c r="O22" s="136"/>
      <c r="P22" s="113"/>
      <c r="Q22" s="135"/>
      <c r="R22" s="136"/>
      <c r="S22" s="113"/>
      <c r="T22" s="135"/>
      <c r="U22" s="136"/>
      <c r="V22" s="120"/>
      <c r="W22" s="127"/>
      <c r="X22" s="128"/>
      <c r="Y22" s="128"/>
      <c r="Z22" s="108"/>
      <c r="AA22" s="128"/>
      <c r="AB22" s="128"/>
      <c r="AC22" s="128"/>
      <c r="AD22" s="128"/>
      <c r="AE22" s="128"/>
      <c r="AF22" s="128"/>
      <c r="AG22" s="128"/>
      <c r="AH22" s="128"/>
      <c r="AI22" s="128"/>
      <c r="AJ22" s="128"/>
      <c r="AK22" s="128"/>
      <c r="AL22" s="128"/>
      <c r="AM22" s="128"/>
    </row>
    <row r="23" spans="1:39" ht="22.5" customHeight="1">
      <c r="B23" s="121" t="s">
        <v>68</v>
      </c>
      <c r="C23" s="56" t="str">
        <f ca="1">_xll.DBRA(Server&amp;$C$20,$B23,$G$17)</f>
        <v>Revenus supplémentaires</v>
      </c>
      <c r="D23" s="73"/>
      <c r="E23" s="73"/>
      <c r="F23" s="153" t="str">
        <f ca="1">_xll.DBRA(Server&amp;$C$20,$B23,$G$17)</f>
        <v>Revenus supplémentaires</v>
      </c>
      <c r="G23" s="153"/>
      <c r="H23" s="66"/>
      <c r="I23" s="137">
        <f ca="1">_xll.DBRW(Server&amp;Cube1,$G$13,$G$14,$G$15,$G$16,$G$11,$G$12,I$18,I$1,$B23)</f>
        <v>580.56131485008552</v>
      </c>
      <c r="J23" s="137">
        <f ca="1">_xll.DBRW(Server&amp;Cube1,$G$13,$G$14,$G$15,$G$16,$G$11,$G$12,J$18,J$1,$B23)</f>
        <v>645.98382173194909</v>
      </c>
      <c r="K23" s="137">
        <f ca="1">_xll.DBRW(Server&amp;Cube1,$G$13,$G$14,$G$15,$G$16,$G$11,$G$12,K$18,K$1,$B23)</f>
        <v>0</v>
      </c>
      <c r="L23" s="137">
        <f ca="1">_xll.DBRW(Server&amp;Cube1,$G$13,$G$14,$G$15,$G$16,$G$11,$G$12,L$18,L$1,$B23)</f>
        <v>688.99163946803219</v>
      </c>
      <c r="M23" s="57"/>
      <c r="N23" s="137">
        <f t="shared" ref="N23:N60" ca="1" si="0">IF(OR($I23="",J23=""),"-",IFERROR(($I23-J23),""))</f>
        <v>-65.422506881863569</v>
      </c>
      <c r="O23" s="138">
        <f t="shared" ref="O23:O60" ca="1" si="1">IF(OR($J23=0,N23=0),"-",IF(ABS(N23/$J23)&gt;2,"-",N23/$J23))</f>
        <v>-0.10127576679313594</v>
      </c>
      <c r="P23" s="139" t="str">
        <f ca="1">IF(OR(AND(O23&gt;0.01,N23&lt;0),AND(O23&lt;-0.01,N23&lt;0)),"î",IF(OR(AND(O23&lt;-0.01,N23&gt;0),AND(O23&gt;0.01,N23&gt;0)),"ì","è"))</f>
        <v>î</v>
      </c>
      <c r="Q23" s="137">
        <f t="shared" ref="Q23:Q60" ca="1" si="2">IF(OR($I23="",K23=""),"-",IFERROR(($I23-K23),""))</f>
        <v>580.56131485008552</v>
      </c>
      <c r="R23" s="138" t="str">
        <f t="shared" ref="R23:R60" ca="1" si="3">IF(OR($K23=0,Q23=0),"-",IF(ABS(Q23/$K23)&gt;2,"-",Q23/$K23))</f>
        <v>-</v>
      </c>
      <c r="S23" s="139" t="str">
        <f t="shared" ref="S23:S29" ca="1" si="4">IF(OR(AND(R23&gt;0.01,Q23&lt;0),AND(R23&lt;-0.01,Q23&lt;0)),"î",IF(OR(AND(R23&lt;-0.01,Q23&gt;0),AND(R23&gt;0.01,Q23&gt;0)),"ì","è"))</f>
        <v>ì</v>
      </c>
      <c r="T23" s="137">
        <f t="shared" ref="T23:T60" ca="1" si="5">IF(OR($I23="",L23=""),"-",IFERROR(($I23-L23),""))</f>
        <v>-108.43032461794667</v>
      </c>
      <c r="U23" s="138">
        <f t="shared" ref="U23:U60" ca="1" si="6">IF(OR($L23=0,T23=0),"-",IF(ABS(T23/$L23)&gt;2,"-",T23/$L23))</f>
        <v>-0.15737538513771415</v>
      </c>
      <c r="V23" s="140" t="str">
        <f t="shared" ref="V23:V29" ca="1" si="7">IF(OR(AND(U23&gt;0.01,T23&lt;0),AND(U23&lt;-0.01,T23&lt;0)),"î",IF(OR(AND(U23&lt;-0.01,T23&gt;0),AND(U23&gt;0.01,T23&gt;0)),"ì","è"))</f>
        <v>î</v>
      </c>
      <c r="W23" s="108"/>
      <c r="X23" s="108"/>
      <c r="Y23" s="108"/>
      <c r="Z23" s="108"/>
      <c r="AA23" s="108"/>
      <c r="AB23" s="108"/>
      <c r="AC23" s="108"/>
    </row>
    <row r="24" spans="1:39" ht="22.5" customHeight="1">
      <c r="B24" s="117" t="s">
        <v>74</v>
      </c>
      <c r="C24" s="56" t="str">
        <f ca="1">_xll.DBRA(Server&amp;$C$20,$B24,$G$17)</f>
        <v>Revenus comptabilisés à l’avancement autre qu’IFRIC 12 et IFRIC 4</v>
      </c>
      <c r="D24" s="73"/>
      <c r="E24" s="73"/>
      <c r="F24" s="148" t="str">
        <f ca="1">_xll.DBRA(Server&amp;$C$20,$B24,$G$17)</f>
        <v>Revenus comptabilisés à l’avancement autre qu’IFRIC 12 et IFRIC 4</v>
      </c>
      <c r="G24" s="148"/>
      <c r="H24" s="109"/>
      <c r="I24" s="110">
        <f ca="1">_xll.DBRW(Server&amp;Cube1,$G$13,$G$14,$G$15,$G$16,$G$11,$G$12,I$18,I$1,$B24)</f>
        <v>0</v>
      </c>
      <c r="J24" s="110">
        <f ca="1">_xll.DBRW(Server&amp;Cube1,$G$13,$G$14,$G$15,$G$16,$G$11,$G$12,J$18,J$1,$B24)</f>
        <v>0</v>
      </c>
      <c r="K24" s="110">
        <f ca="1">_xll.DBRW(Server&amp;Cube1,$G$13,$G$14,$G$15,$G$16,$G$11,$G$12,K$18,K$1,$B24)</f>
        <v>0</v>
      </c>
      <c r="L24" s="110">
        <f ca="1">_xll.DBRW(Server&amp;Cube1,$G$13,$G$14,$G$15,$G$16,$G$11,$G$12,L$18,L$1,$B24)</f>
        <v>0</v>
      </c>
      <c r="M24" s="111"/>
      <c r="N24" s="110">
        <f t="shared" ca="1" si="0"/>
        <v>0</v>
      </c>
      <c r="O24" s="112" t="str">
        <f t="shared" ca="1" si="1"/>
        <v>-</v>
      </c>
      <c r="P24" s="113" t="str">
        <f t="shared" ref="P24:P58" ca="1" si="8">IF(OR(AND(O24&gt;0.01,N24&lt;0),AND(O24&lt;-0.01,N24&lt;0)),"î",IF(OR(AND(O24&lt;-0.01,N24&gt;0),AND(O24&gt;0.01,N24&gt;0)),"ì","è"))</f>
        <v>è</v>
      </c>
      <c r="Q24" s="110">
        <f t="shared" ca="1" si="2"/>
        <v>0</v>
      </c>
      <c r="R24" s="112" t="str">
        <f t="shared" ca="1" si="3"/>
        <v>-</v>
      </c>
      <c r="S24" s="113" t="str">
        <f t="shared" ca="1" si="4"/>
        <v>è</v>
      </c>
      <c r="T24" s="110">
        <f t="shared" ca="1" si="5"/>
        <v>0</v>
      </c>
      <c r="U24" s="112" t="str">
        <f t="shared" ca="1" si="6"/>
        <v>-</v>
      </c>
      <c r="V24" s="120" t="str">
        <f t="shared" ca="1" si="7"/>
        <v>è</v>
      </c>
      <c r="W24" s="108"/>
      <c r="X24" s="108"/>
      <c r="Y24" s="108"/>
      <c r="Z24" s="108"/>
      <c r="AA24" s="108"/>
      <c r="AB24" s="108"/>
      <c r="AC24" s="108"/>
    </row>
    <row r="25" spans="1:39" ht="22.5" customHeight="1">
      <c r="B25" s="117" t="s">
        <v>75</v>
      </c>
      <c r="C25" s="56" t="str">
        <f ca="1">_xll.DBRA(Server&amp;$C$20,$B25,$G$17)</f>
        <v>Revenus comptabilisés à l'avancement I12 créances financières (RA)</v>
      </c>
      <c r="D25" s="73"/>
      <c r="E25" s="73"/>
      <c r="F25" s="148" t="str">
        <f ca="1">_xll.DBRA(Server&amp;$C$20,$B25,$G$17)</f>
        <v>Revenus comptabilisés à l'avancement I12 créances financières (RA)</v>
      </c>
      <c r="G25" s="148"/>
      <c r="H25" s="109"/>
      <c r="I25" s="110">
        <f ca="1">_xll.DBRW(Server&amp;Cube1,$G$13,$G$14,$G$15,$G$16,$G$11,$G$12,I$18,I$1,$B25)</f>
        <v>0</v>
      </c>
      <c r="J25" s="110">
        <f ca="1">_xll.DBRW(Server&amp;Cube1,$G$13,$G$14,$G$15,$G$16,$G$11,$G$12,J$18,J$1,$B25)</f>
        <v>0</v>
      </c>
      <c r="K25" s="110">
        <f ca="1">_xll.DBRW(Server&amp;Cube1,$G$13,$G$14,$G$15,$G$16,$G$11,$G$12,K$18,K$1,$B25)</f>
        <v>0</v>
      </c>
      <c r="L25" s="110">
        <f ca="1">_xll.DBRW(Server&amp;Cube1,$G$13,$G$14,$G$15,$G$16,$G$11,$G$12,L$18,L$1,$B25)</f>
        <v>0</v>
      </c>
      <c r="M25" s="111"/>
      <c r="N25" s="110">
        <f t="shared" ca="1" si="0"/>
        <v>0</v>
      </c>
      <c r="O25" s="112" t="str">
        <f t="shared" ca="1" si="1"/>
        <v>-</v>
      </c>
      <c r="P25" s="113" t="str">
        <f t="shared" ca="1" si="8"/>
        <v>è</v>
      </c>
      <c r="Q25" s="110">
        <f t="shared" ca="1" si="2"/>
        <v>0</v>
      </c>
      <c r="R25" s="112" t="str">
        <f t="shared" ca="1" si="3"/>
        <v>-</v>
      </c>
      <c r="S25" s="113" t="str">
        <f t="shared" ca="1" si="4"/>
        <v>è</v>
      </c>
      <c r="T25" s="110">
        <f t="shared" ca="1" si="5"/>
        <v>0</v>
      </c>
      <c r="U25" s="112" t="str">
        <f t="shared" ca="1" si="6"/>
        <v>-</v>
      </c>
      <c r="V25" s="120" t="str">
        <f t="shared" ca="1" si="7"/>
        <v>è</v>
      </c>
      <c r="W25" s="108"/>
      <c r="X25" s="108"/>
      <c r="Y25" s="108"/>
      <c r="Z25" s="108"/>
      <c r="AA25" s="108"/>
      <c r="AB25" s="108"/>
      <c r="AC25" s="108"/>
    </row>
    <row r="26" spans="1:39" ht="22.5" customHeight="1">
      <c r="B26" s="117" t="s">
        <v>76</v>
      </c>
      <c r="C26" s="56" t="str">
        <f ca="1">_xll.DBRA(Server&amp;$C$20,$B26,$G$17)</f>
        <v>Revenus comptabilisés à l'avancement I12 actif incorporel (RA)</v>
      </c>
      <c r="D26" s="73"/>
      <c r="E26" s="73"/>
      <c r="F26" s="148" t="str">
        <f ca="1">_xll.DBRA(Server&amp;$C$20,$B26,$G$17)</f>
        <v>Revenus comptabilisés à l'avancement I12 actif incorporel (RA)</v>
      </c>
      <c r="G26" s="148"/>
      <c r="H26" s="109"/>
      <c r="I26" s="110">
        <f ca="1">_xll.DBRW(Server&amp;Cube1,$G$13,$G$14,$G$15,$G$16,$G$11,$G$12,I$18,I$1,$B26)</f>
        <v>0</v>
      </c>
      <c r="J26" s="110">
        <f ca="1">_xll.DBRW(Server&amp;Cube1,$G$13,$G$14,$G$15,$G$16,$G$11,$G$12,J$18,J$1,$B26)</f>
        <v>0</v>
      </c>
      <c r="K26" s="110">
        <f ca="1">_xll.DBRW(Server&amp;Cube1,$G$13,$G$14,$G$15,$G$16,$G$11,$G$12,K$18,K$1,$B26)</f>
        <v>0</v>
      </c>
      <c r="L26" s="110">
        <f ca="1">_xll.DBRW(Server&amp;Cube1,$G$13,$G$14,$G$15,$G$16,$G$11,$G$12,L$18,L$1,$B26)</f>
        <v>0</v>
      </c>
      <c r="M26" s="111"/>
      <c r="N26" s="110">
        <f t="shared" ca="1" si="0"/>
        <v>0</v>
      </c>
      <c r="O26" s="112" t="str">
        <f t="shared" ca="1" si="1"/>
        <v>-</v>
      </c>
      <c r="P26" s="113" t="str">
        <f t="shared" ca="1" si="8"/>
        <v>è</v>
      </c>
      <c r="Q26" s="110">
        <f t="shared" ca="1" si="2"/>
        <v>0</v>
      </c>
      <c r="R26" s="112" t="str">
        <f t="shared" ca="1" si="3"/>
        <v>-</v>
      </c>
      <c r="S26" s="113" t="str">
        <f t="shared" ca="1" si="4"/>
        <v>è</v>
      </c>
      <c r="T26" s="110">
        <f t="shared" ca="1" si="5"/>
        <v>0</v>
      </c>
      <c r="U26" s="112" t="str">
        <f t="shared" ca="1" si="6"/>
        <v>-</v>
      </c>
      <c r="V26" s="120" t="str">
        <f t="shared" ca="1" si="7"/>
        <v>è</v>
      </c>
      <c r="W26" s="108"/>
      <c r="X26" s="108"/>
      <c r="Y26" s="108"/>
      <c r="Z26" s="108"/>
      <c r="AA26" s="108"/>
      <c r="AB26" s="108"/>
      <c r="AC26" s="108"/>
    </row>
    <row r="27" spans="1:39" ht="22.5" customHeight="1">
      <c r="B27" s="117" t="s">
        <v>77</v>
      </c>
      <c r="C27" s="56" t="str">
        <f ca="1">_xll.DBRA(Server&amp;$C$20,$B27,$G$17)</f>
        <v>Revenus comptabilisés à l'avancement I4 (RA)</v>
      </c>
      <c r="D27" s="73"/>
      <c r="E27" s="73"/>
      <c r="F27" s="148" t="str">
        <f ca="1">_xll.DBRA(Server&amp;$C$20,$B27,$G$17)</f>
        <v>Revenus comptabilisés à l'avancement I4 (RA)</v>
      </c>
      <c r="G27" s="148"/>
      <c r="H27" s="109"/>
      <c r="I27" s="110">
        <f ca="1">_xll.DBRW(Server&amp;Cube1,$G$13,$G$14,$G$15,$G$16,$G$11,$G$12,I$18,I$1,$B27)</f>
        <v>0</v>
      </c>
      <c r="J27" s="110">
        <f ca="1">_xll.DBRW(Server&amp;Cube1,$G$13,$G$14,$G$15,$G$16,$G$11,$G$12,J$18,J$1,$B27)</f>
        <v>0</v>
      </c>
      <c r="K27" s="110">
        <f ca="1">_xll.DBRW(Server&amp;Cube1,$G$13,$G$14,$G$15,$G$16,$G$11,$G$12,K$18,K$1,$B27)</f>
        <v>0</v>
      </c>
      <c r="L27" s="110">
        <f ca="1">_xll.DBRW(Server&amp;Cube1,$G$13,$G$14,$G$15,$G$16,$G$11,$G$12,L$18,L$1,$B27)</f>
        <v>0</v>
      </c>
      <c r="M27" s="111"/>
      <c r="N27" s="110">
        <f t="shared" ca="1" si="0"/>
        <v>0</v>
      </c>
      <c r="O27" s="112" t="str">
        <f t="shared" ca="1" si="1"/>
        <v>-</v>
      </c>
      <c r="P27" s="113" t="str">
        <f t="shared" ca="1" si="8"/>
        <v>è</v>
      </c>
      <c r="Q27" s="110">
        <f t="shared" ca="1" si="2"/>
        <v>0</v>
      </c>
      <c r="R27" s="112" t="str">
        <f t="shared" ca="1" si="3"/>
        <v>-</v>
      </c>
      <c r="S27" s="113" t="str">
        <f t="shared" ca="1" si="4"/>
        <v>è</v>
      </c>
      <c r="T27" s="110">
        <f t="shared" ca="1" si="5"/>
        <v>0</v>
      </c>
      <c r="U27" s="112" t="str">
        <f t="shared" ca="1" si="6"/>
        <v>-</v>
      </c>
      <c r="V27" s="120" t="str">
        <f t="shared" ca="1" si="7"/>
        <v>è</v>
      </c>
      <c r="W27" s="108"/>
      <c r="X27" s="108"/>
      <c r="Y27" s="108"/>
      <c r="Z27" s="108"/>
      <c r="AA27" s="108"/>
      <c r="AB27" s="108"/>
      <c r="AC27" s="108"/>
    </row>
    <row r="28" spans="1:39" ht="22.5" customHeight="1">
      <c r="B28" s="117" t="s">
        <v>78</v>
      </c>
      <c r="C28" s="56" t="str">
        <f ca="1">_xll.DBRA(Server&amp;$C$20,$B28,$G$17)</f>
        <v>Revenus liés aux opérations de financement pour autrui - I12 (RA)</v>
      </c>
      <c r="D28" s="73"/>
      <c r="E28" s="73"/>
      <c r="F28" s="148" t="str">
        <f ca="1">_xll.DBRA(Server&amp;$C$20,$B28,$G$17)</f>
        <v>Revenus liés aux opérations de financement pour autrui - I12 (RA)</v>
      </c>
      <c r="G28" s="148"/>
      <c r="H28" s="109"/>
      <c r="I28" s="110">
        <f ca="1">_xll.DBRW(Server&amp;Cube1,$G$13,$G$14,$G$15,$G$16,$G$11,$G$12,I$18,I$1,$B28)</f>
        <v>568.89851527740234</v>
      </c>
      <c r="J28" s="110">
        <f ca="1">_xll.DBRW(Server&amp;Cube1,$G$13,$G$14,$G$15,$G$16,$G$11,$G$12,J$18,J$1,$B28)</f>
        <v>633.49068711656446</v>
      </c>
      <c r="K28" s="110">
        <f ca="1">_xll.DBRW(Server&amp;Cube1,$G$13,$G$14,$G$15,$G$16,$G$11,$G$12,K$18,K$1,$B28)</f>
        <v>0</v>
      </c>
      <c r="L28" s="110">
        <f ca="1">_xll.DBRW(Server&amp;Cube1,$G$13,$G$14,$G$15,$G$16,$G$11,$G$12,L$18,L$1,$B28)</f>
        <v>674.00609147071111</v>
      </c>
      <c r="M28" s="111"/>
      <c r="N28" s="110">
        <f t="shared" ca="1" si="0"/>
        <v>-64.59217183916212</v>
      </c>
      <c r="O28" s="112">
        <f t="shared" ca="1" si="1"/>
        <v>-0.10196230687015126</v>
      </c>
      <c r="P28" s="113" t="str">
        <f t="shared" ca="1" si="8"/>
        <v>î</v>
      </c>
      <c r="Q28" s="110">
        <f t="shared" ca="1" si="2"/>
        <v>568.89851527740234</v>
      </c>
      <c r="R28" s="112" t="str">
        <f t="shared" ca="1" si="3"/>
        <v>-</v>
      </c>
      <c r="S28" s="113" t="str">
        <f t="shared" ca="1" si="4"/>
        <v>ì</v>
      </c>
      <c r="T28" s="110">
        <f t="shared" ca="1" si="5"/>
        <v>-105.10757619330877</v>
      </c>
      <c r="U28" s="112">
        <f t="shared" ca="1" si="6"/>
        <v>-0.15594454934963481</v>
      </c>
      <c r="V28" s="120" t="str">
        <f t="shared" ca="1" si="7"/>
        <v>î</v>
      </c>
      <c r="W28" s="108"/>
      <c r="X28" s="108"/>
      <c r="Y28" s="108"/>
      <c r="Z28" s="108"/>
      <c r="AA28" s="108"/>
      <c r="AB28" s="108"/>
      <c r="AC28" s="108"/>
    </row>
    <row r="29" spans="1:39" ht="22.5" customHeight="1">
      <c r="B29" s="117" t="s">
        <v>79</v>
      </c>
      <c r="C29" s="56" t="str">
        <f ca="1">_xll.DBRA(Server&amp;$C$20,$B29,$G$17)</f>
        <v>Revenus de location financement IFRS16 (RA)</v>
      </c>
      <c r="D29" s="73"/>
      <c r="E29" s="73"/>
      <c r="F29" s="148" t="str">
        <f ca="1">_xll.DBRA(Server&amp;$C$20,$B29,$G$17)</f>
        <v>Revenus de location financement IFRS16 (RA)</v>
      </c>
      <c r="G29" s="148"/>
      <c r="H29" s="109"/>
      <c r="I29" s="110">
        <f ca="1">_xll.DBRW(Server&amp;Cube1,$G$13,$G$14,$G$15,$G$16,$G$11,$G$12,I$18,I$1,$B29)</f>
        <v>11.662799572683134</v>
      </c>
      <c r="J29" s="110">
        <f ca="1">_xll.DBRW(Server&amp;Cube1,$G$13,$G$14,$G$15,$G$16,$G$11,$G$12,J$18,J$1,$B29)</f>
        <v>12.493134615384616</v>
      </c>
      <c r="K29" s="110">
        <f ca="1">_xll.DBRW(Server&amp;Cube1,$G$13,$G$14,$G$15,$G$16,$G$11,$G$12,K$18,K$1,$B29)</f>
        <v>0</v>
      </c>
      <c r="L29" s="110">
        <f ca="1">_xll.DBRW(Server&amp;Cube1,$G$13,$G$14,$G$15,$G$16,$G$11,$G$12,L$18,L$1,$B29)</f>
        <v>14.98554799732112</v>
      </c>
      <c r="M29" s="111"/>
      <c r="N29" s="110">
        <f t="shared" ca="1" si="0"/>
        <v>-0.83033504270148129</v>
      </c>
      <c r="O29" s="112">
        <f t="shared" ca="1" si="1"/>
        <v>-6.6463307109407815E-2</v>
      </c>
      <c r="P29" s="113" t="str">
        <f t="shared" ca="1" si="8"/>
        <v>î</v>
      </c>
      <c r="Q29" s="110">
        <f t="shared" ca="1" si="2"/>
        <v>11.662799572683134</v>
      </c>
      <c r="R29" s="112" t="str">
        <f t="shared" ca="1" si="3"/>
        <v>-</v>
      </c>
      <c r="S29" s="113" t="str">
        <f t="shared" ca="1" si="4"/>
        <v>ì</v>
      </c>
      <c r="T29" s="110">
        <f t="shared" ca="1" si="5"/>
        <v>-3.3227484246379859</v>
      </c>
      <c r="U29" s="112">
        <f t="shared" ca="1" si="6"/>
        <v>-0.22173019133047217</v>
      </c>
      <c r="V29" s="120" t="str">
        <f t="shared" ca="1" si="7"/>
        <v>î</v>
      </c>
      <c r="W29" s="108"/>
      <c r="X29" s="108"/>
      <c r="Y29" s="108"/>
      <c r="Z29" s="108"/>
      <c r="AA29" s="108"/>
      <c r="AB29" s="108"/>
      <c r="AC29" s="108"/>
    </row>
    <row r="30" spans="1:39" ht="22.5" customHeight="1">
      <c r="B30" s="117"/>
      <c r="C30" s="56"/>
      <c r="D30" s="73"/>
      <c r="E30" s="73"/>
      <c r="F30" s="114"/>
      <c r="G30" s="114"/>
      <c r="H30" s="109"/>
      <c r="I30" s="110"/>
      <c r="J30" s="110"/>
      <c r="K30" s="110"/>
      <c r="L30" s="110"/>
      <c r="M30" s="111"/>
      <c r="N30" s="110"/>
      <c r="O30" s="112"/>
      <c r="P30" s="113"/>
      <c r="Q30" s="110"/>
      <c r="R30" s="112"/>
      <c r="S30" s="113"/>
      <c r="T30" s="110"/>
      <c r="U30" s="112"/>
      <c r="V30" s="120"/>
      <c r="W30" s="108"/>
      <c r="X30" s="108"/>
      <c r="Y30" s="108"/>
      <c r="Z30" s="108"/>
      <c r="AA30" s="108"/>
      <c r="AB30" s="108"/>
      <c r="AC30" s="108"/>
    </row>
    <row r="31" spans="1:39" ht="22.5" customHeight="1">
      <c r="B31" s="121" t="s">
        <v>64</v>
      </c>
      <c r="C31" s="56" t="str">
        <f ca="1">_xll.DBRA(Server&amp;$C$20,$B31,$G$17)</f>
        <v>PAO de l'année en cours</v>
      </c>
      <c r="D31" s="73"/>
      <c r="E31" s="73"/>
      <c r="F31" s="153" t="str">
        <f ca="1">_xll.DBRA(Server&amp;$C$20,$B31,$G$17)</f>
        <v>PAO de l'année en cours</v>
      </c>
      <c r="G31" s="153"/>
      <c r="H31" s="66"/>
      <c r="I31" s="137">
        <f ca="1">_xll.DBRW(Server&amp;Cube1,$G$13,$G$14,$G$15,$G$16,$G$11,$G$12,I$18,I$1,$B31)</f>
        <v>731748.6905170005</v>
      </c>
      <c r="J31" s="137">
        <f ca="1">_xll.DBRW(Server&amp;Cube1,$G$13,$G$14,$G$15,$G$16,$G$11,$G$12,J$18,J$1,$B31)</f>
        <v>1025848.8878026512</v>
      </c>
      <c r="K31" s="137">
        <f ca="1">_xll.DBRW(Server&amp;Cube1,$G$13,$G$14,$G$15,$G$16,$G$11,$G$12,K$18,K$1,$B31)</f>
        <v>735.44225000000006</v>
      </c>
      <c r="L31" s="137">
        <f ca="1">_xll.DBRW(Server&amp;Cube1,$G$13,$G$14,$G$15,$G$16,$G$11,$G$12,L$18,L$1,$B31)</f>
        <v>1153524.3526915058</v>
      </c>
      <c r="M31" s="57"/>
      <c r="N31" s="137">
        <f t="shared" ca="1" si="0"/>
        <v>-294100.19728565065</v>
      </c>
      <c r="O31" s="138">
        <f t="shared" ca="1" si="1"/>
        <v>-0.28668959023351642</v>
      </c>
      <c r="P31" s="139" t="str">
        <f t="shared" ca="1" si="8"/>
        <v>î</v>
      </c>
      <c r="Q31" s="137">
        <f t="shared" ca="1" si="2"/>
        <v>731013.24826700054</v>
      </c>
      <c r="R31" s="138" t="str">
        <f t="shared" ca="1" si="3"/>
        <v>-</v>
      </c>
      <c r="S31" s="139" t="str">
        <f t="shared" ref="S31:S40" ca="1" si="9">IF(OR(AND(R31&gt;0.01,Q31&lt;0),AND(R31&lt;-0.01,Q31&lt;0)),"î",IF(OR(AND(R31&lt;-0.01,Q31&gt;0),AND(R31&gt;0.01,Q31&gt;0)),"ì","è"))</f>
        <v>ì</v>
      </c>
      <c r="T31" s="137">
        <f t="shared" ca="1" si="5"/>
        <v>-421775.6621745053</v>
      </c>
      <c r="U31" s="138">
        <f t="shared" ca="1" si="6"/>
        <v>-0.36564088238829179</v>
      </c>
      <c r="V31" s="140" t="str">
        <f t="shared" ref="V31:V40" ca="1" si="10">IF(OR(AND(U31&gt;0.01,T31&lt;0),AND(U31&lt;-0.01,T31&lt;0)),"î",IF(OR(AND(U31&lt;-0.01,T31&gt;0),AND(U31&gt;0.01,T31&gt;0)),"ì","è"))</f>
        <v>î</v>
      </c>
      <c r="W31" s="108"/>
      <c r="X31" s="108"/>
      <c r="Y31" s="108"/>
      <c r="Z31" s="108"/>
      <c r="AA31" s="108"/>
      <c r="AB31" s="108"/>
      <c r="AC31" s="108"/>
    </row>
    <row r="32" spans="1:39" ht="22.5" customHeight="1">
      <c r="B32" s="117" t="s">
        <v>80</v>
      </c>
      <c r="C32" s="56" t="str">
        <f ca="1">_xll.DBRA(Server&amp;$C$20,$B32,$G$17)</f>
        <v>Vente de carburant</v>
      </c>
      <c r="D32" s="73"/>
      <c r="E32" s="73"/>
      <c r="F32" s="148" t="str">
        <f ca="1">_xll.DBRA(Server&amp;$C$20,$B32,$G$17)</f>
        <v>Vente de carburant</v>
      </c>
      <c r="G32" s="148"/>
      <c r="H32" s="109"/>
      <c r="I32" s="110">
        <f ca="1">_xll.DBRW(Server&amp;Cube1,$G$13,$G$14,$G$15,$G$16,$G$11,$G$12,I$18,I$1,$B32)</f>
        <v>321.4234800000001</v>
      </c>
      <c r="J32" s="110">
        <f ca="1">_xll.DBRW(Server&amp;Cube1,$G$13,$G$14,$G$15,$G$16,$G$11,$G$12,J$18,J$1,$B32)</f>
        <v>307.69304999999997</v>
      </c>
      <c r="K32" s="110">
        <f ca="1">_xll.DBRW(Server&amp;Cube1,$G$13,$G$14,$G$15,$G$16,$G$11,$G$12,K$18,K$1,$B32)</f>
        <v>0</v>
      </c>
      <c r="L32" s="110">
        <f ca="1">_xll.DBRW(Server&amp;Cube1,$G$13,$G$14,$G$15,$G$16,$G$11,$G$12,L$18,L$1,$B32)</f>
        <v>412.01310999999993</v>
      </c>
      <c r="M32" s="111"/>
      <c r="N32" s="110">
        <f t="shared" ca="1" si="0"/>
        <v>13.730430000000126</v>
      </c>
      <c r="O32" s="112">
        <f t="shared" ca="1" si="1"/>
        <v>4.4623789845107412E-2</v>
      </c>
      <c r="P32" s="113" t="str">
        <f t="shared" ca="1" si="8"/>
        <v>ì</v>
      </c>
      <c r="Q32" s="110">
        <f t="shared" ca="1" si="2"/>
        <v>321.4234800000001</v>
      </c>
      <c r="R32" s="112" t="str">
        <f t="shared" ca="1" si="3"/>
        <v>-</v>
      </c>
      <c r="S32" s="113" t="str">
        <f t="shared" ca="1" si="9"/>
        <v>ì</v>
      </c>
      <c r="T32" s="110">
        <f t="shared" ca="1" si="5"/>
        <v>-90.589629999999829</v>
      </c>
      <c r="U32" s="112">
        <f t="shared" ca="1" si="6"/>
        <v>-0.21987074634591081</v>
      </c>
      <c r="V32" s="120" t="str">
        <f t="shared" ca="1" si="10"/>
        <v>î</v>
      </c>
      <c r="W32" s="108"/>
      <c r="X32" s="108"/>
      <c r="Y32" s="108"/>
      <c r="Z32" s="108"/>
      <c r="AA32" s="108"/>
      <c r="AB32" s="108"/>
      <c r="AC32" s="108"/>
    </row>
    <row r="33" spans="2:29" ht="22.5" customHeight="1">
      <c r="B33" s="117" t="s">
        <v>81</v>
      </c>
      <c r="C33" s="56" t="str">
        <f ca="1">_xll.DBRA(Server&amp;$C$20,$B33,$G$17)</f>
        <v>Vente de pièces détachées</v>
      </c>
      <c r="D33" s="73"/>
      <c r="E33" s="73"/>
      <c r="F33" s="148" t="str">
        <f ca="1">_xll.DBRA(Server&amp;$C$20,$B33,$G$17)</f>
        <v>Vente de pièces détachées</v>
      </c>
      <c r="G33" s="148"/>
      <c r="H33" s="109"/>
      <c r="I33" s="110">
        <f ca="1">_xll.DBRW(Server&amp;Cube1,$G$13,$G$14,$G$15,$G$16,$G$11,$G$12,I$18,I$1,$B33)</f>
        <v>69.227170000000001</v>
      </c>
      <c r="J33" s="110">
        <f ca="1">_xll.DBRW(Server&amp;Cube1,$G$13,$G$14,$G$15,$G$16,$G$11,$G$12,J$18,J$1,$B33)</f>
        <v>38.5</v>
      </c>
      <c r="K33" s="110">
        <f ca="1">_xll.DBRW(Server&amp;Cube1,$G$13,$G$14,$G$15,$G$16,$G$11,$G$12,K$18,K$1,$B33)</f>
        <v>0</v>
      </c>
      <c r="L33" s="110">
        <f ca="1">_xll.DBRW(Server&amp;Cube1,$G$13,$G$14,$G$15,$G$16,$G$11,$G$12,L$18,L$1,$B33)</f>
        <v>156.85995494486693</v>
      </c>
      <c r="M33" s="111"/>
      <c r="N33" s="110">
        <f t="shared" ca="1" si="0"/>
        <v>30.727170000000001</v>
      </c>
      <c r="O33" s="112">
        <f t="shared" ca="1" si="1"/>
        <v>0.79810831168831176</v>
      </c>
      <c r="P33" s="113" t="str">
        <f t="shared" ca="1" si="8"/>
        <v>ì</v>
      </c>
      <c r="Q33" s="110">
        <f t="shared" ca="1" si="2"/>
        <v>69.227170000000001</v>
      </c>
      <c r="R33" s="112" t="str">
        <f t="shared" ca="1" si="3"/>
        <v>-</v>
      </c>
      <c r="S33" s="113" t="str">
        <f t="shared" ca="1" si="9"/>
        <v>ì</v>
      </c>
      <c r="T33" s="110">
        <f t="shared" ca="1" si="5"/>
        <v>-87.632784944866927</v>
      </c>
      <c r="U33" s="112">
        <f t="shared" ca="1" si="6"/>
        <v>-0.55866894119450727</v>
      </c>
      <c r="V33" s="120" t="str">
        <f t="shared" ca="1" si="10"/>
        <v>î</v>
      </c>
      <c r="W33" s="108"/>
      <c r="X33" s="108"/>
      <c r="Y33" s="108"/>
      <c r="Z33" s="108"/>
      <c r="AA33" s="108"/>
      <c r="AB33" s="108"/>
      <c r="AC33" s="108"/>
    </row>
    <row r="34" spans="2:29" ht="22.5" customHeight="1">
      <c r="B34" s="117" t="s">
        <v>72</v>
      </c>
      <c r="C34" s="56" t="str">
        <f ca="1">_xll.DBRA(Server&amp;$C$20,$B34,$G$17)</f>
        <v>Ventes de biens (RC)</v>
      </c>
      <c r="D34" s="73"/>
      <c r="E34" s="73"/>
      <c r="F34" s="148" t="str">
        <f ca="1">_xll.DBRA(Server&amp;$C$20,$B34,$G$17)</f>
        <v>Ventes de biens (RC)</v>
      </c>
      <c r="G34" s="148"/>
      <c r="H34" s="109"/>
      <c r="I34" s="110">
        <f ca="1">_xll.DBRW(Server&amp;Cube1,$G$13,$G$14,$G$15,$G$16,$G$11,$G$12,I$18,I$1,$B34)</f>
        <v>2596.5078426608125</v>
      </c>
      <c r="J34" s="110">
        <f ca="1">_xll.DBRW(Server&amp;Cube1,$G$13,$G$14,$G$15,$G$16,$G$11,$G$12,J$18,J$1,$B34)</f>
        <v>3282.3713245827043</v>
      </c>
      <c r="K34" s="110">
        <f ca="1">_xll.DBRW(Server&amp;Cube1,$G$13,$G$14,$G$15,$G$16,$G$11,$G$12,K$18,K$1,$B34)</f>
        <v>0</v>
      </c>
      <c r="L34" s="110">
        <f ca="1">_xll.DBRW(Server&amp;Cube1,$G$13,$G$14,$G$15,$G$16,$G$11,$G$12,L$18,L$1,$B34)</f>
        <v>4380.3974259713677</v>
      </c>
      <c r="M34" s="111"/>
      <c r="N34" s="110">
        <f t="shared" ca="1" si="0"/>
        <v>-685.86348192189189</v>
      </c>
      <c r="O34" s="112">
        <f t="shared" ca="1" si="1"/>
        <v>-0.20895365395902835</v>
      </c>
      <c r="P34" s="113" t="str">
        <f t="shared" ca="1" si="8"/>
        <v>î</v>
      </c>
      <c r="Q34" s="110">
        <f t="shared" ca="1" si="2"/>
        <v>2596.5078426608125</v>
      </c>
      <c r="R34" s="112" t="str">
        <f t="shared" ca="1" si="3"/>
        <v>-</v>
      </c>
      <c r="S34" s="113" t="str">
        <f t="shared" ca="1" si="9"/>
        <v>ì</v>
      </c>
      <c r="T34" s="110">
        <f t="shared" ca="1" si="5"/>
        <v>-1783.8895833105553</v>
      </c>
      <c r="U34" s="112">
        <f t="shared" ca="1" si="6"/>
        <v>-0.40724377489902569</v>
      </c>
      <c r="V34" s="120" t="str">
        <f t="shared" ca="1" si="10"/>
        <v>î</v>
      </c>
      <c r="W34" s="108"/>
      <c r="X34" s="108"/>
      <c r="Y34" s="108"/>
      <c r="Z34" s="108"/>
      <c r="AA34" s="108"/>
      <c r="AB34" s="108"/>
      <c r="AC34" s="108"/>
    </row>
    <row r="35" spans="2:29" ht="22.5" customHeight="1">
      <c r="B35" s="117" t="s">
        <v>82</v>
      </c>
      <c r="C35" s="56" t="str">
        <f ca="1">_xll.DBRA(Server&amp;$C$20,$B35,$G$17)</f>
        <v>Prestation atelier</v>
      </c>
      <c r="D35" s="73"/>
      <c r="E35" s="73"/>
      <c r="F35" s="148" t="str">
        <f ca="1">_xll.DBRA(Server&amp;$C$20,$B35,$G$17)</f>
        <v>Prestation atelier</v>
      </c>
      <c r="G35" s="148"/>
      <c r="H35" s="109"/>
      <c r="I35" s="110">
        <f ca="1">_xll.DBRW(Server&amp;Cube1,$G$13,$G$14,$G$15,$G$16,$G$11,$G$12,I$18,I$1,$B35)</f>
        <v>78.88888</v>
      </c>
      <c r="J35" s="110">
        <f ca="1">_xll.DBRW(Server&amp;Cube1,$G$13,$G$14,$G$15,$G$16,$G$11,$G$12,J$18,J$1,$B35)</f>
        <v>461.91555555555561</v>
      </c>
      <c r="K35" s="110">
        <f ca="1">_xll.DBRW(Server&amp;Cube1,$G$13,$G$14,$G$15,$G$16,$G$11,$G$12,K$18,K$1,$B35)</f>
        <v>0</v>
      </c>
      <c r="L35" s="110">
        <f ca="1">_xll.DBRW(Server&amp;Cube1,$G$13,$G$14,$G$15,$G$16,$G$11,$G$12,L$18,L$1,$B35)</f>
        <v>172.4574036679297</v>
      </c>
      <c r="M35" s="111"/>
      <c r="N35" s="110">
        <f t="shared" ca="1" si="0"/>
        <v>-383.02667555555558</v>
      </c>
      <c r="O35" s="112">
        <f t="shared" ca="1" si="1"/>
        <v>-0.82921363212131116</v>
      </c>
      <c r="P35" s="113" t="str">
        <f t="shared" ca="1" si="8"/>
        <v>î</v>
      </c>
      <c r="Q35" s="110">
        <f t="shared" ca="1" si="2"/>
        <v>78.88888</v>
      </c>
      <c r="R35" s="112" t="str">
        <f t="shared" ca="1" si="3"/>
        <v>-</v>
      </c>
      <c r="S35" s="113" t="str">
        <f t="shared" ca="1" si="9"/>
        <v>ì</v>
      </c>
      <c r="T35" s="110">
        <f t="shared" ca="1" si="5"/>
        <v>-93.568523667929696</v>
      </c>
      <c r="U35" s="112">
        <f t="shared" ca="1" si="6"/>
        <v>-0.54256020140543126</v>
      </c>
      <c r="V35" s="120" t="str">
        <f t="shared" ca="1" si="10"/>
        <v>î</v>
      </c>
      <c r="W35" s="108"/>
      <c r="X35" s="108"/>
      <c r="Y35" s="108"/>
      <c r="Z35" s="108"/>
      <c r="AA35" s="108"/>
      <c r="AB35" s="108"/>
      <c r="AC35" s="108"/>
    </row>
    <row r="36" spans="2:29" ht="22.5" customHeight="1">
      <c r="B36" s="117" t="s">
        <v>58</v>
      </c>
      <c r="C36" s="56" t="str">
        <f ca="1">_xll.DBRA(Server&amp;$C$20,$B36,$G$17)</f>
        <v>Autres revenus issus des activités de transport de voyageurs (y c. sous-traitance)</v>
      </c>
      <c r="D36" s="73"/>
      <c r="E36" s="73"/>
      <c r="F36" s="148" t="str">
        <f ca="1">_xll.DBRA(Server&amp;$C$20,$B36,$G$17)</f>
        <v>Autres revenus issus des activités de transport de voyageurs (y c. sous-traitance)</v>
      </c>
      <c r="G36" s="148"/>
      <c r="H36" s="109"/>
      <c r="I36" s="110">
        <f ca="1">_xll.DBRW(Server&amp;Cube1,$G$13,$G$14,$G$15,$G$16,$G$11,$G$12,I$18,I$1,$B36)</f>
        <v>50567.087076631033</v>
      </c>
      <c r="J36" s="110">
        <f ca="1">_xll.DBRW(Server&amp;Cube1,$G$13,$G$14,$G$15,$G$16,$G$11,$G$12,J$18,J$1,$B36)</f>
        <v>56188.234332256543</v>
      </c>
      <c r="K36" s="110">
        <f ca="1">_xll.DBRW(Server&amp;Cube1,$G$13,$G$14,$G$15,$G$16,$G$11,$G$12,K$18,K$1,$B36)</f>
        <v>0</v>
      </c>
      <c r="L36" s="110">
        <f ca="1">_xll.DBRW(Server&amp;Cube1,$G$13,$G$14,$G$15,$G$16,$G$11,$G$12,L$18,L$1,$B36)</f>
        <v>56253.215670132005</v>
      </c>
      <c r="M36" s="111"/>
      <c r="N36" s="110">
        <f t="shared" ca="1" si="0"/>
        <v>-5621.1472556255103</v>
      </c>
      <c r="O36" s="112">
        <f t="shared" ca="1" si="1"/>
        <v>-0.10004135781142569</v>
      </c>
      <c r="P36" s="113" t="str">
        <f t="shared" ca="1" si="8"/>
        <v>î</v>
      </c>
      <c r="Q36" s="110">
        <f t="shared" ca="1" si="2"/>
        <v>50567.087076631033</v>
      </c>
      <c r="R36" s="112" t="str">
        <f t="shared" ca="1" si="3"/>
        <v>-</v>
      </c>
      <c r="S36" s="113" t="str">
        <f t="shared" ca="1" si="9"/>
        <v>ì</v>
      </c>
      <c r="T36" s="110">
        <f t="shared" ca="1" si="5"/>
        <v>-5686.1285935009728</v>
      </c>
      <c r="U36" s="112">
        <f t="shared" ca="1" si="6"/>
        <v>-0.10108095200893659</v>
      </c>
      <c r="V36" s="120" t="str">
        <f t="shared" ca="1" si="10"/>
        <v>î</v>
      </c>
      <c r="W36" s="108"/>
      <c r="X36" s="108"/>
      <c r="Y36" s="108"/>
      <c r="Z36" s="108"/>
      <c r="AA36" s="108"/>
      <c r="AB36" s="108"/>
      <c r="AC36" s="108"/>
    </row>
    <row r="37" spans="2:29" ht="22.5" customHeight="1">
      <c r="B37" s="117" t="s">
        <v>61</v>
      </c>
      <c r="C37" s="56" t="str">
        <f ca="1">_xll.DBRA(Server&amp;$C$20,$B37,$G$17)</f>
        <v>Bonus / Penalités</v>
      </c>
      <c r="D37" s="73"/>
      <c r="E37" s="73"/>
      <c r="F37" s="148" t="str">
        <f ca="1">_xll.DBRA(Server&amp;$C$20,$B37,$G$17)</f>
        <v>Bonus / Penalités</v>
      </c>
      <c r="G37" s="148"/>
      <c r="H37" s="109"/>
      <c r="I37" s="110">
        <f ca="1">_xll.DBRW(Server&amp;Cube1,$G$13,$G$14,$G$15,$G$16,$G$11,$G$12,I$18,I$1,$B37)</f>
        <v>-210.76818563567429</v>
      </c>
      <c r="J37" s="110">
        <f ca="1">_xll.DBRW(Server&amp;Cube1,$G$13,$G$14,$G$15,$G$16,$G$11,$G$12,J$18,J$1,$B37)</f>
        <v>6588.395793190356</v>
      </c>
      <c r="K37" s="110">
        <f ca="1">_xll.DBRW(Server&amp;Cube1,$G$13,$G$14,$G$15,$G$16,$G$11,$G$12,K$18,K$1,$B37)</f>
        <v>0</v>
      </c>
      <c r="L37" s="110">
        <f ca="1">_xll.DBRW(Server&amp;Cube1,$G$13,$G$14,$G$15,$G$16,$G$11,$G$12,L$18,L$1,$B37)</f>
        <v>10577.224449089959</v>
      </c>
      <c r="M37" s="111"/>
      <c r="N37" s="110">
        <f t="shared" ca="1" si="0"/>
        <v>-6799.16397882603</v>
      </c>
      <c r="O37" s="112">
        <f t="shared" ca="1" si="1"/>
        <v>-1.0319908202621222</v>
      </c>
      <c r="P37" s="113" t="str">
        <f t="shared" ca="1" si="8"/>
        <v>î</v>
      </c>
      <c r="Q37" s="110">
        <f t="shared" ca="1" si="2"/>
        <v>-210.76818563567429</v>
      </c>
      <c r="R37" s="112" t="str">
        <f t="shared" ca="1" si="3"/>
        <v>-</v>
      </c>
      <c r="S37" s="113" t="str">
        <f t="shared" ca="1" si="9"/>
        <v>î</v>
      </c>
      <c r="T37" s="110">
        <f t="shared" ca="1" si="5"/>
        <v>-10787.992634725633</v>
      </c>
      <c r="U37" s="112">
        <f t="shared" ca="1" si="6"/>
        <v>-1.0199266061385137</v>
      </c>
      <c r="V37" s="120" t="str">
        <f t="shared" ca="1" si="10"/>
        <v>î</v>
      </c>
      <c r="W37" s="108"/>
      <c r="X37" s="108"/>
      <c r="Y37" s="108"/>
      <c r="Z37" s="108"/>
      <c r="AA37" s="108"/>
      <c r="AB37" s="108"/>
      <c r="AC37" s="108"/>
    </row>
    <row r="38" spans="2:29" ht="22.5" customHeight="1">
      <c r="B38" s="117" t="s">
        <v>83</v>
      </c>
      <c r="C38" s="56" t="str">
        <f ca="1">_xll.DBRA(Server&amp;$C$20,$B38,$G$17)</f>
        <v>Revenu des locations (ou sous-locations) de matériel roulant passagers</v>
      </c>
      <c r="D38" s="73"/>
      <c r="E38" s="73"/>
      <c r="F38" s="148" t="str">
        <f ca="1">_xll.DBRA(Server&amp;$C$20,$B38,$G$17)</f>
        <v>Revenu des locations (ou sous-locations) de matériel roulant passagers</v>
      </c>
      <c r="G38" s="148"/>
      <c r="H38" s="109"/>
      <c r="I38" s="110">
        <f ca="1">_xll.DBRW(Server&amp;Cube1,$G$13,$G$14,$G$15,$G$16,$G$11,$G$12,I$18,I$1,$B38)</f>
        <v>-453.87360499999829</v>
      </c>
      <c r="J38" s="110">
        <f ca="1">_xll.DBRW(Server&amp;Cube1,$G$13,$G$14,$G$15,$G$16,$G$11,$G$12,J$18,J$1,$B38)</f>
        <v>7068.1003323878767</v>
      </c>
      <c r="K38" s="110">
        <f ca="1">_xll.DBRW(Server&amp;Cube1,$G$13,$G$14,$G$15,$G$16,$G$11,$G$12,K$18,K$1,$B38)</f>
        <v>0</v>
      </c>
      <c r="L38" s="110">
        <f ca="1">_xll.DBRW(Server&amp;Cube1,$G$13,$G$14,$G$15,$G$16,$G$11,$G$12,L$18,L$1,$B38)</f>
        <v>203.38016499999958</v>
      </c>
      <c r="M38" s="111"/>
      <c r="N38" s="110">
        <f t="shared" ca="1" si="0"/>
        <v>-7521.9739373878747</v>
      </c>
      <c r="O38" s="112">
        <f t="shared" ca="1" si="1"/>
        <v>-1.0642143693009323</v>
      </c>
      <c r="P38" s="113" t="str">
        <f t="shared" ca="1" si="8"/>
        <v>î</v>
      </c>
      <c r="Q38" s="110">
        <f t="shared" ca="1" si="2"/>
        <v>-453.87360499999829</v>
      </c>
      <c r="R38" s="112" t="str">
        <f t="shared" ca="1" si="3"/>
        <v>-</v>
      </c>
      <c r="S38" s="113" t="str">
        <f t="shared" ca="1" si="9"/>
        <v>î</v>
      </c>
      <c r="T38" s="110">
        <f t="shared" ca="1" si="5"/>
        <v>-657.25376999999787</v>
      </c>
      <c r="U38" s="112" t="str">
        <f t="shared" ca="1" si="6"/>
        <v>-</v>
      </c>
      <c r="V38" s="120" t="str">
        <f t="shared" ca="1" si="10"/>
        <v>î</v>
      </c>
      <c r="W38" s="108"/>
      <c r="X38" s="108"/>
      <c r="Y38" s="108"/>
      <c r="Z38" s="108"/>
      <c r="AA38" s="108"/>
      <c r="AB38" s="108"/>
      <c r="AC38" s="108"/>
    </row>
    <row r="39" spans="2:29" ht="22.5" customHeight="1">
      <c r="B39" s="117" t="s">
        <v>84</v>
      </c>
      <c r="C39" s="56" t="str">
        <f ca="1">_xll.DBRA(Server&amp;$C$20,$B39,$G$17)</f>
        <v>Refacturation des charges de loyer Infrastructure</v>
      </c>
      <c r="D39" s="73"/>
      <c r="E39" s="73"/>
      <c r="F39" s="148" t="str">
        <f ca="1">_xll.DBRA(Server&amp;$C$20,$B39,$G$17)</f>
        <v>Refacturation des charges de loyer Infrastructure</v>
      </c>
      <c r="G39" s="148"/>
      <c r="H39" s="109"/>
      <c r="I39" s="110">
        <f ca="1">_xll.DBRW(Server&amp;Cube1,$G$13,$G$14,$G$15,$G$16,$G$11,$G$12,I$18,I$1,$B39)</f>
        <v>129.54377000000008</v>
      </c>
      <c r="J39" s="110">
        <f ca="1">_xll.DBRW(Server&amp;Cube1,$G$13,$G$14,$G$15,$G$16,$G$11,$G$12,J$18,J$1,$B39)</f>
        <v>844.39452770468324</v>
      </c>
      <c r="K39" s="110">
        <f ca="1">_xll.DBRW(Server&amp;Cube1,$G$13,$G$14,$G$15,$G$16,$G$11,$G$12,K$18,K$1,$B39)</f>
        <v>0</v>
      </c>
      <c r="L39" s="110">
        <f ca="1">_xll.DBRW(Server&amp;Cube1,$G$13,$G$14,$G$15,$G$16,$G$11,$G$12,L$18,L$1,$B39)</f>
        <v>124.78427000000013</v>
      </c>
      <c r="M39" s="111"/>
      <c r="N39" s="110">
        <f t="shared" ca="1" si="0"/>
        <v>-714.85075770468313</v>
      </c>
      <c r="O39" s="112">
        <f t="shared" ca="1" si="1"/>
        <v>-0.84658383522197989</v>
      </c>
      <c r="P39" s="113" t="str">
        <f t="shared" ca="1" si="8"/>
        <v>î</v>
      </c>
      <c r="Q39" s="110">
        <f t="shared" ca="1" si="2"/>
        <v>129.54377000000008</v>
      </c>
      <c r="R39" s="112" t="str">
        <f t="shared" ca="1" si="3"/>
        <v>-</v>
      </c>
      <c r="S39" s="113" t="str">
        <f t="shared" ca="1" si="9"/>
        <v>ì</v>
      </c>
      <c r="T39" s="110">
        <f t="shared" ca="1" si="5"/>
        <v>4.7594999999999459</v>
      </c>
      <c r="U39" s="112">
        <f t="shared" ca="1" si="6"/>
        <v>3.8141826690174498E-2</v>
      </c>
      <c r="V39" s="120" t="str">
        <f t="shared" ca="1" si="10"/>
        <v>ì</v>
      </c>
      <c r="W39" s="108"/>
      <c r="X39" s="108"/>
      <c r="Y39" s="108"/>
      <c r="Z39" s="108"/>
      <c r="AA39" s="108"/>
      <c r="AB39" s="108"/>
      <c r="AC39" s="108"/>
    </row>
    <row r="40" spans="2:29" ht="22.5" customHeight="1">
      <c r="B40" s="117" t="s">
        <v>85</v>
      </c>
      <c r="C40" s="56" t="str">
        <f ca="1">_xll.DBRA(Server&amp;$C$20,$B40,$G$17)</f>
        <v>Revenu des locations (ou sous-locations) des autres actifs</v>
      </c>
      <c r="D40" s="73"/>
      <c r="E40" s="73"/>
      <c r="F40" s="148" t="str">
        <f ca="1">_xll.DBRA(Server&amp;$C$20,$B40,$G$17)</f>
        <v>Revenu des locations (ou sous-locations) des autres actifs</v>
      </c>
      <c r="G40" s="148"/>
      <c r="H40" s="109"/>
      <c r="I40" s="110">
        <f ca="1">_xll.DBRW(Server&amp;Cube1,$G$13,$G$14,$G$15,$G$16,$G$11,$G$12,I$18,I$1,$B40)</f>
        <v>0</v>
      </c>
      <c r="J40" s="110">
        <f ca="1">_xll.DBRW(Server&amp;Cube1,$G$13,$G$14,$G$15,$G$16,$G$11,$G$12,J$18,J$1,$B40)</f>
        <v>842.79631901840503</v>
      </c>
      <c r="K40" s="110">
        <f ca="1">_xll.DBRW(Server&amp;Cube1,$G$13,$G$14,$G$15,$G$16,$G$11,$G$12,K$18,K$1,$B40)</f>
        <v>738.04200000000003</v>
      </c>
      <c r="L40" s="110">
        <f ca="1">_xll.DBRW(Server&amp;Cube1,$G$13,$G$14,$G$15,$G$16,$G$11,$G$12,L$18,L$1,$B40)</f>
        <v>979.63292643388593</v>
      </c>
      <c r="M40" s="111"/>
      <c r="N40" s="110">
        <f t="shared" ca="1" si="0"/>
        <v>-842.79631901840503</v>
      </c>
      <c r="O40" s="112">
        <f t="shared" ca="1" si="1"/>
        <v>-1</v>
      </c>
      <c r="P40" s="113" t="str">
        <f t="shared" ca="1" si="8"/>
        <v>î</v>
      </c>
      <c r="Q40" s="110">
        <f t="shared" ca="1" si="2"/>
        <v>-738.04200000000003</v>
      </c>
      <c r="R40" s="112">
        <f t="shared" ca="1" si="3"/>
        <v>-1</v>
      </c>
      <c r="S40" s="113" t="str">
        <f t="shared" ca="1" si="9"/>
        <v>î</v>
      </c>
      <c r="T40" s="110">
        <f t="shared" ca="1" si="5"/>
        <v>-979.63292643388593</v>
      </c>
      <c r="U40" s="112">
        <f t="shared" ca="1" si="6"/>
        <v>-1</v>
      </c>
      <c r="V40" s="120" t="str">
        <f t="shared" ca="1" si="10"/>
        <v>î</v>
      </c>
      <c r="W40" s="108"/>
      <c r="X40" s="108"/>
      <c r="Y40" s="108"/>
      <c r="Z40" s="108"/>
      <c r="AA40" s="108"/>
      <c r="AB40" s="108"/>
      <c r="AC40" s="108"/>
    </row>
    <row r="41" spans="2:29" ht="22.5" customHeight="1">
      <c r="B41" s="117"/>
      <c r="C41" s="56"/>
      <c r="D41" s="73"/>
      <c r="E41" s="73"/>
      <c r="F41" s="114"/>
      <c r="G41" s="114"/>
      <c r="H41" s="109"/>
      <c r="I41" s="110"/>
      <c r="J41" s="110"/>
      <c r="K41" s="110"/>
      <c r="L41" s="110"/>
      <c r="M41" s="111"/>
      <c r="N41" s="110"/>
      <c r="O41" s="112"/>
      <c r="P41" s="113"/>
      <c r="Q41" s="110"/>
      <c r="R41" s="112"/>
      <c r="S41" s="113"/>
      <c r="T41" s="110"/>
      <c r="U41" s="112"/>
      <c r="V41" s="120"/>
      <c r="W41" s="108"/>
      <c r="X41" s="108"/>
      <c r="Y41" s="108"/>
      <c r="Z41" s="108"/>
      <c r="AA41" s="108"/>
      <c r="AB41" s="108"/>
      <c r="AC41" s="108"/>
    </row>
    <row r="42" spans="2:29" ht="22.5" customHeight="1">
      <c r="B42" s="118" t="s">
        <v>86</v>
      </c>
      <c r="C42" s="56" t="str">
        <f ca="1">_xll.DBRA(Server&amp;$C$20,$B42,$G$17)</f>
        <v>Recettes commerciales</v>
      </c>
      <c r="D42" s="73"/>
      <c r="E42" s="73"/>
      <c r="F42" s="154" t="str">
        <f ca="1">_xll.DBRA(Server&amp;$C$20,$B42,$G$17)</f>
        <v>Recettes commerciales</v>
      </c>
      <c r="G42" s="154"/>
      <c r="H42" s="66"/>
      <c r="I42" s="141">
        <f ca="1">_xll.DBRW(Server&amp;Cube1,$G$13,$G$14,$G$15,$G$16,$G$11,$G$12,I$18,I$1,$B42)</f>
        <v>274395.87230537174</v>
      </c>
      <c r="J42" s="141">
        <f ca="1">_xll.DBRW(Server&amp;Cube1,$G$13,$G$14,$G$15,$G$16,$G$11,$G$12,J$18,J$1,$B42)</f>
        <v>517614.0284487186</v>
      </c>
      <c r="K42" s="141">
        <f ca="1">_xll.DBRW(Server&amp;Cube1,$G$13,$G$14,$G$15,$G$16,$G$11,$G$12,K$18,K$1,$B42)</f>
        <v>0</v>
      </c>
      <c r="L42" s="141">
        <f ca="1">_xll.DBRW(Server&amp;Cube1,$G$13,$G$14,$G$15,$G$16,$G$11,$G$12,L$18,L$1,$B42)</f>
        <v>582074.50479089806</v>
      </c>
      <c r="M42" s="57"/>
      <c r="N42" s="141">
        <f t="shared" ca="1" si="0"/>
        <v>-243218.15614334686</v>
      </c>
      <c r="O42" s="142">
        <f t="shared" ca="1" si="1"/>
        <v>-0.46988323881458155</v>
      </c>
      <c r="P42" s="113" t="str">
        <f t="shared" ca="1" si="8"/>
        <v>î</v>
      </c>
      <c r="Q42" s="141">
        <f t="shared" ca="1" si="2"/>
        <v>274395.87230537174</v>
      </c>
      <c r="R42" s="142" t="str">
        <f t="shared" ca="1" si="3"/>
        <v>-</v>
      </c>
      <c r="S42" s="113" t="str">
        <f t="shared" ref="S42:S53" ca="1" si="11">IF(OR(AND(R42&gt;0.01,Q42&lt;0),AND(R42&lt;-0.01,Q42&lt;0)),"î",IF(OR(AND(R42&lt;-0.01,Q42&gt;0),AND(R42&gt;0.01,Q42&gt;0)),"ì","è"))</f>
        <v>ì</v>
      </c>
      <c r="T42" s="141">
        <f t="shared" ca="1" si="5"/>
        <v>-307678.63248552632</v>
      </c>
      <c r="U42" s="142">
        <f t="shared" ca="1" si="6"/>
        <v>-0.52858977665763851</v>
      </c>
      <c r="V42" s="113" t="str">
        <f t="shared" ref="V42:V53" ca="1" si="12">IF(OR(AND(U42&gt;0.01,T42&lt;0),AND(U42&lt;-0.01,T42&lt;0)),"î",IF(OR(AND(U42&lt;-0.01,T42&gt;0),AND(U42&gt;0.01,T42&gt;0)),"ì","è"))</f>
        <v>î</v>
      </c>
      <c r="W42" s="108"/>
      <c r="X42" s="108"/>
      <c r="Y42" s="108"/>
      <c r="Z42" s="108"/>
      <c r="AA42" s="108"/>
      <c r="AB42" s="108"/>
      <c r="AC42" s="108"/>
    </row>
    <row r="43" spans="2:29" ht="22.5" customHeight="1">
      <c r="B43" s="119" t="s">
        <v>54</v>
      </c>
      <c r="C43" s="56" t="str">
        <f ca="1">_xll.DBRA(Server&amp;$C$20,$B43,$G$17)</f>
        <v>Recettes commerciales intégralement garanties par l'AO (RC)</v>
      </c>
      <c r="D43" s="73"/>
      <c r="E43" s="73"/>
      <c r="F43" s="147" t="str">
        <f ca="1">_xll.DBRA(Server&amp;$C$20,$B43,$G$17)</f>
        <v>Recettes commerciales intégralement garanties par l'AO (RC)</v>
      </c>
      <c r="G43" s="147"/>
      <c r="H43" s="109"/>
      <c r="I43" s="110">
        <f ca="1">_xll.DBRW(Server&amp;Cube1,$G$13,$G$14,$G$15,$G$16,$G$11,$G$12,I$18,I$1,$B43)</f>
        <v>62745.534376401651</v>
      </c>
      <c r="J43" s="110">
        <f ca="1">_xll.DBRW(Server&amp;Cube1,$G$13,$G$14,$G$15,$G$16,$G$11,$G$12,J$18,J$1,$B43)</f>
        <v>290179.72073423135</v>
      </c>
      <c r="K43" s="110">
        <f ca="1">_xll.DBRW(Server&amp;Cube1,$G$13,$G$14,$G$15,$G$16,$G$11,$G$12,K$18,K$1,$B43)</f>
        <v>0</v>
      </c>
      <c r="L43" s="110">
        <f ca="1">_xll.DBRW(Server&amp;Cube1,$G$13,$G$14,$G$15,$G$16,$G$11,$G$12,L$18,L$1,$B43)</f>
        <v>283970.22089440201</v>
      </c>
      <c r="M43" s="111"/>
      <c r="N43" s="110">
        <f t="shared" ca="1" si="0"/>
        <v>-227434.18635782969</v>
      </c>
      <c r="O43" s="112">
        <f t="shared" ca="1" si="1"/>
        <v>-0.78377009179814883</v>
      </c>
      <c r="P43" s="113" t="str">
        <f t="shared" ca="1" si="8"/>
        <v>î</v>
      </c>
      <c r="Q43" s="110">
        <f t="shared" ca="1" si="2"/>
        <v>62745.534376401651</v>
      </c>
      <c r="R43" s="112" t="str">
        <f t="shared" ca="1" si="3"/>
        <v>-</v>
      </c>
      <c r="S43" s="113" t="str">
        <f t="shared" ca="1" si="11"/>
        <v>ì</v>
      </c>
      <c r="T43" s="110">
        <f t="shared" ca="1" si="5"/>
        <v>-221224.68651800035</v>
      </c>
      <c r="U43" s="112">
        <f t="shared" ca="1" si="6"/>
        <v>-0.77904185101248913</v>
      </c>
      <c r="V43" s="120" t="str">
        <f t="shared" ca="1" si="12"/>
        <v>î</v>
      </c>
      <c r="W43" s="108"/>
      <c r="X43" s="108"/>
      <c r="Y43" s="108"/>
      <c r="Z43" s="108"/>
      <c r="AA43" s="108"/>
      <c r="AB43" s="108"/>
      <c r="AC43" s="108"/>
    </row>
    <row r="44" spans="2:29" ht="22.5" customHeight="1">
      <c r="B44" s="119" t="s">
        <v>55</v>
      </c>
      <c r="C44" s="56" t="str">
        <f ca="1">_xll.DBRA(Server&amp;$C$20,$B44,$G$17)</f>
        <v>Recettes commerciales- engagement contractuel</v>
      </c>
      <c r="D44" s="73"/>
      <c r="E44" s="73"/>
      <c r="F44" s="147" t="str">
        <f ca="1">_xll.DBRA(Server&amp;$C$20,$B44,$G$17)</f>
        <v>Recettes commerciales- engagement contractuel</v>
      </c>
      <c r="G44" s="147"/>
      <c r="H44" s="109"/>
      <c r="I44" s="110">
        <f ca="1">_xll.DBRW(Server&amp;Cube1,$G$13,$G$14,$G$15,$G$16,$G$11,$G$12,I$18,I$1,$B44)</f>
        <v>69132.107039981158</v>
      </c>
      <c r="J44" s="110">
        <f ca="1">_xll.DBRW(Server&amp;Cube1,$G$13,$G$14,$G$15,$G$16,$G$11,$G$12,J$18,J$1,$B44)</f>
        <v>76496.705544752534</v>
      </c>
      <c r="K44" s="110">
        <f ca="1">_xll.DBRW(Server&amp;Cube1,$G$13,$G$14,$G$15,$G$16,$G$11,$G$12,K$18,K$1,$B44)</f>
        <v>0</v>
      </c>
      <c r="L44" s="110">
        <f ca="1">_xll.DBRW(Server&amp;Cube1,$G$13,$G$14,$G$15,$G$16,$G$11,$G$12,L$18,L$1,$B44)</f>
        <v>69336.444693490586</v>
      </c>
      <c r="M44" s="111"/>
      <c r="N44" s="110">
        <f t="shared" ca="1" si="0"/>
        <v>-7364.5985047713766</v>
      </c>
      <c r="O44" s="112">
        <f t="shared" ca="1" si="1"/>
        <v>-9.6273407492861215E-2</v>
      </c>
      <c r="P44" s="113" t="str">
        <f t="shared" ca="1" si="8"/>
        <v>î</v>
      </c>
      <c r="Q44" s="110">
        <f t="shared" ca="1" si="2"/>
        <v>69132.107039981158</v>
      </c>
      <c r="R44" s="112" t="str">
        <f t="shared" ca="1" si="3"/>
        <v>-</v>
      </c>
      <c r="S44" s="113" t="str">
        <f t="shared" ca="1" si="11"/>
        <v>ì</v>
      </c>
      <c r="T44" s="110">
        <f t="shared" ca="1" si="5"/>
        <v>-204.33765350942849</v>
      </c>
      <c r="U44" s="112">
        <f t="shared" ca="1" si="6"/>
        <v>-2.9470454450430169E-3</v>
      </c>
      <c r="V44" s="120" t="str">
        <f t="shared" ca="1" si="12"/>
        <v>è</v>
      </c>
      <c r="W44" s="108"/>
      <c r="X44" s="108"/>
      <c r="Y44" s="108"/>
      <c r="Z44" s="108"/>
      <c r="AA44" s="108"/>
      <c r="AB44" s="108"/>
      <c r="AC44" s="108"/>
    </row>
    <row r="45" spans="2:29" ht="22.5" customHeight="1">
      <c r="B45" s="119" t="s">
        <v>56</v>
      </c>
      <c r="C45" s="56" t="str">
        <f ca="1">_xll.DBRA(Server&amp;$C$20,$B45,$G$17)</f>
        <v>Recettes commerciales - Ecart sur engagement contractuel</v>
      </c>
      <c r="D45" s="73"/>
      <c r="E45" s="73"/>
      <c r="F45" s="147" t="str">
        <f ca="1">_xll.DBRA(Server&amp;$C$20,$B45,$G$17)</f>
        <v>Recettes commerciales - Ecart sur engagement contractuel</v>
      </c>
      <c r="G45" s="147"/>
      <c r="H45" s="109"/>
      <c r="I45" s="110">
        <f ca="1">_xll.DBRW(Server&amp;Cube1,$G$13,$G$14,$G$15,$G$16,$G$11,$G$12,I$18,I$1,$B45)</f>
        <v>794.16112834693047</v>
      </c>
      <c r="J45" s="110">
        <f ca="1">_xll.DBRW(Server&amp;Cube1,$G$13,$G$14,$G$15,$G$16,$G$11,$G$12,J$18,J$1,$B45)</f>
        <v>325.8966754901964</v>
      </c>
      <c r="K45" s="110">
        <f ca="1">_xll.DBRW(Server&amp;Cube1,$G$13,$G$14,$G$15,$G$16,$G$11,$G$12,K$18,K$1,$B45)</f>
        <v>0</v>
      </c>
      <c r="L45" s="110">
        <f ca="1">_xll.DBRW(Server&amp;Cube1,$G$13,$G$14,$G$15,$G$16,$G$11,$G$12,L$18,L$1,$B45)</f>
        <v>1127.6344287320803</v>
      </c>
      <c r="M45" s="111"/>
      <c r="N45" s="110">
        <f t="shared" ca="1" si="0"/>
        <v>468.26445285673407</v>
      </c>
      <c r="O45" s="112">
        <f t="shared" ca="1" si="1"/>
        <v>1.4368494313493552</v>
      </c>
      <c r="P45" s="113" t="str">
        <f t="shared" ca="1" si="8"/>
        <v>ì</v>
      </c>
      <c r="Q45" s="110">
        <f t="shared" ca="1" si="2"/>
        <v>794.16112834693047</v>
      </c>
      <c r="R45" s="112" t="str">
        <f t="shared" ca="1" si="3"/>
        <v>-</v>
      </c>
      <c r="S45" s="113" t="str">
        <f t="shared" ca="1" si="11"/>
        <v>ì</v>
      </c>
      <c r="T45" s="110">
        <f t="shared" ca="1" si="5"/>
        <v>-333.47330038514986</v>
      </c>
      <c r="U45" s="112">
        <f t="shared" ca="1" si="6"/>
        <v>-0.29572820045953141</v>
      </c>
      <c r="V45" s="120" t="str">
        <f t="shared" ca="1" si="12"/>
        <v>î</v>
      </c>
      <c r="W45" s="108"/>
      <c r="X45" s="108"/>
      <c r="Y45" s="108"/>
      <c r="Z45" s="108"/>
      <c r="AA45" s="108"/>
      <c r="AB45" s="108"/>
      <c r="AC45" s="108"/>
    </row>
    <row r="46" spans="2:29" ht="22.5" customHeight="1">
      <c r="B46" s="119" t="s">
        <v>57</v>
      </c>
      <c r="C46" s="56" t="str">
        <f ca="1">_xll.DBRA(Server&amp;$C$20,$B46,$G$17)</f>
        <v>Recettes commerciales non garanties ni engagées (RC)</v>
      </c>
      <c r="D46" s="73"/>
      <c r="E46" s="73"/>
      <c r="F46" s="147" t="str">
        <f ca="1">_xll.DBRA(Server&amp;$C$20,$B46,$G$17)</f>
        <v>Recettes commerciales non garanties ni engagées (RC)</v>
      </c>
      <c r="G46" s="147"/>
      <c r="H46" s="109"/>
      <c r="I46" s="110">
        <f ca="1">_xll.DBRW(Server&amp;Cube1,$G$13,$G$14,$G$15,$G$16,$G$11,$G$12,I$18,I$1,$B46)</f>
        <v>141628.60908625231</v>
      </c>
      <c r="J46" s="110">
        <f ca="1">_xll.DBRW(Server&amp;Cube1,$G$13,$G$14,$G$15,$G$16,$G$11,$G$12,J$18,J$1,$B46)</f>
        <v>149197.57240574725</v>
      </c>
      <c r="K46" s="110">
        <f ca="1">_xll.DBRW(Server&amp;Cube1,$G$13,$G$14,$G$15,$G$16,$G$11,$G$12,K$18,K$1,$B46)</f>
        <v>0</v>
      </c>
      <c r="L46" s="110">
        <f ca="1">_xll.DBRW(Server&amp;Cube1,$G$13,$G$14,$G$15,$G$16,$G$11,$G$12,L$18,L$1,$B46)</f>
        <v>226612.9897603979</v>
      </c>
      <c r="M46" s="111"/>
      <c r="N46" s="110">
        <f t="shared" ca="1" si="0"/>
        <v>-7568.963319494942</v>
      </c>
      <c r="O46" s="112">
        <f t="shared" ca="1" si="1"/>
        <v>-5.0731142587969999E-2</v>
      </c>
      <c r="P46" s="113" t="str">
        <f t="shared" ca="1" si="8"/>
        <v>î</v>
      </c>
      <c r="Q46" s="110">
        <f t="shared" ca="1" si="2"/>
        <v>141628.60908625231</v>
      </c>
      <c r="R46" s="112" t="str">
        <f t="shared" ca="1" si="3"/>
        <v>-</v>
      </c>
      <c r="S46" s="113" t="str">
        <f t="shared" ca="1" si="11"/>
        <v>ì</v>
      </c>
      <c r="T46" s="110">
        <f t="shared" ca="1" si="5"/>
        <v>-84984.380674145592</v>
      </c>
      <c r="U46" s="112">
        <f t="shared" ca="1" si="6"/>
        <v>-0.37501989962711824</v>
      </c>
      <c r="V46" s="120" t="str">
        <f t="shared" ca="1" si="12"/>
        <v>î</v>
      </c>
      <c r="W46" s="108"/>
      <c r="X46" s="108"/>
      <c r="Y46" s="108"/>
      <c r="Z46" s="108"/>
      <c r="AA46" s="108"/>
      <c r="AB46" s="108"/>
      <c r="AC46" s="108"/>
    </row>
    <row r="47" spans="2:29" ht="22.5" customHeight="1">
      <c r="B47" s="119" t="s">
        <v>87</v>
      </c>
      <c r="C47" s="56" t="str">
        <f ca="1">_xll.DBRA(Server&amp;$C$20,$B47,$G$17)</f>
        <v>Indexation energie</v>
      </c>
      <c r="D47" s="73"/>
      <c r="E47" s="73"/>
      <c r="F47" s="147" t="str">
        <f ca="1">_xll.DBRA(Server&amp;$C$20,$B47,$G$17)</f>
        <v>Indexation energie</v>
      </c>
      <c r="G47" s="147"/>
      <c r="H47" s="109"/>
      <c r="I47" s="110">
        <f ca="1">_xll.DBRW(Server&amp;Cube1,$G$13,$G$14,$G$15,$G$16,$G$11,$G$12,I$18,I$1,$B47)</f>
        <v>95.460674389703698</v>
      </c>
      <c r="J47" s="110">
        <f ca="1">_xll.DBRW(Server&amp;Cube1,$G$13,$G$14,$G$15,$G$16,$G$11,$G$12,J$18,J$1,$B47)</f>
        <v>1414.1330884973902</v>
      </c>
      <c r="K47" s="110">
        <f ca="1">_xll.DBRW(Server&amp;Cube1,$G$13,$G$14,$G$15,$G$16,$G$11,$G$12,K$18,K$1,$B47)</f>
        <v>0</v>
      </c>
      <c r="L47" s="110">
        <f ca="1">_xll.DBRW(Server&amp;Cube1,$G$13,$G$14,$G$15,$G$16,$G$11,$G$12,L$18,L$1,$B47)</f>
        <v>1027.2150138756504</v>
      </c>
      <c r="M47" s="111"/>
      <c r="N47" s="110">
        <f t="shared" ca="1" si="0"/>
        <v>-1318.6724141076866</v>
      </c>
      <c r="O47" s="112">
        <f t="shared" ca="1" si="1"/>
        <v>-0.93249526853859499</v>
      </c>
      <c r="P47" s="113" t="str">
        <f t="shared" ca="1" si="8"/>
        <v>î</v>
      </c>
      <c r="Q47" s="110">
        <f t="shared" ca="1" si="2"/>
        <v>95.460674389703698</v>
      </c>
      <c r="R47" s="112" t="str">
        <f t="shared" ca="1" si="3"/>
        <v>-</v>
      </c>
      <c r="S47" s="113" t="str">
        <f t="shared" ca="1" si="11"/>
        <v>ì</v>
      </c>
      <c r="T47" s="110">
        <f t="shared" ca="1" si="5"/>
        <v>-931.75433948594662</v>
      </c>
      <c r="U47" s="112">
        <f t="shared" ca="1" si="6"/>
        <v>-0.90706845879371101</v>
      </c>
      <c r="V47" s="120" t="str">
        <f t="shared" ca="1" si="12"/>
        <v>î</v>
      </c>
      <c r="W47" s="108"/>
      <c r="X47" s="108"/>
      <c r="Y47" s="108"/>
      <c r="Z47" s="108"/>
      <c r="AA47" s="108"/>
      <c r="AB47" s="108"/>
      <c r="AC47" s="108"/>
    </row>
    <row r="48" spans="2:29" ht="22.5" customHeight="1">
      <c r="B48" s="118" t="s">
        <v>88</v>
      </c>
      <c r="C48" s="56" t="str">
        <f ca="1">_xll.DBRA(Server&amp;$C$20,$B48,$G$17)</f>
        <v>Autres prestations de services et publicité</v>
      </c>
      <c r="D48" s="73"/>
      <c r="E48" s="73"/>
      <c r="F48" s="154" t="str">
        <f ca="1">_xll.DBRA(Server&amp;$C$20,$B48,$G$17)</f>
        <v>Autres prestations de services et publicité</v>
      </c>
      <c r="G48" s="154"/>
      <c r="H48" s="66"/>
      <c r="I48" s="141">
        <f ca="1">_xll.DBRW(Server&amp;Cube1,$G$13,$G$14,$G$15,$G$16,$G$11,$G$12,I$18,I$1,$B48)</f>
        <v>26465.527521471071</v>
      </c>
      <c r="J48" s="141">
        <f ca="1">_xll.DBRW(Server&amp;Cube1,$G$13,$G$14,$G$15,$G$16,$G$11,$G$12,J$18,J$1,$B48)</f>
        <v>56790.070458908558</v>
      </c>
      <c r="K48" s="141">
        <f ca="1">_xll.DBRW(Server&amp;Cube1,$G$13,$G$14,$G$15,$G$16,$G$11,$G$12,K$18,K$1,$B48)</f>
        <v>-2.5997500000000002</v>
      </c>
      <c r="L48" s="141">
        <f ca="1">_xll.DBRW(Server&amp;Cube1,$G$13,$G$14,$G$15,$G$16,$G$11,$G$12,L$18,L$1,$B48)</f>
        <v>72653.433691454004</v>
      </c>
      <c r="M48" s="57"/>
      <c r="N48" s="141">
        <f t="shared" ca="1" si="0"/>
        <v>-30324.542937437487</v>
      </c>
      <c r="O48" s="142">
        <f t="shared" ca="1" si="1"/>
        <v>-0.53397614569573981</v>
      </c>
      <c r="P48" s="113" t="str">
        <f t="shared" ca="1" si="8"/>
        <v>î</v>
      </c>
      <c r="Q48" s="141">
        <f t="shared" ca="1" si="2"/>
        <v>26468.127271471072</v>
      </c>
      <c r="R48" s="142" t="str">
        <f t="shared" ca="1" si="3"/>
        <v>-</v>
      </c>
      <c r="S48" s="113" t="str">
        <f t="shared" ca="1" si="11"/>
        <v>ì</v>
      </c>
      <c r="T48" s="141">
        <f t="shared" ca="1" si="5"/>
        <v>-46187.906169982933</v>
      </c>
      <c r="U48" s="142">
        <f t="shared" ca="1" si="6"/>
        <v>-0.63572915722241863</v>
      </c>
      <c r="V48" s="113" t="str">
        <f t="shared" ca="1" si="12"/>
        <v>î</v>
      </c>
      <c r="W48" s="108"/>
      <c r="X48" s="108"/>
      <c r="Y48" s="108"/>
      <c r="Z48" s="108"/>
      <c r="AA48" s="108"/>
      <c r="AB48" s="108"/>
      <c r="AC48" s="108"/>
    </row>
    <row r="49" spans="2:29" ht="22.5" customHeight="1">
      <c r="B49" s="119" t="s">
        <v>59</v>
      </c>
      <c r="C49" s="56" t="str">
        <f ca="1">_xll.DBRA(Server&amp;$C$20,$B49,$G$17)</f>
        <v>Revenu de la publicité</v>
      </c>
      <c r="D49" s="73"/>
      <c r="E49" s="73"/>
      <c r="F49" s="147" t="str">
        <f ca="1">_xll.DBRA(Server&amp;$C$20,$B49,$G$17)</f>
        <v>Revenu de la publicité</v>
      </c>
      <c r="G49" s="147"/>
      <c r="H49" s="109"/>
      <c r="I49" s="110">
        <f ca="1">_xll.DBRW(Server&amp;Cube1,$G$13,$G$14,$G$15,$G$16,$G$11,$G$12,I$18,I$1,$B49)</f>
        <v>1269.7383195051841</v>
      </c>
      <c r="J49" s="110">
        <f ca="1">_xll.DBRW(Server&amp;Cube1,$G$13,$G$14,$G$15,$G$16,$G$11,$G$12,J$18,J$1,$B49)</f>
        <v>1226.403258010816</v>
      </c>
      <c r="K49" s="110">
        <f ca="1">_xll.DBRW(Server&amp;Cube1,$G$13,$G$14,$G$15,$G$16,$G$11,$G$12,K$18,K$1,$B49)</f>
        <v>0</v>
      </c>
      <c r="L49" s="110">
        <f ca="1">_xll.DBRW(Server&amp;Cube1,$G$13,$G$14,$G$15,$G$16,$G$11,$G$12,L$18,L$1,$B49)</f>
        <v>1309.2372874449375</v>
      </c>
      <c r="M49" s="111"/>
      <c r="N49" s="110">
        <f t="shared" ca="1" si="0"/>
        <v>43.335061494368119</v>
      </c>
      <c r="O49" s="112">
        <f t="shared" ca="1" si="1"/>
        <v>3.533508347381277E-2</v>
      </c>
      <c r="P49" s="113" t="str">
        <f t="shared" ca="1" si="8"/>
        <v>ì</v>
      </c>
      <c r="Q49" s="110">
        <f t="shared" ca="1" si="2"/>
        <v>1269.7383195051841</v>
      </c>
      <c r="R49" s="112" t="str">
        <f t="shared" ca="1" si="3"/>
        <v>-</v>
      </c>
      <c r="S49" s="113" t="str">
        <f t="shared" ca="1" si="11"/>
        <v>ì</v>
      </c>
      <c r="T49" s="110">
        <f t="shared" ca="1" si="5"/>
        <v>-39.498967939753356</v>
      </c>
      <c r="U49" s="112">
        <f t="shared" ca="1" si="6"/>
        <v>-3.0169449280533542E-2</v>
      </c>
      <c r="V49" s="120" t="str">
        <f t="shared" ca="1" si="12"/>
        <v>î</v>
      </c>
      <c r="W49" s="108"/>
      <c r="X49" s="108"/>
      <c r="Y49" s="108"/>
      <c r="Z49" s="108"/>
      <c r="AA49" s="108"/>
      <c r="AB49" s="108"/>
      <c r="AC49" s="108"/>
    </row>
    <row r="50" spans="2:29" ht="22.5" customHeight="1">
      <c r="B50" s="119" t="s">
        <v>60</v>
      </c>
      <c r="C50" s="56" t="str">
        <f ca="1">_xll.DBRA(Server&amp;$C$20,$B50,$G$17)</f>
        <v>Autres revenus non liés à des activités de transport de voyageurs</v>
      </c>
      <c r="D50" s="73"/>
      <c r="E50" s="73"/>
      <c r="F50" s="147" t="str">
        <f ca="1">_xll.DBRA(Server&amp;$C$20,$B50,$G$17)</f>
        <v>Autres revenus non liés à des activités de transport de voyageurs</v>
      </c>
      <c r="G50" s="147"/>
      <c r="H50" s="109"/>
      <c r="I50" s="110">
        <f ca="1">_xll.DBRW(Server&amp;Cube1,$G$13,$G$14,$G$15,$G$16,$G$11,$G$12,I$18,I$1,$B50)</f>
        <v>25195.789201965894</v>
      </c>
      <c r="J50" s="110">
        <f ca="1">_xll.DBRW(Server&amp;Cube1,$G$13,$G$14,$G$15,$G$16,$G$11,$G$12,J$18,J$1,$B50)</f>
        <v>55563.667200897755</v>
      </c>
      <c r="K50" s="110">
        <f ca="1">_xll.DBRW(Server&amp;Cube1,$G$13,$G$14,$G$15,$G$16,$G$11,$G$12,K$18,K$1,$B50)</f>
        <v>-2.5997500000000002</v>
      </c>
      <c r="L50" s="110">
        <f ca="1">_xll.DBRW(Server&amp;Cube1,$G$13,$G$14,$G$15,$G$16,$G$11,$G$12,L$18,L$1,$B50)</f>
        <v>71344.196404009039</v>
      </c>
      <c r="M50" s="111"/>
      <c r="N50" s="110">
        <f t="shared" ca="1" si="0"/>
        <v>-30367.877998931861</v>
      </c>
      <c r="O50" s="112">
        <f t="shared" ca="1" si="1"/>
        <v>-0.54654200359261385</v>
      </c>
      <c r="P50" s="113" t="str">
        <f t="shared" ca="1" si="8"/>
        <v>î</v>
      </c>
      <c r="Q50" s="110">
        <f t="shared" ca="1" si="2"/>
        <v>25198.388951965895</v>
      </c>
      <c r="R50" s="112" t="str">
        <f t="shared" ca="1" si="3"/>
        <v>-</v>
      </c>
      <c r="S50" s="113" t="str">
        <f t="shared" ca="1" si="11"/>
        <v>ì</v>
      </c>
      <c r="T50" s="110">
        <f t="shared" ca="1" si="5"/>
        <v>-46148.407202043149</v>
      </c>
      <c r="U50" s="112">
        <f t="shared" ca="1" si="6"/>
        <v>-0.64684178290709482</v>
      </c>
      <c r="V50" s="120" t="str">
        <f t="shared" ca="1" si="12"/>
        <v>î</v>
      </c>
      <c r="W50" s="108"/>
      <c r="X50" s="108"/>
      <c r="Y50" s="108"/>
      <c r="Z50" s="108"/>
      <c r="AA50" s="108"/>
      <c r="AB50" s="108"/>
      <c r="AC50" s="108"/>
    </row>
    <row r="51" spans="2:29" ht="22.5" customHeight="1">
      <c r="B51" s="118" t="s">
        <v>89</v>
      </c>
      <c r="C51" s="56" t="str">
        <f ca="1">_xll.DBRA(Server&amp;$C$20,$B51,$G$17)</f>
        <v>Subventions d'exploitation (garanties et variables)</v>
      </c>
      <c r="D51" s="73"/>
      <c r="E51" s="73"/>
      <c r="F51" s="154" t="str">
        <f ca="1">_xll.DBRA(Server&amp;$C$20,$B51,$G$17)</f>
        <v>Subventions d'exploitation (garanties et variables)</v>
      </c>
      <c r="G51" s="154"/>
      <c r="H51" s="66"/>
      <c r="I51" s="141">
        <f ca="1">_xll.DBRW(Server&amp;Cube1,$G$13,$G$14,$G$15,$G$16,$G$11,$G$12,I$18,I$1,$B51)</f>
        <v>378416.26532150107</v>
      </c>
      <c r="J51" s="141">
        <f ca="1">_xll.DBRW(Server&amp;Cube1,$G$13,$G$14,$G$15,$G$16,$G$11,$G$12,J$18,J$1,$B51)</f>
        <v>375822.38766032824</v>
      </c>
      <c r="K51" s="141">
        <f ca="1">_xll.DBRW(Server&amp;Cube1,$G$13,$G$14,$G$15,$G$16,$G$11,$G$12,K$18,K$1,$B51)</f>
        <v>0</v>
      </c>
      <c r="L51" s="141">
        <f ca="1">_xll.DBRW(Server&amp;Cube1,$G$13,$G$14,$G$15,$G$16,$G$11,$G$12,L$18,L$1,$B51)</f>
        <v>425536.44883391354</v>
      </c>
      <c r="M51" s="57"/>
      <c r="N51" s="141">
        <f t="shared" ca="1" si="0"/>
        <v>2593.8776611728244</v>
      </c>
      <c r="O51" s="142">
        <f t="shared" ca="1" si="1"/>
        <v>6.9018710602126105E-3</v>
      </c>
      <c r="P51" s="113" t="str">
        <f t="shared" ca="1" si="8"/>
        <v>è</v>
      </c>
      <c r="Q51" s="141">
        <f t="shared" ca="1" si="2"/>
        <v>378416.26532150107</v>
      </c>
      <c r="R51" s="142" t="str">
        <f t="shared" ca="1" si="3"/>
        <v>-</v>
      </c>
      <c r="S51" s="113" t="str">
        <f t="shared" ca="1" si="11"/>
        <v>ì</v>
      </c>
      <c r="T51" s="141">
        <f t="shared" ca="1" si="5"/>
        <v>-47120.183512412477</v>
      </c>
      <c r="U51" s="142">
        <f t="shared" ca="1" si="6"/>
        <v>-0.11073125143929431</v>
      </c>
      <c r="V51" s="113" t="str">
        <f t="shared" ca="1" si="12"/>
        <v>î</v>
      </c>
      <c r="W51" s="108"/>
      <c r="X51" s="108"/>
      <c r="Y51" s="108"/>
      <c r="Z51" s="108"/>
      <c r="AA51" s="108"/>
      <c r="AB51" s="108"/>
      <c r="AC51" s="108"/>
    </row>
    <row r="52" spans="2:29" ht="22.5" customHeight="1">
      <c r="B52" s="119" t="s">
        <v>62</v>
      </c>
      <c r="C52" s="56" t="str">
        <f ca="1">_xll.DBRA(Server&amp;$C$20,$B52,$G$17)</f>
        <v>Subventions d'exploitation guaranties</v>
      </c>
      <c r="D52" s="73"/>
      <c r="E52" s="73"/>
      <c r="F52" s="147" t="str">
        <f ca="1">_xll.DBRA(Server&amp;$C$20,$B52,$G$17)</f>
        <v>Subventions d'exploitation guaranties</v>
      </c>
      <c r="G52" s="147"/>
      <c r="H52" s="109"/>
      <c r="I52" s="110">
        <f ca="1">_xll.DBRW(Server&amp;Cube1,$G$13,$G$14,$G$15,$G$16,$G$11,$G$12,I$18,I$1,$B52)</f>
        <v>362475.8528277672</v>
      </c>
      <c r="J52" s="110">
        <f ca="1">_xll.DBRW(Server&amp;Cube1,$G$13,$G$14,$G$15,$G$16,$G$11,$G$12,J$18,J$1,$B52)</f>
        <v>367661.90199202381</v>
      </c>
      <c r="K52" s="110">
        <f ca="1">_xll.DBRW(Server&amp;Cube1,$G$13,$G$14,$G$15,$G$16,$G$11,$G$12,K$18,K$1,$B52)</f>
        <v>0</v>
      </c>
      <c r="L52" s="110">
        <f ca="1">_xll.DBRW(Server&amp;Cube1,$G$13,$G$14,$G$15,$G$16,$G$11,$G$12,L$18,L$1,$B52)</f>
        <v>351374.98421322432</v>
      </c>
      <c r="M52" s="111"/>
      <c r="N52" s="110">
        <f t="shared" ca="1" si="0"/>
        <v>-5186.0491642566049</v>
      </c>
      <c r="O52" s="112">
        <f t="shared" ca="1" si="1"/>
        <v>-1.4105484240162346E-2</v>
      </c>
      <c r="P52" s="113" t="str">
        <f t="shared" ca="1" si="8"/>
        <v>î</v>
      </c>
      <c r="Q52" s="110">
        <f t="shared" ca="1" si="2"/>
        <v>362475.8528277672</v>
      </c>
      <c r="R52" s="112" t="str">
        <f t="shared" ca="1" si="3"/>
        <v>-</v>
      </c>
      <c r="S52" s="113" t="str">
        <f t="shared" ca="1" si="11"/>
        <v>ì</v>
      </c>
      <c r="T52" s="110">
        <f t="shared" ca="1" si="5"/>
        <v>11100.86861454288</v>
      </c>
      <c r="U52" s="112">
        <f t="shared" ca="1" si="6"/>
        <v>3.1592654893743258E-2</v>
      </c>
      <c r="V52" s="120" t="str">
        <f t="shared" ca="1" si="12"/>
        <v>ì</v>
      </c>
      <c r="W52" s="108"/>
      <c r="X52" s="108"/>
      <c r="Y52" s="108"/>
      <c r="Z52" s="108"/>
      <c r="AA52" s="108"/>
      <c r="AB52" s="108"/>
      <c r="AC52" s="108"/>
    </row>
    <row r="53" spans="2:29" ht="22.5" customHeight="1">
      <c r="B53" s="119" t="s">
        <v>63</v>
      </c>
      <c r="C53" s="56" t="str">
        <f ca="1">_xll.DBRA(Server&amp;$C$20,$B53,$G$17)</f>
        <v>Subventions d'exploitation variables</v>
      </c>
      <c r="D53" s="73"/>
      <c r="E53" s="73"/>
      <c r="F53" s="147" t="str">
        <f ca="1">_xll.DBRA(Server&amp;$C$20,$B53,$G$17)</f>
        <v>Subventions d'exploitation variables</v>
      </c>
      <c r="G53" s="147"/>
      <c r="H53" s="109"/>
      <c r="I53" s="110">
        <f ca="1">_xll.DBRW(Server&amp;Cube1,$G$13,$G$14,$G$15,$G$16,$G$11,$G$12,I$18,I$1,$B53)</f>
        <v>6021.9552337338264</v>
      </c>
      <c r="J53" s="110">
        <f ca="1">_xll.DBRW(Server&amp;Cube1,$G$13,$G$14,$G$15,$G$16,$G$11,$G$12,J$18,J$1,$B53)</f>
        <v>8160.4856683044063</v>
      </c>
      <c r="K53" s="110">
        <f ca="1">_xll.DBRW(Server&amp;Cube1,$G$13,$G$14,$G$15,$G$16,$G$11,$G$12,K$18,K$1,$B53)</f>
        <v>0</v>
      </c>
      <c r="L53" s="110">
        <f ca="1">_xll.DBRW(Server&amp;Cube1,$G$13,$G$14,$G$15,$G$16,$G$11,$G$12,L$18,L$1,$B53)</f>
        <v>74161.464620689265</v>
      </c>
      <c r="M53" s="111"/>
      <c r="N53" s="110">
        <f t="shared" ca="1" si="0"/>
        <v>-2138.5304345705799</v>
      </c>
      <c r="O53" s="112">
        <f t="shared" ca="1" si="1"/>
        <v>-0.26205921087230166</v>
      </c>
      <c r="P53" s="113" t="str">
        <f t="shared" ca="1" si="8"/>
        <v>î</v>
      </c>
      <c r="Q53" s="110">
        <f t="shared" ca="1" si="2"/>
        <v>6021.9552337338264</v>
      </c>
      <c r="R53" s="112" t="str">
        <f t="shared" ca="1" si="3"/>
        <v>-</v>
      </c>
      <c r="S53" s="113" t="str">
        <f t="shared" ca="1" si="11"/>
        <v>ì</v>
      </c>
      <c r="T53" s="110">
        <f t="shared" ca="1" si="5"/>
        <v>-68139.50938695544</v>
      </c>
      <c r="U53" s="112">
        <f t="shared" ca="1" si="6"/>
        <v>-0.91879940256662829</v>
      </c>
      <c r="V53" s="120" t="str">
        <f t="shared" ca="1" si="12"/>
        <v>î</v>
      </c>
      <c r="W53" s="108"/>
      <c r="X53" s="108"/>
      <c r="Y53" s="108"/>
      <c r="Z53" s="108"/>
      <c r="AA53" s="108"/>
      <c r="AB53" s="108"/>
      <c r="AC53" s="108"/>
    </row>
    <row r="54" spans="2:29" ht="22.5" customHeight="1">
      <c r="B54" s="119"/>
      <c r="C54" s="56"/>
      <c r="D54" s="73"/>
      <c r="E54" s="73"/>
      <c r="F54" s="133"/>
      <c r="G54" s="133"/>
      <c r="H54" s="109"/>
      <c r="I54" s="110"/>
      <c r="J54" s="110"/>
      <c r="K54" s="110"/>
      <c r="L54" s="110"/>
      <c r="M54" s="111"/>
      <c r="N54" s="110"/>
      <c r="O54" s="112"/>
      <c r="P54" s="113"/>
      <c r="Q54" s="110"/>
      <c r="R54" s="112"/>
      <c r="S54" s="113"/>
      <c r="T54" s="110"/>
      <c r="U54" s="112"/>
      <c r="V54" s="120"/>
      <c r="W54" s="108"/>
      <c r="X54" s="108"/>
      <c r="Y54" s="108"/>
      <c r="Z54" s="108"/>
      <c r="AA54" s="108"/>
      <c r="AB54" s="108"/>
      <c r="AC54" s="108"/>
    </row>
    <row r="55" spans="2:29" ht="22.5" customHeight="1">
      <c r="B55" s="121" t="s">
        <v>65</v>
      </c>
      <c r="C55" s="56" t="str">
        <f ca="1">_xll.DBRA(Server&amp;$C$20,$B55,$G$17)</f>
        <v>Revenus ajustés sur l'année antérieure</v>
      </c>
      <c r="D55" s="73"/>
      <c r="E55" s="73"/>
      <c r="F55" s="153" t="str">
        <f ca="1">_xll.DBRA(Server&amp;$C$20,$B55,$G$17)</f>
        <v>Revenus ajustés sur l'année antérieure</v>
      </c>
      <c r="G55" s="153"/>
      <c r="H55" s="66"/>
      <c r="I55" s="137">
        <f ca="1">_xll.DBRW(Server&amp;Cube1,$G$13,$G$14,$G$15,$G$16,$G$11,$G$12,I$18,I$1,$B55)</f>
        <v>0</v>
      </c>
      <c r="J55" s="137">
        <f ca="1">_xll.DBRW(Server&amp;Cube1,$G$13,$G$14,$G$15,$G$16,$G$11,$G$12,J$18,J$1,$B55)</f>
        <v>0</v>
      </c>
      <c r="K55" s="137">
        <f ca="1">_xll.DBRW(Server&amp;Cube1,$G$13,$G$14,$G$15,$G$16,$G$11,$G$12,K$18,K$1,$B55)</f>
        <v>0</v>
      </c>
      <c r="L55" s="137">
        <f ca="1">_xll.DBRW(Server&amp;Cube1,$G$13,$G$14,$G$15,$G$16,$G$11,$G$12,L$18,L$1,$B55)</f>
        <v>-0.84948000000000001</v>
      </c>
      <c r="M55" s="57"/>
      <c r="N55" s="137">
        <f t="shared" ca="1" si="0"/>
        <v>0</v>
      </c>
      <c r="O55" s="138" t="str">
        <f t="shared" ca="1" si="1"/>
        <v>-</v>
      </c>
      <c r="P55" s="139" t="str">
        <f t="shared" ca="1" si="8"/>
        <v>è</v>
      </c>
      <c r="Q55" s="137">
        <f t="shared" ca="1" si="2"/>
        <v>0</v>
      </c>
      <c r="R55" s="138" t="str">
        <f t="shared" ca="1" si="3"/>
        <v>-</v>
      </c>
      <c r="S55" s="139" t="str">
        <f t="shared" ref="S55:S58" ca="1" si="13">IF(OR(AND(R55&gt;0.01,Q55&lt;0),AND(R55&lt;-0.01,Q55&lt;0)),"î",IF(OR(AND(R55&lt;-0.01,Q55&gt;0),AND(R55&gt;0.01,Q55&gt;0)),"ì","è"))</f>
        <v>è</v>
      </c>
      <c r="T55" s="137">
        <f t="shared" ca="1" si="5"/>
        <v>0.84948000000000001</v>
      </c>
      <c r="U55" s="138">
        <f t="shared" ca="1" si="6"/>
        <v>-1</v>
      </c>
      <c r="V55" s="140" t="str">
        <f t="shared" ref="V55:V58" ca="1" si="14">IF(OR(AND(U55&gt;0.01,T55&lt;0),AND(U55&lt;-0.01,T55&lt;0)),"î",IF(OR(AND(U55&lt;-0.01,T55&gt;0),AND(U55&gt;0.01,T55&gt;0)),"ì","è"))</f>
        <v>ì</v>
      </c>
      <c r="W55" s="108"/>
      <c r="X55" s="108"/>
      <c r="Y55" s="108"/>
      <c r="Z55" s="108"/>
      <c r="AA55" s="108"/>
      <c r="AB55" s="108"/>
      <c r="AC55" s="108"/>
    </row>
    <row r="56" spans="2:29" ht="22.5" customHeight="1">
      <c r="B56" s="117" t="s">
        <v>66</v>
      </c>
      <c r="C56" s="56" t="str">
        <f ca="1">_xll.DBRA(Server&amp;$C$20,$B56,$G$17)</f>
        <v>Recettes commerciales intégralement garanties par l'AO (RP)</v>
      </c>
      <c r="D56" s="73"/>
      <c r="E56" s="73"/>
      <c r="F56" s="147" t="str">
        <f ca="1">_xll.DBRA(Server&amp;$C$20,$B56,$G$17)</f>
        <v>Recettes commerciales intégralement garanties par l'AO (RP)</v>
      </c>
      <c r="G56" s="147"/>
      <c r="H56" s="109"/>
      <c r="I56" s="110">
        <f ca="1">_xll.DBRW(Server&amp;Cube1,$G$13,$G$14,$G$15,$G$16,$G$11,$G$12,I$18,I$1,$B56)</f>
        <v>0</v>
      </c>
      <c r="J56" s="110">
        <f ca="1">_xll.DBRW(Server&amp;Cube1,$G$13,$G$14,$G$15,$G$16,$G$11,$G$12,J$18,J$1,$B56)</f>
        <v>0</v>
      </c>
      <c r="K56" s="110">
        <f ca="1">_xll.DBRW(Server&amp;Cube1,$G$13,$G$14,$G$15,$G$16,$G$11,$G$12,K$18,K$1,$B56)</f>
        <v>0</v>
      </c>
      <c r="L56" s="110">
        <f ca="1">_xll.DBRW(Server&amp;Cube1,$G$13,$G$14,$G$15,$G$16,$G$11,$G$12,L$18,L$1,$B56)</f>
        <v>0</v>
      </c>
      <c r="M56" s="111"/>
      <c r="N56" s="110">
        <f t="shared" ca="1" si="0"/>
        <v>0</v>
      </c>
      <c r="O56" s="112" t="str">
        <f t="shared" ca="1" si="1"/>
        <v>-</v>
      </c>
      <c r="P56" s="113" t="str">
        <f t="shared" ca="1" si="8"/>
        <v>è</v>
      </c>
      <c r="Q56" s="110">
        <f t="shared" ca="1" si="2"/>
        <v>0</v>
      </c>
      <c r="R56" s="112" t="str">
        <f t="shared" ca="1" si="3"/>
        <v>-</v>
      </c>
      <c r="S56" s="113" t="str">
        <f t="shared" ca="1" si="13"/>
        <v>è</v>
      </c>
      <c r="T56" s="110">
        <f t="shared" ca="1" si="5"/>
        <v>0</v>
      </c>
      <c r="U56" s="112" t="str">
        <f t="shared" ca="1" si="6"/>
        <v>-</v>
      </c>
      <c r="V56" s="120" t="str">
        <f t="shared" ca="1" si="14"/>
        <v>è</v>
      </c>
      <c r="W56" s="108"/>
      <c r="X56" s="108"/>
      <c r="Y56" s="108"/>
      <c r="Z56" s="108"/>
      <c r="AA56" s="108"/>
      <c r="AB56" s="108"/>
      <c r="AC56" s="108"/>
    </row>
    <row r="57" spans="2:29" ht="22.5" customHeight="1">
      <c r="B57" s="117" t="s">
        <v>67</v>
      </c>
      <c r="C57" s="56" t="str">
        <f ca="1">_xll.DBRA(Server&amp;$C$20,$B57,$G$17)</f>
        <v>Recettes commerciales non garanties ni engagées (RP)</v>
      </c>
      <c r="D57" s="73"/>
      <c r="E57" s="73"/>
      <c r="F57" s="147" t="str">
        <f ca="1">_xll.DBRA(Server&amp;$C$20,$B57,$G$17)</f>
        <v>Recettes commerciales non garanties ni engagées (RP)</v>
      </c>
      <c r="G57" s="147"/>
      <c r="H57" s="109"/>
      <c r="I57" s="110">
        <f ca="1">_xll.DBRW(Server&amp;Cube1,$G$13,$G$14,$G$15,$G$16,$G$11,$G$12,I$18,I$1,$B57)</f>
        <v>0</v>
      </c>
      <c r="J57" s="110">
        <f ca="1">_xll.DBRW(Server&amp;Cube1,$G$13,$G$14,$G$15,$G$16,$G$11,$G$12,J$18,J$1,$B57)</f>
        <v>0</v>
      </c>
      <c r="K57" s="110">
        <f ca="1">_xll.DBRW(Server&amp;Cube1,$G$13,$G$14,$G$15,$G$16,$G$11,$G$12,K$18,K$1,$B57)</f>
        <v>0</v>
      </c>
      <c r="L57" s="110">
        <f ca="1">_xll.DBRW(Server&amp;Cube1,$G$13,$G$14,$G$15,$G$16,$G$11,$G$12,L$18,L$1,$B57)</f>
        <v>0</v>
      </c>
      <c r="M57" s="111"/>
      <c r="N57" s="110">
        <f t="shared" ca="1" si="0"/>
        <v>0</v>
      </c>
      <c r="O57" s="112" t="str">
        <f t="shared" ca="1" si="1"/>
        <v>-</v>
      </c>
      <c r="P57" s="113" t="str">
        <f t="shared" ca="1" si="8"/>
        <v>è</v>
      </c>
      <c r="Q57" s="110">
        <f t="shared" ca="1" si="2"/>
        <v>0</v>
      </c>
      <c r="R57" s="112" t="str">
        <f t="shared" ca="1" si="3"/>
        <v>-</v>
      </c>
      <c r="S57" s="113" t="str">
        <f t="shared" ca="1" si="13"/>
        <v>è</v>
      </c>
      <c r="T57" s="110">
        <f t="shared" ca="1" si="5"/>
        <v>0</v>
      </c>
      <c r="U57" s="112" t="str">
        <f t="shared" ca="1" si="6"/>
        <v>-</v>
      </c>
      <c r="V57" s="120" t="str">
        <f t="shared" ca="1" si="14"/>
        <v>è</v>
      </c>
      <c r="W57" s="108"/>
      <c r="X57" s="108"/>
      <c r="Y57" s="108"/>
      <c r="Z57" s="108"/>
      <c r="AA57" s="108"/>
      <c r="AB57" s="108"/>
      <c r="AC57" s="108"/>
    </row>
    <row r="58" spans="2:29" ht="22.5" customHeight="1">
      <c r="B58" s="117" t="s">
        <v>73</v>
      </c>
      <c r="C58" s="56" t="str">
        <f ca="1">_xll.DBRA(Server&amp;$C$20,$B58,$G$17)</f>
        <v>Subventions d'exploitation (RP)</v>
      </c>
      <c r="D58" s="73"/>
      <c r="E58" s="73"/>
      <c r="F58" s="147" t="str">
        <f ca="1">_xll.DBRA(Server&amp;$C$20,$B58,$G$17)</f>
        <v>Subventions d'exploitation (RP)</v>
      </c>
      <c r="G58" s="147"/>
      <c r="H58" s="109"/>
      <c r="I58" s="110">
        <f ca="1">_xll.DBRW(Server&amp;Cube1,$G$13,$G$14,$G$15,$G$16,$G$11,$G$12,I$18,I$1,$B58)</f>
        <v>0</v>
      </c>
      <c r="J58" s="110">
        <f ca="1">_xll.DBRW(Server&amp;Cube1,$G$13,$G$14,$G$15,$G$16,$G$11,$G$12,J$18,J$1,$B58)</f>
        <v>0</v>
      </c>
      <c r="K58" s="110">
        <f ca="1">_xll.DBRW(Server&amp;Cube1,$G$13,$G$14,$G$15,$G$16,$G$11,$G$12,K$18,K$1,$B58)</f>
        <v>0</v>
      </c>
      <c r="L58" s="110">
        <f ca="1">_xll.DBRW(Server&amp;Cube1,$G$13,$G$14,$G$15,$G$16,$G$11,$G$12,L$18,L$1,$B58)</f>
        <v>-0.84948000000000001</v>
      </c>
      <c r="M58" s="111"/>
      <c r="N58" s="110">
        <f t="shared" ca="1" si="0"/>
        <v>0</v>
      </c>
      <c r="O58" s="112" t="str">
        <f t="shared" ca="1" si="1"/>
        <v>-</v>
      </c>
      <c r="P58" s="113" t="str">
        <f t="shared" ca="1" si="8"/>
        <v>è</v>
      </c>
      <c r="Q58" s="110">
        <f t="shared" ca="1" si="2"/>
        <v>0</v>
      </c>
      <c r="R58" s="112" t="str">
        <f t="shared" ca="1" si="3"/>
        <v>-</v>
      </c>
      <c r="S58" s="113" t="str">
        <f t="shared" ca="1" si="13"/>
        <v>è</v>
      </c>
      <c r="T58" s="110">
        <f t="shared" ca="1" si="5"/>
        <v>0.84948000000000001</v>
      </c>
      <c r="U58" s="112">
        <f t="shared" ca="1" si="6"/>
        <v>-1</v>
      </c>
      <c r="V58" s="120" t="str">
        <f t="shared" ca="1" si="14"/>
        <v>ì</v>
      </c>
      <c r="W58" s="108"/>
      <c r="X58" s="108"/>
      <c r="Y58" s="108"/>
      <c r="Z58" s="108"/>
      <c r="AA58" s="108"/>
      <c r="AB58" s="108"/>
      <c r="AC58" s="108"/>
    </row>
    <row r="59" spans="2:29" ht="22.5" customHeight="1">
      <c r="B59" s="117"/>
      <c r="C59" s="56"/>
      <c r="D59" s="73"/>
      <c r="E59" s="73"/>
      <c r="F59" s="133"/>
      <c r="G59" s="133"/>
      <c r="H59" s="109"/>
      <c r="I59" s="110"/>
      <c r="J59" s="110"/>
      <c r="K59" s="110"/>
      <c r="L59" s="110"/>
      <c r="M59" s="111"/>
      <c r="N59" s="110"/>
      <c r="O59" s="112"/>
      <c r="P59" s="113"/>
      <c r="Q59" s="110"/>
      <c r="R59" s="112"/>
      <c r="S59" s="113"/>
      <c r="T59" s="110"/>
      <c r="U59" s="112"/>
      <c r="V59" s="120"/>
      <c r="W59" s="108"/>
      <c r="X59" s="108"/>
      <c r="Y59" s="108"/>
      <c r="Z59" s="108"/>
      <c r="AA59" s="108"/>
      <c r="AB59" s="108"/>
      <c r="AC59" s="108"/>
    </row>
    <row r="60" spans="2:29" ht="27" customHeight="1">
      <c r="B60" s="121" t="s">
        <v>69</v>
      </c>
      <c r="C60" s="56" t="str">
        <f ca="1">_xll.DBRA(Server&amp;$C$20,$B60,$G$17)</f>
        <v>Produit des activités ordinaires - Réconciliation Vector</v>
      </c>
      <c r="D60" s="73"/>
      <c r="E60" s="73"/>
      <c r="F60" s="153" t="str">
        <f ca="1">_xll.DBRA(Server&amp;$C$20,$B60,$G$17)</f>
        <v>Produit des activités ordinaires - Réconciliation Vector</v>
      </c>
      <c r="G60" s="153"/>
      <c r="H60" s="66"/>
      <c r="I60" s="137">
        <f ca="1">_xll.DBRW(Server&amp;Cube1,$G$13,$G$14,$G$15,$G$16,$G$11,$G$12,I$18,I$1,$B60)</f>
        <v>518703.91216515005</v>
      </c>
      <c r="J60" s="137">
        <f ca="1">_xll.DBRW(Server&amp;Cube1,$G$13,$G$14,$G$15,$G$16,$G$11,$G$12,J$18,J$1,$B60)</f>
        <v>199697.1402476166</v>
      </c>
      <c r="K60" s="137">
        <f ca="1">_xll.DBRW(Server&amp;Cube1,$G$13,$G$14,$G$15,$G$16,$G$11,$G$12,K$18,K$1,$B60)</f>
        <v>-735.44225000000006</v>
      </c>
      <c r="L60" s="137">
        <f ca="1">_xll.DBRW(Server&amp;Cube1,$G$13,$G$14,$G$15,$G$16,$G$11,$G$12,L$18,L$1,$B60)</f>
        <v>-2454.9053819738783</v>
      </c>
      <c r="M60" s="57"/>
      <c r="N60" s="137">
        <f t="shared" ca="1" si="0"/>
        <v>319006.77191753348</v>
      </c>
      <c r="O60" s="138">
        <f t="shared" ca="1" si="1"/>
        <v>1.5974528805068398</v>
      </c>
      <c r="P60" s="138"/>
      <c r="Q60" s="137">
        <f t="shared" ca="1" si="2"/>
        <v>519439.35441515007</v>
      </c>
      <c r="R60" s="138" t="str">
        <f t="shared" ca="1" si="3"/>
        <v>-</v>
      </c>
      <c r="S60" s="139"/>
      <c r="T60" s="137">
        <f t="shared" ca="1" si="5"/>
        <v>521158.81754712394</v>
      </c>
      <c r="U60" s="138" t="str">
        <f t="shared" ca="1" si="6"/>
        <v>-</v>
      </c>
      <c r="V60" s="138"/>
    </row>
  </sheetData>
  <sheetProtection password="D70F" sheet="1" objects="1" scenarios="1" formatColumns="0" formatRows="0"/>
  <mergeCells count="40">
    <mergeCell ref="F38:G38"/>
    <mergeCell ref="F39:G39"/>
    <mergeCell ref="F51:G51"/>
    <mergeCell ref="F52:G52"/>
    <mergeCell ref="F57:G57"/>
    <mergeCell ref="F47:G47"/>
    <mergeCell ref="F48:G48"/>
    <mergeCell ref="F50:G50"/>
    <mergeCell ref="F60:G60"/>
    <mergeCell ref="F56:G56"/>
    <mergeCell ref="F31:G31"/>
    <mergeCell ref="F27:G27"/>
    <mergeCell ref="F23:G23"/>
    <mergeCell ref="F24:G24"/>
    <mergeCell ref="F26:G26"/>
    <mergeCell ref="F28:G28"/>
    <mergeCell ref="F33:G33"/>
    <mergeCell ref="F44:G44"/>
    <mergeCell ref="F49:G49"/>
    <mergeCell ref="F40:G40"/>
    <mergeCell ref="F42:G42"/>
    <mergeCell ref="F43:G43"/>
    <mergeCell ref="F45:G45"/>
    <mergeCell ref="F46:G46"/>
    <mergeCell ref="F7:V8"/>
    <mergeCell ref="F21:G21"/>
    <mergeCell ref="F58:G58"/>
    <mergeCell ref="F53:G53"/>
    <mergeCell ref="F32:G32"/>
    <mergeCell ref="N19:P19"/>
    <mergeCell ref="Q19:S19"/>
    <mergeCell ref="T19:V19"/>
    <mergeCell ref="N18:V18"/>
    <mergeCell ref="F25:G25"/>
    <mergeCell ref="F34:G34"/>
    <mergeCell ref="F29:G29"/>
    <mergeCell ref="F55:G55"/>
    <mergeCell ref="F35:G35"/>
    <mergeCell ref="F36:G36"/>
    <mergeCell ref="F37:G37"/>
  </mergeCells>
  <conditionalFormatting sqref="S22">
    <cfRule type="cellIs" dxfId="98" priority="649" stopIfTrue="1" operator="equal">
      <formula>"ì"</formula>
    </cfRule>
    <cfRule type="cellIs" dxfId="97" priority="650" stopIfTrue="1" operator="equal">
      <formula>"î"</formula>
    </cfRule>
    <cfRule type="cellIs" dxfId="96" priority="651" stopIfTrue="1" operator="equal">
      <formula>"è"</formula>
    </cfRule>
  </conditionalFormatting>
  <conditionalFormatting sqref="V22">
    <cfRule type="cellIs" dxfId="95" priority="646" stopIfTrue="1" operator="equal">
      <formula>"ì"</formula>
    </cfRule>
    <cfRule type="cellIs" dxfId="94" priority="647" stopIfTrue="1" operator="equal">
      <formula>"î"</formula>
    </cfRule>
    <cfRule type="cellIs" dxfId="93" priority="648" stopIfTrue="1" operator="equal">
      <formula>"è"</formula>
    </cfRule>
  </conditionalFormatting>
  <conditionalFormatting sqref="P22">
    <cfRule type="cellIs" dxfId="92" priority="589" stopIfTrue="1" operator="equal">
      <formula>"ì"</formula>
    </cfRule>
    <cfRule type="cellIs" dxfId="91" priority="590" stopIfTrue="1" operator="equal">
      <formula>"î"</formula>
    </cfRule>
    <cfRule type="cellIs" dxfId="90" priority="591" stopIfTrue="1" operator="equal">
      <formula>"è"</formula>
    </cfRule>
  </conditionalFormatting>
  <conditionalFormatting sqref="S42">
    <cfRule type="cellIs" dxfId="89" priority="52" stopIfTrue="1" operator="equal">
      <formula>"ì"</formula>
    </cfRule>
    <cfRule type="cellIs" dxfId="88" priority="53" stopIfTrue="1" operator="equal">
      <formula>"î"</formula>
    </cfRule>
    <cfRule type="cellIs" dxfId="87" priority="54" stopIfTrue="1" operator="equal">
      <formula>"è"</formula>
    </cfRule>
  </conditionalFormatting>
  <conditionalFormatting sqref="V42">
    <cfRule type="cellIs" dxfId="86" priority="49" stopIfTrue="1" operator="equal">
      <formula>"ì"</formula>
    </cfRule>
    <cfRule type="cellIs" dxfId="85" priority="50" stopIfTrue="1" operator="equal">
      <formula>"î"</formula>
    </cfRule>
    <cfRule type="cellIs" dxfId="84" priority="51" stopIfTrue="1" operator="equal">
      <formula>"è"</formula>
    </cfRule>
  </conditionalFormatting>
  <conditionalFormatting sqref="P24:P30">
    <cfRule type="cellIs" dxfId="83" priority="64" stopIfTrue="1" operator="equal">
      <formula>"ì"</formula>
    </cfRule>
    <cfRule type="cellIs" dxfId="82" priority="65" stopIfTrue="1" operator="equal">
      <formula>"î"</formula>
    </cfRule>
    <cfRule type="cellIs" dxfId="81" priority="66" stopIfTrue="1" operator="equal">
      <formula>"è"</formula>
    </cfRule>
  </conditionalFormatting>
  <conditionalFormatting sqref="V32:V41 S32:S41">
    <cfRule type="cellIs" dxfId="80" priority="61" stopIfTrue="1" operator="equal">
      <formula>"ì"</formula>
    </cfRule>
    <cfRule type="cellIs" dxfId="79" priority="62" stopIfTrue="1" operator="equal">
      <formula>"î"</formula>
    </cfRule>
    <cfRule type="cellIs" dxfId="78" priority="63" stopIfTrue="1" operator="equal">
      <formula>"è"</formula>
    </cfRule>
  </conditionalFormatting>
  <conditionalFormatting sqref="P32:P41">
    <cfRule type="cellIs" dxfId="77" priority="58" stopIfTrue="1" operator="equal">
      <formula>"ì"</formula>
    </cfRule>
    <cfRule type="cellIs" dxfId="76" priority="59" stopIfTrue="1" operator="equal">
      <formula>"î"</formula>
    </cfRule>
    <cfRule type="cellIs" dxfId="75" priority="60" stopIfTrue="1" operator="equal">
      <formula>"è"</formula>
    </cfRule>
  </conditionalFormatting>
  <conditionalFormatting sqref="P42">
    <cfRule type="cellIs" dxfId="74" priority="55" stopIfTrue="1" operator="equal">
      <formula>"ì"</formula>
    </cfRule>
    <cfRule type="cellIs" dxfId="73" priority="56" stopIfTrue="1" operator="equal">
      <formula>"î"</formula>
    </cfRule>
    <cfRule type="cellIs" dxfId="72" priority="57" stopIfTrue="1" operator="equal">
      <formula>"è"</formula>
    </cfRule>
  </conditionalFormatting>
  <conditionalFormatting sqref="V31 V55">
    <cfRule type="cellIs" dxfId="71" priority="91" stopIfTrue="1" operator="equal">
      <formula>"ì"</formula>
    </cfRule>
    <cfRule type="cellIs" dxfId="70" priority="92" stopIfTrue="1" operator="equal">
      <formula>"î"</formula>
    </cfRule>
    <cfRule type="cellIs" dxfId="69" priority="93" stopIfTrue="1" operator="equal">
      <formula>"è"</formula>
    </cfRule>
  </conditionalFormatting>
  <conditionalFormatting sqref="S31 S55 S60">
    <cfRule type="cellIs" dxfId="68" priority="94" stopIfTrue="1" operator="equal">
      <formula>"ì"</formula>
    </cfRule>
    <cfRule type="cellIs" dxfId="67" priority="95" stopIfTrue="1" operator="equal">
      <formula>"î"</formula>
    </cfRule>
    <cfRule type="cellIs" dxfId="66" priority="96" stopIfTrue="1" operator="equal">
      <formula>"è"</formula>
    </cfRule>
  </conditionalFormatting>
  <conditionalFormatting sqref="P31 P55">
    <cfRule type="cellIs" dxfId="65" priority="88" stopIfTrue="1" operator="equal">
      <formula>"ì"</formula>
    </cfRule>
    <cfRule type="cellIs" dxfId="64" priority="89" stopIfTrue="1" operator="equal">
      <formula>"î"</formula>
    </cfRule>
    <cfRule type="cellIs" dxfId="63" priority="90" stopIfTrue="1" operator="equal">
      <formula>"è"</formula>
    </cfRule>
  </conditionalFormatting>
  <conditionalFormatting sqref="S23">
    <cfRule type="cellIs" dxfId="62" priority="76" stopIfTrue="1" operator="equal">
      <formula>"ì"</formula>
    </cfRule>
    <cfRule type="cellIs" dxfId="61" priority="77" stopIfTrue="1" operator="equal">
      <formula>"î"</formula>
    </cfRule>
    <cfRule type="cellIs" dxfId="60" priority="78" stopIfTrue="1" operator="equal">
      <formula>"è"</formula>
    </cfRule>
  </conditionalFormatting>
  <conditionalFormatting sqref="P49:P50">
    <cfRule type="cellIs" dxfId="59" priority="28" stopIfTrue="1" operator="equal">
      <formula>"ì"</formula>
    </cfRule>
    <cfRule type="cellIs" dxfId="58" priority="29" stopIfTrue="1" operator="equal">
      <formula>"î"</formula>
    </cfRule>
    <cfRule type="cellIs" dxfId="57" priority="30" stopIfTrue="1" operator="equal">
      <formula>"è"</formula>
    </cfRule>
  </conditionalFormatting>
  <conditionalFormatting sqref="P51">
    <cfRule type="cellIs" dxfId="56" priority="25" stopIfTrue="1" operator="equal">
      <formula>"ì"</formula>
    </cfRule>
    <cfRule type="cellIs" dxfId="55" priority="26" stopIfTrue="1" operator="equal">
      <formula>"î"</formula>
    </cfRule>
    <cfRule type="cellIs" dxfId="54" priority="27" stopIfTrue="1" operator="equal">
      <formula>"è"</formula>
    </cfRule>
  </conditionalFormatting>
  <conditionalFormatting sqref="V24:V30 S24:S30">
    <cfRule type="cellIs" dxfId="53" priority="67" stopIfTrue="1" operator="equal">
      <formula>"ì"</formula>
    </cfRule>
    <cfRule type="cellIs" dxfId="52" priority="68" stopIfTrue="1" operator="equal">
      <formula>"î"</formula>
    </cfRule>
    <cfRule type="cellIs" dxfId="51" priority="69" stopIfTrue="1" operator="equal">
      <formula>"è"</formula>
    </cfRule>
  </conditionalFormatting>
  <conditionalFormatting sqref="S51">
    <cfRule type="cellIs" dxfId="50" priority="22" stopIfTrue="1" operator="equal">
      <formula>"ì"</formula>
    </cfRule>
    <cfRule type="cellIs" dxfId="49" priority="23" stopIfTrue="1" operator="equal">
      <formula>"î"</formula>
    </cfRule>
    <cfRule type="cellIs" dxfId="48" priority="24" stopIfTrue="1" operator="equal">
      <formula>"è"</formula>
    </cfRule>
  </conditionalFormatting>
  <conditionalFormatting sqref="V51">
    <cfRule type="cellIs" dxfId="47" priority="19" stopIfTrue="1" operator="equal">
      <formula>"ì"</formula>
    </cfRule>
    <cfRule type="cellIs" dxfId="46" priority="20" stopIfTrue="1" operator="equal">
      <formula>"î"</formula>
    </cfRule>
    <cfRule type="cellIs" dxfId="45" priority="21" stopIfTrue="1" operator="equal">
      <formula>"è"</formula>
    </cfRule>
  </conditionalFormatting>
  <conditionalFormatting sqref="P21">
    <cfRule type="cellIs" dxfId="44" priority="85" stopIfTrue="1" operator="equal">
      <formula>"ì"</formula>
    </cfRule>
    <cfRule type="cellIs" dxfId="43" priority="86" stopIfTrue="1" operator="equal">
      <formula>"î"</formula>
    </cfRule>
    <cfRule type="cellIs" dxfId="42" priority="87" stopIfTrue="1" operator="equal">
      <formula>"è"</formula>
    </cfRule>
  </conditionalFormatting>
  <conditionalFormatting sqref="V23">
    <cfRule type="cellIs" dxfId="41" priority="73" stopIfTrue="1" operator="equal">
      <formula>"ì"</formula>
    </cfRule>
    <cfRule type="cellIs" dxfId="40" priority="74" stopIfTrue="1" operator="equal">
      <formula>"î"</formula>
    </cfRule>
    <cfRule type="cellIs" dxfId="39" priority="75" stopIfTrue="1" operator="equal">
      <formula>"è"</formula>
    </cfRule>
  </conditionalFormatting>
  <conditionalFormatting sqref="P23">
    <cfRule type="cellIs" dxfId="38" priority="70" stopIfTrue="1" operator="equal">
      <formula>"ì"</formula>
    </cfRule>
    <cfRule type="cellIs" dxfId="37" priority="71" stopIfTrue="1" operator="equal">
      <formula>"î"</formula>
    </cfRule>
    <cfRule type="cellIs" dxfId="36" priority="72" stopIfTrue="1" operator="equal">
      <formula>"è"</formula>
    </cfRule>
  </conditionalFormatting>
  <conditionalFormatting sqref="V52:V54 S52:S54">
    <cfRule type="cellIs" dxfId="35" priority="16" stopIfTrue="1" operator="equal">
      <formula>"ì"</formula>
    </cfRule>
    <cfRule type="cellIs" dxfId="34" priority="17" stopIfTrue="1" operator="equal">
      <formula>"î"</formula>
    </cfRule>
    <cfRule type="cellIs" dxfId="33" priority="18" stopIfTrue="1" operator="equal">
      <formula>"è"</formula>
    </cfRule>
  </conditionalFormatting>
  <conditionalFormatting sqref="P52:P54">
    <cfRule type="cellIs" dxfId="32" priority="13" stopIfTrue="1" operator="equal">
      <formula>"ì"</formula>
    </cfRule>
    <cfRule type="cellIs" dxfId="31" priority="14" stopIfTrue="1" operator="equal">
      <formula>"î"</formula>
    </cfRule>
    <cfRule type="cellIs" dxfId="30" priority="15" stopIfTrue="1" operator="equal">
      <formula>"è"</formula>
    </cfRule>
  </conditionalFormatting>
  <conditionalFormatting sqref="V43:V47 S43:S47">
    <cfRule type="cellIs" dxfId="29" priority="46" stopIfTrue="1" operator="equal">
      <formula>"ì"</formula>
    </cfRule>
    <cfRule type="cellIs" dxfId="28" priority="47" stopIfTrue="1" operator="equal">
      <formula>"î"</formula>
    </cfRule>
    <cfRule type="cellIs" dxfId="27" priority="48" stopIfTrue="1" operator="equal">
      <formula>"è"</formula>
    </cfRule>
  </conditionalFormatting>
  <conditionalFormatting sqref="P43:P47">
    <cfRule type="cellIs" dxfId="26" priority="43" stopIfTrue="1" operator="equal">
      <formula>"ì"</formula>
    </cfRule>
    <cfRule type="cellIs" dxfId="25" priority="44" stopIfTrue="1" operator="equal">
      <formula>"î"</formula>
    </cfRule>
    <cfRule type="cellIs" dxfId="24" priority="45" stopIfTrue="1" operator="equal">
      <formula>"è"</formula>
    </cfRule>
  </conditionalFormatting>
  <conditionalFormatting sqref="P48">
    <cfRule type="cellIs" dxfId="23" priority="40" stopIfTrue="1" operator="equal">
      <formula>"ì"</formula>
    </cfRule>
    <cfRule type="cellIs" dxfId="22" priority="41" stopIfTrue="1" operator="equal">
      <formula>"î"</formula>
    </cfRule>
    <cfRule type="cellIs" dxfId="21" priority="42" stopIfTrue="1" operator="equal">
      <formula>"è"</formula>
    </cfRule>
  </conditionalFormatting>
  <conditionalFormatting sqref="S48">
    <cfRule type="cellIs" dxfId="20" priority="37" stopIfTrue="1" operator="equal">
      <formula>"ì"</formula>
    </cfRule>
    <cfRule type="cellIs" dxfId="19" priority="38" stopIfTrue="1" operator="equal">
      <formula>"î"</formula>
    </cfRule>
    <cfRule type="cellIs" dxfId="18" priority="39" stopIfTrue="1" operator="equal">
      <formula>"è"</formula>
    </cfRule>
  </conditionalFormatting>
  <conditionalFormatting sqref="V48">
    <cfRule type="cellIs" dxfId="17" priority="34" stopIfTrue="1" operator="equal">
      <formula>"ì"</formula>
    </cfRule>
    <cfRule type="cellIs" dxfId="16" priority="35" stopIfTrue="1" operator="equal">
      <formula>"î"</formula>
    </cfRule>
    <cfRule type="cellIs" dxfId="15" priority="36" stopIfTrue="1" operator="equal">
      <formula>"è"</formula>
    </cfRule>
  </conditionalFormatting>
  <conditionalFormatting sqref="V49:V50 S49:S50">
    <cfRule type="cellIs" dxfId="14" priority="31" stopIfTrue="1" operator="equal">
      <formula>"ì"</formula>
    </cfRule>
    <cfRule type="cellIs" dxfId="13" priority="32" stopIfTrue="1" operator="equal">
      <formula>"î"</formula>
    </cfRule>
    <cfRule type="cellIs" dxfId="12" priority="33" stopIfTrue="1" operator="equal">
      <formula>"è"</formula>
    </cfRule>
  </conditionalFormatting>
  <conditionalFormatting sqref="V56:V59 S56:S59">
    <cfRule type="cellIs" dxfId="11" priority="10" stopIfTrue="1" operator="equal">
      <formula>"ì"</formula>
    </cfRule>
    <cfRule type="cellIs" dxfId="10" priority="11" stopIfTrue="1" operator="equal">
      <formula>"î"</formula>
    </cfRule>
    <cfRule type="cellIs" dxfId="9" priority="12" stopIfTrue="1" operator="equal">
      <formula>"è"</formula>
    </cfRule>
  </conditionalFormatting>
  <conditionalFormatting sqref="P56:P59">
    <cfRule type="cellIs" dxfId="8" priority="7" stopIfTrue="1" operator="equal">
      <formula>"ì"</formula>
    </cfRule>
    <cfRule type="cellIs" dxfId="7" priority="8" stopIfTrue="1" operator="equal">
      <formula>"î"</formula>
    </cfRule>
    <cfRule type="cellIs" dxfId="6" priority="9" stopIfTrue="1" operator="equal">
      <formula>"è"</formula>
    </cfRule>
  </conditionalFormatting>
  <conditionalFormatting sqref="S21">
    <cfRule type="cellIs" dxfId="5" priority="4" stopIfTrue="1" operator="equal">
      <formula>"ì"</formula>
    </cfRule>
    <cfRule type="cellIs" dxfId="4" priority="5" stopIfTrue="1" operator="equal">
      <formula>"î"</formula>
    </cfRule>
    <cfRule type="cellIs" dxfId="3" priority="6" stopIfTrue="1" operator="equal">
      <formula>"è"</formula>
    </cfRule>
  </conditionalFormatting>
  <conditionalFormatting sqref="V21">
    <cfRule type="cellIs" dxfId="2" priority="1" stopIfTrue="1" operator="equal">
      <formula>"ì"</formula>
    </cfRule>
    <cfRule type="cellIs" dxfId="1" priority="2" stopIfTrue="1" operator="equal">
      <formula>"î"</formula>
    </cfRule>
    <cfRule type="cellIs" dxfId="0" priority="3" stopIfTrue="1" operator="equal">
      <formula>"è"</formula>
    </cfRule>
  </conditionalFormatting>
  <dataValidations count="1">
    <dataValidation type="list" allowBlank="1" showInputMessage="1" showErrorMessage="1" sqref="G17">
      <formula1>Language</formula1>
    </dataValidation>
  </dataValidations>
  <printOptions horizontalCentered="1"/>
  <pageMargins left="0.15748031496062992" right="0.11811023622047245" top="0.39370078740157483" bottom="0.39370078740157483" header="0.19685039370078741" footer="0.19685039370078741"/>
  <pageSetup paperSize="9" scale="43" orientation="landscape" r:id="rId1"/>
  <headerFooter alignWithMargins="0">
    <oddFooter>&amp;C&amp;D&amp;RPage &amp;P</oddFooter>
  </headerFooter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Line="0" r:id="rId5">
            <anchor moveWithCells="1">
              <from>
                <xdr:col>9</xdr:col>
                <xdr:colOff>1400175</xdr:colOff>
                <xdr:row>12</xdr:row>
                <xdr:rowOff>66675</xdr:rowOff>
              </from>
              <to>
                <xdr:col>11</xdr:col>
                <xdr:colOff>38100</xdr:colOff>
                <xdr:row>15</xdr:row>
                <xdr:rowOff>28575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2"/>
  <sheetViews>
    <sheetView workbookViewId="0"/>
  </sheetViews>
  <sheetFormatPr baseColWidth="10" defaultColWidth="11.42578125" defaultRowHeight="15"/>
  <sheetData>
    <row r="1" spans="1:1">
      <c r="A1" t="s">
        <v>50</v>
      </c>
    </row>
    <row r="2" spans="1:1">
      <c r="A2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18</vt:i4>
      </vt:variant>
    </vt:vector>
  </HeadingPairs>
  <TitlesOfParts>
    <vt:vector size="21" baseType="lpstr">
      <vt:lpstr>Context</vt:lpstr>
      <vt:lpstr>ROA</vt:lpstr>
      <vt:lpstr>{PL}PickLst</vt:lpstr>
      <vt:lpstr>ActualBudget</vt:lpstr>
      <vt:lpstr>ActualForecast</vt:lpstr>
      <vt:lpstr>ActualMonth</vt:lpstr>
      <vt:lpstr>ActualYear</vt:lpstr>
      <vt:lpstr>AutoFit</vt:lpstr>
      <vt:lpstr>ROA!AutoRefresh_PL</vt:lpstr>
      <vt:lpstr>AutoRefresh_PL_aggregated</vt:lpstr>
      <vt:lpstr>Cube1</vt:lpstr>
      <vt:lpstr>Cube2</vt:lpstr>
      <vt:lpstr>Flag_Send_Comment</vt:lpstr>
      <vt:lpstr>Flag_Send_Data</vt:lpstr>
      <vt:lpstr>Language</vt:lpstr>
      <vt:lpstr>LocalLanguage</vt:lpstr>
      <vt:lpstr>ROA!Print_Area</vt:lpstr>
      <vt:lpstr>ROA!Print_Titles</vt:lpstr>
      <vt:lpstr>PriorYear</vt:lpstr>
      <vt:lpstr>Server</vt:lpstr>
      <vt:lpstr>xServer</vt:lpstr>
    </vt:vector>
  </TitlesOfParts>
  <Company>Transdev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SAINT JOHN de CREVECOEUR, Rozenn</dc:creator>
  <cp:lastModifiedBy>de LANGLOIS, Astrid</cp:lastModifiedBy>
  <cp:lastPrinted>2017-03-03T14:20:09Z</cp:lastPrinted>
  <dcterms:created xsi:type="dcterms:W3CDTF">2016-02-23T13:35:31Z</dcterms:created>
  <dcterms:modified xsi:type="dcterms:W3CDTF">2020-03-11T14:09:01Z</dcterms:modified>
</cp:coreProperties>
</file>